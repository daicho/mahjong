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7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8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9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"/>
    </mc:Choice>
  </mc:AlternateContent>
  <xr:revisionPtr revIDLastSave="0" documentId="13_ncr:1_{6E628187-94BB-4E70-82DF-EB202B319341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109" r:id="rId6"/>
    <sheet name="だいち" sheetId="5111" r:id="rId7"/>
    <sheet name="りくと" sheetId="5113" r:id="rId8"/>
    <sheet name="ただ" sheetId="5115" r:id="rId9"/>
    <sheet name="れんたろう" sheetId="5117" r:id="rId10"/>
    <sheet name="たかの" sheetId="5119" r:id="rId11"/>
    <sheet name="ぱぱ" sheetId="5121" r:id="rId12"/>
    <sheet name="まっつん" sheetId="5123" r:id="rId13"/>
    <sheet name="あさひ" sheetId="5125" r:id="rId14"/>
    <sheet name="いっしー" sheetId="5127" r:id="rId15"/>
    <sheet name="ほたに" sheetId="5129" r:id="rId16"/>
    <sheet name="かわたつ" sheetId="5131" r:id="rId17"/>
    <sheet name="やがさき" sheetId="5133" r:id="rId18"/>
    <sheet name="やがさき2" sheetId="5134" state="hidden" r:id="rId19"/>
    <sheet name="かわたつ2" sheetId="5132" state="hidden" r:id="rId20"/>
    <sheet name="ほたに2" sheetId="5130" state="hidden" r:id="rId21"/>
    <sheet name="いっしー2" sheetId="5128" state="hidden" r:id="rId22"/>
    <sheet name="あさひ2" sheetId="5126" state="hidden" r:id="rId23"/>
    <sheet name="まっつん2" sheetId="5124" state="hidden" r:id="rId24"/>
    <sheet name="ぱぱ2" sheetId="5122" state="hidden" r:id="rId25"/>
    <sheet name="たかの2" sheetId="5120" state="hidden" r:id="rId26"/>
    <sheet name="れんたろう2" sheetId="5118" state="hidden" r:id="rId27"/>
    <sheet name="ただ2" sheetId="5116" state="hidden" r:id="rId28"/>
    <sheet name="りくと2" sheetId="5114" state="hidden" r:id="rId29"/>
    <sheet name="だいち2" sheetId="5112" state="hidden" r:id="rId30"/>
    <sheet name="全体2" sheetId="5110" state="hidden" r:id="rId31"/>
    <sheet name="通算スコア" sheetId="3331" state="hidden" r:id="rId32"/>
    <sheet name="平均スコア" sheetId="3493" state="hidden" r:id="rId33"/>
    <sheet name="平均順位" sheetId="3183" state="hidden" r:id="rId34"/>
    <sheet name="トップ率" sheetId="3185" state="hidden" r:id="rId35"/>
    <sheet name="ラス率" sheetId="4886" state="hidden" r:id="rId36"/>
    <sheet name="アガリ率" sheetId="3189" state="hidden" r:id="rId37"/>
    <sheet name="放銃率" sheetId="3190" state="hidden" r:id="rId38"/>
    <sheet name="平均アガリ点" sheetId="3520" state="hidden" r:id="rId39"/>
    <sheet name="平均放銃点" sheetId="3521" state="hidden" r:id="rId40"/>
    <sheet name="ふっとび率" sheetId="3522" state="hidden" r:id="rId41"/>
    <sheet name="ふっとばし率" sheetId="3523" state="hidden" r:id="rId42"/>
    <sheet name="リーチ率" sheetId="3524" state="hidden" r:id="rId43"/>
    <sheet name="副露率" sheetId="3525" state="hidden" r:id="rId44"/>
    <sheet name="リーチ成功率" sheetId="4841" state="hidden" r:id="rId45"/>
    <sheet name="副露成功率" sheetId="3527" state="hidden" r:id="rId46"/>
    <sheet name="ツモ率" sheetId="3528" state="hidden" r:id="rId47"/>
  </sheets>
  <definedNames>
    <definedName name="アガリ数" localSheetId="13">あさひ!$B$17</definedName>
    <definedName name="アガリ数" localSheetId="14">いっしー!$B$17</definedName>
    <definedName name="アガリ数" localSheetId="16">かわたつ!$B$17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17">やがさき!$B$17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16">かわたつ!$C$17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17">やがさき!$C$17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16">かわたつ!$B$27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17">やがさき!$B$27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16">かわたつ!$C$27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17">やがさき!$C$27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16">かわたつ!$B$18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17">やがさき!$B$18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16">かわたつ!$C$18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17">やがさき!$C$18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16">かわたつ!$B$7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17">やがさき!$B$7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16">かわたつ!$C$7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17">やがさき!$C$7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16">かわたつ!$B$11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17">やがさき!$B$11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16">かわたつ!$C$11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17">やがさき!$C$11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16">かわたつ!$B$10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17">やがさき!$B$10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16">かわたつ!$C$10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17">やがさき!$C$10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16">かわたつ!$B$9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17">やがさき!$B$9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16">かわたつ!$C$9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17">やがさき!$C$9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16">かわたつ!$B$13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17">やがさき!$B$13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16">かわたつ!$B$15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17">やがさき!$B$15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16">かわたつ!$C$15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17">やがさき!$C$15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16">かわたつ!$C$13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17">やがさき!$C$13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16">かわたつ!$B$19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17">やがさき!$B$19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16">かわたつ!$C$19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17">やがさき!$C$19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16">かわたつ!$B$12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17">やがさき!$B$12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16">かわたつ!$C$12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17">やがさき!$C$12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16">かわたつ!$B$25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17">やがさき!$B$25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16">かわたつ!$B$26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17">やがさき!$B$26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16">かわたつ!$B$3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17">やがさき!$B$3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16">かわたつ!$B$2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17">やがさき!$B$2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16">かわたつ!$B$4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17">やがさき!$B$4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16">かわたつ!$B$14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17">やがさき!$B$14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16">かわたつ!$B$16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17">やがさき!$B$16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16">かわたつ!$C$16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17">やがさき!$C$16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16">かわたつ!$C$14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17">やがさき!$C$14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16">かわたつ!$B$23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17">やがさき!$B$23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16">かわたつ!$B$5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17">やがさき!$B$5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16">かわたつ!$B$6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17">やがさき!$B$6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16">かわたつ!$B$24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17">やがさき!$B$24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16">かわたつ!$B$20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17">やがさき!$B$20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16">かわたつ!$C$20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17">やがさき!$C$20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16">かわたつ!$B$21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17">やがさき!$B$21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16">かわたつ!$B$22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17">やがさき!$B$22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5" i="5115" l="1"/>
  <c r="O16" i="5119"/>
  <c r="O15" i="5109"/>
  <c r="O16" i="5133"/>
  <c r="O15" i="5133"/>
  <c r="C27" i="5133"/>
  <c r="B24" i="5133"/>
  <c r="C20" i="5133"/>
  <c r="B17" i="5133"/>
  <c r="H8" i="5133" s="1"/>
  <c r="C16" i="5133"/>
  <c r="C15" i="5133"/>
  <c r="C14" i="5133"/>
  <c r="C13" i="5133"/>
  <c r="O12" i="5133"/>
  <c r="C12" i="5133"/>
  <c r="O11" i="5133"/>
  <c r="H14" i="5133"/>
  <c r="C11" i="5133"/>
  <c r="O10" i="5133"/>
  <c r="C10" i="5133"/>
  <c r="C9" i="5133"/>
  <c r="C8" i="5133"/>
  <c r="O7" i="5133"/>
  <c r="C7" i="5133"/>
  <c r="O6" i="5133"/>
  <c r="B6" i="5133"/>
  <c r="O5" i="5133"/>
  <c r="B5" i="5133"/>
  <c r="O4" i="5133"/>
  <c r="O3" i="5133"/>
  <c r="O2" i="5133"/>
  <c r="O15" i="5131"/>
  <c r="O16" i="5131"/>
  <c r="H49" i="5131"/>
  <c r="C27" i="5131"/>
  <c r="B24" i="5131"/>
  <c r="C20" i="5131"/>
  <c r="B17" i="5131"/>
  <c r="H7" i="5131" s="1"/>
  <c r="C16" i="5131"/>
  <c r="C15" i="5131"/>
  <c r="C14" i="5131"/>
  <c r="C13" i="5131"/>
  <c r="O12" i="5131"/>
  <c r="C12" i="5131"/>
  <c r="O11" i="5131"/>
  <c r="H13" i="5131"/>
  <c r="C11" i="5131"/>
  <c r="O10" i="5131"/>
  <c r="C10" i="5131"/>
  <c r="C9" i="5131"/>
  <c r="C8" i="5131"/>
  <c r="O7" i="5131"/>
  <c r="C7" i="5131"/>
  <c r="O6" i="5131"/>
  <c r="B6" i="5131"/>
  <c r="O5" i="5131"/>
  <c r="H4" i="5131"/>
  <c r="B5" i="5131"/>
  <c r="O4" i="5131"/>
  <c r="H2" i="5131"/>
  <c r="O3" i="5131"/>
  <c r="O2" i="5131"/>
  <c r="O23" i="5117"/>
  <c r="O19" i="5111"/>
  <c r="O24" i="5109"/>
  <c r="H2" i="5133" l="1"/>
  <c r="H5" i="5133"/>
  <c r="C17" i="5133"/>
  <c r="H3" i="5133"/>
  <c r="H12" i="5133"/>
  <c r="H10" i="5133"/>
  <c r="H11" i="5133"/>
  <c r="H17" i="5133"/>
  <c r="H6" i="5133"/>
  <c r="C18" i="5133"/>
  <c r="B23" i="5133"/>
  <c r="H27" i="5133"/>
  <c r="H29" i="5133"/>
  <c r="H33" i="5133"/>
  <c r="H37" i="5133"/>
  <c r="H41" i="5133"/>
  <c r="H45" i="5133"/>
  <c r="H49" i="5133"/>
  <c r="H20" i="5133"/>
  <c r="H22" i="5133"/>
  <c r="H25" i="5133"/>
  <c r="H28" i="5133"/>
  <c r="H30" i="5133"/>
  <c r="H34" i="5133"/>
  <c r="H38" i="5133"/>
  <c r="H42" i="5133"/>
  <c r="H46" i="5133"/>
  <c r="H50" i="5133"/>
  <c r="H16" i="5133"/>
  <c r="H18" i="5133"/>
  <c r="C19" i="5133"/>
  <c r="H23" i="5133"/>
  <c r="H31" i="5133"/>
  <c r="H35" i="5133"/>
  <c r="H39" i="5133"/>
  <c r="H43" i="5133"/>
  <c r="H47" i="5133"/>
  <c r="H51" i="5133"/>
  <c r="H9" i="5133"/>
  <c r="H4" i="5133"/>
  <c r="H13" i="5133"/>
  <c r="H15" i="5133"/>
  <c r="H19" i="5133"/>
  <c r="H21" i="5133"/>
  <c r="H24" i="5133"/>
  <c r="H26" i="5133"/>
  <c r="H7" i="5133"/>
  <c r="H32" i="5133"/>
  <c r="H36" i="5133"/>
  <c r="H40" i="5133"/>
  <c r="H44" i="5133"/>
  <c r="H48" i="5133"/>
  <c r="H18" i="5131"/>
  <c r="H3" i="5131"/>
  <c r="H16" i="5131"/>
  <c r="H10" i="5131"/>
  <c r="C19" i="5131"/>
  <c r="H33" i="5131"/>
  <c r="H12" i="5131"/>
  <c r="H26" i="5131"/>
  <c r="H37" i="5131"/>
  <c r="C17" i="5131"/>
  <c r="H41" i="5131"/>
  <c r="H9" i="5131"/>
  <c r="H15" i="5131"/>
  <c r="H17" i="5131"/>
  <c r="H22" i="5131"/>
  <c r="H8" i="5131"/>
  <c r="H5" i="5131"/>
  <c r="H11" i="5131"/>
  <c r="H14" i="5131"/>
  <c r="C18" i="5131"/>
  <c r="B23" i="5131"/>
  <c r="H29" i="5131"/>
  <c r="H45" i="5131"/>
  <c r="H20" i="5131"/>
  <c r="H21" i="5131"/>
  <c r="H24" i="5131"/>
  <c r="H27" i="5131"/>
  <c r="H30" i="5131"/>
  <c r="H34" i="5131"/>
  <c r="H38" i="5131"/>
  <c r="H42" i="5131"/>
  <c r="H46" i="5131"/>
  <c r="H50" i="5131"/>
  <c r="H31" i="5131"/>
  <c r="H35" i="5131"/>
  <c r="H39" i="5131"/>
  <c r="H43" i="5131"/>
  <c r="H47" i="5131"/>
  <c r="H51" i="5131"/>
  <c r="H19" i="5131"/>
  <c r="H6" i="5131"/>
  <c r="H23" i="5131"/>
  <c r="H25" i="5131"/>
  <c r="H28" i="5131"/>
  <c r="H32" i="5131"/>
  <c r="H36" i="5131"/>
  <c r="H40" i="5131"/>
  <c r="H44" i="5131"/>
  <c r="H48" i="5131"/>
  <c r="O18" i="5119" l="1"/>
  <c r="O16" i="5127"/>
  <c r="O20" i="5129" l="1"/>
  <c r="O19" i="5129"/>
  <c r="O15" i="5123"/>
  <c r="O15" i="5113"/>
  <c r="O21" i="5111" l="1"/>
  <c r="O18" i="5129"/>
  <c r="O21" i="5121"/>
  <c r="O16" i="5129"/>
  <c r="O15" i="5129" l="1"/>
  <c r="O17" i="5129"/>
  <c r="C27" i="5129"/>
  <c r="B24" i="5129"/>
  <c r="C20" i="5129"/>
  <c r="B17" i="5129"/>
  <c r="H8" i="5129" s="1"/>
  <c r="C16" i="5129"/>
  <c r="C15" i="5129"/>
  <c r="C14" i="5129"/>
  <c r="C13" i="5129"/>
  <c r="O12" i="5129"/>
  <c r="C12" i="5129"/>
  <c r="O11" i="5129"/>
  <c r="C11" i="5129"/>
  <c r="O10" i="5129"/>
  <c r="C10" i="5129"/>
  <c r="C9" i="5129"/>
  <c r="C8" i="5129"/>
  <c r="O7" i="5129"/>
  <c r="C7" i="5129"/>
  <c r="O6" i="5129"/>
  <c r="B6" i="5129"/>
  <c r="O5" i="5129"/>
  <c r="B5" i="5129"/>
  <c r="O4" i="5129"/>
  <c r="H3" i="5129"/>
  <c r="O3" i="5129"/>
  <c r="O2" i="5129"/>
  <c r="O22" i="5117"/>
  <c r="O19" i="5119"/>
  <c r="O21" i="5109"/>
  <c r="C17" i="5129" l="1"/>
  <c r="H7" i="5129"/>
  <c r="H2" i="5129"/>
  <c r="H15" i="5129"/>
  <c r="H5" i="5129"/>
  <c r="H4" i="5129"/>
  <c r="H13" i="5129"/>
  <c r="H18" i="5129"/>
  <c r="H9" i="5129"/>
  <c r="C18" i="5129"/>
  <c r="B23" i="5129"/>
  <c r="H27" i="5129"/>
  <c r="H29" i="5129"/>
  <c r="H33" i="5129"/>
  <c r="H37" i="5129"/>
  <c r="H41" i="5129"/>
  <c r="H45" i="5129"/>
  <c r="H49" i="5129"/>
  <c r="H21" i="5129"/>
  <c r="H23" i="5129"/>
  <c r="H26" i="5129"/>
  <c r="H28" i="5129"/>
  <c r="H30" i="5129"/>
  <c r="H34" i="5129"/>
  <c r="H38" i="5129"/>
  <c r="H42" i="5129"/>
  <c r="H46" i="5129"/>
  <c r="H50" i="5129"/>
  <c r="H17" i="5129"/>
  <c r="H19" i="5129"/>
  <c r="C19" i="5129"/>
  <c r="H24" i="5129"/>
  <c r="H31" i="5129"/>
  <c r="H35" i="5129"/>
  <c r="H39" i="5129"/>
  <c r="H43" i="5129"/>
  <c r="H47" i="5129"/>
  <c r="H51" i="5129"/>
  <c r="H11" i="5129"/>
  <c r="H6" i="5129"/>
  <c r="H14" i="5129"/>
  <c r="H16" i="5129"/>
  <c r="H20" i="5129"/>
  <c r="H22" i="5129"/>
  <c r="H25" i="5129"/>
  <c r="H12" i="5129"/>
  <c r="H10" i="5129"/>
  <c r="H32" i="5129"/>
  <c r="H36" i="5129"/>
  <c r="H40" i="5129"/>
  <c r="H44" i="5129"/>
  <c r="H48" i="5129"/>
  <c r="O17" i="5119" l="1"/>
  <c r="O16" i="5115"/>
  <c r="O20" i="5123"/>
  <c r="O22" i="5123"/>
  <c r="O17" i="5111" l="1"/>
  <c r="O19" i="5127"/>
  <c r="O18" i="5127" l="1"/>
  <c r="O15" i="5127"/>
  <c r="O16" i="5117"/>
  <c r="O22" i="5115"/>
  <c r="O17" i="5125" l="1"/>
  <c r="O22" i="5121"/>
  <c r="O15" i="5125"/>
  <c r="O21" i="5127"/>
  <c r="O16" i="5113"/>
  <c r="O16" i="5123"/>
  <c r="O16" i="5109"/>
  <c r="O17" i="5127"/>
  <c r="O20" i="5127"/>
  <c r="C27" i="5127"/>
  <c r="B24" i="5127"/>
  <c r="C20" i="5127"/>
  <c r="B17" i="5127"/>
  <c r="H6" i="5127" s="1"/>
  <c r="C16" i="5127"/>
  <c r="C15" i="5127"/>
  <c r="C14" i="5127"/>
  <c r="C13" i="5127"/>
  <c r="O12" i="5127"/>
  <c r="C12" i="5127"/>
  <c r="O11" i="5127"/>
  <c r="C11" i="5127"/>
  <c r="O10" i="5127"/>
  <c r="C10" i="5127"/>
  <c r="C9" i="5127"/>
  <c r="C8" i="5127"/>
  <c r="O7" i="5127"/>
  <c r="C7" i="5127"/>
  <c r="O6" i="5127"/>
  <c r="B6" i="5127"/>
  <c r="O5" i="5127"/>
  <c r="B5" i="5127"/>
  <c r="O4" i="5127"/>
  <c r="O3" i="5127"/>
  <c r="O2" i="5127"/>
  <c r="O16" i="5125"/>
  <c r="O18" i="5125"/>
  <c r="C27" i="5125"/>
  <c r="B24" i="5125"/>
  <c r="C20" i="5125"/>
  <c r="C19" i="5125"/>
  <c r="B17" i="5125"/>
  <c r="H7" i="5125" s="1"/>
  <c r="H19" i="5125"/>
  <c r="C16" i="5125"/>
  <c r="C15" i="5125"/>
  <c r="H17" i="5125"/>
  <c r="C14" i="5125"/>
  <c r="C13" i="5125"/>
  <c r="O12" i="5125"/>
  <c r="C12" i="5125"/>
  <c r="O11" i="5125"/>
  <c r="H14" i="5125"/>
  <c r="C11" i="5125"/>
  <c r="O10" i="5125"/>
  <c r="C10" i="5125"/>
  <c r="C9" i="5125"/>
  <c r="C8" i="5125"/>
  <c r="O7" i="5125"/>
  <c r="H9" i="5125"/>
  <c r="C7" i="5125"/>
  <c r="O6" i="5125"/>
  <c r="H8" i="5125"/>
  <c r="B6" i="5125"/>
  <c r="O5" i="5125"/>
  <c r="B5" i="5125"/>
  <c r="O4" i="5125"/>
  <c r="O3" i="5125"/>
  <c r="H12" i="5125"/>
  <c r="O2" i="5125"/>
  <c r="O21" i="5123"/>
  <c r="O23" i="5123"/>
  <c r="O15" i="5111"/>
  <c r="O18" i="5111"/>
  <c r="O26" i="5109"/>
  <c r="H5" i="5127" l="1"/>
  <c r="H5" i="5125"/>
  <c r="C17" i="5125"/>
  <c r="H4" i="5125"/>
  <c r="H16" i="5125"/>
  <c r="H18" i="5125"/>
  <c r="H2" i="5125"/>
  <c r="H3" i="5125"/>
  <c r="H13" i="5125"/>
  <c r="C18" i="5125"/>
  <c r="H19" i="5127"/>
  <c r="H9" i="5127"/>
  <c r="H13" i="5127"/>
  <c r="H16" i="5127"/>
  <c r="H18" i="5127"/>
  <c r="H17" i="5127"/>
  <c r="H8" i="5127"/>
  <c r="C17" i="5127"/>
  <c r="H4" i="5127"/>
  <c r="H2" i="5127"/>
  <c r="H11" i="5127"/>
  <c r="H3" i="5127"/>
  <c r="H10" i="5127"/>
  <c r="H14" i="5127"/>
  <c r="H20" i="5127"/>
  <c r="C19" i="5127"/>
  <c r="H21" i="5127"/>
  <c r="C18" i="5127"/>
  <c r="B23" i="5127"/>
  <c r="H27" i="5127"/>
  <c r="H29" i="5127"/>
  <c r="H33" i="5127"/>
  <c r="H37" i="5127"/>
  <c r="H41" i="5127"/>
  <c r="H45" i="5127"/>
  <c r="H49" i="5127"/>
  <c r="H22" i="5127"/>
  <c r="H23" i="5127"/>
  <c r="H25" i="5127"/>
  <c r="H28" i="5127"/>
  <c r="H30" i="5127"/>
  <c r="H34" i="5127"/>
  <c r="H38" i="5127"/>
  <c r="H42" i="5127"/>
  <c r="H46" i="5127"/>
  <c r="H50" i="5127"/>
  <c r="H31" i="5127"/>
  <c r="H35" i="5127"/>
  <c r="H39" i="5127"/>
  <c r="H43" i="5127"/>
  <c r="H47" i="5127"/>
  <c r="H51" i="5127"/>
  <c r="H12" i="5127"/>
  <c r="H15" i="5127"/>
  <c r="H24" i="5127"/>
  <c r="H26" i="5127"/>
  <c r="H7" i="5127"/>
  <c r="H32" i="5127"/>
  <c r="H36" i="5127"/>
  <c r="H40" i="5127"/>
  <c r="H44" i="5127"/>
  <c r="H48" i="5127"/>
  <c r="B23" i="5125"/>
  <c r="H27" i="5125"/>
  <c r="H29" i="5125"/>
  <c r="H33" i="5125"/>
  <c r="H37" i="5125"/>
  <c r="H41" i="5125"/>
  <c r="H45" i="5125"/>
  <c r="H49" i="5125"/>
  <c r="H21" i="5125"/>
  <c r="H23" i="5125"/>
  <c r="H26" i="5125"/>
  <c r="H28" i="5125"/>
  <c r="H30" i="5125"/>
  <c r="H34" i="5125"/>
  <c r="H38" i="5125"/>
  <c r="H42" i="5125"/>
  <c r="H46" i="5125"/>
  <c r="H50" i="5125"/>
  <c r="H24" i="5125"/>
  <c r="H31" i="5125"/>
  <c r="H35" i="5125"/>
  <c r="H39" i="5125"/>
  <c r="H43" i="5125"/>
  <c r="H47" i="5125"/>
  <c r="H51" i="5125"/>
  <c r="H10" i="5125"/>
  <c r="H15" i="5125"/>
  <c r="H20" i="5125"/>
  <c r="H22" i="5125"/>
  <c r="H25" i="5125"/>
  <c r="H11" i="5125"/>
  <c r="H6" i="5125"/>
  <c r="H32" i="5125"/>
  <c r="H36" i="5125"/>
  <c r="H40" i="5125"/>
  <c r="H44" i="5125"/>
  <c r="H48" i="5125"/>
  <c r="O17" i="5123" l="1"/>
  <c r="O19" i="5121"/>
  <c r="O16" i="5121"/>
  <c r="O21" i="5113"/>
  <c r="O20" i="5119" l="1"/>
  <c r="O17" i="5117"/>
  <c r="O17" i="5121"/>
  <c r="O18" i="5121"/>
  <c r="O15" i="5119" l="1"/>
  <c r="O15" i="5117"/>
  <c r="O19" i="5115"/>
  <c r="O20" i="5115"/>
  <c r="O18" i="5123"/>
  <c r="O19" i="5123"/>
  <c r="C27" i="5123"/>
  <c r="B24" i="5123"/>
  <c r="C20" i="5123"/>
  <c r="B17" i="5123"/>
  <c r="H5" i="5123" s="1"/>
  <c r="C16" i="5123"/>
  <c r="C15" i="5123"/>
  <c r="C14" i="5123"/>
  <c r="C13" i="5123"/>
  <c r="O12" i="5123"/>
  <c r="C12" i="5123"/>
  <c r="O11" i="5123"/>
  <c r="C11" i="5123"/>
  <c r="O10" i="5123"/>
  <c r="C10" i="5123"/>
  <c r="C9" i="5123"/>
  <c r="H13" i="5123"/>
  <c r="C8" i="5123"/>
  <c r="O7" i="5123"/>
  <c r="C7" i="5123"/>
  <c r="O6" i="5123"/>
  <c r="B6" i="5123"/>
  <c r="O5" i="5123"/>
  <c r="B5" i="5123"/>
  <c r="O4" i="5123"/>
  <c r="H2" i="5123"/>
  <c r="O3" i="5123"/>
  <c r="O2" i="5123"/>
  <c r="O20" i="5117"/>
  <c r="O18" i="5113"/>
  <c r="O18" i="5109"/>
  <c r="H4" i="5123" l="1"/>
  <c r="C17" i="5123"/>
  <c r="C18" i="5123"/>
  <c r="H3" i="5123"/>
  <c r="H8" i="5123"/>
  <c r="H17" i="5123"/>
  <c r="H22" i="5123"/>
  <c r="H11" i="5123"/>
  <c r="H10" i="5123"/>
  <c r="H7" i="5123"/>
  <c r="H14" i="5123"/>
  <c r="H16" i="5123"/>
  <c r="H6" i="5123"/>
  <c r="H20" i="5123"/>
  <c r="H21" i="5123"/>
  <c r="H18" i="5123"/>
  <c r="C19" i="5123"/>
  <c r="B23" i="5123"/>
  <c r="H28" i="5123"/>
  <c r="H30" i="5123"/>
  <c r="H33" i="5123"/>
  <c r="H37" i="5123"/>
  <c r="H41" i="5123"/>
  <c r="H45" i="5123"/>
  <c r="H49" i="5123"/>
  <c r="H24" i="5123"/>
  <c r="H25" i="5123"/>
  <c r="H19" i="5123"/>
  <c r="H29" i="5123"/>
  <c r="H12" i="5123"/>
  <c r="H34" i="5123"/>
  <c r="H38" i="5123"/>
  <c r="H42" i="5123"/>
  <c r="H46" i="5123"/>
  <c r="H50" i="5123"/>
  <c r="H31" i="5123"/>
  <c r="H35" i="5123"/>
  <c r="H39" i="5123"/>
  <c r="H43" i="5123"/>
  <c r="H47" i="5123"/>
  <c r="H51" i="5123"/>
  <c r="H23" i="5123"/>
  <c r="H15" i="5123"/>
  <c r="H26" i="5123"/>
  <c r="H27" i="5123"/>
  <c r="H9" i="5123"/>
  <c r="H32" i="5123"/>
  <c r="H36" i="5123"/>
  <c r="H40" i="5123"/>
  <c r="H44" i="5123"/>
  <c r="H48" i="5123"/>
  <c r="O18" i="5115" l="1"/>
  <c r="O20" i="5121"/>
  <c r="O15" i="5121"/>
  <c r="C27" i="5121"/>
  <c r="B24" i="5121"/>
  <c r="C20" i="5121"/>
  <c r="B17" i="5121"/>
  <c r="H6" i="5121" s="1"/>
  <c r="C16" i="5121"/>
  <c r="C15" i="5121"/>
  <c r="C14" i="5121"/>
  <c r="C13" i="5121"/>
  <c r="O12" i="5121"/>
  <c r="C12" i="5121"/>
  <c r="O11" i="5121"/>
  <c r="C11" i="5121"/>
  <c r="O10" i="5121"/>
  <c r="C10" i="5121"/>
  <c r="C9" i="5121"/>
  <c r="C8" i="5121"/>
  <c r="O7" i="5121"/>
  <c r="C7" i="5121"/>
  <c r="O6" i="5121"/>
  <c r="B6" i="5121"/>
  <c r="O5" i="5121"/>
  <c r="B5" i="5121"/>
  <c r="O4" i="5121"/>
  <c r="O3" i="5121"/>
  <c r="O2" i="5121"/>
  <c r="O20" i="5111"/>
  <c r="O19" i="5109"/>
  <c r="O22" i="5119"/>
  <c r="O20" i="5113"/>
  <c r="O19" i="5113"/>
  <c r="O18" i="5117"/>
  <c r="O21" i="5119"/>
  <c r="O23" i="5119"/>
  <c r="C27" i="5119"/>
  <c r="B24" i="5119"/>
  <c r="C20" i="5119"/>
  <c r="B17" i="5119"/>
  <c r="H51" i="5119" s="1"/>
  <c r="C16" i="5119"/>
  <c r="C15" i="5119"/>
  <c r="C14" i="5119"/>
  <c r="C13" i="5119"/>
  <c r="O12" i="5119"/>
  <c r="C12" i="5119"/>
  <c r="O11" i="5119"/>
  <c r="C11" i="5119"/>
  <c r="O10" i="5119"/>
  <c r="C10" i="5119"/>
  <c r="C9" i="5119"/>
  <c r="C8" i="5119"/>
  <c r="O7" i="5119"/>
  <c r="C7" i="5119"/>
  <c r="O6" i="5119"/>
  <c r="B6" i="5119"/>
  <c r="O5" i="5119"/>
  <c r="B5" i="5119"/>
  <c r="O4" i="5119"/>
  <c r="O3" i="5119"/>
  <c r="O2" i="5119"/>
  <c r="O21" i="5117"/>
  <c r="O19" i="5117"/>
  <c r="C27" i="5117"/>
  <c r="B24" i="5117"/>
  <c r="C20" i="5117"/>
  <c r="B17" i="5117"/>
  <c r="H5" i="5117" s="1"/>
  <c r="C16" i="5117"/>
  <c r="C15" i="5117"/>
  <c r="C14" i="5117"/>
  <c r="C13" i="5117"/>
  <c r="O12" i="5117"/>
  <c r="C12" i="5117"/>
  <c r="O11" i="5117"/>
  <c r="C11" i="5117"/>
  <c r="O10" i="5117"/>
  <c r="C10" i="5117"/>
  <c r="C9" i="5117"/>
  <c r="C8" i="5117"/>
  <c r="O7" i="5117"/>
  <c r="C7" i="5117"/>
  <c r="O6" i="5117"/>
  <c r="B6" i="5117"/>
  <c r="O5" i="5117"/>
  <c r="B5" i="5117"/>
  <c r="O4" i="5117"/>
  <c r="O3" i="5117"/>
  <c r="O2" i="5117"/>
  <c r="O23" i="5111"/>
  <c r="O24" i="5111"/>
  <c r="O23" i="5109"/>
  <c r="O22" i="5109"/>
  <c r="H5" i="5121" l="1"/>
  <c r="H4" i="5121"/>
  <c r="H7" i="5121"/>
  <c r="H20" i="5121"/>
  <c r="H22" i="5121"/>
  <c r="H11" i="5121"/>
  <c r="H12" i="5121"/>
  <c r="H14" i="5121"/>
  <c r="H3" i="5119"/>
  <c r="H2" i="5119"/>
  <c r="H5" i="5119"/>
  <c r="H12" i="5119"/>
  <c r="H11" i="5117"/>
  <c r="H25" i="5117"/>
  <c r="H4" i="5117"/>
  <c r="H10" i="5117"/>
  <c r="H17" i="5117"/>
  <c r="H17" i="5121"/>
  <c r="H8" i="5121"/>
  <c r="C17" i="5121"/>
  <c r="H2" i="5121"/>
  <c r="H3" i="5121"/>
  <c r="H10" i="5121"/>
  <c r="H21" i="5121"/>
  <c r="H23" i="5121"/>
  <c r="C19" i="5121"/>
  <c r="H15" i="5121"/>
  <c r="C18" i="5121"/>
  <c r="B23" i="5121"/>
  <c r="H29" i="5121"/>
  <c r="H31" i="5121"/>
  <c r="H34" i="5121"/>
  <c r="H38" i="5121"/>
  <c r="H42" i="5121"/>
  <c r="H46" i="5121"/>
  <c r="H50" i="5121"/>
  <c r="H24" i="5121"/>
  <c r="H26" i="5121"/>
  <c r="H28" i="5121"/>
  <c r="H30" i="5121"/>
  <c r="H18" i="5121"/>
  <c r="H35" i="5121"/>
  <c r="H39" i="5121"/>
  <c r="H43" i="5121"/>
  <c r="H47" i="5121"/>
  <c r="H51" i="5121"/>
  <c r="H32" i="5121"/>
  <c r="H36" i="5121"/>
  <c r="H40" i="5121"/>
  <c r="H44" i="5121"/>
  <c r="H48" i="5121"/>
  <c r="H19" i="5121"/>
  <c r="H16" i="5121"/>
  <c r="H25" i="5121"/>
  <c r="H27" i="5121"/>
  <c r="H13" i="5121"/>
  <c r="H9" i="5121"/>
  <c r="H33" i="5121"/>
  <c r="H37" i="5121"/>
  <c r="H41" i="5121"/>
  <c r="H45" i="5121"/>
  <c r="H49" i="5121"/>
  <c r="H3" i="5117"/>
  <c r="H2" i="5117"/>
  <c r="H8" i="5117"/>
  <c r="H24" i="5117"/>
  <c r="H7" i="5117"/>
  <c r="H12" i="5117"/>
  <c r="C19" i="5117"/>
  <c r="C19" i="5119"/>
  <c r="H27" i="5119"/>
  <c r="H40" i="5119"/>
  <c r="C17" i="5119"/>
  <c r="H11" i="5119"/>
  <c r="H44" i="5119"/>
  <c r="H8" i="5119"/>
  <c r="H22" i="5119"/>
  <c r="H15" i="5119"/>
  <c r="H10" i="5119"/>
  <c r="H17" i="5119"/>
  <c r="H32" i="5119"/>
  <c r="H48" i="5119"/>
  <c r="H24" i="5119"/>
  <c r="B23" i="5119"/>
  <c r="H9" i="5119"/>
  <c r="H6" i="5119"/>
  <c r="H21" i="5119"/>
  <c r="H7" i="5119"/>
  <c r="H20" i="5119"/>
  <c r="H23" i="5119"/>
  <c r="H16" i="5119"/>
  <c r="C18" i="5119"/>
  <c r="H13" i="5119"/>
  <c r="H14" i="5119"/>
  <c r="H36" i="5119"/>
  <c r="H4" i="5119"/>
  <c r="H19" i="5119"/>
  <c r="H30" i="5119"/>
  <c r="H33" i="5119"/>
  <c r="H37" i="5119"/>
  <c r="H41" i="5119"/>
  <c r="H45" i="5119"/>
  <c r="H49" i="5119"/>
  <c r="H25" i="5119"/>
  <c r="H26" i="5119"/>
  <c r="H28" i="5119"/>
  <c r="H29" i="5119"/>
  <c r="H18" i="5119"/>
  <c r="H34" i="5119"/>
  <c r="H38" i="5119"/>
  <c r="H42" i="5119"/>
  <c r="H46" i="5119"/>
  <c r="H50" i="5119"/>
  <c r="H31" i="5119"/>
  <c r="H35" i="5119"/>
  <c r="H39" i="5119"/>
  <c r="H43" i="5119"/>
  <c r="H47" i="5119"/>
  <c r="H14" i="5117"/>
  <c r="H6" i="5117"/>
  <c r="H22" i="5117"/>
  <c r="C17" i="5117"/>
  <c r="H16" i="5117"/>
  <c r="C18" i="5117"/>
  <c r="B23" i="5117"/>
  <c r="H20" i="5117"/>
  <c r="H32" i="5117"/>
  <c r="H34" i="5117"/>
  <c r="H38" i="5117"/>
  <c r="H42" i="5117"/>
  <c r="H46" i="5117"/>
  <c r="H50" i="5117"/>
  <c r="H27" i="5117"/>
  <c r="H28" i="5117"/>
  <c r="H30" i="5117"/>
  <c r="H31" i="5117"/>
  <c r="H21" i="5117"/>
  <c r="H35" i="5117"/>
  <c r="H39" i="5117"/>
  <c r="H43" i="5117"/>
  <c r="H47" i="5117"/>
  <c r="H51" i="5117"/>
  <c r="H18" i="5117"/>
  <c r="H36" i="5117"/>
  <c r="H40" i="5117"/>
  <c r="H44" i="5117"/>
  <c r="H48" i="5117"/>
  <c r="H19" i="5117"/>
  <c r="H23" i="5117"/>
  <c r="H26" i="5117"/>
  <c r="H15" i="5117"/>
  <c r="H29" i="5117"/>
  <c r="H13" i="5117"/>
  <c r="H9" i="5117"/>
  <c r="H33" i="5117"/>
  <c r="H37" i="5117"/>
  <c r="H41" i="5117"/>
  <c r="H45" i="5117"/>
  <c r="H49" i="5117"/>
  <c r="O17" i="5115" l="1"/>
  <c r="O21" i="5115"/>
  <c r="C27" i="5115"/>
  <c r="B24" i="5115"/>
  <c r="C20" i="5115"/>
  <c r="B17" i="5115"/>
  <c r="H6" i="5115" s="1"/>
  <c r="C16" i="5115"/>
  <c r="C15" i="5115"/>
  <c r="C14" i="5115"/>
  <c r="C13" i="5115"/>
  <c r="O12" i="5115"/>
  <c r="C12" i="5115"/>
  <c r="O11" i="5115"/>
  <c r="C11" i="5115"/>
  <c r="O10" i="5115"/>
  <c r="C10" i="5115"/>
  <c r="C9" i="5115"/>
  <c r="C8" i="5115"/>
  <c r="O7" i="5115"/>
  <c r="C7" i="5115"/>
  <c r="O6" i="5115"/>
  <c r="B6" i="5115"/>
  <c r="O5" i="5115"/>
  <c r="B5" i="5115"/>
  <c r="O4" i="5115"/>
  <c r="O3" i="5115"/>
  <c r="O2" i="5115"/>
  <c r="O22" i="5113"/>
  <c r="O17" i="5113"/>
  <c r="C27" i="5113"/>
  <c r="B24" i="5113"/>
  <c r="C20" i="5113"/>
  <c r="B17" i="5113"/>
  <c r="H5" i="5113" s="1"/>
  <c r="C16" i="5113"/>
  <c r="C15" i="5113"/>
  <c r="C14" i="5113"/>
  <c r="C13" i="5113"/>
  <c r="O12" i="5113"/>
  <c r="C12" i="5113"/>
  <c r="O11" i="5113"/>
  <c r="C11" i="5113"/>
  <c r="O10" i="5113"/>
  <c r="C10" i="5113"/>
  <c r="C9" i="5113"/>
  <c r="C8" i="5113"/>
  <c r="O7" i="5113"/>
  <c r="C7" i="5113"/>
  <c r="O6" i="5113"/>
  <c r="B6" i="5113"/>
  <c r="O5" i="5113"/>
  <c r="B5" i="5113"/>
  <c r="O4" i="5113"/>
  <c r="O3" i="5113"/>
  <c r="O2" i="5113"/>
  <c r="O25" i="5109"/>
  <c r="O16" i="5111"/>
  <c r="O22" i="5111"/>
  <c r="C27" i="5111"/>
  <c r="B24" i="5111"/>
  <c r="C20" i="5111"/>
  <c r="B17" i="5111"/>
  <c r="H5" i="5111" s="1"/>
  <c r="C16" i="5111"/>
  <c r="C15" i="5111"/>
  <c r="C14" i="5111"/>
  <c r="C13" i="5111"/>
  <c r="O12" i="5111"/>
  <c r="C12" i="5111"/>
  <c r="O11" i="5111"/>
  <c r="C11" i="5111"/>
  <c r="O10" i="5111"/>
  <c r="C10" i="5111"/>
  <c r="C9" i="5111"/>
  <c r="C8" i="5111"/>
  <c r="O7" i="5111"/>
  <c r="C7" i="5111"/>
  <c r="O6" i="5111"/>
  <c r="B6" i="5111"/>
  <c r="O5" i="5111"/>
  <c r="B5" i="5111"/>
  <c r="O4" i="5111"/>
  <c r="O3" i="5111"/>
  <c r="O2" i="5111"/>
  <c r="O17" i="5109"/>
  <c r="O20" i="5109"/>
  <c r="C27" i="5109"/>
  <c r="B24" i="5109"/>
  <c r="C20" i="5109"/>
  <c r="B17" i="5109"/>
  <c r="H51" i="5109" s="1"/>
  <c r="C16" i="5109"/>
  <c r="C15" i="5109"/>
  <c r="C14" i="5109"/>
  <c r="C13" i="5109"/>
  <c r="O12" i="5109"/>
  <c r="C12" i="5109"/>
  <c r="O11" i="5109"/>
  <c r="C11" i="5109"/>
  <c r="O10" i="5109"/>
  <c r="C10" i="5109"/>
  <c r="C9" i="5109"/>
  <c r="C8" i="5109"/>
  <c r="O7" i="5109"/>
  <c r="C7" i="5109"/>
  <c r="O6" i="5109"/>
  <c r="B6" i="5109"/>
  <c r="O5" i="5109"/>
  <c r="B5" i="5109"/>
  <c r="O4" i="5109"/>
  <c r="O3" i="5109"/>
  <c r="O2" i="5109"/>
  <c r="H8" i="5113" l="1"/>
  <c r="H12" i="5113"/>
  <c r="H21" i="5113"/>
  <c r="H22" i="5113"/>
  <c r="H7" i="5113"/>
  <c r="H9" i="5113"/>
  <c r="H6" i="5113"/>
  <c r="H20" i="5113"/>
  <c r="H19" i="5113"/>
  <c r="H29" i="5113"/>
  <c r="H3" i="5113"/>
  <c r="H2" i="5113"/>
  <c r="H10" i="5113"/>
  <c r="H4" i="5113"/>
  <c r="C18" i="5113"/>
  <c r="H2" i="5115"/>
  <c r="H41" i="5115"/>
  <c r="H7" i="5115"/>
  <c r="H37" i="5115"/>
  <c r="H3" i="5115"/>
  <c r="H9" i="5115"/>
  <c r="H23" i="5115"/>
  <c r="H15" i="5115"/>
  <c r="H19" i="5115"/>
  <c r="H26" i="5115"/>
  <c r="C18" i="5115"/>
  <c r="H4" i="5111"/>
  <c r="B23" i="5115"/>
  <c r="H31" i="5115"/>
  <c r="H45" i="5115"/>
  <c r="H4" i="5115"/>
  <c r="C17" i="5115"/>
  <c r="H33" i="5115"/>
  <c r="H49" i="5115"/>
  <c r="H27" i="5115"/>
  <c r="H28" i="5115"/>
  <c r="H30" i="5115"/>
  <c r="H20" i="5115"/>
  <c r="H21" i="5115"/>
  <c r="H34" i="5115"/>
  <c r="H38" i="5115"/>
  <c r="H42" i="5115"/>
  <c r="H50" i="5115"/>
  <c r="H8" i="5115"/>
  <c r="H25" i="5115"/>
  <c r="H14" i="5115"/>
  <c r="C19" i="5115"/>
  <c r="H18" i="5115"/>
  <c r="H32" i="5115"/>
  <c r="H35" i="5115"/>
  <c r="H39" i="5115"/>
  <c r="H43" i="5115"/>
  <c r="H47" i="5115"/>
  <c r="H51" i="5115"/>
  <c r="H46" i="5115"/>
  <c r="H12" i="5115"/>
  <c r="H5" i="5115"/>
  <c r="H10" i="5115"/>
  <c r="H24" i="5115"/>
  <c r="H16" i="5115"/>
  <c r="H17" i="5115"/>
  <c r="H29" i="5115"/>
  <c r="H13" i="5115"/>
  <c r="H11" i="5115"/>
  <c r="H22" i="5115"/>
  <c r="H36" i="5115"/>
  <c r="H40" i="5115"/>
  <c r="H44" i="5115"/>
  <c r="H48" i="5115"/>
  <c r="H23" i="5113"/>
  <c r="C17" i="5113"/>
  <c r="B23" i="5113"/>
  <c r="H33" i="5113"/>
  <c r="H34" i="5113"/>
  <c r="H35" i="5113"/>
  <c r="H38" i="5113"/>
  <c r="H42" i="5113"/>
  <c r="H46" i="5113"/>
  <c r="H50" i="5113"/>
  <c r="H30" i="5113"/>
  <c r="H31" i="5113"/>
  <c r="H32" i="5113"/>
  <c r="H25" i="5113"/>
  <c r="H16" i="5113"/>
  <c r="H28" i="5113"/>
  <c r="H39" i="5113"/>
  <c r="H43" i="5113"/>
  <c r="H47" i="5113"/>
  <c r="H51" i="5113"/>
  <c r="C19" i="5113"/>
  <c r="H15" i="5113"/>
  <c r="H26" i="5113"/>
  <c r="H36" i="5113"/>
  <c r="H40" i="5113"/>
  <c r="H44" i="5113"/>
  <c r="H48" i="5113"/>
  <c r="H18" i="5113"/>
  <c r="H17" i="5113"/>
  <c r="H14" i="5113"/>
  <c r="H24" i="5113"/>
  <c r="H13" i="5113"/>
  <c r="H11" i="5113"/>
  <c r="H27" i="5113"/>
  <c r="H37" i="5113"/>
  <c r="H41" i="5113"/>
  <c r="H45" i="5113"/>
  <c r="H49" i="5113"/>
  <c r="C17" i="5111"/>
  <c r="H20" i="5111"/>
  <c r="H11" i="5111"/>
  <c r="H3" i="5111"/>
  <c r="H6" i="5111"/>
  <c r="H2" i="5111"/>
  <c r="H8" i="5111"/>
  <c r="H29" i="5111"/>
  <c r="H17" i="5111"/>
  <c r="C18" i="5111"/>
  <c r="B23" i="5111"/>
  <c r="H23" i="5111"/>
  <c r="H24" i="5111"/>
  <c r="H35" i="5111"/>
  <c r="H38" i="5111"/>
  <c r="H42" i="5111"/>
  <c r="H46" i="5111"/>
  <c r="H50" i="5111"/>
  <c r="H30" i="5111"/>
  <c r="H31" i="5111"/>
  <c r="H33" i="5111"/>
  <c r="H34" i="5111"/>
  <c r="H19" i="5111"/>
  <c r="H27" i="5111"/>
  <c r="H39" i="5111"/>
  <c r="H43" i="5111"/>
  <c r="H47" i="5111"/>
  <c r="H51" i="5111"/>
  <c r="H21" i="5111"/>
  <c r="H22" i="5111"/>
  <c r="C19" i="5111"/>
  <c r="H14" i="5111"/>
  <c r="H25" i="5111"/>
  <c r="H36" i="5111"/>
  <c r="H40" i="5111"/>
  <c r="H44" i="5111"/>
  <c r="H48" i="5111"/>
  <c r="H16" i="5111"/>
  <c r="H10" i="5111"/>
  <c r="H7" i="5111"/>
  <c r="H13" i="5111"/>
  <c r="H28" i="5111"/>
  <c r="H18" i="5111"/>
  <c r="H15" i="5111"/>
  <c r="H32" i="5111"/>
  <c r="H12" i="5111"/>
  <c r="H9" i="5111"/>
  <c r="H26" i="5111"/>
  <c r="H37" i="5111"/>
  <c r="H41" i="5111"/>
  <c r="H45" i="5111"/>
  <c r="H49" i="5111"/>
  <c r="H2" i="5109"/>
  <c r="H4" i="5109"/>
  <c r="H11" i="5109"/>
  <c r="H3" i="5109"/>
  <c r="C19" i="5109"/>
  <c r="H29" i="5109"/>
  <c r="H37" i="5109"/>
  <c r="H45" i="5109"/>
  <c r="C17" i="5109"/>
  <c r="H15" i="5109"/>
  <c r="H23" i="5109"/>
  <c r="H48" i="5109"/>
  <c r="H24" i="5109"/>
  <c r="H19" i="5109"/>
  <c r="H13" i="5109"/>
  <c r="H26" i="5109"/>
  <c r="H41" i="5109"/>
  <c r="H49" i="5109"/>
  <c r="H10" i="5109"/>
  <c r="H5" i="5109"/>
  <c r="H8" i="5109"/>
  <c r="H21" i="5109"/>
  <c r="H25" i="5109"/>
  <c r="H40" i="5109"/>
  <c r="H9" i="5109"/>
  <c r="H6" i="5109"/>
  <c r="H12" i="5109"/>
  <c r="H7" i="5109"/>
  <c r="H20" i="5109"/>
  <c r="H32" i="5109"/>
  <c r="H16" i="5109"/>
  <c r="C18" i="5109"/>
  <c r="H14" i="5109"/>
  <c r="H36" i="5109"/>
  <c r="H44" i="5109"/>
  <c r="H18" i="5109"/>
  <c r="B23" i="5109"/>
  <c r="H22" i="5109"/>
  <c r="H31" i="5109"/>
  <c r="H35" i="5109"/>
  <c r="H38" i="5109"/>
  <c r="H42" i="5109"/>
  <c r="H46" i="5109"/>
  <c r="H50" i="5109"/>
  <c r="H33" i="5109"/>
  <c r="H34" i="5109"/>
  <c r="H30" i="5109"/>
  <c r="H27" i="5109"/>
  <c r="H17" i="5109"/>
  <c r="H28" i="5109"/>
  <c r="H39" i="5109"/>
  <c r="H43" i="5109"/>
  <c r="H47" i="5109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51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<sst xmlns="http://schemas.openxmlformats.org/spreadsheetml/2006/main" count="3168" uniqueCount="227">
  <si>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</si>
  <si>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</si>
  <si>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</si>
  <si>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</si>
  <si>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</si>
  <si>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</si>
  <si>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</si>
  <si>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</si>
  <si>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</si>
  <si>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</si>
  <si>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</si>
  <si>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</si>
  <si>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</si>
  <si>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</si>
  <si>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</si>
  <si>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</si>
  <si>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</si>
  <si>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</si>
  <si>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</si>
  <si>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</si>
  <si>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</si>
  <si>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</si>
  <si>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</si>
  <si>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</si>
  <si>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</si>
  <si>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</si>
  <si>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</si>
  <si>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</si>
  <si>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</si>
  <si>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</si>
  <si>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</si>
  <si>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</si>
  <si>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</si>
  <si>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</si>
  <si>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</si>
  <si>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</si>
  <si>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</si>
  <si>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</si>
  <si>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</si>
  <si>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</si>
  <si>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</si>
  <si>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</si>
  <si>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</si>
  <si>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</si>
  <si>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</si>
  <si>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</si>
  <si>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</si>
  <si>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</si>
  <si>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</si>
  <si>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</si>
  <si>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</si>
  <si>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</si>
  <si>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</si>
  <si>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</si>
  <si>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</si>
  <si>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</si>
  <si>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</si>
  <si>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</si>
  <si>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</si>
  <si>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</si>
  <si>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</si>
  <si>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</si>
  <si>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</si>
  <si>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</si>
  <si>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</si>
  <si>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</si>
  <si>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</si>
  <si>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</si>
  <si>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</si>
  <si>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</si>
  <si>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</si>
  <si>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</si>
  <si>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</si>
  <si>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</si>
  <si>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</si>
  <si>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</si>
  <si>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</si>
  <si>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</si>
  <si>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</si>
  <si>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</si>
  <si>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</si>
  <si>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</si>
  <si>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</si>
  <si>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</si>
  <si>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</si>
  <si>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</si>
  <si>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</si>
  <si>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</si>
  <si>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</si>
  <si>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</si>
  <si>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</si>
  <si>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</si>
  <si>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</si>
  <si>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</si>
  <si>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</si>
  <si>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</si>
  <si>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</si>
  <si>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</si>
  <si>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</si>
  <si>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</si>
  <si>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</si>
  <si>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</si>
  <si>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</si>
  <si>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</si>
  <si>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</si>
  <si>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</si>
  <si>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</si>
  <si>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</si>
  <si>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</si>
  <si>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</si>
  <si>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</si>
  <si>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</si>
  <si>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</si>
  <si>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</si>
  <si>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</si>
  <si>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</si>
  <si>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</si>
  <si>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</si>
  <si>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</si>
  <si>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</si>
  <si>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</si>
  <si>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</si>
  <si>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</si>
  <si>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</si>
  <si>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</si>
  <si>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</si>
  <si>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</si>
  <si>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</si>
  <si>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</si>
  <si>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</si>
  <si>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</si>
  <si>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</si>
  <si>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</si>
  <si>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</si>
  <si>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</si>
  <si>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</si>
  <si>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</si>
  <si>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</si>
  <si>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</si>
  <si>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</si>
  <si>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</si>
  <si>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</si>
  <si>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</si>
  <si>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</si>
  <si>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</si>
  <si>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</si>
  <si>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</si>
  <si>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</si>
  <si>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</si>
  <si>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</si>
  <si>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</si>
  <si>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</si>
  <si>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</si>
  <si>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</si>
  <si>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</si>
  <si>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</si>
  <si>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</si>
  <si>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</si>
  <si>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</si>
  <si>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</si>
  <si>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</si>
  <si>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</si>
  <si>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</si>
  <si>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</si>
  <si>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</si>
  <si>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</si>
  <si>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</si>
  <si>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</si>
  <si>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</si>
  <si>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</si>
  <si>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</si>
  <si>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</si>
  <si>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</si>
  <si>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</si>
  <si>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</si>
  <si>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</si>
  <si>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</si>
  <si>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</si>
  <si>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</si>
  <si>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</si>
  <si>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</si>
  <si>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52</t>
    <phoneticPr fontId="1"/>
  </si>
  <si>
    <t>赤ドラ</t>
    <rPh sb="0" eb="1">
      <t>アカ</t>
    </rPh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</si>
  <si>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</si>
  <si>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</si>
  <si>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</si>
  <si>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</si>
  <si>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</si>
  <si>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</si>
  <si>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</si>
  <si>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</si>
  <si>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</si>
  <si>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</si>
  <si>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</si>
  <si>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</si>
  <si>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</si>
  <si>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</si>
  <si>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</si>
  <si>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</si>
  <si>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</si>
  <si>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</si>
  <si>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</si>
  <si>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</si>
  <si>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</si>
  <si>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</si>
  <si>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</si>
  <si>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</si>
  <si>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</si>
  <si>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</si>
  <si>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</si>
  <si>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</si>
  <si>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</si>
  <si>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</si>
  <si>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</si>
  <si>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</si>
  <si>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</si>
  <si>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</si>
  <si>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</si>
  <si>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</si>
  <si>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</si>
  <si>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</si>
  <si>
    <t>2019-05-13.xlsm</t>
  </si>
  <si>
    <t>2019-05-14.xlsm</t>
  </si>
  <si>
    <t>2019-05-15.xlsm</t>
  </si>
  <si>
    <t>かわたつ</t>
  </si>
  <si>
    <t>やがさき</t>
  </si>
  <si>
    <t>2019-05-16.xlsm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</si>
</sst>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0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chartsheet" Target="chartsheets/sheet16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全体!$K$2:$K$428</c:f>
              <c:numCache>
                <c:formatCode>General</c:formatCode>
                <c:ptCount val="4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</c:numCache>
            </c:numRef>
          </c:xVal>
          <c:yVal>
            <c:numRef>
              <c:f>全体!$L$2:$L$428</c:f>
              <c:numCache>
                <c:formatCode>\+0.0;\-0.0;\±0</c:formatCode>
                <c:ptCount val="427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  <c:pt idx="391">
                  <c:v>-29.799999999999951</c:v>
                </c:pt>
                <c:pt idx="392">
                  <c:v>3.200000000000049</c:v>
                </c:pt>
                <c:pt idx="393">
                  <c:v>4.8849813083506888E-14</c:v>
                </c:pt>
                <c:pt idx="394">
                  <c:v>-7.299999999999951</c:v>
                </c:pt>
                <c:pt idx="395">
                  <c:v>58.200000000000045</c:v>
                </c:pt>
                <c:pt idx="396">
                  <c:v>4.2632564145606011E-14</c:v>
                </c:pt>
                <c:pt idx="397">
                  <c:v>-35.999999999999957</c:v>
                </c:pt>
                <c:pt idx="398">
                  <c:v>-34.399999999999956</c:v>
                </c:pt>
                <c:pt idx="399">
                  <c:v>4.2632564145606011E-14</c:v>
                </c:pt>
                <c:pt idx="400">
                  <c:v>-59.19999999999996</c:v>
                </c:pt>
                <c:pt idx="401">
                  <c:v>-59.899999999999963</c:v>
                </c:pt>
                <c:pt idx="402">
                  <c:v>3.5527136788005009E-14</c:v>
                </c:pt>
                <c:pt idx="403">
                  <c:v>35.400000000000034</c:v>
                </c:pt>
                <c:pt idx="404">
                  <c:v>46.100000000000037</c:v>
                </c:pt>
                <c:pt idx="405">
                  <c:v>3.5527136788005009E-14</c:v>
                </c:pt>
                <c:pt idx="406">
                  <c:v>42.900000000000034</c:v>
                </c:pt>
                <c:pt idx="407">
                  <c:v>-13.299999999999969</c:v>
                </c:pt>
                <c:pt idx="408">
                  <c:v>3.1974423109204508E-14</c:v>
                </c:pt>
                <c:pt idx="409">
                  <c:v>-36.999999999999972</c:v>
                </c:pt>
                <c:pt idx="410">
                  <c:v>-43.699999999999974</c:v>
                </c:pt>
                <c:pt idx="411">
                  <c:v>2.8421709430404007E-14</c:v>
                </c:pt>
                <c:pt idx="412">
                  <c:v>-57.499999999999972</c:v>
                </c:pt>
                <c:pt idx="413">
                  <c:v>5.2000000000000313</c:v>
                </c:pt>
                <c:pt idx="414">
                  <c:v>3.1086244689504383E-14</c:v>
                </c:pt>
                <c:pt idx="415">
                  <c:v>-43.89999999999997</c:v>
                </c:pt>
                <c:pt idx="416">
                  <c:v>-35.099999999999966</c:v>
                </c:pt>
                <c:pt idx="417">
                  <c:v>3.5527136788005009E-14</c:v>
                </c:pt>
                <c:pt idx="418">
                  <c:v>-34.299999999999962</c:v>
                </c:pt>
                <c:pt idx="419">
                  <c:v>-7.0999999999999623</c:v>
                </c:pt>
                <c:pt idx="420">
                  <c:v>3.730349362740526E-14</c:v>
                </c:pt>
                <c:pt idx="421">
                  <c:v>3.730349362740526E-14</c:v>
                </c:pt>
                <c:pt idx="422">
                  <c:v>3.730349362740526E-14</c:v>
                </c:pt>
                <c:pt idx="423">
                  <c:v>3.730349362740526E-14</c:v>
                </c:pt>
                <c:pt idx="424">
                  <c:v>30.600000000000037</c:v>
                </c:pt>
                <c:pt idx="425">
                  <c:v>33.600000000000037</c:v>
                </c:pt>
                <c:pt idx="426">
                  <c:v>3.5527136788005009E-14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42-4FFC-AD61-127270ACD4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-14.184397163120567</c:v>
                </c:pt>
                <c:pt idx="1">
                  <c:v>-9.5238095238095237</c:v>
                </c:pt>
                <c:pt idx="2">
                  <c:v>10.025062656641603</c:v>
                </c:pt>
                <c:pt idx="3">
                  <c:v>13.774104683195592</c:v>
                </c:pt>
                <c:pt idx="4">
                  <c:v>-15.015015015015015</c:v>
                </c:pt>
                <c:pt idx="5">
                  <c:v>19.607843137254903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DC-4754-AB02-2025819E5F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だいち!$K$2:$K$98</c:f>
              <c:numCache>
                <c:formatCode>General</c:formatCode>
                <c:ptCount val="9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</c:numCache>
            </c:numRef>
          </c:xVal>
          <c:yVal>
            <c:numRef>
              <c:f>だいち!$L$2:$L$98</c:f>
              <c:numCache>
                <c:formatCode>\+0.0;\-0.0;\±0</c:formatCode>
                <c:ptCount val="97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  <c:pt idx="89">
                  <c:v>1656.900000000001</c:v>
                </c:pt>
                <c:pt idx="90">
                  <c:v>1620.900000000001</c:v>
                </c:pt>
                <c:pt idx="91">
                  <c:v>1680.8000000000011</c:v>
                </c:pt>
                <c:pt idx="92">
                  <c:v>1634.7000000000012</c:v>
                </c:pt>
                <c:pt idx="93">
                  <c:v>1677.6000000000013</c:v>
                </c:pt>
                <c:pt idx="94">
                  <c:v>1672.4000000000012</c:v>
                </c:pt>
                <c:pt idx="95">
                  <c:v>1681.2000000000012</c:v>
                </c:pt>
                <c:pt idx="96">
                  <c:v>1684.2000000000012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7B-4327-881A-49A792707B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2561.4583333333335</c:v>
                </c:pt>
                <c:pt idx="1">
                  <c:v>2542.1052631578946</c:v>
                </c:pt>
                <c:pt idx="2">
                  <c:v>2687.9120879120878</c:v>
                </c:pt>
                <c:pt idx="3">
                  <c:v>2626.5060240963853</c:v>
                </c:pt>
                <c:pt idx="4">
                  <c:v>-14.864864864864865</c:v>
                </c:pt>
                <c:pt idx="5">
                  <c:v>750.74626865671644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06-4969-9682-ADE7774B6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りくと!$K$2:$K$104</c:f>
              <c:numCache>
                <c:formatCode>General</c:formatCode>
                <c:ptCount val="10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</c:numCache>
            </c:numRef>
          </c:xVal>
          <c:yVal>
            <c:numRef>
              <c:f>りくと!$L$2:$L$104</c:f>
              <c:numCache>
                <c:formatCode>\+0.0;\-0.0;\±0</c:formatCode>
                <c:ptCount val="103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  <c:pt idx="97">
                  <c:v>-323.70000000000005</c:v>
                </c:pt>
                <c:pt idx="98">
                  <c:v>-382.90000000000003</c:v>
                </c:pt>
                <c:pt idx="99">
                  <c:v>-347.50000000000006</c:v>
                </c:pt>
                <c:pt idx="100">
                  <c:v>-405.00000000000006</c:v>
                </c:pt>
                <c:pt idx="101">
                  <c:v>-377.80000000000007</c:v>
                </c:pt>
                <c:pt idx="102">
                  <c:v>-377.80000000000007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03-4AB8-A45A-129933BFD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631.68316831683171</c:v>
                </c:pt>
                <c:pt idx="1">
                  <c:v>-2578</c:v>
                </c:pt>
                <c:pt idx="2">
                  <c:v>-909.2783505154639</c:v>
                </c:pt>
                <c:pt idx="3">
                  <c:v>622.9885057471264</c:v>
                </c:pt>
                <c:pt idx="4">
                  <c:v>93.670886075949369</c:v>
                </c:pt>
                <c:pt idx="5">
                  <c:v>308.10810810810813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48-4A48-B9FC-6A329AA7E0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ただ!$K$2:$K$44</c:f>
              <c:numCache>
                <c:formatCode>General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ただ!$L$2:$L$44</c:f>
              <c:numCache>
                <c:formatCode>\+0.0;\-0.0;\±0</c:formatCode>
                <c:ptCount val="43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  <c:pt idx="40">
                  <c:v>-820.5999999999998</c:v>
                </c:pt>
                <c:pt idx="41">
                  <c:v>-820.5999999999998</c:v>
                </c:pt>
                <c:pt idx="42">
                  <c:v>-789.99999999999977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57-47D2-820B-82AD0B8D88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-2982.9268292682927</c:v>
                </c:pt>
                <c:pt idx="1">
                  <c:v>-2697.560975609756</c:v>
                </c:pt>
                <c:pt idx="2">
                  <c:v>-871.0526315789474</c:v>
                </c:pt>
                <c:pt idx="3">
                  <c:v>-5281.818181818182</c:v>
                </c:pt>
                <c:pt idx="4">
                  <c:v>-530</c:v>
                </c:pt>
                <c:pt idx="5">
                  <c:v>-1960.7142857142858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14-4EA0-BAEA-64CE0D071F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れんたろう!$K$2:$K$54</c:f>
              <c:numCache>
                <c:formatCode>General</c:formatCode>
                <c:ptCount val="5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</c:numCache>
            </c:numRef>
          </c:xVal>
          <c:yVal>
            <c:numRef>
              <c:f>れんたろう!$L$2:$L$54</c:f>
              <c:numCache>
                <c:formatCode>\+0.0;\-0.0;\±0</c:formatCode>
                <c:ptCount val="53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7C-4167-9F05-083B20AC0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-365.38461538461536</c:v>
                </c:pt>
                <c:pt idx="1">
                  <c:v>1051.9230769230769</c:v>
                </c:pt>
                <c:pt idx="2">
                  <c:v>-70</c:v>
                </c:pt>
                <c:pt idx="3">
                  <c:v>2151.1627906976746</c:v>
                </c:pt>
                <c:pt idx="4">
                  <c:v>-1725.6410256410256</c:v>
                </c:pt>
                <c:pt idx="5">
                  <c:v>808.33333333333337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32-4A78-AE9E-C735AD4461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たかの!$K$2:$K$55</c:f>
              <c:numCache>
                <c:formatCode>General</c:formatCode>
                <c:ptCount val="5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</c:numCache>
            </c:numRef>
          </c:xVal>
          <c:yVal>
            <c:numRef>
              <c:f>たかの!$L$2:$L$55</c:f>
              <c:numCache>
                <c:formatCode>\+0.0;\-0.0;\±0</c:formatCode>
                <c:ptCount val="54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  <c:pt idx="51">
                  <c:v>113.39999999999999</c:v>
                </c:pt>
                <c:pt idx="52">
                  <c:v>113.39999999999999</c:v>
                </c:pt>
                <c:pt idx="53">
                  <c:v>79.799999999999983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22-43DA-B366-90833E9DA7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392.30769230769232</c:v>
                </c:pt>
                <c:pt idx="1">
                  <c:v>288.46153846153845</c:v>
                </c:pt>
                <c:pt idx="2">
                  <c:v>-195.74468085106383</c:v>
                </c:pt>
                <c:pt idx="3">
                  <c:v>404.54545454545456</c:v>
                </c:pt>
                <c:pt idx="4">
                  <c:v>1320.9302325581396</c:v>
                </c:pt>
                <c:pt idx="5">
                  <c:v>-923.68421052631584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28-4B4E-BE53-4E1172CAF2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ぱぱ!$K$2:$K$39</c:f>
              <c:numCache>
                <c:formatCode>General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ぱぱ!$L$2:$L$39</c:f>
              <c:numCache>
                <c:formatCode>\+0.0;\-0.0;\±0</c:formatCode>
                <c:ptCount val="38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1E-4671-AE94-09E2CB914A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-2621.6216216216217</c:v>
                </c:pt>
                <c:pt idx="1">
                  <c:v>1764.8648648648648</c:v>
                </c:pt>
                <c:pt idx="2">
                  <c:v>-920</c:v>
                </c:pt>
                <c:pt idx="3">
                  <c:v>-4321.212121212121</c:v>
                </c:pt>
                <c:pt idx="4">
                  <c:v>323.33333333333331</c:v>
                </c:pt>
                <c:pt idx="5">
                  <c:v>772.41379310344826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4B-40D1-959D-42743685A4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まっつん!$L$2:$L$26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3B-426F-8E44-9EFA15216C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-2770.8333333333335</c:v>
                </c:pt>
                <c:pt idx="1">
                  <c:v>-1282.608695652174</c:v>
                </c:pt>
                <c:pt idx="2">
                  <c:v>-1042.8571428571429</c:v>
                </c:pt>
                <c:pt idx="3">
                  <c:v>-404.76190476190476</c:v>
                </c:pt>
                <c:pt idx="4">
                  <c:v>-1100</c:v>
                </c:pt>
                <c:pt idx="5">
                  <c:v>976.47058823529414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5E-4FF0-9A5A-0CFA4330CA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0E-486C-90FC-66E78CDF8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2E-4209-9382-35DA0BADCA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いっしー!$L$2:$L$12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B8-4E3F-8B0E-7DDD98CFA8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-1860</c:v>
                </c:pt>
                <c:pt idx="1">
                  <c:v>-2160</c:v>
                </c:pt>
                <c:pt idx="2">
                  <c:v>-990</c:v>
                </c:pt>
                <c:pt idx="3">
                  <c:v>-5388.8888888888887</c:v>
                </c:pt>
                <c:pt idx="4">
                  <c:v>1077.7777777777778</c:v>
                </c:pt>
                <c:pt idx="5">
                  <c:v>-5400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29-43A8-B38E-73C4373419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ほたに!$L$2:$L$7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49-46A3-A4CC-5090E6849A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-5040</c:v>
                </c:pt>
                <c:pt idx="1">
                  <c:v>5560</c:v>
                </c:pt>
                <c:pt idx="2">
                  <c:v>-3320</c:v>
                </c:pt>
                <c:pt idx="3">
                  <c:v>-3500</c:v>
                </c:pt>
                <c:pt idx="4">
                  <c:v>4325</c:v>
                </c:pt>
                <c:pt idx="5">
                  <c:v>-475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3F-4336-8F99-46A4AEDB25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9B-46CC-B82F-1C6D9123A6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18-427E-9789-69856B5CAE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64-4661-8B04-C715E30E43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2000</c:v>
                </c:pt>
                <c:pt idx="1">
                  <c:v>-8000</c:v>
                </c:pt>
                <c:pt idx="2">
                  <c:v>-9000</c:v>
                </c:pt>
                <c:pt idx="3">
                  <c:v>-2000</c:v>
                </c:pt>
                <c:pt idx="4">
                  <c:v>-16000</c:v>
                </c:pt>
                <c:pt idx="5">
                  <c:v>16000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64-44F2-83A2-D81B8D5E21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やがさき2!$B$1:$B$2</c:f>
              <c:strCache>
                <c:ptCount val="2"/>
                <c:pt idx="0">
                  <c:v>やがさき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やがさき2!$B$3:$B$4</c:f>
              <c:numCache>
                <c:formatCode>\+0.0;\-0.0;\±0</c:formatCode>
                <c:ptCount val="2"/>
                <c:pt idx="0">
                  <c:v>0</c:v>
                </c:pt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3.5527136788005009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やがさき2!$C$1:$C$2</c:f>
              <c:strCache>
                <c:ptCount val="2"/>
                <c:pt idx="0">
                  <c:v>やがさき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やがさき2!$C$3:$C$4</c:f>
              <c:numCache>
                <c:formatCode>\+0.0;\-0.0;\±0</c:formatCode>
                <c:ptCount val="2"/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.3397034713626778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やがさき2!$D$1:$D$2</c:f>
              <c:strCache>
                <c:ptCount val="2"/>
                <c:pt idx="0">
                  <c:v>やがさき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やがさき2!$D$3:$D$4</c:f>
              <c:numCache>
                <c:formatCode>0.00\ "位"</c:formatCode>
                <c:ptCount val="2"/>
                <c:pt idx="1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992957746478873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やがさき2!$E$1:$E$2</c:f>
              <c:strCache>
                <c:ptCount val="2"/>
                <c:pt idx="0">
                  <c:v>やがさき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やがさき2!$E$3:$E$4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8028169014084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やがさき2!$F$1:$F$2</c:f>
              <c:strCache>
                <c:ptCount val="2"/>
                <c:pt idx="0">
                  <c:v>やがさき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やがさき2!$F$3:$F$4</c:f>
              <c:numCache>
                <c:formatCode>0.0%</c:formatCode>
                <c:ptCount val="2"/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09859154929577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やがさき2!$G$1:$G$2</c:f>
              <c:strCache>
                <c:ptCount val="2"/>
                <c:pt idx="0">
                  <c:v>やがさき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やがさき2!$G$3:$G$4</c:f>
              <c:numCache>
                <c:formatCode>0.0%</c:formatCode>
                <c:ptCount val="2"/>
                <c:pt idx="1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012658227848101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やがさき2!$H$1:$H$2</c:f>
              <c:strCache>
                <c:ptCount val="2"/>
                <c:pt idx="0">
                  <c:v>やがさき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やがさき2!$H$3:$H$4</c:f>
              <c:numCache>
                <c:formatCode>0.0%</c:formatCode>
                <c:ptCount val="2"/>
                <c:pt idx="1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70886075949367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やがさき2!$I$1:$I$2</c:f>
              <c:strCache>
                <c:ptCount val="2"/>
                <c:pt idx="0">
                  <c:v>やがさき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やがさき2!$I$3:$I$4</c:f>
              <c:numCache>
                <c:formatCode>0</c:formatCode>
                <c:ptCount val="2"/>
                <c:pt idx="1">
                  <c:v>8666.6666666666661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397.478991596639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やがさき2!$J$1:$J$2</c:f>
              <c:strCache>
                <c:ptCount val="2"/>
                <c:pt idx="0">
                  <c:v>やがさき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やがさき2!$J$3:$J$4</c:f>
              <c:numCache>
                <c:formatCode>0</c:formatCode>
                <c:ptCount val="2"/>
                <c:pt idx="1">
                  <c:v>-14000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025.420875420875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やがさき2!$K$1:$K$2</c:f>
              <c:strCache>
                <c:ptCount val="2"/>
                <c:pt idx="0">
                  <c:v>やがさき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やがさき2!$K$3:$K$4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09389671361502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やがさき2!$L$1:$L$2</c:f>
              <c:strCache>
                <c:ptCount val="2"/>
                <c:pt idx="0">
                  <c:v>やがさき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やがさき2!$L$3:$L$4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09389671361502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やがさき2!$M$1:$M$2</c:f>
              <c:strCache>
                <c:ptCount val="2"/>
                <c:pt idx="0">
                  <c:v>やがさき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やがさき2!$M$3:$M$4</c:f>
              <c:numCache>
                <c:formatCode>0.0%</c:formatCode>
                <c:ptCount val="2"/>
                <c:pt idx="1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689170182841069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やがさき2!$N$1:$N$2</c:f>
              <c:strCache>
                <c:ptCount val="2"/>
                <c:pt idx="0">
                  <c:v>やがさき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やがさき2!$N$3:$N$4</c:f>
              <c:numCache>
                <c:formatCode>0.0%</c:formatCode>
                <c:ptCount val="2"/>
                <c:pt idx="1">
                  <c:v>0.125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49085794655414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やがさき2!$O$1:$O$2</c:f>
              <c:strCache>
                <c:ptCount val="2"/>
                <c:pt idx="0">
                  <c:v>やがさき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やがさき2!$O$3:$O$4</c:f>
              <c:numCache>
                <c:formatCode>0.0%</c:formatCode>
                <c:ptCount val="2"/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920502092050209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やがさき2!$P$1:$P$2</c:f>
              <c:strCache>
                <c:ptCount val="2"/>
                <c:pt idx="0">
                  <c:v>やがさき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やがさき2!$P$3:$P$4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848167539267015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やがさき2!$Q$1:$Q$2</c:f>
              <c:strCache>
                <c:ptCount val="2"/>
                <c:pt idx="0">
                  <c:v>やがさき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やがさき2!$Q$3:$Q$4</c:f>
              <c:numCache>
                <c:formatCode>0.0%</c:formatCode>
                <c:ptCount val="2"/>
                <c:pt idx="1">
                  <c:v>0.66666666666666663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7908496732026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4"/>
      <c r="C1" s="145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46">
        <v>0</v>
      </c>
      <c r="C2" s="147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48">
        <v>0</v>
      </c>
      <c r="C3" s="149"/>
      <c r="E3" s="63" t="s">
        <v>66</v>
      </c>
      <c r="F3" s="28" t="s">
        <v>22</v>
      </c>
      <c r="G3" s="15">
        <v>0</v>
      </c>
      <c r="H3" s="133">
        <f t="shared" ref="H3:H51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0">
        <v>0</v>
      </c>
      <c r="C4" s="151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2">
        <f>IF(B$2=0,0,B$4/B$2)</f>
        <v>0</v>
      </c>
      <c r="C5" s="153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2">
        <f>IF(B$2=0,0,(B$7*1+B$8*2+B$9*3)/B$2)</f>
        <v>0</v>
      </c>
      <c r="C6" s="143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193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194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0">
        <v>0</v>
      </c>
      <c r="C25" s="141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38">
        <v>0</v>
      </c>
      <c r="C26" s="139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183</v>
      </c>
      <c r="G50" s="47">
        <v>0</v>
      </c>
      <c r="H50" s="133">
        <f t="shared" si="1"/>
        <v>0</v>
      </c>
      <c r="I50" s="94"/>
    </row>
    <row r="51" spans="5:9" x14ac:dyDescent="0.4">
      <c r="E51" s="64" t="s">
        <v>181</v>
      </c>
      <c r="F51" s="61" t="s">
        <v>182</v>
      </c>
      <c r="G51" s="49">
        <v>0</v>
      </c>
      <c r="H51" s="134">
        <f t="shared" si="1"/>
        <v>0</v>
      </c>
      <c r="I51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J39"/>
  <sheetViews>
    <sheetView workbookViewId="0"/>
  </sheetViews>
  <sheetFormatPr defaultColWidth="9" defaultRowHeight="18.75" x14ac:dyDescent="0.4"/>
  <cols>
    <col min="1" max="1" width="16.375" style="30" bestFit="1" customWidth="1"/>
    <col min="2" max="2" width="16.875" style="31" bestFit="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43555.865254629629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43557.861898148149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43559.023657407408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43560.077013888891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43561.108240740738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184</v>
      </c>
      <c r="B7" s="31">
        <v>43562.384884259256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187</v>
      </c>
      <c r="I7" s="30" t="s">
        <v>188</v>
      </c>
      <c r="J7" s="30" t="s">
        <v>189</v>
      </c>
    </row>
    <row r="8" spans="1:10" x14ac:dyDescent="0.4">
      <c r="A8" s="30" t="s">
        <v>190</v>
      </c>
      <c r="B8" s="31">
        <v>43566.499976851854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187</v>
      </c>
      <c r="I8" s="30" t="s">
        <v>188</v>
      </c>
    </row>
    <row r="9" spans="1:10" x14ac:dyDescent="0.4">
      <c r="A9" s="30" t="s">
        <v>191</v>
      </c>
      <c r="B9" s="31">
        <v>43564.018379629626</v>
      </c>
      <c r="C9" s="30" t="s">
        <v>130</v>
      </c>
      <c r="D9" s="30" t="s">
        <v>131</v>
      </c>
    </row>
    <row r="10" spans="1:10" x14ac:dyDescent="0.4">
      <c r="A10" s="30" t="s">
        <v>192</v>
      </c>
      <c r="B10" s="31">
        <v>43565.032939814817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195</v>
      </c>
      <c r="B11" s="31">
        <v>43566.030486111114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196</v>
      </c>
      <c r="B12" s="31">
        <v>43567.091643518521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197</v>
      </c>
      <c r="B13" s="31">
        <v>43568.067824074074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198</v>
      </c>
      <c r="B14" s="31">
        <v>43569.100624999999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199</v>
      </c>
      <c r="B15" s="31">
        <v>43570.006157407406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187</v>
      </c>
    </row>
    <row r="16" spans="1:10" x14ac:dyDescent="0.4">
      <c r="A16" s="30" t="s">
        <v>200</v>
      </c>
      <c r="B16" s="31">
        <v>43571.043124999997</v>
      </c>
      <c r="C16" s="30" t="s">
        <v>130</v>
      </c>
      <c r="D16" s="30" t="s">
        <v>131</v>
      </c>
    </row>
    <row r="17" spans="1:10" x14ac:dyDescent="0.4">
      <c r="A17" s="30" t="s">
        <v>201</v>
      </c>
      <c r="B17" s="31">
        <v>43573.057615740741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203</v>
      </c>
      <c r="B18" s="31">
        <v>43574.063958333332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204</v>
      </c>
      <c r="B19" s="31">
        <v>43575.082037037035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205</v>
      </c>
      <c r="B20" s="31">
        <v>43576.051666666666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187</v>
      </c>
    </row>
    <row r="21" spans="1:10" x14ac:dyDescent="0.4">
      <c r="A21" s="30" t="s">
        <v>206</v>
      </c>
      <c r="B21" s="31">
        <v>43577.022314814814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187</v>
      </c>
      <c r="I21" s="30" t="s">
        <v>188</v>
      </c>
      <c r="J21" s="30" t="s">
        <v>189</v>
      </c>
    </row>
    <row r="22" spans="1:10" x14ac:dyDescent="0.4">
      <c r="A22" s="30" t="s">
        <v>207</v>
      </c>
      <c r="B22" s="31">
        <v>43579.04247685185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208</v>
      </c>
      <c r="B23" s="31">
        <v>43580.060046296298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209</v>
      </c>
      <c r="B24" s="31">
        <v>43581.023773148147</v>
      </c>
      <c r="C24" s="30" t="s">
        <v>130</v>
      </c>
      <c r="D24" s="30" t="s">
        <v>131</v>
      </c>
    </row>
    <row r="25" spans="1:10" x14ac:dyDescent="0.4">
      <c r="A25" s="30" t="s">
        <v>210</v>
      </c>
      <c r="B25" s="31">
        <v>43582.061388888891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211</v>
      </c>
      <c r="B26" s="31">
        <v>43582.906527777777</v>
      </c>
      <c r="C26" s="30" t="s">
        <v>130</v>
      </c>
      <c r="D26" s="30" t="s">
        <v>131</v>
      </c>
    </row>
    <row r="27" spans="1:10" x14ac:dyDescent="0.4">
      <c r="A27" s="30" t="s">
        <v>212</v>
      </c>
      <c r="B27" s="31">
        <v>43590.780717592592</v>
      </c>
      <c r="C27" s="30" t="s">
        <v>130</v>
      </c>
      <c r="D27" s="30" t="s">
        <v>131</v>
      </c>
    </row>
    <row r="28" spans="1:10" x14ac:dyDescent="0.4">
      <c r="A28" s="30" t="s">
        <v>213</v>
      </c>
      <c r="B28" s="31">
        <v>43595.016759259262</v>
      </c>
      <c r="C28" s="30" t="s">
        <v>130</v>
      </c>
      <c r="D28" s="30" t="s">
        <v>131</v>
      </c>
      <c r="E28" s="30" t="s">
        <v>169</v>
      </c>
      <c r="F28" s="30" t="s">
        <v>174</v>
      </c>
    </row>
    <row r="29" spans="1:10" x14ac:dyDescent="0.4">
      <c r="A29" s="30" t="s">
        <v>214</v>
      </c>
      <c r="B29" s="31">
        <v>43592.020578703705</v>
      </c>
      <c r="C29" s="30" t="s">
        <v>130</v>
      </c>
      <c r="D29" s="30" t="s">
        <v>131</v>
      </c>
    </row>
    <row r="30" spans="1:10" x14ac:dyDescent="0.4">
      <c r="A30" s="30" t="s">
        <v>215</v>
      </c>
      <c r="B30" s="31">
        <v>43593.086967592593</v>
      </c>
      <c r="C30" s="30" t="s">
        <v>130</v>
      </c>
      <c r="D30" s="30" t="s">
        <v>131</v>
      </c>
      <c r="E30" s="30" t="s">
        <v>169</v>
      </c>
    </row>
    <row r="31" spans="1:10" x14ac:dyDescent="0.4">
      <c r="A31" s="30" t="s">
        <v>216</v>
      </c>
      <c r="B31" s="31">
        <v>43593.980185185188</v>
      </c>
      <c r="C31" s="30" t="s">
        <v>130</v>
      </c>
      <c r="D31" s="30" t="s">
        <v>131</v>
      </c>
      <c r="E31" s="30" t="s">
        <v>169</v>
      </c>
      <c r="F31" s="30" t="s">
        <v>174</v>
      </c>
    </row>
    <row r="32" spans="1:10" x14ac:dyDescent="0.4">
      <c r="A32" s="30" t="s">
        <v>217</v>
      </c>
      <c r="B32" s="31">
        <v>43595.036134259259</v>
      </c>
      <c r="C32" s="30" t="s">
        <v>130</v>
      </c>
      <c r="D32" s="30" t="s">
        <v>131</v>
      </c>
    </row>
    <row r="33" spans="1:6" x14ac:dyDescent="0.4">
      <c r="A33" s="30" t="s">
        <v>218</v>
      </c>
      <c r="B33" s="31">
        <v>43596.111018518517</v>
      </c>
      <c r="C33" s="30" t="s">
        <v>130</v>
      </c>
      <c r="D33" s="30" t="s">
        <v>131</v>
      </c>
      <c r="E33" s="30" t="s">
        <v>169</v>
      </c>
    </row>
    <row r="34" spans="1:6" x14ac:dyDescent="0.4">
      <c r="A34" s="30" t="s">
        <v>219</v>
      </c>
      <c r="B34" s="31">
        <v>43597.633935185186</v>
      </c>
      <c r="C34" s="30" t="s">
        <v>130</v>
      </c>
      <c r="D34" s="30" t="s">
        <v>131</v>
      </c>
      <c r="E34" s="30" t="s">
        <v>169</v>
      </c>
    </row>
    <row r="35" spans="1:6" x14ac:dyDescent="0.4">
      <c r="A35" s="30" t="s">
        <v>220</v>
      </c>
      <c r="B35" s="31">
        <v>43597.749398148146</v>
      </c>
      <c r="C35" s="30" t="s">
        <v>130</v>
      </c>
      <c r="D35" s="30" t="s">
        <v>131</v>
      </c>
      <c r="E35" s="30" t="s">
        <v>169</v>
      </c>
    </row>
    <row r="36" spans="1:6" x14ac:dyDescent="0.4">
      <c r="A36" s="30" t="s">
        <v>221</v>
      </c>
      <c r="B36" s="31">
        <v>43599.035115740742</v>
      </c>
      <c r="C36" s="30" t="s">
        <v>130</v>
      </c>
      <c r="D36" s="30" t="s">
        <v>131</v>
      </c>
      <c r="E36" s="30" t="s">
        <v>169</v>
      </c>
    </row>
    <row r="37" spans="1:6" x14ac:dyDescent="0.4">
      <c r="A37" s="30" t="s">
        <v>222</v>
      </c>
      <c r="B37" s="31">
        <v>43599.98951388889</v>
      </c>
      <c r="C37" s="30" t="s">
        <v>130</v>
      </c>
      <c r="D37" s="30" t="s">
        <v>131</v>
      </c>
    </row>
    <row r="38" spans="1:6" x14ac:dyDescent="0.4">
      <c r="A38" s="30" t="s">
        <v>223</v>
      </c>
      <c r="B38" s="31">
        <v>43601.497314814813</v>
      </c>
      <c r="C38" s="30" t="s">
        <v>130</v>
      </c>
      <c r="D38" s="30" t="s">
        <v>131</v>
      </c>
      <c r="E38" s="30" t="s">
        <v>169</v>
      </c>
    </row>
    <row r="39" spans="1:6" x14ac:dyDescent="0.4">
      <c r="A39" s="30" t="s">
        <v>226</v>
      </c>
      <c r="B39" s="31">
        <v>43602.086516203701</v>
      </c>
      <c r="C39" s="30" t="s">
        <v>130</v>
      </c>
      <c r="D39" s="30" t="s">
        <v>131</v>
      </c>
      <c r="E39" s="30" t="s">
        <v>169</v>
      </c>
      <c r="F39" s="30" t="s">
        <v>174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3"/>
  <sheetViews>
    <sheetView workbookViewId="0"/>
  </sheetViews>
  <sheetFormatPr defaultRowHeight="18.75" x14ac:dyDescent="0.4"/>
  <sheetData>
    <row r="1" spans="1:1" x14ac:dyDescent="0.4">
      <c r="A1" t="s">
        <v>145</v>
      </c>
    </row>
    <row r="2" spans="1:1" x14ac:dyDescent="0.4">
      <c r="A2" t="s">
        <v>127</v>
      </c>
    </row>
    <row r="3" spans="1:1" x14ac:dyDescent="0.4">
      <c r="A3" t="s">
        <v>128</v>
      </c>
    </row>
    <row r="4" spans="1:1" x14ac:dyDescent="0.4">
      <c r="A4" t="s">
        <v>129</v>
      </c>
    </row>
    <row r="5" spans="1:1" x14ac:dyDescent="0.4">
      <c r="A5" t="s">
        <v>171</v>
      </c>
    </row>
    <row r="6" spans="1:1" x14ac:dyDescent="0.4">
      <c r="A6" t="s">
        <v>172</v>
      </c>
    </row>
    <row r="7" spans="1:1" x14ac:dyDescent="0.4">
      <c r="A7" t="s">
        <v>173</v>
      </c>
    </row>
    <row r="8" spans="1:1" x14ac:dyDescent="0.4">
      <c r="A8" t="s">
        <v>177</v>
      </c>
    </row>
    <row r="9" spans="1:1" x14ac:dyDescent="0.4">
      <c r="A9" t="s">
        <v>185</v>
      </c>
    </row>
    <row r="10" spans="1:1" x14ac:dyDescent="0.4">
      <c r="A10" t="s">
        <v>186</v>
      </c>
    </row>
    <row r="11" spans="1:1" x14ac:dyDescent="0.4">
      <c r="A11" t="s">
        <v>202</v>
      </c>
    </row>
    <row r="12" spans="1:1" x14ac:dyDescent="0.4">
      <c r="A12" t="s">
        <v>224</v>
      </c>
    </row>
    <row r="13" spans="1:1" x14ac:dyDescent="0.4">
      <c r="A13" t="s">
        <v>225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5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54" t="s">
        <v>6</v>
      </c>
      <c r="C1" s="155"/>
      <c r="D1" s="154" t="s">
        <v>7</v>
      </c>
      <c r="E1" s="155"/>
      <c r="F1" s="154" t="s">
        <v>16</v>
      </c>
      <c r="G1" s="155"/>
      <c r="H1" s="154" t="s">
        <v>15</v>
      </c>
      <c r="I1" s="155"/>
      <c r="J1" s="154" t="s">
        <v>162</v>
      </c>
      <c r="K1" s="155"/>
      <c r="L1" s="154" t="s">
        <v>149</v>
      </c>
      <c r="M1" s="155"/>
      <c r="N1" s="154" t="s">
        <v>150</v>
      </c>
      <c r="O1" s="155"/>
      <c r="P1" s="154" t="s">
        <v>5</v>
      </c>
      <c r="Q1" s="155"/>
      <c r="R1" s="154" t="s">
        <v>17</v>
      </c>
      <c r="S1" s="155"/>
      <c r="T1" s="154" t="s">
        <v>18</v>
      </c>
      <c r="U1" s="155"/>
      <c r="V1" s="154" t="s">
        <v>141</v>
      </c>
      <c r="W1" s="155"/>
      <c r="X1" s="154" t="s">
        <v>123</v>
      </c>
      <c r="Y1" s="155"/>
      <c r="Z1" s="154" t="s">
        <v>120</v>
      </c>
      <c r="AA1" s="155"/>
      <c r="AB1" s="154" t="s">
        <v>126</v>
      </c>
      <c r="AC1" s="155"/>
      <c r="AD1" s="154" t="s">
        <v>151</v>
      </c>
      <c r="AE1" s="155"/>
      <c r="AF1" s="154" t="s">
        <v>144</v>
      </c>
      <c r="AG1" s="155"/>
      <c r="AH1" s="154" t="s">
        <v>153</v>
      </c>
      <c r="AI1" s="155"/>
    </row>
    <row r="2" spans="1:35" x14ac:dyDescent="0.4">
      <c r="A2" s="72" t="s">
        <v>161</v>
      </c>
      <c r="B2" s="156"/>
      <c r="C2" s="157"/>
      <c r="D2" s="156"/>
      <c r="E2" s="157"/>
      <c r="F2" s="158">
        <v>0.72701540847910751</v>
      </c>
      <c r="G2" s="159"/>
      <c r="H2" s="158">
        <v>0.63302776986768239</v>
      </c>
      <c r="I2" s="159"/>
      <c r="J2" s="158">
        <v>0.6804841505313679</v>
      </c>
      <c r="K2" s="159"/>
      <c r="L2" s="158">
        <v>0.4878254454141171</v>
      </c>
      <c r="M2" s="159"/>
      <c r="N2" s="158">
        <v>0.55661636297713302</v>
      </c>
      <c r="O2" s="159"/>
      <c r="P2" s="158">
        <v>0.62227883450772448</v>
      </c>
      <c r="Q2" s="159"/>
      <c r="R2" s="158">
        <v>-8.4841613791473945E-3</v>
      </c>
      <c r="S2" s="159"/>
      <c r="T2" s="158">
        <v>0.44098768430186158</v>
      </c>
      <c r="U2" s="159"/>
      <c r="V2" s="158">
        <v>0.72742943257333936</v>
      </c>
      <c r="W2" s="159"/>
      <c r="X2" s="158">
        <v>0.93280948895461102</v>
      </c>
      <c r="Y2" s="159"/>
      <c r="Z2" s="158">
        <v>-8.7085301347753302E-2</v>
      </c>
      <c r="AA2" s="159"/>
      <c r="AB2" s="158">
        <v>0.24377562992759175</v>
      </c>
      <c r="AC2" s="159"/>
      <c r="AD2" s="158">
        <v>5.1927573817432883E-2</v>
      </c>
      <c r="AE2" s="159"/>
      <c r="AF2" s="158">
        <v>-0.41011741193557794</v>
      </c>
      <c r="AG2" s="159"/>
      <c r="AH2" s="158">
        <v>0.83358607618201264</v>
      </c>
      <c r="AI2" s="159"/>
    </row>
    <row r="3" spans="1:35" x14ac:dyDescent="0.4">
      <c r="A3" s="74">
        <v>1</v>
      </c>
      <c r="B3" s="75" t="s">
        <v>127</v>
      </c>
      <c r="C3" s="76">
        <v>1684.2000000000012</v>
      </c>
      <c r="D3" s="77" t="s">
        <v>185</v>
      </c>
      <c r="E3" s="96">
        <v>20.333333333333332</v>
      </c>
      <c r="F3" s="77" t="s">
        <v>185</v>
      </c>
      <c r="G3" s="78">
        <v>1.3333333333333333</v>
      </c>
      <c r="H3" s="77" t="s">
        <v>185</v>
      </c>
      <c r="I3" s="79">
        <v>0.66666666666666663</v>
      </c>
      <c r="J3" s="77" t="s">
        <v>185</v>
      </c>
      <c r="K3" s="79">
        <v>0</v>
      </c>
      <c r="L3" s="77" t="s">
        <v>127</v>
      </c>
      <c r="M3" s="80">
        <v>0.37707006369426754</v>
      </c>
      <c r="N3" s="77" t="s">
        <v>224</v>
      </c>
      <c r="O3" s="80">
        <v>7.6923076923076927E-2</v>
      </c>
      <c r="P3" s="77" t="s">
        <v>224</v>
      </c>
      <c r="Q3" s="81">
        <v>13800</v>
      </c>
      <c r="R3" s="77" t="s">
        <v>185</v>
      </c>
      <c r="S3" s="81">
        <v>-5150</v>
      </c>
      <c r="T3" s="77" t="s">
        <v>185</v>
      </c>
      <c r="U3" s="79">
        <v>0</v>
      </c>
      <c r="V3" s="77" t="s">
        <v>127</v>
      </c>
      <c r="W3" s="79">
        <v>0.1875</v>
      </c>
      <c r="X3" s="77" t="s">
        <v>225</v>
      </c>
      <c r="Y3" s="80">
        <v>0.375</v>
      </c>
      <c r="Z3" s="77" t="s">
        <v>172</v>
      </c>
      <c r="AA3" s="80">
        <v>0.29933481152993346</v>
      </c>
      <c r="AB3" s="77" t="s">
        <v>225</v>
      </c>
      <c r="AC3" s="80">
        <v>1</v>
      </c>
      <c r="AD3" s="77" t="s">
        <v>127</v>
      </c>
      <c r="AE3" s="80">
        <v>0.52747252747252749</v>
      </c>
      <c r="AF3" s="77" t="s">
        <v>225</v>
      </c>
      <c r="AG3" s="80">
        <v>0.66666666666666663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172</v>
      </c>
      <c r="C4" s="84">
        <v>79.799999999999983</v>
      </c>
      <c r="D4" s="85" t="s">
        <v>127</v>
      </c>
      <c r="E4" s="97">
        <v>17.543750000000014</v>
      </c>
      <c r="F4" s="85" t="s">
        <v>127</v>
      </c>
      <c r="G4" s="86">
        <v>1.6458333333333333</v>
      </c>
      <c r="H4" s="85" t="s">
        <v>127</v>
      </c>
      <c r="I4" s="87">
        <v>0.54166666666666663</v>
      </c>
      <c r="J4" s="85" t="s">
        <v>224</v>
      </c>
      <c r="K4" s="87">
        <v>0</v>
      </c>
      <c r="L4" s="85" t="s">
        <v>225</v>
      </c>
      <c r="M4" s="88">
        <v>0.375</v>
      </c>
      <c r="N4" s="85" t="s">
        <v>185</v>
      </c>
      <c r="O4" s="88">
        <v>0.10526315789473684</v>
      </c>
      <c r="P4" s="85" t="s">
        <v>171</v>
      </c>
      <c r="Q4" s="89">
        <v>9616.8141592920347</v>
      </c>
      <c r="R4" s="85" t="s">
        <v>202</v>
      </c>
      <c r="S4" s="89">
        <v>-5420</v>
      </c>
      <c r="T4" s="85" t="s">
        <v>202</v>
      </c>
      <c r="U4" s="87">
        <v>0</v>
      </c>
      <c r="V4" s="85" t="s">
        <v>171</v>
      </c>
      <c r="W4" s="87">
        <v>0.13461538461538461</v>
      </c>
      <c r="X4" s="85" t="s">
        <v>127</v>
      </c>
      <c r="Y4" s="88">
        <v>0.32738853503184712</v>
      </c>
      <c r="Z4" s="85" t="s">
        <v>202</v>
      </c>
      <c r="AA4" s="88">
        <v>0.26</v>
      </c>
      <c r="AB4" s="85" t="s">
        <v>177</v>
      </c>
      <c r="AC4" s="88">
        <v>0.625</v>
      </c>
      <c r="AD4" s="85" t="s">
        <v>185</v>
      </c>
      <c r="AE4" s="88">
        <v>0.5</v>
      </c>
      <c r="AF4" s="85" t="s">
        <v>202</v>
      </c>
      <c r="AG4" s="88">
        <v>0.58333333333333337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185</v>
      </c>
      <c r="C5" s="84">
        <v>61</v>
      </c>
      <c r="D5" s="85" t="s">
        <v>224</v>
      </c>
      <c r="E5" s="97">
        <v>13.3</v>
      </c>
      <c r="F5" s="85" t="s">
        <v>145</v>
      </c>
      <c r="G5" s="86">
        <v>1.9929577464788732</v>
      </c>
      <c r="H5" s="85" t="s">
        <v>145</v>
      </c>
      <c r="I5" s="87">
        <v>0.3380281690140845</v>
      </c>
      <c r="J5" s="85" t="s">
        <v>127</v>
      </c>
      <c r="K5" s="87">
        <v>0.1875</v>
      </c>
      <c r="L5" s="85" t="s">
        <v>172</v>
      </c>
      <c r="M5" s="88">
        <v>0.36807095343680707</v>
      </c>
      <c r="N5" s="85" t="s">
        <v>172</v>
      </c>
      <c r="O5" s="88">
        <v>0.12860310421286031</v>
      </c>
      <c r="P5" s="85" t="s">
        <v>128</v>
      </c>
      <c r="Q5" s="89">
        <v>9168.1034482758623</v>
      </c>
      <c r="R5" s="85" t="s">
        <v>177</v>
      </c>
      <c r="S5" s="89">
        <v>-7291.8918918918916</v>
      </c>
      <c r="T5" s="85" t="s">
        <v>224</v>
      </c>
      <c r="U5" s="87">
        <v>0</v>
      </c>
      <c r="V5" s="85" t="s">
        <v>172</v>
      </c>
      <c r="W5" s="87">
        <v>0.11320754716981132</v>
      </c>
      <c r="X5" s="85" t="s">
        <v>128</v>
      </c>
      <c r="Y5" s="88">
        <v>0.29078014184397161</v>
      </c>
      <c r="Z5" s="85" t="s">
        <v>173</v>
      </c>
      <c r="AA5" s="88">
        <v>0.25</v>
      </c>
      <c r="AB5" s="85" t="s">
        <v>173</v>
      </c>
      <c r="AC5" s="88">
        <v>0.61333333333333329</v>
      </c>
      <c r="AD5" s="85" t="s">
        <v>186</v>
      </c>
      <c r="AE5" s="88">
        <v>0.47058823529411764</v>
      </c>
      <c r="AF5" s="85" t="s">
        <v>186</v>
      </c>
      <c r="AG5" s="88">
        <v>0.55000000000000004</v>
      </c>
      <c r="AH5" s="85" t="s">
        <v>172</v>
      </c>
      <c r="AI5" s="92">
        <v>97500</v>
      </c>
    </row>
    <row r="6" spans="1:35" x14ac:dyDescent="0.4">
      <c r="A6" s="82">
        <v>4</v>
      </c>
      <c r="B6" s="83" t="s">
        <v>171</v>
      </c>
      <c r="C6" s="84">
        <v>18.499999999999993</v>
      </c>
      <c r="D6" s="85" t="s">
        <v>172</v>
      </c>
      <c r="E6" s="97">
        <v>1.5056603773584902</v>
      </c>
      <c r="F6" s="85" t="s">
        <v>202</v>
      </c>
      <c r="G6" s="86">
        <v>2</v>
      </c>
      <c r="H6" s="85" t="s">
        <v>172</v>
      </c>
      <c r="I6" s="87">
        <v>0.30188679245283018</v>
      </c>
      <c r="J6" s="85" t="s">
        <v>202</v>
      </c>
      <c r="K6" s="87">
        <v>0.2</v>
      </c>
      <c r="L6" s="85" t="s">
        <v>173</v>
      </c>
      <c r="M6" s="88">
        <v>0.30182926829268292</v>
      </c>
      <c r="N6" s="85" t="s">
        <v>127</v>
      </c>
      <c r="O6" s="88">
        <v>0.14904458598726114</v>
      </c>
      <c r="P6" s="85" t="s">
        <v>127</v>
      </c>
      <c r="Q6" s="89">
        <v>9021.95945945946</v>
      </c>
      <c r="R6" s="85" t="s">
        <v>171</v>
      </c>
      <c r="S6" s="89">
        <v>-7332.8571428571431</v>
      </c>
      <c r="T6" s="85" t="s">
        <v>225</v>
      </c>
      <c r="U6" s="87">
        <v>0</v>
      </c>
      <c r="V6" s="85" t="s">
        <v>145</v>
      </c>
      <c r="W6" s="87">
        <v>0.10093896713615023</v>
      </c>
      <c r="X6" s="85" t="s">
        <v>145</v>
      </c>
      <c r="Y6" s="88">
        <v>0.26891701828410691</v>
      </c>
      <c r="Z6" s="85" t="s">
        <v>127</v>
      </c>
      <c r="AA6" s="88">
        <v>0.23184713375796179</v>
      </c>
      <c r="AB6" s="85" t="s">
        <v>127</v>
      </c>
      <c r="AC6" s="88">
        <v>0.6108949416342413</v>
      </c>
      <c r="AD6" s="85" t="s">
        <v>172</v>
      </c>
      <c r="AE6" s="88">
        <v>0.43703703703703706</v>
      </c>
      <c r="AF6" s="85" t="s">
        <v>173</v>
      </c>
      <c r="AG6" s="88">
        <v>0.51515151515151514</v>
      </c>
      <c r="AH6" s="85" t="s">
        <v>128</v>
      </c>
      <c r="AI6" s="92">
        <v>97300</v>
      </c>
    </row>
    <row r="7" spans="1:35" x14ac:dyDescent="0.4">
      <c r="A7" s="82">
        <v>5</v>
      </c>
      <c r="B7" s="83" t="s">
        <v>224</v>
      </c>
      <c r="C7" s="84">
        <v>13.3</v>
      </c>
      <c r="D7" s="85" t="s">
        <v>171</v>
      </c>
      <c r="E7" s="97">
        <v>0.35576923076923062</v>
      </c>
      <c r="F7" s="85" t="s">
        <v>224</v>
      </c>
      <c r="G7" s="86">
        <v>2</v>
      </c>
      <c r="H7" s="85" t="s">
        <v>186</v>
      </c>
      <c r="I7" s="87">
        <v>0.3</v>
      </c>
      <c r="J7" s="85" t="s">
        <v>172</v>
      </c>
      <c r="K7" s="87">
        <v>0.32075471698113206</v>
      </c>
      <c r="L7" s="85" t="s">
        <v>145</v>
      </c>
      <c r="M7" s="88">
        <v>0.30126582278481012</v>
      </c>
      <c r="N7" s="85" t="s">
        <v>171</v>
      </c>
      <c r="O7" s="88">
        <v>0.15873015873015872</v>
      </c>
      <c r="P7" s="85" t="s">
        <v>129</v>
      </c>
      <c r="Q7" s="89">
        <v>8760.5633802816901</v>
      </c>
      <c r="R7" s="85" t="s">
        <v>186</v>
      </c>
      <c r="S7" s="89">
        <v>-7686.95652173913</v>
      </c>
      <c r="T7" s="85" t="s">
        <v>171</v>
      </c>
      <c r="U7" s="87">
        <v>3.8461538461538464E-2</v>
      </c>
      <c r="V7" s="85" t="s">
        <v>128</v>
      </c>
      <c r="W7" s="87">
        <v>7.8431372549019607E-2</v>
      </c>
      <c r="X7" s="85" t="s">
        <v>185</v>
      </c>
      <c r="Y7" s="88">
        <v>0.26315789473684209</v>
      </c>
      <c r="Z7" s="85" t="s">
        <v>177</v>
      </c>
      <c r="AA7" s="88">
        <v>0.22727272727272727</v>
      </c>
      <c r="AB7" s="85" t="s">
        <v>185</v>
      </c>
      <c r="AC7" s="88">
        <v>0.6</v>
      </c>
      <c r="AD7" s="85" t="s">
        <v>177</v>
      </c>
      <c r="AE7" s="88">
        <v>0.4</v>
      </c>
      <c r="AF7" s="85" t="s">
        <v>129</v>
      </c>
      <c r="AG7" s="88">
        <v>0.50704225352112675</v>
      </c>
      <c r="AH7" s="85" t="s">
        <v>129</v>
      </c>
      <c r="AI7" s="92">
        <v>96900</v>
      </c>
    </row>
    <row r="8" spans="1:35" x14ac:dyDescent="0.4">
      <c r="A8" s="82">
        <v>6</v>
      </c>
      <c r="B8" s="83" t="s">
        <v>145</v>
      </c>
      <c r="C8" s="84">
        <v>3.5527136788005009E-14</v>
      </c>
      <c r="D8" s="85" t="s">
        <v>145</v>
      </c>
      <c r="E8" s="97">
        <v>8.3397034713626778E-17</v>
      </c>
      <c r="F8" s="85" t="s">
        <v>172</v>
      </c>
      <c r="G8" s="86">
        <v>2.0188679245283021</v>
      </c>
      <c r="H8" s="85" t="s">
        <v>177</v>
      </c>
      <c r="I8" s="87">
        <v>0.29166666666666669</v>
      </c>
      <c r="J8" s="85" t="s">
        <v>145</v>
      </c>
      <c r="K8" s="87">
        <v>0.33098591549295775</v>
      </c>
      <c r="L8" s="85" t="s">
        <v>128</v>
      </c>
      <c r="M8" s="88">
        <v>0.27423167848699764</v>
      </c>
      <c r="N8" s="85" t="s">
        <v>145</v>
      </c>
      <c r="O8" s="88">
        <v>0.16708860759493671</v>
      </c>
      <c r="P8" s="85" t="s">
        <v>225</v>
      </c>
      <c r="Q8" s="89">
        <v>8666.6666666666661</v>
      </c>
      <c r="R8" s="85" t="s">
        <v>128</v>
      </c>
      <c r="S8" s="89">
        <v>-7697.9591836734689</v>
      </c>
      <c r="T8" s="85" t="s">
        <v>127</v>
      </c>
      <c r="U8" s="87">
        <v>5.2083333333333336E-2</v>
      </c>
      <c r="V8" s="85" t="s">
        <v>173</v>
      </c>
      <c r="W8" s="87">
        <v>5.4054054054054057E-2</v>
      </c>
      <c r="X8" s="85" t="s">
        <v>171</v>
      </c>
      <c r="Y8" s="88">
        <v>0.26303854875283444</v>
      </c>
      <c r="Z8" s="85" t="s">
        <v>145</v>
      </c>
      <c r="AA8" s="88">
        <v>0.21490857946554148</v>
      </c>
      <c r="AB8" s="85" t="s">
        <v>128</v>
      </c>
      <c r="AC8" s="88">
        <v>0.59756097560975607</v>
      </c>
      <c r="AD8" s="85" t="s">
        <v>145</v>
      </c>
      <c r="AE8" s="88">
        <v>0.38481675392670156</v>
      </c>
      <c r="AF8" s="85" t="s">
        <v>224</v>
      </c>
      <c r="AG8" s="88">
        <v>0.5</v>
      </c>
      <c r="AH8" s="85" t="s">
        <v>171</v>
      </c>
      <c r="AI8" s="92">
        <v>91700</v>
      </c>
    </row>
    <row r="9" spans="1:35" x14ac:dyDescent="0.4">
      <c r="A9" s="82">
        <v>7</v>
      </c>
      <c r="B9" s="83" t="s">
        <v>202</v>
      </c>
      <c r="C9" s="84">
        <v>-16.100000000000005</v>
      </c>
      <c r="D9" s="85" t="s">
        <v>202</v>
      </c>
      <c r="E9" s="97">
        <v>-3.2200000000000011</v>
      </c>
      <c r="F9" s="85" t="s">
        <v>171</v>
      </c>
      <c r="G9" s="86">
        <v>2.0576923076923075</v>
      </c>
      <c r="H9" s="85" t="s">
        <v>171</v>
      </c>
      <c r="I9" s="87">
        <v>0.28846153846153844</v>
      </c>
      <c r="J9" s="85" t="s">
        <v>171</v>
      </c>
      <c r="K9" s="87">
        <v>0.34615384615384615</v>
      </c>
      <c r="L9" s="85" t="s">
        <v>185</v>
      </c>
      <c r="M9" s="88">
        <v>0.26315789473684209</v>
      </c>
      <c r="N9" s="85" t="s">
        <v>128</v>
      </c>
      <c r="O9" s="88">
        <v>0.17375886524822695</v>
      </c>
      <c r="P9" s="85" t="s">
        <v>202</v>
      </c>
      <c r="Q9" s="89">
        <v>8425</v>
      </c>
      <c r="R9" s="85" t="s">
        <v>127</v>
      </c>
      <c r="S9" s="89">
        <v>-7878.6324786324785</v>
      </c>
      <c r="T9" s="85" t="s">
        <v>172</v>
      </c>
      <c r="U9" s="87">
        <v>5.6603773584905662E-2</v>
      </c>
      <c r="V9" s="85" t="s">
        <v>129</v>
      </c>
      <c r="W9" s="87">
        <v>4.7619047619047616E-2</v>
      </c>
      <c r="X9" s="85" t="s">
        <v>129</v>
      </c>
      <c r="Y9" s="88">
        <v>0.25075528700906347</v>
      </c>
      <c r="Z9" s="85" t="s">
        <v>185</v>
      </c>
      <c r="AA9" s="88">
        <v>0.21052631578947367</v>
      </c>
      <c r="AB9" s="85" t="s">
        <v>145</v>
      </c>
      <c r="AC9" s="88">
        <v>0.59205020920502094</v>
      </c>
      <c r="AD9" s="85" t="s">
        <v>171</v>
      </c>
      <c r="AE9" s="88">
        <v>0.35064935064935066</v>
      </c>
      <c r="AF9" s="85" t="s">
        <v>145</v>
      </c>
      <c r="AG9" s="88">
        <v>0.43790849673202614</v>
      </c>
      <c r="AH9" s="85" t="s">
        <v>173</v>
      </c>
      <c r="AI9" s="92">
        <v>85900</v>
      </c>
    </row>
    <row r="10" spans="1:35" x14ac:dyDescent="0.4">
      <c r="A10" s="82">
        <v>8</v>
      </c>
      <c r="B10" s="83" t="s">
        <v>225</v>
      </c>
      <c r="C10" s="84">
        <v>-37</v>
      </c>
      <c r="D10" s="85" t="s">
        <v>128</v>
      </c>
      <c r="E10" s="97">
        <v>-3.7039215686274516</v>
      </c>
      <c r="F10" s="85" t="s">
        <v>128</v>
      </c>
      <c r="G10" s="86">
        <v>2.0784313725490198</v>
      </c>
      <c r="H10" s="85" t="s">
        <v>128</v>
      </c>
      <c r="I10" s="87">
        <v>0.27450980392156865</v>
      </c>
      <c r="J10" s="85" t="s">
        <v>173</v>
      </c>
      <c r="K10" s="87">
        <v>0.35135135135135137</v>
      </c>
      <c r="L10" s="85" t="s">
        <v>177</v>
      </c>
      <c r="M10" s="88">
        <v>0.26262626262626265</v>
      </c>
      <c r="N10" s="85" t="s">
        <v>177</v>
      </c>
      <c r="O10" s="88">
        <v>0.18686868686868688</v>
      </c>
      <c r="P10" s="85" t="s">
        <v>145</v>
      </c>
      <c r="Q10" s="89">
        <v>8397.4789915966394</v>
      </c>
      <c r="R10" s="85" t="s">
        <v>173</v>
      </c>
      <c r="S10" s="89">
        <v>-7904.8387096774195</v>
      </c>
      <c r="T10" s="85" t="s">
        <v>145</v>
      </c>
      <c r="U10" s="87">
        <v>0.10093896713615023</v>
      </c>
      <c r="V10" s="85" t="s">
        <v>177</v>
      </c>
      <c r="W10" s="87">
        <v>0</v>
      </c>
      <c r="X10" s="85" t="s">
        <v>202</v>
      </c>
      <c r="Y10" s="88">
        <v>0.24</v>
      </c>
      <c r="Z10" s="85" t="s">
        <v>186</v>
      </c>
      <c r="AA10" s="88">
        <v>0.2</v>
      </c>
      <c r="AB10" s="85" t="s">
        <v>202</v>
      </c>
      <c r="AC10" s="88">
        <v>0.58333333333333337</v>
      </c>
      <c r="AD10" s="85" t="s">
        <v>173</v>
      </c>
      <c r="AE10" s="88">
        <v>0.32926829268292684</v>
      </c>
      <c r="AF10" s="85" t="s">
        <v>128</v>
      </c>
      <c r="AG10" s="88">
        <v>0.43103448275862066</v>
      </c>
      <c r="AH10" s="85" t="s">
        <v>177</v>
      </c>
      <c r="AI10" s="92">
        <v>65000</v>
      </c>
    </row>
    <row r="11" spans="1:35" x14ac:dyDescent="0.4">
      <c r="A11" s="82">
        <v>9</v>
      </c>
      <c r="B11" s="83" t="s">
        <v>186</v>
      </c>
      <c r="C11" s="84">
        <v>-197.5</v>
      </c>
      <c r="D11" s="85" t="s">
        <v>173</v>
      </c>
      <c r="E11" s="97">
        <v>-6.3351351351351353</v>
      </c>
      <c r="F11" s="85" t="s">
        <v>173</v>
      </c>
      <c r="G11" s="86">
        <v>2.0810810810810811</v>
      </c>
      <c r="H11" s="85" t="s">
        <v>173</v>
      </c>
      <c r="I11" s="87">
        <v>0.27027027027027029</v>
      </c>
      <c r="J11" s="85" t="s">
        <v>128</v>
      </c>
      <c r="K11" s="87">
        <v>0.35294117647058826</v>
      </c>
      <c r="L11" s="85" t="s">
        <v>171</v>
      </c>
      <c r="M11" s="88">
        <v>0.25623582766439912</v>
      </c>
      <c r="N11" s="85" t="s">
        <v>173</v>
      </c>
      <c r="O11" s="88">
        <v>0.18902439024390244</v>
      </c>
      <c r="P11" s="85" t="s">
        <v>185</v>
      </c>
      <c r="Q11" s="89">
        <v>7860</v>
      </c>
      <c r="R11" s="85" t="s">
        <v>145</v>
      </c>
      <c r="S11" s="89">
        <v>-8025.4208754208757</v>
      </c>
      <c r="T11" s="85" t="s">
        <v>173</v>
      </c>
      <c r="U11" s="87">
        <v>0.10810810810810811</v>
      </c>
      <c r="V11" s="85" t="s">
        <v>186</v>
      </c>
      <c r="W11" s="87">
        <v>0</v>
      </c>
      <c r="X11" s="85" t="s">
        <v>224</v>
      </c>
      <c r="Y11" s="88">
        <v>0.23076923076923078</v>
      </c>
      <c r="Z11" s="85" t="s">
        <v>128</v>
      </c>
      <c r="AA11" s="88">
        <v>0.18439716312056736</v>
      </c>
      <c r="AB11" s="85" t="s">
        <v>172</v>
      </c>
      <c r="AC11" s="88">
        <v>0.58163265306122447</v>
      </c>
      <c r="AD11" s="85" t="s">
        <v>202</v>
      </c>
      <c r="AE11" s="88">
        <v>0.30769230769230771</v>
      </c>
      <c r="AF11" s="85" t="s">
        <v>127</v>
      </c>
      <c r="AG11" s="88">
        <v>0.42229729729729731</v>
      </c>
      <c r="AH11" s="85" t="s">
        <v>186</v>
      </c>
      <c r="AI11" s="92">
        <v>62700</v>
      </c>
    </row>
    <row r="12" spans="1:35" x14ac:dyDescent="0.4">
      <c r="A12" s="82">
        <v>10</v>
      </c>
      <c r="B12" s="83" t="s">
        <v>177</v>
      </c>
      <c r="C12" s="84">
        <v>-204</v>
      </c>
      <c r="D12" s="85" t="s">
        <v>177</v>
      </c>
      <c r="E12" s="97">
        <v>-8.5</v>
      </c>
      <c r="F12" s="85" t="s">
        <v>177</v>
      </c>
      <c r="G12" s="86">
        <v>2.0833333333333335</v>
      </c>
      <c r="H12" s="85" t="s">
        <v>129</v>
      </c>
      <c r="I12" s="87">
        <v>0.23809523809523808</v>
      </c>
      <c r="J12" s="85" t="s">
        <v>177</v>
      </c>
      <c r="K12" s="87">
        <v>0.375</v>
      </c>
      <c r="L12" s="85" t="s">
        <v>202</v>
      </c>
      <c r="M12" s="88">
        <v>0.24</v>
      </c>
      <c r="N12" s="85" t="s">
        <v>129</v>
      </c>
      <c r="O12" s="88">
        <v>0.19335347432024169</v>
      </c>
      <c r="P12" s="85" t="s">
        <v>186</v>
      </c>
      <c r="Q12" s="89">
        <v>7365</v>
      </c>
      <c r="R12" s="85" t="s">
        <v>172</v>
      </c>
      <c r="S12" s="89">
        <v>-9148.2758620689656</v>
      </c>
      <c r="T12" s="85" t="s">
        <v>128</v>
      </c>
      <c r="U12" s="87">
        <v>0.13725490196078433</v>
      </c>
      <c r="V12" s="85" t="s">
        <v>185</v>
      </c>
      <c r="W12" s="87">
        <v>0</v>
      </c>
      <c r="X12" s="85" t="s">
        <v>173</v>
      </c>
      <c r="Y12" s="88">
        <v>0.22865853658536586</v>
      </c>
      <c r="Z12" s="85" t="s">
        <v>171</v>
      </c>
      <c r="AA12" s="88">
        <v>0.17460317460317459</v>
      </c>
      <c r="AB12" s="85" t="s">
        <v>171</v>
      </c>
      <c r="AC12" s="88">
        <v>0.57758620689655171</v>
      </c>
      <c r="AD12" s="85" t="s">
        <v>128</v>
      </c>
      <c r="AE12" s="88">
        <v>0.27564102564102566</v>
      </c>
      <c r="AF12" s="85" t="s">
        <v>172</v>
      </c>
      <c r="AG12" s="88">
        <v>0.42168674698795183</v>
      </c>
      <c r="AH12" s="85" t="s">
        <v>202</v>
      </c>
      <c r="AI12" s="92">
        <v>54800</v>
      </c>
    </row>
    <row r="13" spans="1:35" x14ac:dyDescent="0.4">
      <c r="A13" s="82">
        <v>11</v>
      </c>
      <c r="B13" s="83" t="s">
        <v>173</v>
      </c>
      <c r="C13" s="84">
        <v>-234.4</v>
      </c>
      <c r="D13" s="85" t="s">
        <v>129</v>
      </c>
      <c r="E13" s="97">
        <v>-18.809523809523803</v>
      </c>
      <c r="F13" s="85" t="s">
        <v>129</v>
      </c>
      <c r="G13" s="86">
        <v>2.2857142857142856</v>
      </c>
      <c r="H13" s="85" t="s">
        <v>202</v>
      </c>
      <c r="I13" s="87">
        <v>0.2</v>
      </c>
      <c r="J13" s="85" t="s">
        <v>129</v>
      </c>
      <c r="K13" s="87">
        <v>0.52380952380952384</v>
      </c>
      <c r="L13" s="85" t="s">
        <v>186</v>
      </c>
      <c r="M13" s="88">
        <v>0.23529411764705882</v>
      </c>
      <c r="N13" s="85" t="s">
        <v>202</v>
      </c>
      <c r="O13" s="88">
        <v>0.2</v>
      </c>
      <c r="P13" s="85" t="s">
        <v>177</v>
      </c>
      <c r="Q13" s="89">
        <v>7163.4615384615381</v>
      </c>
      <c r="R13" s="85" t="s">
        <v>129</v>
      </c>
      <c r="S13" s="89">
        <v>-9603.125</v>
      </c>
      <c r="T13" s="85" t="s">
        <v>129</v>
      </c>
      <c r="U13" s="87">
        <v>0.19047619047619047</v>
      </c>
      <c r="V13" s="85" t="s">
        <v>202</v>
      </c>
      <c r="W13" s="87">
        <v>0</v>
      </c>
      <c r="X13" s="85" t="s">
        <v>172</v>
      </c>
      <c r="Y13" s="88">
        <v>0.21729490022172948</v>
      </c>
      <c r="Z13" s="85" t="s">
        <v>129</v>
      </c>
      <c r="AA13" s="88">
        <v>0.15407854984894259</v>
      </c>
      <c r="AB13" s="85" t="s">
        <v>186</v>
      </c>
      <c r="AC13" s="88">
        <v>0.55555555555555558</v>
      </c>
      <c r="AD13" s="85" t="s">
        <v>129</v>
      </c>
      <c r="AE13" s="88">
        <v>0.19607843137254902</v>
      </c>
      <c r="AF13" s="85" t="s">
        <v>171</v>
      </c>
      <c r="AG13" s="88">
        <v>0.39823008849557523</v>
      </c>
      <c r="AH13" s="85" t="s">
        <v>185</v>
      </c>
      <c r="AI13" s="92">
        <v>53500</v>
      </c>
    </row>
    <row r="14" spans="1:35" x14ac:dyDescent="0.4">
      <c r="A14" s="82">
        <v>12</v>
      </c>
      <c r="B14" s="83" t="s">
        <v>128</v>
      </c>
      <c r="C14" s="84">
        <v>-377.80000000000007</v>
      </c>
      <c r="D14" s="85" t="s">
        <v>186</v>
      </c>
      <c r="E14" s="97">
        <v>-19.75</v>
      </c>
      <c r="F14" s="85" t="s">
        <v>186</v>
      </c>
      <c r="G14" s="86">
        <v>2.2999999999999998</v>
      </c>
      <c r="H14" s="85" t="s">
        <v>224</v>
      </c>
      <c r="I14" s="87">
        <v>0</v>
      </c>
      <c r="J14" s="85" t="s">
        <v>186</v>
      </c>
      <c r="K14" s="87">
        <v>0.6</v>
      </c>
      <c r="L14" s="85" t="s">
        <v>129</v>
      </c>
      <c r="M14" s="88">
        <v>0.21450151057401812</v>
      </c>
      <c r="N14" s="85" t="s">
        <v>186</v>
      </c>
      <c r="O14" s="88">
        <v>0.27058823529411763</v>
      </c>
      <c r="P14" s="85" t="s">
        <v>173</v>
      </c>
      <c r="Q14" s="89">
        <v>6966.666666666667</v>
      </c>
      <c r="R14" s="85" t="s">
        <v>224</v>
      </c>
      <c r="S14" s="89">
        <v>-12000</v>
      </c>
      <c r="T14" s="85" t="s">
        <v>186</v>
      </c>
      <c r="U14" s="87">
        <v>0.2</v>
      </c>
      <c r="V14" s="85" t="s">
        <v>224</v>
      </c>
      <c r="W14" s="87">
        <v>0</v>
      </c>
      <c r="X14" s="85" t="s">
        <v>186</v>
      </c>
      <c r="Y14" s="88">
        <v>0.21176470588235294</v>
      </c>
      <c r="Z14" s="85" t="s">
        <v>225</v>
      </c>
      <c r="AA14" s="88">
        <v>0.125</v>
      </c>
      <c r="AB14" s="85" t="s">
        <v>129</v>
      </c>
      <c r="AC14" s="88">
        <v>0.51807228915662651</v>
      </c>
      <c r="AD14" s="85" t="s">
        <v>224</v>
      </c>
      <c r="AE14" s="88">
        <v>0</v>
      </c>
      <c r="AF14" s="85" t="s">
        <v>177</v>
      </c>
      <c r="AG14" s="88">
        <v>0.38461538461538464</v>
      </c>
      <c r="AH14" s="85" t="s">
        <v>224</v>
      </c>
      <c r="AI14" s="92">
        <v>48300</v>
      </c>
    </row>
    <row r="15" spans="1:35" x14ac:dyDescent="0.4">
      <c r="A15" s="82">
        <v>13</v>
      </c>
      <c r="B15" s="83" t="s">
        <v>129</v>
      </c>
      <c r="C15" s="84">
        <v>-789.99999999999977</v>
      </c>
      <c r="D15" s="85" t="s">
        <v>225</v>
      </c>
      <c r="E15" s="97">
        <v>-37</v>
      </c>
      <c r="F15" s="85" t="s">
        <v>225</v>
      </c>
      <c r="G15" s="86">
        <v>3</v>
      </c>
      <c r="H15" s="85" t="s">
        <v>225</v>
      </c>
      <c r="I15" s="87">
        <v>0</v>
      </c>
      <c r="J15" s="85" t="s">
        <v>225</v>
      </c>
      <c r="K15" s="87">
        <v>1</v>
      </c>
      <c r="L15" s="85" t="s">
        <v>224</v>
      </c>
      <c r="M15" s="88">
        <v>0.15384615384615385</v>
      </c>
      <c r="N15" s="85" t="s">
        <v>225</v>
      </c>
      <c r="O15" s="88">
        <v>0.375</v>
      </c>
      <c r="P15" s="85" t="s">
        <v>172</v>
      </c>
      <c r="Q15" s="89">
        <v>6530.1204819277109</v>
      </c>
      <c r="R15" s="85" t="s">
        <v>225</v>
      </c>
      <c r="S15" s="89">
        <v>-14000</v>
      </c>
      <c r="T15" s="85" t="s">
        <v>177</v>
      </c>
      <c r="U15" s="87">
        <v>0.20833333333333334</v>
      </c>
      <c r="V15" s="85" t="s">
        <v>225</v>
      </c>
      <c r="W15" s="87">
        <v>0</v>
      </c>
      <c r="X15" s="85" t="s">
        <v>177</v>
      </c>
      <c r="Y15" s="88">
        <v>0.20202020202020202</v>
      </c>
      <c r="Z15" s="85" t="s">
        <v>224</v>
      </c>
      <c r="AA15" s="88">
        <v>7.6923076923076927E-2</v>
      </c>
      <c r="AB15" s="85" t="s">
        <v>224</v>
      </c>
      <c r="AC15" s="88">
        <v>0.33333333333333331</v>
      </c>
      <c r="AD15" s="85" t="s">
        <v>225</v>
      </c>
      <c r="AE15" s="88">
        <v>0</v>
      </c>
      <c r="AF15" s="85" t="s">
        <v>185</v>
      </c>
      <c r="AG15" s="88">
        <v>0.2</v>
      </c>
      <c r="AH15" s="85" t="s">
        <v>225</v>
      </c>
      <c r="AI15" s="92">
        <v>18000</v>
      </c>
    </row>
  </sheetData>
  <sortState ref="AH3:AI45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F1:AG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65B05-E830-4BD5-B260-A118944183E2}">
  <sheetPr codeName="Sheet4"/>
  <dimension ref="A1:Q428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145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426</v>
      </c>
      <c r="C2" s="147"/>
      <c r="E2" s="62" t="s">
        <v>67</v>
      </c>
      <c r="F2" s="59" t="s">
        <v>23</v>
      </c>
      <c r="G2" s="46">
        <v>782</v>
      </c>
      <c r="H2" s="132">
        <f>IF(B$17=0,0,G2/B$17)</f>
        <v>0.73015873015873012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-14.184397163120567</v>
      </c>
      <c r="P2" s="118">
        <v>423</v>
      </c>
      <c r="Q2" s="102">
        <v>-6000</v>
      </c>
    </row>
    <row r="3" spans="1:17" x14ac:dyDescent="0.4">
      <c r="A3" s="55" t="s">
        <v>8</v>
      </c>
      <c r="B3" s="148">
        <v>3555</v>
      </c>
      <c r="C3" s="149"/>
      <c r="E3" s="63" t="s">
        <v>73</v>
      </c>
      <c r="F3" s="60" t="s">
        <v>28</v>
      </c>
      <c r="G3" s="47">
        <v>549</v>
      </c>
      <c r="H3" s="133">
        <f>IF(B$17=0,0,G3/B$17)</f>
        <v>0.51260504201680668</v>
      </c>
      <c r="I3" s="94">
        <v>8</v>
      </c>
      <c r="K3" s="38">
        <v>1</v>
      </c>
      <c r="L3" s="99">
        <v>-5.0999999999999996</v>
      </c>
      <c r="N3" s="115" t="s">
        <v>133</v>
      </c>
      <c r="O3" s="122">
        <f t="shared" si="0"/>
        <v>-9.5238095238095237</v>
      </c>
      <c r="P3" s="119">
        <v>420</v>
      </c>
      <c r="Q3" s="103">
        <v>-4000</v>
      </c>
    </row>
    <row r="4" spans="1:17" x14ac:dyDescent="0.4">
      <c r="A4" s="55" t="s">
        <v>6</v>
      </c>
      <c r="B4" s="150">
        <v>3.5527136788005009E-14</v>
      </c>
      <c r="C4" s="151"/>
      <c r="E4" s="63" t="s">
        <v>65</v>
      </c>
      <c r="F4" s="60" t="s">
        <v>21</v>
      </c>
      <c r="G4" s="47">
        <v>540</v>
      </c>
      <c r="H4" s="133">
        <f>IF(B$17=0,0,G4/B$17)</f>
        <v>0.50420168067226889</v>
      </c>
      <c r="I4" s="94">
        <v>7</v>
      </c>
      <c r="K4" s="38">
        <v>2</v>
      </c>
      <c r="L4" s="99">
        <v>40.4</v>
      </c>
      <c r="N4" s="115" t="s">
        <v>134</v>
      </c>
      <c r="O4" s="122">
        <f t="shared" si="0"/>
        <v>10.025062656641603</v>
      </c>
      <c r="P4" s="119">
        <v>399</v>
      </c>
      <c r="Q4" s="103">
        <v>4000</v>
      </c>
    </row>
    <row r="5" spans="1:17" x14ac:dyDescent="0.4">
      <c r="A5" s="55" t="s">
        <v>7</v>
      </c>
      <c r="B5" s="152">
        <f>IF(B$2=0,0,B$4/B$2)</f>
        <v>8.3397034713626778E-17</v>
      </c>
      <c r="C5" s="153"/>
      <c r="E5" s="63" t="s">
        <v>181</v>
      </c>
      <c r="F5" s="60" t="s">
        <v>182</v>
      </c>
      <c r="G5" s="47">
        <v>432</v>
      </c>
      <c r="H5" s="133">
        <f>IF(B$17=0,0,G5/B$17)</f>
        <v>0.40336134453781514</v>
      </c>
      <c r="I5" s="94">
        <v>7</v>
      </c>
      <c r="K5" s="38">
        <v>3</v>
      </c>
      <c r="L5" s="99">
        <v>0</v>
      </c>
      <c r="N5" s="115" t="s">
        <v>135</v>
      </c>
      <c r="O5" s="122">
        <f t="shared" si="0"/>
        <v>13.774104683195592</v>
      </c>
      <c r="P5" s="119">
        <v>363</v>
      </c>
      <c r="Q5" s="103">
        <v>5000</v>
      </c>
    </row>
    <row r="6" spans="1:17" x14ac:dyDescent="0.4">
      <c r="A6" s="55" t="s">
        <v>1</v>
      </c>
      <c r="B6" s="142">
        <f>IF(B$2=0,0,(B$7*1+B$8*2+B$9*3)/B$2)</f>
        <v>1.9929577464788732</v>
      </c>
      <c r="C6" s="143"/>
      <c r="E6" s="63" t="s">
        <v>69</v>
      </c>
      <c r="F6" s="60" t="s">
        <v>12</v>
      </c>
      <c r="G6" s="47">
        <v>326</v>
      </c>
      <c r="H6" s="133">
        <f>IF(B$17=0,0,G6/B$17)</f>
        <v>0.30438842203548083</v>
      </c>
      <c r="I6" s="94">
        <v>7</v>
      </c>
      <c r="K6" s="38">
        <v>4</v>
      </c>
      <c r="L6" s="99">
        <v>2.2000000000000002</v>
      </c>
      <c r="N6" s="115" t="s">
        <v>136</v>
      </c>
      <c r="O6" s="122">
        <f t="shared" si="0"/>
        <v>-15.015015015015015</v>
      </c>
      <c r="P6" s="119">
        <v>333</v>
      </c>
      <c r="Q6" s="103">
        <v>-5000</v>
      </c>
    </row>
    <row r="7" spans="1:17" x14ac:dyDescent="0.4">
      <c r="A7" s="55" t="s">
        <v>2</v>
      </c>
      <c r="B7" s="47">
        <v>144</v>
      </c>
      <c r="C7" s="39">
        <f>IF(B$2=0,0,B7/B$2)</f>
        <v>0.3380281690140845</v>
      </c>
      <c r="E7" s="63" t="s">
        <v>68</v>
      </c>
      <c r="F7" s="60" t="s">
        <v>24</v>
      </c>
      <c r="G7" s="47">
        <v>324</v>
      </c>
      <c r="H7" s="133">
        <f>IF(B$17=0,0,G7/B$17)</f>
        <v>0.30252100840336132</v>
      </c>
      <c r="I7" s="94">
        <v>8</v>
      </c>
      <c r="K7" s="38">
        <v>5</v>
      </c>
      <c r="L7" s="99">
        <v>-37</v>
      </c>
      <c r="N7" s="116" t="s">
        <v>137</v>
      </c>
      <c r="O7" s="123">
        <f t="shared" si="0"/>
        <v>19.607843137254903</v>
      </c>
      <c r="P7" s="120">
        <v>306</v>
      </c>
      <c r="Q7" s="104">
        <v>6000</v>
      </c>
    </row>
    <row r="8" spans="1:17" x14ac:dyDescent="0.4">
      <c r="A8" s="55" t="s">
        <v>3</v>
      </c>
      <c r="B8" s="47">
        <v>141</v>
      </c>
      <c r="C8" s="39">
        <f>IF(B$2=0,0,B8/B$2)</f>
        <v>0.33098591549295775</v>
      </c>
      <c r="E8" s="63" t="s">
        <v>70</v>
      </c>
      <c r="F8" s="60" t="s">
        <v>25</v>
      </c>
      <c r="G8" s="47">
        <v>199</v>
      </c>
      <c r="H8" s="133">
        <f>IF(B$17=0,0,G8/B$17)</f>
        <v>0.1858076563958917</v>
      </c>
      <c r="I8" s="94">
        <v>7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141</v>
      </c>
      <c r="C9" s="40">
        <f t="shared" ref="C9" si="1">IF(B$2=0,0,B9/B$2)</f>
        <v>0.33098591549295775</v>
      </c>
      <c r="E9" s="63" t="s">
        <v>66</v>
      </c>
      <c r="F9" s="60" t="s">
        <v>22</v>
      </c>
      <c r="G9" s="47">
        <v>131</v>
      </c>
      <c r="H9" s="133">
        <f>IF(B$17=0,0,G9/B$17)</f>
        <v>0.12231559290382819</v>
      </c>
      <c r="I9" s="94">
        <v>4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43</v>
      </c>
      <c r="C10" s="40">
        <f>IF(B$2=0,0,B10/B$2)</f>
        <v>0.10093896713615023</v>
      </c>
      <c r="E10" s="63" t="s">
        <v>90</v>
      </c>
      <c r="F10" s="60" t="s">
        <v>45</v>
      </c>
      <c r="G10" s="47">
        <v>131</v>
      </c>
      <c r="H10" s="133">
        <f>IF(B$17=0,0,G10/B$17)</f>
        <v>0.12231559290382819</v>
      </c>
      <c r="I10" s="94">
        <v>7</v>
      </c>
      <c r="K10" s="38">
        <v>8</v>
      </c>
      <c r="L10" s="99">
        <v>19.699999999999996</v>
      </c>
      <c r="N10" s="114" t="s">
        <v>164</v>
      </c>
      <c r="O10" s="124">
        <f>IF(P10=0,0,Q10/P10)</f>
        <v>-2.4879432624113478</v>
      </c>
      <c r="P10" s="118">
        <v>141</v>
      </c>
      <c r="Q10" s="106">
        <v>-350.8</v>
      </c>
    </row>
    <row r="11" spans="1:17" x14ac:dyDescent="0.4">
      <c r="A11" s="56" t="s">
        <v>140</v>
      </c>
      <c r="B11" s="48">
        <v>43</v>
      </c>
      <c r="C11" s="40">
        <f>IF(B$2=0,0,B11/B$2)</f>
        <v>0.10093896713615023</v>
      </c>
      <c r="E11" s="63" t="s">
        <v>71</v>
      </c>
      <c r="F11" s="60" t="s">
        <v>26</v>
      </c>
      <c r="G11" s="47">
        <v>113</v>
      </c>
      <c r="H11" s="133">
        <f>IF(B$17=0,0,G11/B$17)</f>
        <v>0.10550887021475257</v>
      </c>
      <c r="I11" s="94">
        <v>5</v>
      </c>
      <c r="K11" s="38">
        <v>9</v>
      </c>
      <c r="L11" s="99">
        <v>-3.5527136788005009E-15</v>
      </c>
      <c r="N11" s="115" t="s">
        <v>165</v>
      </c>
      <c r="O11" s="125">
        <f>IF(P11=0,0,Q11/P11)</f>
        <v>-2.2971631205673773</v>
      </c>
      <c r="P11" s="119">
        <v>141</v>
      </c>
      <c r="Q11" s="107">
        <v>-323.9000000000002</v>
      </c>
    </row>
    <row r="12" spans="1:17" x14ac:dyDescent="0.4">
      <c r="A12" s="57" t="s">
        <v>160</v>
      </c>
      <c r="B12" s="49">
        <v>38</v>
      </c>
      <c r="C12" s="42">
        <f>IF(B$2=0,0,B12/B$2)</f>
        <v>8.9201877934272297E-2</v>
      </c>
      <c r="E12" s="63" t="s">
        <v>72</v>
      </c>
      <c r="F12" s="60" t="s">
        <v>27</v>
      </c>
      <c r="G12" s="47">
        <v>69</v>
      </c>
      <c r="H12" s="133">
        <f>IF(B$17=0,0,G12/B$17)</f>
        <v>6.4425770308123242E-2</v>
      </c>
      <c r="I12" s="94">
        <v>5</v>
      </c>
      <c r="K12" s="38">
        <v>10</v>
      </c>
      <c r="L12" s="99">
        <v>40.099999999999994</v>
      </c>
      <c r="N12" s="116" t="s">
        <v>166</v>
      </c>
      <c r="O12" s="126">
        <f>IF(P12=0,0,Q12/P12)</f>
        <v>4.7851063829787241</v>
      </c>
      <c r="P12" s="120">
        <v>141</v>
      </c>
      <c r="Q12" s="108">
        <v>674.7</v>
      </c>
    </row>
    <row r="13" spans="1:17" x14ac:dyDescent="0.4">
      <c r="A13" s="58" t="s">
        <v>122</v>
      </c>
      <c r="B13" s="50">
        <v>956</v>
      </c>
      <c r="C13" s="44">
        <f>IF(B$3=0,0,B13/B$3)</f>
        <v>0.26891701828410691</v>
      </c>
      <c r="E13" s="63" t="s">
        <v>87</v>
      </c>
      <c r="F13" s="60" t="s">
        <v>42</v>
      </c>
      <c r="G13" s="47">
        <v>60</v>
      </c>
      <c r="H13" s="133">
        <f>IF(B$17=0,0,G13/B$17)</f>
        <v>5.6022408963585436E-2</v>
      </c>
      <c r="I13" s="94">
        <v>6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764</v>
      </c>
      <c r="C14" s="39">
        <f>IF(B$3=0,0,B14/B$3)</f>
        <v>0.21490857946554148</v>
      </c>
      <c r="E14" s="63" t="s">
        <v>84</v>
      </c>
      <c r="F14" s="60" t="s">
        <v>39</v>
      </c>
      <c r="G14" s="47">
        <v>46</v>
      </c>
      <c r="H14" s="133">
        <f>IF(B$17=0,0,G14/B$17)</f>
        <v>4.2950513538748833E-2</v>
      </c>
      <c r="I14" s="94">
        <v>6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566</v>
      </c>
      <c r="C15" s="37">
        <f>IF(B$13=0,0,B15/B$13)</f>
        <v>0.59205020920502094</v>
      </c>
      <c r="E15" s="63" t="s">
        <v>82</v>
      </c>
      <c r="F15" s="60" t="s">
        <v>37</v>
      </c>
      <c r="G15" s="47">
        <v>33</v>
      </c>
      <c r="H15" s="133">
        <f>IF(B$17=0,0,G15/B$17)</f>
        <v>3.081232492997199E-2</v>
      </c>
      <c r="I15" s="94">
        <v>7</v>
      </c>
      <c r="K15" s="38">
        <v>13</v>
      </c>
      <c r="L15" s="99">
        <v>-42.100000000000009</v>
      </c>
      <c r="N15" s="114" t="s">
        <v>225</v>
      </c>
      <c r="O15" s="124">
        <f>IF(P15=0,0,Q15/P15)</f>
        <v>55.5</v>
      </c>
      <c r="P15" s="118">
        <v>2</v>
      </c>
      <c r="Q15" s="106">
        <v>111</v>
      </c>
    </row>
    <row r="16" spans="1:17" x14ac:dyDescent="0.4">
      <c r="A16" s="54" t="s">
        <v>125</v>
      </c>
      <c r="B16" s="46">
        <v>294</v>
      </c>
      <c r="C16" s="37">
        <f>IF(B$14=0,0,B16/B$14)</f>
        <v>0.38481675392670156</v>
      </c>
      <c r="E16" s="63" t="s">
        <v>79</v>
      </c>
      <c r="F16" s="60" t="s">
        <v>34</v>
      </c>
      <c r="G16" s="47">
        <v>20</v>
      </c>
      <c r="H16" s="133">
        <f>IF(B$17=0,0,G16/B$17)</f>
        <v>1.8674136321195144E-2</v>
      </c>
      <c r="I16" s="94">
        <v>6</v>
      </c>
      <c r="K16" s="38">
        <v>14</v>
      </c>
      <c r="L16" s="99">
        <v>18.79999999999999</v>
      </c>
      <c r="N16" s="115" t="s">
        <v>186</v>
      </c>
      <c r="O16" s="125">
        <f>IF(P16=0,0,Q16/P16)</f>
        <v>29.625</v>
      </c>
      <c r="P16" s="119">
        <v>20</v>
      </c>
      <c r="Q16" s="107">
        <v>592.5</v>
      </c>
    </row>
    <row r="17" spans="1:17" x14ac:dyDescent="0.4">
      <c r="A17" s="54" t="s">
        <v>10</v>
      </c>
      <c r="B17" s="46">
        <f>B19+B18</f>
        <v>1071</v>
      </c>
      <c r="C17" s="37">
        <f>IF(B$3=0,0,B17/B$3)</f>
        <v>0.30126582278481012</v>
      </c>
      <c r="E17" s="63" t="s">
        <v>92</v>
      </c>
      <c r="F17" s="60" t="s">
        <v>47</v>
      </c>
      <c r="G17" s="47">
        <v>18</v>
      </c>
      <c r="H17" s="133">
        <f>IF(B$17=0,0,G17/B$17)</f>
        <v>1.680672268907563E-2</v>
      </c>
      <c r="I17" s="94">
        <v>3</v>
      </c>
      <c r="K17" s="38">
        <v>15</v>
      </c>
      <c r="L17" s="99">
        <v>-1.0658141036401503E-14</v>
      </c>
      <c r="N17" s="115" t="s">
        <v>129</v>
      </c>
      <c r="O17" s="125">
        <f>IF(P17=0,0,Q17/P17)</f>
        <v>28.214285714285726</v>
      </c>
      <c r="P17" s="119">
        <v>84</v>
      </c>
      <c r="Q17" s="107">
        <v>2370.0000000000009</v>
      </c>
    </row>
    <row r="18" spans="1:17" x14ac:dyDescent="0.4">
      <c r="A18" s="55" t="s">
        <v>12</v>
      </c>
      <c r="B18" s="47">
        <v>469</v>
      </c>
      <c r="C18" s="39">
        <f>IF(B$17=0,0,B18/B$17)</f>
        <v>0.43790849673202614</v>
      </c>
      <c r="E18" s="63" t="s">
        <v>180</v>
      </c>
      <c r="F18" s="60" t="s">
        <v>183</v>
      </c>
      <c r="G18" s="47">
        <v>17</v>
      </c>
      <c r="H18" s="133">
        <f>IF(B$17=0,0,G18/B$17)</f>
        <v>1.5873015873015872E-2</v>
      </c>
      <c r="I18" s="94">
        <v>4</v>
      </c>
      <c r="K18" s="38">
        <v>16</v>
      </c>
      <c r="L18" s="99">
        <v>90.899999999999991</v>
      </c>
      <c r="N18" s="115" t="s">
        <v>177</v>
      </c>
      <c r="O18" s="125">
        <f>IF(P18=0,0,Q18/P18)</f>
        <v>12.749999999999995</v>
      </c>
      <c r="P18" s="119">
        <v>48</v>
      </c>
      <c r="Q18" s="107">
        <v>611.99999999999977</v>
      </c>
    </row>
    <row r="19" spans="1:17" x14ac:dyDescent="0.4">
      <c r="A19" s="55" t="s">
        <v>11</v>
      </c>
      <c r="B19" s="47">
        <v>602</v>
      </c>
      <c r="C19" s="39">
        <f>IF(B$17=0,0,B19/B$17)</f>
        <v>0.56209150326797386</v>
      </c>
      <c r="E19" s="63" t="s">
        <v>80</v>
      </c>
      <c r="F19" s="60" t="s">
        <v>35</v>
      </c>
      <c r="G19" s="47">
        <v>15</v>
      </c>
      <c r="H19" s="133">
        <f>IF(B$17=0,0,G19/B$17)</f>
        <v>1.4005602240896359E-2</v>
      </c>
      <c r="I19" s="94">
        <v>5</v>
      </c>
      <c r="K19" s="38">
        <v>17</v>
      </c>
      <c r="L19" s="99">
        <v>8.2999999999999972</v>
      </c>
      <c r="N19" s="115" t="s">
        <v>173</v>
      </c>
      <c r="O19" s="125">
        <f>IF(P19=0,0,Q19/P19)</f>
        <v>9.5027027027027007</v>
      </c>
      <c r="P19" s="119">
        <v>74</v>
      </c>
      <c r="Q19" s="107">
        <v>703.19999999999982</v>
      </c>
    </row>
    <row r="20" spans="1:17" x14ac:dyDescent="0.4">
      <c r="A20" s="55" t="s">
        <v>13</v>
      </c>
      <c r="B20" s="47">
        <v>594</v>
      </c>
      <c r="C20" s="39">
        <f>IF(B$3=0,0,B20/B$3)</f>
        <v>0.16708860759493671</v>
      </c>
      <c r="E20" s="63" t="s">
        <v>74</v>
      </c>
      <c r="F20" s="60" t="s">
        <v>29</v>
      </c>
      <c r="G20" s="47">
        <v>7</v>
      </c>
      <c r="H20" s="133">
        <f>IF(B$17=0,0,G20/B$17)</f>
        <v>6.5359477124183009E-3</v>
      </c>
      <c r="I20" s="94">
        <v>5</v>
      </c>
      <c r="K20" s="38">
        <v>18</v>
      </c>
      <c r="L20" s="99">
        <v>-3.5527136788005009E-15</v>
      </c>
      <c r="N20" s="115" t="s">
        <v>128</v>
      </c>
      <c r="O20" s="125">
        <f>IF(P20=0,0,Q20/P20)</f>
        <v>5.5558823529411754</v>
      </c>
      <c r="P20" s="119">
        <v>204</v>
      </c>
      <c r="Q20" s="107">
        <v>1133.3999999999999</v>
      </c>
    </row>
    <row r="21" spans="1:17" x14ac:dyDescent="0.4">
      <c r="A21" s="55" t="s">
        <v>193</v>
      </c>
      <c r="B21" s="47">
        <v>7</v>
      </c>
      <c r="C21" s="135">
        <v>0</v>
      </c>
      <c r="E21" s="63" t="s">
        <v>76</v>
      </c>
      <c r="F21" s="60" t="s">
        <v>31</v>
      </c>
      <c r="G21" s="47">
        <v>7</v>
      </c>
      <c r="H21" s="133">
        <f>IF(B$17=0,0,G21/B$17)</f>
        <v>6.5359477124183009E-3</v>
      </c>
      <c r="I21" s="94">
        <v>5</v>
      </c>
      <c r="K21" s="38">
        <v>19</v>
      </c>
      <c r="L21" s="99">
        <v>30.999999999999996</v>
      </c>
      <c r="N21" s="115" t="s">
        <v>202</v>
      </c>
      <c r="O21" s="125">
        <f>IF(P21=0,0,Q21/P21)</f>
        <v>4.8299999999999983</v>
      </c>
      <c r="P21" s="119">
        <v>10</v>
      </c>
      <c r="Q21" s="107">
        <v>48.299999999999983</v>
      </c>
    </row>
    <row r="22" spans="1:17" x14ac:dyDescent="0.4">
      <c r="A22" s="55" t="s">
        <v>194</v>
      </c>
      <c r="B22" s="47">
        <v>31</v>
      </c>
      <c r="C22" s="135">
        <v>3</v>
      </c>
      <c r="E22" s="63" t="s">
        <v>88</v>
      </c>
      <c r="F22" s="60" t="s">
        <v>43</v>
      </c>
      <c r="G22" s="47">
        <v>4</v>
      </c>
      <c r="H22" s="133">
        <f>IF(B$17=0,0,G22/B$17)</f>
        <v>3.7348272642390291E-3</v>
      </c>
      <c r="I22" s="94">
        <v>4</v>
      </c>
      <c r="K22" s="38">
        <v>20</v>
      </c>
      <c r="L22" s="99">
        <v>0.79999999999999716</v>
      </c>
      <c r="N22" s="115" t="s">
        <v>171</v>
      </c>
      <c r="O22" s="125">
        <f>IF(P22=0,0,Q22/P22)</f>
        <v>-0.53365384615384426</v>
      </c>
      <c r="P22" s="119">
        <v>104</v>
      </c>
      <c r="Q22" s="107">
        <v>-55.499999999999801</v>
      </c>
    </row>
    <row r="23" spans="1:17" x14ac:dyDescent="0.4">
      <c r="A23" s="55" t="s">
        <v>5</v>
      </c>
      <c r="B23" s="51">
        <f>IF(B$17=0,0,C23/B$17)</f>
        <v>8397.4789915966394</v>
      </c>
      <c r="C23" s="41">
        <v>8993700</v>
      </c>
      <c r="E23" s="63" t="s">
        <v>93</v>
      </c>
      <c r="F23" s="60" t="s">
        <v>48</v>
      </c>
      <c r="G23" s="47">
        <v>4</v>
      </c>
      <c r="H23" s="133">
        <f>IF(B$17=0,0,G23/B$17)</f>
        <v>3.7348272642390291E-3</v>
      </c>
      <c r="I23" s="94">
        <v>3</v>
      </c>
      <c r="K23" s="38">
        <v>21</v>
      </c>
      <c r="L23" s="99">
        <v>-2.886579864025407E-15</v>
      </c>
      <c r="N23" s="115" t="s">
        <v>172</v>
      </c>
      <c r="O23" s="125">
        <f>IF(P23=0,0,Q23/P23)</f>
        <v>-2.2584905660377381</v>
      </c>
      <c r="P23" s="119">
        <v>106</v>
      </c>
      <c r="Q23" s="107">
        <v>-239.40000000000023</v>
      </c>
    </row>
    <row r="24" spans="1:17" x14ac:dyDescent="0.4">
      <c r="A24" s="57" t="s">
        <v>14</v>
      </c>
      <c r="B24" s="52">
        <f>IF(B$20=0,0,C24/B$20)</f>
        <v>-8025.4208754208757</v>
      </c>
      <c r="C24" s="45">
        <v>-4767100</v>
      </c>
      <c r="E24" s="63" t="s">
        <v>75</v>
      </c>
      <c r="F24" s="60" t="s">
        <v>30</v>
      </c>
      <c r="G24" s="47">
        <v>3</v>
      </c>
      <c r="H24" s="133">
        <f>IF(B$17=0,0,G24/B$17)</f>
        <v>2.8011204481792717E-3</v>
      </c>
      <c r="I24" s="94">
        <v>3</v>
      </c>
      <c r="K24" s="38">
        <v>22</v>
      </c>
      <c r="L24" s="99">
        <v>23.699999999999996</v>
      </c>
      <c r="N24" s="115" t="s">
        <v>224</v>
      </c>
      <c r="O24" s="125">
        <f>IF(P24=0,0,Q24/P24)</f>
        <v>-19.950000000000003</v>
      </c>
      <c r="P24" s="119">
        <v>2</v>
      </c>
      <c r="Q24" s="107">
        <v>-39.900000000000006</v>
      </c>
    </row>
    <row r="25" spans="1:17" x14ac:dyDescent="0.4">
      <c r="A25" s="90" t="s">
        <v>142</v>
      </c>
      <c r="B25" s="140">
        <v>7</v>
      </c>
      <c r="C25" s="141"/>
      <c r="E25" s="63" t="s">
        <v>78</v>
      </c>
      <c r="F25" s="60" t="s">
        <v>33</v>
      </c>
      <c r="G25" s="47">
        <v>3</v>
      </c>
      <c r="H25" s="133">
        <f>IF(B$17=0,0,G25/B$17)</f>
        <v>2.8011204481792717E-3</v>
      </c>
      <c r="I25" s="94">
        <v>4</v>
      </c>
      <c r="K25" s="38">
        <v>23</v>
      </c>
      <c r="L25" s="99">
        <v>26.299999999999997</v>
      </c>
      <c r="N25" s="115" t="s">
        <v>127</v>
      </c>
      <c r="O25" s="125">
        <f>IF(P25=0,0,Q25/P25)</f>
        <v>-26.315624999999955</v>
      </c>
      <c r="P25" s="119">
        <v>192</v>
      </c>
      <c r="Q25" s="107">
        <v>-5052.5999999999913</v>
      </c>
    </row>
    <row r="26" spans="1:17" x14ac:dyDescent="0.4">
      <c r="A26" s="58" t="s">
        <v>152</v>
      </c>
      <c r="B26" s="138">
        <v>116000</v>
      </c>
      <c r="C26" s="139"/>
      <c r="E26" s="63" t="s">
        <v>94</v>
      </c>
      <c r="F26" s="60" t="s">
        <v>49</v>
      </c>
      <c r="G26" s="47">
        <v>3</v>
      </c>
      <c r="H26" s="133">
        <f>IF(B$17=0,0,G26/B$17)</f>
        <v>2.8011204481792717E-3</v>
      </c>
      <c r="I26" s="94">
        <v>4</v>
      </c>
      <c r="K26" s="38">
        <v>24</v>
      </c>
      <c r="L26" s="99">
        <v>-3.5527136788005009E-15</v>
      </c>
      <c r="N26" s="115" t="s">
        <v>185</v>
      </c>
      <c r="O26" s="125">
        <f>IF(P26=0,0,Q26/P26)</f>
        <v>-30.5</v>
      </c>
      <c r="P26" s="119">
        <v>6</v>
      </c>
      <c r="Q26" s="107">
        <v>-183</v>
      </c>
    </row>
    <row r="27" spans="1:17" x14ac:dyDescent="0.4">
      <c r="A27" s="57" t="s">
        <v>143</v>
      </c>
      <c r="B27" s="65">
        <v>10</v>
      </c>
      <c r="C27" s="42">
        <f>IF(B$3=0,0,B27/B$3)</f>
        <v>2.8129395218002813E-3</v>
      </c>
      <c r="E27" s="63" t="s">
        <v>89</v>
      </c>
      <c r="F27" s="60" t="s">
        <v>44</v>
      </c>
      <c r="G27" s="47">
        <v>2</v>
      </c>
      <c r="H27" s="133">
        <f>IF(B$17=0,0,G27/B$17)</f>
        <v>1.8674136321195146E-3</v>
      </c>
      <c r="I27" s="94">
        <v>3</v>
      </c>
      <c r="K27" s="38">
        <v>25</v>
      </c>
      <c r="L27" s="99">
        <v>-31.300000000000004</v>
      </c>
    </row>
    <row r="28" spans="1:17" x14ac:dyDescent="0.4">
      <c r="E28" s="63" t="s">
        <v>96</v>
      </c>
      <c r="F28" s="60" t="s">
        <v>51</v>
      </c>
      <c r="G28" s="47">
        <v>2</v>
      </c>
      <c r="H28" s="133">
        <f>IF(B$17=0,0,G28/B$17)</f>
        <v>1.8674136321195146E-3</v>
      </c>
      <c r="I28" s="94">
        <v>3</v>
      </c>
      <c r="K28" s="38">
        <v>26</v>
      </c>
      <c r="L28" s="99">
        <v>1.8999999999999986</v>
      </c>
    </row>
    <row r="29" spans="1:17" x14ac:dyDescent="0.4">
      <c r="E29" s="63" t="s">
        <v>85</v>
      </c>
      <c r="F29" s="60" t="s">
        <v>40</v>
      </c>
      <c r="G29" s="47">
        <v>1</v>
      </c>
      <c r="H29" s="133">
        <f>IF(B$17=0,0,G29/B$17)</f>
        <v>9.3370681605975728E-4</v>
      </c>
      <c r="I29" s="94">
        <v>2</v>
      </c>
      <c r="K29" s="38">
        <v>27</v>
      </c>
      <c r="L29" s="99">
        <v>-1.3322676295501878E-15</v>
      </c>
    </row>
    <row r="30" spans="1:17" x14ac:dyDescent="0.4">
      <c r="E30" s="63" t="s">
        <v>86</v>
      </c>
      <c r="F30" s="60" t="s">
        <v>41</v>
      </c>
      <c r="G30" s="47">
        <v>1</v>
      </c>
      <c r="H30" s="133">
        <f>IF(B$17=0,0,G30/B$17)</f>
        <v>9.3370681605975728E-4</v>
      </c>
      <c r="I30" s="94">
        <v>2</v>
      </c>
      <c r="K30" s="38">
        <v>28</v>
      </c>
      <c r="L30" s="99">
        <v>-58.3</v>
      </c>
    </row>
    <row r="31" spans="1:17" x14ac:dyDescent="0.4">
      <c r="E31" s="63" t="s">
        <v>91</v>
      </c>
      <c r="F31" s="60" t="s">
        <v>46</v>
      </c>
      <c r="G31" s="47">
        <v>1</v>
      </c>
      <c r="H31" s="133">
        <f>IF(B$17=0,0,G31/B$17)</f>
        <v>9.3370681605975728E-4</v>
      </c>
      <c r="I31" s="94">
        <v>2</v>
      </c>
      <c r="K31" s="38">
        <v>29</v>
      </c>
      <c r="L31" s="99">
        <v>-9.5</v>
      </c>
    </row>
    <row r="32" spans="1:17" x14ac:dyDescent="0.4">
      <c r="E32" s="63" t="s">
        <v>77</v>
      </c>
      <c r="F32" s="60" t="s">
        <v>32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0</v>
      </c>
    </row>
    <row r="33" spans="5:12" x14ac:dyDescent="0.4">
      <c r="E33" s="63" t="s">
        <v>81</v>
      </c>
      <c r="F33" s="60" t="s">
        <v>36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29.1</v>
      </c>
    </row>
    <row r="34" spans="5:12" x14ac:dyDescent="0.4">
      <c r="E34" s="63" t="s">
        <v>83</v>
      </c>
      <c r="F34" s="60" t="s">
        <v>38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4.3000000000000007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-31.699999999999992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-7.1054273576010019E-15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38.399999999999991</v>
      </c>
    </row>
    <row r="52" spans="5:12" x14ac:dyDescent="0.4"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  <row r="315" spans="11:12" x14ac:dyDescent="0.4">
      <c r="K315" s="38">
        <v>313</v>
      </c>
      <c r="L315" s="99">
        <v>-24.6</v>
      </c>
    </row>
    <row r="316" spans="11:12" x14ac:dyDescent="0.4">
      <c r="K316" s="38">
        <v>314</v>
      </c>
      <c r="L316" s="99">
        <v>-2.2000000000000028</v>
      </c>
    </row>
    <row r="317" spans="11:12" x14ac:dyDescent="0.4">
      <c r="K317" s="38">
        <v>315</v>
      </c>
      <c r="L317" s="99">
        <v>-2.6645352591003757E-15</v>
      </c>
    </row>
    <row r="318" spans="11:12" x14ac:dyDescent="0.4">
      <c r="K318" s="38">
        <v>316</v>
      </c>
      <c r="L318" s="99">
        <v>-5.3000000000000025</v>
      </c>
    </row>
    <row r="319" spans="11:12" x14ac:dyDescent="0.4">
      <c r="K319" s="38">
        <v>317</v>
      </c>
      <c r="L319" s="99">
        <v>76.600000000000009</v>
      </c>
    </row>
    <row r="320" spans="11:12" x14ac:dyDescent="0.4">
      <c r="K320" s="38">
        <v>318</v>
      </c>
      <c r="L320" s="99">
        <v>1.4210854715202004E-14</v>
      </c>
    </row>
    <row r="321" spans="11:12" x14ac:dyDescent="0.4">
      <c r="K321" s="38">
        <v>319</v>
      </c>
      <c r="L321" s="99">
        <v>-12.599999999999985</v>
      </c>
    </row>
    <row r="322" spans="11:12" x14ac:dyDescent="0.4">
      <c r="K322" s="38">
        <v>320</v>
      </c>
      <c r="L322" s="99">
        <v>35.100000000000016</v>
      </c>
    </row>
    <row r="323" spans="11:12" x14ac:dyDescent="0.4">
      <c r="K323" s="38">
        <v>321</v>
      </c>
      <c r="L323" s="99">
        <v>1.4210854715202004E-14</v>
      </c>
    </row>
    <row r="324" spans="11:12" x14ac:dyDescent="0.4">
      <c r="K324" s="38">
        <v>322</v>
      </c>
      <c r="L324" s="99">
        <v>66.200000000000017</v>
      </c>
    </row>
    <row r="325" spans="11:12" x14ac:dyDescent="0.4">
      <c r="K325" s="38">
        <v>323</v>
      </c>
      <c r="L325" s="99">
        <v>57.300000000000018</v>
      </c>
    </row>
    <row r="326" spans="11:12" x14ac:dyDescent="0.4">
      <c r="K326" s="38">
        <v>324</v>
      </c>
      <c r="L326" s="99">
        <v>2.1316282072803006E-14</v>
      </c>
    </row>
    <row r="327" spans="11:12" x14ac:dyDescent="0.4">
      <c r="K327" s="38">
        <v>325</v>
      </c>
      <c r="L327" s="99">
        <v>-35.59999999999998</v>
      </c>
    </row>
    <row r="328" spans="11:12" x14ac:dyDescent="0.4">
      <c r="K328" s="38">
        <v>326</v>
      </c>
      <c r="L328" s="99">
        <v>-38.59999999999998</v>
      </c>
    </row>
    <row r="329" spans="11:12" x14ac:dyDescent="0.4">
      <c r="K329" s="38">
        <v>327</v>
      </c>
      <c r="L329" s="99">
        <v>2.1316282072803006E-14</v>
      </c>
    </row>
    <row r="330" spans="11:12" x14ac:dyDescent="0.4">
      <c r="K330" s="38">
        <v>328</v>
      </c>
      <c r="L330" s="99">
        <v>32.500000000000021</v>
      </c>
    </row>
    <row r="331" spans="11:12" x14ac:dyDescent="0.4">
      <c r="K331" s="38">
        <v>329</v>
      </c>
      <c r="L331" s="99">
        <v>38.600000000000023</v>
      </c>
    </row>
    <row r="332" spans="11:12" x14ac:dyDescent="0.4">
      <c r="K332" s="38">
        <v>330</v>
      </c>
      <c r="L332" s="99">
        <v>2.1316282072803006E-14</v>
      </c>
    </row>
    <row r="333" spans="11:12" x14ac:dyDescent="0.4">
      <c r="K333" s="38">
        <v>331</v>
      </c>
      <c r="L333" s="99">
        <v>-36.799999999999976</v>
      </c>
    </row>
    <row r="334" spans="11:12" x14ac:dyDescent="0.4">
      <c r="K334" s="38">
        <v>332</v>
      </c>
      <c r="L334" s="99">
        <v>1.400000000000027</v>
      </c>
    </row>
    <row r="335" spans="11:12" x14ac:dyDescent="0.4">
      <c r="K335" s="38">
        <v>333</v>
      </c>
      <c r="L335" s="99">
        <v>2.708944180085382E-14</v>
      </c>
    </row>
    <row r="336" spans="11:12" x14ac:dyDescent="0.4">
      <c r="K336" s="38">
        <v>334</v>
      </c>
      <c r="L336" s="99">
        <v>10.000000000000027</v>
      </c>
    </row>
    <row r="337" spans="11:12" x14ac:dyDescent="0.4">
      <c r="K337" s="38">
        <v>335</v>
      </c>
      <c r="L337" s="99">
        <v>-39.699999999999974</v>
      </c>
    </row>
    <row r="338" spans="11:12" x14ac:dyDescent="0.4">
      <c r="K338" s="38">
        <v>336</v>
      </c>
      <c r="L338" s="99">
        <v>2.8421709430404007E-14</v>
      </c>
    </row>
    <row r="339" spans="11:12" x14ac:dyDescent="0.4">
      <c r="K339" s="38">
        <v>337</v>
      </c>
      <c r="L339" s="99">
        <v>42.500000000000028</v>
      </c>
    </row>
    <row r="340" spans="11:12" x14ac:dyDescent="0.4">
      <c r="K340" s="38">
        <v>338</v>
      </c>
      <c r="L340" s="99">
        <v>3.0000000000000284</v>
      </c>
    </row>
    <row r="341" spans="11:12" x14ac:dyDescent="0.4">
      <c r="K341" s="38">
        <v>339</v>
      </c>
      <c r="L341" s="99">
        <v>2.8421709430404007E-14</v>
      </c>
    </row>
    <row r="342" spans="11:12" x14ac:dyDescent="0.4">
      <c r="K342" s="38">
        <v>340</v>
      </c>
      <c r="L342" s="99">
        <v>-6.9999999999999716</v>
      </c>
    </row>
    <row r="343" spans="11:12" x14ac:dyDescent="0.4">
      <c r="K343" s="38">
        <v>341</v>
      </c>
      <c r="L343" s="99">
        <v>-41.799999999999969</v>
      </c>
    </row>
    <row r="344" spans="11:12" x14ac:dyDescent="0.4">
      <c r="K344" s="38">
        <v>342</v>
      </c>
      <c r="L344" s="99">
        <v>2.8421709430404007E-14</v>
      </c>
    </row>
    <row r="345" spans="11:12" x14ac:dyDescent="0.4">
      <c r="K345" s="38">
        <v>343</v>
      </c>
      <c r="L345" s="99">
        <v>-34.199999999999974</v>
      </c>
    </row>
    <row r="346" spans="11:12" x14ac:dyDescent="0.4">
      <c r="K346" s="38">
        <v>344</v>
      </c>
      <c r="L346" s="99">
        <v>0.30000000000002558</v>
      </c>
    </row>
    <row r="347" spans="11:12" x14ac:dyDescent="0.4">
      <c r="K347" s="38">
        <v>345</v>
      </c>
      <c r="L347" s="99">
        <v>2.5590640717609858E-14</v>
      </c>
    </row>
    <row r="348" spans="11:12" x14ac:dyDescent="0.4">
      <c r="K348" s="38">
        <v>346</v>
      </c>
      <c r="L348" s="99">
        <v>-58.499999999999972</v>
      </c>
    </row>
    <row r="349" spans="11:12" x14ac:dyDescent="0.4">
      <c r="K349" s="38">
        <v>347</v>
      </c>
      <c r="L349" s="99">
        <v>-44.999999999999972</v>
      </c>
    </row>
    <row r="350" spans="11:12" x14ac:dyDescent="0.4">
      <c r="K350" s="38">
        <v>348</v>
      </c>
      <c r="L350" s="99">
        <v>2.8421709430404007E-14</v>
      </c>
    </row>
    <row r="351" spans="11:12" x14ac:dyDescent="0.4">
      <c r="K351" s="38">
        <v>349</v>
      </c>
      <c r="L351" s="99">
        <v>-77.999999999999972</v>
      </c>
    </row>
    <row r="352" spans="11:12" x14ac:dyDescent="0.4">
      <c r="K352" s="38">
        <v>350</v>
      </c>
      <c r="L352" s="99">
        <v>-17.599999999999973</v>
      </c>
    </row>
    <row r="353" spans="11:12" x14ac:dyDescent="0.4">
      <c r="K353" s="38">
        <v>351</v>
      </c>
      <c r="L353" s="99">
        <v>2.8421709430404007E-14</v>
      </c>
    </row>
    <row r="354" spans="11:12" x14ac:dyDescent="0.4">
      <c r="K354" s="38">
        <v>352</v>
      </c>
      <c r="L354" s="99">
        <v>2.1000000000000285</v>
      </c>
    </row>
    <row r="355" spans="11:12" x14ac:dyDescent="0.4">
      <c r="K355" s="38">
        <v>353</v>
      </c>
      <c r="L355" s="99">
        <v>30.500000000000028</v>
      </c>
    </row>
    <row r="356" spans="11:12" x14ac:dyDescent="0.4">
      <c r="K356" s="38">
        <v>354</v>
      </c>
      <c r="L356" s="99">
        <v>2.8421709430404007E-14</v>
      </c>
    </row>
    <row r="357" spans="11:12" x14ac:dyDescent="0.4">
      <c r="K357" s="38">
        <v>355</v>
      </c>
      <c r="L357" s="99">
        <v>8.8000000000000291</v>
      </c>
    </row>
    <row r="358" spans="11:12" x14ac:dyDescent="0.4">
      <c r="K358" s="38">
        <v>356</v>
      </c>
      <c r="L358" s="99">
        <v>40.900000000000034</v>
      </c>
    </row>
    <row r="359" spans="11:12" x14ac:dyDescent="0.4">
      <c r="K359" s="38">
        <v>357</v>
      </c>
      <c r="L359" s="99">
        <v>3.5527136788005009E-14</v>
      </c>
    </row>
    <row r="360" spans="11:12" x14ac:dyDescent="0.4">
      <c r="K360" s="38">
        <v>358</v>
      </c>
      <c r="L360" s="99">
        <v>9.6000000000000352</v>
      </c>
    </row>
    <row r="361" spans="11:12" x14ac:dyDescent="0.4">
      <c r="K361" s="38">
        <v>359</v>
      </c>
      <c r="L361" s="99">
        <v>-30.69999999999996</v>
      </c>
    </row>
    <row r="362" spans="11:12" x14ac:dyDescent="0.4">
      <c r="K362" s="38">
        <v>360</v>
      </c>
      <c r="L362" s="99">
        <v>3.907985046680551E-14</v>
      </c>
    </row>
    <row r="363" spans="11:12" x14ac:dyDescent="0.4">
      <c r="K363" s="38">
        <v>361</v>
      </c>
      <c r="L363" s="99">
        <v>-1.299999999999961</v>
      </c>
    </row>
    <row r="364" spans="11:12" x14ac:dyDescent="0.4">
      <c r="K364" s="38">
        <v>362</v>
      </c>
      <c r="L364" s="99">
        <v>25.100000000000037</v>
      </c>
    </row>
    <row r="365" spans="11:12" x14ac:dyDescent="0.4">
      <c r="K365" s="38">
        <v>363</v>
      </c>
      <c r="L365" s="99">
        <v>3.5527136788005009E-14</v>
      </c>
    </row>
    <row r="366" spans="11:12" x14ac:dyDescent="0.4">
      <c r="K366" s="38">
        <v>364</v>
      </c>
      <c r="L366" s="99">
        <v>-65.099999999999966</v>
      </c>
    </row>
    <row r="367" spans="11:12" x14ac:dyDescent="0.4">
      <c r="K367" s="38">
        <v>365</v>
      </c>
      <c r="L367" s="99">
        <v>-9.1999999999999673</v>
      </c>
    </row>
    <row r="368" spans="11:12" x14ac:dyDescent="0.4">
      <c r="K368" s="38">
        <v>366</v>
      </c>
      <c r="L368" s="99">
        <v>3.1974423109204508E-14</v>
      </c>
    </row>
    <row r="369" spans="11:12" x14ac:dyDescent="0.4">
      <c r="K369" s="38">
        <v>367</v>
      </c>
      <c r="L369" s="99">
        <v>31.600000000000033</v>
      </c>
    </row>
    <row r="370" spans="11:12" x14ac:dyDescent="0.4">
      <c r="K370" s="38">
        <v>368</v>
      </c>
      <c r="L370" s="99">
        <v>4.6000000000000334</v>
      </c>
    </row>
    <row r="371" spans="11:12" x14ac:dyDescent="0.4">
      <c r="K371" s="38">
        <v>369</v>
      </c>
      <c r="L371" s="99">
        <v>3.3750779948604759E-14</v>
      </c>
    </row>
    <row r="372" spans="11:12" x14ac:dyDescent="0.4">
      <c r="K372" s="38">
        <v>370</v>
      </c>
      <c r="L372" s="99">
        <v>-43.399999999999963</v>
      </c>
    </row>
    <row r="373" spans="11:12" x14ac:dyDescent="0.4">
      <c r="K373" s="38">
        <v>371</v>
      </c>
      <c r="L373" s="99">
        <v>0.30000000000003979</v>
      </c>
    </row>
    <row r="374" spans="11:12" x14ac:dyDescent="0.4">
      <c r="K374" s="38">
        <v>372</v>
      </c>
      <c r="L374" s="99">
        <v>3.9801495432811862E-14</v>
      </c>
    </row>
    <row r="375" spans="11:12" x14ac:dyDescent="0.4">
      <c r="K375" s="38">
        <v>373</v>
      </c>
      <c r="L375" s="99">
        <v>-31.69999999999996</v>
      </c>
    </row>
    <row r="376" spans="11:12" x14ac:dyDescent="0.4">
      <c r="K376" s="38">
        <v>374</v>
      </c>
      <c r="L376" s="99">
        <v>-34.799999999999962</v>
      </c>
    </row>
    <row r="377" spans="11:12" x14ac:dyDescent="0.4">
      <c r="K377" s="38">
        <v>375</v>
      </c>
      <c r="L377" s="99">
        <v>3.5527136788005009E-14</v>
      </c>
    </row>
    <row r="378" spans="11:12" x14ac:dyDescent="0.4">
      <c r="K378" s="38">
        <v>376</v>
      </c>
      <c r="L378" s="99">
        <v>63.100000000000037</v>
      </c>
    </row>
    <row r="379" spans="11:12" x14ac:dyDescent="0.4">
      <c r="K379" s="38">
        <v>377</v>
      </c>
      <c r="L379" s="99">
        <v>75.30000000000004</v>
      </c>
    </row>
    <row r="380" spans="11:12" x14ac:dyDescent="0.4">
      <c r="K380" s="38">
        <v>378</v>
      </c>
      <c r="L380" s="99">
        <v>4.2632564145606011E-14</v>
      </c>
    </row>
    <row r="381" spans="11:12" x14ac:dyDescent="0.4">
      <c r="K381" s="38">
        <v>379</v>
      </c>
      <c r="L381" s="99">
        <v>-10.499999999999957</v>
      </c>
    </row>
    <row r="382" spans="11:12" x14ac:dyDescent="0.4">
      <c r="K382" s="38">
        <v>380</v>
      </c>
      <c r="L382" s="99">
        <v>35.500000000000043</v>
      </c>
    </row>
    <row r="383" spans="11:12" x14ac:dyDescent="0.4">
      <c r="K383" s="38">
        <v>381</v>
      </c>
      <c r="L383" s="99">
        <v>4.2632564145606011E-14</v>
      </c>
    </row>
    <row r="384" spans="11:12" x14ac:dyDescent="0.4">
      <c r="K384" s="38">
        <v>382</v>
      </c>
      <c r="L384" s="99">
        <v>-57.599999999999959</v>
      </c>
    </row>
    <row r="385" spans="11:12" x14ac:dyDescent="0.4">
      <c r="K385" s="38">
        <v>383</v>
      </c>
      <c r="L385" s="99">
        <v>-4.9999999999999574</v>
      </c>
    </row>
    <row r="386" spans="11:12" x14ac:dyDescent="0.4">
      <c r="K386" s="38">
        <v>384</v>
      </c>
      <c r="L386" s="99">
        <v>4.2632564145606011E-14</v>
      </c>
    </row>
    <row r="387" spans="11:12" x14ac:dyDescent="0.4">
      <c r="K387" s="38">
        <v>385</v>
      </c>
      <c r="L387" s="99">
        <v>-33.299999999999955</v>
      </c>
    </row>
    <row r="388" spans="11:12" x14ac:dyDescent="0.4">
      <c r="K388" s="38">
        <v>386</v>
      </c>
      <c r="L388" s="99">
        <v>-2.6999999999999531</v>
      </c>
    </row>
    <row r="389" spans="11:12" x14ac:dyDescent="0.4">
      <c r="K389" s="38">
        <v>387</v>
      </c>
      <c r="L389" s="99">
        <v>4.7073456244106637E-14</v>
      </c>
    </row>
    <row r="390" spans="11:12" x14ac:dyDescent="0.4">
      <c r="K390" s="38">
        <v>388</v>
      </c>
      <c r="L390" s="99">
        <v>-39.599999999999952</v>
      </c>
    </row>
    <row r="391" spans="11:12" x14ac:dyDescent="0.4">
      <c r="K391" s="38">
        <v>389</v>
      </c>
      <c r="L391" s="99">
        <v>-38.199999999999953</v>
      </c>
    </row>
    <row r="392" spans="11:12" x14ac:dyDescent="0.4">
      <c r="K392" s="38">
        <v>390</v>
      </c>
      <c r="L392" s="99">
        <v>4.9737991503207013E-14</v>
      </c>
    </row>
    <row r="393" spans="11:12" x14ac:dyDescent="0.4">
      <c r="K393" s="38">
        <v>391</v>
      </c>
      <c r="L393" s="99">
        <v>-29.799999999999951</v>
      </c>
    </row>
    <row r="394" spans="11:12" x14ac:dyDescent="0.4">
      <c r="K394" s="38">
        <v>392</v>
      </c>
      <c r="L394" s="99">
        <v>3.200000000000049</v>
      </c>
    </row>
    <row r="395" spans="11:12" x14ac:dyDescent="0.4">
      <c r="K395" s="38">
        <v>393</v>
      </c>
      <c r="L395" s="99">
        <v>4.8849813083506888E-14</v>
      </c>
    </row>
    <row r="396" spans="11:12" x14ac:dyDescent="0.4">
      <c r="K396" s="38">
        <v>394</v>
      </c>
      <c r="L396" s="99">
        <v>-7.299999999999951</v>
      </c>
    </row>
    <row r="397" spans="11:12" x14ac:dyDescent="0.4">
      <c r="K397" s="38">
        <v>395</v>
      </c>
      <c r="L397" s="99">
        <v>58.200000000000045</v>
      </c>
    </row>
    <row r="398" spans="11:12" x14ac:dyDescent="0.4">
      <c r="K398" s="38">
        <v>396</v>
      </c>
      <c r="L398" s="99">
        <v>4.2632564145606011E-14</v>
      </c>
    </row>
    <row r="399" spans="11:12" x14ac:dyDescent="0.4">
      <c r="K399" s="38">
        <v>397</v>
      </c>
      <c r="L399" s="99">
        <v>-35.999999999999957</v>
      </c>
    </row>
    <row r="400" spans="11:12" x14ac:dyDescent="0.4">
      <c r="K400" s="38">
        <v>398</v>
      </c>
      <c r="L400" s="99">
        <v>-34.399999999999956</v>
      </c>
    </row>
    <row r="401" spans="11:12" x14ac:dyDescent="0.4">
      <c r="K401" s="38">
        <v>399</v>
      </c>
      <c r="L401" s="99">
        <v>4.2632564145606011E-14</v>
      </c>
    </row>
    <row r="402" spans="11:12" x14ac:dyDescent="0.4">
      <c r="K402" s="38">
        <v>400</v>
      </c>
      <c r="L402" s="99">
        <v>-59.19999999999996</v>
      </c>
    </row>
    <row r="403" spans="11:12" x14ac:dyDescent="0.4">
      <c r="K403" s="38">
        <v>401</v>
      </c>
      <c r="L403" s="99">
        <v>-59.899999999999963</v>
      </c>
    </row>
    <row r="404" spans="11:12" x14ac:dyDescent="0.4">
      <c r="K404" s="38">
        <v>402</v>
      </c>
      <c r="L404" s="99">
        <v>3.5527136788005009E-14</v>
      </c>
    </row>
    <row r="405" spans="11:12" x14ac:dyDescent="0.4">
      <c r="K405" s="38">
        <v>403</v>
      </c>
      <c r="L405" s="99">
        <v>35.400000000000034</v>
      </c>
    </row>
    <row r="406" spans="11:12" x14ac:dyDescent="0.4">
      <c r="K406" s="38">
        <v>404</v>
      </c>
      <c r="L406" s="99">
        <v>46.100000000000037</v>
      </c>
    </row>
    <row r="407" spans="11:12" x14ac:dyDescent="0.4">
      <c r="K407" s="38">
        <v>405</v>
      </c>
      <c r="L407" s="99">
        <v>3.5527136788005009E-14</v>
      </c>
    </row>
    <row r="408" spans="11:12" x14ac:dyDescent="0.4">
      <c r="K408" s="38">
        <v>406</v>
      </c>
      <c r="L408" s="99">
        <v>42.900000000000034</v>
      </c>
    </row>
    <row r="409" spans="11:12" x14ac:dyDescent="0.4">
      <c r="K409" s="38">
        <v>407</v>
      </c>
      <c r="L409" s="99">
        <v>-13.299999999999969</v>
      </c>
    </row>
    <row r="410" spans="11:12" x14ac:dyDescent="0.4">
      <c r="K410" s="38">
        <v>408</v>
      </c>
      <c r="L410" s="99">
        <v>3.1974423109204508E-14</v>
      </c>
    </row>
    <row r="411" spans="11:12" x14ac:dyDescent="0.4">
      <c r="K411" s="38">
        <v>409</v>
      </c>
      <c r="L411" s="99">
        <v>-36.999999999999972</v>
      </c>
    </row>
    <row r="412" spans="11:12" x14ac:dyDescent="0.4">
      <c r="K412" s="38">
        <v>410</v>
      </c>
      <c r="L412" s="99">
        <v>-43.699999999999974</v>
      </c>
    </row>
    <row r="413" spans="11:12" x14ac:dyDescent="0.4">
      <c r="K413" s="38">
        <v>411</v>
      </c>
      <c r="L413" s="99">
        <v>2.8421709430404007E-14</v>
      </c>
    </row>
    <row r="414" spans="11:12" x14ac:dyDescent="0.4">
      <c r="K414" s="38">
        <v>412</v>
      </c>
      <c r="L414" s="99">
        <v>-57.499999999999972</v>
      </c>
    </row>
    <row r="415" spans="11:12" x14ac:dyDescent="0.4">
      <c r="K415" s="38">
        <v>413</v>
      </c>
      <c r="L415" s="99">
        <v>5.2000000000000313</v>
      </c>
    </row>
    <row r="416" spans="11:12" x14ac:dyDescent="0.4">
      <c r="K416" s="38">
        <v>414</v>
      </c>
      <c r="L416" s="99">
        <v>3.1086244689504383E-14</v>
      </c>
    </row>
    <row r="417" spans="11:12" x14ac:dyDescent="0.4">
      <c r="K417" s="38">
        <v>415</v>
      </c>
      <c r="L417" s="99">
        <v>-43.89999999999997</v>
      </c>
    </row>
    <row r="418" spans="11:12" x14ac:dyDescent="0.4">
      <c r="K418" s="38">
        <v>416</v>
      </c>
      <c r="L418" s="99">
        <v>-35.099999999999966</v>
      </c>
    </row>
    <row r="419" spans="11:12" x14ac:dyDescent="0.4">
      <c r="K419" s="38">
        <v>417</v>
      </c>
      <c r="L419" s="99">
        <v>3.5527136788005009E-14</v>
      </c>
    </row>
    <row r="420" spans="11:12" x14ac:dyDescent="0.4">
      <c r="K420" s="38">
        <v>418</v>
      </c>
      <c r="L420" s="99">
        <v>-34.299999999999962</v>
      </c>
    </row>
    <row r="421" spans="11:12" x14ac:dyDescent="0.4">
      <c r="K421" s="38">
        <v>419</v>
      </c>
      <c r="L421" s="99">
        <v>-7.0999999999999623</v>
      </c>
    </row>
    <row r="422" spans="11:12" x14ac:dyDescent="0.4">
      <c r="K422" s="38">
        <v>420</v>
      </c>
      <c r="L422" s="99">
        <v>3.730349362740526E-14</v>
      </c>
    </row>
    <row r="423" spans="11:12" x14ac:dyDescent="0.4">
      <c r="K423" s="38">
        <v>421</v>
      </c>
      <c r="L423" s="99">
        <v>3.730349362740526E-14</v>
      </c>
    </row>
    <row r="424" spans="11:12" x14ac:dyDescent="0.4">
      <c r="K424" s="38">
        <v>422</v>
      </c>
      <c r="L424" s="99">
        <v>3.730349362740526E-14</v>
      </c>
    </row>
    <row r="425" spans="11:12" x14ac:dyDescent="0.4">
      <c r="K425" s="38">
        <v>423</v>
      </c>
      <c r="L425" s="99">
        <v>3.730349362740526E-14</v>
      </c>
    </row>
    <row r="426" spans="11:12" x14ac:dyDescent="0.4">
      <c r="K426" s="38">
        <v>424</v>
      </c>
      <c r="L426" s="99">
        <v>30.600000000000037</v>
      </c>
    </row>
    <row r="427" spans="11:12" x14ac:dyDescent="0.4">
      <c r="K427" s="38">
        <v>425</v>
      </c>
      <c r="L427" s="99">
        <v>33.600000000000037</v>
      </c>
    </row>
    <row r="428" spans="11:12" x14ac:dyDescent="0.4">
      <c r="K428" s="38">
        <v>426</v>
      </c>
      <c r="L428" s="99">
        <v>3.5527136788005009E-14</v>
      </c>
    </row>
  </sheetData>
  <sortState ref="N15:Q2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343DEE-F709-40A9-99DF-43F8DC2A6338}">
  <sheetPr codeName="Sheet7"/>
  <dimension ref="A1:Q98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96</v>
      </c>
      <c r="C2" s="147"/>
      <c r="E2" s="62" t="s">
        <v>67</v>
      </c>
      <c r="F2" s="59" t="s">
        <v>23</v>
      </c>
      <c r="G2" s="46">
        <v>214</v>
      </c>
      <c r="H2" s="132">
        <f>IF(B$17=0,0,G2/B$17)</f>
        <v>0.72297297297297303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2561.4583333333335</v>
      </c>
      <c r="P2" s="118">
        <v>96</v>
      </c>
      <c r="Q2" s="102">
        <v>245900</v>
      </c>
    </row>
    <row r="3" spans="1:17" x14ac:dyDescent="0.4">
      <c r="A3" s="55" t="s">
        <v>8</v>
      </c>
      <c r="B3" s="148">
        <v>785</v>
      </c>
      <c r="C3" s="149"/>
      <c r="E3" s="63" t="s">
        <v>73</v>
      </c>
      <c r="F3" s="60" t="s">
        <v>28</v>
      </c>
      <c r="G3" s="47">
        <v>160</v>
      </c>
      <c r="H3" s="133">
        <f>IF(B$17=0,0,G3/B$17)</f>
        <v>0.54054054054054057</v>
      </c>
      <c r="I3" s="94">
        <v>6</v>
      </c>
      <c r="K3" s="38">
        <v>1</v>
      </c>
      <c r="L3" s="99">
        <v>-5.0999999999999996</v>
      </c>
      <c r="N3" s="115" t="s">
        <v>133</v>
      </c>
      <c r="O3" s="122">
        <f t="shared" si="0"/>
        <v>2542.1052631578946</v>
      </c>
      <c r="P3" s="119">
        <v>95</v>
      </c>
      <c r="Q3" s="103">
        <v>241500</v>
      </c>
    </row>
    <row r="4" spans="1:17" x14ac:dyDescent="0.4">
      <c r="A4" s="55" t="s">
        <v>6</v>
      </c>
      <c r="B4" s="150">
        <v>1684.2000000000012</v>
      </c>
      <c r="C4" s="151"/>
      <c r="E4" s="63" t="s">
        <v>65</v>
      </c>
      <c r="F4" s="60" t="s">
        <v>21</v>
      </c>
      <c r="G4" s="47">
        <v>145</v>
      </c>
      <c r="H4" s="133">
        <f>IF(B$17=0,0,G4/B$17)</f>
        <v>0.48986486486486486</v>
      </c>
      <c r="I4" s="94">
        <v>11</v>
      </c>
      <c r="K4" s="38">
        <v>2</v>
      </c>
      <c r="L4" s="99">
        <v>-2.8999999999999995</v>
      </c>
      <c r="N4" s="115" t="s">
        <v>134</v>
      </c>
      <c r="O4" s="122">
        <f t="shared" si="0"/>
        <v>2687.9120879120878</v>
      </c>
      <c r="P4" s="119">
        <v>91</v>
      </c>
      <c r="Q4" s="103">
        <v>244600</v>
      </c>
    </row>
    <row r="5" spans="1:17" x14ac:dyDescent="0.4">
      <c r="A5" s="55" t="s">
        <v>7</v>
      </c>
      <c r="B5" s="152">
        <f>IF(B$2=0,0,B$4/B$2)</f>
        <v>17.543750000000014</v>
      </c>
      <c r="C5" s="153"/>
      <c r="E5" s="63" t="s">
        <v>181</v>
      </c>
      <c r="F5" s="60" t="s">
        <v>182</v>
      </c>
      <c r="G5" s="47">
        <v>127</v>
      </c>
      <c r="H5" s="133">
        <f>IF(B$17=0,0,G5/B$17)</f>
        <v>0.42905405405405406</v>
      </c>
      <c r="I5" s="94">
        <v>3</v>
      </c>
      <c r="K5" s="38">
        <v>3</v>
      </c>
      <c r="L5" s="99">
        <v>70.399999999999991</v>
      </c>
      <c r="N5" s="115" t="s">
        <v>135</v>
      </c>
      <c r="O5" s="122">
        <f t="shared" si="0"/>
        <v>2626.5060240963853</v>
      </c>
      <c r="P5" s="119">
        <v>83</v>
      </c>
      <c r="Q5" s="103">
        <v>218000</v>
      </c>
    </row>
    <row r="6" spans="1:17" x14ac:dyDescent="0.4">
      <c r="A6" s="55" t="s">
        <v>1</v>
      </c>
      <c r="B6" s="142">
        <f>IF(B$2=0,0,(B$7*1+B$8*2+B$9*3)/B$2)</f>
        <v>1.6458333333333333</v>
      </c>
      <c r="C6" s="143"/>
      <c r="E6" s="63" t="s">
        <v>68</v>
      </c>
      <c r="F6" s="60" t="s">
        <v>24</v>
      </c>
      <c r="G6" s="47">
        <v>89</v>
      </c>
      <c r="H6" s="133">
        <f>IF(B$17=0,0,G6/B$17)</f>
        <v>0.30067567567567566</v>
      </c>
      <c r="I6" s="94">
        <v>9</v>
      </c>
      <c r="K6" s="38">
        <v>4</v>
      </c>
      <c r="L6" s="99">
        <v>110.5</v>
      </c>
      <c r="N6" s="115" t="s">
        <v>136</v>
      </c>
      <c r="O6" s="122">
        <f t="shared" si="0"/>
        <v>-14.864864864864865</v>
      </c>
      <c r="P6" s="119">
        <v>74</v>
      </c>
      <c r="Q6" s="103">
        <v>-1100</v>
      </c>
    </row>
    <row r="7" spans="1:17" x14ac:dyDescent="0.4">
      <c r="A7" s="55" t="s">
        <v>2</v>
      </c>
      <c r="B7" s="47">
        <v>52</v>
      </c>
      <c r="C7" s="39">
        <f>IF(B$2=0,0,B7/B$2)</f>
        <v>0.54166666666666663</v>
      </c>
      <c r="E7" s="63" t="s">
        <v>69</v>
      </c>
      <c r="F7" s="60" t="s">
        <v>12</v>
      </c>
      <c r="G7" s="47">
        <v>78</v>
      </c>
      <c r="H7" s="133">
        <f>IF(B$17=0,0,G7/B$17)</f>
        <v>0.26351351351351349</v>
      </c>
      <c r="I7" s="94">
        <v>11</v>
      </c>
      <c r="K7" s="38">
        <v>5</v>
      </c>
      <c r="L7" s="99">
        <v>201.4</v>
      </c>
      <c r="N7" s="116" t="s">
        <v>137</v>
      </c>
      <c r="O7" s="123">
        <f t="shared" si="0"/>
        <v>750.74626865671644</v>
      </c>
      <c r="P7" s="120">
        <v>67</v>
      </c>
      <c r="Q7" s="104">
        <v>50300</v>
      </c>
    </row>
    <row r="8" spans="1:17" x14ac:dyDescent="0.4">
      <c r="A8" s="55" t="s">
        <v>3</v>
      </c>
      <c r="B8" s="47">
        <v>26</v>
      </c>
      <c r="C8" s="39">
        <f>IF(B$2=0,0,B8/B$2)</f>
        <v>0.27083333333333331</v>
      </c>
      <c r="E8" s="63" t="s">
        <v>70</v>
      </c>
      <c r="F8" s="60" t="s">
        <v>25</v>
      </c>
      <c r="G8" s="47">
        <v>55</v>
      </c>
      <c r="H8" s="133">
        <f>IF(B$17=0,0,G8/B$17)</f>
        <v>0.1858108108108108</v>
      </c>
      <c r="I8" s="94">
        <v>6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18</v>
      </c>
      <c r="C9" s="40">
        <f t="shared" ref="C9" si="1">IF(B$2=0,0,B9/B$2)</f>
        <v>0.1875</v>
      </c>
      <c r="E9" s="63" t="s">
        <v>90</v>
      </c>
      <c r="F9" s="60" t="s">
        <v>45</v>
      </c>
      <c r="G9" s="47">
        <v>49</v>
      </c>
      <c r="H9" s="133">
        <f>IF(B$17=0,0,G9/B$17)</f>
        <v>0.16554054054054054</v>
      </c>
      <c r="I9" s="94">
        <v>5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5</v>
      </c>
      <c r="C10" s="40">
        <f>IF(B$2=0,0,B10/B$2)</f>
        <v>5.2083333333333336E-2</v>
      </c>
      <c r="E10" s="63" t="s">
        <v>66</v>
      </c>
      <c r="F10" s="60" t="s">
        <v>22</v>
      </c>
      <c r="G10" s="47">
        <v>44</v>
      </c>
      <c r="H10" s="133">
        <f>IF(B$17=0,0,G10/B$17)</f>
        <v>0.14864864864864866</v>
      </c>
      <c r="I10" s="94">
        <v>2</v>
      </c>
      <c r="K10" s="38">
        <v>8</v>
      </c>
      <c r="L10" s="99">
        <v>285.20000000000005</v>
      </c>
      <c r="N10" s="114" t="s">
        <v>164</v>
      </c>
      <c r="O10" s="124">
        <f>IF(P10=0,0,Q10/P10)</f>
        <v>22.789285714285715</v>
      </c>
      <c r="P10" s="118">
        <v>28</v>
      </c>
      <c r="Q10" s="106">
        <v>638.1</v>
      </c>
    </row>
    <row r="11" spans="1:17" x14ac:dyDescent="0.4">
      <c r="A11" s="56" t="s">
        <v>140</v>
      </c>
      <c r="B11" s="48">
        <v>18</v>
      </c>
      <c r="C11" s="40">
        <f>IF(B$2=0,0,B11/B$2)</f>
        <v>0.1875</v>
      </c>
      <c r="E11" s="63" t="s">
        <v>71</v>
      </c>
      <c r="F11" s="60" t="s">
        <v>26</v>
      </c>
      <c r="G11" s="47">
        <v>30</v>
      </c>
      <c r="H11" s="133">
        <f>IF(B$17=0,0,G11/B$17)</f>
        <v>0.10135135135135136</v>
      </c>
      <c r="I11" s="94">
        <v>6</v>
      </c>
      <c r="K11" s="38">
        <v>9</v>
      </c>
      <c r="L11" s="99">
        <v>277.90000000000003</v>
      </c>
      <c r="N11" s="115" t="s">
        <v>165</v>
      </c>
      <c r="O11" s="125">
        <f>IF(P11=0,0,Q11/P11)</f>
        <v>11.239999999999998</v>
      </c>
      <c r="P11" s="119">
        <v>30</v>
      </c>
      <c r="Q11" s="107">
        <v>337.19999999999993</v>
      </c>
    </row>
    <row r="12" spans="1:17" x14ac:dyDescent="0.4">
      <c r="A12" s="57" t="s">
        <v>160</v>
      </c>
      <c r="B12" s="49">
        <v>17</v>
      </c>
      <c r="C12" s="42">
        <f>IF(B$2=0,0,B12/B$2)</f>
        <v>0.17708333333333334</v>
      </c>
      <c r="E12" s="63" t="s">
        <v>87</v>
      </c>
      <c r="F12" s="60" t="s">
        <v>42</v>
      </c>
      <c r="G12" s="47">
        <v>21</v>
      </c>
      <c r="H12" s="133">
        <f>IF(B$17=0,0,G12/B$17)</f>
        <v>7.0945945945945943E-2</v>
      </c>
      <c r="I12" s="94">
        <v>4</v>
      </c>
      <c r="K12" s="38">
        <v>10</v>
      </c>
      <c r="L12" s="99">
        <v>246.20000000000005</v>
      </c>
      <c r="N12" s="116" t="s">
        <v>166</v>
      </c>
      <c r="O12" s="126">
        <f>IF(P12=0,0,Q12/P12)</f>
        <v>18.655263157894741</v>
      </c>
      <c r="P12" s="120">
        <v>38</v>
      </c>
      <c r="Q12" s="108">
        <v>708.90000000000009</v>
      </c>
    </row>
    <row r="13" spans="1:17" x14ac:dyDescent="0.4">
      <c r="A13" s="58" t="s">
        <v>122</v>
      </c>
      <c r="B13" s="50">
        <v>257</v>
      </c>
      <c r="C13" s="44">
        <f>IF(B$3=0,0,B13/B$3)</f>
        <v>0.32738853503184712</v>
      </c>
      <c r="E13" s="63" t="s">
        <v>72</v>
      </c>
      <c r="F13" s="60" t="s">
        <v>27</v>
      </c>
      <c r="G13" s="47">
        <v>18</v>
      </c>
      <c r="H13" s="133">
        <f>IF(B$17=0,0,G13/B$17)</f>
        <v>6.0810810810810814E-2</v>
      </c>
      <c r="I13" s="94">
        <v>6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182</v>
      </c>
      <c r="C14" s="39">
        <f>IF(B$3=0,0,B14/B$3)</f>
        <v>0.23184713375796179</v>
      </c>
      <c r="E14" s="63" t="s">
        <v>84</v>
      </c>
      <c r="F14" s="60" t="s">
        <v>39</v>
      </c>
      <c r="G14" s="47">
        <v>15</v>
      </c>
      <c r="H14" s="133">
        <f>IF(B$17=0,0,G14/B$17)</f>
        <v>5.0675675675675678E-2</v>
      </c>
      <c r="I14" s="94">
        <v>4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157</v>
      </c>
      <c r="C15" s="37">
        <f>IF(B$13=0,0,B15/B$13)</f>
        <v>0.6108949416342413</v>
      </c>
      <c r="E15" s="63" t="s">
        <v>82</v>
      </c>
      <c r="F15" s="60" t="s">
        <v>37</v>
      </c>
      <c r="G15" s="47">
        <v>10</v>
      </c>
      <c r="H15" s="133">
        <f>IF(B$17=0,0,G15/B$17)</f>
        <v>3.3783783783783786E-2</v>
      </c>
      <c r="I15" s="94">
        <v>6</v>
      </c>
      <c r="K15" s="38">
        <v>13</v>
      </c>
      <c r="L15" s="99">
        <v>418.90000000000003</v>
      </c>
      <c r="N15" s="114" t="s">
        <v>185</v>
      </c>
      <c r="O15" s="124">
        <f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96</v>
      </c>
      <c r="C16" s="37">
        <f>IF(B$14=0,0,B16/B$14)</f>
        <v>0.52747252747252749</v>
      </c>
      <c r="E16" s="63" t="s">
        <v>180</v>
      </c>
      <c r="F16" s="60" t="s">
        <v>183</v>
      </c>
      <c r="G16" s="47">
        <v>10</v>
      </c>
      <c r="H16" s="133">
        <f>IF(B$17=0,0,G16/B$17)</f>
        <v>3.3783783783783786E-2</v>
      </c>
      <c r="I16" s="94">
        <v>1</v>
      </c>
      <c r="K16" s="38">
        <v>14</v>
      </c>
      <c r="L16" s="99">
        <v>473.50000000000006</v>
      </c>
      <c r="N16" s="115" t="s">
        <v>129</v>
      </c>
      <c r="O16" s="125">
        <f>IF(P16=0,0,Q16/P16)</f>
        <v>53.237500000000018</v>
      </c>
      <c r="P16" s="119">
        <v>24</v>
      </c>
      <c r="Q16" s="107">
        <v>1277.7000000000005</v>
      </c>
    </row>
    <row r="17" spans="1:17" x14ac:dyDescent="0.4">
      <c r="A17" s="54" t="s">
        <v>10</v>
      </c>
      <c r="B17" s="46">
        <f>B19+B18</f>
        <v>296</v>
      </c>
      <c r="C17" s="37">
        <f>IF(B$3=0,0,B17/B$3)</f>
        <v>0.37707006369426754</v>
      </c>
      <c r="E17" s="63" t="s">
        <v>79</v>
      </c>
      <c r="F17" s="60" t="s">
        <v>34</v>
      </c>
      <c r="G17" s="47">
        <v>5</v>
      </c>
      <c r="H17" s="133">
        <f>IF(B$17=0,0,G17/B$17)</f>
        <v>1.6891891891891893E-2</v>
      </c>
      <c r="I17" s="94">
        <v>7</v>
      </c>
      <c r="K17" s="38">
        <v>15</v>
      </c>
      <c r="L17" s="99">
        <v>481.50000000000006</v>
      </c>
      <c r="N17" s="115" t="s">
        <v>186</v>
      </c>
      <c r="O17" s="125">
        <f>IF(P17=0,0,Q17/P17)</f>
        <v>42.43333333333333</v>
      </c>
      <c r="P17" s="119">
        <v>6</v>
      </c>
      <c r="Q17" s="107">
        <v>254.59999999999997</v>
      </c>
    </row>
    <row r="18" spans="1:17" x14ac:dyDescent="0.4">
      <c r="A18" s="55" t="s">
        <v>12</v>
      </c>
      <c r="B18" s="47">
        <v>125</v>
      </c>
      <c r="C18" s="39">
        <f>IF(B$17=0,0,B18/B$17)</f>
        <v>0.42229729729729731</v>
      </c>
      <c r="E18" s="63" t="s">
        <v>80</v>
      </c>
      <c r="F18" s="60" t="s">
        <v>35</v>
      </c>
      <c r="G18" s="47">
        <v>4</v>
      </c>
      <c r="H18" s="133">
        <f>IF(B$17=0,0,G18/B$17)</f>
        <v>1.3513513513513514E-2</v>
      </c>
      <c r="I18" s="94">
        <v>6</v>
      </c>
      <c r="K18" s="38">
        <v>16</v>
      </c>
      <c r="L18" s="99">
        <v>425.50000000000006</v>
      </c>
      <c r="N18" s="115" t="s">
        <v>177</v>
      </c>
      <c r="O18" s="125">
        <f>IF(P18=0,0,Q18/P18)</f>
        <v>41.15</v>
      </c>
      <c r="P18" s="119">
        <v>10</v>
      </c>
      <c r="Q18" s="107">
        <v>411.5</v>
      </c>
    </row>
    <row r="19" spans="1:17" x14ac:dyDescent="0.4">
      <c r="A19" s="55" t="s">
        <v>11</v>
      </c>
      <c r="B19" s="47">
        <v>171</v>
      </c>
      <c r="C19" s="39">
        <f>IF(B$17=0,0,B19/B$17)</f>
        <v>0.57770270270270274</v>
      </c>
      <c r="E19" s="63" t="s">
        <v>92</v>
      </c>
      <c r="F19" s="60" t="s">
        <v>47</v>
      </c>
      <c r="G19" s="47">
        <v>4</v>
      </c>
      <c r="H19" s="133">
        <f>IF(B$17=0,0,G19/B$17)</f>
        <v>1.3513513513513514E-2</v>
      </c>
      <c r="I19" s="94">
        <v>5</v>
      </c>
      <c r="K19" s="38">
        <v>17</v>
      </c>
      <c r="L19" s="99">
        <v>427.40000000000003</v>
      </c>
      <c r="N19" s="115" t="s">
        <v>224</v>
      </c>
      <c r="O19" s="125">
        <f>IF(P19=0,0,Q19/P19)</f>
        <v>29.599999999999998</v>
      </c>
      <c r="P19" s="119">
        <v>1</v>
      </c>
      <c r="Q19" s="107">
        <v>29.599999999999998</v>
      </c>
    </row>
    <row r="20" spans="1:17" x14ac:dyDescent="0.4">
      <c r="A20" s="55" t="s">
        <v>13</v>
      </c>
      <c r="B20" s="47">
        <v>117</v>
      </c>
      <c r="C20" s="39">
        <f>IF(B$3=0,0,B20/B$3)</f>
        <v>0.14904458598726114</v>
      </c>
      <c r="E20" s="63" t="s">
        <v>74</v>
      </c>
      <c r="F20" s="60" t="s">
        <v>29</v>
      </c>
      <c r="G20" s="47">
        <v>2</v>
      </c>
      <c r="H20" s="133">
        <f>IF(B$17=0,0,G20/B$17)</f>
        <v>6.7567567567567571E-3</v>
      </c>
      <c r="I20" s="94">
        <v>4</v>
      </c>
      <c r="K20" s="38">
        <v>18</v>
      </c>
      <c r="L20" s="99">
        <v>429.3</v>
      </c>
      <c r="N20" s="115" t="s">
        <v>173</v>
      </c>
      <c r="O20" s="125">
        <f>IF(P20=0,0,Q20/P20)</f>
        <v>25.173684210526314</v>
      </c>
      <c r="P20" s="119">
        <v>19</v>
      </c>
      <c r="Q20" s="107">
        <v>478.29999999999995</v>
      </c>
    </row>
    <row r="21" spans="1:17" x14ac:dyDescent="0.4">
      <c r="A21" s="55" t="s">
        <v>193</v>
      </c>
      <c r="B21" s="47">
        <v>7</v>
      </c>
      <c r="C21" s="135">
        <v>2</v>
      </c>
      <c r="E21" s="63" t="s">
        <v>76</v>
      </c>
      <c r="F21" s="60" t="s">
        <v>31</v>
      </c>
      <c r="G21" s="47">
        <v>1</v>
      </c>
      <c r="H21" s="133">
        <f>IF(B$17=0,0,G21/B$17)</f>
        <v>3.3783783783783786E-3</v>
      </c>
      <c r="I21" s="94">
        <v>6</v>
      </c>
      <c r="K21" s="38">
        <v>19</v>
      </c>
      <c r="L21" s="99">
        <v>405.40000000000003</v>
      </c>
      <c r="N21" s="115" t="s">
        <v>202</v>
      </c>
      <c r="O21" s="125">
        <f>IF(P21=0,0,Q21/P21)</f>
        <v>23.1</v>
      </c>
      <c r="P21" s="119">
        <v>1</v>
      </c>
      <c r="Q21" s="107">
        <v>23.1</v>
      </c>
    </row>
    <row r="22" spans="1:17" x14ac:dyDescent="0.4">
      <c r="A22" s="55" t="s">
        <v>194</v>
      </c>
      <c r="B22" s="47">
        <v>27</v>
      </c>
      <c r="C22" s="135">
        <v>7</v>
      </c>
      <c r="E22" s="63" t="s">
        <v>78</v>
      </c>
      <c r="F22" s="60" t="s">
        <v>33</v>
      </c>
      <c r="G22" s="47">
        <v>1</v>
      </c>
      <c r="H22" s="133">
        <f>IF(B$17=0,0,G22/B$17)</f>
        <v>3.3783783783783786E-3</v>
      </c>
      <c r="I22" s="94">
        <v>3</v>
      </c>
      <c r="K22" s="38">
        <v>20</v>
      </c>
      <c r="L22" s="99">
        <v>469.6</v>
      </c>
      <c r="N22" s="115" t="s">
        <v>128</v>
      </c>
      <c r="O22" s="125">
        <f>IF(P22=0,0,Q22/P22)</f>
        <v>20.351428571428581</v>
      </c>
      <c r="P22" s="119">
        <v>70</v>
      </c>
      <c r="Q22" s="107">
        <v>1424.6000000000006</v>
      </c>
    </row>
    <row r="23" spans="1:17" x14ac:dyDescent="0.4">
      <c r="A23" s="55" t="s">
        <v>5</v>
      </c>
      <c r="B23" s="51">
        <f>IF(B$17=0,0,C23/B$17)</f>
        <v>9021.95945945946</v>
      </c>
      <c r="C23" s="41">
        <v>2670500</v>
      </c>
      <c r="E23" s="63" t="s">
        <v>88</v>
      </c>
      <c r="F23" s="60" t="s">
        <v>43</v>
      </c>
      <c r="G23" s="47">
        <v>1</v>
      </c>
      <c r="H23" s="133">
        <f>IF(B$17=0,0,G23/B$17)</f>
        <v>3.3783783783783786E-3</v>
      </c>
      <c r="I23" s="94">
        <v>5</v>
      </c>
      <c r="K23" s="38">
        <v>21</v>
      </c>
      <c r="L23" s="99">
        <v>468.3</v>
      </c>
      <c r="N23" s="115" t="s">
        <v>172</v>
      </c>
      <c r="O23" s="125">
        <f>IF(P23=0,0,Q23/P23)</f>
        <v>20.228571428571431</v>
      </c>
      <c r="P23" s="119">
        <v>28</v>
      </c>
      <c r="Q23" s="107">
        <v>566.40000000000009</v>
      </c>
    </row>
    <row r="24" spans="1:17" x14ac:dyDescent="0.4">
      <c r="A24" s="57" t="s">
        <v>14</v>
      </c>
      <c r="B24" s="52">
        <f>IF(B$20=0,0,C24/B$20)</f>
        <v>-7878.6324786324785</v>
      </c>
      <c r="C24" s="45">
        <v>-921800</v>
      </c>
      <c r="E24" s="63" t="s">
        <v>91</v>
      </c>
      <c r="F24" s="60" t="s">
        <v>46</v>
      </c>
      <c r="G24" s="47">
        <v>1</v>
      </c>
      <c r="H24" s="133">
        <f>IF(B$17=0,0,G24/B$17)</f>
        <v>3.3783783783783786E-3</v>
      </c>
      <c r="I24" s="94">
        <v>1</v>
      </c>
      <c r="K24" s="38">
        <v>22</v>
      </c>
      <c r="L24" s="99">
        <v>519.20000000000005</v>
      </c>
      <c r="N24" s="115" t="s">
        <v>171</v>
      </c>
      <c r="O24" s="125">
        <f>IF(P24=0,0,Q24/P24)</f>
        <v>16.17499999999999</v>
      </c>
      <c r="P24" s="119">
        <v>32</v>
      </c>
      <c r="Q24" s="107">
        <v>517.59999999999968</v>
      </c>
    </row>
    <row r="25" spans="1:17" x14ac:dyDescent="0.4">
      <c r="A25" s="90" t="s">
        <v>142</v>
      </c>
      <c r="B25" s="140">
        <v>7</v>
      </c>
      <c r="C25" s="141"/>
      <c r="E25" s="63" t="s">
        <v>93</v>
      </c>
      <c r="F25" s="60" t="s">
        <v>48</v>
      </c>
      <c r="G25" s="47">
        <v>1</v>
      </c>
      <c r="H25" s="133">
        <f>IF(B$17=0,0,G25/B$17)</f>
        <v>3.3783783783783786E-3</v>
      </c>
      <c r="I25" s="94">
        <v>4</v>
      </c>
      <c r="K25" s="38">
        <v>23</v>
      </c>
      <c r="L25" s="99">
        <v>555.90000000000009</v>
      </c>
    </row>
    <row r="26" spans="1:17" x14ac:dyDescent="0.4">
      <c r="A26" s="58" t="s">
        <v>152</v>
      </c>
      <c r="B26" s="138">
        <v>116000</v>
      </c>
      <c r="C26" s="139"/>
      <c r="E26" s="63" t="s">
        <v>94</v>
      </c>
      <c r="F26" s="60" t="s">
        <v>49</v>
      </c>
      <c r="G26" s="47">
        <v>1</v>
      </c>
      <c r="H26" s="133">
        <f>IF(B$17=0,0,G26/B$17)</f>
        <v>3.3783783783783786E-3</v>
      </c>
      <c r="I26" s="94">
        <v>3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96</v>
      </c>
      <c r="F27" s="60" t="s">
        <v>51</v>
      </c>
      <c r="G27" s="47">
        <v>1</v>
      </c>
      <c r="H27" s="133">
        <f>IF(B$17=0,0,G27/B$17)</f>
        <v>3.3783783783783786E-3</v>
      </c>
      <c r="I27" s="94">
        <v>2</v>
      </c>
      <c r="K27" s="38">
        <v>25</v>
      </c>
      <c r="L27" s="99">
        <v>655.20000000000005</v>
      </c>
    </row>
    <row r="28" spans="1:17" x14ac:dyDescent="0.4">
      <c r="E28" s="63" t="s">
        <v>75</v>
      </c>
      <c r="F28" s="60" t="s">
        <v>30</v>
      </c>
      <c r="G28" s="47">
        <v>0</v>
      </c>
      <c r="H28" s="133">
        <f>IF(B$17=0,0,G28/B$17)</f>
        <v>0</v>
      </c>
      <c r="I28" s="94">
        <v>4</v>
      </c>
      <c r="K28" s="38">
        <v>26</v>
      </c>
      <c r="L28" s="99">
        <v>625.40000000000009</v>
      </c>
    </row>
    <row r="29" spans="1:17" x14ac:dyDescent="0.4">
      <c r="E29" s="63" t="s">
        <v>77</v>
      </c>
      <c r="F29" s="60" t="s">
        <v>32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596.30000000000007</v>
      </c>
    </row>
    <row r="30" spans="1:17" x14ac:dyDescent="0.4">
      <c r="E30" s="63" t="s">
        <v>81</v>
      </c>
      <c r="F30" s="60" t="s">
        <v>36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655.6</v>
      </c>
    </row>
    <row r="31" spans="1:17" x14ac:dyDescent="0.4">
      <c r="E31" s="63" t="s">
        <v>83</v>
      </c>
      <c r="F31" s="60" t="s">
        <v>38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703.1</v>
      </c>
    </row>
    <row r="32" spans="1:17" x14ac:dyDescent="0.4">
      <c r="E32" s="63" t="s">
        <v>85</v>
      </c>
      <c r="F32" s="60" t="s">
        <v>40</v>
      </c>
      <c r="G32" s="47">
        <v>0</v>
      </c>
      <c r="H32" s="133">
        <f>IF(B$17=0,0,G32/B$17)</f>
        <v>0</v>
      </c>
      <c r="I32" s="94">
        <v>3</v>
      </c>
      <c r="K32" s="38">
        <v>30</v>
      </c>
      <c r="L32" s="99">
        <v>733.6</v>
      </c>
    </row>
    <row r="33" spans="5:12" x14ac:dyDescent="0.4">
      <c r="E33" s="63" t="s">
        <v>86</v>
      </c>
      <c r="F33" s="60" t="s">
        <v>41</v>
      </c>
      <c r="G33" s="47">
        <v>0</v>
      </c>
      <c r="H33" s="133">
        <f>IF(B$17=0,0,G33/B$17)</f>
        <v>0</v>
      </c>
      <c r="I33" s="94">
        <v>3</v>
      </c>
      <c r="K33" s="38">
        <v>31</v>
      </c>
      <c r="L33" s="99">
        <v>796.80000000000007</v>
      </c>
    </row>
    <row r="34" spans="5:12" x14ac:dyDescent="0.4">
      <c r="E34" s="63" t="s">
        <v>89</v>
      </c>
      <c r="F34" s="60" t="s">
        <v>44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788.30000000000007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850.1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907.3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1013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1131.0999999999999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1208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1259.3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1289.8999999999999</v>
      </c>
    </row>
    <row r="52" spans="5:12" x14ac:dyDescent="0.4"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  <row r="76" spans="11:12" x14ac:dyDescent="0.4">
      <c r="K76" s="38">
        <v>74</v>
      </c>
      <c r="L76" s="99">
        <v>1553.8000000000006</v>
      </c>
    </row>
    <row r="77" spans="11:12" x14ac:dyDescent="0.4">
      <c r="K77" s="38">
        <v>75</v>
      </c>
      <c r="L77" s="99">
        <v>1496.5000000000007</v>
      </c>
    </row>
    <row r="78" spans="11:12" x14ac:dyDescent="0.4">
      <c r="K78" s="38">
        <v>76</v>
      </c>
      <c r="L78" s="99">
        <v>1535.1000000000006</v>
      </c>
    </row>
    <row r="79" spans="11:12" x14ac:dyDescent="0.4">
      <c r="K79" s="38">
        <v>77</v>
      </c>
      <c r="L79" s="99">
        <v>1496.5000000000007</v>
      </c>
    </row>
    <row r="80" spans="11:12" x14ac:dyDescent="0.4">
      <c r="K80" s="38">
        <v>78</v>
      </c>
      <c r="L80" s="99">
        <v>1534.7000000000007</v>
      </c>
    </row>
    <row r="81" spans="11:12" x14ac:dyDescent="0.4">
      <c r="K81" s="38">
        <v>79</v>
      </c>
      <c r="L81" s="99">
        <v>1485.0000000000007</v>
      </c>
    </row>
    <row r="82" spans="11:12" x14ac:dyDescent="0.4">
      <c r="K82" s="38">
        <v>80</v>
      </c>
      <c r="L82" s="99">
        <v>1482.0000000000007</v>
      </c>
    </row>
    <row r="83" spans="11:12" x14ac:dyDescent="0.4">
      <c r="K83" s="38">
        <v>81</v>
      </c>
      <c r="L83" s="99">
        <v>1523.8000000000006</v>
      </c>
    </row>
    <row r="84" spans="11:12" x14ac:dyDescent="0.4">
      <c r="K84" s="38">
        <v>82</v>
      </c>
      <c r="L84" s="99">
        <v>1552.2000000000007</v>
      </c>
    </row>
    <row r="85" spans="11:12" x14ac:dyDescent="0.4">
      <c r="K85" s="38">
        <v>83</v>
      </c>
      <c r="L85" s="99">
        <v>1511.9000000000008</v>
      </c>
    </row>
    <row r="86" spans="11:12" x14ac:dyDescent="0.4">
      <c r="K86" s="38">
        <v>84</v>
      </c>
      <c r="L86" s="99">
        <v>1510.6000000000008</v>
      </c>
    </row>
    <row r="87" spans="11:12" x14ac:dyDescent="0.4">
      <c r="K87" s="38">
        <v>85</v>
      </c>
      <c r="L87" s="99">
        <v>1566.5000000000009</v>
      </c>
    </row>
    <row r="88" spans="11:12" x14ac:dyDescent="0.4">
      <c r="K88" s="38">
        <v>86</v>
      </c>
      <c r="L88" s="99">
        <v>1610.200000000001</v>
      </c>
    </row>
    <row r="89" spans="11:12" x14ac:dyDescent="0.4">
      <c r="K89" s="38">
        <v>87</v>
      </c>
      <c r="L89" s="99">
        <v>1662.8000000000009</v>
      </c>
    </row>
    <row r="90" spans="11:12" x14ac:dyDescent="0.4">
      <c r="K90" s="38">
        <v>88</v>
      </c>
      <c r="L90" s="99">
        <v>1664.200000000001</v>
      </c>
    </row>
    <row r="91" spans="11:12" x14ac:dyDescent="0.4">
      <c r="K91" s="38">
        <v>89</v>
      </c>
      <c r="L91" s="99">
        <v>1656.900000000001</v>
      </c>
    </row>
    <row r="92" spans="11:12" x14ac:dyDescent="0.4">
      <c r="K92" s="38">
        <v>90</v>
      </c>
      <c r="L92" s="99">
        <v>1620.900000000001</v>
      </c>
    </row>
    <row r="93" spans="11:12" x14ac:dyDescent="0.4">
      <c r="K93" s="38">
        <v>91</v>
      </c>
      <c r="L93" s="99">
        <v>1680.8000000000011</v>
      </c>
    </row>
    <row r="94" spans="11:12" x14ac:dyDescent="0.4">
      <c r="K94" s="38">
        <v>92</v>
      </c>
      <c r="L94" s="99">
        <v>1634.7000000000012</v>
      </c>
    </row>
    <row r="95" spans="11:12" x14ac:dyDescent="0.4">
      <c r="K95" s="38">
        <v>93</v>
      </c>
      <c r="L95" s="99">
        <v>1677.6000000000013</v>
      </c>
    </row>
    <row r="96" spans="11:12" x14ac:dyDescent="0.4">
      <c r="K96" s="38">
        <v>94</v>
      </c>
      <c r="L96" s="99">
        <v>1672.4000000000012</v>
      </c>
    </row>
    <row r="97" spans="11:12" x14ac:dyDescent="0.4">
      <c r="K97" s="38">
        <v>95</v>
      </c>
      <c r="L97" s="99">
        <v>1681.2000000000012</v>
      </c>
    </row>
    <row r="98" spans="11:12" x14ac:dyDescent="0.4">
      <c r="K98" s="38">
        <v>96</v>
      </c>
      <c r="L98" s="99">
        <v>1684.2000000000012</v>
      </c>
    </row>
  </sheetData>
  <sortState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8E1CB-865C-44E0-A2F1-D3198F454DE8}">
  <sheetPr codeName="Sheet9"/>
  <dimension ref="A1:Q104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128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102</v>
      </c>
      <c r="C2" s="147"/>
      <c r="E2" s="62" t="s">
        <v>67</v>
      </c>
      <c r="F2" s="59" t="s">
        <v>23</v>
      </c>
      <c r="G2" s="46">
        <v>177</v>
      </c>
      <c r="H2" s="132">
        <f>IF(B$17=0,0,G2/B$17)</f>
        <v>0.76293103448275867</v>
      </c>
      <c r="I2" s="93">
        <v>5</v>
      </c>
      <c r="K2" s="36">
        <v>0</v>
      </c>
      <c r="L2" s="98">
        <v>0</v>
      </c>
      <c r="N2" s="114" t="s">
        <v>132</v>
      </c>
      <c r="O2" s="121">
        <f t="shared" ref="O2:O7" si="0">IF(P2=0,0,Q2/P2)</f>
        <v>631.68316831683171</v>
      </c>
      <c r="P2" s="118">
        <v>101</v>
      </c>
      <c r="Q2" s="102">
        <v>63800</v>
      </c>
    </row>
    <row r="3" spans="1:17" x14ac:dyDescent="0.4">
      <c r="A3" s="55" t="s">
        <v>8</v>
      </c>
      <c r="B3" s="148">
        <v>846</v>
      </c>
      <c r="C3" s="149"/>
      <c r="E3" s="63" t="s">
        <v>65</v>
      </c>
      <c r="F3" s="60" t="s">
        <v>21</v>
      </c>
      <c r="G3" s="47">
        <v>139</v>
      </c>
      <c r="H3" s="133">
        <f>IF(B$17=0,0,G3/B$17)</f>
        <v>0.59913793103448276</v>
      </c>
      <c r="I3" s="94">
        <v>3</v>
      </c>
      <c r="K3" s="38">
        <v>1</v>
      </c>
      <c r="L3" s="99">
        <v>45.5</v>
      </c>
      <c r="N3" s="115" t="s">
        <v>133</v>
      </c>
      <c r="O3" s="122">
        <f t="shared" si="0"/>
        <v>-2578</v>
      </c>
      <c r="P3" s="119">
        <v>100</v>
      </c>
      <c r="Q3" s="103">
        <v>-257800</v>
      </c>
    </row>
    <row r="4" spans="1:17" x14ac:dyDescent="0.4">
      <c r="A4" s="55" t="s">
        <v>6</v>
      </c>
      <c r="B4" s="150">
        <v>-377.80000000000007</v>
      </c>
      <c r="C4" s="151"/>
      <c r="E4" s="63" t="s">
        <v>73</v>
      </c>
      <c r="F4" s="60" t="s">
        <v>28</v>
      </c>
      <c r="G4" s="47">
        <v>104</v>
      </c>
      <c r="H4" s="133">
        <f>IF(B$17=0,0,G4/B$17)</f>
        <v>0.44827586206896552</v>
      </c>
      <c r="I4" s="94">
        <v>10</v>
      </c>
      <c r="K4" s="38">
        <v>2</v>
      </c>
      <c r="L4" s="99">
        <v>6.2999999999999972</v>
      </c>
      <c r="N4" s="115" t="s">
        <v>134</v>
      </c>
      <c r="O4" s="122">
        <f t="shared" si="0"/>
        <v>-909.2783505154639</v>
      </c>
      <c r="P4" s="119">
        <v>97</v>
      </c>
      <c r="Q4" s="103">
        <v>-88200</v>
      </c>
    </row>
    <row r="5" spans="1:17" x14ac:dyDescent="0.4">
      <c r="A5" s="55" t="s">
        <v>7</v>
      </c>
      <c r="B5" s="152">
        <f>IF(B$2=0,0,B$4/B$2)</f>
        <v>-3.7039215686274516</v>
      </c>
      <c r="C5" s="153"/>
      <c r="E5" s="63" t="s">
        <v>181</v>
      </c>
      <c r="F5" s="60" t="s">
        <v>182</v>
      </c>
      <c r="G5" s="47">
        <v>100</v>
      </c>
      <c r="H5" s="133">
        <f>IF(B$17=0,0,G5/B$17)</f>
        <v>0.43103448275862066</v>
      </c>
      <c r="I5" s="94">
        <v>2</v>
      </c>
      <c r="K5" s="38">
        <v>3</v>
      </c>
      <c r="L5" s="99">
        <v>-47.300000000000004</v>
      </c>
      <c r="N5" s="115" t="s">
        <v>135</v>
      </c>
      <c r="O5" s="122">
        <f t="shared" si="0"/>
        <v>622.9885057471264</v>
      </c>
      <c r="P5" s="119">
        <v>87</v>
      </c>
      <c r="Q5" s="103">
        <v>54200</v>
      </c>
    </row>
    <row r="6" spans="1:17" x14ac:dyDescent="0.4">
      <c r="A6" s="55" t="s">
        <v>1</v>
      </c>
      <c r="B6" s="142">
        <f>IF(B$2=0,0,(B$7*1+B$8*2+B$9*3)/B$2)</f>
        <v>2.0784313725490198</v>
      </c>
      <c r="C6" s="143"/>
      <c r="E6" s="63" t="s">
        <v>68</v>
      </c>
      <c r="F6" s="60" t="s">
        <v>24</v>
      </c>
      <c r="G6" s="47">
        <v>82</v>
      </c>
      <c r="H6" s="133">
        <f>IF(B$17=0,0,G6/B$17)</f>
        <v>0.35344827586206895</v>
      </c>
      <c r="I6" s="94">
        <v>7</v>
      </c>
      <c r="K6" s="38">
        <v>4</v>
      </c>
      <c r="L6" s="99">
        <v>13.599999999999994</v>
      </c>
      <c r="N6" s="115" t="s">
        <v>136</v>
      </c>
      <c r="O6" s="122">
        <f t="shared" si="0"/>
        <v>93.670886075949369</v>
      </c>
      <c r="P6" s="119">
        <v>79</v>
      </c>
      <c r="Q6" s="103">
        <v>7400</v>
      </c>
    </row>
    <row r="7" spans="1:17" x14ac:dyDescent="0.4">
      <c r="A7" s="55" t="s">
        <v>2</v>
      </c>
      <c r="B7" s="47">
        <v>28</v>
      </c>
      <c r="C7" s="39">
        <f>IF(B$2=0,0,B7/B$2)</f>
        <v>0.27450980392156865</v>
      </c>
      <c r="E7" s="63" t="s">
        <v>69</v>
      </c>
      <c r="F7" s="60" t="s">
        <v>12</v>
      </c>
      <c r="G7" s="47">
        <v>79</v>
      </c>
      <c r="H7" s="133">
        <f>IF(B$17=0,0,G7/B$17)</f>
        <v>0.34051724137931033</v>
      </c>
      <c r="I7" s="94">
        <v>6</v>
      </c>
      <c r="K7" s="38">
        <v>5</v>
      </c>
      <c r="L7" s="99">
        <v>-16.600000000000005</v>
      </c>
      <c r="N7" s="116" t="s">
        <v>137</v>
      </c>
      <c r="O7" s="123">
        <f t="shared" si="0"/>
        <v>308.10810810810813</v>
      </c>
      <c r="P7" s="120">
        <v>74</v>
      </c>
      <c r="Q7" s="104">
        <v>22800</v>
      </c>
    </row>
    <row r="8" spans="1:17" x14ac:dyDescent="0.4">
      <c r="A8" s="55" t="s">
        <v>3</v>
      </c>
      <c r="B8" s="47">
        <v>38</v>
      </c>
      <c r="C8" s="39">
        <f>IF(B$2=0,0,B8/B$2)</f>
        <v>0.37254901960784315</v>
      </c>
      <c r="E8" s="63" t="s">
        <v>70</v>
      </c>
      <c r="F8" s="60" t="s">
        <v>25</v>
      </c>
      <c r="G8" s="47">
        <v>53</v>
      </c>
      <c r="H8" s="133">
        <f>IF(B$17=0,0,G8/B$17)</f>
        <v>0.22844827586206898</v>
      </c>
      <c r="I8" s="94">
        <v>2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36</v>
      </c>
      <c r="C9" s="40">
        <f t="shared" ref="C9" si="1">IF(B$2=0,0,B9/B$2)</f>
        <v>0.35294117647058826</v>
      </c>
      <c r="E9" s="63" t="s">
        <v>66</v>
      </c>
      <c r="F9" s="60" t="s">
        <v>22</v>
      </c>
      <c r="G9" s="47">
        <v>38</v>
      </c>
      <c r="H9" s="133">
        <f>IF(B$17=0,0,G9/B$17)</f>
        <v>0.16379310344827586</v>
      </c>
      <c r="I9" s="94">
        <v>1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14</v>
      </c>
      <c r="C10" s="40">
        <f>IF(B$2=0,0,B10/B$2)</f>
        <v>0.13725490196078433</v>
      </c>
      <c r="E10" s="63" t="s">
        <v>71</v>
      </c>
      <c r="F10" s="60" t="s">
        <v>26</v>
      </c>
      <c r="G10" s="47">
        <v>28</v>
      </c>
      <c r="H10" s="133">
        <f>IF(B$17=0,0,G10/B$17)</f>
        <v>0.1206896551724138</v>
      </c>
      <c r="I10" s="94">
        <v>4</v>
      </c>
      <c r="K10" s="38">
        <v>8</v>
      </c>
      <c r="L10" s="99">
        <v>-49.6</v>
      </c>
      <c r="N10" s="114" t="s">
        <v>164</v>
      </c>
      <c r="O10" s="124">
        <f>IF(P10=0,0,Q10/P10)</f>
        <v>-5.848148148148149</v>
      </c>
      <c r="P10" s="118">
        <v>54</v>
      </c>
      <c r="Q10" s="106">
        <v>-315.80000000000007</v>
      </c>
    </row>
    <row r="11" spans="1:17" x14ac:dyDescent="0.4">
      <c r="A11" s="56" t="s">
        <v>140</v>
      </c>
      <c r="B11" s="48">
        <v>8</v>
      </c>
      <c r="C11" s="40">
        <f>IF(B$2=0,0,B11/B$2)</f>
        <v>7.8431372549019607E-2</v>
      </c>
      <c r="E11" s="63" t="s">
        <v>90</v>
      </c>
      <c r="F11" s="60" t="s">
        <v>45</v>
      </c>
      <c r="G11" s="47">
        <v>21</v>
      </c>
      <c r="H11" s="133">
        <f>IF(B$17=0,0,G11/B$17)</f>
        <v>9.0517241379310345E-2</v>
      </c>
      <c r="I11" s="94">
        <v>11</v>
      </c>
      <c r="K11" s="38">
        <v>9</v>
      </c>
      <c r="L11" s="99">
        <v>-79.5</v>
      </c>
      <c r="N11" s="115" t="s">
        <v>165</v>
      </c>
      <c r="O11" s="125">
        <f>IF(P11=0,0,Q11/P11)</f>
        <v>-8.1363636363636331</v>
      </c>
      <c r="P11" s="119">
        <v>22</v>
      </c>
      <c r="Q11" s="107">
        <v>-178.99999999999994</v>
      </c>
    </row>
    <row r="12" spans="1:17" x14ac:dyDescent="0.4">
      <c r="A12" s="57" t="s">
        <v>160</v>
      </c>
      <c r="B12" s="49">
        <v>7</v>
      </c>
      <c r="C12" s="42">
        <f>IF(B$2=0,0,B12/B$2)</f>
        <v>6.8627450980392163E-2</v>
      </c>
      <c r="E12" s="63" t="s">
        <v>72</v>
      </c>
      <c r="F12" s="60" t="s">
        <v>27</v>
      </c>
      <c r="G12" s="47">
        <v>12</v>
      </c>
      <c r="H12" s="133">
        <f>IF(B$17=0,0,G12/B$17)</f>
        <v>5.1724137931034482E-2</v>
      </c>
      <c r="I12" s="94">
        <v>8</v>
      </c>
      <c r="K12" s="38">
        <v>10</v>
      </c>
      <c r="L12" s="99">
        <v>-80.900000000000006</v>
      </c>
      <c r="N12" s="116" t="s">
        <v>166</v>
      </c>
      <c r="O12" s="126">
        <f>IF(P12=0,0,Q12/P12)</f>
        <v>4.68</v>
      </c>
      <c r="P12" s="120">
        <v>25</v>
      </c>
      <c r="Q12" s="108">
        <v>117</v>
      </c>
    </row>
    <row r="13" spans="1:17" x14ac:dyDescent="0.4">
      <c r="A13" s="58" t="s">
        <v>122</v>
      </c>
      <c r="B13" s="50">
        <v>246</v>
      </c>
      <c r="C13" s="44">
        <f>IF(B$3=0,0,B13/B$3)</f>
        <v>0.29078014184397161</v>
      </c>
      <c r="E13" s="63" t="s">
        <v>87</v>
      </c>
      <c r="F13" s="60" t="s">
        <v>42</v>
      </c>
      <c r="G13" s="47">
        <v>12</v>
      </c>
      <c r="H13" s="133">
        <f>IF(B$17=0,0,G13/B$17)</f>
        <v>5.1724137931034482E-2</v>
      </c>
      <c r="I13" s="94">
        <v>7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156</v>
      </c>
      <c r="C14" s="39">
        <f>IF(B$3=0,0,B14/B$3)</f>
        <v>0.18439716312056736</v>
      </c>
      <c r="E14" s="63" t="s">
        <v>82</v>
      </c>
      <c r="F14" s="60" t="s">
        <v>37</v>
      </c>
      <c r="G14" s="47">
        <v>8</v>
      </c>
      <c r="H14" s="133">
        <f>IF(B$17=0,0,G14/B$17)</f>
        <v>3.4482758620689655E-2</v>
      </c>
      <c r="I14" s="94">
        <v>5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147</v>
      </c>
      <c r="C15" s="37">
        <f>IF(B$13=0,0,B15/B$13)</f>
        <v>0.59756097560975607</v>
      </c>
      <c r="E15" s="63" t="s">
        <v>84</v>
      </c>
      <c r="F15" s="60" t="s">
        <v>39</v>
      </c>
      <c r="G15" s="47">
        <v>7</v>
      </c>
      <c r="H15" s="133">
        <f>IF(B$17=0,0,G15/B$17)</f>
        <v>3.017241379310345E-2</v>
      </c>
      <c r="I15" s="94">
        <v>7</v>
      </c>
      <c r="K15" s="38">
        <v>13</v>
      </c>
      <c r="L15" s="99">
        <v>-81.900000000000006</v>
      </c>
      <c r="N15" s="114" t="s">
        <v>202</v>
      </c>
      <c r="O15" s="124">
        <f>IF(P15=0,0,Q15/P15)</f>
        <v>25</v>
      </c>
      <c r="P15" s="118">
        <v>1</v>
      </c>
      <c r="Q15" s="106">
        <v>25</v>
      </c>
    </row>
    <row r="16" spans="1:17" x14ac:dyDescent="0.4">
      <c r="A16" s="54" t="s">
        <v>125</v>
      </c>
      <c r="B16" s="46">
        <v>43</v>
      </c>
      <c r="C16" s="37">
        <f>IF(B$14=0,0,B16/B$14)</f>
        <v>0.27564102564102566</v>
      </c>
      <c r="E16" s="63" t="s">
        <v>92</v>
      </c>
      <c r="F16" s="60" t="s">
        <v>47</v>
      </c>
      <c r="G16" s="47">
        <v>6</v>
      </c>
      <c r="H16" s="133">
        <f>IF(B$17=0,0,G16/B$17)</f>
        <v>2.5862068965517241E-2</v>
      </c>
      <c r="I16" s="94">
        <v>2</v>
      </c>
      <c r="K16" s="38">
        <v>14</v>
      </c>
      <c r="L16" s="99">
        <v>-25.600000000000009</v>
      </c>
      <c r="N16" s="115" t="s">
        <v>186</v>
      </c>
      <c r="O16" s="125">
        <f>IF(P16=0,0,Q16/P16)</f>
        <v>22.250000000000004</v>
      </c>
      <c r="P16" s="119">
        <v>6</v>
      </c>
      <c r="Q16" s="107">
        <v>133.50000000000003</v>
      </c>
    </row>
    <row r="17" spans="1:17" x14ac:dyDescent="0.4">
      <c r="A17" s="54" t="s">
        <v>10</v>
      </c>
      <c r="B17" s="46">
        <f>B19+B18</f>
        <v>232</v>
      </c>
      <c r="C17" s="37">
        <f>IF(B$3=0,0,B17/B$3)</f>
        <v>0.27423167848699764</v>
      </c>
      <c r="E17" s="63" t="s">
        <v>80</v>
      </c>
      <c r="F17" s="60" t="s">
        <v>35</v>
      </c>
      <c r="G17" s="47">
        <v>4</v>
      </c>
      <c r="H17" s="133">
        <f>IF(B$17=0,0,G17/B$17)</f>
        <v>1.7241379310344827E-2</v>
      </c>
      <c r="I17" s="94">
        <v>3</v>
      </c>
      <c r="K17" s="38">
        <v>15</v>
      </c>
      <c r="L17" s="99">
        <v>47.999999999999986</v>
      </c>
      <c r="N17" s="115" t="s">
        <v>129</v>
      </c>
      <c r="O17" s="125">
        <f>IF(P17=0,0,Q17/P17)</f>
        <v>7.8034482758620651</v>
      </c>
      <c r="P17" s="119">
        <v>29</v>
      </c>
      <c r="Q17" s="107">
        <v>226.2999999999999</v>
      </c>
    </row>
    <row r="18" spans="1:17" x14ac:dyDescent="0.4">
      <c r="A18" s="55" t="s">
        <v>12</v>
      </c>
      <c r="B18" s="47">
        <v>100</v>
      </c>
      <c r="C18" s="39">
        <f>IF(B$17=0,0,B18/B$17)</f>
        <v>0.43103448275862066</v>
      </c>
      <c r="E18" s="63" t="s">
        <v>180</v>
      </c>
      <c r="F18" s="60" t="s">
        <v>183</v>
      </c>
      <c r="G18" s="47">
        <v>4</v>
      </c>
      <c r="H18" s="133">
        <f>IF(B$17=0,0,G18/B$17)</f>
        <v>1.7241379310344827E-2</v>
      </c>
      <c r="I18" s="94">
        <v>3</v>
      </c>
      <c r="K18" s="38">
        <v>16</v>
      </c>
      <c r="L18" s="99">
        <v>41.699999999999989</v>
      </c>
      <c r="N18" s="115" t="s">
        <v>177</v>
      </c>
      <c r="O18" s="125">
        <f>IF(P18=0,0,Q18/P18)</f>
        <v>2.4333333333333331</v>
      </c>
      <c r="P18" s="119">
        <v>18</v>
      </c>
      <c r="Q18" s="107">
        <v>43.8</v>
      </c>
    </row>
    <row r="19" spans="1:17" x14ac:dyDescent="0.4">
      <c r="A19" s="55" t="s">
        <v>11</v>
      </c>
      <c r="B19" s="47">
        <v>132</v>
      </c>
      <c r="C19" s="39">
        <f>IF(B$17=0,0,B19/B$17)</f>
        <v>0.56896551724137934</v>
      </c>
      <c r="E19" s="63" t="s">
        <v>74</v>
      </c>
      <c r="F19" s="60" t="s">
        <v>29</v>
      </c>
      <c r="G19" s="47">
        <v>2</v>
      </c>
      <c r="H19" s="133">
        <f>IF(B$17=0,0,G19/B$17)</f>
        <v>8.6206896551724137E-3</v>
      </c>
      <c r="I19" s="94">
        <v>3</v>
      </c>
      <c r="K19" s="38">
        <v>17</v>
      </c>
      <c r="L19" s="99">
        <v>94.6</v>
      </c>
      <c r="N19" s="115" t="s">
        <v>172</v>
      </c>
      <c r="O19" s="125">
        <f>IF(P19=0,0,Q19/P19)</f>
        <v>1.035483870967743</v>
      </c>
      <c r="P19" s="119">
        <v>31</v>
      </c>
      <c r="Q19" s="107">
        <v>32.10000000000003</v>
      </c>
    </row>
    <row r="20" spans="1:17" x14ac:dyDescent="0.4">
      <c r="A20" s="55" t="s">
        <v>13</v>
      </c>
      <c r="B20" s="47">
        <v>147</v>
      </c>
      <c r="C20" s="39">
        <f>IF(B$3=0,0,B20/B$3)</f>
        <v>0.17375886524822695</v>
      </c>
      <c r="E20" s="63" t="s">
        <v>75</v>
      </c>
      <c r="F20" s="60" t="s">
        <v>30</v>
      </c>
      <c r="G20" s="47">
        <v>2</v>
      </c>
      <c r="H20" s="133">
        <f>IF(B$17=0,0,G20/B$17)</f>
        <v>8.6206896551724137E-3</v>
      </c>
      <c r="I20" s="94">
        <v>2</v>
      </c>
      <c r="K20" s="38">
        <v>18</v>
      </c>
      <c r="L20" s="99">
        <v>116.69999999999999</v>
      </c>
      <c r="N20" s="115" t="s">
        <v>171</v>
      </c>
      <c r="O20" s="125">
        <f>IF(P20=0,0,Q20/P20)</f>
        <v>-3.3103448275862002</v>
      </c>
      <c r="P20" s="119">
        <v>29</v>
      </c>
      <c r="Q20" s="107">
        <v>-95.999999999999801</v>
      </c>
    </row>
    <row r="21" spans="1:17" x14ac:dyDescent="0.4">
      <c r="A21" s="55" t="s">
        <v>193</v>
      </c>
      <c r="B21" s="47">
        <v>6</v>
      </c>
      <c r="C21" s="135">
        <v>0</v>
      </c>
      <c r="E21" s="63" t="s">
        <v>76</v>
      </c>
      <c r="F21" s="60" t="s">
        <v>31</v>
      </c>
      <c r="G21" s="47">
        <v>2</v>
      </c>
      <c r="H21" s="133">
        <f>IF(B$17=0,0,G21/B$17)</f>
        <v>8.6206896551724137E-3</v>
      </c>
      <c r="I21" s="94">
        <v>4</v>
      </c>
      <c r="K21" s="38">
        <v>19</v>
      </c>
      <c r="L21" s="99">
        <v>138.79999999999998</v>
      </c>
      <c r="N21" s="115" t="s">
        <v>173</v>
      </c>
      <c r="O21" s="125">
        <f>IF(P21=0,0,Q21/P21)</f>
        <v>-3.6750000000000007</v>
      </c>
      <c r="P21" s="119">
        <v>20</v>
      </c>
      <c r="Q21" s="107">
        <v>-73.500000000000014</v>
      </c>
    </row>
    <row r="22" spans="1:17" x14ac:dyDescent="0.4">
      <c r="A22" s="55" t="s">
        <v>194</v>
      </c>
      <c r="B22" s="47">
        <v>24</v>
      </c>
      <c r="C22" s="135">
        <v>1</v>
      </c>
      <c r="E22" s="63" t="s">
        <v>79</v>
      </c>
      <c r="F22" s="60" t="s">
        <v>34</v>
      </c>
      <c r="G22" s="47">
        <v>2</v>
      </c>
      <c r="H22" s="133">
        <f>IF(B$17=0,0,G22/B$17)</f>
        <v>8.6206896551724137E-3</v>
      </c>
      <c r="I22" s="94">
        <v>10</v>
      </c>
      <c r="K22" s="38">
        <v>20</v>
      </c>
      <c r="L22" s="99">
        <v>164.49999999999997</v>
      </c>
      <c r="N22" s="115" t="s">
        <v>127</v>
      </c>
      <c r="O22" s="125">
        <f>IF(P22=0,0,Q22/P22)</f>
        <v>-20.351428571428581</v>
      </c>
      <c r="P22" s="119">
        <v>70</v>
      </c>
      <c r="Q22" s="107">
        <v>-1424.6000000000006</v>
      </c>
    </row>
    <row r="23" spans="1:17" x14ac:dyDescent="0.4">
      <c r="A23" s="55" t="s">
        <v>5</v>
      </c>
      <c r="B23" s="51">
        <f>IF(B$17=0,0,C23/B$17)</f>
        <v>9168.1034482758623</v>
      </c>
      <c r="C23" s="41">
        <v>2127000</v>
      </c>
      <c r="E23" s="63" t="s">
        <v>78</v>
      </c>
      <c r="F23" s="60" t="s">
        <v>33</v>
      </c>
      <c r="G23" s="47">
        <v>1</v>
      </c>
      <c r="H23" s="133">
        <f>IF(B$17=0,0,G23/B$17)</f>
        <v>4.3103448275862068E-3</v>
      </c>
      <c r="I23" s="94">
        <v>2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-7697.9591836734689</v>
      </c>
      <c r="C24" s="45">
        <v>-1131600</v>
      </c>
      <c r="E24" s="63" t="s">
        <v>85</v>
      </c>
      <c r="F24" s="60" t="s">
        <v>40</v>
      </c>
      <c r="G24" s="47">
        <v>1</v>
      </c>
      <c r="H24" s="133">
        <f>IF(B$17=0,0,G24/B$17)</f>
        <v>4.3103448275862068E-3</v>
      </c>
      <c r="I24" s="94">
        <v>1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0">
        <v>7</v>
      </c>
      <c r="C25" s="141"/>
      <c r="E25" s="63" t="s">
        <v>89</v>
      </c>
      <c r="F25" s="60" t="s">
        <v>44</v>
      </c>
      <c r="G25" s="47">
        <v>1</v>
      </c>
      <c r="H25" s="133">
        <f>IF(B$17=0,0,G25/B$17)</f>
        <v>4.3103448275862068E-3</v>
      </c>
      <c r="I25" s="94">
        <v>2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38">
        <v>97300</v>
      </c>
      <c r="C26" s="139"/>
      <c r="E26" s="63" t="s">
        <v>93</v>
      </c>
      <c r="F26" s="60" t="s">
        <v>48</v>
      </c>
      <c r="G26" s="47">
        <v>1</v>
      </c>
      <c r="H26" s="133">
        <f>IF(B$17=0,0,G26/B$17)</f>
        <v>4.3103448275862068E-3</v>
      </c>
      <c r="I26" s="94">
        <v>2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5</v>
      </c>
      <c r="C27" s="42">
        <f>IF(B$3=0,0,B27/B$3)</f>
        <v>5.9101654846335696E-3</v>
      </c>
      <c r="E27" s="63" t="s">
        <v>94</v>
      </c>
      <c r="F27" s="60" t="s">
        <v>49</v>
      </c>
      <c r="G27" s="47">
        <v>1</v>
      </c>
      <c r="H27" s="133">
        <f>IF(B$17=0,0,G27/B$17)</f>
        <v>4.3103448275862068E-3</v>
      </c>
      <c r="I27" s="94">
        <v>2</v>
      </c>
      <c r="K27" s="38">
        <v>25</v>
      </c>
      <c r="L27" s="99">
        <v>245.59999999999997</v>
      </c>
    </row>
    <row r="28" spans="1:17" x14ac:dyDescent="0.4">
      <c r="E28" s="63" t="s">
        <v>96</v>
      </c>
      <c r="F28" s="60" t="s">
        <v>51</v>
      </c>
      <c r="G28" s="47">
        <v>1</v>
      </c>
      <c r="H28" s="133">
        <f>IF(B$17=0,0,G28/B$17)</f>
        <v>4.3103448275862068E-3</v>
      </c>
      <c r="I28" s="94">
        <v>1</v>
      </c>
      <c r="K28" s="38">
        <v>26</v>
      </c>
      <c r="L28" s="99">
        <v>237.69999999999996</v>
      </c>
    </row>
    <row r="29" spans="1:17" x14ac:dyDescent="0.4">
      <c r="E29" s="63" t="s">
        <v>77</v>
      </c>
      <c r="F29" s="60" t="s">
        <v>32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236.69999999999996</v>
      </c>
    </row>
    <row r="30" spans="1:17" x14ac:dyDescent="0.4">
      <c r="E30" s="63" t="s">
        <v>81</v>
      </c>
      <c r="F30" s="60" t="s">
        <v>36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191.39999999999998</v>
      </c>
    </row>
    <row r="31" spans="1:17" x14ac:dyDescent="0.4">
      <c r="E31" s="63" t="s">
        <v>83</v>
      </c>
      <c r="F31" s="60" t="s">
        <v>38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182.49999999999997</v>
      </c>
    </row>
    <row r="32" spans="1:17" x14ac:dyDescent="0.4">
      <c r="E32" s="63" t="s">
        <v>86</v>
      </c>
      <c r="F32" s="60" t="s">
        <v>41</v>
      </c>
      <c r="G32" s="47">
        <v>0</v>
      </c>
      <c r="H32" s="133">
        <f>IF(B$17=0,0,G32/B$17)</f>
        <v>0</v>
      </c>
      <c r="I32" s="94">
        <v>3</v>
      </c>
      <c r="K32" s="38">
        <v>30</v>
      </c>
      <c r="L32" s="99">
        <v>178.99999999999997</v>
      </c>
    </row>
    <row r="33" spans="5:12" x14ac:dyDescent="0.4">
      <c r="E33" s="63" t="s">
        <v>88</v>
      </c>
      <c r="F33" s="60" t="s">
        <v>43</v>
      </c>
      <c r="G33" s="47">
        <v>0</v>
      </c>
      <c r="H33" s="133">
        <f>IF(B$17=0,0,G33/B$17)</f>
        <v>0</v>
      </c>
      <c r="I33" s="94">
        <v>6</v>
      </c>
      <c r="K33" s="38">
        <v>31</v>
      </c>
      <c r="L33" s="99">
        <v>186.99999999999997</v>
      </c>
    </row>
    <row r="34" spans="5:12" x14ac:dyDescent="0.4">
      <c r="E34" s="63" t="s">
        <v>91</v>
      </c>
      <c r="F34" s="60" t="s">
        <v>46</v>
      </c>
      <c r="G34" s="47">
        <v>0</v>
      </c>
      <c r="H34" s="133">
        <f>IF(B$17=0,0,G34/B$17)</f>
        <v>0</v>
      </c>
      <c r="I34" s="94">
        <v>3</v>
      </c>
      <c r="K34" s="38">
        <v>32</v>
      </c>
      <c r="L34" s="99">
        <v>241.49999999999997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230.89999999999998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232.99999999999997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189.39999999999998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127.59999999999997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214.99999999999997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169.19999999999996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50.599999999999959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-4.8000000000000398</v>
      </c>
    </row>
    <row r="52" spans="5:12" x14ac:dyDescent="0.4"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  <row r="78" spans="11:12" x14ac:dyDescent="0.4">
      <c r="K78" s="38">
        <v>76</v>
      </c>
      <c r="L78" s="99">
        <v>-77.500000000000057</v>
      </c>
    </row>
    <row r="79" spans="11:12" x14ac:dyDescent="0.4">
      <c r="K79" s="38">
        <v>77</v>
      </c>
      <c r="L79" s="99">
        <v>-82.800000000000054</v>
      </c>
    </row>
    <row r="80" spans="11:12" x14ac:dyDescent="0.4">
      <c r="K80" s="38">
        <v>78</v>
      </c>
      <c r="L80" s="99">
        <v>-95.400000000000048</v>
      </c>
    </row>
    <row r="81" spans="11:12" x14ac:dyDescent="0.4">
      <c r="K81" s="38">
        <v>79</v>
      </c>
      <c r="L81" s="99">
        <v>-29.200000000000045</v>
      </c>
    </row>
    <row r="82" spans="11:12" x14ac:dyDescent="0.4">
      <c r="K82" s="38">
        <v>80</v>
      </c>
      <c r="L82" s="99">
        <v>-64.80000000000004</v>
      </c>
    </row>
    <row r="83" spans="11:12" x14ac:dyDescent="0.4">
      <c r="K83" s="38">
        <v>81</v>
      </c>
      <c r="L83" s="99">
        <v>-101.60000000000004</v>
      </c>
    </row>
    <row r="84" spans="11:12" x14ac:dyDescent="0.4">
      <c r="K84" s="38">
        <v>82</v>
      </c>
      <c r="L84" s="99">
        <v>-91.600000000000037</v>
      </c>
    </row>
    <row r="85" spans="11:12" x14ac:dyDescent="0.4">
      <c r="K85" s="38">
        <v>83</v>
      </c>
      <c r="L85" s="99">
        <v>-49.100000000000037</v>
      </c>
    </row>
    <row r="86" spans="11:12" x14ac:dyDescent="0.4">
      <c r="K86" s="38">
        <v>84</v>
      </c>
      <c r="L86" s="99">
        <v>-56.100000000000037</v>
      </c>
    </row>
    <row r="87" spans="11:12" x14ac:dyDescent="0.4">
      <c r="K87" s="38">
        <v>85</v>
      </c>
      <c r="L87" s="99">
        <v>-90.30000000000004</v>
      </c>
    </row>
    <row r="88" spans="11:12" x14ac:dyDescent="0.4">
      <c r="K88" s="38">
        <v>86</v>
      </c>
      <c r="L88" s="99">
        <v>-148.80000000000004</v>
      </c>
    </row>
    <row r="89" spans="11:12" x14ac:dyDescent="0.4">
      <c r="K89" s="38">
        <v>87</v>
      </c>
      <c r="L89" s="99">
        <v>-226.80000000000004</v>
      </c>
    </row>
    <row r="90" spans="11:12" x14ac:dyDescent="0.4">
      <c r="K90" s="38">
        <v>88</v>
      </c>
      <c r="L90" s="99">
        <v>-218.00000000000003</v>
      </c>
    </row>
    <row r="91" spans="11:12" x14ac:dyDescent="0.4">
      <c r="K91" s="38">
        <v>89</v>
      </c>
      <c r="L91" s="99">
        <v>-208.40000000000003</v>
      </c>
    </row>
    <row r="92" spans="11:12" x14ac:dyDescent="0.4">
      <c r="K92" s="38">
        <v>90</v>
      </c>
      <c r="L92" s="99">
        <v>-273.5</v>
      </c>
    </row>
    <row r="93" spans="11:12" x14ac:dyDescent="0.4">
      <c r="K93" s="38">
        <v>91</v>
      </c>
      <c r="L93" s="99">
        <v>-241.9</v>
      </c>
    </row>
    <row r="94" spans="11:12" x14ac:dyDescent="0.4">
      <c r="K94" s="38">
        <v>92</v>
      </c>
      <c r="L94" s="99">
        <v>-273.60000000000002</v>
      </c>
    </row>
    <row r="95" spans="11:12" x14ac:dyDescent="0.4">
      <c r="K95" s="38">
        <v>93</v>
      </c>
      <c r="L95" s="99">
        <v>-210.50000000000003</v>
      </c>
    </row>
    <row r="96" spans="11:12" x14ac:dyDescent="0.4">
      <c r="K96" s="38">
        <v>94</v>
      </c>
      <c r="L96" s="99">
        <v>-221.00000000000003</v>
      </c>
    </row>
    <row r="97" spans="11:12" x14ac:dyDescent="0.4">
      <c r="K97" s="38">
        <v>95</v>
      </c>
      <c r="L97" s="99">
        <v>-254.3</v>
      </c>
    </row>
    <row r="98" spans="11:12" x14ac:dyDescent="0.4">
      <c r="K98" s="38">
        <v>96</v>
      </c>
      <c r="L98" s="99">
        <v>-293.90000000000003</v>
      </c>
    </row>
    <row r="99" spans="11:12" x14ac:dyDescent="0.4">
      <c r="K99" s="38">
        <v>97</v>
      </c>
      <c r="L99" s="99">
        <v>-323.70000000000005</v>
      </c>
    </row>
    <row r="100" spans="11:12" x14ac:dyDescent="0.4">
      <c r="K100" s="38">
        <v>98</v>
      </c>
      <c r="L100" s="99">
        <v>-382.90000000000003</v>
      </c>
    </row>
    <row r="101" spans="11:12" x14ac:dyDescent="0.4">
      <c r="K101" s="38">
        <v>99</v>
      </c>
      <c r="L101" s="99">
        <v>-347.50000000000006</v>
      </c>
    </row>
    <row r="102" spans="11:12" x14ac:dyDescent="0.4">
      <c r="K102" s="38">
        <v>100</v>
      </c>
      <c r="L102" s="99">
        <v>-405.00000000000006</v>
      </c>
    </row>
    <row r="103" spans="11:12" x14ac:dyDescent="0.4">
      <c r="K103" s="38">
        <v>101</v>
      </c>
      <c r="L103" s="99">
        <v>-377.80000000000007</v>
      </c>
    </row>
    <row r="104" spans="11:12" x14ac:dyDescent="0.4">
      <c r="K104" s="38">
        <v>102</v>
      </c>
      <c r="L104" s="99">
        <v>-377.80000000000007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F58F5-875A-49BA-9564-E551A5BA952C}">
  <sheetPr codeName="Sheet1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129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42</v>
      </c>
      <c r="C2" s="147"/>
      <c r="E2" s="62" t="s">
        <v>67</v>
      </c>
      <c r="F2" s="59" t="s">
        <v>23</v>
      </c>
      <c r="G2" s="46">
        <v>57</v>
      </c>
      <c r="H2" s="132">
        <f>IF(B$17=0,0,G2/B$17)</f>
        <v>0.80281690140845074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-2982.9268292682927</v>
      </c>
      <c r="P2" s="118">
        <v>41</v>
      </c>
      <c r="Q2" s="102">
        <v>-122300</v>
      </c>
    </row>
    <row r="3" spans="1:17" x14ac:dyDescent="0.4">
      <c r="A3" s="55" t="s">
        <v>8</v>
      </c>
      <c r="B3" s="148">
        <v>331</v>
      </c>
      <c r="C3" s="149"/>
      <c r="E3" s="63" t="s">
        <v>65</v>
      </c>
      <c r="F3" s="60" t="s">
        <v>21</v>
      </c>
      <c r="G3" s="47">
        <v>41</v>
      </c>
      <c r="H3" s="133">
        <f>IF(B$17=0,0,G3/B$17)</f>
        <v>0.57746478873239437</v>
      </c>
      <c r="I3" s="94">
        <v>5</v>
      </c>
      <c r="K3" s="38">
        <v>1</v>
      </c>
      <c r="L3" s="99">
        <v>-40.4</v>
      </c>
      <c r="N3" s="115" t="s">
        <v>133</v>
      </c>
      <c r="O3" s="122">
        <f t="shared" si="0"/>
        <v>-2697.560975609756</v>
      </c>
      <c r="P3" s="119">
        <v>41</v>
      </c>
      <c r="Q3" s="103">
        <v>-110600</v>
      </c>
    </row>
    <row r="4" spans="1:17" x14ac:dyDescent="0.4">
      <c r="A4" s="55" t="s">
        <v>6</v>
      </c>
      <c r="B4" s="150">
        <v>-789.99999999999977</v>
      </c>
      <c r="C4" s="151"/>
      <c r="E4" s="63" t="s">
        <v>68</v>
      </c>
      <c r="F4" s="60" t="s">
        <v>24</v>
      </c>
      <c r="G4" s="47">
        <v>31</v>
      </c>
      <c r="H4" s="133">
        <f>IF(B$17=0,0,G4/B$17)</f>
        <v>0.43661971830985913</v>
      </c>
      <c r="I4" s="94">
        <v>4</v>
      </c>
      <c r="K4" s="38">
        <v>2</v>
      </c>
      <c r="L4" s="99">
        <v>-3.3999999999999986</v>
      </c>
      <c r="N4" s="115" t="s">
        <v>134</v>
      </c>
      <c r="O4" s="122">
        <f t="shared" si="0"/>
        <v>-871.0526315789474</v>
      </c>
      <c r="P4" s="119">
        <v>38</v>
      </c>
      <c r="Q4" s="103">
        <v>-33100</v>
      </c>
    </row>
    <row r="5" spans="1:17" x14ac:dyDescent="0.4">
      <c r="A5" s="55" t="s">
        <v>7</v>
      </c>
      <c r="B5" s="152">
        <f>IF(B$2=0,0,B$4/B$2)</f>
        <v>-18.809523809523803</v>
      </c>
      <c r="C5" s="153"/>
      <c r="E5" s="63" t="s">
        <v>69</v>
      </c>
      <c r="F5" s="60" t="s">
        <v>12</v>
      </c>
      <c r="G5" s="47">
        <v>29</v>
      </c>
      <c r="H5" s="133">
        <f>IF(B$17=0,0,G5/B$17)</f>
        <v>0.40845070422535212</v>
      </c>
      <c r="I5" s="94">
        <v>4</v>
      </c>
      <c r="K5" s="38">
        <v>3</v>
      </c>
      <c r="L5" s="99">
        <v>-23.099999999999998</v>
      </c>
      <c r="N5" s="115" t="s">
        <v>135</v>
      </c>
      <c r="O5" s="122">
        <f t="shared" si="0"/>
        <v>-5281.818181818182</v>
      </c>
      <c r="P5" s="119">
        <v>33</v>
      </c>
      <c r="Q5" s="103">
        <v>-174300</v>
      </c>
    </row>
    <row r="6" spans="1:17" x14ac:dyDescent="0.4">
      <c r="A6" s="55" t="s">
        <v>1</v>
      </c>
      <c r="B6" s="142">
        <f>IF(B$2=0,0,(B$7*1+B$8*2+B$9*3)/B$2)</f>
        <v>2.2857142857142856</v>
      </c>
      <c r="C6" s="143"/>
      <c r="E6" s="63" t="s">
        <v>181</v>
      </c>
      <c r="F6" s="60" t="s">
        <v>182</v>
      </c>
      <c r="G6" s="47">
        <v>29</v>
      </c>
      <c r="H6" s="133">
        <f>IF(B$17=0,0,G6/B$17)</f>
        <v>0.40845070422535212</v>
      </c>
      <c r="I6" s="94">
        <v>5</v>
      </c>
      <c r="K6" s="38">
        <v>4</v>
      </c>
      <c r="L6" s="99">
        <v>-31.4</v>
      </c>
      <c r="N6" s="115" t="s">
        <v>136</v>
      </c>
      <c r="O6" s="122">
        <f t="shared" si="0"/>
        <v>-530</v>
      </c>
      <c r="P6" s="119">
        <v>30</v>
      </c>
      <c r="Q6" s="103">
        <v>-15900</v>
      </c>
    </row>
    <row r="7" spans="1:17" x14ac:dyDescent="0.4">
      <c r="A7" s="55" t="s">
        <v>2</v>
      </c>
      <c r="B7" s="47">
        <v>10</v>
      </c>
      <c r="C7" s="39">
        <f>IF(B$2=0,0,B7/B$2)</f>
        <v>0.23809523809523808</v>
      </c>
      <c r="E7" s="63" t="s">
        <v>73</v>
      </c>
      <c r="F7" s="60" t="s">
        <v>28</v>
      </c>
      <c r="G7" s="47">
        <v>23</v>
      </c>
      <c r="H7" s="133">
        <f>IF(B$17=0,0,G7/B$17)</f>
        <v>0.323943661971831</v>
      </c>
      <c r="I7" s="94">
        <v>12</v>
      </c>
      <c r="K7" s="38">
        <v>5</v>
      </c>
      <c r="L7" s="99">
        <v>-32.199999999999996</v>
      </c>
      <c r="N7" s="116" t="s">
        <v>137</v>
      </c>
      <c r="O7" s="123">
        <f t="shared" si="0"/>
        <v>-1960.7142857142858</v>
      </c>
      <c r="P7" s="120">
        <v>28</v>
      </c>
      <c r="Q7" s="104">
        <v>-54900</v>
      </c>
    </row>
    <row r="8" spans="1:17" x14ac:dyDescent="0.4">
      <c r="A8" s="55" t="s">
        <v>3</v>
      </c>
      <c r="B8" s="47">
        <v>10</v>
      </c>
      <c r="C8" s="39">
        <f>IF(B$2=0,0,B8/B$2)</f>
        <v>0.23809523809523808</v>
      </c>
      <c r="E8" s="63" t="s">
        <v>70</v>
      </c>
      <c r="F8" s="60" t="s">
        <v>25</v>
      </c>
      <c r="G8" s="47">
        <v>16</v>
      </c>
      <c r="H8" s="133">
        <f>IF(B$17=0,0,G8/B$17)</f>
        <v>0.22535211267605634</v>
      </c>
      <c r="I8" s="94">
        <v>3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22</v>
      </c>
      <c r="C9" s="40">
        <f t="shared" ref="C9" si="1">IF(B$2=0,0,B9/B$2)</f>
        <v>0.52380952380952384</v>
      </c>
      <c r="E9" s="63" t="s">
        <v>71</v>
      </c>
      <c r="F9" s="60" t="s">
        <v>26</v>
      </c>
      <c r="G9" s="47">
        <v>15</v>
      </c>
      <c r="H9" s="133">
        <f>IF(B$17=0,0,G9/B$17)</f>
        <v>0.21126760563380281</v>
      </c>
      <c r="I9" s="94">
        <v>1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8</v>
      </c>
      <c r="C10" s="40">
        <f>IF(B$2=0,0,B10/B$2)</f>
        <v>0.19047619047619047</v>
      </c>
      <c r="E10" s="63" t="s">
        <v>72</v>
      </c>
      <c r="F10" s="60" t="s">
        <v>27</v>
      </c>
      <c r="G10" s="47">
        <v>9</v>
      </c>
      <c r="H10" s="133">
        <f>IF(B$17=0,0,G10/B$17)</f>
        <v>0.12676056338028169</v>
      </c>
      <c r="I10" s="94">
        <v>2</v>
      </c>
      <c r="K10" s="38">
        <v>8</v>
      </c>
      <c r="L10" s="99">
        <v>-79.599999999999994</v>
      </c>
      <c r="N10" s="114" t="s">
        <v>164</v>
      </c>
      <c r="O10" s="124">
        <f>IF(P10=0,0,Q10/P10)</f>
        <v>-24.338461538461534</v>
      </c>
      <c r="P10" s="118">
        <v>13</v>
      </c>
      <c r="Q10" s="106">
        <v>-316.39999999999992</v>
      </c>
    </row>
    <row r="11" spans="1:17" x14ac:dyDescent="0.4">
      <c r="A11" s="56" t="s">
        <v>140</v>
      </c>
      <c r="B11" s="48">
        <v>2</v>
      </c>
      <c r="C11" s="40">
        <f>IF(B$2=0,0,B11/B$2)</f>
        <v>4.7619047619047616E-2</v>
      </c>
      <c r="E11" s="63" t="s">
        <v>90</v>
      </c>
      <c r="F11" s="60" t="s">
        <v>45</v>
      </c>
      <c r="G11" s="47">
        <v>7</v>
      </c>
      <c r="H11" s="133">
        <f>IF(B$17=0,0,G11/B$17)</f>
        <v>9.8591549295774641E-2</v>
      </c>
      <c r="I11" s="94">
        <v>10</v>
      </c>
      <c r="K11" s="38">
        <v>9</v>
      </c>
      <c r="L11" s="99">
        <v>-127.6</v>
      </c>
      <c r="N11" s="115" t="s">
        <v>165</v>
      </c>
      <c r="O11" s="125">
        <f>IF(P11=0,0,Q11/P11)</f>
        <v>-19.862500000000004</v>
      </c>
      <c r="P11" s="119">
        <v>16</v>
      </c>
      <c r="Q11" s="107">
        <v>-317.80000000000007</v>
      </c>
    </row>
    <row r="12" spans="1:17" x14ac:dyDescent="0.4">
      <c r="A12" s="57" t="s">
        <v>160</v>
      </c>
      <c r="B12" s="49">
        <v>4</v>
      </c>
      <c r="C12" s="42">
        <f>IF(B$2=0,0,B12/B$2)</f>
        <v>9.5238095238095233E-2</v>
      </c>
      <c r="E12" s="63" t="s">
        <v>66</v>
      </c>
      <c r="F12" s="60" t="s">
        <v>22</v>
      </c>
      <c r="G12" s="47">
        <v>5</v>
      </c>
      <c r="H12" s="133">
        <f>IF(B$17=0,0,G12/B$17)</f>
        <v>7.0422535211267609E-2</v>
      </c>
      <c r="I12" s="94">
        <v>9</v>
      </c>
      <c r="K12" s="38">
        <v>10</v>
      </c>
      <c r="L12" s="99">
        <v>-231.39999999999998</v>
      </c>
      <c r="N12" s="116" t="s">
        <v>166</v>
      </c>
      <c r="O12" s="126">
        <f>IF(P12=0,0,Q12/P12)</f>
        <v>-12.983333333333333</v>
      </c>
      <c r="P12" s="120">
        <v>12</v>
      </c>
      <c r="Q12" s="108">
        <v>-155.79999999999998</v>
      </c>
    </row>
    <row r="13" spans="1:17" x14ac:dyDescent="0.4">
      <c r="A13" s="58" t="s">
        <v>122</v>
      </c>
      <c r="B13" s="50">
        <v>83</v>
      </c>
      <c r="C13" s="44">
        <f>IF(B$3=0,0,B13/B$3)</f>
        <v>0.25075528700906347</v>
      </c>
      <c r="E13" s="63" t="s">
        <v>87</v>
      </c>
      <c r="F13" s="60" t="s">
        <v>42</v>
      </c>
      <c r="G13" s="47">
        <v>4</v>
      </c>
      <c r="H13" s="133">
        <f>IF(B$17=0,0,G13/B$17)</f>
        <v>5.6338028169014086E-2</v>
      </c>
      <c r="I13" s="94">
        <v>5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51</v>
      </c>
      <c r="C14" s="39">
        <f>IF(B$3=0,0,B14/B$3)</f>
        <v>0.15407854984894259</v>
      </c>
      <c r="E14" s="63" t="s">
        <v>78</v>
      </c>
      <c r="F14" s="60" t="s">
        <v>33</v>
      </c>
      <c r="G14" s="47">
        <v>1</v>
      </c>
      <c r="H14" s="133">
        <f>IF(B$17=0,0,G14/B$17)</f>
        <v>1.4084507042253521E-2</v>
      </c>
      <c r="I14" s="94">
        <v>1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43</v>
      </c>
      <c r="C15" s="37">
        <f>IF(B$13=0,0,B15/B$13)</f>
        <v>0.51807228915662651</v>
      </c>
      <c r="E15" s="63" t="s">
        <v>79</v>
      </c>
      <c r="F15" s="60" t="s">
        <v>34</v>
      </c>
      <c r="G15" s="47">
        <v>1</v>
      </c>
      <c r="H15" s="133">
        <f>IF(B$17=0,0,G15/B$17)</f>
        <v>1.4084507042253521E-2</v>
      </c>
      <c r="I15" s="94">
        <v>8</v>
      </c>
      <c r="K15" s="38">
        <v>13</v>
      </c>
      <c r="L15" s="99">
        <v>-369.1</v>
      </c>
      <c r="N15" s="114" t="s">
        <v>225</v>
      </c>
      <c r="O15" s="124">
        <f>IF(P15=0,0,Q15/P15)</f>
        <v>80.7</v>
      </c>
      <c r="P15" s="118">
        <v>1</v>
      </c>
      <c r="Q15" s="106">
        <v>80.7</v>
      </c>
    </row>
    <row r="16" spans="1:17" x14ac:dyDescent="0.4">
      <c r="A16" s="54" t="s">
        <v>125</v>
      </c>
      <c r="B16" s="46">
        <v>10</v>
      </c>
      <c r="C16" s="37">
        <f>IF(B$14=0,0,B16/B$14)</f>
        <v>0.19607843137254902</v>
      </c>
      <c r="E16" s="63" t="s">
        <v>80</v>
      </c>
      <c r="F16" s="60" t="s">
        <v>35</v>
      </c>
      <c r="G16" s="47">
        <v>1</v>
      </c>
      <c r="H16" s="133">
        <f>IF(B$17=0,0,G16/B$17)</f>
        <v>1.4084507042253521E-2</v>
      </c>
      <c r="I16" s="94">
        <v>4</v>
      </c>
      <c r="K16" s="38">
        <v>14</v>
      </c>
      <c r="L16" s="99">
        <v>-394.6</v>
      </c>
      <c r="N16" s="115" t="s">
        <v>177</v>
      </c>
      <c r="O16" s="125">
        <f>IF(P16=0,0,Q16/P16)</f>
        <v>42.625</v>
      </c>
      <c r="P16" s="119">
        <v>4</v>
      </c>
      <c r="Q16" s="107">
        <v>170.5</v>
      </c>
    </row>
    <row r="17" spans="1:17" x14ac:dyDescent="0.4">
      <c r="A17" s="54" t="s">
        <v>10</v>
      </c>
      <c r="B17" s="46">
        <f>B19+B18</f>
        <v>71</v>
      </c>
      <c r="C17" s="37">
        <f>IF(B$3=0,0,B17/B$3)</f>
        <v>0.21450151057401812</v>
      </c>
      <c r="E17" s="63" t="s">
        <v>82</v>
      </c>
      <c r="F17" s="60" t="s">
        <v>37</v>
      </c>
      <c r="G17" s="47">
        <v>1</v>
      </c>
      <c r="H17" s="133">
        <f>IF(B$17=0,0,G17/B$17)</f>
        <v>1.4084507042253521E-2</v>
      </c>
      <c r="I17" s="94">
        <v>9</v>
      </c>
      <c r="K17" s="38">
        <v>15</v>
      </c>
      <c r="L17" s="99">
        <v>-424.5</v>
      </c>
      <c r="N17" s="115" t="s">
        <v>128</v>
      </c>
      <c r="O17" s="125">
        <f>IF(P17=0,0,Q17/P17)</f>
        <v>-7.8034482758620634</v>
      </c>
      <c r="P17" s="119">
        <v>29</v>
      </c>
      <c r="Q17" s="107">
        <v>-226.29999999999984</v>
      </c>
    </row>
    <row r="18" spans="1:17" x14ac:dyDescent="0.4">
      <c r="A18" s="55" t="s">
        <v>12</v>
      </c>
      <c r="B18" s="47">
        <v>36</v>
      </c>
      <c r="C18" s="39">
        <f>IF(B$17=0,0,B18/B$17)</f>
        <v>0.50704225352112675</v>
      </c>
      <c r="E18" s="63" t="s">
        <v>84</v>
      </c>
      <c r="F18" s="60" t="s">
        <v>39</v>
      </c>
      <c r="G18" s="47">
        <v>1</v>
      </c>
      <c r="H18" s="133">
        <f>IF(B$17=0,0,G18/B$17)</f>
        <v>1.4084507042253521E-2</v>
      </c>
      <c r="I18" s="94">
        <v>9</v>
      </c>
      <c r="K18" s="38">
        <v>16</v>
      </c>
      <c r="L18" s="99">
        <v>-472</v>
      </c>
      <c r="N18" s="115" t="s">
        <v>173</v>
      </c>
      <c r="O18" s="125">
        <f>IF(P18=0,0,Q18/P18)</f>
        <v>-30.733333333333331</v>
      </c>
      <c r="P18" s="119">
        <v>6</v>
      </c>
      <c r="Q18" s="107">
        <v>-184.39999999999998</v>
      </c>
    </row>
    <row r="19" spans="1:17" x14ac:dyDescent="0.4">
      <c r="A19" s="55" t="s">
        <v>11</v>
      </c>
      <c r="B19" s="47">
        <v>35</v>
      </c>
      <c r="C19" s="39">
        <f>IF(B$17=0,0,B19/B$17)</f>
        <v>0.49295774647887325</v>
      </c>
      <c r="E19" s="63" t="s">
        <v>88</v>
      </c>
      <c r="F19" s="60" t="s">
        <v>43</v>
      </c>
      <c r="G19" s="47">
        <v>1</v>
      </c>
      <c r="H19" s="133">
        <f>IF(B$17=0,0,G19/B$17)</f>
        <v>1.4084507042253521E-2</v>
      </c>
      <c r="I19" s="94">
        <v>1</v>
      </c>
      <c r="K19" s="38">
        <v>17</v>
      </c>
      <c r="L19" s="99">
        <v>-538.29999999999995</v>
      </c>
      <c r="N19" s="115" t="s">
        <v>172</v>
      </c>
      <c r="O19" s="125">
        <f>IF(P19=0,0,Q19/P19)</f>
        <v>-44.372727272727268</v>
      </c>
      <c r="P19" s="119">
        <v>11</v>
      </c>
      <c r="Q19" s="107">
        <v>-488.09999999999991</v>
      </c>
    </row>
    <row r="20" spans="1:17" x14ac:dyDescent="0.4">
      <c r="A20" s="55" t="s">
        <v>13</v>
      </c>
      <c r="B20" s="47">
        <v>64</v>
      </c>
      <c r="C20" s="39">
        <f>IF(B$3=0,0,B20/B$3)</f>
        <v>0.19335347432024169</v>
      </c>
      <c r="E20" s="63" t="s">
        <v>89</v>
      </c>
      <c r="F20" s="60" t="s">
        <v>44</v>
      </c>
      <c r="G20" s="47">
        <v>1</v>
      </c>
      <c r="H20" s="133">
        <f>IF(B$17=0,0,G20/B$17)</f>
        <v>1.4084507042253521E-2</v>
      </c>
      <c r="I20" s="94">
        <v>1</v>
      </c>
      <c r="K20" s="38">
        <v>18</v>
      </c>
      <c r="L20" s="99">
        <v>-537.19999999999993</v>
      </c>
      <c r="N20" s="115" t="s">
        <v>171</v>
      </c>
      <c r="O20" s="125">
        <f>IF(P20=0,0,Q20/P20)</f>
        <v>-46.55</v>
      </c>
      <c r="P20" s="119">
        <v>8</v>
      </c>
      <c r="Q20" s="107">
        <v>-372.4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92</v>
      </c>
      <c r="F21" s="60" t="s">
        <v>47</v>
      </c>
      <c r="G21" s="47">
        <v>1</v>
      </c>
      <c r="H21" s="133">
        <f>IF(B$17=0,0,G21/B$17)</f>
        <v>1.4084507042253521E-2</v>
      </c>
      <c r="I21" s="94">
        <v>4</v>
      </c>
      <c r="K21" s="38">
        <v>19</v>
      </c>
      <c r="L21" s="99">
        <v>-569.49999999999989</v>
      </c>
      <c r="N21" s="115" t="s">
        <v>127</v>
      </c>
      <c r="O21" s="125">
        <f>IF(P21=0,0,Q21/P21)</f>
        <v>-53.237500000000033</v>
      </c>
      <c r="P21" s="119">
        <v>24</v>
      </c>
      <c r="Q21" s="107">
        <v>-1277.7000000000007</v>
      </c>
    </row>
    <row r="22" spans="1:17" x14ac:dyDescent="0.4">
      <c r="A22" s="55" t="s">
        <v>194</v>
      </c>
      <c r="B22" s="47">
        <v>31</v>
      </c>
      <c r="C22" s="135">
        <v>4</v>
      </c>
      <c r="E22" s="63" t="s">
        <v>94</v>
      </c>
      <c r="F22" s="60" t="s">
        <v>49</v>
      </c>
      <c r="G22" s="47">
        <v>1</v>
      </c>
      <c r="H22" s="133">
        <f>IF(B$17=0,0,G22/B$17)</f>
        <v>1.4084507042253521E-2</v>
      </c>
      <c r="I22" s="94">
        <v>1</v>
      </c>
      <c r="K22" s="38">
        <v>20</v>
      </c>
      <c r="L22" s="99">
        <v>-632.99999999999989</v>
      </c>
      <c r="N22" s="115" t="s">
        <v>186</v>
      </c>
      <c r="O22" s="125">
        <f>IF(P22=0,0,Q22/P22)</f>
        <v>-72.3</v>
      </c>
      <c r="P22" s="119">
        <v>1</v>
      </c>
      <c r="Q22" s="107">
        <v>-72.3</v>
      </c>
    </row>
    <row r="23" spans="1:17" x14ac:dyDescent="0.4">
      <c r="A23" s="55" t="s">
        <v>5</v>
      </c>
      <c r="B23" s="51">
        <f>IF(B$17=0,0,C23/B$17)</f>
        <v>8760.5633802816901</v>
      </c>
      <c r="C23" s="41">
        <v>622000</v>
      </c>
      <c r="E23" s="63" t="s">
        <v>74</v>
      </c>
      <c r="F23" s="60" t="s">
        <v>29</v>
      </c>
      <c r="G23" s="47">
        <v>0</v>
      </c>
      <c r="H23" s="133">
        <f>IF(B$17=0,0,G23/B$17)</f>
        <v>0</v>
      </c>
      <c r="I23" s="94">
        <v>6</v>
      </c>
      <c r="K23" s="38">
        <v>21</v>
      </c>
      <c r="L23" s="99">
        <v>-629.49999999999989</v>
      </c>
    </row>
    <row r="24" spans="1:17" x14ac:dyDescent="0.4">
      <c r="A24" s="57" t="s">
        <v>14</v>
      </c>
      <c r="B24" s="52">
        <f>IF(B$20=0,0,C24/B$20)</f>
        <v>-9603.125</v>
      </c>
      <c r="C24" s="45">
        <v>-614600</v>
      </c>
      <c r="E24" s="63" t="s">
        <v>75</v>
      </c>
      <c r="F24" s="60" t="s">
        <v>30</v>
      </c>
      <c r="G24" s="47">
        <v>0</v>
      </c>
      <c r="H24" s="133">
        <f>IF(B$17=0,0,G24/B$17)</f>
        <v>0</v>
      </c>
      <c r="I24" s="94">
        <v>4</v>
      </c>
      <c r="K24" s="38">
        <v>22</v>
      </c>
      <c r="L24" s="99">
        <v>-670.19999999999993</v>
      </c>
    </row>
    <row r="25" spans="1:17" x14ac:dyDescent="0.4">
      <c r="A25" s="90" t="s">
        <v>142</v>
      </c>
      <c r="B25" s="140">
        <v>7</v>
      </c>
      <c r="C25" s="141"/>
      <c r="E25" s="63" t="s">
        <v>76</v>
      </c>
      <c r="F25" s="60" t="s">
        <v>31</v>
      </c>
      <c r="G25" s="47">
        <v>0</v>
      </c>
      <c r="H25" s="133">
        <f>IF(B$17=0,0,G25/B$17)</f>
        <v>0</v>
      </c>
      <c r="I25" s="94">
        <v>7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38">
        <v>96900</v>
      </c>
      <c r="C26" s="139"/>
      <c r="E26" s="63" t="s">
        <v>77</v>
      </c>
      <c r="F26" s="60" t="s">
        <v>32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1</v>
      </c>
      <c r="C27" s="42">
        <f>IF(B$3=0,0,B27/B$3)</f>
        <v>3.0211480362537764E-3</v>
      </c>
      <c r="E27" s="63" t="s">
        <v>81</v>
      </c>
      <c r="F27" s="60" t="s">
        <v>36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-783.69999999999993</v>
      </c>
    </row>
    <row r="28" spans="1:17" x14ac:dyDescent="0.4">
      <c r="E28" s="63" t="s">
        <v>83</v>
      </c>
      <c r="F28" s="60" t="s">
        <v>38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-818.49999999999989</v>
      </c>
    </row>
    <row r="29" spans="1:17" x14ac:dyDescent="0.4">
      <c r="E29" s="63" t="s">
        <v>85</v>
      </c>
      <c r="F29" s="60" t="s">
        <v>40</v>
      </c>
      <c r="G29" s="47">
        <v>0</v>
      </c>
      <c r="H29" s="133">
        <f>IF(B$17=0,0,G29/B$17)</f>
        <v>0</v>
      </c>
      <c r="I29" s="94">
        <v>3</v>
      </c>
      <c r="K29" s="38">
        <v>27</v>
      </c>
      <c r="L29" s="99">
        <v>-876.19999999999993</v>
      </c>
    </row>
    <row r="30" spans="1:17" x14ac:dyDescent="0.4">
      <c r="E30" s="63" t="s">
        <v>86</v>
      </c>
      <c r="F30" s="60" t="s">
        <v>41</v>
      </c>
      <c r="G30" s="47">
        <v>0</v>
      </c>
      <c r="H30" s="133">
        <f>IF(B$17=0,0,G30/B$17)</f>
        <v>0</v>
      </c>
      <c r="I30" s="94">
        <v>3</v>
      </c>
      <c r="K30" s="38">
        <v>28</v>
      </c>
      <c r="L30" s="99">
        <v>-931.09999999999991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3</v>
      </c>
      <c r="K31" s="38">
        <v>29</v>
      </c>
      <c r="L31" s="99">
        <v>-908.69999999999993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-826.8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-835.69999999999993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-838.69999999999993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-878.19999999999993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-833.19999999999993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-815.59999999999991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-783.49999999999989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-826.89999999999986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-829.99999999999989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-786.29999999999984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-820.5999999999998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-820.5999999999998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-789.99999999999977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5A0C8-BC51-432F-AC0B-91581EFFE8C1}">
  <sheetPr codeName="Sheet13"/>
  <dimension ref="A1:Q54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171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52</v>
      </c>
      <c r="C2" s="147"/>
      <c r="E2" s="62" t="s">
        <v>67</v>
      </c>
      <c r="F2" s="59" t="s">
        <v>23</v>
      </c>
      <c r="G2" s="46">
        <v>88</v>
      </c>
      <c r="H2" s="132">
        <f>IF(B$17=0,0,G2/B$17)</f>
        <v>0.77876106194690264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-365.38461538461536</v>
      </c>
      <c r="P2" s="118">
        <v>52</v>
      </c>
      <c r="Q2" s="102">
        <v>-19000</v>
      </c>
    </row>
    <row r="3" spans="1:17" x14ac:dyDescent="0.4">
      <c r="A3" s="55" t="s">
        <v>8</v>
      </c>
      <c r="B3" s="148">
        <v>441</v>
      </c>
      <c r="C3" s="149"/>
      <c r="E3" s="63" t="s">
        <v>65</v>
      </c>
      <c r="F3" s="60" t="s">
        <v>21</v>
      </c>
      <c r="G3" s="47">
        <v>63</v>
      </c>
      <c r="H3" s="133">
        <f>IF(B$17=0,0,G3/B$17)</f>
        <v>0.55752212389380529</v>
      </c>
      <c r="I3" s="94">
        <v>6</v>
      </c>
      <c r="K3" s="38">
        <v>1</v>
      </c>
      <c r="L3" s="99">
        <v>-51.2</v>
      </c>
      <c r="N3" s="115" t="s">
        <v>133</v>
      </c>
      <c r="O3" s="122">
        <f t="shared" si="0"/>
        <v>1051.9230769230769</v>
      </c>
      <c r="P3" s="119">
        <v>52</v>
      </c>
      <c r="Q3" s="103">
        <v>54700</v>
      </c>
    </row>
    <row r="4" spans="1:17" x14ac:dyDescent="0.4">
      <c r="A4" s="55" t="s">
        <v>6</v>
      </c>
      <c r="B4" s="150">
        <v>18.499999999999993</v>
      </c>
      <c r="C4" s="151"/>
      <c r="E4" s="63" t="s">
        <v>73</v>
      </c>
      <c r="F4" s="60" t="s">
        <v>28</v>
      </c>
      <c r="G4" s="47">
        <v>55</v>
      </c>
      <c r="H4" s="133">
        <f>IF(B$17=0,0,G4/B$17)</f>
        <v>0.48672566371681414</v>
      </c>
      <c r="I4" s="94">
        <v>9</v>
      </c>
      <c r="K4" s="38">
        <v>2</v>
      </c>
      <c r="L4" s="99">
        <v>-93.300000000000011</v>
      </c>
      <c r="N4" s="115" t="s">
        <v>134</v>
      </c>
      <c r="O4" s="122">
        <f t="shared" si="0"/>
        <v>-70</v>
      </c>
      <c r="P4" s="119">
        <v>50</v>
      </c>
      <c r="Q4" s="103">
        <v>-3500</v>
      </c>
    </row>
    <row r="5" spans="1:17" x14ac:dyDescent="0.4">
      <c r="A5" s="55" t="s">
        <v>7</v>
      </c>
      <c r="B5" s="152">
        <f>IF(B$2=0,0,B$4/B$2)</f>
        <v>0.35576923076923062</v>
      </c>
      <c r="C5" s="153"/>
      <c r="E5" s="63" t="s">
        <v>181</v>
      </c>
      <c r="F5" s="60" t="s">
        <v>182</v>
      </c>
      <c r="G5" s="47">
        <v>42</v>
      </c>
      <c r="H5" s="133">
        <f>IF(B$17=0,0,G5/B$17)</f>
        <v>0.37168141592920356</v>
      </c>
      <c r="I5" s="94">
        <v>9</v>
      </c>
      <c r="K5" s="38">
        <v>3</v>
      </c>
      <c r="L5" s="99">
        <v>-60.100000000000009</v>
      </c>
      <c r="N5" s="115" t="s">
        <v>135</v>
      </c>
      <c r="O5" s="122">
        <f t="shared" si="0"/>
        <v>2151.1627906976746</v>
      </c>
      <c r="P5" s="119">
        <v>43</v>
      </c>
      <c r="Q5" s="103">
        <v>92500</v>
      </c>
    </row>
    <row r="6" spans="1:17" x14ac:dyDescent="0.4">
      <c r="A6" s="55" t="s">
        <v>1</v>
      </c>
      <c r="B6" s="142">
        <f>IF(B$2=0,0,(B$7*1+B$8*2+B$9*3)/B$2)</f>
        <v>2.0576923076923075</v>
      </c>
      <c r="C6" s="143"/>
      <c r="E6" s="63" t="s">
        <v>68</v>
      </c>
      <c r="F6" s="60" t="s">
        <v>24</v>
      </c>
      <c r="G6" s="47">
        <v>40</v>
      </c>
      <c r="H6" s="133">
        <f>IF(B$17=0,0,G6/B$17)</f>
        <v>0.35398230088495575</v>
      </c>
      <c r="I6" s="94">
        <v>6</v>
      </c>
      <c r="K6" s="38">
        <v>4</v>
      </c>
      <c r="L6" s="99">
        <v>-11.300000000000011</v>
      </c>
      <c r="N6" s="115" t="s">
        <v>136</v>
      </c>
      <c r="O6" s="122">
        <f t="shared" si="0"/>
        <v>-1725.6410256410256</v>
      </c>
      <c r="P6" s="119">
        <v>39</v>
      </c>
      <c r="Q6" s="103">
        <v>-67300</v>
      </c>
    </row>
    <row r="7" spans="1:17" x14ac:dyDescent="0.4">
      <c r="A7" s="55" t="s">
        <v>2</v>
      </c>
      <c r="B7" s="47">
        <v>15</v>
      </c>
      <c r="C7" s="39">
        <f>IF(B$2=0,0,B7/B$2)</f>
        <v>0.28846153846153844</v>
      </c>
      <c r="E7" s="63" t="s">
        <v>69</v>
      </c>
      <c r="F7" s="60" t="s">
        <v>12</v>
      </c>
      <c r="G7" s="47">
        <v>32</v>
      </c>
      <c r="H7" s="133">
        <f>IF(B$17=0,0,G7/B$17)</f>
        <v>0.2831858407079646</v>
      </c>
      <c r="I7" s="94">
        <v>9</v>
      </c>
      <c r="K7" s="38">
        <v>5</v>
      </c>
      <c r="L7" s="99">
        <v>-36.100000000000009</v>
      </c>
      <c r="N7" s="116" t="s">
        <v>137</v>
      </c>
      <c r="O7" s="123">
        <f t="shared" si="0"/>
        <v>808.33333333333337</v>
      </c>
      <c r="P7" s="120">
        <v>36</v>
      </c>
      <c r="Q7" s="104">
        <v>29100</v>
      </c>
    </row>
    <row r="8" spans="1:17" x14ac:dyDescent="0.4">
      <c r="A8" s="55" t="s">
        <v>3</v>
      </c>
      <c r="B8" s="47">
        <v>19</v>
      </c>
      <c r="C8" s="39">
        <f>IF(B$2=0,0,B8/B$2)</f>
        <v>0.36538461538461536</v>
      </c>
      <c r="E8" s="63" t="s">
        <v>70</v>
      </c>
      <c r="F8" s="60" t="s">
        <v>25</v>
      </c>
      <c r="G8" s="47">
        <v>24</v>
      </c>
      <c r="H8" s="133">
        <f>IF(B$17=0,0,G8/B$17)</f>
        <v>0.21238938053097345</v>
      </c>
      <c r="I8" s="94">
        <v>4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18</v>
      </c>
      <c r="C9" s="40">
        <f t="shared" ref="C9" si="1">IF(B$2=0,0,B9/B$2)</f>
        <v>0.34615384615384615</v>
      </c>
      <c r="E9" s="63" t="s">
        <v>90</v>
      </c>
      <c r="F9" s="60" t="s">
        <v>45</v>
      </c>
      <c r="G9" s="47">
        <v>16</v>
      </c>
      <c r="H9" s="133">
        <f>IF(B$17=0,0,G9/B$17)</f>
        <v>0.1415929203539823</v>
      </c>
      <c r="I9" s="94">
        <v>6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3.8461538461538464E-2</v>
      </c>
      <c r="E10" s="63" t="s">
        <v>66</v>
      </c>
      <c r="F10" s="60" t="s">
        <v>22</v>
      </c>
      <c r="G10" s="47">
        <v>15</v>
      </c>
      <c r="H10" s="133">
        <f>IF(B$17=0,0,G10/B$17)</f>
        <v>0.13274336283185842</v>
      </c>
      <c r="I10" s="94">
        <v>3</v>
      </c>
      <c r="K10" s="38">
        <v>8</v>
      </c>
      <c r="L10" s="99">
        <v>-1.7000000000000028</v>
      </c>
      <c r="N10" s="114" t="s">
        <v>164</v>
      </c>
      <c r="O10" s="124">
        <f>IF(P10=0,0,Q10/P10)</f>
        <v>4.4083333333333323</v>
      </c>
      <c r="P10" s="118">
        <v>12</v>
      </c>
      <c r="Q10" s="106">
        <v>52.899999999999991</v>
      </c>
    </row>
    <row r="11" spans="1:17" x14ac:dyDescent="0.4">
      <c r="A11" s="56" t="s">
        <v>140</v>
      </c>
      <c r="B11" s="48">
        <v>7</v>
      </c>
      <c r="C11" s="40">
        <f>IF(B$2=0,0,B11/B$2)</f>
        <v>0.13461538461538461</v>
      </c>
      <c r="E11" s="63" t="s">
        <v>71</v>
      </c>
      <c r="F11" s="60" t="s">
        <v>26</v>
      </c>
      <c r="G11" s="47">
        <v>14</v>
      </c>
      <c r="H11" s="133">
        <f>IF(B$17=0,0,G11/B$17)</f>
        <v>0.12389380530973451</v>
      </c>
      <c r="I11" s="94">
        <v>2</v>
      </c>
      <c r="K11" s="38">
        <v>9</v>
      </c>
      <c r="L11" s="99">
        <v>-5.8000000000000025</v>
      </c>
      <c r="N11" s="115" t="s">
        <v>165</v>
      </c>
      <c r="O11" s="125">
        <f>IF(P11=0,0,Q11/P11)</f>
        <v>-1.3173913043478247</v>
      </c>
      <c r="P11" s="119">
        <v>23</v>
      </c>
      <c r="Q11" s="107">
        <v>-30.299999999999969</v>
      </c>
    </row>
    <row r="12" spans="1:17" x14ac:dyDescent="0.4">
      <c r="A12" s="57" t="s">
        <v>160</v>
      </c>
      <c r="B12" s="49">
        <v>5</v>
      </c>
      <c r="C12" s="42">
        <f>IF(B$2=0,0,B12/B$2)</f>
        <v>9.6153846153846159E-2</v>
      </c>
      <c r="E12" s="63" t="s">
        <v>72</v>
      </c>
      <c r="F12" s="60" t="s">
        <v>27</v>
      </c>
      <c r="G12" s="47">
        <v>9</v>
      </c>
      <c r="H12" s="133">
        <f>IF(B$17=0,0,G12/B$17)</f>
        <v>7.9646017699115043E-2</v>
      </c>
      <c r="I12" s="94">
        <v>3</v>
      </c>
      <c r="K12" s="38">
        <v>10</v>
      </c>
      <c r="L12" s="99">
        <v>-56.500000000000007</v>
      </c>
      <c r="N12" s="116" t="s">
        <v>166</v>
      </c>
      <c r="O12" s="126">
        <f>IF(P12=0,0,Q12/P12)</f>
        <v>-0.24117647058823538</v>
      </c>
      <c r="P12" s="120">
        <v>17</v>
      </c>
      <c r="Q12" s="108">
        <v>-4.1000000000000014</v>
      </c>
    </row>
    <row r="13" spans="1:17" x14ac:dyDescent="0.4">
      <c r="A13" s="58" t="s">
        <v>122</v>
      </c>
      <c r="B13" s="50">
        <v>116</v>
      </c>
      <c r="C13" s="44">
        <f>IF(B$3=0,0,B13/B$3)</f>
        <v>0.26303854875283444</v>
      </c>
      <c r="E13" s="63" t="s">
        <v>87</v>
      </c>
      <c r="F13" s="60" t="s">
        <v>42</v>
      </c>
      <c r="G13" s="47">
        <v>9</v>
      </c>
      <c r="H13" s="133">
        <f>IF(B$17=0,0,G13/B$17)</f>
        <v>7.9646017699115043E-2</v>
      </c>
      <c r="I13" s="94">
        <v>3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77</v>
      </c>
      <c r="C14" s="39">
        <f>IF(B$3=0,0,B14/B$3)</f>
        <v>0.17460317460317459</v>
      </c>
      <c r="E14" s="63" t="s">
        <v>84</v>
      </c>
      <c r="F14" s="60" t="s">
        <v>39</v>
      </c>
      <c r="G14" s="47">
        <v>7</v>
      </c>
      <c r="H14" s="133">
        <f>IF(B$17=0,0,G14/B$17)</f>
        <v>6.1946902654867256E-2</v>
      </c>
      <c r="I14" s="94">
        <v>2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67</v>
      </c>
      <c r="C15" s="37">
        <f>IF(B$13=0,0,B15/B$13)</f>
        <v>0.57758620689655171</v>
      </c>
      <c r="E15" s="63" t="s">
        <v>82</v>
      </c>
      <c r="F15" s="60" t="s">
        <v>37</v>
      </c>
      <c r="G15" s="47">
        <v>5</v>
      </c>
      <c r="H15" s="133">
        <f>IF(B$17=0,0,G15/B$17)</f>
        <v>4.4247787610619468E-2</v>
      </c>
      <c r="I15" s="94">
        <v>3</v>
      </c>
      <c r="K15" s="38">
        <v>13</v>
      </c>
      <c r="L15" s="99">
        <v>-58.7</v>
      </c>
      <c r="N15" s="114" t="s">
        <v>129</v>
      </c>
      <c r="O15" s="124">
        <f>IF(P15=0,0,Q15/P15)</f>
        <v>46.55</v>
      </c>
      <c r="P15" s="118">
        <v>8</v>
      </c>
      <c r="Q15" s="106">
        <v>372.4</v>
      </c>
    </row>
    <row r="16" spans="1:17" x14ac:dyDescent="0.4">
      <c r="A16" s="54" t="s">
        <v>125</v>
      </c>
      <c r="B16" s="46">
        <v>27</v>
      </c>
      <c r="C16" s="37">
        <f>IF(B$14=0,0,B16/B$14)</f>
        <v>0.35064935064935066</v>
      </c>
      <c r="E16" s="63" t="s">
        <v>79</v>
      </c>
      <c r="F16" s="60" t="s">
        <v>34</v>
      </c>
      <c r="G16" s="47">
        <v>4</v>
      </c>
      <c r="H16" s="133">
        <f>IF(B$17=0,0,G16/B$17)</f>
        <v>3.5398230088495575E-2</v>
      </c>
      <c r="I16" s="94">
        <v>3</v>
      </c>
      <c r="K16" s="38">
        <v>14</v>
      </c>
      <c r="L16" s="99">
        <v>-29.400000000000002</v>
      </c>
      <c r="N16" s="115" t="s">
        <v>186</v>
      </c>
      <c r="O16" s="125">
        <f>IF(P16=0,0,Q16/P16)</f>
        <v>25.400000000000002</v>
      </c>
      <c r="P16" s="119">
        <v>2</v>
      </c>
      <c r="Q16" s="107">
        <v>50.800000000000004</v>
      </c>
    </row>
    <row r="17" spans="1:17" x14ac:dyDescent="0.4">
      <c r="A17" s="54" t="s">
        <v>10</v>
      </c>
      <c r="B17" s="46">
        <f>B19+B18</f>
        <v>113</v>
      </c>
      <c r="C17" s="37">
        <f>IF(B$3=0,0,B17/B$3)</f>
        <v>0.25623582766439912</v>
      </c>
      <c r="E17" s="63" t="s">
        <v>76</v>
      </c>
      <c r="F17" s="60" t="s">
        <v>31</v>
      </c>
      <c r="G17" s="47">
        <v>2</v>
      </c>
      <c r="H17" s="133">
        <f>IF(B$17=0,0,G17/B$17)</f>
        <v>1.7699115044247787E-2</v>
      </c>
      <c r="I17" s="94">
        <v>3</v>
      </c>
      <c r="K17" s="38">
        <v>15</v>
      </c>
      <c r="L17" s="99">
        <v>-26.3</v>
      </c>
      <c r="N17" s="115" t="s">
        <v>173</v>
      </c>
      <c r="O17" s="125">
        <f>IF(P17=0,0,Q17/P17)</f>
        <v>17.726666666666667</v>
      </c>
      <c r="P17" s="119">
        <v>15</v>
      </c>
      <c r="Q17" s="107">
        <v>265.89999999999998</v>
      </c>
    </row>
    <row r="18" spans="1:17" x14ac:dyDescent="0.4">
      <c r="A18" s="55" t="s">
        <v>12</v>
      </c>
      <c r="B18" s="47">
        <v>45</v>
      </c>
      <c r="C18" s="39">
        <f>IF(B$17=0,0,B18/B$17)</f>
        <v>0.39823008849557523</v>
      </c>
      <c r="E18" s="63" t="s">
        <v>93</v>
      </c>
      <c r="F18" s="60" t="s">
        <v>48</v>
      </c>
      <c r="G18" s="47">
        <v>2</v>
      </c>
      <c r="H18" s="133">
        <f>IF(B$17=0,0,G18/B$17)</f>
        <v>1.7699115044247787E-2</v>
      </c>
      <c r="I18" s="94">
        <v>1</v>
      </c>
      <c r="K18" s="38">
        <v>16</v>
      </c>
      <c r="L18" s="99">
        <v>-50.3</v>
      </c>
      <c r="N18" s="115" t="s">
        <v>128</v>
      </c>
      <c r="O18" s="125">
        <f>IF(P18=0,0,Q18/P18)</f>
        <v>3.3103448275862002</v>
      </c>
      <c r="P18" s="119">
        <v>29</v>
      </c>
      <c r="Q18" s="107">
        <v>95.999999999999801</v>
      </c>
    </row>
    <row r="19" spans="1:17" x14ac:dyDescent="0.4">
      <c r="A19" s="55" t="s">
        <v>11</v>
      </c>
      <c r="B19" s="47">
        <v>68</v>
      </c>
      <c r="C19" s="39">
        <f>IF(B$17=0,0,B19/B$17)</f>
        <v>0.60176991150442483</v>
      </c>
      <c r="E19" s="63" t="s">
        <v>180</v>
      </c>
      <c r="F19" s="60" t="s">
        <v>183</v>
      </c>
      <c r="G19" s="47">
        <v>2</v>
      </c>
      <c r="H19" s="133">
        <f>IF(B$17=0,0,G19/B$17)</f>
        <v>1.7699115044247787E-2</v>
      </c>
      <c r="I19" s="94">
        <v>2</v>
      </c>
      <c r="K19" s="38">
        <v>17</v>
      </c>
      <c r="L19" s="99">
        <v>-74.3</v>
      </c>
      <c r="N19" s="115" t="s">
        <v>172</v>
      </c>
      <c r="O19" s="125">
        <f>IF(P19=0,0,Q19/P19)</f>
        <v>-1.0923076923076933</v>
      </c>
      <c r="P19" s="119">
        <v>13</v>
      </c>
      <c r="Q19" s="107">
        <v>-14.200000000000012</v>
      </c>
    </row>
    <row r="20" spans="1:17" x14ac:dyDescent="0.4">
      <c r="A20" s="55" t="s">
        <v>13</v>
      </c>
      <c r="B20" s="47">
        <v>70</v>
      </c>
      <c r="C20" s="39">
        <f>IF(B$3=0,0,B20/B$3)</f>
        <v>0.15873015873015872</v>
      </c>
      <c r="E20" s="63" t="s">
        <v>88</v>
      </c>
      <c r="F20" s="60" t="s">
        <v>43</v>
      </c>
      <c r="G20" s="47">
        <v>1</v>
      </c>
      <c r="H20" s="133">
        <f>IF(B$17=0,0,G20/B$17)</f>
        <v>8.8495575221238937E-3</v>
      </c>
      <c r="I20" s="94">
        <v>2</v>
      </c>
      <c r="K20" s="38">
        <v>18</v>
      </c>
      <c r="L20" s="99">
        <v>-76.099999999999994</v>
      </c>
      <c r="N20" s="115" t="s">
        <v>177</v>
      </c>
      <c r="O20" s="125">
        <f>IF(P20=0,0,Q20/P20)</f>
        <v>-12.149999999999999</v>
      </c>
      <c r="P20" s="119">
        <v>2</v>
      </c>
      <c r="Q20" s="107">
        <v>-24.299999999999997</v>
      </c>
    </row>
    <row r="21" spans="1:17" x14ac:dyDescent="0.4">
      <c r="A21" s="55" t="s">
        <v>193</v>
      </c>
      <c r="B21" s="47">
        <v>4</v>
      </c>
      <c r="C21" s="135">
        <v>1</v>
      </c>
      <c r="E21" s="63" t="s">
        <v>92</v>
      </c>
      <c r="F21" s="60" t="s">
        <v>47</v>
      </c>
      <c r="G21" s="47">
        <v>1</v>
      </c>
      <c r="H21" s="133">
        <f>IF(B$17=0,0,G21/B$17)</f>
        <v>8.8495575221238937E-3</v>
      </c>
      <c r="I21" s="94">
        <v>8</v>
      </c>
      <c r="K21" s="38">
        <v>19</v>
      </c>
      <c r="L21" s="99">
        <v>0.60000000000000853</v>
      </c>
      <c r="N21" s="115" t="s">
        <v>127</v>
      </c>
      <c r="O21" s="125">
        <f>IF(P21=0,0,Q21/P21)</f>
        <v>-16.17499999999999</v>
      </c>
      <c r="P21" s="119">
        <v>32</v>
      </c>
      <c r="Q21" s="107">
        <v>-517.59999999999968</v>
      </c>
    </row>
    <row r="22" spans="1:17" x14ac:dyDescent="0.4">
      <c r="A22" s="55" t="s">
        <v>194</v>
      </c>
      <c r="B22" s="47">
        <v>20</v>
      </c>
      <c r="C22" s="135">
        <v>3</v>
      </c>
      <c r="E22" s="63" t="s">
        <v>74</v>
      </c>
      <c r="F22" s="60" t="s">
        <v>29</v>
      </c>
      <c r="G22" s="47">
        <v>0</v>
      </c>
      <c r="H22" s="133">
        <f>IF(B$17=0,0,G22/B$17)</f>
        <v>0</v>
      </c>
      <c r="I22" s="94">
        <v>6</v>
      </c>
      <c r="K22" s="38">
        <v>20</v>
      </c>
      <c r="L22" s="99">
        <v>-3.5999999999999917</v>
      </c>
      <c r="N22" s="115" t="s">
        <v>202</v>
      </c>
      <c r="O22" s="125">
        <f>IF(P22=0,0,Q22/P22)</f>
        <v>-51.999999999999993</v>
      </c>
      <c r="P22" s="119">
        <v>2</v>
      </c>
      <c r="Q22" s="107">
        <v>-103.99999999999999</v>
      </c>
    </row>
    <row r="23" spans="1:17" x14ac:dyDescent="0.4">
      <c r="A23" s="55" t="s">
        <v>5</v>
      </c>
      <c r="B23" s="51">
        <f>IF(B$17=0,0,C23/B$17)</f>
        <v>9616.8141592920347</v>
      </c>
      <c r="C23" s="41">
        <v>1086700</v>
      </c>
      <c r="E23" s="63" t="s">
        <v>75</v>
      </c>
      <c r="F23" s="60" t="s">
        <v>30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-3.0999999999999917</v>
      </c>
      <c r="N23" s="115" t="s">
        <v>224</v>
      </c>
      <c r="O23" s="125">
        <f>IF(P23=0,0,Q23/P23)</f>
        <v>-69.5</v>
      </c>
      <c r="P23" s="119">
        <v>1</v>
      </c>
      <c r="Q23" s="107">
        <v>-69.5</v>
      </c>
    </row>
    <row r="24" spans="1:17" x14ac:dyDescent="0.4">
      <c r="A24" s="57" t="s">
        <v>14</v>
      </c>
      <c r="B24" s="52">
        <f>IF(B$20=0,0,C24/B$20)</f>
        <v>-7332.8571428571431</v>
      </c>
      <c r="C24" s="45">
        <v>-513300</v>
      </c>
      <c r="E24" s="63" t="s">
        <v>77</v>
      </c>
      <c r="F24" s="60" t="s">
        <v>32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0">
        <v>7</v>
      </c>
      <c r="C25" s="141"/>
      <c r="E25" s="63" t="s">
        <v>78</v>
      </c>
      <c r="F25" s="60" t="s">
        <v>33</v>
      </c>
      <c r="G25" s="47">
        <v>0</v>
      </c>
      <c r="H25" s="133">
        <f>IF(B$17=0,0,G25/B$17)</f>
        <v>0</v>
      </c>
      <c r="I25" s="94">
        <v>5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38">
        <v>91700</v>
      </c>
      <c r="C26" s="139"/>
      <c r="E26" s="63" t="s">
        <v>80</v>
      </c>
      <c r="F26" s="60" t="s">
        <v>35</v>
      </c>
      <c r="G26" s="47">
        <v>0</v>
      </c>
      <c r="H26" s="133">
        <f>IF(B$17=0,0,G26/B$17)</f>
        <v>0</v>
      </c>
      <c r="I26" s="94">
        <v>8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1</v>
      </c>
      <c r="C27" s="42">
        <f>IF(B$3=0,0,B27/B$3)</f>
        <v>2.2675736961451248E-3</v>
      </c>
      <c r="E27" s="63" t="s">
        <v>81</v>
      </c>
      <c r="F27" s="60" t="s">
        <v>36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-39.999999999999986</v>
      </c>
    </row>
    <row r="28" spans="1:17" x14ac:dyDescent="0.4">
      <c r="E28" s="63" t="s">
        <v>83</v>
      </c>
      <c r="F28" s="60" t="s">
        <v>38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-71.099999999999994</v>
      </c>
    </row>
    <row r="29" spans="1:17" x14ac:dyDescent="0.4">
      <c r="E29" s="63" t="s">
        <v>85</v>
      </c>
      <c r="F29" s="60" t="s">
        <v>40</v>
      </c>
      <c r="G29" s="47">
        <v>0</v>
      </c>
      <c r="H29" s="133">
        <f>IF(B$17=0,0,G29/B$17)</f>
        <v>0</v>
      </c>
      <c r="I29" s="94">
        <v>3</v>
      </c>
      <c r="K29" s="38">
        <v>27</v>
      </c>
      <c r="L29" s="99">
        <v>-66.199999999999989</v>
      </c>
    </row>
    <row r="30" spans="1:17" x14ac:dyDescent="0.4">
      <c r="E30" s="63" t="s">
        <v>86</v>
      </c>
      <c r="F30" s="60" t="s">
        <v>41</v>
      </c>
      <c r="G30" s="47">
        <v>0</v>
      </c>
      <c r="H30" s="133">
        <f>IF(B$17=0,0,G30/B$17)</f>
        <v>0</v>
      </c>
      <c r="I30" s="94">
        <v>3</v>
      </c>
      <c r="K30" s="38">
        <v>28</v>
      </c>
      <c r="L30" s="99">
        <v>-116.49999999999999</v>
      </c>
    </row>
    <row r="31" spans="1:17" x14ac:dyDescent="0.4">
      <c r="E31" s="63" t="s">
        <v>89</v>
      </c>
      <c r="F31" s="60" t="s">
        <v>44</v>
      </c>
      <c r="G31" s="47">
        <v>0</v>
      </c>
      <c r="H31" s="133">
        <f>IF(B$17=0,0,G31/B$17)</f>
        <v>0</v>
      </c>
      <c r="I31" s="94">
        <v>4</v>
      </c>
      <c r="K31" s="38">
        <v>29</v>
      </c>
      <c r="L31" s="99">
        <v>-121.79999999999998</v>
      </c>
    </row>
    <row r="32" spans="1:17" x14ac:dyDescent="0.4">
      <c r="E32" s="63" t="s">
        <v>91</v>
      </c>
      <c r="F32" s="60" t="s">
        <v>46</v>
      </c>
      <c r="G32" s="47">
        <v>0</v>
      </c>
      <c r="H32" s="133">
        <f>IF(B$17=0,0,G32/B$17)</f>
        <v>0</v>
      </c>
      <c r="I32" s="94">
        <v>3</v>
      </c>
      <c r="K32" s="38">
        <v>30</v>
      </c>
      <c r="L32" s="99">
        <v>-156.19999999999999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5</v>
      </c>
      <c r="K33" s="38">
        <v>31</v>
      </c>
      <c r="L33" s="99">
        <v>-91.899999999999991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-108.9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-88.4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-64.099999999999994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-71.3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-65.2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-100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-65.5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-52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8.3999999999999986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-32.5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-6.1000000000000014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-33.1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-33.800000000000004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-23.100000000000005</v>
      </c>
    </row>
    <row r="52" spans="5:12" x14ac:dyDescent="0.4">
      <c r="K52" s="38">
        <v>50</v>
      </c>
      <c r="L52" s="99">
        <v>-79.300000000000011</v>
      </c>
    </row>
    <row r="53" spans="5:12" x14ac:dyDescent="0.4">
      <c r="K53" s="38">
        <v>51</v>
      </c>
      <c r="L53" s="99">
        <v>-16.600000000000009</v>
      </c>
    </row>
    <row r="54" spans="5:12" x14ac:dyDescent="0.4">
      <c r="K54" s="38">
        <v>52</v>
      </c>
      <c r="L54" s="99">
        <v>18.499999999999993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A8FA4-7C5E-4412-9A3F-86557CEA1C69}">
  <sheetPr codeName="Sheet15"/>
  <dimension ref="A1:Q55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53</v>
      </c>
      <c r="C2" s="147"/>
      <c r="E2" s="62" t="s">
        <v>67</v>
      </c>
      <c r="F2" s="59" t="s">
        <v>23</v>
      </c>
      <c r="G2" s="46">
        <v>115</v>
      </c>
      <c r="H2" s="132">
        <f>IF(B$17=0,0,G2/B$17)</f>
        <v>0.69277108433734935</v>
      </c>
      <c r="I2" s="93">
        <v>9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392.30769230769232</v>
      </c>
      <c r="P2" s="118">
        <v>52</v>
      </c>
      <c r="Q2" s="102">
        <v>20400</v>
      </c>
    </row>
    <row r="3" spans="1:17" x14ac:dyDescent="0.4">
      <c r="A3" s="55" t="s">
        <v>8</v>
      </c>
      <c r="B3" s="148">
        <v>451</v>
      </c>
      <c r="C3" s="149"/>
      <c r="E3" s="63" t="s">
        <v>73</v>
      </c>
      <c r="F3" s="60" t="s">
        <v>28</v>
      </c>
      <c r="G3" s="47">
        <v>100</v>
      </c>
      <c r="H3" s="133">
        <f>IF(B$17=0,0,G3/B$17)</f>
        <v>0.60240963855421692</v>
      </c>
      <c r="I3" s="94">
        <v>2</v>
      </c>
      <c r="K3" s="38">
        <v>1</v>
      </c>
      <c r="L3" s="99">
        <v>11.1</v>
      </c>
      <c r="N3" s="115" t="s">
        <v>133</v>
      </c>
      <c r="O3" s="122">
        <f t="shared" si="0"/>
        <v>288.46153846153845</v>
      </c>
      <c r="P3" s="119">
        <v>52</v>
      </c>
      <c r="Q3" s="103">
        <v>15000</v>
      </c>
    </row>
    <row r="4" spans="1:17" x14ac:dyDescent="0.4">
      <c r="A4" s="55" t="s">
        <v>6</v>
      </c>
      <c r="B4" s="150">
        <v>79.799999999999983</v>
      </c>
      <c r="C4" s="151"/>
      <c r="E4" s="63" t="s">
        <v>181</v>
      </c>
      <c r="F4" s="60" t="s">
        <v>182</v>
      </c>
      <c r="G4" s="47">
        <v>67</v>
      </c>
      <c r="H4" s="133">
        <f>IF(B$17=0,0,G4/B$17)</f>
        <v>0.40361445783132532</v>
      </c>
      <c r="I4" s="94">
        <v>6</v>
      </c>
      <c r="K4" s="38">
        <v>2</v>
      </c>
      <c r="L4" s="99">
        <v>-7.7000000000000011</v>
      </c>
      <c r="N4" s="115" t="s">
        <v>134</v>
      </c>
      <c r="O4" s="122">
        <f t="shared" si="0"/>
        <v>-195.74468085106383</v>
      </c>
      <c r="P4" s="119">
        <v>47</v>
      </c>
      <c r="Q4" s="103">
        <v>-9200</v>
      </c>
    </row>
    <row r="5" spans="1:17" x14ac:dyDescent="0.4">
      <c r="A5" s="55" t="s">
        <v>7</v>
      </c>
      <c r="B5" s="152">
        <f>IF(B$2=0,0,B$4/B$2)</f>
        <v>1.5056603773584902</v>
      </c>
      <c r="C5" s="153"/>
      <c r="E5" s="63" t="s">
        <v>65</v>
      </c>
      <c r="F5" s="60" t="s">
        <v>21</v>
      </c>
      <c r="G5" s="47">
        <v>57</v>
      </c>
      <c r="H5" s="133">
        <f>IF(B$17=0,0,G5/B$17)</f>
        <v>0.34337349397590361</v>
      </c>
      <c r="I5" s="94">
        <v>13</v>
      </c>
      <c r="K5" s="38">
        <v>3</v>
      </c>
      <c r="L5" s="99">
        <v>1.7999999999999989</v>
      </c>
      <c r="N5" s="115" t="s">
        <v>135</v>
      </c>
      <c r="O5" s="122">
        <f t="shared" si="0"/>
        <v>404.54545454545456</v>
      </c>
      <c r="P5" s="119">
        <v>44</v>
      </c>
      <c r="Q5" s="103">
        <v>17800</v>
      </c>
    </row>
    <row r="6" spans="1:17" x14ac:dyDescent="0.4">
      <c r="A6" s="55" t="s">
        <v>1</v>
      </c>
      <c r="B6" s="142">
        <f>IF(B$2=0,0,(B$7*1+B$8*2+B$9*3)/B$2)</f>
        <v>2.0188679245283021</v>
      </c>
      <c r="C6" s="143"/>
      <c r="E6" s="63" t="s">
        <v>69</v>
      </c>
      <c r="F6" s="60" t="s">
        <v>12</v>
      </c>
      <c r="G6" s="47">
        <v>44</v>
      </c>
      <c r="H6" s="133">
        <f>IF(B$17=0,0,G6/B$17)</f>
        <v>0.26506024096385544</v>
      </c>
      <c r="I6" s="94">
        <v>10</v>
      </c>
      <c r="K6" s="38">
        <v>4</v>
      </c>
      <c r="L6" s="99">
        <v>34.9</v>
      </c>
      <c r="N6" s="115" t="s">
        <v>136</v>
      </c>
      <c r="O6" s="122">
        <f t="shared" si="0"/>
        <v>1320.9302325581396</v>
      </c>
      <c r="P6" s="119">
        <v>43</v>
      </c>
      <c r="Q6" s="103">
        <v>56800</v>
      </c>
    </row>
    <row r="7" spans="1:17" x14ac:dyDescent="0.4">
      <c r="A7" s="55" t="s">
        <v>2</v>
      </c>
      <c r="B7" s="47">
        <v>16</v>
      </c>
      <c r="C7" s="39">
        <f>IF(B$2=0,0,B7/B$2)</f>
        <v>0.30188679245283018</v>
      </c>
      <c r="E7" s="63" t="s">
        <v>68</v>
      </c>
      <c r="F7" s="60" t="s">
        <v>24</v>
      </c>
      <c r="G7" s="47">
        <v>28</v>
      </c>
      <c r="H7" s="133">
        <f>IF(B$17=0,0,G7/B$17)</f>
        <v>0.16867469879518071</v>
      </c>
      <c r="I7" s="94">
        <v>12</v>
      </c>
      <c r="K7" s="38">
        <v>5</v>
      </c>
      <c r="L7" s="99">
        <v>29.4</v>
      </c>
      <c r="N7" s="116" t="s">
        <v>137</v>
      </c>
      <c r="O7" s="123">
        <f t="shared" si="0"/>
        <v>-923.68421052631584</v>
      </c>
      <c r="P7" s="120">
        <v>38</v>
      </c>
      <c r="Q7" s="104">
        <v>-35100</v>
      </c>
    </row>
    <row r="8" spans="1:17" x14ac:dyDescent="0.4">
      <c r="A8" s="55" t="s">
        <v>3</v>
      </c>
      <c r="B8" s="47">
        <v>20</v>
      </c>
      <c r="C8" s="39">
        <f>IF(B$2=0,0,B8/B$2)</f>
        <v>0.37735849056603776</v>
      </c>
      <c r="E8" s="63" t="s">
        <v>70</v>
      </c>
      <c r="F8" s="60" t="s">
        <v>25</v>
      </c>
      <c r="G8" s="47">
        <v>24</v>
      </c>
      <c r="H8" s="133">
        <f>IF(B$17=0,0,G8/B$17)</f>
        <v>0.14457831325301204</v>
      </c>
      <c r="I8" s="94">
        <v>9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17</v>
      </c>
      <c r="C9" s="40">
        <f t="shared" ref="C9" si="1">IF(B$2=0,0,B9/B$2)</f>
        <v>0.32075471698113206</v>
      </c>
      <c r="E9" s="63" t="s">
        <v>66</v>
      </c>
      <c r="F9" s="60" t="s">
        <v>22</v>
      </c>
      <c r="G9" s="47">
        <v>16</v>
      </c>
      <c r="H9" s="133">
        <f>IF(B$17=0,0,G9/B$17)</f>
        <v>9.6385542168674704E-2</v>
      </c>
      <c r="I9" s="94">
        <v>5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5.6603773584905662E-2</v>
      </c>
      <c r="E10" s="63" t="s">
        <v>72</v>
      </c>
      <c r="F10" s="60" t="s">
        <v>27</v>
      </c>
      <c r="G10" s="47">
        <v>12</v>
      </c>
      <c r="H10" s="133">
        <f>IF(B$17=0,0,G10/B$17)</f>
        <v>7.2289156626506021E-2</v>
      </c>
      <c r="I10" s="94">
        <v>4</v>
      </c>
      <c r="K10" s="38">
        <v>8</v>
      </c>
      <c r="L10" s="99">
        <v>-29.5</v>
      </c>
      <c r="N10" s="114" t="s">
        <v>164</v>
      </c>
      <c r="O10" s="124">
        <f>IF(P10=0,0,Q10/P10)</f>
        <v>-9.6466666666666701</v>
      </c>
      <c r="P10" s="118">
        <v>15</v>
      </c>
      <c r="Q10" s="106">
        <v>-144.70000000000005</v>
      </c>
    </row>
    <row r="11" spans="1:17" x14ac:dyDescent="0.4">
      <c r="A11" s="56" t="s">
        <v>140</v>
      </c>
      <c r="B11" s="48">
        <v>6</v>
      </c>
      <c r="C11" s="40">
        <f>IF(B$2=0,0,B11/B$2)</f>
        <v>0.11320754716981132</v>
      </c>
      <c r="E11" s="63" t="s">
        <v>90</v>
      </c>
      <c r="F11" s="60" t="s">
        <v>45</v>
      </c>
      <c r="G11" s="47">
        <v>11</v>
      </c>
      <c r="H11" s="133">
        <f>IF(B$17=0,0,G11/B$17)</f>
        <v>6.6265060240963861E-2</v>
      </c>
      <c r="I11" s="94">
        <v>12</v>
      </c>
      <c r="K11" s="38">
        <v>9</v>
      </c>
      <c r="L11" s="99">
        <v>-56.5</v>
      </c>
      <c r="N11" s="115" t="s">
        <v>165</v>
      </c>
      <c r="O11" s="125">
        <f>IF(P11=0,0,Q11/P11)</f>
        <v>6.7947368421052632</v>
      </c>
      <c r="P11" s="119">
        <v>19</v>
      </c>
      <c r="Q11" s="107">
        <v>129.1</v>
      </c>
    </row>
    <row r="12" spans="1:17" x14ac:dyDescent="0.4">
      <c r="A12" s="57" t="s">
        <v>160</v>
      </c>
      <c r="B12" s="49">
        <v>2</v>
      </c>
      <c r="C12" s="42">
        <f>IF(B$2=0,0,B12/B$2)</f>
        <v>3.7735849056603772E-2</v>
      </c>
      <c r="E12" s="63" t="s">
        <v>71</v>
      </c>
      <c r="F12" s="60" t="s">
        <v>26</v>
      </c>
      <c r="G12" s="47">
        <v>10</v>
      </c>
      <c r="H12" s="133">
        <f>IF(B$17=0,0,G12/B$17)</f>
        <v>6.0240963855421686E-2</v>
      </c>
      <c r="I12" s="94">
        <v>8</v>
      </c>
      <c r="K12" s="38">
        <v>10</v>
      </c>
      <c r="L12" s="99">
        <v>24.200000000000003</v>
      </c>
      <c r="N12" s="116" t="s">
        <v>166</v>
      </c>
      <c r="O12" s="126">
        <f>IF(P12=0,0,Q12/P12)</f>
        <v>5.3000000000000007</v>
      </c>
      <c r="P12" s="120">
        <v>18</v>
      </c>
      <c r="Q12" s="108">
        <v>95.4</v>
      </c>
    </row>
    <row r="13" spans="1:17" x14ac:dyDescent="0.4">
      <c r="A13" s="58" t="s">
        <v>122</v>
      </c>
      <c r="B13" s="50">
        <v>98</v>
      </c>
      <c r="C13" s="44">
        <f>IF(B$3=0,0,B13/B$3)</f>
        <v>0.21729490022172948</v>
      </c>
      <c r="E13" s="63" t="s">
        <v>84</v>
      </c>
      <c r="F13" s="60" t="s">
        <v>39</v>
      </c>
      <c r="G13" s="47">
        <v>8</v>
      </c>
      <c r="H13" s="133">
        <f>IF(B$17=0,0,G13/B$17)</f>
        <v>4.8192771084337352E-2</v>
      </c>
      <c r="I13" s="94">
        <v>5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135</v>
      </c>
      <c r="C14" s="39">
        <f>IF(B$3=0,0,B14/B$3)</f>
        <v>0.29933481152993346</v>
      </c>
      <c r="E14" s="63" t="s">
        <v>87</v>
      </c>
      <c r="F14" s="60" t="s">
        <v>42</v>
      </c>
      <c r="G14" s="47">
        <v>8</v>
      </c>
      <c r="H14" s="133">
        <f>IF(B$17=0,0,G14/B$17)</f>
        <v>4.8192771084337352E-2</v>
      </c>
      <c r="I14" s="94">
        <v>8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57</v>
      </c>
      <c r="C15" s="37">
        <f>IF(B$13=0,0,B15/B$13)</f>
        <v>0.58163265306122447</v>
      </c>
      <c r="E15" s="63" t="s">
        <v>82</v>
      </c>
      <c r="F15" s="60" t="s">
        <v>37</v>
      </c>
      <c r="G15" s="47">
        <v>5</v>
      </c>
      <c r="H15" s="133">
        <f>IF(B$17=0,0,G15/B$17)</f>
        <v>3.0120481927710843E-2</v>
      </c>
      <c r="I15" s="94">
        <v>8</v>
      </c>
      <c r="K15" s="38">
        <v>13</v>
      </c>
      <c r="L15" s="99">
        <v>-3</v>
      </c>
      <c r="N15" s="114" t="s">
        <v>129</v>
      </c>
      <c r="O15" s="124">
        <f>IF(P15=0,0,Q15/P15)</f>
        <v>44.372727272727253</v>
      </c>
      <c r="P15" s="118">
        <v>11</v>
      </c>
      <c r="Q15" s="106">
        <v>488.0999999999998</v>
      </c>
    </row>
    <row r="16" spans="1:17" x14ac:dyDescent="0.4">
      <c r="A16" s="54" t="s">
        <v>125</v>
      </c>
      <c r="B16" s="46">
        <v>59</v>
      </c>
      <c r="C16" s="37">
        <f>IF(B$14=0,0,B16/B$14)</f>
        <v>0.43703703703703706</v>
      </c>
      <c r="E16" s="63" t="s">
        <v>79</v>
      </c>
      <c r="F16" s="60" t="s">
        <v>34</v>
      </c>
      <c r="G16" s="47">
        <v>2</v>
      </c>
      <c r="H16" s="133">
        <f>IF(B$17=0,0,G16/B$17)</f>
        <v>1.2048192771084338E-2</v>
      </c>
      <c r="I16" s="94">
        <v>9</v>
      </c>
      <c r="K16" s="38">
        <v>14</v>
      </c>
      <c r="L16" s="99">
        <v>-12.3</v>
      </c>
      <c r="N16" s="115" t="s">
        <v>225</v>
      </c>
      <c r="O16" s="125">
        <f>IF(P16=0,0,Q16/P16)</f>
        <v>30.3</v>
      </c>
      <c r="P16" s="119">
        <v>1</v>
      </c>
      <c r="Q16" s="107">
        <v>30.3</v>
      </c>
    </row>
    <row r="17" spans="1:17" x14ac:dyDescent="0.4">
      <c r="A17" s="54" t="s">
        <v>10</v>
      </c>
      <c r="B17" s="46">
        <f>B19+B18</f>
        <v>166</v>
      </c>
      <c r="C17" s="37">
        <f>IF(B$3=0,0,B17/B$3)</f>
        <v>0.36807095343680707</v>
      </c>
      <c r="E17" s="63" t="s">
        <v>80</v>
      </c>
      <c r="F17" s="60" t="s">
        <v>35</v>
      </c>
      <c r="G17" s="47">
        <v>2</v>
      </c>
      <c r="H17" s="133">
        <f>IF(B$17=0,0,G17/B$17)</f>
        <v>1.2048192771084338E-2</v>
      </c>
      <c r="I17" s="94">
        <v>7</v>
      </c>
      <c r="K17" s="38">
        <v>15</v>
      </c>
      <c r="L17" s="99">
        <v>-80.3</v>
      </c>
      <c r="N17" s="115" t="s">
        <v>177</v>
      </c>
      <c r="O17" s="125">
        <f>IF(P17=0,0,Q17/P17)</f>
        <v>18.733333333333334</v>
      </c>
      <c r="P17" s="119">
        <v>6</v>
      </c>
      <c r="Q17" s="107">
        <v>112.4</v>
      </c>
    </row>
    <row r="18" spans="1:17" x14ac:dyDescent="0.4">
      <c r="A18" s="55" t="s">
        <v>12</v>
      </c>
      <c r="B18" s="47">
        <v>70</v>
      </c>
      <c r="C18" s="39">
        <f>IF(B$17=0,0,B18/B$17)</f>
        <v>0.42168674698795183</v>
      </c>
      <c r="E18" s="63" t="s">
        <v>92</v>
      </c>
      <c r="F18" s="60" t="s">
        <v>47</v>
      </c>
      <c r="G18" s="47">
        <v>2</v>
      </c>
      <c r="H18" s="133">
        <f>IF(B$17=0,0,G18/B$17)</f>
        <v>1.2048192771084338E-2</v>
      </c>
      <c r="I18" s="94">
        <v>6</v>
      </c>
      <c r="K18" s="38">
        <v>16</v>
      </c>
      <c r="L18" s="99">
        <v>-87.6</v>
      </c>
      <c r="N18" s="115" t="s">
        <v>186</v>
      </c>
      <c r="O18" s="125">
        <f>IF(P18=0,0,Q18/P18)</f>
        <v>17.349999999999998</v>
      </c>
      <c r="P18" s="119">
        <v>2</v>
      </c>
      <c r="Q18" s="107">
        <v>34.699999999999996</v>
      </c>
    </row>
    <row r="19" spans="1:17" x14ac:dyDescent="0.4">
      <c r="A19" s="55" t="s">
        <v>11</v>
      </c>
      <c r="B19" s="47">
        <v>96</v>
      </c>
      <c r="C19" s="39">
        <f>IF(B$17=0,0,B19/B$17)</f>
        <v>0.57831325301204817</v>
      </c>
      <c r="E19" s="63" t="s">
        <v>88</v>
      </c>
      <c r="F19" s="60" t="s">
        <v>43</v>
      </c>
      <c r="G19" s="47">
        <v>1</v>
      </c>
      <c r="H19" s="133">
        <f>IF(B$17=0,0,G19/B$17)</f>
        <v>6.024096385542169E-3</v>
      </c>
      <c r="I19" s="94">
        <v>3</v>
      </c>
      <c r="K19" s="38">
        <v>17</v>
      </c>
      <c r="L19" s="99">
        <v>-55.099999999999994</v>
      </c>
      <c r="N19" s="115" t="s">
        <v>202</v>
      </c>
      <c r="O19" s="125">
        <f>IF(P19=0,0,Q19/P19)</f>
        <v>16.449999999999996</v>
      </c>
      <c r="P19" s="119">
        <v>4</v>
      </c>
      <c r="Q19" s="107">
        <v>65.799999999999983</v>
      </c>
    </row>
    <row r="20" spans="1:17" x14ac:dyDescent="0.4">
      <c r="A20" s="55" t="s">
        <v>13</v>
      </c>
      <c r="B20" s="47">
        <v>58</v>
      </c>
      <c r="C20" s="39">
        <f>IF(B$3=0,0,B20/B$3)</f>
        <v>0.12860310421286031</v>
      </c>
      <c r="E20" s="63" t="s">
        <v>74</v>
      </c>
      <c r="F20" s="60" t="s">
        <v>29</v>
      </c>
      <c r="G20" s="47">
        <v>0</v>
      </c>
      <c r="H20" s="133">
        <f>IF(B$17=0,0,G20/B$17)</f>
        <v>0</v>
      </c>
      <c r="I20" s="94">
        <v>6</v>
      </c>
      <c r="K20" s="38">
        <v>18</v>
      </c>
      <c r="L20" s="99">
        <v>-28.199999999999996</v>
      </c>
      <c r="N20" s="115" t="s">
        <v>173</v>
      </c>
      <c r="O20" s="125">
        <f>IF(P20=0,0,Q20/P20)</f>
        <v>9.2399999999999984</v>
      </c>
      <c r="P20" s="119">
        <v>10</v>
      </c>
      <c r="Q20" s="107">
        <v>92.399999999999977</v>
      </c>
    </row>
    <row r="21" spans="1:17" x14ac:dyDescent="0.4">
      <c r="A21" s="55" t="s">
        <v>193</v>
      </c>
      <c r="B21" s="47">
        <v>10</v>
      </c>
      <c r="C21" s="135">
        <v>0</v>
      </c>
      <c r="E21" s="63" t="s">
        <v>75</v>
      </c>
      <c r="F21" s="60" t="s">
        <v>30</v>
      </c>
      <c r="G21" s="47">
        <v>0</v>
      </c>
      <c r="H21" s="133">
        <f>IF(B$17=0,0,G21/B$17)</f>
        <v>0</v>
      </c>
      <c r="I21" s="94">
        <v>4</v>
      </c>
      <c r="K21" s="38">
        <v>19</v>
      </c>
      <c r="L21" s="99">
        <v>29.200000000000003</v>
      </c>
      <c r="N21" s="115" t="s">
        <v>171</v>
      </c>
      <c r="O21" s="125">
        <f>IF(P21=0,0,Q21/P21)</f>
        <v>1.0923076923076911</v>
      </c>
      <c r="P21" s="119">
        <v>13</v>
      </c>
      <c r="Q21" s="107">
        <v>14.199999999999983</v>
      </c>
    </row>
    <row r="22" spans="1:17" x14ac:dyDescent="0.4">
      <c r="A22" s="55" t="s">
        <v>194</v>
      </c>
      <c r="B22" s="47">
        <v>23</v>
      </c>
      <c r="C22" s="135">
        <v>3</v>
      </c>
      <c r="E22" s="63" t="s">
        <v>76</v>
      </c>
      <c r="F22" s="60" t="s">
        <v>31</v>
      </c>
      <c r="G22" s="47">
        <v>0</v>
      </c>
      <c r="H22" s="133">
        <f>IF(B$17=0,0,G22/B$17)</f>
        <v>0</v>
      </c>
      <c r="I22" s="94">
        <v>7</v>
      </c>
      <c r="K22" s="38">
        <v>20</v>
      </c>
      <c r="L22" s="99">
        <v>43</v>
      </c>
      <c r="N22" s="115" t="s">
        <v>128</v>
      </c>
      <c r="O22" s="125">
        <f>IF(P22=0,0,Q22/P22)</f>
        <v>-1.0354838709677423</v>
      </c>
      <c r="P22" s="119">
        <v>31</v>
      </c>
      <c r="Q22" s="107">
        <v>-32.100000000000009</v>
      </c>
    </row>
    <row r="23" spans="1:17" x14ac:dyDescent="0.4">
      <c r="A23" s="55" t="s">
        <v>5</v>
      </c>
      <c r="B23" s="51">
        <f>IF(B$17=0,0,C23/B$17)</f>
        <v>6530.1204819277109</v>
      </c>
      <c r="C23" s="41">
        <v>1084000</v>
      </c>
      <c r="E23" s="63" t="s">
        <v>77</v>
      </c>
      <c r="F23" s="60" t="s">
        <v>32</v>
      </c>
      <c r="G23" s="47">
        <v>0</v>
      </c>
      <c r="H23" s="133">
        <f>IF(B$17=0,0,G23/B$17)</f>
        <v>0</v>
      </c>
      <c r="I23" s="94">
        <v>1</v>
      </c>
      <c r="K23" s="38">
        <v>21</v>
      </c>
      <c r="L23" s="99">
        <v>89.9</v>
      </c>
      <c r="N23" s="115" t="s">
        <v>127</v>
      </c>
      <c r="O23" s="125">
        <f>IF(P23=0,0,Q23/P23)</f>
        <v>-20.228571428571431</v>
      </c>
      <c r="P23" s="119">
        <v>28</v>
      </c>
      <c r="Q23" s="107">
        <v>-566.40000000000009</v>
      </c>
    </row>
    <row r="24" spans="1:17" x14ac:dyDescent="0.4">
      <c r="A24" s="57" t="s">
        <v>14</v>
      </c>
      <c r="B24" s="52">
        <f>IF(B$20=0,0,C24/B$20)</f>
        <v>-9148.2758620689656</v>
      </c>
      <c r="C24" s="45">
        <v>-530600</v>
      </c>
      <c r="E24" s="63" t="s">
        <v>78</v>
      </c>
      <c r="F24" s="60" t="s">
        <v>33</v>
      </c>
      <c r="G24" s="47">
        <v>0</v>
      </c>
      <c r="H24" s="133">
        <f>IF(B$17=0,0,G24/B$17)</f>
        <v>0</v>
      </c>
      <c r="I24" s="94">
        <v>5</v>
      </c>
      <c r="K24" s="38">
        <v>22</v>
      </c>
      <c r="L24" s="99">
        <v>54.7</v>
      </c>
    </row>
    <row r="25" spans="1:17" x14ac:dyDescent="0.4">
      <c r="A25" s="90" t="s">
        <v>142</v>
      </c>
      <c r="B25" s="140">
        <v>7</v>
      </c>
      <c r="C25" s="141"/>
      <c r="E25" s="63" t="s">
        <v>81</v>
      </c>
      <c r="F25" s="60" t="s">
        <v>36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38">
        <v>97500</v>
      </c>
      <c r="C26" s="139"/>
      <c r="E26" s="63" t="s">
        <v>83</v>
      </c>
      <c r="F26" s="60" t="s">
        <v>38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2.2172949002217295E-3</v>
      </c>
      <c r="E27" s="63" t="s">
        <v>85</v>
      </c>
      <c r="F27" s="60" t="s">
        <v>40</v>
      </c>
      <c r="G27" s="47">
        <v>0</v>
      </c>
      <c r="H27" s="133">
        <f>IF(B$17=0,0,G27/B$17)</f>
        <v>0</v>
      </c>
      <c r="I27" s="94">
        <v>3</v>
      </c>
      <c r="K27" s="38">
        <v>25</v>
      </c>
      <c r="L27" s="99">
        <v>30.400000000000006</v>
      </c>
    </row>
    <row r="28" spans="1:17" x14ac:dyDescent="0.4">
      <c r="E28" s="63" t="s">
        <v>86</v>
      </c>
      <c r="F28" s="60" t="s">
        <v>41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32.900000000000006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4</v>
      </c>
      <c r="K29" s="38">
        <v>27</v>
      </c>
      <c r="L29" s="99">
        <v>40.400000000000006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3</v>
      </c>
      <c r="K30" s="38">
        <v>28</v>
      </c>
      <c r="L30" s="99">
        <v>8.3000000000000043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  <c r="K31" s="38">
        <v>29</v>
      </c>
      <c r="L31" s="99">
        <v>90.800000000000011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63.300000000000011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114.4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76.900000000000006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42.500000000000007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9.8000000000000043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-9.6999999999999975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30.000000000000007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32.100000000000009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62.800000000000011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37.70000000000001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46.900000000000006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42.300000000000004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-32.999999999999993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-27.999999999999993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-25.299999999999994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12.900000000000009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45.900000000000006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111.4</v>
      </c>
    </row>
    <row r="51" spans="5:12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  <c r="K51" s="38">
        <v>49</v>
      </c>
      <c r="L51" s="99">
        <v>113</v>
      </c>
    </row>
    <row r="52" spans="5:12" x14ac:dyDescent="0.4">
      <c r="K52" s="38">
        <v>50</v>
      </c>
      <c r="L52" s="99">
        <v>106.3</v>
      </c>
    </row>
    <row r="53" spans="5:12" x14ac:dyDescent="0.4">
      <c r="K53" s="38">
        <v>51</v>
      </c>
      <c r="L53" s="99">
        <v>113.39999999999999</v>
      </c>
    </row>
    <row r="54" spans="5:12" x14ac:dyDescent="0.4">
      <c r="K54" s="38">
        <v>52</v>
      </c>
      <c r="L54" s="99">
        <v>113.39999999999999</v>
      </c>
    </row>
    <row r="55" spans="5:12" x14ac:dyDescent="0.4">
      <c r="K55" s="38">
        <v>53</v>
      </c>
      <c r="L55" s="99">
        <v>79.799999999999983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47D90-373A-421D-AB36-0A0AB55E7F29}">
  <sheetPr codeName="Sheet1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173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37</v>
      </c>
      <c r="C2" s="147"/>
      <c r="E2" s="62" t="s">
        <v>67</v>
      </c>
      <c r="F2" s="59" t="s">
        <v>23</v>
      </c>
      <c r="G2" s="46">
        <v>73</v>
      </c>
      <c r="H2" s="132">
        <f>IF(B$17=0,0,G2/B$17)</f>
        <v>0.73737373737373735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-2621.6216216216217</v>
      </c>
      <c r="P2" s="118">
        <v>37</v>
      </c>
      <c r="Q2" s="102">
        <v>-97000</v>
      </c>
    </row>
    <row r="3" spans="1:17" x14ac:dyDescent="0.4">
      <c r="A3" s="55" t="s">
        <v>8</v>
      </c>
      <c r="B3" s="148">
        <v>328</v>
      </c>
      <c r="C3" s="149"/>
      <c r="E3" s="63" t="s">
        <v>73</v>
      </c>
      <c r="F3" s="60" t="s">
        <v>28</v>
      </c>
      <c r="G3" s="47">
        <v>51</v>
      </c>
      <c r="H3" s="133">
        <f>IF(B$17=0,0,G3/B$17)</f>
        <v>0.51515151515151514</v>
      </c>
      <c r="I3" s="94">
        <v>7</v>
      </c>
      <c r="K3" s="38">
        <v>1</v>
      </c>
      <c r="L3" s="99">
        <v>-82.6</v>
      </c>
      <c r="N3" s="115" t="s">
        <v>133</v>
      </c>
      <c r="O3" s="122">
        <f t="shared" si="0"/>
        <v>1764.8648648648648</v>
      </c>
      <c r="P3" s="119">
        <v>37</v>
      </c>
      <c r="Q3" s="103">
        <v>65300</v>
      </c>
    </row>
    <row r="4" spans="1:17" x14ac:dyDescent="0.4">
      <c r="A4" s="55" t="s">
        <v>6</v>
      </c>
      <c r="B4" s="150">
        <v>-234.4</v>
      </c>
      <c r="C4" s="151"/>
      <c r="E4" s="63" t="s">
        <v>65</v>
      </c>
      <c r="F4" s="60" t="s">
        <v>21</v>
      </c>
      <c r="G4" s="47">
        <v>45</v>
      </c>
      <c r="H4" s="133">
        <f>IF(B$17=0,0,G4/B$17)</f>
        <v>0.45454545454545453</v>
      </c>
      <c r="I4" s="94">
        <v>12</v>
      </c>
      <c r="K4" s="38">
        <v>2</v>
      </c>
      <c r="L4" s="99">
        <v>-122.3</v>
      </c>
      <c r="N4" s="115" t="s">
        <v>134</v>
      </c>
      <c r="O4" s="122">
        <f t="shared" si="0"/>
        <v>-920</v>
      </c>
      <c r="P4" s="119">
        <v>35</v>
      </c>
      <c r="Q4" s="103">
        <v>-32200</v>
      </c>
    </row>
    <row r="5" spans="1:17" x14ac:dyDescent="0.4">
      <c r="A5" s="55" t="s">
        <v>7</v>
      </c>
      <c r="B5" s="152">
        <f>IF(B$2=0,0,B$4/B$2)</f>
        <v>-6.3351351351351353</v>
      </c>
      <c r="C5" s="153"/>
      <c r="E5" s="63" t="s">
        <v>69</v>
      </c>
      <c r="F5" s="60" t="s">
        <v>12</v>
      </c>
      <c r="G5" s="47">
        <v>38</v>
      </c>
      <c r="H5" s="133">
        <f>IF(B$17=0,0,G5/B$17)</f>
        <v>0.38383838383838381</v>
      </c>
      <c r="I5" s="94">
        <v>5</v>
      </c>
      <c r="K5" s="38">
        <v>3</v>
      </c>
      <c r="L5" s="99">
        <v>-149</v>
      </c>
      <c r="N5" s="115" t="s">
        <v>135</v>
      </c>
      <c r="O5" s="122">
        <f t="shared" si="0"/>
        <v>-4321.212121212121</v>
      </c>
      <c r="P5" s="119">
        <v>33</v>
      </c>
      <c r="Q5" s="103">
        <v>-142600</v>
      </c>
    </row>
    <row r="6" spans="1:17" x14ac:dyDescent="0.4">
      <c r="A6" s="55" t="s">
        <v>1</v>
      </c>
      <c r="B6" s="142">
        <f>IF(B$2=0,0,(B$7*1+B$8*2+B$9*3)/B$2)</f>
        <v>2.0810810810810811</v>
      </c>
      <c r="C6" s="143"/>
      <c r="E6" s="63" t="s">
        <v>181</v>
      </c>
      <c r="F6" s="60" t="s">
        <v>182</v>
      </c>
      <c r="G6" s="47">
        <v>35</v>
      </c>
      <c r="H6" s="133">
        <f>IF(B$17=0,0,G6/B$17)</f>
        <v>0.35353535353535354</v>
      </c>
      <c r="I6" s="94">
        <v>10</v>
      </c>
      <c r="K6" s="38">
        <v>4</v>
      </c>
      <c r="L6" s="99">
        <v>-150.6</v>
      </c>
      <c r="N6" s="115" t="s">
        <v>136</v>
      </c>
      <c r="O6" s="122">
        <f t="shared" si="0"/>
        <v>323.33333333333331</v>
      </c>
      <c r="P6" s="119">
        <v>30</v>
      </c>
      <c r="Q6" s="103">
        <v>9700</v>
      </c>
    </row>
    <row r="7" spans="1:17" x14ac:dyDescent="0.4">
      <c r="A7" s="55" t="s">
        <v>2</v>
      </c>
      <c r="B7" s="47">
        <v>10</v>
      </c>
      <c r="C7" s="39">
        <f>IF(B$2=0,0,B7/B$2)</f>
        <v>0.27027027027027029</v>
      </c>
      <c r="E7" s="63" t="s">
        <v>68</v>
      </c>
      <c r="F7" s="60" t="s">
        <v>24</v>
      </c>
      <c r="G7" s="47">
        <v>26</v>
      </c>
      <c r="H7" s="133">
        <f>IF(B$17=0,0,G7/B$17)</f>
        <v>0.26262626262626265</v>
      </c>
      <c r="I7" s="94">
        <v>10</v>
      </c>
      <c r="K7" s="38">
        <v>5</v>
      </c>
      <c r="L7" s="99">
        <v>-184.89999999999998</v>
      </c>
      <c r="N7" s="116" t="s">
        <v>137</v>
      </c>
      <c r="O7" s="123">
        <f t="shared" si="0"/>
        <v>772.41379310344826</v>
      </c>
      <c r="P7" s="120">
        <v>29</v>
      </c>
      <c r="Q7" s="104">
        <v>22400</v>
      </c>
    </row>
    <row r="8" spans="1:17" x14ac:dyDescent="0.4">
      <c r="A8" s="55" t="s">
        <v>3</v>
      </c>
      <c r="B8" s="47">
        <v>14</v>
      </c>
      <c r="C8" s="39">
        <f>IF(B$2=0,0,B8/B$2)</f>
        <v>0.3783783783783784</v>
      </c>
      <c r="E8" s="63" t="s">
        <v>71</v>
      </c>
      <c r="F8" s="60" t="s">
        <v>26</v>
      </c>
      <c r="G8" s="47">
        <v>12</v>
      </c>
      <c r="H8" s="133">
        <f>IF(B$17=0,0,G8/B$17)</f>
        <v>0.12121212121212122</v>
      </c>
      <c r="I8" s="94">
        <v>3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13</v>
      </c>
      <c r="C9" s="40">
        <f t="shared" ref="C9" si="1">IF(B$2=0,0,B9/B$2)</f>
        <v>0.35135135135135137</v>
      </c>
      <c r="E9" s="63" t="s">
        <v>90</v>
      </c>
      <c r="F9" s="60" t="s">
        <v>45</v>
      </c>
      <c r="G9" s="47">
        <v>12</v>
      </c>
      <c r="H9" s="133">
        <f>IF(B$17=0,0,G9/B$17)</f>
        <v>0.12121212121212122</v>
      </c>
      <c r="I9" s="94">
        <v>8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4</v>
      </c>
      <c r="C10" s="40">
        <f>IF(B$2=0,0,B10/B$2)</f>
        <v>0.10810810810810811</v>
      </c>
      <c r="E10" s="63" t="s">
        <v>70</v>
      </c>
      <c r="F10" s="60" t="s">
        <v>25</v>
      </c>
      <c r="G10" s="47">
        <v>11</v>
      </c>
      <c r="H10" s="133">
        <f>IF(B$17=0,0,G10/B$17)</f>
        <v>0.1111111111111111</v>
      </c>
      <c r="I10" s="94">
        <v>10</v>
      </c>
      <c r="K10" s="38">
        <v>8</v>
      </c>
      <c r="L10" s="99">
        <v>-219.59999999999997</v>
      </c>
      <c r="N10" s="114" t="s">
        <v>164</v>
      </c>
      <c r="O10" s="124">
        <f>IF(P10=0,0,Q10/P10)</f>
        <v>-7</v>
      </c>
      <c r="P10" s="118">
        <v>10</v>
      </c>
      <c r="Q10" s="106">
        <v>-70</v>
      </c>
    </row>
    <row r="11" spans="1:17" x14ac:dyDescent="0.4">
      <c r="A11" s="56" t="s">
        <v>140</v>
      </c>
      <c r="B11" s="48">
        <v>2</v>
      </c>
      <c r="C11" s="40">
        <f>IF(B$2=0,0,B11/B$2)</f>
        <v>5.4054054054054057E-2</v>
      </c>
      <c r="E11" s="63" t="s">
        <v>66</v>
      </c>
      <c r="F11" s="60" t="s">
        <v>22</v>
      </c>
      <c r="G11" s="47">
        <v>8</v>
      </c>
      <c r="H11" s="133">
        <f>IF(B$17=0,0,G11/B$17)</f>
        <v>8.0808080808080815E-2</v>
      </c>
      <c r="I11" s="94">
        <v>7</v>
      </c>
      <c r="K11" s="38">
        <v>9</v>
      </c>
      <c r="L11" s="99">
        <v>-260.59999999999997</v>
      </c>
      <c r="N11" s="115" t="s">
        <v>165</v>
      </c>
      <c r="O11" s="125">
        <f>IF(P11=0,0,Q11/P11)</f>
        <v>-6.8647058823529399</v>
      </c>
      <c r="P11" s="119">
        <v>17</v>
      </c>
      <c r="Q11" s="107">
        <v>-116.69999999999997</v>
      </c>
    </row>
    <row r="12" spans="1:17" x14ac:dyDescent="0.4">
      <c r="A12" s="57" t="s">
        <v>160</v>
      </c>
      <c r="B12" s="49">
        <v>1</v>
      </c>
      <c r="C12" s="42">
        <f>IF(B$2=0,0,B12/B$2)</f>
        <v>2.7027027027027029E-2</v>
      </c>
      <c r="E12" s="63" t="s">
        <v>72</v>
      </c>
      <c r="F12" s="60" t="s">
        <v>27</v>
      </c>
      <c r="G12" s="47">
        <v>6</v>
      </c>
      <c r="H12" s="133">
        <f>IF(B$17=0,0,G12/B$17)</f>
        <v>6.0606060606060608E-2</v>
      </c>
      <c r="I12" s="94">
        <v>7</v>
      </c>
      <c r="K12" s="38">
        <v>10</v>
      </c>
      <c r="L12" s="99">
        <v>-318.39999999999998</v>
      </c>
      <c r="N12" s="116" t="s">
        <v>166</v>
      </c>
      <c r="O12" s="126">
        <f>IF(P12=0,0,Q12/P12)</f>
        <v>-4.7699999999999987</v>
      </c>
      <c r="P12" s="120">
        <v>10</v>
      </c>
      <c r="Q12" s="108">
        <v>-47.699999999999989</v>
      </c>
    </row>
    <row r="13" spans="1:17" x14ac:dyDescent="0.4">
      <c r="A13" s="58" t="s">
        <v>122</v>
      </c>
      <c r="B13" s="50">
        <v>75</v>
      </c>
      <c r="C13" s="44">
        <f>IF(B$3=0,0,B13/B$3)</f>
        <v>0.22865853658536586</v>
      </c>
      <c r="E13" s="63" t="s">
        <v>87</v>
      </c>
      <c r="F13" s="60" t="s">
        <v>42</v>
      </c>
      <c r="G13" s="47">
        <v>4</v>
      </c>
      <c r="H13" s="133">
        <f>IF(B$17=0,0,G13/B$17)</f>
        <v>4.0404040404040407E-2</v>
      </c>
      <c r="I13" s="94">
        <v>9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82</v>
      </c>
      <c r="C14" s="39">
        <f>IF(B$3=0,0,B14/B$3)</f>
        <v>0.25</v>
      </c>
      <c r="E14" s="63" t="s">
        <v>74</v>
      </c>
      <c r="F14" s="60" t="s">
        <v>29</v>
      </c>
      <c r="G14" s="47">
        <v>2</v>
      </c>
      <c r="H14" s="133">
        <f>IF(B$17=0,0,G14/B$17)</f>
        <v>2.0202020202020204E-2</v>
      </c>
      <c r="I14" s="94">
        <v>2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46</v>
      </c>
      <c r="C15" s="37">
        <f>IF(B$13=0,0,B15/B$13)</f>
        <v>0.61333333333333329</v>
      </c>
      <c r="E15" s="63" t="s">
        <v>79</v>
      </c>
      <c r="F15" s="60" t="s">
        <v>34</v>
      </c>
      <c r="G15" s="47">
        <v>2</v>
      </c>
      <c r="H15" s="133">
        <f>IF(B$17=0,0,G15/B$17)</f>
        <v>2.0202020202020204E-2</v>
      </c>
      <c r="I15" s="94">
        <v>4</v>
      </c>
      <c r="K15" s="38">
        <v>13</v>
      </c>
      <c r="L15" s="99">
        <v>-302.59999999999997</v>
      </c>
      <c r="N15" s="114" t="s">
        <v>129</v>
      </c>
      <c r="O15" s="124">
        <f>IF(P15=0,0,Q15/P15)</f>
        <v>30.733333333333334</v>
      </c>
      <c r="P15" s="118">
        <v>6</v>
      </c>
      <c r="Q15" s="106">
        <v>184.4</v>
      </c>
    </row>
    <row r="16" spans="1:17" x14ac:dyDescent="0.4">
      <c r="A16" s="54" t="s">
        <v>125</v>
      </c>
      <c r="B16" s="46">
        <v>27</v>
      </c>
      <c r="C16" s="37">
        <f>IF(B$14=0,0,B16/B$14)</f>
        <v>0.32926829268292684</v>
      </c>
      <c r="E16" s="63" t="s">
        <v>80</v>
      </c>
      <c r="F16" s="60" t="s">
        <v>35</v>
      </c>
      <c r="G16" s="47">
        <v>2</v>
      </c>
      <c r="H16" s="133">
        <f>IF(B$17=0,0,G16/B$17)</f>
        <v>2.0202020202020204E-2</v>
      </c>
      <c r="I16" s="94">
        <v>2</v>
      </c>
      <c r="K16" s="38">
        <v>14</v>
      </c>
      <c r="L16" s="99">
        <v>-269.99999999999994</v>
      </c>
      <c r="N16" s="115" t="s">
        <v>128</v>
      </c>
      <c r="O16" s="125">
        <f>IF(P16=0,0,Q16/P16)</f>
        <v>3.6750000000000016</v>
      </c>
      <c r="P16" s="119">
        <v>20</v>
      </c>
      <c r="Q16" s="107">
        <v>73.500000000000028</v>
      </c>
    </row>
    <row r="17" spans="1:17" x14ac:dyDescent="0.4">
      <c r="A17" s="54" t="s">
        <v>10</v>
      </c>
      <c r="B17" s="46">
        <f>B19+B18</f>
        <v>99</v>
      </c>
      <c r="C17" s="37">
        <f>IF(B$3=0,0,B17/B$3)</f>
        <v>0.30182926829268292</v>
      </c>
      <c r="E17" s="63" t="s">
        <v>84</v>
      </c>
      <c r="F17" s="60" t="s">
        <v>39</v>
      </c>
      <c r="G17" s="47">
        <v>2</v>
      </c>
      <c r="H17" s="133">
        <f>IF(B$17=0,0,G17/B$17)</f>
        <v>2.0202020202020204E-2</v>
      </c>
      <c r="I17" s="94">
        <v>8</v>
      </c>
      <c r="K17" s="38">
        <v>15</v>
      </c>
      <c r="L17" s="99">
        <v>-264.59999999999997</v>
      </c>
      <c r="N17" s="115" t="s">
        <v>172</v>
      </c>
      <c r="O17" s="125">
        <f>IF(P17=0,0,Q17/P17)</f>
        <v>-9.2399999999999984</v>
      </c>
      <c r="P17" s="119">
        <v>10</v>
      </c>
      <c r="Q17" s="107">
        <v>-92.399999999999977</v>
      </c>
    </row>
    <row r="18" spans="1:17" x14ac:dyDescent="0.4">
      <c r="A18" s="55" t="s">
        <v>12</v>
      </c>
      <c r="B18" s="47">
        <v>51</v>
      </c>
      <c r="C18" s="39">
        <f>IF(B$17=0,0,B18/B$17)</f>
        <v>0.51515151515151514</v>
      </c>
      <c r="E18" s="63" t="s">
        <v>92</v>
      </c>
      <c r="F18" s="60" t="s">
        <v>47</v>
      </c>
      <c r="G18" s="47">
        <v>1</v>
      </c>
      <c r="H18" s="133">
        <f>IF(B$17=0,0,G18/B$17)</f>
        <v>1.0101010101010102E-2</v>
      </c>
      <c r="I18" s="94">
        <v>7</v>
      </c>
      <c r="K18" s="38">
        <v>16</v>
      </c>
      <c r="L18" s="99">
        <v>-292.79999999999995</v>
      </c>
      <c r="N18" s="115" t="s">
        <v>171</v>
      </c>
      <c r="O18" s="125">
        <f>IF(P18=0,0,Q18/P18)</f>
        <v>-17.726666666666667</v>
      </c>
      <c r="P18" s="119">
        <v>15</v>
      </c>
      <c r="Q18" s="107">
        <v>-265.89999999999998</v>
      </c>
    </row>
    <row r="19" spans="1:17" x14ac:dyDescent="0.4">
      <c r="A19" s="55" t="s">
        <v>11</v>
      </c>
      <c r="B19" s="47">
        <v>48</v>
      </c>
      <c r="C19" s="39">
        <f>IF(B$17=0,0,B19/B$17)</f>
        <v>0.48484848484848486</v>
      </c>
      <c r="E19" s="63" t="s">
        <v>180</v>
      </c>
      <c r="F19" s="60" t="s">
        <v>183</v>
      </c>
      <c r="G19" s="47">
        <v>1</v>
      </c>
      <c r="H19" s="133">
        <f>IF(B$17=0,0,G19/B$17)</f>
        <v>1.0101010101010102E-2</v>
      </c>
      <c r="I19" s="94">
        <v>5</v>
      </c>
      <c r="K19" s="38">
        <v>17</v>
      </c>
      <c r="L19" s="99">
        <v>-248.89999999999995</v>
      </c>
      <c r="N19" s="115" t="s">
        <v>177</v>
      </c>
      <c r="O19" s="125">
        <f>IF(P19=0,0,Q19/P19)</f>
        <v>-17.950000000000003</v>
      </c>
      <c r="P19" s="119">
        <v>2</v>
      </c>
      <c r="Q19" s="107">
        <v>-35.900000000000006</v>
      </c>
    </row>
    <row r="20" spans="1:17" x14ac:dyDescent="0.4">
      <c r="A20" s="55" t="s">
        <v>13</v>
      </c>
      <c r="B20" s="47">
        <v>62</v>
      </c>
      <c r="C20" s="39">
        <f>IF(B$3=0,0,B20/B$3)</f>
        <v>0.18902439024390244</v>
      </c>
      <c r="E20" s="63" t="s">
        <v>75</v>
      </c>
      <c r="F20" s="60" t="s">
        <v>30</v>
      </c>
      <c r="G20" s="47">
        <v>0</v>
      </c>
      <c r="H20" s="133">
        <f>IF(B$17=0,0,G20/B$17)</f>
        <v>0</v>
      </c>
      <c r="I20" s="94">
        <v>4</v>
      </c>
      <c r="K20" s="38">
        <v>18</v>
      </c>
      <c r="L20" s="99">
        <v>-218.99999999999994</v>
      </c>
      <c r="N20" s="115" t="s">
        <v>127</v>
      </c>
      <c r="O20" s="125">
        <f>IF(P20=0,0,Q20/P20)</f>
        <v>-25.173684210526311</v>
      </c>
      <c r="P20" s="119">
        <v>19</v>
      </c>
      <c r="Q20" s="107">
        <v>-478.2999999999999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76</v>
      </c>
      <c r="F21" s="60" t="s">
        <v>31</v>
      </c>
      <c r="G21" s="47">
        <v>0</v>
      </c>
      <c r="H21" s="133">
        <f>IF(B$17=0,0,G21/B$17)</f>
        <v>0</v>
      </c>
      <c r="I21" s="94">
        <v>7</v>
      </c>
      <c r="K21" s="38">
        <v>19</v>
      </c>
      <c r="L21" s="99">
        <v>-188.59999999999994</v>
      </c>
      <c r="N21" s="115" t="s">
        <v>202</v>
      </c>
      <c r="O21" s="125">
        <f>IF(P21=0,0,Q21/P21)</f>
        <v>-43.1</v>
      </c>
      <c r="P21" s="119">
        <v>1</v>
      </c>
      <c r="Q21" s="107">
        <v>-43.1</v>
      </c>
    </row>
    <row r="22" spans="1:17" x14ac:dyDescent="0.4">
      <c r="A22" s="55" t="s">
        <v>194</v>
      </c>
      <c r="B22" s="47">
        <v>24</v>
      </c>
      <c r="C22" s="135">
        <v>2</v>
      </c>
      <c r="E22" s="63" t="s">
        <v>77</v>
      </c>
      <c r="F22" s="60" t="s">
        <v>32</v>
      </c>
      <c r="G22" s="47">
        <v>0</v>
      </c>
      <c r="H22" s="133">
        <f>IF(B$17=0,0,G22/B$17)</f>
        <v>0</v>
      </c>
      <c r="I22" s="94">
        <v>1</v>
      </c>
      <c r="K22" s="38">
        <v>20</v>
      </c>
      <c r="L22" s="99">
        <v>-182.79999999999993</v>
      </c>
      <c r="N22" s="115" t="s">
        <v>185</v>
      </c>
      <c r="O22" s="125">
        <f>IF(P22=0,0,Q22/P22)</f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6966.666666666667</v>
      </c>
      <c r="C23" s="41">
        <v>689700</v>
      </c>
      <c r="E23" s="63" t="s">
        <v>78</v>
      </c>
      <c r="F23" s="60" t="s">
        <v>33</v>
      </c>
      <c r="G23" s="47">
        <v>0</v>
      </c>
      <c r="H23" s="133">
        <f>IF(B$17=0,0,G23/B$17)</f>
        <v>0</v>
      </c>
      <c r="I23" s="94">
        <v>5</v>
      </c>
      <c r="K23" s="38">
        <v>21</v>
      </c>
      <c r="L23" s="99">
        <v>-203.79999999999993</v>
      </c>
    </row>
    <row r="24" spans="1:17" x14ac:dyDescent="0.4">
      <c r="A24" s="57" t="s">
        <v>14</v>
      </c>
      <c r="B24" s="52">
        <f>IF(B$20=0,0,C24/B$20)</f>
        <v>-7904.8387096774195</v>
      </c>
      <c r="C24" s="45">
        <v>-490100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-262.49999999999994</v>
      </c>
    </row>
    <row r="25" spans="1:17" x14ac:dyDescent="0.4">
      <c r="A25" s="90" t="s">
        <v>142</v>
      </c>
      <c r="B25" s="140">
        <v>6</v>
      </c>
      <c r="C25" s="141"/>
      <c r="E25" s="63" t="s">
        <v>82</v>
      </c>
      <c r="F25" s="60" t="s">
        <v>37</v>
      </c>
      <c r="G25" s="47">
        <v>0</v>
      </c>
      <c r="H25" s="133">
        <f>IF(B$17=0,0,G25/B$17)</f>
        <v>0</v>
      </c>
      <c r="I25" s="94">
        <v>10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38">
        <v>85900</v>
      </c>
      <c r="C26" s="139"/>
      <c r="E26" s="63" t="s">
        <v>83</v>
      </c>
      <c r="F26" s="60" t="s">
        <v>38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1</v>
      </c>
      <c r="C27" s="42">
        <f>IF(B$3=0,0,B27/B$3)</f>
        <v>3.0487804878048782E-3</v>
      </c>
      <c r="E27" s="63" t="s">
        <v>85</v>
      </c>
      <c r="F27" s="60" t="s">
        <v>40</v>
      </c>
      <c r="G27" s="47">
        <v>0</v>
      </c>
      <c r="H27" s="133">
        <f>IF(B$17=0,0,G27/B$17)</f>
        <v>0</v>
      </c>
      <c r="I27" s="94">
        <v>3</v>
      </c>
      <c r="K27" s="38">
        <v>25</v>
      </c>
      <c r="L27" s="99">
        <v>-344.29999999999995</v>
      </c>
    </row>
    <row r="28" spans="1:17" x14ac:dyDescent="0.4">
      <c r="E28" s="63" t="s">
        <v>86</v>
      </c>
      <c r="F28" s="60" t="s">
        <v>41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-285.09999999999997</v>
      </c>
    </row>
    <row r="29" spans="1:17" x14ac:dyDescent="0.4">
      <c r="E29" s="63" t="s">
        <v>88</v>
      </c>
      <c r="F29" s="60" t="s">
        <v>43</v>
      </c>
      <c r="G29" s="47">
        <v>0</v>
      </c>
      <c r="H29" s="133">
        <f>IF(B$17=0,0,G29/B$17)</f>
        <v>0</v>
      </c>
      <c r="I29" s="94">
        <v>6</v>
      </c>
      <c r="K29" s="38">
        <v>27</v>
      </c>
      <c r="L29" s="99">
        <v>-257.39999999999998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-248.2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3</v>
      </c>
      <c r="K31" s="38">
        <v>29</v>
      </c>
      <c r="L31" s="99">
        <v>-177.29999999999998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-202.79999999999998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5</v>
      </c>
      <c r="K33" s="38">
        <v>31</v>
      </c>
      <c r="L33" s="99">
        <v>-226.29999999999998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-193.79999999999998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-194.1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-224.6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-224.9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-190.5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-234.4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C7D19-1CDD-4B41-B425-D748763A5012}">
  <sheetPr codeName="Sheet1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24</v>
      </c>
      <c r="C2" s="147"/>
      <c r="E2" s="62" t="s">
        <v>67</v>
      </c>
      <c r="F2" s="59" t="s">
        <v>23</v>
      </c>
      <c r="G2" s="46">
        <v>29</v>
      </c>
      <c r="H2" s="132">
        <f>IF(B$17=0,0,G2/B$17)</f>
        <v>0.55769230769230771</v>
      </c>
      <c r="I2" s="93">
        <v>12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-2770.8333333333335</v>
      </c>
      <c r="P2" s="118">
        <v>24</v>
      </c>
      <c r="Q2" s="102">
        <v>-66500</v>
      </c>
    </row>
    <row r="3" spans="1:17" x14ac:dyDescent="0.4">
      <c r="A3" s="55" t="s">
        <v>8</v>
      </c>
      <c r="B3" s="148">
        <v>198</v>
      </c>
      <c r="C3" s="149"/>
      <c r="E3" s="63" t="s">
        <v>73</v>
      </c>
      <c r="F3" s="60" t="s">
        <v>28</v>
      </c>
      <c r="G3" s="47">
        <v>29</v>
      </c>
      <c r="H3" s="133">
        <f>IF(B$17=0,0,G3/B$17)</f>
        <v>0.55769230769230771</v>
      </c>
      <c r="I3" s="94">
        <v>5</v>
      </c>
      <c r="K3" s="38">
        <v>1</v>
      </c>
      <c r="L3" s="99">
        <v>-1.9</v>
      </c>
      <c r="N3" s="115" t="s">
        <v>133</v>
      </c>
      <c r="O3" s="122">
        <f t="shared" si="0"/>
        <v>-1282.608695652174</v>
      </c>
      <c r="P3" s="119">
        <v>23</v>
      </c>
      <c r="Q3" s="103">
        <v>-29500</v>
      </c>
    </row>
    <row r="4" spans="1:17" x14ac:dyDescent="0.4">
      <c r="A4" s="55" t="s">
        <v>6</v>
      </c>
      <c r="B4" s="150">
        <v>-204</v>
      </c>
      <c r="C4" s="151"/>
      <c r="E4" s="63" t="s">
        <v>65</v>
      </c>
      <c r="F4" s="60" t="s">
        <v>21</v>
      </c>
      <c r="G4" s="47">
        <v>26</v>
      </c>
      <c r="H4" s="133">
        <f>IF(B$17=0,0,G4/B$17)</f>
        <v>0.5</v>
      </c>
      <c r="I4" s="94">
        <v>8</v>
      </c>
      <c r="K4" s="38">
        <v>2</v>
      </c>
      <c r="L4" s="99">
        <v>30</v>
      </c>
      <c r="N4" s="115" t="s">
        <v>134</v>
      </c>
      <c r="O4" s="122">
        <f t="shared" si="0"/>
        <v>-1042.8571428571429</v>
      </c>
      <c r="P4" s="119">
        <v>21</v>
      </c>
      <c r="Q4" s="103">
        <v>-21900</v>
      </c>
    </row>
    <row r="5" spans="1:17" x14ac:dyDescent="0.4">
      <c r="A5" s="55" t="s">
        <v>7</v>
      </c>
      <c r="B5" s="152">
        <f>IF(B$2=0,0,B$4/B$2)</f>
        <v>-8.5</v>
      </c>
      <c r="C5" s="153"/>
      <c r="E5" s="63" t="s">
        <v>181</v>
      </c>
      <c r="F5" s="60" t="s">
        <v>182</v>
      </c>
      <c r="G5" s="47">
        <v>18</v>
      </c>
      <c r="H5" s="133">
        <f>IF(B$17=0,0,G5/B$17)</f>
        <v>0.34615384615384615</v>
      </c>
      <c r="I5" s="94">
        <v>11</v>
      </c>
      <c r="K5" s="38">
        <v>3</v>
      </c>
      <c r="L5" s="99">
        <v>-10</v>
      </c>
      <c r="N5" s="115" t="s">
        <v>135</v>
      </c>
      <c r="O5" s="122">
        <f t="shared" si="0"/>
        <v>-404.76190476190476</v>
      </c>
      <c r="P5" s="119">
        <v>21</v>
      </c>
      <c r="Q5" s="103">
        <v>-8500</v>
      </c>
    </row>
    <row r="6" spans="1:17" x14ac:dyDescent="0.4">
      <c r="A6" s="55" t="s">
        <v>1</v>
      </c>
      <c r="B6" s="142">
        <f>IF(B$2=0,0,(B$7*1+B$8*2+B$9*3)/B$2)</f>
        <v>2.0833333333333335</v>
      </c>
      <c r="C6" s="143"/>
      <c r="E6" s="63" t="s">
        <v>68</v>
      </c>
      <c r="F6" s="60" t="s">
        <v>24</v>
      </c>
      <c r="G6" s="47">
        <v>13</v>
      </c>
      <c r="H6" s="133">
        <f>IF(B$17=0,0,G6/B$17)</f>
        <v>0.25</v>
      </c>
      <c r="I6" s="94">
        <v>11</v>
      </c>
      <c r="K6" s="38">
        <v>4</v>
      </c>
      <c r="L6" s="99">
        <v>40</v>
      </c>
      <c r="N6" s="115" t="s">
        <v>136</v>
      </c>
      <c r="O6" s="122">
        <f t="shared" si="0"/>
        <v>-1100</v>
      </c>
      <c r="P6" s="119">
        <v>20</v>
      </c>
      <c r="Q6" s="103">
        <v>-22000</v>
      </c>
    </row>
    <row r="7" spans="1:17" x14ac:dyDescent="0.4">
      <c r="A7" s="55" t="s">
        <v>2</v>
      </c>
      <c r="B7" s="47">
        <v>7</v>
      </c>
      <c r="C7" s="39">
        <f>IF(B$2=0,0,B7/B$2)</f>
        <v>0.29166666666666669</v>
      </c>
      <c r="E7" s="63" t="s">
        <v>69</v>
      </c>
      <c r="F7" s="60" t="s">
        <v>12</v>
      </c>
      <c r="G7" s="47">
        <v>11</v>
      </c>
      <c r="H7" s="133">
        <f>IF(B$17=0,0,G7/B$17)</f>
        <v>0.21153846153846154</v>
      </c>
      <c r="I7" s="94">
        <v>12</v>
      </c>
      <c r="K7" s="38">
        <v>5</v>
      </c>
      <c r="L7" s="99">
        <v>35.4</v>
      </c>
      <c r="N7" s="116" t="s">
        <v>137</v>
      </c>
      <c r="O7" s="123">
        <f t="shared" si="0"/>
        <v>976.47058823529414</v>
      </c>
      <c r="P7" s="120">
        <v>17</v>
      </c>
      <c r="Q7" s="104">
        <v>16600</v>
      </c>
    </row>
    <row r="8" spans="1:17" x14ac:dyDescent="0.4">
      <c r="A8" s="55" t="s">
        <v>3</v>
      </c>
      <c r="B8" s="47">
        <v>8</v>
      </c>
      <c r="C8" s="39">
        <f>IF(B$2=0,0,B8/B$2)</f>
        <v>0.33333333333333331</v>
      </c>
      <c r="E8" s="63" t="s">
        <v>70</v>
      </c>
      <c r="F8" s="60" t="s">
        <v>25</v>
      </c>
      <c r="G8" s="47">
        <v>8</v>
      </c>
      <c r="H8" s="133">
        <f>IF(B$17=0,0,G8/B$17)</f>
        <v>0.15384615384615385</v>
      </c>
      <c r="I8" s="94">
        <v>8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9</v>
      </c>
      <c r="C9" s="40">
        <f t="shared" ref="C9" si="1">IF(B$2=0,0,B9/B$2)</f>
        <v>0.375</v>
      </c>
      <c r="E9" s="63" t="s">
        <v>90</v>
      </c>
      <c r="F9" s="60" t="s">
        <v>45</v>
      </c>
      <c r="G9" s="47">
        <v>6</v>
      </c>
      <c r="H9" s="133">
        <f>IF(B$17=0,0,G9/B$17)</f>
        <v>0.11538461538461539</v>
      </c>
      <c r="I9" s="94">
        <v>9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5</v>
      </c>
      <c r="C10" s="40">
        <f>IF(B$2=0,0,B10/B$2)</f>
        <v>0.20833333333333334</v>
      </c>
      <c r="E10" s="63" t="s">
        <v>66</v>
      </c>
      <c r="F10" s="60" t="s">
        <v>22</v>
      </c>
      <c r="G10" s="47">
        <v>4</v>
      </c>
      <c r="H10" s="133">
        <f>IF(B$17=0,0,G10/B$17)</f>
        <v>7.6923076923076927E-2</v>
      </c>
      <c r="I10" s="94">
        <v>8</v>
      </c>
      <c r="K10" s="38">
        <v>8</v>
      </c>
      <c r="L10" s="99">
        <v>-87.1</v>
      </c>
      <c r="N10" s="114" t="s">
        <v>164</v>
      </c>
      <c r="O10" s="124">
        <f>IF(P10=0,0,Q10/P10)</f>
        <v>-3.1500000000000012</v>
      </c>
      <c r="P10" s="118">
        <v>4</v>
      </c>
      <c r="Q10" s="106">
        <v>-12.600000000000005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84</v>
      </c>
      <c r="F11" s="60" t="s">
        <v>39</v>
      </c>
      <c r="G11" s="47">
        <v>3</v>
      </c>
      <c r="H11" s="133">
        <f>IF(B$17=0,0,G11/B$17)</f>
        <v>5.7692307692307696E-2</v>
      </c>
      <c r="I11" s="94">
        <v>3</v>
      </c>
      <c r="K11" s="38">
        <v>9</v>
      </c>
      <c r="L11" s="99">
        <v>-128.6</v>
      </c>
      <c r="N11" s="115" t="s">
        <v>165</v>
      </c>
      <c r="O11" s="125">
        <f>IF(P11=0,0,Q11/P11)</f>
        <v>-12.25</v>
      </c>
      <c r="P11" s="119">
        <v>8</v>
      </c>
      <c r="Q11" s="107">
        <v>-98</v>
      </c>
    </row>
    <row r="12" spans="1:17" x14ac:dyDescent="0.4">
      <c r="A12" s="57" t="s">
        <v>160</v>
      </c>
      <c r="B12" s="49">
        <v>2</v>
      </c>
      <c r="C12" s="42">
        <f>IF(B$2=0,0,B12/B$2)</f>
        <v>8.3333333333333329E-2</v>
      </c>
      <c r="E12" s="63" t="s">
        <v>92</v>
      </c>
      <c r="F12" s="60" t="s">
        <v>47</v>
      </c>
      <c r="G12" s="47">
        <v>3</v>
      </c>
      <c r="H12" s="133">
        <f>IF(B$17=0,0,G12/B$17)</f>
        <v>5.7692307692307696E-2</v>
      </c>
      <c r="I12" s="94">
        <v>1</v>
      </c>
      <c r="K12" s="38">
        <v>10</v>
      </c>
      <c r="L12" s="99">
        <v>-183.7</v>
      </c>
      <c r="N12" s="116" t="s">
        <v>166</v>
      </c>
      <c r="O12" s="126">
        <f>IF(P12=0,0,Q12/P12)</f>
        <v>-7.7833333333333323</v>
      </c>
      <c r="P12" s="120">
        <v>12</v>
      </c>
      <c r="Q12" s="108">
        <v>-93.399999999999991</v>
      </c>
    </row>
    <row r="13" spans="1:17" x14ac:dyDescent="0.4">
      <c r="A13" s="58" t="s">
        <v>122</v>
      </c>
      <c r="B13" s="50">
        <v>40</v>
      </c>
      <c r="C13" s="44">
        <f>IF(B$3=0,0,B13/B$3)</f>
        <v>0.20202020202020202</v>
      </c>
      <c r="E13" s="63" t="s">
        <v>71</v>
      </c>
      <c r="F13" s="60" t="s">
        <v>26</v>
      </c>
      <c r="G13" s="47">
        <v>2</v>
      </c>
      <c r="H13" s="133">
        <f>IF(B$17=0,0,G13/B$17)</f>
        <v>3.8461538461538464E-2</v>
      </c>
      <c r="I13" s="94">
        <v>9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45</v>
      </c>
      <c r="C14" s="39">
        <f>IF(B$3=0,0,B14/B$3)</f>
        <v>0.22727272727272727</v>
      </c>
      <c r="E14" s="63" t="s">
        <v>72</v>
      </c>
      <c r="F14" s="60" t="s">
        <v>27</v>
      </c>
      <c r="G14" s="47">
        <v>2</v>
      </c>
      <c r="H14" s="133">
        <f>IF(B$17=0,0,G14/B$17)</f>
        <v>3.8461538461538464E-2</v>
      </c>
      <c r="I14" s="94">
        <v>9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25</v>
      </c>
      <c r="C15" s="37">
        <f>IF(B$13=0,0,B15/B$13)</f>
        <v>0.625</v>
      </c>
      <c r="E15" s="63" t="s">
        <v>82</v>
      </c>
      <c r="F15" s="60" t="s">
        <v>37</v>
      </c>
      <c r="G15" s="47">
        <v>2</v>
      </c>
      <c r="H15" s="133">
        <f>IF(B$17=0,0,G15/B$17)</f>
        <v>3.8461538461538464E-2</v>
      </c>
      <c r="I15" s="94">
        <v>4</v>
      </c>
      <c r="K15" s="38">
        <v>13</v>
      </c>
      <c r="L15" s="99">
        <v>-209.59999999999997</v>
      </c>
      <c r="N15" s="114" t="s">
        <v>202</v>
      </c>
      <c r="O15" s="124">
        <f>IF(P15=0,0,Q15/P15)</f>
        <v>81.5</v>
      </c>
      <c r="P15" s="118">
        <v>1</v>
      </c>
      <c r="Q15" s="106">
        <v>81.5</v>
      </c>
    </row>
    <row r="16" spans="1:17" x14ac:dyDescent="0.4">
      <c r="A16" s="54" t="s">
        <v>125</v>
      </c>
      <c r="B16" s="46">
        <v>18</v>
      </c>
      <c r="C16" s="37">
        <f>IF(B$14=0,0,B16/B$14)</f>
        <v>0.4</v>
      </c>
      <c r="E16" s="63" t="s">
        <v>75</v>
      </c>
      <c r="F16" s="60" t="s">
        <v>30</v>
      </c>
      <c r="G16" s="47">
        <v>1</v>
      </c>
      <c r="H16" s="133">
        <f>IF(B$17=0,0,G16/B$17)</f>
        <v>1.9230769230769232E-2</v>
      </c>
      <c r="I16" s="94">
        <v>1</v>
      </c>
      <c r="K16" s="38">
        <v>14</v>
      </c>
      <c r="L16" s="99">
        <v>-178.49999999999997</v>
      </c>
      <c r="N16" s="115" t="s">
        <v>186</v>
      </c>
      <c r="O16" s="125">
        <f>IF(P16=0,0,Q16/P16)</f>
        <v>60.800000000000004</v>
      </c>
      <c r="P16" s="119">
        <v>2</v>
      </c>
      <c r="Q16" s="107">
        <v>121.60000000000001</v>
      </c>
    </row>
    <row r="17" spans="1:17" x14ac:dyDescent="0.4">
      <c r="A17" s="54" t="s">
        <v>10</v>
      </c>
      <c r="B17" s="46">
        <f>B19+B18</f>
        <v>52</v>
      </c>
      <c r="C17" s="37">
        <f>IF(B$3=0,0,B17/B$3)</f>
        <v>0.26262626262626265</v>
      </c>
      <c r="E17" s="63" t="s">
        <v>76</v>
      </c>
      <c r="F17" s="60" t="s">
        <v>31</v>
      </c>
      <c r="G17" s="47">
        <v>1</v>
      </c>
      <c r="H17" s="133">
        <f>IF(B$17=0,0,G17/B$17)</f>
        <v>1.9230769230769232E-2</v>
      </c>
      <c r="I17" s="94">
        <v>2</v>
      </c>
      <c r="K17" s="38">
        <v>15</v>
      </c>
      <c r="L17" s="99">
        <v>-146.19999999999999</v>
      </c>
      <c r="N17" s="115" t="s">
        <v>173</v>
      </c>
      <c r="O17" s="125">
        <f>IF(P17=0,0,Q17/P17)</f>
        <v>17.95</v>
      </c>
      <c r="P17" s="119">
        <v>2</v>
      </c>
      <c r="Q17" s="107">
        <v>35.9</v>
      </c>
    </row>
    <row r="18" spans="1:17" x14ac:dyDescent="0.4">
      <c r="A18" s="55" t="s">
        <v>12</v>
      </c>
      <c r="B18" s="47">
        <v>20</v>
      </c>
      <c r="C18" s="39">
        <f>IF(B$17=0,0,B18/B$17)</f>
        <v>0.38461538461538464</v>
      </c>
      <c r="E18" s="63" t="s">
        <v>79</v>
      </c>
      <c r="F18" s="60" t="s">
        <v>34</v>
      </c>
      <c r="G18" s="47">
        <v>1</v>
      </c>
      <c r="H18" s="133">
        <f>IF(B$17=0,0,G18/B$17)</f>
        <v>1.9230769230769232E-2</v>
      </c>
      <c r="I18" s="94">
        <v>5</v>
      </c>
      <c r="K18" s="38">
        <v>16</v>
      </c>
      <c r="L18" s="99">
        <v>-153.29999999999998</v>
      </c>
      <c r="N18" s="115" t="s">
        <v>171</v>
      </c>
      <c r="O18" s="125">
        <f>IF(P18=0,0,Q18/P18)</f>
        <v>12.149999999999999</v>
      </c>
      <c r="P18" s="119">
        <v>2</v>
      </c>
      <c r="Q18" s="107">
        <v>24.299999999999997</v>
      </c>
    </row>
    <row r="19" spans="1:17" x14ac:dyDescent="0.4">
      <c r="A19" s="55" t="s">
        <v>11</v>
      </c>
      <c r="B19" s="47">
        <v>32</v>
      </c>
      <c r="C19" s="39">
        <f>IF(B$17=0,0,B19/B$17)</f>
        <v>0.61538461538461542</v>
      </c>
      <c r="E19" s="63" t="s">
        <v>86</v>
      </c>
      <c r="F19" s="60" t="s">
        <v>41</v>
      </c>
      <c r="G19" s="47">
        <v>1</v>
      </c>
      <c r="H19" s="133">
        <f>IF(B$17=0,0,G19/B$17)</f>
        <v>1.9230769230769232E-2</v>
      </c>
      <c r="I19" s="94">
        <v>1</v>
      </c>
      <c r="K19" s="38">
        <v>17</v>
      </c>
      <c r="L19" s="99">
        <v>-161.19999999999999</v>
      </c>
      <c r="N19" s="115" t="s">
        <v>128</v>
      </c>
      <c r="O19" s="125">
        <f>IF(P19=0,0,Q19/P19)</f>
        <v>-2.4333333333333322</v>
      </c>
      <c r="P19" s="119">
        <v>18</v>
      </c>
      <c r="Q19" s="107">
        <v>-43.799999999999983</v>
      </c>
    </row>
    <row r="20" spans="1:17" x14ac:dyDescent="0.4">
      <c r="A20" s="55" t="s">
        <v>13</v>
      </c>
      <c r="B20" s="47">
        <v>37</v>
      </c>
      <c r="C20" s="39">
        <f>IF(B$3=0,0,B20/B$3)</f>
        <v>0.18686868686868688</v>
      </c>
      <c r="E20" s="63" t="s">
        <v>74</v>
      </c>
      <c r="F20" s="60" t="s">
        <v>29</v>
      </c>
      <c r="G20" s="47">
        <v>0</v>
      </c>
      <c r="H20" s="133">
        <f>IF(B$17=0,0,G20/B$17)</f>
        <v>0</v>
      </c>
      <c r="I20" s="94">
        <v>6</v>
      </c>
      <c r="K20" s="38">
        <v>18</v>
      </c>
      <c r="L20" s="99">
        <v>-159</v>
      </c>
      <c r="N20" s="115" t="s">
        <v>172</v>
      </c>
      <c r="O20" s="125">
        <f>IF(P20=0,0,Q20/P20)</f>
        <v>-18.733333333333338</v>
      </c>
      <c r="P20" s="119">
        <v>6</v>
      </c>
      <c r="Q20" s="107">
        <v>-112.40000000000002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77</v>
      </c>
      <c r="F21" s="60" t="s">
        <v>32</v>
      </c>
      <c r="G21" s="47">
        <v>0</v>
      </c>
      <c r="H21" s="133">
        <f>IF(B$17=0,0,G21/B$17)</f>
        <v>0</v>
      </c>
      <c r="I21" s="94">
        <v>1</v>
      </c>
      <c r="K21" s="38">
        <v>19</v>
      </c>
      <c r="L21" s="99">
        <v>-235.6</v>
      </c>
      <c r="N21" s="115" t="s">
        <v>127</v>
      </c>
      <c r="O21" s="125">
        <f>IF(P21=0,0,Q21/P21)</f>
        <v>-41.150000000000006</v>
      </c>
      <c r="P21" s="119">
        <v>10</v>
      </c>
      <c r="Q21" s="107">
        <v>-411.50000000000006</v>
      </c>
    </row>
    <row r="22" spans="1:17" x14ac:dyDescent="0.4">
      <c r="A22" s="55" t="s">
        <v>194</v>
      </c>
      <c r="B22" s="47">
        <v>21</v>
      </c>
      <c r="C22" s="135">
        <v>0</v>
      </c>
      <c r="E22" s="63" t="s">
        <v>78</v>
      </c>
      <c r="F22" s="60" t="s">
        <v>33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-200.8</v>
      </c>
      <c r="N22" s="115" t="s">
        <v>129</v>
      </c>
      <c r="O22" s="125">
        <f>IF(P22=0,0,Q22/P22)</f>
        <v>-42.625000000000007</v>
      </c>
      <c r="P22" s="119">
        <v>4</v>
      </c>
      <c r="Q22" s="107">
        <v>-170.50000000000003</v>
      </c>
    </row>
    <row r="23" spans="1:17" x14ac:dyDescent="0.4">
      <c r="A23" s="55" t="s">
        <v>5</v>
      </c>
      <c r="B23" s="51">
        <f>IF(B$17=0,0,C23/B$17)</f>
        <v>7163.4615384615381</v>
      </c>
      <c r="C23" s="41">
        <v>372500</v>
      </c>
      <c r="E23" s="63" t="s">
        <v>80</v>
      </c>
      <c r="F23" s="60" t="s">
        <v>35</v>
      </c>
      <c r="G23" s="47">
        <v>0</v>
      </c>
      <c r="H23" s="133">
        <f>IF(B$17=0,0,G23/B$17)</f>
        <v>0</v>
      </c>
      <c r="I23" s="94">
        <v>8</v>
      </c>
      <c r="K23" s="38">
        <v>21</v>
      </c>
      <c r="L23" s="99">
        <v>-188.60000000000002</v>
      </c>
      <c r="N23" s="115" t="s">
        <v>185</v>
      </c>
      <c r="O23" s="125">
        <f>IF(P23=0,0,Q23/P23)</f>
        <v>-45.699999999999996</v>
      </c>
      <c r="P23" s="119">
        <v>3</v>
      </c>
      <c r="Q23" s="107">
        <v>-137.1</v>
      </c>
    </row>
    <row r="24" spans="1:17" x14ac:dyDescent="0.4">
      <c r="A24" s="57" t="s">
        <v>14</v>
      </c>
      <c r="B24" s="52">
        <f>IF(B$20=0,0,C24/B$20)</f>
        <v>-7291.8918918918916</v>
      </c>
      <c r="C24" s="45">
        <v>-269800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-142.60000000000002</v>
      </c>
    </row>
    <row r="25" spans="1:17" x14ac:dyDescent="0.4">
      <c r="A25" s="90" t="s">
        <v>142</v>
      </c>
      <c r="B25" s="140">
        <v>7</v>
      </c>
      <c r="C25" s="141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-145.80000000000001</v>
      </c>
    </row>
    <row r="26" spans="1:17" x14ac:dyDescent="0.4">
      <c r="A26" s="58" t="s">
        <v>152</v>
      </c>
      <c r="B26" s="138">
        <v>65000</v>
      </c>
      <c r="C26" s="139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3</v>
      </c>
      <c r="K26" s="38">
        <v>24</v>
      </c>
      <c r="L26" s="99">
        <v>-204</v>
      </c>
    </row>
    <row r="27" spans="1:17" x14ac:dyDescent="0.4">
      <c r="A27" s="57" t="s">
        <v>143</v>
      </c>
      <c r="B27" s="65">
        <v>1</v>
      </c>
      <c r="C27" s="42">
        <f>IF(B$3=0,0,B27/B$3)</f>
        <v>5.0505050505050509E-3</v>
      </c>
      <c r="E27" s="63" t="s">
        <v>87</v>
      </c>
      <c r="F27" s="60" t="s">
        <v>42</v>
      </c>
      <c r="G27" s="47">
        <v>0</v>
      </c>
      <c r="H27" s="133">
        <f>IF(B$17=0,0,G27/B$17)</f>
        <v>0</v>
      </c>
      <c r="I27" s="94">
        <v>10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6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4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8CF9F-1E3E-4103-BF4B-88C43EB75220}">
  <sheetPr codeName="Sheet2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</v>
      </c>
      <c r="C2" s="147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48">
        <v>19</v>
      </c>
      <c r="C3" s="149"/>
      <c r="E3" s="63" t="s">
        <v>67</v>
      </c>
      <c r="F3" s="60" t="s">
        <v>23</v>
      </c>
      <c r="G3" s="47">
        <v>3</v>
      </c>
      <c r="H3" s="133">
        <f>IF(B$17=0,0,G3/B$17)</f>
        <v>0.6</v>
      </c>
      <c r="I3" s="94">
        <v>10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0">
        <v>61</v>
      </c>
      <c r="C4" s="151"/>
      <c r="E4" s="63" t="s">
        <v>73</v>
      </c>
      <c r="F4" s="60" t="s">
        <v>28</v>
      </c>
      <c r="G4" s="47">
        <v>3</v>
      </c>
      <c r="H4" s="133">
        <f>IF(B$17=0,0,G4/B$17)</f>
        <v>0.6</v>
      </c>
      <c r="I4" s="94">
        <v>3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2">
        <f>IF(B$2=0,0,B$4/B$2)</f>
        <v>20.333333333333332</v>
      </c>
      <c r="C5" s="153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5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2">
        <f>IF(B$2=0,0,(B$7*1+B$8*2+B$9*3)/B$2)</f>
        <v>1.3333333333333333</v>
      </c>
      <c r="C6" s="143"/>
      <c r="E6" s="63" t="s">
        <v>90</v>
      </c>
      <c r="F6" s="60" t="s">
        <v>45</v>
      </c>
      <c r="G6" s="47">
        <v>2</v>
      </c>
      <c r="H6" s="133">
        <f>IF(B$17=0,0,G6/B$17)</f>
        <v>0.4</v>
      </c>
      <c r="I6" s="94">
        <v>1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181</v>
      </c>
      <c r="F7" s="60" t="s">
        <v>182</v>
      </c>
      <c r="G7" s="47">
        <v>2</v>
      </c>
      <c r="H7" s="133">
        <f>IF(B$17=0,0,G7/B$17)</f>
        <v>0.4</v>
      </c>
      <c r="I7" s="94">
        <v>8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69</v>
      </c>
      <c r="F8" s="60" t="s">
        <v>12</v>
      </c>
      <c r="G8" s="47">
        <v>1</v>
      </c>
      <c r="H8" s="133">
        <f>IF(B$17=0,0,G8/B$17)</f>
        <v>0.2</v>
      </c>
      <c r="I8" s="94">
        <v>13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70</v>
      </c>
      <c r="F9" s="60" t="s">
        <v>25</v>
      </c>
      <c r="G9" s="47">
        <v>1</v>
      </c>
      <c r="H9" s="133">
        <f>IF(B$17=0,0,G9/B$17)</f>
        <v>0.2</v>
      </c>
      <c r="I9" s="94">
        <v>5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72</v>
      </c>
      <c r="F10" s="60" t="s">
        <v>27</v>
      </c>
      <c r="G10" s="47">
        <v>1</v>
      </c>
      <c r="H10" s="133">
        <f>IF(B$17=0,0,G10/B$17)</f>
        <v>0.2</v>
      </c>
      <c r="I10" s="94">
        <v>1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87</v>
      </c>
      <c r="F11" s="60" t="s">
        <v>42</v>
      </c>
      <c r="G11" s="47">
        <v>1</v>
      </c>
      <c r="H11" s="133">
        <f>IF(B$17=0,0,G11/B$17)</f>
        <v>0.2</v>
      </c>
      <c r="I11" s="94">
        <v>1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66</v>
      </c>
      <c r="F12" s="60" t="s">
        <v>22</v>
      </c>
      <c r="G12" s="47">
        <v>0</v>
      </c>
      <c r="H12" s="133">
        <f>IF(B$17=0,0,G12/B$17)</f>
        <v>0</v>
      </c>
      <c r="I12" s="94">
        <v>10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71</v>
      </c>
      <c r="F13" s="60" t="s">
        <v>26</v>
      </c>
      <c r="G13" s="47">
        <v>0</v>
      </c>
      <c r="H13" s="133">
        <f>IF(B$17=0,0,G13/B$17)</f>
        <v>0</v>
      </c>
      <c r="I13" s="94">
        <v>10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74</v>
      </c>
      <c r="F14" s="60" t="s">
        <v>29</v>
      </c>
      <c r="G14" s="47">
        <v>0</v>
      </c>
      <c r="H14" s="133">
        <f>IF(B$17=0,0,G14/B$17)</f>
        <v>0</v>
      </c>
      <c r="I14" s="94">
        <v>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75</v>
      </c>
      <c r="F15" s="60" t="s">
        <v>30</v>
      </c>
      <c r="G15" s="47">
        <v>0</v>
      </c>
      <c r="H15" s="133">
        <f>IF(B$17=0,0,G15/B$17)</f>
        <v>0</v>
      </c>
      <c r="I15" s="94">
        <v>4</v>
      </c>
      <c r="N15" s="114" t="s">
        <v>186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76</v>
      </c>
      <c r="F16" s="60" t="s">
        <v>31</v>
      </c>
      <c r="G16" s="47">
        <v>0</v>
      </c>
      <c r="H16" s="133">
        <f>IF(B$17=0,0,G16/B$17)</f>
        <v>0</v>
      </c>
      <c r="I16" s="94">
        <v>7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77</v>
      </c>
      <c r="F17" s="60" t="s">
        <v>32</v>
      </c>
      <c r="G17" s="47">
        <v>0</v>
      </c>
      <c r="H17" s="133">
        <f>IF(B$17=0,0,G17/B$17)</f>
        <v>0</v>
      </c>
      <c r="I17" s="94">
        <v>1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78</v>
      </c>
      <c r="F18" s="60" t="s">
        <v>33</v>
      </c>
      <c r="G18" s="47">
        <v>0</v>
      </c>
      <c r="H18" s="133">
        <f>IF(B$17=0,0,G18/B$17)</f>
        <v>0</v>
      </c>
      <c r="I18" s="94">
        <v>5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79</v>
      </c>
      <c r="F19" s="60" t="s">
        <v>34</v>
      </c>
      <c r="G19" s="47">
        <v>0</v>
      </c>
      <c r="H19" s="133">
        <f>IF(B$17=0,0,G19/B$17)</f>
        <v>0</v>
      </c>
      <c r="I19" s="94">
        <v>11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80</v>
      </c>
      <c r="F20" s="60" t="s">
        <v>35</v>
      </c>
      <c r="G20" s="47">
        <v>0</v>
      </c>
      <c r="H20" s="133">
        <f>IF(B$17=0,0,G20/B$17)</f>
        <v>0</v>
      </c>
      <c r="I20" s="94">
        <v>8</v>
      </c>
    </row>
    <row r="21" spans="1:17" x14ac:dyDescent="0.4">
      <c r="A21" s="55" t="s">
        <v>193</v>
      </c>
      <c r="B21" s="47">
        <v>2</v>
      </c>
      <c r="C21" s="135">
        <v>0</v>
      </c>
      <c r="E21" s="63" t="s">
        <v>81</v>
      </c>
      <c r="F21" s="60" t="s">
        <v>36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194</v>
      </c>
      <c r="B22" s="47">
        <v>12</v>
      </c>
      <c r="C22" s="135">
        <v>12</v>
      </c>
      <c r="E22" s="63" t="s">
        <v>82</v>
      </c>
      <c r="F22" s="60" t="s">
        <v>37</v>
      </c>
      <c r="G22" s="47">
        <v>0</v>
      </c>
      <c r="H22" s="133">
        <f>IF(B$17=0,0,G22/B$17)</f>
        <v>0</v>
      </c>
      <c r="I22" s="94">
        <v>10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84</v>
      </c>
      <c r="F24" s="60" t="s">
        <v>39</v>
      </c>
      <c r="G24" s="47">
        <v>0</v>
      </c>
      <c r="H24" s="133">
        <f>IF(B$17=0,0,G24/B$17)</f>
        <v>0</v>
      </c>
      <c r="I24" s="94">
        <v>10</v>
      </c>
    </row>
    <row r="25" spans="1:17" x14ac:dyDescent="0.4">
      <c r="A25" s="90" t="s">
        <v>142</v>
      </c>
      <c r="B25" s="140">
        <v>3</v>
      </c>
      <c r="C25" s="141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152</v>
      </c>
      <c r="B26" s="138">
        <v>53500</v>
      </c>
      <c r="C26" s="139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6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9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56F54-EF0B-4E61-ACF3-3681F98AF5C5}">
  <sheetPr codeName="Sheet23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186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10</v>
      </c>
      <c r="C2" s="147"/>
      <c r="E2" s="62" t="s">
        <v>67</v>
      </c>
      <c r="F2" s="59" t="s">
        <v>23</v>
      </c>
      <c r="G2" s="46">
        <v>16</v>
      </c>
      <c r="H2" s="132">
        <f>IF(B$17=0,0,G2/B$17)</f>
        <v>0.8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-1860</v>
      </c>
      <c r="P2" s="118">
        <v>10</v>
      </c>
      <c r="Q2" s="102">
        <v>-18600</v>
      </c>
    </row>
    <row r="3" spans="1:17" x14ac:dyDescent="0.4">
      <c r="A3" s="55" t="s">
        <v>8</v>
      </c>
      <c r="B3" s="148">
        <v>85</v>
      </c>
      <c r="C3" s="149"/>
      <c r="E3" s="63" t="s">
        <v>73</v>
      </c>
      <c r="F3" s="60" t="s">
        <v>28</v>
      </c>
      <c r="G3" s="47">
        <v>16</v>
      </c>
      <c r="H3" s="133">
        <f>IF(B$17=0,0,G3/B$17)</f>
        <v>0.8</v>
      </c>
      <c r="I3" s="94">
        <v>1</v>
      </c>
      <c r="K3" s="38">
        <v>1</v>
      </c>
      <c r="L3" s="99">
        <v>-43.7</v>
      </c>
      <c r="N3" s="115" t="s">
        <v>133</v>
      </c>
      <c r="O3" s="122">
        <f t="shared" si="0"/>
        <v>-2160</v>
      </c>
      <c r="P3" s="119">
        <v>10</v>
      </c>
      <c r="Q3" s="103">
        <v>-21600</v>
      </c>
    </row>
    <row r="4" spans="1:17" x14ac:dyDescent="0.4">
      <c r="A4" s="55" t="s">
        <v>6</v>
      </c>
      <c r="B4" s="150">
        <v>-197.5</v>
      </c>
      <c r="C4" s="151"/>
      <c r="E4" s="63" t="s">
        <v>65</v>
      </c>
      <c r="F4" s="60" t="s">
        <v>21</v>
      </c>
      <c r="G4" s="47">
        <v>10</v>
      </c>
      <c r="H4" s="133">
        <f>IF(B$17=0,0,G4/B$17)</f>
        <v>0.5</v>
      </c>
      <c r="I4" s="94">
        <v>8</v>
      </c>
      <c r="K4" s="38">
        <v>2</v>
      </c>
      <c r="L4" s="99">
        <v>-76.2</v>
      </c>
      <c r="N4" s="115" t="s">
        <v>134</v>
      </c>
      <c r="O4" s="122">
        <f t="shared" si="0"/>
        <v>-990</v>
      </c>
      <c r="P4" s="119">
        <v>10</v>
      </c>
      <c r="Q4" s="103">
        <v>-9900</v>
      </c>
    </row>
    <row r="5" spans="1:17" x14ac:dyDescent="0.4">
      <c r="A5" s="55" t="s">
        <v>7</v>
      </c>
      <c r="B5" s="152">
        <f>IF(B$2=0,0,B$4/B$2)</f>
        <v>-19.75</v>
      </c>
      <c r="C5" s="153"/>
      <c r="E5" s="63" t="s">
        <v>69</v>
      </c>
      <c r="F5" s="60" t="s">
        <v>12</v>
      </c>
      <c r="G5" s="47">
        <v>6</v>
      </c>
      <c r="H5" s="133">
        <f>IF(B$17=0,0,G5/B$17)</f>
        <v>0.3</v>
      </c>
      <c r="I5" s="94">
        <v>8</v>
      </c>
      <c r="K5" s="38">
        <v>3</v>
      </c>
      <c r="L5" s="99">
        <v>-78.400000000000006</v>
      </c>
      <c r="N5" s="115" t="s">
        <v>135</v>
      </c>
      <c r="O5" s="122">
        <f t="shared" si="0"/>
        <v>-5388.8888888888887</v>
      </c>
      <c r="P5" s="119">
        <v>9</v>
      </c>
      <c r="Q5" s="103">
        <v>-48500</v>
      </c>
    </row>
    <row r="6" spans="1:17" x14ac:dyDescent="0.4">
      <c r="A6" s="55" t="s">
        <v>1</v>
      </c>
      <c r="B6" s="142">
        <f>IF(B$2=0,0,(B$7*1+B$8*2+B$9*3)/B$2)</f>
        <v>2.2999999999999998</v>
      </c>
      <c r="C6" s="143"/>
      <c r="E6" s="63" t="s">
        <v>181</v>
      </c>
      <c r="F6" s="60" t="s">
        <v>182</v>
      </c>
      <c r="G6" s="47">
        <v>5</v>
      </c>
      <c r="H6" s="133">
        <f>IF(B$17=0,0,G6/B$17)</f>
        <v>0.25</v>
      </c>
      <c r="I6" s="94">
        <v>13</v>
      </c>
      <c r="K6" s="38">
        <v>4</v>
      </c>
      <c r="L6" s="99">
        <v>-49.800000000000004</v>
      </c>
      <c r="N6" s="115" t="s">
        <v>136</v>
      </c>
      <c r="O6" s="122">
        <f t="shared" si="0"/>
        <v>1077.7777777777778</v>
      </c>
      <c r="P6" s="119">
        <v>9</v>
      </c>
      <c r="Q6" s="103">
        <v>9700</v>
      </c>
    </row>
    <row r="7" spans="1:17" x14ac:dyDescent="0.4">
      <c r="A7" s="55" t="s">
        <v>2</v>
      </c>
      <c r="B7" s="47">
        <v>3</v>
      </c>
      <c r="C7" s="39">
        <f>IF(B$2=0,0,B7/B$2)</f>
        <v>0.3</v>
      </c>
      <c r="E7" s="63" t="s">
        <v>90</v>
      </c>
      <c r="F7" s="60" t="s">
        <v>45</v>
      </c>
      <c r="G7" s="47">
        <v>4</v>
      </c>
      <c r="H7" s="133">
        <f>IF(B$17=0,0,G7/B$17)</f>
        <v>0.2</v>
      </c>
      <c r="I7" s="94">
        <v>3</v>
      </c>
      <c r="K7" s="38">
        <v>5</v>
      </c>
      <c r="L7" s="99">
        <v>-121</v>
      </c>
      <c r="N7" s="116" t="s">
        <v>137</v>
      </c>
      <c r="O7" s="123">
        <f t="shared" si="0"/>
        <v>-5400</v>
      </c>
      <c r="P7" s="120">
        <v>9</v>
      </c>
      <c r="Q7" s="104">
        <v>-48600</v>
      </c>
    </row>
    <row r="8" spans="1:17" x14ac:dyDescent="0.4">
      <c r="A8" s="55" t="s">
        <v>3</v>
      </c>
      <c r="B8" s="47">
        <v>1</v>
      </c>
      <c r="C8" s="39">
        <f>IF(B$2=0,0,B8/B$2)</f>
        <v>0.1</v>
      </c>
      <c r="E8" s="63" t="s">
        <v>84</v>
      </c>
      <c r="F8" s="60" t="s">
        <v>39</v>
      </c>
      <c r="G8" s="47">
        <v>3</v>
      </c>
      <c r="H8" s="133">
        <f>IF(B$17=0,0,G8/B$17)</f>
        <v>0.15</v>
      </c>
      <c r="I8" s="94">
        <v>1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6</v>
      </c>
      <c r="C9" s="40">
        <f t="shared" ref="C9" si="1">IF(B$2=0,0,B9/B$2)</f>
        <v>0.6</v>
      </c>
      <c r="E9" s="63" t="s">
        <v>68</v>
      </c>
      <c r="F9" s="60" t="s">
        <v>24</v>
      </c>
      <c r="G9" s="47">
        <v>2</v>
      </c>
      <c r="H9" s="133">
        <f>IF(B$17=0,0,G9/B$17)</f>
        <v>0.1</v>
      </c>
      <c r="I9" s="94">
        <v>13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0.2</v>
      </c>
      <c r="E10" s="63" t="s">
        <v>70</v>
      </c>
      <c r="F10" s="60" t="s">
        <v>25</v>
      </c>
      <c r="G10" s="47">
        <v>2</v>
      </c>
      <c r="H10" s="133">
        <f>IF(B$17=0,0,G10/B$17)</f>
        <v>0.1</v>
      </c>
      <c r="I10" s="94">
        <v>11</v>
      </c>
      <c r="K10" s="38">
        <v>8</v>
      </c>
      <c r="L10" s="99">
        <v>-170.5</v>
      </c>
      <c r="N10" s="114" t="s">
        <v>164</v>
      </c>
      <c r="O10" s="124">
        <f>IF(P10=0,0,Q10/P10)</f>
        <v>-43.233333333333327</v>
      </c>
      <c r="P10" s="118">
        <v>3</v>
      </c>
      <c r="Q10" s="106">
        <v>-129.69999999999999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71</v>
      </c>
      <c r="F11" s="60" t="s">
        <v>26</v>
      </c>
      <c r="G11" s="47">
        <v>2</v>
      </c>
      <c r="H11" s="133">
        <f>IF(B$17=0,0,G11/B$17)</f>
        <v>0.1</v>
      </c>
      <c r="I11" s="94">
        <v>7</v>
      </c>
      <c r="K11" s="38">
        <v>9</v>
      </c>
      <c r="L11" s="99">
        <v>-228.1</v>
      </c>
      <c r="N11" s="115" t="s">
        <v>165</v>
      </c>
      <c r="O11" s="125">
        <f>IF(P11=0,0,Q11/P11)</f>
        <v>-17.350000000000001</v>
      </c>
      <c r="P11" s="119">
        <v>4</v>
      </c>
      <c r="Q11" s="107">
        <v>-69.400000000000006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80</v>
      </c>
      <c r="F12" s="60" t="s">
        <v>35</v>
      </c>
      <c r="G12" s="47">
        <v>2</v>
      </c>
      <c r="H12" s="133">
        <f>IF(B$17=0,0,G12/B$17)</f>
        <v>0.1</v>
      </c>
      <c r="I12" s="94">
        <v>1</v>
      </c>
      <c r="K12" s="38">
        <v>10</v>
      </c>
      <c r="L12" s="99">
        <v>-197.5</v>
      </c>
      <c r="N12" s="116" t="s">
        <v>166</v>
      </c>
      <c r="O12" s="126">
        <f>IF(P12=0,0,Q12/P12)</f>
        <v>0.53333333333333377</v>
      </c>
      <c r="P12" s="120">
        <v>3</v>
      </c>
      <c r="Q12" s="108">
        <v>1.6000000000000014</v>
      </c>
    </row>
    <row r="13" spans="1:17" x14ac:dyDescent="0.4">
      <c r="A13" s="58" t="s">
        <v>122</v>
      </c>
      <c r="B13" s="50">
        <v>18</v>
      </c>
      <c r="C13" s="44">
        <f>IF(B$3=0,0,B13/B$3)</f>
        <v>0.21176470588235294</v>
      </c>
      <c r="E13" s="63" t="s">
        <v>74</v>
      </c>
      <c r="F13" s="60" t="s">
        <v>29</v>
      </c>
      <c r="G13" s="47">
        <v>1</v>
      </c>
      <c r="H13" s="133">
        <f>IF(B$17=0,0,G13/B$17)</f>
        <v>0.05</v>
      </c>
      <c r="I13" s="94">
        <v>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17</v>
      </c>
      <c r="C14" s="39">
        <f>IF(B$3=0,0,B14/B$3)</f>
        <v>0.2</v>
      </c>
      <c r="E14" s="63" t="s">
        <v>76</v>
      </c>
      <c r="F14" s="60" t="s">
        <v>31</v>
      </c>
      <c r="G14" s="47">
        <v>1</v>
      </c>
      <c r="H14" s="133">
        <f>IF(B$17=0,0,G14/B$17)</f>
        <v>0.05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10</v>
      </c>
      <c r="C15" s="37">
        <f>IF(B$13=0,0,B15/B$13)</f>
        <v>0.55555555555555558</v>
      </c>
      <c r="E15" s="63" t="s">
        <v>82</v>
      </c>
      <c r="F15" s="60" t="s">
        <v>37</v>
      </c>
      <c r="G15" s="47">
        <v>1</v>
      </c>
      <c r="H15" s="133">
        <f>IF(B$17=0,0,G15/B$17)</f>
        <v>0.05</v>
      </c>
      <c r="I15" s="94">
        <v>2</v>
      </c>
      <c r="N15" s="114" t="s">
        <v>129</v>
      </c>
      <c r="O15" s="124">
        <f>IF(P15=0,0,Q15/P15)</f>
        <v>72.3</v>
      </c>
      <c r="P15" s="118">
        <v>1</v>
      </c>
      <c r="Q15" s="106">
        <v>72.3</v>
      </c>
    </row>
    <row r="16" spans="1:17" x14ac:dyDescent="0.4">
      <c r="A16" s="54" t="s">
        <v>125</v>
      </c>
      <c r="B16" s="46">
        <v>8</v>
      </c>
      <c r="C16" s="37">
        <f>IF(B$14=0,0,B16/B$14)</f>
        <v>0.47058823529411764</v>
      </c>
      <c r="E16" s="63" t="s">
        <v>66</v>
      </c>
      <c r="F16" s="60" t="s">
        <v>22</v>
      </c>
      <c r="G16" s="47">
        <v>0</v>
      </c>
      <c r="H16" s="133">
        <f>IF(B$17=0,0,G16/B$17)</f>
        <v>0</v>
      </c>
      <c r="I16" s="94">
        <v>10</v>
      </c>
      <c r="N16" s="115" t="s">
        <v>172</v>
      </c>
      <c r="O16" s="125">
        <f>IF(P16=0,0,Q16/P16)</f>
        <v>-17.350000000000001</v>
      </c>
      <c r="P16" s="119">
        <v>2</v>
      </c>
      <c r="Q16" s="107">
        <v>-34.700000000000003</v>
      </c>
    </row>
    <row r="17" spans="1:17" x14ac:dyDescent="0.4">
      <c r="A17" s="54" t="s">
        <v>10</v>
      </c>
      <c r="B17" s="46">
        <f>B19+B18</f>
        <v>20</v>
      </c>
      <c r="C17" s="37">
        <f>IF(B$3=0,0,B17/B$3)</f>
        <v>0.23529411764705882</v>
      </c>
      <c r="E17" s="63" t="s">
        <v>72</v>
      </c>
      <c r="F17" s="60" t="s">
        <v>27</v>
      </c>
      <c r="G17" s="47">
        <v>0</v>
      </c>
      <c r="H17" s="133">
        <f>IF(B$17=0,0,G17/B$17)</f>
        <v>0</v>
      </c>
      <c r="I17" s="94">
        <v>10</v>
      </c>
      <c r="N17" s="115" t="s">
        <v>128</v>
      </c>
      <c r="O17" s="125">
        <f>IF(P17=0,0,Q17/P17)</f>
        <v>-22.25</v>
      </c>
      <c r="P17" s="119">
        <v>6</v>
      </c>
      <c r="Q17" s="107">
        <v>-133.5</v>
      </c>
    </row>
    <row r="18" spans="1:17" x14ac:dyDescent="0.4">
      <c r="A18" s="55" t="s">
        <v>12</v>
      </c>
      <c r="B18" s="47">
        <v>11</v>
      </c>
      <c r="C18" s="39">
        <f>IF(B$17=0,0,B18/B$17)</f>
        <v>0.55000000000000004</v>
      </c>
      <c r="E18" s="63" t="s">
        <v>75</v>
      </c>
      <c r="F18" s="60" t="s">
        <v>30</v>
      </c>
      <c r="G18" s="47">
        <v>0</v>
      </c>
      <c r="H18" s="133">
        <f>IF(B$17=0,0,G18/B$17)</f>
        <v>0</v>
      </c>
      <c r="I18" s="94">
        <v>4</v>
      </c>
      <c r="N18" s="115" t="s">
        <v>171</v>
      </c>
      <c r="O18" s="125">
        <f>IF(P18=0,0,Q18/P18)</f>
        <v>-25.400000000000002</v>
      </c>
      <c r="P18" s="119">
        <v>2</v>
      </c>
      <c r="Q18" s="107">
        <v>-50.800000000000004</v>
      </c>
    </row>
    <row r="19" spans="1:17" x14ac:dyDescent="0.4">
      <c r="A19" s="55" t="s">
        <v>11</v>
      </c>
      <c r="B19" s="47">
        <v>9</v>
      </c>
      <c r="C19" s="39">
        <f>IF(B$17=0,0,B19/B$17)</f>
        <v>0.45</v>
      </c>
      <c r="E19" s="63" t="s">
        <v>77</v>
      </c>
      <c r="F19" s="60" t="s">
        <v>32</v>
      </c>
      <c r="G19" s="47">
        <v>0</v>
      </c>
      <c r="H19" s="133">
        <f>IF(B$17=0,0,G19/B$17)</f>
        <v>0</v>
      </c>
      <c r="I19" s="94">
        <v>1</v>
      </c>
      <c r="N19" s="115" t="s">
        <v>127</v>
      </c>
      <c r="O19" s="125">
        <f>IF(P19=0,0,Q19/P19)</f>
        <v>-42.43333333333333</v>
      </c>
      <c r="P19" s="119">
        <v>6</v>
      </c>
      <c r="Q19" s="107">
        <v>-254.6</v>
      </c>
    </row>
    <row r="20" spans="1:17" x14ac:dyDescent="0.4">
      <c r="A20" s="55" t="s">
        <v>13</v>
      </c>
      <c r="B20" s="47">
        <v>23</v>
      </c>
      <c r="C20" s="39">
        <f>IF(B$3=0,0,B20/B$3)</f>
        <v>0.27058823529411763</v>
      </c>
      <c r="E20" s="63" t="s">
        <v>78</v>
      </c>
      <c r="F20" s="60" t="s">
        <v>33</v>
      </c>
      <c r="G20" s="47">
        <v>0</v>
      </c>
      <c r="H20" s="133">
        <f>IF(B$17=0,0,G20/B$17)</f>
        <v>0</v>
      </c>
      <c r="I20" s="94">
        <v>5</v>
      </c>
      <c r="N20" s="115" t="s">
        <v>177</v>
      </c>
      <c r="O20" s="125">
        <f>IF(P20=0,0,Q20/P20)</f>
        <v>-60.800000000000004</v>
      </c>
      <c r="P20" s="119">
        <v>2</v>
      </c>
      <c r="Q20" s="107">
        <v>-121.60000000000001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79</v>
      </c>
      <c r="F21" s="60" t="s">
        <v>34</v>
      </c>
      <c r="G21" s="47">
        <v>0</v>
      </c>
      <c r="H21" s="133">
        <f>IF(B$17=0,0,G21/B$17)</f>
        <v>0</v>
      </c>
      <c r="I21" s="94">
        <v>11</v>
      </c>
      <c r="N21" s="115" t="s">
        <v>185</v>
      </c>
      <c r="O21" s="125">
        <f>IF(P21=0,0,Q21/P21)</f>
        <v>-69.599999999999994</v>
      </c>
      <c r="P21" s="119">
        <v>1</v>
      </c>
      <c r="Q21" s="107">
        <v>-69.599999999999994</v>
      </c>
    </row>
    <row r="22" spans="1:17" x14ac:dyDescent="0.4">
      <c r="A22" s="55" t="s">
        <v>194</v>
      </c>
      <c r="B22" s="47">
        <v>10</v>
      </c>
      <c r="C22" s="135">
        <v>4</v>
      </c>
      <c r="E22" s="63" t="s">
        <v>81</v>
      </c>
      <c r="F22" s="60" t="s">
        <v>36</v>
      </c>
      <c r="G22" s="47">
        <v>0</v>
      </c>
      <c r="H22" s="133">
        <f>IF(B$17=0,0,G22/B$17)</f>
        <v>0</v>
      </c>
      <c r="I22" s="94">
        <v>1</v>
      </c>
    </row>
    <row r="23" spans="1:17" x14ac:dyDescent="0.4">
      <c r="A23" s="55" t="s">
        <v>5</v>
      </c>
      <c r="B23" s="51">
        <f>IF(B$17=0,0,C23/B$17)</f>
        <v>7365</v>
      </c>
      <c r="C23" s="41">
        <v>147300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-7686.95652173913</v>
      </c>
      <c r="C24" s="45">
        <v>-176800</v>
      </c>
      <c r="E24" s="63" t="s">
        <v>85</v>
      </c>
      <c r="F24" s="60" t="s">
        <v>40</v>
      </c>
      <c r="G24" s="47">
        <v>0</v>
      </c>
      <c r="H24" s="133">
        <f>IF(B$17=0,0,G24/B$17)</f>
        <v>0</v>
      </c>
      <c r="I24" s="94">
        <v>3</v>
      </c>
    </row>
    <row r="25" spans="1:17" x14ac:dyDescent="0.4">
      <c r="A25" s="90" t="s">
        <v>142</v>
      </c>
      <c r="B25" s="140">
        <v>5</v>
      </c>
      <c r="C25" s="141"/>
      <c r="E25" s="63" t="s">
        <v>86</v>
      </c>
      <c r="F25" s="60" t="s">
        <v>41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152</v>
      </c>
      <c r="B26" s="138">
        <v>62700</v>
      </c>
      <c r="C26" s="139"/>
      <c r="E26" s="63" t="s">
        <v>87</v>
      </c>
      <c r="F26" s="60" t="s">
        <v>42</v>
      </c>
      <c r="G26" s="47">
        <v>0</v>
      </c>
      <c r="H26" s="133">
        <f>IF(B$17=0,0,G26/B$17)</f>
        <v>0</v>
      </c>
      <c r="I26" s="94">
        <v>10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6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9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C7110-2F20-4AE6-B4CE-7F5C79303551}">
  <sheetPr codeName="Sheet25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202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5</v>
      </c>
      <c r="C2" s="147"/>
      <c r="E2" s="62" t="s">
        <v>65</v>
      </c>
      <c r="F2" s="59" t="s">
        <v>21</v>
      </c>
      <c r="G2" s="46">
        <v>7</v>
      </c>
      <c r="H2" s="132">
        <f>IF(B$17=0,0,G2/B$17)</f>
        <v>0.58333333333333337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-5040</v>
      </c>
      <c r="P2" s="118">
        <v>5</v>
      </c>
      <c r="Q2" s="102">
        <v>-25200</v>
      </c>
    </row>
    <row r="3" spans="1:17" x14ac:dyDescent="0.4">
      <c r="A3" s="55" t="s">
        <v>8</v>
      </c>
      <c r="B3" s="148">
        <v>50</v>
      </c>
      <c r="C3" s="149"/>
      <c r="E3" s="63" t="s">
        <v>67</v>
      </c>
      <c r="F3" s="60" t="s">
        <v>23</v>
      </c>
      <c r="G3" s="47">
        <v>7</v>
      </c>
      <c r="H3" s="133">
        <f>IF(B$17=0,0,G3/B$17)</f>
        <v>0.58333333333333337</v>
      </c>
      <c r="I3" s="94">
        <v>11</v>
      </c>
      <c r="K3" s="38">
        <v>1</v>
      </c>
      <c r="L3" s="99">
        <v>-12.5</v>
      </c>
      <c r="N3" s="115" t="s">
        <v>133</v>
      </c>
      <c r="O3" s="122">
        <f t="shared" si="0"/>
        <v>5560</v>
      </c>
      <c r="P3" s="119">
        <v>5</v>
      </c>
      <c r="Q3" s="103">
        <v>27800</v>
      </c>
    </row>
    <row r="4" spans="1:17" x14ac:dyDescent="0.4">
      <c r="A4" s="55" t="s">
        <v>6</v>
      </c>
      <c r="B4" s="150">
        <v>-16.100000000000005</v>
      </c>
      <c r="C4" s="151"/>
      <c r="E4" s="63" t="s">
        <v>68</v>
      </c>
      <c r="F4" s="60" t="s">
        <v>24</v>
      </c>
      <c r="G4" s="47">
        <v>7</v>
      </c>
      <c r="H4" s="133">
        <f>IF(B$17=0,0,G4/B$17)</f>
        <v>0.58333333333333337</v>
      </c>
      <c r="I4" s="94">
        <v>2</v>
      </c>
      <c r="K4" s="38">
        <v>2</v>
      </c>
      <c r="L4" s="99">
        <v>-28.1</v>
      </c>
      <c r="N4" s="115" t="s">
        <v>134</v>
      </c>
      <c r="O4" s="122">
        <f t="shared" si="0"/>
        <v>-3320</v>
      </c>
      <c r="P4" s="119">
        <v>5</v>
      </c>
      <c r="Q4" s="103">
        <v>-16600</v>
      </c>
    </row>
    <row r="5" spans="1:17" x14ac:dyDescent="0.4">
      <c r="A5" s="55" t="s">
        <v>7</v>
      </c>
      <c r="B5" s="152">
        <f>IF(B$2=0,0,B$4/B$2)</f>
        <v>-3.2200000000000011</v>
      </c>
      <c r="C5" s="153"/>
      <c r="E5" s="63" t="s">
        <v>73</v>
      </c>
      <c r="F5" s="60" t="s">
        <v>28</v>
      </c>
      <c r="G5" s="47">
        <v>7</v>
      </c>
      <c r="H5" s="133">
        <f>IF(B$17=0,0,G5/B$17)</f>
        <v>0.58333333333333337</v>
      </c>
      <c r="I5" s="94">
        <v>4</v>
      </c>
      <c r="K5" s="38">
        <v>3</v>
      </c>
      <c r="L5" s="99">
        <v>-20.400000000000002</v>
      </c>
      <c r="N5" s="115" t="s">
        <v>135</v>
      </c>
      <c r="O5" s="122">
        <f t="shared" si="0"/>
        <v>-3500</v>
      </c>
      <c r="P5" s="119">
        <v>5</v>
      </c>
      <c r="Q5" s="103">
        <v>-17500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5</v>
      </c>
      <c r="H6" s="133">
        <f>IF(B$17=0,0,G6/B$17)</f>
        <v>0.41666666666666669</v>
      </c>
      <c r="I6" s="94">
        <v>3</v>
      </c>
      <c r="K6" s="38">
        <v>4</v>
      </c>
      <c r="L6" s="99">
        <v>19.399999999999995</v>
      </c>
      <c r="N6" s="115" t="s">
        <v>136</v>
      </c>
      <c r="O6" s="122">
        <f t="shared" si="0"/>
        <v>4325</v>
      </c>
      <c r="P6" s="119">
        <v>4</v>
      </c>
      <c r="Q6" s="103">
        <v>17300</v>
      </c>
    </row>
    <row r="7" spans="1:17" x14ac:dyDescent="0.4">
      <c r="A7" s="55" t="s">
        <v>2</v>
      </c>
      <c r="B7" s="47">
        <v>1</v>
      </c>
      <c r="C7" s="39">
        <f>IF(B$2=0,0,B7/B$2)</f>
        <v>0.2</v>
      </c>
      <c r="E7" s="63" t="s">
        <v>70</v>
      </c>
      <c r="F7" s="60" t="s">
        <v>25</v>
      </c>
      <c r="G7" s="47">
        <v>5</v>
      </c>
      <c r="H7" s="133">
        <f>IF(B$17=0,0,G7/B$17)</f>
        <v>0.41666666666666669</v>
      </c>
      <c r="I7" s="94">
        <v>1</v>
      </c>
      <c r="K7" s="38">
        <v>5</v>
      </c>
      <c r="L7" s="99">
        <v>-16.100000000000005</v>
      </c>
      <c r="N7" s="116" t="s">
        <v>137</v>
      </c>
      <c r="O7" s="123">
        <f t="shared" si="0"/>
        <v>-475</v>
      </c>
      <c r="P7" s="120">
        <v>4</v>
      </c>
      <c r="Q7" s="104">
        <v>-1900</v>
      </c>
    </row>
    <row r="8" spans="1:17" x14ac:dyDescent="0.4">
      <c r="A8" s="55" t="s">
        <v>3</v>
      </c>
      <c r="B8" s="47">
        <v>3</v>
      </c>
      <c r="C8" s="39">
        <f>IF(B$2=0,0,B8/B$2)</f>
        <v>0.6</v>
      </c>
      <c r="E8" s="63" t="s">
        <v>181</v>
      </c>
      <c r="F8" s="60" t="s">
        <v>182</v>
      </c>
      <c r="G8" s="47">
        <v>5</v>
      </c>
      <c r="H8" s="133">
        <f>IF(B$17=0,0,G8/B$17)</f>
        <v>0.41666666666666669</v>
      </c>
      <c r="I8" s="94">
        <v>4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0.2</v>
      </c>
      <c r="E9" s="63" t="s">
        <v>79</v>
      </c>
      <c r="F9" s="60" t="s">
        <v>34</v>
      </c>
      <c r="G9" s="47">
        <v>2</v>
      </c>
      <c r="H9" s="133">
        <f>IF(B$17=0,0,G9/B$17)</f>
        <v>0.16666666666666666</v>
      </c>
      <c r="I9" s="94">
        <v>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90</v>
      </c>
      <c r="F10" s="60" t="s">
        <v>45</v>
      </c>
      <c r="G10" s="47">
        <v>2</v>
      </c>
      <c r="H10" s="133">
        <f>IF(B$17=0,0,G10/B$17)</f>
        <v>0.16666666666666666</v>
      </c>
      <c r="I10" s="94">
        <v>4</v>
      </c>
      <c r="N10" s="114" t="s">
        <v>164</v>
      </c>
      <c r="O10" s="124">
        <f>IF(P10=0,0,Q10/P10)</f>
        <v>-15.6</v>
      </c>
      <c r="P10" s="118">
        <v>1</v>
      </c>
      <c r="Q10" s="106">
        <v>-15.6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66</v>
      </c>
      <c r="F11" s="60" t="s">
        <v>22</v>
      </c>
      <c r="G11" s="47">
        <v>1</v>
      </c>
      <c r="H11" s="133">
        <f>IF(B$17=0,0,G11/B$17)</f>
        <v>8.3333333333333329E-2</v>
      </c>
      <c r="I11" s="94">
        <v>6</v>
      </c>
      <c r="N11" s="115" t="s">
        <v>165</v>
      </c>
      <c r="O11" s="125">
        <f>IF(P11=0,0,Q11/P11)</f>
        <v>7.7</v>
      </c>
      <c r="P11" s="119">
        <v>1</v>
      </c>
      <c r="Q11" s="107">
        <v>7.7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87</v>
      </c>
      <c r="F12" s="60" t="s">
        <v>42</v>
      </c>
      <c r="G12" s="47">
        <v>1</v>
      </c>
      <c r="H12" s="133">
        <f>IF(B$17=0,0,G12/B$17)</f>
        <v>8.3333333333333329E-2</v>
      </c>
      <c r="I12" s="94">
        <v>2</v>
      </c>
      <c r="N12" s="116" t="s">
        <v>166</v>
      </c>
      <c r="O12" s="126">
        <f>IF(P12=0,0,Q12/P12)</f>
        <v>-2.7333333333333343</v>
      </c>
      <c r="P12" s="120">
        <v>3</v>
      </c>
      <c r="Q12" s="108">
        <v>-8.2000000000000028</v>
      </c>
    </row>
    <row r="13" spans="1:17" x14ac:dyDescent="0.4">
      <c r="A13" s="58" t="s">
        <v>122</v>
      </c>
      <c r="B13" s="50">
        <v>12</v>
      </c>
      <c r="C13" s="44">
        <f>IF(B$3=0,0,B13/B$3)</f>
        <v>0.24</v>
      </c>
      <c r="E13" s="63" t="s">
        <v>71</v>
      </c>
      <c r="F13" s="60" t="s">
        <v>26</v>
      </c>
      <c r="G13" s="47">
        <v>0</v>
      </c>
      <c r="H13" s="133">
        <f>IF(B$17=0,0,G13/B$17)</f>
        <v>0</v>
      </c>
      <c r="I13" s="94">
        <v>10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13</v>
      </c>
      <c r="C14" s="39">
        <f>IF(B$3=0,0,B14/B$3)</f>
        <v>0.26</v>
      </c>
      <c r="E14" s="63" t="s">
        <v>72</v>
      </c>
      <c r="F14" s="60" t="s">
        <v>27</v>
      </c>
      <c r="G14" s="47">
        <v>0</v>
      </c>
      <c r="H14" s="133">
        <f>IF(B$17=0,0,G14/B$17)</f>
        <v>0</v>
      </c>
      <c r="I14" s="94">
        <v>10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7</v>
      </c>
      <c r="C15" s="37">
        <f>IF(B$13=0,0,B15/B$13)</f>
        <v>0.58333333333333337</v>
      </c>
      <c r="E15" s="63" t="s">
        <v>74</v>
      </c>
      <c r="F15" s="60" t="s">
        <v>29</v>
      </c>
      <c r="G15" s="47">
        <v>0</v>
      </c>
      <c r="H15" s="133">
        <f>IF(B$17=0,0,G15/B$17)</f>
        <v>0</v>
      </c>
      <c r="I15" s="94">
        <v>6</v>
      </c>
      <c r="N15" s="114" t="s">
        <v>171</v>
      </c>
      <c r="O15" s="124">
        <f>IF(P15=0,0,Q15/P15)</f>
        <v>52</v>
      </c>
      <c r="P15" s="118">
        <v>2</v>
      </c>
      <c r="Q15" s="106">
        <v>104</v>
      </c>
    </row>
    <row r="16" spans="1:17" x14ac:dyDescent="0.4">
      <c r="A16" s="54" t="s">
        <v>125</v>
      </c>
      <c r="B16" s="46">
        <v>4</v>
      </c>
      <c r="C16" s="37">
        <f>IF(B$14=0,0,B16/B$14)</f>
        <v>0.30769230769230771</v>
      </c>
      <c r="E16" s="63" t="s">
        <v>75</v>
      </c>
      <c r="F16" s="60" t="s">
        <v>30</v>
      </c>
      <c r="G16" s="47">
        <v>0</v>
      </c>
      <c r="H16" s="133">
        <f>IF(B$17=0,0,G16/B$17)</f>
        <v>0</v>
      </c>
      <c r="I16" s="94">
        <v>4</v>
      </c>
      <c r="N16" s="115" t="s">
        <v>173</v>
      </c>
      <c r="O16" s="125">
        <f>IF(P16=0,0,Q16/P16)</f>
        <v>43.1</v>
      </c>
      <c r="P16" s="119">
        <v>1</v>
      </c>
      <c r="Q16" s="107">
        <v>43.1</v>
      </c>
    </row>
    <row r="17" spans="1:17" x14ac:dyDescent="0.4">
      <c r="A17" s="54" t="s">
        <v>10</v>
      </c>
      <c r="B17" s="46">
        <f>B19+B18</f>
        <v>12</v>
      </c>
      <c r="C17" s="37">
        <f>IF(B$3=0,0,B17/B$3)</f>
        <v>0.24</v>
      </c>
      <c r="E17" s="63" t="s">
        <v>76</v>
      </c>
      <c r="F17" s="60" t="s">
        <v>31</v>
      </c>
      <c r="G17" s="47">
        <v>0</v>
      </c>
      <c r="H17" s="133">
        <f>IF(B$17=0,0,G17/B$17)</f>
        <v>0</v>
      </c>
      <c r="I17" s="94">
        <v>7</v>
      </c>
      <c r="N17" s="115" t="s">
        <v>172</v>
      </c>
      <c r="O17" s="125">
        <f>IF(P17=0,0,Q17/P17)</f>
        <v>-16.450000000000006</v>
      </c>
      <c r="P17" s="119">
        <v>4</v>
      </c>
      <c r="Q17" s="107">
        <v>-65.800000000000026</v>
      </c>
    </row>
    <row r="18" spans="1:17" x14ac:dyDescent="0.4">
      <c r="A18" s="55" t="s">
        <v>12</v>
      </c>
      <c r="B18" s="47">
        <v>7</v>
      </c>
      <c r="C18" s="39">
        <f>IF(B$17=0,0,B18/B$17)</f>
        <v>0.58333333333333337</v>
      </c>
      <c r="E18" s="63" t="s">
        <v>77</v>
      </c>
      <c r="F18" s="60" t="s">
        <v>32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-23.1</v>
      </c>
      <c r="P18" s="119">
        <v>1</v>
      </c>
      <c r="Q18" s="107">
        <v>-23.1</v>
      </c>
    </row>
    <row r="19" spans="1:17" x14ac:dyDescent="0.4">
      <c r="A19" s="55" t="s">
        <v>11</v>
      </c>
      <c r="B19" s="47">
        <v>5</v>
      </c>
      <c r="C19" s="39">
        <f>IF(B$17=0,0,B19/B$17)</f>
        <v>0.41666666666666669</v>
      </c>
      <c r="E19" s="63" t="s">
        <v>78</v>
      </c>
      <c r="F19" s="60" t="s">
        <v>33</v>
      </c>
      <c r="G19" s="47">
        <v>0</v>
      </c>
      <c r="H19" s="133">
        <f>IF(B$17=0,0,G19/B$17)</f>
        <v>0</v>
      </c>
      <c r="I19" s="94">
        <v>5</v>
      </c>
      <c r="N19" s="115" t="s">
        <v>128</v>
      </c>
      <c r="O19" s="125">
        <f>IF(P19=0,0,Q19/P19)</f>
        <v>-25</v>
      </c>
      <c r="P19" s="119">
        <v>1</v>
      </c>
      <c r="Q19" s="107">
        <v>-25</v>
      </c>
    </row>
    <row r="20" spans="1:17" x14ac:dyDescent="0.4">
      <c r="A20" s="55" t="s">
        <v>13</v>
      </c>
      <c r="B20" s="47">
        <v>10</v>
      </c>
      <c r="C20" s="39">
        <f>IF(B$3=0,0,B20/B$3)</f>
        <v>0.2</v>
      </c>
      <c r="E20" s="63" t="s">
        <v>80</v>
      </c>
      <c r="F20" s="60" t="s">
        <v>35</v>
      </c>
      <c r="G20" s="47">
        <v>0</v>
      </c>
      <c r="H20" s="133">
        <f>IF(B$17=0,0,G20/B$17)</f>
        <v>0</v>
      </c>
      <c r="I20" s="94">
        <v>8</v>
      </c>
      <c r="N20" s="115" t="s">
        <v>177</v>
      </c>
      <c r="O20" s="125">
        <f>IF(P20=0,0,Q20/P20)</f>
        <v>-81.5</v>
      </c>
      <c r="P20" s="119">
        <v>1</v>
      </c>
      <c r="Q20" s="107">
        <v>-81.5</v>
      </c>
    </row>
    <row r="21" spans="1:17" x14ac:dyDescent="0.4">
      <c r="A21" s="55" t="s">
        <v>193</v>
      </c>
      <c r="B21" s="47">
        <v>3</v>
      </c>
      <c r="C21" s="135">
        <v>0</v>
      </c>
      <c r="E21" s="63" t="s">
        <v>81</v>
      </c>
      <c r="F21" s="60" t="s">
        <v>36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194</v>
      </c>
      <c r="B22" s="47">
        <v>8</v>
      </c>
      <c r="C22" s="135">
        <v>3</v>
      </c>
      <c r="E22" s="63" t="s">
        <v>82</v>
      </c>
      <c r="F22" s="60" t="s">
        <v>37</v>
      </c>
      <c r="G22" s="47">
        <v>0</v>
      </c>
      <c r="H22" s="133">
        <f>IF(B$17=0,0,G22/B$17)</f>
        <v>0</v>
      </c>
      <c r="I22" s="94">
        <v>10</v>
      </c>
    </row>
    <row r="23" spans="1:17" x14ac:dyDescent="0.4">
      <c r="A23" s="55" t="s">
        <v>5</v>
      </c>
      <c r="B23" s="51">
        <f>IF(B$17=0,0,C23/B$17)</f>
        <v>8425</v>
      </c>
      <c r="C23" s="41">
        <v>101100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-5420</v>
      </c>
      <c r="C24" s="45">
        <v>-54200</v>
      </c>
      <c r="E24" s="63" t="s">
        <v>84</v>
      </c>
      <c r="F24" s="60" t="s">
        <v>39</v>
      </c>
      <c r="G24" s="47">
        <v>0</v>
      </c>
      <c r="H24" s="133">
        <f>IF(B$17=0,0,G24/B$17)</f>
        <v>0</v>
      </c>
      <c r="I24" s="94">
        <v>10</v>
      </c>
    </row>
    <row r="25" spans="1:17" x14ac:dyDescent="0.4">
      <c r="A25" s="90" t="s">
        <v>142</v>
      </c>
      <c r="B25" s="140">
        <v>4</v>
      </c>
      <c r="C25" s="141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152</v>
      </c>
      <c r="B26" s="138">
        <v>54800</v>
      </c>
      <c r="C26" s="139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6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9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CD270-9F00-463A-89D6-BDCDB8C9E634}">
  <sheetPr codeName="Sheet2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224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</v>
      </c>
      <c r="C2" s="147"/>
      <c r="E2" s="62" t="s">
        <v>67</v>
      </c>
      <c r="F2" s="59" t="s">
        <v>23</v>
      </c>
      <c r="G2" s="46">
        <v>3</v>
      </c>
      <c r="H2" s="132">
        <f>IF(B$17=0,0,G2/B$17)</f>
        <v>1.5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1500</v>
      </c>
      <c r="P2" s="118">
        <v>1</v>
      </c>
      <c r="Q2" s="102">
        <v>1500</v>
      </c>
    </row>
    <row r="3" spans="1:17" x14ac:dyDescent="0.4">
      <c r="A3" s="55" t="s">
        <v>8</v>
      </c>
      <c r="B3" s="148">
        <v>13</v>
      </c>
      <c r="C3" s="149"/>
      <c r="E3" s="63" t="s">
        <v>65</v>
      </c>
      <c r="F3" s="60" t="s">
        <v>21</v>
      </c>
      <c r="G3" s="47">
        <v>1</v>
      </c>
      <c r="H3" s="133">
        <f>IF(B$17=0,0,G3/B$17)</f>
        <v>0.5</v>
      </c>
      <c r="I3" s="94">
        <v>8</v>
      </c>
      <c r="K3" s="38">
        <v>1</v>
      </c>
      <c r="L3" s="99">
        <v>13.3</v>
      </c>
      <c r="N3" s="115" t="s">
        <v>133</v>
      </c>
      <c r="O3" s="122">
        <f t="shared" si="0"/>
        <v>12500</v>
      </c>
      <c r="P3" s="119">
        <v>1</v>
      </c>
      <c r="Q3" s="103">
        <v>12500</v>
      </c>
    </row>
    <row r="4" spans="1:17" x14ac:dyDescent="0.4">
      <c r="A4" s="55" t="s">
        <v>6</v>
      </c>
      <c r="B4" s="150">
        <v>13.3</v>
      </c>
      <c r="C4" s="151"/>
      <c r="E4" s="63" t="s">
        <v>68</v>
      </c>
      <c r="F4" s="60" t="s">
        <v>24</v>
      </c>
      <c r="G4" s="47">
        <v>1</v>
      </c>
      <c r="H4" s="133">
        <f>IF(B$17=0,0,G4/B$17)</f>
        <v>0.5</v>
      </c>
      <c r="I4" s="94">
        <v>3</v>
      </c>
      <c r="N4" s="115" t="s">
        <v>134</v>
      </c>
      <c r="O4" s="122">
        <f t="shared" si="0"/>
        <v>-14000</v>
      </c>
      <c r="P4" s="119">
        <v>1</v>
      </c>
      <c r="Q4" s="103">
        <v>-14000</v>
      </c>
    </row>
    <row r="5" spans="1:17" x14ac:dyDescent="0.4">
      <c r="A5" s="55" t="s">
        <v>7</v>
      </c>
      <c r="B5" s="152">
        <f>IF(B$2=0,0,B$4/B$2)</f>
        <v>13.3</v>
      </c>
      <c r="C5" s="153"/>
      <c r="E5" s="63" t="s">
        <v>69</v>
      </c>
      <c r="F5" s="60" t="s">
        <v>12</v>
      </c>
      <c r="G5" s="47">
        <v>1</v>
      </c>
      <c r="H5" s="133">
        <f>IF(B$17=0,0,G5/B$17)</f>
        <v>0.5</v>
      </c>
      <c r="I5" s="94">
        <v>2</v>
      </c>
      <c r="N5" s="115" t="s">
        <v>135</v>
      </c>
      <c r="O5" s="122">
        <f t="shared" si="0"/>
        <v>-2800</v>
      </c>
      <c r="P5" s="119">
        <v>1</v>
      </c>
      <c r="Q5" s="103">
        <v>-2800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82</v>
      </c>
      <c r="F6" s="60" t="s">
        <v>37</v>
      </c>
      <c r="G6" s="47">
        <v>1</v>
      </c>
      <c r="H6" s="133">
        <f>IF(B$17=0,0,G6/B$17)</f>
        <v>0.5</v>
      </c>
      <c r="I6" s="94">
        <v>1</v>
      </c>
      <c r="N6" s="115" t="s">
        <v>136</v>
      </c>
      <c r="O6" s="122">
        <f t="shared" si="0"/>
        <v>16100</v>
      </c>
      <c r="P6" s="119">
        <v>1</v>
      </c>
      <c r="Q6" s="103">
        <v>16100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181</v>
      </c>
      <c r="F7" s="60" t="s">
        <v>182</v>
      </c>
      <c r="G7" s="47">
        <v>1</v>
      </c>
      <c r="H7" s="133">
        <f>IF(B$17=0,0,G7/B$17)</f>
        <v>0.5</v>
      </c>
      <c r="I7" s="94">
        <v>1</v>
      </c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1</v>
      </c>
      <c r="C8" s="39">
        <f>IF(B$2=0,0,B8/B$2)</f>
        <v>1</v>
      </c>
      <c r="E8" s="63" t="s">
        <v>66</v>
      </c>
      <c r="F8" s="60" t="s">
        <v>22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70</v>
      </c>
      <c r="F9" s="60" t="s">
        <v>25</v>
      </c>
      <c r="G9" s="47">
        <v>0</v>
      </c>
      <c r="H9" s="133">
        <f>IF(B$17=0,0,G9/B$17)</f>
        <v>0</v>
      </c>
      <c r="I9" s="94">
        <v>12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71</v>
      </c>
      <c r="F10" s="60" t="s">
        <v>26</v>
      </c>
      <c r="G10" s="47">
        <v>0</v>
      </c>
      <c r="H10" s="133">
        <f>IF(B$17=0,0,G10/B$17)</f>
        <v>0</v>
      </c>
      <c r="I10" s="94">
        <v>10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72</v>
      </c>
      <c r="F11" s="60" t="s">
        <v>27</v>
      </c>
      <c r="G11" s="47">
        <v>0</v>
      </c>
      <c r="H11" s="133">
        <f>IF(B$17=0,0,G11/B$17)</f>
        <v>0</v>
      </c>
      <c r="I11" s="94">
        <v>10</v>
      </c>
      <c r="N11" s="115" t="s">
        <v>165</v>
      </c>
      <c r="O11" s="125">
        <f>IF(P11=0,0,Q11/P11)</f>
        <v>13.3</v>
      </c>
      <c r="P11" s="119">
        <v>1</v>
      </c>
      <c r="Q11" s="107">
        <v>13.3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73</v>
      </c>
      <c r="F12" s="60" t="s">
        <v>28</v>
      </c>
      <c r="G12" s="47">
        <v>0</v>
      </c>
      <c r="H12" s="133">
        <f>IF(B$17=0,0,G12/B$17)</f>
        <v>0</v>
      </c>
      <c r="I12" s="94">
        <v>13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0.23076923076923078</v>
      </c>
      <c r="E13" s="63" t="s">
        <v>74</v>
      </c>
      <c r="F13" s="60" t="s">
        <v>29</v>
      </c>
      <c r="G13" s="47">
        <v>0</v>
      </c>
      <c r="H13" s="133">
        <f>IF(B$17=0,0,G13/B$17)</f>
        <v>0</v>
      </c>
      <c r="I13" s="94">
        <v>6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7.6923076923076927E-2</v>
      </c>
      <c r="E14" s="63" t="s">
        <v>75</v>
      </c>
      <c r="F14" s="60" t="s">
        <v>30</v>
      </c>
      <c r="G14" s="47">
        <v>0</v>
      </c>
      <c r="H14" s="133">
        <f>IF(B$17=0,0,G14/B$17)</f>
        <v>0</v>
      </c>
      <c r="I14" s="94">
        <v>4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</v>
      </c>
      <c r="C15" s="37">
        <f>IF(B$13=0,0,B15/B$13)</f>
        <v>0.33333333333333331</v>
      </c>
      <c r="E15" s="63" t="s">
        <v>76</v>
      </c>
      <c r="F15" s="60" t="s">
        <v>31</v>
      </c>
      <c r="G15" s="47">
        <v>0</v>
      </c>
      <c r="H15" s="133">
        <f>IF(B$17=0,0,G15/B$17)</f>
        <v>0</v>
      </c>
      <c r="I15" s="94">
        <v>7</v>
      </c>
      <c r="N15" s="114" t="s">
        <v>171</v>
      </c>
      <c r="O15" s="124">
        <f>IF(P15=0,0,Q15/P15)</f>
        <v>69.5</v>
      </c>
      <c r="P15" s="118">
        <v>1</v>
      </c>
      <c r="Q15" s="106">
        <v>69.5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77</v>
      </c>
      <c r="F16" s="60" t="s">
        <v>32</v>
      </c>
      <c r="G16" s="47">
        <v>0</v>
      </c>
      <c r="H16" s="133">
        <f>IF(B$17=0,0,G16/B$17)</f>
        <v>0</v>
      </c>
      <c r="I16" s="94">
        <v>1</v>
      </c>
      <c r="N16" s="115" t="s">
        <v>127</v>
      </c>
      <c r="O16" s="125">
        <f>IF(P16=0,0,Q16/P16)</f>
        <v>-29.599999999999998</v>
      </c>
      <c r="P16" s="119">
        <v>1</v>
      </c>
      <c r="Q16" s="107">
        <v>-29.599999999999998</v>
      </c>
    </row>
    <row r="17" spans="1:9" x14ac:dyDescent="0.4">
      <c r="A17" s="54" t="s">
        <v>10</v>
      </c>
      <c r="B17" s="46">
        <f>B19+B18</f>
        <v>2</v>
      </c>
      <c r="C17" s="37">
        <f>IF(B$3=0,0,B17/B$3)</f>
        <v>0.15384615384615385</v>
      </c>
      <c r="E17" s="63" t="s">
        <v>78</v>
      </c>
      <c r="F17" s="60" t="s">
        <v>33</v>
      </c>
      <c r="G17" s="47">
        <v>0</v>
      </c>
      <c r="H17" s="133">
        <f>IF(B$17=0,0,G17/B$17)</f>
        <v>0</v>
      </c>
      <c r="I17" s="94">
        <v>5</v>
      </c>
    </row>
    <row r="18" spans="1:9" x14ac:dyDescent="0.4">
      <c r="A18" s="55" t="s">
        <v>12</v>
      </c>
      <c r="B18" s="47">
        <v>1</v>
      </c>
      <c r="C18" s="39">
        <f>IF(B$17=0,0,B18/B$17)</f>
        <v>0.5</v>
      </c>
      <c r="E18" s="63" t="s">
        <v>79</v>
      </c>
      <c r="F18" s="60" t="s">
        <v>34</v>
      </c>
      <c r="G18" s="47">
        <v>0</v>
      </c>
      <c r="H18" s="133">
        <f>IF(B$17=0,0,G18/B$17)</f>
        <v>0</v>
      </c>
      <c r="I18" s="94">
        <v>11</v>
      </c>
    </row>
    <row r="19" spans="1:9" x14ac:dyDescent="0.4">
      <c r="A19" s="55" t="s">
        <v>11</v>
      </c>
      <c r="B19" s="47">
        <v>1</v>
      </c>
      <c r="C19" s="39">
        <f>IF(B$17=0,0,B19/B$17)</f>
        <v>0.5</v>
      </c>
      <c r="E19" s="63" t="s">
        <v>80</v>
      </c>
      <c r="F19" s="60" t="s">
        <v>35</v>
      </c>
      <c r="G19" s="47">
        <v>0</v>
      </c>
      <c r="H19" s="133">
        <f>IF(B$17=0,0,G19/B$17)</f>
        <v>0</v>
      </c>
      <c r="I19" s="94">
        <v>8</v>
      </c>
    </row>
    <row r="20" spans="1:9" x14ac:dyDescent="0.4">
      <c r="A20" s="55" t="s">
        <v>13</v>
      </c>
      <c r="B20" s="47">
        <v>1</v>
      </c>
      <c r="C20" s="39">
        <f>IF(B$3=0,0,B20/B$3)</f>
        <v>7.6923076923076927E-2</v>
      </c>
      <c r="E20" s="63" t="s">
        <v>81</v>
      </c>
      <c r="F20" s="60" t="s">
        <v>36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193</v>
      </c>
      <c r="B21" s="47">
        <v>1</v>
      </c>
      <c r="C21" s="135">
        <v>1</v>
      </c>
      <c r="E21" s="63" t="s">
        <v>83</v>
      </c>
      <c r="F21" s="60" t="s">
        <v>38</v>
      </c>
      <c r="G21" s="47">
        <v>0</v>
      </c>
      <c r="H21" s="133">
        <f>IF(B$17=0,0,G21/B$17)</f>
        <v>0</v>
      </c>
      <c r="I21" s="94">
        <v>1</v>
      </c>
    </row>
    <row r="22" spans="1:9" x14ac:dyDescent="0.4">
      <c r="A22" s="55" t="s">
        <v>194</v>
      </c>
      <c r="B22" s="47">
        <v>7</v>
      </c>
      <c r="C22" s="135">
        <v>5</v>
      </c>
      <c r="E22" s="63" t="s">
        <v>84</v>
      </c>
      <c r="F22" s="60" t="s">
        <v>39</v>
      </c>
      <c r="G22" s="47">
        <v>0</v>
      </c>
      <c r="H22" s="133">
        <f>IF(B$17=0,0,G22/B$17)</f>
        <v>0</v>
      </c>
      <c r="I22" s="94">
        <v>10</v>
      </c>
    </row>
    <row r="23" spans="1:9" x14ac:dyDescent="0.4">
      <c r="A23" s="55" t="s">
        <v>5</v>
      </c>
      <c r="B23" s="51">
        <f>IF(B$17=0,0,C23/B$17)</f>
        <v>13800</v>
      </c>
      <c r="C23" s="41">
        <v>27600</v>
      </c>
      <c r="E23" s="63" t="s">
        <v>85</v>
      </c>
      <c r="F23" s="60" t="s">
        <v>40</v>
      </c>
      <c r="G23" s="47">
        <v>0</v>
      </c>
      <c r="H23" s="133">
        <f>IF(B$17=0,0,G23/B$17)</f>
        <v>0</v>
      </c>
      <c r="I23" s="94">
        <v>3</v>
      </c>
    </row>
    <row r="24" spans="1:9" x14ac:dyDescent="0.4">
      <c r="A24" s="57" t="s">
        <v>14</v>
      </c>
      <c r="B24" s="52">
        <f>IF(B$20=0,0,C24/B$20)</f>
        <v>-12000</v>
      </c>
      <c r="C24" s="45">
        <v>-12000</v>
      </c>
      <c r="E24" s="63" t="s">
        <v>86</v>
      </c>
      <c r="F24" s="60" t="s">
        <v>41</v>
      </c>
      <c r="G24" s="47">
        <v>0</v>
      </c>
      <c r="H24" s="133">
        <f>IF(B$17=0,0,G24/B$17)</f>
        <v>0</v>
      </c>
      <c r="I24" s="94">
        <v>3</v>
      </c>
    </row>
    <row r="25" spans="1:9" x14ac:dyDescent="0.4">
      <c r="A25" s="90" t="s">
        <v>142</v>
      </c>
      <c r="B25" s="140">
        <v>5</v>
      </c>
      <c r="C25" s="141"/>
      <c r="E25" s="63" t="s">
        <v>87</v>
      </c>
      <c r="F25" s="60" t="s">
        <v>42</v>
      </c>
      <c r="G25" s="47">
        <v>0</v>
      </c>
      <c r="H25" s="133">
        <f>IF(B$17=0,0,G25/B$17)</f>
        <v>0</v>
      </c>
      <c r="I25" s="94">
        <v>10</v>
      </c>
    </row>
    <row r="26" spans="1:9" x14ac:dyDescent="0.4">
      <c r="A26" s="58" t="s">
        <v>152</v>
      </c>
      <c r="B26" s="138">
        <v>48300</v>
      </c>
      <c r="C26" s="139"/>
      <c r="E26" s="63" t="s">
        <v>88</v>
      </c>
      <c r="F26" s="60" t="s">
        <v>43</v>
      </c>
      <c r="G26" s="47">
        <v>0</v>
      </c>
      <c r="H26" s="133">
        <f>IF(B$17=0,0,G26/B$17)</f>
        <v>0</v>
      </c>
      <c r="I26" s="94">
        <v>6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89</v>
      </c>
      <c r="F27" s="60" t="s">
        <v>44</v>
      </c>
      <c r="G27" s="47">
        <v>0</v>
      </c>
      <c r="H27" s="133">
        <f>IF(B$17=0,0,G27/B$17)</f>
        <v>0</v>
      </c>
      <c r="I27" s="94">
        <v>4</v>
      </c>
    </row>
    <row r="28" spans="1:9" x14ac:dyDescent="0.4">
      <c r="E28" s="63" t="s">
        <v>90</v>
      </c>
      <c r="F28" s="60" t="s">
        <v>45</v>
      </c>
      <c r="G28" s="47">
        <v>0</v>
      </c>
      <c r="H28" s="133">
        <f>IF(B$17=0,0,G28/B$17)</f>
        <v>0</v>
      </c>
      <c r="I28" s="94">
        <v>13</v>
      </c>
    </row>
    <row r="29" spans="1:9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9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9</v>
      </c>
    </row>
    <row r="31" spans="1:9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9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1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4262B-2905-4127-B7C8-855926EEED77}">
  <sheetPr codeName="Sheet2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225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</v>
      </c>
      <c r="C2" s="147"/>
      <c r="E2" s="62" t="s">
        <v>65</v>
      </c>
      <c r="F2" s="59" t="s">
        <v>21</v>
      </c>
      <c r="G2" s="46">
        <v>3</v>
      </c>
      <c r="H2" s="132">
        <f>IF(B$17=0,0,G2/B$17)</f>
        <v>1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2000</v>
      </c>
      <c r="P2" s="118">
        <v>1</v>
      </c>
      <c r="Q2" s="102">
        <v>2000</v>
      </c>
    </row>
    <row r="3" spans="1:17" x14ac:dyDescent="0.4">
      <c r="A3" s="55" t="s">
        <v>8</v>
      </c>
      <c r="B3" s="148">
        <v>8</v>
      </c>
      <c r="C3" s="149"/>
      <c r="E3" s="63" t="s">
        <v>68</v>
      </c>
      <c r="F3" s="60" t="s">
        <v>24</v>
      </c>
      <c r="G3" s="47">
        <v>3</v>
      </c>
      <c r="H3" s="133">
        <f>IF(B$17=0,0,G3/B$17)</f>
        <v>1</v>
      </c>
      <c r="I3" s="94">
        <v>1</v>
      </c>
      <c r="K3" s="38">
        <v>1</v>
      </c>
      <c r="L3" s="99">
        <v>-37</v>
      </c>
      <c r="N3" s="115" t="s">
        <v>133</v>
      </c>
      <c r="O3" s="122">
        <f t="shared" si="0"/>
        <v>-8000</v>
      </c>
      <c r="P3" s="119">
        <v>1</v>
      </c>
      <c r="Q3" s="103">
        <v>-8000</v>
      </c>
    </row>
    <row r="4" spans="1:17" x14ac:dyDescent="0.4">
      <c r="A4" s="55" t="s">
        <v>6</v>
      </c>
      <c r="B4" s="150">
        <v>-37</v>
      </c>
      <c r="C4" s="151"/>
      <c r="E4" s="63" t="s">
        <v>69</v>
      </c>
      <c r="F4" s="60" t="s">
        <v>12</v>
      </c>
      <c r="G4" s="47">
        <v>2</v>
      </c>
      <c r="H4" s="133">
        <f>IF(B$17=0,0,G4/B$17)</f>
        <v>0.66666666666666663</v>
      </c>
      <c r="I4" s="94">
        <v>1</v>
      </c>
      <c r="N4" s="115" t="s">
        <v>134</v>
      </c>
      <c r="O4" s="122">
        <f t="shared" si="0"/>
        <v>-9000</v>
      </c>
      <c r="P4" s="119">
        <v>1</v>
      </c>
      <c r="Q4" s="103">
        <v>-9000</v>
      </c>
    </row>
    <row r="5" spans="1:17" x14ac:dyDescent="0.4">
      <c r="A5" s="55" t="s">
        <v>7</v>
      </c>
      <c r="B5" s="152">
        <f>IF(B$2=0,0,B$4/B$2)</f>
        <v>-37</v>
      </c>
      <c r="C5" s="153"/>
      <c r="E5" s="63" t="s">
        <v>73</v>
      </c>
      <c r="F5" s="60" t="s">
        <v>28</v>
      </c>
      <c r="G5" s="47">
        <v>1</v>
      </c>
      <c r="H5" s="133">
        <f>IF(B$17=0,0,G5/B$17)</f>
        <v>0.33333333333333331</v>
      </c>
      <c r="I5" s="94">
        <v>11</v>
      </c>
      <c r="N5" s="115" t="s">
        <v>135</v>
      </c>
      <c r="O5" s="122">
        <f t="shared" si="0"/>
        <v>-2000</v>
      </c>
      <c r="P5" s="119">
        <v>1</v>
      </c>
      <c r="Q5" s="103">
        <v>-2000</v>
      </c>
    </row>
    <row r="6" spans="1:17" x14ac:dyDescent="0.4">
      <c r="A6" s="55" t="s">
        <v>1</v>
      </c>
      <c r="B6" s="142">
        <f>IF(B$2=0,0,(B$7*1+B$8*2+B$9*3)/B$2)</f>
        <v>3</v>
      </c>
      <c r="C6" s="143"/>
      <c r="E6" s="63" t="s">
        <v>79</v>
      </c>
      <c r="F6" s="60" t="s">
        <v>34</v>
      </c>
      <c r="G6" s="47">
        <v>1</v>
      </c>
      <c r="H6" s="133">
        <f>IF(B$17=0,0,G6/B$17)</f>
        <v>0.33333333333333331</v>
      </c>
      <c r="I6" s="94">
        <v>1</v>
      </c>
      <c r="N6" s="115" t="s">
        <v>136</v>
      </c>
      <c r="O6" s="122">
        <f t="shared" si="0"/>
        <v>-16000</v>
      </c>
      <c r="P6" s="119">
        <v>1</v>
      </c>
      <c r="Q6" s="103">
        <v>-16000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90</v>
      </c>
      <c r="F7" s="60" t="s">
        <v>45</v>
      </c>
      <c r="G7" s="47">
        <v>1</v>
      </c>
      <c r="H7" s="133">
        <f>IF(B$17=0,0,G7/B$17)</f>
        <v>0.33333333333333331</v>
      </c>
      <c r="I7" s="94">
        <v>2</v>
      </c>
      <c r="N7" s="116" t="s">
        <v>137</v>
      </c>
      <c r="O7" s="123">
        <f t="shared" si="0"/>
        <v>16000</v>
      </c>
      <c r="P7" s="120">
        <v>1</v>
      </c>
      <c r="Q7" s="104">
        <v>16000</v>
      </c>
    </row>
    <row r="8" spans="1:17" x14ac:dyDescent="0.4">
      <c r="A8" s="55" t="s">
        <v>3</v>
      </c>
      <c r="B8" s="47">
        <v>0</v>
      </c>
      <c r="C8" s="39">
        <f>IF(B$2=0,0,B8/B$2)</f>
        <v>0</v>
      </c>
      <c r="E8" s="63" t="s">
        <v>181</v>
      </c>
      <c r="F8" s="60" t="s">
        <v>182</v>
      </c>
      <c r="G8" s="47">
        <v>1</v>
      </c>
      <c r="H8" s="133">
        <f>IF(B$17=0,0,G8/B$17)</f>
        <v>0.33333333333333331</v>
      </c>
      <c r="I8" s="94">
        <v>12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1</v>
      </c>
      <c r="E9" s="63" t="s">
        <v>66</v>
      </c>
      <c r="F9" s="60" t="s">
        <v>22</v>
      </c>
      <c r="G9" s="47">
        <v>0</v>
      </c>
      <c r="H9" s="133">
        <f>IF(B$17=0,0,G9/B$17)</f>
        <v>0</v>
      </c>
      <c r="I9" s="94">
        <v>10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67</v>
      </c>
      <c r="F10" s="60" t="s">
        <v>23</v>
      </c>
      <c r="G10" s="47">
        <v>0</v>
      </c>
      <c r="H10" s="133">
        <f>IF(B$17=0,0,G10/B$17)</f>
        <v>0</v>
      </c>
      <c r="I10" s="94">
        <v>13</v>
      </c>
      <c r="N10" s="114" t="s">
        <v>164</v>
      </c>
      <c r="O10" s="124">
        <f>IF(P10=0,0,Q10/P10)</f>
        <v>-37</v>
      </c>
      <c r="P10" s="118">
        <v>1</v>
      </c>
      <c r="Q10" s="106">
        <v>-37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70</v>
      </c>
      <c r="F11" s="60" t="s">
        <v>25</v>
      </c>
      <c r="G11" s="47">
        <v>0</v>
      </c>
      <c r="H11" s="133">
        <f>IF(B$17=0,0,G11/B$17)</f>
        <v>0</v>
      </c>
      <c r="I11" s="94">
        <v>12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71</v>
      </c>
      <c r="F12" s="60" t="s">
        <v>26</v>
      </c>
      <c r="G12" s="47">
        <v>0</v>
      </c>
      <c r="H12" s="133">
        <f>IF(B$17=0,0,G12/B$17)</f>
        <v>0</v>
      </c>
      <c r="I12" s="94">
        <v>10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0.375</v>
      </c>
      <c r="E13" s="63" t="s">
        <v>72</v>
      </c>
      <c r="F13" s="60" t="s">
        <v>27</v>
      </c>
      <c r="G13" s="47">
        <v>0</v>
      </c>
      <c r="H13" s="133">
        <f>IF(B$17=0,0,G13/B$17)</f>
        <v>0</v>
      </c>
      <c r="I13" s="94">
        <v>10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0.125</v>
      </c>
      <c r="E14" s="63" t="s">
        <v>74</v>
      </c>
      <c r="F14" s="60" t="s">
        <v>29</v>
      </c>
      <c r="G14" s="47">
        <v>0</v>
      </c>
      <c r="H14" s="133">
        <f>IF(B$17=0,0,G14/B$17)</f>
        <v>0</v>
      </c>
      <c r="I14" s="94">
        <v>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1</v>
      </c>
      <c r="E15" s="63" t="s">
        <v>75</v>
      </c>
      <c r="F15" s="60" t="s">
        <v>30</v>
      </c>
      <c r="G15" s="47">
        <v>0</v>
      </c>
      <c r="H15" s="133">
        <f>IF(B$17=0,0,G15/B$17)</f>
        <v>0</v>
      </c>
      <c r="I15" s="94">
        <v>4</v>
      </c>
      <c r="N15" s="114" t="s">
        <v>172</v>
      </c>
      <c r="O15" s="124">
        <f>IF(P15=0,0,Q15/P15)</f>
        <v>-30.3</v>
      </c>
      <c r="P15" s="118">
        <v>1</v>
      </c>
      <c r="Q15" s="106">
        <v>-30.3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76</v>
      </c>
      <c r="F16" s="60" t="s">
        <v>31</v>
      </c>
      <c r="G16" s="47">
        <v>0</v>
      </c>
      <c r="H16" s="133">
        <f>IF(B$17=0,0,G16/B$17)</f>
        <v>0</v>
      </c>
      <c r="I16" s="94">
        <v>7</v>
      </c>
      <c r="N16" s="115" t="s">
        <v>129</v>
      </c>
      <c r="O16" s="125">
        <f>IF(P16=0,0,Q16/P16)</f>
        <v>-80.7</v>
      </c>
      <c r="P16" s="119">
        <v>1</v>
      </c>
      <c r="Q16" s="107">
        <v>-80.7</v>
      </c>
    </row>
    <row r="17" spans="1:9" x14ac:dyDescent="0.4">
      <c r="A17" s="54" t="s">
        <v>10</v>
      </c>
      <c r="B17" s="46">
        <f>B19+B18</f>
        <v>3</v>
      </c>
      <c r="C17" s="37">
        <f>IF(B$3=0,0,B17/B$3)</f>
        <v>0.375</v>
      </c>
      <c r="E17" s="63" t="s">
        <v>77</v>
      </c>
      <c r="F17" s="60" t="s">
        <v>32</v>
      </c>
      <c r="G17" s="47">
        <v>0</v>
      </c>
      <c r="H17" s="133">
        <f>IF(B$17=0,0,G17/B$17)</f>
        <v>0</v>
      </c>
      <c r="I17" s="94">
        <v>1</v>
      </c>
    </row>
    <row r="18" spans="1:9" x14ac:dyDescent="0.4">
      <c r="A18" s="55" t="s">
        <v>12</v>
      </c>
      <c r="B18" s="47">
        <v>2</v>
      </c>
      <c r="C18" s="39">
        <f>IF(B$17=0,0,B18/B$17)</f>
        <v>0.66666666666666663</v>
      </c>
      <c r="E18" s="63" t="s">
        <v>78</v>
      </c>
      <c r="F18" s="60" t="s">
        <v>33</v>
      </c>
      <c r="G18" s="47">
        <v>0</v>
      </c>
      <c r="H18" s="133">
        <f>IF(B$17=0,0,G18/B$17)</f>
        <v>0</v>
      </c>
      <c r="I18" s="94">
        <v>5</v>
      </c>
    </row>
    <row r="19" spans="1:9" x14ac:dyDescent="0.4">
      <c r="A19" s="55" t="s">
        <v>11</v>
      </c>
      <c r="B19" s="47">
        <v>1</v>
      </c>
      <c r="C19" s="39">
        <f>IF(B$17=0,0,B19/B$17)</f>
        <v>0.33333333333333331</v>
      </c>
      <c r="E19" s="63" t="s">
        <v>80</v>
      </c>
      <c r="F19" s="60" t="s">
        <v>35</v>
      </c>
      <c r="G19" s="47">
        <v>0</v>
      </c>
      <c r="H19" s="133">
        <f>IF(B$17=0,0,G19/B$17)</f>
        <v>0</v>
      </c>
      <c r="I19" s="94">
        <v>8</v>
      </c>
    </row>
    <row r="20" spans="1:9" x14ac:dyDescent="0.4">
      <c r="A20" s="55" t="s">
        <v>13</v>
      </c>
      <c r="B20" s="47">
        <v>3</v>
      </c>
      <c r="C20" s="39">
        <f>IF(B$3=0,0,B20/B$3)</f>
        <v>0.375</v>
      </c>
      <c r="E20" s="63" t="s">
        <v>81</v>
      </c>
      <c r="F20" s="60" t="s">
        <v>36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193</v>
      </c>
      <c r="B21" s="47">
        <v>1</v>
      </c>
      <c r="C21" s="135">
        <v>1</v>
      </c>
      <c r="E21" s="63" t="s">
        <v>82</v>
      </c>
      <c r="F21" s="60" t="s">
        <v>37</v>
      </c>
      <c r="G21" s="47">
        <v>0</v>
      </c>
      <c r="H21" s="133">
        <f>IF(B$17=0,0,G21/B$17)</f>
        <v>0</v>
      </c>
      <c r="I21" s="94">
        <v>10</v>
      </c>
    </row>
    <row r="22" spans="1:9" x14ac:dyDescent="0.4">
      <c r="A22" s="55" t="s">
        <v>194</v>
      </c>
      <c r="B22" s="47">
        <v>2</v>
      </c>
      <c r="C22" s="135">
        <v>1</v>
      </c>
      <c r="E22" s="63" t="s">
        <v>83</v>
      </c>
      <c r="F22" s="60" t="s">
        <v>38</v>
      </c>
      <c r="G22" s="47">
        <v>0</v>
      </c>
      <c r="H22" s="133">
        <f>IF(B$17=0,0,G22/B$17)</f>
        <v>0</v>
      </c>
      <c r="I22" s="94">
        <v>1</v>
      </c>
    </row>
    <row r="23" spans="1:9" x14ac:dyDescent="0.4">
      <c r="A23" s="55" t="s">
        <v>5</v>
      </c>
      <c r="B23" s="51">
        <f>IF(B$17=0,0,C23/B$17)</f>
        <v>8666.6666666666661</v>
      </c>
      <c r="C23" s="41">
        <v>26000</v>
      </c>
      <c r="E23" s="63" t="s">
        <v>84</v>
      </c>
      <c r="F23" s="60" t="s">
        <v>39</v>
      </c>
      <c r="G23" s="47">
        <v>0</v>
      </c>
      <c r="H23" s="133">
        <f>IF(B$17=0,0,G23/B$17)</f>
        <v>0</v>
      </c>
      <c r="I23" s="94">
        <v>10</v>
      </c>
    </row>
    <row r="24" spans="1:9" x14ac:dyDescent="0.4">
      <c r="A24" s="57" t="s">
        <v>14</v>
      </c>
      <c r="B24" s="52">
        <f>IF(B$20=0,0,C24/B$20)</f>
        <v>-14000</v>
      </c>
      <c r="C24" s="45">
        <v>-42000</v>
      </c>
      <c r="E24" s="63" t="s">
        <v>85</v>
      </c>
      <c r="F24" s="60" t="s">
        <v>40</v>
      </c>
      <c r="G24" s="47">
        <v>0</v>
      </c>
      <c r="H24" s="133">
        <f>IF(B$17=0,0,G24/B$17)</f>
        <v>0</v>
      </c>
      <c r="I24" s="94">
        <v>3</v>
      </c>
    </row>
    <row r="25" spans="1:9" x14ac:dyDescent="0.4">
      <c r="A25" s="90" t="s">
        <v>142</v>
      </c>
      <c r="B25" s="140">
        <v>3</v>
      </c>
      <c r="C25" s="141"/>
      <c r="E25" s="63" t="s">
        <v>86</v>
      </c>
      <c r="F25" s="60" t="s">
        <v>41</v>
      </c>
      <c r="G25" s="47">
        <v>0</v>
      </c>
      <c r="H25" s="133">
        <f>IF(B$17=0,0,G25/B$17)</f>
        <v>0</v>
      </c>
      <c r="I25" s="94">
        <v>3</v>
      </c>
    </row>
    <row r="26" spans="1:9" x14ac:dyDescent="0.4">
      <c r="A26" s="58" t="s">
        <v>152</v>
      </c>
      <c r="B26" s="138">
        <v>18000</v>
      </c>
      <c r="C26" s="139"/>
      <c r="E26" s="63" t="s">
        <v>87</v>
      </c>
      <c r="F26" s="60" t="s">
        <v>42</v>
      </c>
      <c r="G26" s="47">
        <v>0</v>
      </c>
      <c r="H26" s="133">
        <f>IF(B$17=0,0,G26/B$17)</f>
        <v>0</v>
      </c>
      <c r="I26" s="94">
        <v>10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6</v>
      </c>
    </row>
    <row r="28" spans="1:9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9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9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9</v>
      </c>
    </row>
    <row r="31" spans="1:9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9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1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4CBF3-619C-4E37-AB78-7DEB9354A1B2}">
  <sheetPr codeName="Sheet30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225</v>
      </c>
      <c r="B1" s="70" t="s">
        <v>225</v>
      </c>
      <c r="C1" s="70" t="s">
        <v>225</v>
      </c>
      <c r="D1" s="71" t="s">
        <v>225</v>
      </c>
      <c r="E1" s="70" t="s">
        <v>225</v>
      </c>
      <c r="F1" s="70" t="s">
        <v>225</v>
      </c>
      <c r="G1" s="70" t="s">
        <v>225</v>
      </c>
      <c r="H1" s="70" t="s">
        <v>225</v>
      </c>
      <c r="I1" s="70" t="s">
        <v>225</v>
      </c>
      <c r="J1" s="70" t="s">
        <v>225</v>
      </c>
      <c r="K1" s="70" t="s">
        <v>225</v>
      </c>
      <c r="L1" s="70" t="s">
        <v>225</v>
      </c>
      <c r="M1" s="70" t="s">
        <v>225</v>
      </c>
      <c r="N1" s="70" t="s">
        <v>225</v>
      </c>
      <c r="O1" s="70" t="s">
        <v>225</v>
      </c>
      <c r="P1" s="70" t="s">
        <v>225</v>
      </c>
      <c r="Q1" s="70" t="s">
        <v>225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</v>
      </c>
      <c r="C4" s="66">
        <v>-37</v>
      </c>
      <c r="D4" s="71">
        <v>3</v>
      </c>
      <c r="E4" s="67">
        <v>0</v>
      </c>
      <c r="F4" s="67">
        <v>1</v>
      </c>
      <c r="G4" s="67">
        <v>0.375</v>
      </c>
      <c r="H4" s="67">
        <v>0.375</v>
      </c>
      <c r="I4" s="68">
        <v>8666.6666666666661</v>
      </c>
      <c r="J4" s="68">
        <v>-14000</v>
      </c>
      <c r="K4" s="67">
        <v>0</v>
      </c>
      <c r="L4" s="67">
        <v>0</v>
      </c>
      <c r="M4" s="67">
        <v>0.375</v>
      </c>
      <c r="N4" s="67">
        <v>0.125</v>
      </c>
      <c r="O4" s="67">
        <v>1</v>
      </c>
      <c r="P4" s="67">
        <v>0</v>
      </c>
      <c r="Q4" s="67">
        <v>0.66666666666666663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4A74D-D056-48FF-94D8-C6F1F9374241}">
  <sheetPr codeName="Sheet28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224</v>
      </c>
      <c r="B1" s="70" t="s">
        <v>224</v>
      </c>
      <c r="C1" s="70" t="s">
        <v>224</v>
      </c>
      <c r="D1" s="71" t="s">
        <v>224</v>
      </c>
      <c r="E1" s="70" t="s">
        <v>224</v>
      </c>
      <c r="F1" s="70" t="s">
        <v>224</v>
      </c>
      <c r="G1" s="70" t="s">
        <v>224</v>
      </c>
      <c r="H1" s="70" t="s">
        <v>224</v>
      </c>
      <c r="I1" s="70" t="s">
        <v>224</v>
      </c>
      <c r="J1" s="70" t="s">
        <v>224</v>
      </c>
      <c r="K1" s="70" t="s">
        <v>224</v>
      </c>
      <c r="L1" s="70" t="s">
        <v>224</v>
      </c>
      <c r="M1" s="70" t="s">
        <v>224</v>
      </c>
      <c r="N1" s="70" t="s">
        <v>224</v>
      </c>
      <c r="O1" s="70" t="s">
        <v>224</v>
      </c>
      <c r="P1" s="70" t="s">
        <v>224</v>
      </c>
      <c r="Q1" s="70" t="s">
        <v>224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13.3</v>
      </c>
      <c r="C4" s="66">
        <v>13.3</v>
      </c>
      <c r="D4" s="71">
        <v>2</v>
      </c>
      <c r="E4" s="67">
        <v>0</v>
      </c>
      <c r="F4" s="67">
        <v>0</v>
      </c>
      <c r="G4" s="67">
        <v>0.15384615384615385</v>
      </c>
      <c r="H4" s="67">
        <v>7.6923076923076927E-2</v>
      </c>
      <c r="I4" s="68">
        <v>13800</v>
      </c>
      <c r="J4" s="68">
        <v>-12000</v>
      </c>
      <c r="K4" s="67">
        <v>0</v>
      </c>
      <c r="L4" s="67">
        <v>0</v>
      </c>
      <c r="M4" s="67">
        <v>0.23076923076923078</v>
      </c>
      <c r="N4" s="67">
        <v>7.6923076923076927E-2</v>
      </c>
      <c r="O4" s="67">
        <v>0.33333333333333331</v>
      </c>
      <c r="P4" s="67">
        <v>0</v>
      </c>
      <c r="Q4" s="67">
        <v>0.5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20C921-6190-4B52-9162-FB5A0CA66215}">
  <sheetPr codeName="Sheet26"/>
  <dimension ref="A1:Q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202</v>
      </c>
      <c r="B1" s="70" t="s">
        <v>202</v>
      </c>
      <c r="C1" s="70" t="s">
        <v>202</v>
      </c>
      <c r="D1" s="71" t="s">
        <v>202</v>
      </c>
      <c r="E1" s="70" t="s">
        <v>202</v>
      </c>
      <c r="F1" s="70" t="s">
        <v>202</v>
      </c>
      <c r="G1" s="70" t="s">
        <v>202</v>
      </c>
      <c r="H1" s="70" t="s">
        <v>202</v>
      </c>
      <c r="I1" s="70" t="s">
        <v>202</v>
      </c>
      <c r="J1" s="70" t="s">
        <v>202</v>
      </c>
      <c r="K1" s="70" t="s">
        <v>202</v>
      </c>
      <c r="L1" s="70" t="s">
        <v>202</v>
      </c>
      <c r="M1" s="70" t="s">
        <v>202</v>
      </c>
      <c r="N1" s="70" t="s">
        <v>202</v>
      </c>
      <c r="O1" s="70" t="s">
        <v>202</v>
      </c>
      <c r="P1" s="70" t="s">
        <v>202</v>
      </c>
      <c r="Q1" s="70" t="s">
        <v>202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  <row r="8" spans="1:17" x14ac:dyDescent="0.4">
      <c r="A8" s="69">
        <v>5</v>
      </c>
      <c r="B8" s="66">
        <v>-16.100000000000005</v>
      </c>
      <c r="C8" s="66">
        <v>-3.2200000000000011</v>
      </c>
      <c r="D8" s="71">
        <v>2</v>
      </c>
      <c r="E8" s="67">
        <v>0.2</v>
      </c>
      <c r="F8" s="67">
        <v>0.2</v>
      </c>
      <c r="G8" s="67">
        <v>0.24</v>
      </c>
      <c r="H8" s="67">
        <v>0.2</v>
      </c>
      <c r="I8" s="68">
        <v>8425</v>
      </c>
      <c r="J8" s="68">
        <v>-5420</v>
      </c>
      <c r="K8" s="67">
        <v>0</v>
      </c>
      <c r="L8" s="67">
        <v>0</v>
      </c>
      <c r="M8" s="67">
        <v>0.24</v>
      </c>
      <c r="N8" s="67">
        <v>0.26</v>
      </c>
      <c r="O8" s="67">
        <v>0.58333333333333337</v>
      </c>
      <c r="P8" s="67">
        <v>0.30769230769230771</v>
      </c>
      <c r="Q8" s="67">
        <v>0.58333333333333337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18E590-A1FD-46D9-A77C-794F023B81C0}">
  <sheetPr codeName="Sheet24"/>
  <dimension ref="A1:Q1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186</v>
      </c>
      <c r="B1" s="70" t="s">
        <v>186</v>
      </c>
      <c r="C1" s="70" t="s">
        <v>186</v>
      </c>
      <c r="D1" s="71" t="s">
        <v>186</v>
      </c>
      <c r="E1" s="70" t="s">
        <v>186</v>
      </c>
      <c r="F1" s="70" t="s">
        <v>186</v>
      </c>
      <c r="G1" s="70" t="s">
        <v>186</v>
      </c>
      <c r="H1" s="70" t="s">
        <v>186</v>
      </c>
      <c r="I1" s="70" t="s">
        <v>186</v>
      </c>
      <c r="J1" s="70" t="s">
        <v>186</v>
      </c>
      <c r="K1" s="70" t="s">
        <v>186</v>
      </c>
      <c r="L1" s="70" t="s">
        <v>186</v>
      </c>
      <c r="M1" s="70" t="s">
        <v>186</v>
      </c>
      <c r="N1" s="70" t="s">
        <v>186</v>
      </c>
      <c r="O1" s="70" t="s">
        <v>186</v>
      </c>
      <c r="P1" s="70" t="s">
        <v>186</v>
      </c>
      <c r="Q1" s="70" t="s">
        <v>186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  <row r="11" spans="1:17" x14ac:dyDescent="0.4">
      <c r="A11" s="69">
        <v>8</v>
      </c>
      <c r="B11" s="66">
        <v>-170.5</v>
      </c>
      <c r="C11" s="66">
        <v>-21.3125</v>
      </c>
      <c r="D11" s="71">
        <v>2.375</v>
      </c>
      <c r="E11" s="67">
        <v>0.25</v>
      </c>
      <c r="F11" s="67">
        <v>0.625</v>
      </c>
      <c r="G11" s="67">
        <v>0.25</v>
      </c>
      <c r="H11" s="67">
        <v>0.25</v>
      </c>
      <c r="I11" s="68">
        <v>7364.7058823529414</v>
      </c>
      <c r="J11" s="68">
        <v>-8323.5294117647063</v>
      </c>
      <c r="K11" s="67">
        <v>0.125</v>
      </c>
      <c r="L11" s="67">
        <v>0</v>
      </c>
      <c r="M11" s="67">
        <v>0.17647058823529413</v>
      </c>
      <c r="N11" s="67">
        <v>0.22058823529411764</v>
      </c>
      <c r="O11" s="67">
        <v>0.66666666666666663</v>
      </c>
      <c r="P11" s="67">
        <v>0.46666666666666667</v>
      </c>
      <c r="Q11" s="67">
        <v>0.52941176470588236</v>
      </c>
    </row>
    <row r="12" spans="1:17" x14ac:dyDescent="0.4">
      <c r="A12" s="69">
        <v>9</v>
      </c>
      <c r="B12" s="66">
        <v>-228.1</v>
      </c>
      <c r="C12" s="66">
        <v>-25.344444444444445</v>
      </c>
      <c r="D12" s="71">
        <v>2.4444444444444446</v>
      </c>
      <c r="E12" s="67">
        <v>0.22222222222222221</v>
      </c>
      <c r="F12" s="67">
        <v>0.66666666666666663</v>
      </c>
      <c r="G12" s="67">
        <v>0.23076923076923078</v>
      </c>
      <c r="H12" s="67">
        <v>0.26923076923076922</v>
      </c>
      <c r="I12" s="68">
        <v>7072.2222222222226</v>
      </c>
      <c r="J12" s="68">
        <v>-8233.3333333333339</v>
      </c>
      <c r="K12" s="67">
        <v>0.22222222222222221</v>
      </c>
      <c r="L12" s="67">
        <v>0</v>
      </c>
      <c r="M12" s="67">
        <v>0.20512820512820512</v>
      </c>
      <c r="N12" s="67">
        <v>0.20512820512820512</v>
      </c>
      <c r="O12" s="67">
        <v>0.5625</v>
      </c>
      <c r="P12" s="67">
        <v>0.4375</v>
      </c>
      <c r="Q12" s="67">
        <v>0.55555555555555558</v>
      </c>
    </row>
    <row r="13" spans="1:17" x14ac:dyDescent="0.4">
      <c r="A13" s="69">
        <v>10</v>
      </c>
      <c r="B13" s="66">
        <v>-197.5</v>
      </c>
      <c r="C13" s="66">
        <v>-19.75</v>
      </c>
      <c r="D13" s="71">
        <v>2.2999999999999998</v>
      </c>
      <c r="E13" s="67">
        <v>0.3</v>
      </c>
      <c r="F13" s="67">
        <v>0.6</v>
      </c>
      <c r="G13" s="67">
        <v>0.23529411764705882</v>
      </c>
      <c r="H13" s="67">
        <v>0.27058823529411763</v>
      </c>
      <c r="I13" s="68">
        <v>7365</v>
      </c>
      <c r="J13" s="68">
        <v>-7686.95652173913</v>
      </c>
      <c r="K13" s="67">
        <v>0.2</v>
      </c>
      <c r="L13" s="67">
        <v>0</v>
      </c>
      <c r="M13" s="67">
        <v>0.21176470588235294</v>
      </c>
      <c r="N13" s="67">
        <v>0.2</v>
      </c>
      <c r="O13" s="67">
        <v>0.55555555555555558</v>
      </c>
      <c r="P13" s="67">
        <v>0.47058823529411764</v>
      </c>
      <c r="Q13" s="67">
        <v>0.55000000000000004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BE382-B604-4C56-A954-43888DD1D79C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185</v>
      </c>
      <c r="B1" s="70" t="s">
        <v>185</v>
      </c>
      <c r="C1" s="70" t="s">
        <v>185</v>
      </c>
      <c r="D1" s="71" t="s">
        <v>185</v>
      </c>
      <c r="E1" s="70" t="s">
        <v>185</v>
      </c>
      <c r="F1" s="70" t="s">
        <v>185</v>
      </c>
      <c r="G1" s="70" t="s">
        <v>185</v>
      </c>
      <c r="H1" s="70" t="s">
        <v>185</v>
      </c>
      <c r="I1" s="70" t="s">
        <v>185</v>
      </c>
      <c r="J1" s="70" t="s">
        <v>185</v>
      </c>
      <c r="K1" s="70" t="s">
        <v>185</v>
      </c>
      <c r="L1" s="70" t="s">
        <v>185</v>
      </c>
      <c r="M1" s="70" t="s">
        <v>185</v>
      </c>
      <c r="N1" s="70" t="s">
        <v>185</v>
      </c>
      <c r="O1" s="70" t="s">
        <v>185</v>
      </c>
      <c r="P1" s="70" t="s">
        <v>185</v>
      </c>
      <c r="Q1" s="70" t="s">
        <v>185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93BC5-70E9-450A-BC27-32CE82001F55}">
  <sheetPr codeName="Sheet20"/>
  <dimension ref="A1:Q2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  <row r="21" spans="1:17" x14ac:dyDescent="0.4">
      <c r="A21" s="69">
        <v>18</v>
      </c>
      <c r="B21" s="66">
        <v>-159</v>
      </c>
      <c r="C21" s="66">
        <v>-8.8333333333333339</v>
      </c>
      <c r="D21" s="71">
        <v>2.1111111111111112</v>
      </c>
      <c r="E21" s="67">
        <v>0.27777777777777779</v>
      </c>
      <c r="F21" s="67">
        <v>0.3888888888888889</v>
      </c>
      <c r="G21" s="67">
        <v>0.24285714285714285</v>
      </c>
      <c r="H21" s="67">
        <v>0.2</v>
      </c>
      <c r="I21" s="68">
        <v>7535.2941176470586</v>
      </c>
      <c r="J21" s="68">
        <v>-6917.8571428571431</v>
      </c>
      <c r="K21" s="67">
        <v>0.16666666666666666</v>
      </c>
      <c r="L21" s="67">
        <v>0</v>
      </c>
      <c r="M21" s="67">
        <v>0.17857142857142858</v>
      </c>
      <c r="N21" s="67">
        <v>0.27142857142857141</v>
      </c>
      <c r="O21" s="67">
        <v>0.52</v>
      </c>
      <c r="P21" s="67">
        <v>0.36842105263157893</v>
      </c>
      <c r="Q21" s="67">
        <v>0.41176470588235292</v>
      </c>
    </row>
    <row r="22" spans="1:17" x14ac:dyDescent="0.4">
      <c r="A22" s="69">
        <v>19</v>
      </c>
      <c r="B22" s="66">
        <v>-235.6</v>
      </c>
      <c r="C22" s="66">
        <v>-12.4</v>
      </c>
      <c r="D22" s="71">
        <v>2.1578947368421053</v>
      </c>
      <c r="E22" s="67">
        <v>0.26315789473684209</v>
      </c>
      <c r="F22" s="67">
        <v>0.42105263157894735</v>
      </c>
      <c r="G22" s="67">
        <v>0.2348993288590604</v>
      </c>
      <c r="H22" s="67">
        <v>0.19463087248322147</v>
      </c>
      <c r="I22" s="68">
        <v>7431.4285714285716</v>
      </c>
      <c r="J22" s="68">
        <v>-7093.1034482758623</v>
      </c>
      <c r="K22" s="67">
        <v>0.21052631578947367</v>
      </c>
      <c r="L22" s="67">
        <v>0</v>
      </c>
      <c r="M22" s="67">
        <v>0.18120805369127516</v>
      </c>
      <c r="N22" s="67">
        <v>0.25503355704697989</v>
      </c>
      <c r="O22" s="67">
        <v>0.51851851851851849</v>
      </c>
      <c r="P22" s="67">
        <v>0.36842105263157893</v>
      </c>
      <c r="Q22" s="67">
        <v>0.4</v>
      </c>
    </row>
    <row r="23" spans="1:17" x14ac:dyDescent="0.4">
      <c r="A23" s="69">
        <v>20</v>
      </c>
      <c r="B23" s="66">
        <v>-200.8</v>
      </c>
      <c r="C23" s="66">
        <v>-10.040000000000001</v>
      </c>
      <c r="D23" s="71">
        <v>2.1</v>
      </c>
      <c r="E23" s="67">
        <v>0.3</v>
      </c>
      <c r="F23" s="67">
        <v>0.4</v>
      </c>
      <c r="G23" s="67">
        <v>0.24683544303797469</v>
      </c>
      <c r="H23" s="67">
        <v>0.18354430379746836</v>
      </c>
      <c r="I23" s="68">
        <v>7369.2307692307695</v>
      </c>
      <c r="J23" s="68">
        <v>-7093.1034482758623</v>
      </c>
      <c r="K23" s="67">
        <v>0.2</v>
      </c>
      <c r="L23" s="67">
        <v>0</v>
      </c>
      <c r="M23" s="67">
        <v>0.17721518987341772</v>
      </c>
      <c r="N23" s="67">
        <v>0.25949367088607594</v>
      </c>
      <c r="O23" s="67">
        <v>0.5357142857142857</v>
      </c>
      <c r="P23" s="67">
        <v>0.41463414634146339</v>
      </c>
      <c r="Q23" s="67">
        <v>0.38461538461538464</v>
      </c>
    </row>
    <row r="24" spans="1:17" x14ac:dyDescent="0.4">
      <c r="A24" s="69">
        <v>21</v>
      </c>
      <c r="B24" s="66">
        <v>-188.60000000000002</v>
      </c>
      <c r="C24" s="66">
        <v>-8.9809523809523828</v>
      </c>
      <c r="D24" s="71">
        <v>2.0952380952380953</v>
      </c>
      <c r="E24" s="67">
        <v>0.2857142857142857</v>
      </c>
      <c r="F24" s="67">
        <v>0.38095238095238093</v>
      </c>
      <c r="G24" s="67">
        <v>0.24848484848484848</v>
      </c>
      <c r="H24" s="67">
        <v>0.17575757575757575</v>
      </c>
      <c r="I24" s="68">
        <v>7512.1951219512193</v>
      </c>
      <c r="J24" s="68">
        <v>-7093.1034482758623</v>
      </c>
      <c r="K24" s="67">
        <v>0.19047619047619047</v>
      </c>
      <c r="L24" s="67">
        <v>0</v>
      </c>
      <c r="M24" s="67">
        <v>0.18181818181818182</v>
      </c>
      <c r="N24" s="67">
        <v>0.24848484848484848</v>
      </c>
      <c r="O24" s="67">
        <v>0.56666666666666665</v>
      </c>
      <c r="P24" s="67">
        <v>0.41463414634146339</v>
      </c>
      <c r="Q24" s="67">
        <v>0.3902439024390244</v>
      </c>
    </row>
    <row r="25" spans="1:17" x14ac:dyDescent="0.4">
      <c r="A25" s="69">
        <v>22</v>
      </c>
      <c r="B25" s="66">
        <v>-142.60000000000002</v>
      </c>
      <c r="C25" s="66">
        <v>-6.4818181818181833</v>
      </c>
      <c r="D25" s="71">
        <v>2.0454545454545454</v>
      </c>
      <c r="E25" s="67">
        <v>0.31818181818181818</v>
      </c>
      <c r="F25" s="67">
        <v>0.36363636363636365</v>
      </c>
      <c r="G25" s="67">
        <v>0.26256983240223464</v>
      </c>
      <c r="H25" s="67">
        <v>0.16759776536312848</v>
      </c>
      <c r="I25" s="68">
        <v>7276.5957446808507</v>
      </c>
      <c r="J25" s="68">
        <v>-7113.333333333333</v>
      </c>
      <c r="K25" s="67">
        <v>0.18181818181818182</v>
      </c>
      <c r="L25" s="67">
        <v>0</v>
      </c>
      <c r="M25" s="67">
        <v>0.18994413407821228</v>
      </c>
      <c r="N25" s="67">
        <v>0.23463687150837989</v>
      </c>
      <c r="O25" s="67">
        <v>0.61764705882352944</v>
      </c>
      <c r="P25" s="67">
        <v>0.40476190476190477</v>
      </c>
      <c r="Q25" s="67">
        <v>0.38297872340425532</v>
      </c>
    </row>
    <row r="26" spans="1:17" x14ac:dyDescent="0.4">
      <c r="A26" s="69">
        <v>23</v>
      </c>
      <c r="B26" s="66">
        <v>-145.80000000000001</v>
      </c>
      <c r="C26" s="66">
        <v>-6.339130434782609</v>
      </c>
      <c r="D26" s="71">
        <v>2.0434782608695654</v>
      </c>
      <c r="E26" s="67">
        <v>0.30434782608695654</v>
      </c>
      <c r="F26" s="67">
        <v>0.34782608695652173</v>
      </c>
      <c r="G26" s="67">
        <v>0.26595744680851063</v>
      </c>
      <c r="H26" s="67">
        <v>0.16489361702127658</v>
      </c>
      <c r="I26" s="68">
        <v>7186</v>
      </c>
      <c r="J26" s="68">
        <v>-7464.5161290322585</v>
      </c>
      <c r="K26" s="67">
        <v>0.17391304347826086</v>
      </c>
      <c r="L26" s="67">
        <v>0</v>
      </c>
      <c r="M26" s="67">
        <v>0.19680851063829788</v>
      </c>
      <c r="N26" s="67">
        <v>0.22872340425531915</v>
      </c>
      <c r="O26" s="67">
        <v>0.64864864864864868</v>
      </c>
      <c r="P26" s="67">
        <v>0.39534883720930231</v>
      </c>
      <c r="Q26" s="67">
        <v>0.38</v>
      </c>
    </row>
    <row r="27" spans="1:17" x14ac:dyDescent="0.4">
      <c r="A27" s="69">
        <v>24</v>
      </c>
      <c r="B27" s="66">
        <v>-204</v>
      </c>
      <c r="C27" s="66">
        <v>-8.5</v>
      </c>
      <c r="D27" s="71">
        <v>2.0833333333333335</v>
      </c>
      <c r="E27" s="67">
        <v>0.29166666666666669</v>
      </c>
      <c r="F27" s="67">
        <v>0.375</v>
      </c>
      <c r="G27" s="67">
        <v>0.26262626262626265</v>
      </c>
      <c r="H27" s="67">
        <v>0.18686868686868688</v>
      </c>
      <c r="I27" s="68">
        <v>7163.4615384615381</v>
      </c>
      <c r="J27" s="68">
        <v>-7291.8918918918916</v>
      </c>
      <c r="K27" s="67">
        <v>0.20833333333333334</v>
      </c>
      <c r="L27" s="67">
        <v>0</v>
      </c>
      <c r="M27" s="67">
        <v>0.20202020202020202</v>
      </c>
      <c r="N27" s="67">
        <v>0.22727272727272727</v>
      </c>
      <c r="O27" s="67">
        <v>0.625</v>
      </c>
      <c r="P27" s="67">
        <v>0.4</v>
      </c>
      <c r="Q27" s="67">
        <v>0.38461538461538464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B954F6-F7B1-415F-A117-435E0D1FC9E6}">
  <sheetPr codeName="Sheet18"/>
  <dimension ref="A1:Q4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  <row r="35" spans="1:17" x14ac:dyDescent="0.4">
      <c r="A35" s="69">
        <v>32</v>
      </c>
      <c r="B35" s="66">
        <v>-193.79999999999998</v>
      </c>
      <c r="C35" s="66">
        <v>-6.0562499999999995</v>
      </c>
      <c r="D35" s="71">
        <v>2.0625</v>
      </c>
      <c r="E35" s="67">
        <v>0.28125</v>
      </c>
      <c r="F35" s="67">
        <v>0.34375</v>
      </c>
      <c r="G35" s="67">
        <v>0.30960854092526691</v>
      </c>
      <c r="H35" s="67">
        <v>0.19217081850533807</v>
      </c>
      <c r="I35" s="68">
        <v>6758.6206896551721</v>
      </c>
      <c r="J35" s="68">
        <v>-8177.7777777777774</v>
      </c>
      <c r="K35" s="67">
        <v>0.125</v>
      </c>
      <c r="L35" s="67">
        <v>6.25E-2</v>
      </c>
      <c r="M35" s="67">
        <v>0.23843416370106763</v>
      </c>
      <c r="N35" s="67">
        <v>0.23487544483985764</v>
      </c>
      <c r="O35" s="67">
        <v>0.59701492537313428</v>
      </c>
      <c r="P35" s="67">
        <v>0.33333333333333331</v>
      </c>
      <c r="Q35" s="67">
        <v>0.51724137931034486</v>
      </c>
    </row>
    <row r="36" spans="1:17" x14ac:dyDescent="0.4">
      <c r="A36" s="69">
        <v>33</v>
      </c>
      <c r="B36" s="66">
        <v>-194.1</v>
      </c>
      <c r="C36" s="66">
        <v>-5.8818181818181818</v>
      </c>
      <c r="D36" s="71">
        <v>2.0606060606060606</v>
      </c>
      <c r="E36" s="67">
        <v>0.27272727272727271</v>
      </c>
      <c r="F36" s="67">
        <v>0.33333333333333331</v>
      </c>
      <c r="G36" s="67">
        <v>0.31506849315068491</v>
      </c>
      <c r="H36" s="67">
        <v>0.18493150684931506</v>
      </c>
      <c r="I36" s="68">
        <v>6772.826086956522</v>
      </c>
      <c r="J36" s="68">
        <v>-8177.7777777777774</v>
      </c>
      <c r="K36" s="67">
        <v>0.12121212121212122</v>
      </c>
      <c r="L36" s="67">
        <v>6.0606060606060608E-2</v>
      </c>
      <c r="M36" s="67">
        <v>0.23287671232876711</v>
      </c>
      <c r="N36" s="67">
        <v>0.25</v>
      </c>
      <c r="O36" s="67">
        <v>0.6029411764705882</v>
      </c>
      <c r="P36" s="67">
        <v>0.34246575342465752</v>
      </c>
      <c r="Q36" s="67">
        <v>0.53260869565217395</v>
      </c>
    </row>
    <row r="37" spans="1:17" x14ac:dyDescent="0.4">
      <c r="A37" s="69">
        <v>34</v>
      </c>
      <c r="B37" s="66">
        <v>-224.6</v>
      </c>
      <c r="C37" s="66">
        <v>-6.6058823529411761</v>
      </c>
      <c r="D37" s="71">
        <v>2.0882352941176472</v>
      </c>
      <c r="E37" s="67">
        <v>0.26470588235294118</v>
      </c>
      <c r="F37" s="67">
        <v>0.35294117647058826</v>
      </c>
      <c r="G37" s="67">
        <v>0.30592105263157893</v>
      </c>
      <c r="H37" s="67">
        <v>0.18421052631578946</v>
      </c>
      <c r="I37" s="68">
        <v>6829.0322580645161</v>
      </c>
      <c r="J37" s="68">
        <v>-7957.1428571428569</v>
      </c>
      <c r="K37" s="67">
        <v>0.11764705882352941</v>
      </c>
      <c r="L37" s="67">
        <v>5.8823529411764705E-2</v>
      </c>
      <c r="M37" s="67">
        <v>0.22697368421052633</v>
      </c>
      <c r="N37" s="67">
        <v>0.25</v>
      </c>
      <c r="O37" s="67">
        <v>0.59420289855072461</v>
      </c>
      <c r="P37" s="67">
        <v>0.34210526315789475</v>
      </c>
      <c r="Q37" s="67">
        <v>0.5268817204301075</v>
      </c>
    </row>
    <row r="38" spans="1:17" x14ac:dyDescent="0.4">
      <c r="A38" s="69">
        <v>35</v>
      </c>
      <c r="B38" s="66">
        <v>-224.9</v>
      </c>
      <c r="C38" s="66">
        <v>-6.4257142857142862</v>
      </c>
      <c r="D38" s="71">
        <v>2.0857142857142859</v>
      </c>
      <c r="E38" s="67">
        <v>0.25714285714285712</v>
      </c>
      <c r="F38" s="67">
        <v>0.34285714285714286</v>
      </c>
      <c r="G38" s="67">
        <v>0.30769230769230771</v>
      </c>
      <c r="H38" s="67">
        <v>0.1858974358974359</v>
      </c>
      <c r="I38" s="68">
        <v>6813.541666666667</v>
      </c>
      <c r="J38" s="68">
        <v>-7934.4827586206893</v>
      </c>
      <c r="K38" s="67">
        <v>0.11428571428571428</v>
      </c>
      <c r="L38" s="67">
        <v>5.7142857142857141E-2</v>
      </c>
      <c r="M38" s="67">
        <v>0.22756410256410256</v>
      </c>
      <c r="N38" s="67">
        <v>0.25320512820512819</v>
      </c>
      <c r="O38" s="67">
        <v>0.60563380281690138</v>
      </c>
      <c r="P38" s="67">
        <v>0.34177215189873417</v>
      </c>
      <c r="Q38" s="67">
        <v>0.52083333333333337</v>
      </c>
    </row>
    <row r="39" spans="1:17" x14ac:dyDescent="0.4">
      <c r="A39" s="69">
        <v>36</v>
      </c>
      <c r="B39" s="66">
        <v>-190.5</v>
      </c>
      <c r="C39" s="66">
        <v>-5.291666666666667</v>
      </c>
      <c r="D39" s="71">
        <v>2.0555555555555554</v>
      </c>
      <c r="E39" s="67">
        <v>0.27777777777777779</v>
      </c>
      <c r="F39" s="67">
        <v>0.33333333333333331</v>
      </c>
      <c r="G39" s="67">
        <v>0.30721003134796238</v>
      </c>
      <c r="H39" s="67">
        <v>0.18495297805642633</v>
      </c>
      <c r="I39" s="68">
        <v>6919.3877551020405</v>
      </c>
      <c r="J39" s="68">
        <v>-7866.1016949152545</v>
      </c>
      <c r="K39" s="67">
        <v>0.1111111111111111</v>
      </c>
      <c r="L39" s="67">
        <v>5.5555555555555552E-2</v>
      </c>
      <c r="M39" s="67">
        <v>0.23197492163009403</v>
      </c>
      <c r="N39" s="67">
        <v>0.25391849529780564</v>
      </c>
      <c r="O39" s="67">
        <v>0.60810810810810811</v>
      </c>
      <c r="P39" s="67">
        <v>0.33333333333333331</v>
      </c>
      <c r="Q39" s="67">
        <v>0.52040816326530615</v>
      </c>
    </row>
    <row r="40" spans="1:17" x14ac:dyDescent="0.4">
      <c r="A40" s="69">
        <v>37</v>
      </c>
      <c r="B40" s="66">
        <v>-234.4</v>
      </c>
      <c r="C40" s="66">
        <v>-6.3351351351351353</v>
      </c>
      <c r="D40" s="71">
        <v>2.0810810810810811</v>
      </c>
      <c r="E40" s="67">
        <v>0.27027027027027029</v>
      </c>
      <c r="F40" s="67">
        <v>0.35135135135135137</v>
      </c>
      <c r="G40" s="67">
        <v>0.30182926829268292</v>
      </c>
      <c r="H40" s="67">
        <v>0.18902439024390244</v>
      </c>
      <c r="I40" s="68">
        <v>6966.666666666667</v>
      </c>
      <c r="J40" s="68">
        <v>-7904.8387096774195</v>
      </c>
      <c r="K40" s="67">
        <v>0.10810810810810811</v>
      </c>
      <c r="L40" s="67">
        <v>5.4054054054054057E-2</v>
      </c>
      <c r="M40" s="67">
        <v>0.22865853658536586</v>
      </c>
      <c r="N40" s="67">
        <v>0.25</v>
      </c>
      <c r="O40" s="67">
        <v>0.61333333333333329</v>
      </c>
      <c r="P40" s="67">
        <v>0.32926829268292684</v>
      </c>
      <c r="Q40" s="67">
        <v>0.51515151515151514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D07EA1-2CB3-406F-9425-3F0AD29E7B00}">
  <sheetPr codeName="Sheet16"/>
  <dimension ref="A1:Q5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  <row r="39" spans="1:17" x14ac:dyDescent="0.4">
      <c r="A39" s="69">
        <v>36</v>
      </c>
      <c r="B39" s="66">
        <v>-9.6999999999999975</v>
      </c>
      <c r="C39" s="66">
        <v>-0.26944444444444438</v>
      </c>
      <c r="D39" s="71">
        <v>2.1111111111111112</v>
      </c>
      <c r="E39" s="67">
        <v>0.27777777777777779</v>
      </c>
      <c r="F39" s="67">
        <v>0.3888888888888889</v>
      </c>
      <c r="G39" s="67">
        <v>0.35197368421052633</v>
      </c>
      <c r="H39" s="67">
        <v>0.14473684210526316</v>
      </c>
      <c r="I39" s="68">
        <v>7055.1401869158881</v>
      </c>
      <c r="J39" s="68">
        <v>-8481.818181818182</v>
      </c>
      <c r="K39" s="67">
        <v>5.5555555555555552E-2</v>
      </c>
      <c r="L39" s="67">
        <v>0.1388888888888889</v>
      </c>
      <c r="M39" s="67">
        <v>0.23026315789473684</v>
      </c>
      <c r="N39" s="67">
        <v>0.3125</v>
      </c>
      <c r="O39" s="67">
        <v>0.5714285714285714</v>
      </c>
      <c r="P39" s="67">
        <v>0.42105263157894735</v>
      </c>
      <c r="Q39" s="67">
        <v>0.43925233644859812</v>
      </c>
    </row>
    <row r="40" spans="1:17" x14ac:dyDescent="0.4">
      <c r="A40" s="69">
        <v>37</v>
      </c>
      <c r="B40" s="66">
        <v>30.000000000000007</v>
      </c>
      <c r="C40" s="66">
        <v>0.81081081081081097</v>
      </c>
      <c r="D40" s="71">
        <v>2.0810810810810811</v>
      </c>
      <c r="E40" s="67">
        <v>0.29729729729729731</v>
      </c>
      <c r="F40" s="67">
        <v>0.3783783783783784</v>
      </c>
      <c r="G40" s="67">
        <v>0.35576923076923078</v>
      </c>
      <c r="H40" s="67">
        <v>0.14102564102564102</v>
      </c>
      <c r="I40" s="68">
        <v>7009.9099099099103</v>
      </c>
      <c r="J40" s="68">
        <v>-8481.818181818182</v>
      </c>
      <c r="K40" s="67">
        <v>5.4054054054054057E-2</v>
      </c>
      <c r="L40" s="67">
        <v>0.13513513513513514</v>
      </c>
      <c r="M40" s="67">
        <v>0.23076923076923078</v>
      </c>
      <c r="N40" s="67">
        <v>0.30448717948717946</v>
      </c>
      <c r="O40" s="67">
        <v>0.58333333333333337</v>
      </c>
      <c r="P40" s="67">
        <v>0.42105263157894735</v>
      </c>
      <c r="Q40" s="67">
        <v>0.42342342342342343</v>
      </c>
    </row>
    <row r="41" spans="1:17" x14ac:dyDescent="0.4">
      <c r="A41" s="69">
        <v>38</v>
      </c>
      <c r="B41" s="66">
        <v>32.100000000000009</v>
      </c>
      <c r="C41" s="66">
        <v>0.84473684210526334</v>
      </c>
      <c r="D41" s="71">
        <v>2.0789473684210527</v>
      </c>
      <c r="E41" s="67">
        <v>0.28947368421052633</v>
      </c>
      <c r="F41" s="67">
        <v>0.36842105263157893</v>
      </c>
      <c r="G41" s="67">
        <v>0.3611111111111111</v>
      </c>
      <c r="H41" s="67">
        <v>0.14506172839506173</v>
      </c>
      <c r="I41" s="68">
        <v>6950.4273504273506</v>
      </c>
      <c r="J41" s="68">
        <v>-8706.3829787234044</v>
      </c>
      <c r="K41" s="67">
        <v>5.2631578947368418E-2</v>
      </c>
      <c r="L41" s="67">
        <v>0.13157894736842105</v>
      </c>
      <c r="M41" s="67">
        <v>0.23148148148148148</v>
      </c>
      <c r="N41" s="67">
        <v>0.30246913580246915</v>
      </c>
      <c r="O41" s="67">
        <v>0.58666666666666667</v>
      </c>
      <c r="P41" s="67">
        <v>0.41836734693877553</v>
      </c>
      <c r="Q41" s="67">
        <v>0.42735042735042733</v>
      </c>
    </row>
    <row r="42" spans="1:17" x14ac:dyDescent="0.4">
      <c r="A42" s="69">
        <v>39</v>
      </c>
      <c r="B42" s="66">
        <v>62.800000000000011</v>
      </c>
      <c r="C42" s="66">
        <v>1.6102564102564105</v>
      </c>
      <c r="D42" s="71">
        <v>2.0512820512820511</v>
      </c>
      <c r="E42" s="67">
        <v>0.30769230769230771</v>
      </c>
      <c r="F42" s="67">
        <v>0.35897435897435898</v>
      </c>
      <c r="G42" s="67">
        <v>0.36445783132530118</v>
      </c>
      <c r="H42" s="67">
        <v>0.14156626506024098</v>
      </c>
      <c r="I42" s="68">
        <v>6833.0578512396696</v>
      </c>
      <c r="J42" s="68">
        <v>-8706.3829787234044</v>
      </c>
      <c r="K42" s="67">
        <v>5.128205128205128E-2</v>
      </c>
      <c r="L42" s="67">
        <v>0.12820512820512819</v>
      </c>
      <c r="M42" s="67">
        <v>0.2289156626506024</v>
      </c>
      <c r="N42" s="67">
        <v>0.30120481927710846</v>
      </c>
      <c r="O42" s="67">
        <v>0.59210526315789469</v>
      </c>
      <c r="P42" s="67">
        <v>0.42</v>
      </c>
      <c r="Q42" s="67">
        <v>0.42148760330578511</v>
      </c>
    </row>
    <row r="43" spans="1:17" x14ac:dyDescent="0.4">
      <c r="A43" s="69">
        <v>40</v>
      </c>
      <c r="B43" s="66">
        <v>37.70000000000001</v>
      </c>
      <c r="C43" s="66">
        <v>0.94250000000000023</v>
      </c>
      <c r="D43" s="71">
        <v>2.0750000000000002</v>
      </c>
      <c r="E43" s="67">
        <v>0.3</v>
      </c>
      <c r="F43" s="67">
        <v>0.375</v>
      </c>
      <c r="G43" s="67">
        <v>0.36549707602339182</v>
      </c>
      <c r="H43" s="67">
        <v>0.14035087719298245</v>
      </c>
      <c r="I43" s="68">
        <v>6813.6</v>
      </c>
      <c r="J43" s="68">
        <v>-8858.3333333333339</v>
      </c>
      <c r="K43" s="67">
        <v>0.05</v>
      </c>
      <c r="L43" s="67">
        <v>0.125</v>
      </c>
      <c r="M43" s="67">
        <v>0.23391812865497075</v>
      </c>
      <c r="N43" s="67">
        <v>0.30116959064327486</v>
      </c>
      <c r="O43" s="67">
        <v>0.58750000000000002</v>
      </c>
      <c r="P43" s="67">
        <v>0.41747572815533979</v>
      </c>
      <c r="Q43" s="67">
        <v>0.41599999999999998</v>
      </c>
    </row>
    <row r="44" spans="1:17" x14ac:dyDescent="0.4">
      <c r="A44" s="69">
        <v>41</v>
      </c>
      <c r="B44" s="66">
        <v>46.900000000000006</v>
      </c>
      <c r="C44" s="66">
        <v>1.1439024390243904</v>
      </c>
      <c r="D44" s="71">
        <v>2.0731707317073171</v>
      </c>
      <c r="E44" s="67">
        <v>0.29268292682926828</v>
      </c>
      <c r="F44" s="67">
        <v>0.36585365853658536</v>
      </c>
      <c r="G44" s="67">
        <v>0.36752136752136755</v>
      </c>
      <c r="H44" s="67">
        <v>0.1396011396011396</v>
      </c>
      <c r="I44" s="68">
        <v>6808.5271317829456</v>
      </c>
      <c r="J44" s="68">
        <v>-8834.6938775510207</v>
      </c>
      <c r="K44" s="67">
        <v>4.878048780487805E-2</v>
      </c>
      <c r="L44" s="67">
        <v>0.12195121951219512</v>
      </c>
      <c r="M44" s="67">
        <v>0.23646723646723647</v>
      </c>
      <c r="N44" s="67">
        <v>0.29629629629629628</v>
      </c>
      <c r="O44" s="67">
        <v>0.60240963855421692</v>
      </c>
      <c r="P44" s="67">
        <v>0.41346153846153844</v>
      </c>
      <c r="Q44" s="67">
        <v>0.41860465116279072</v>
      </c>
    </row>
    <row r="45" spans="1:17" x14ac:dyDescent="0.4">
      <c r="A45" s="69">
        <v>42</v>
      </c>
      <c r="B45" s="66">
        <v>42.300000000000004</v>
      </c>
      <c r="C45" s="66">
        <v>1.0071428571428573</v>
      </c>
      <c r="D45" s="71">
        <v>2.0714285714285716</v>
      </c>
      <c r="E45" s="67">
        <v>0.2857142857142857</v>
      </c>
      <c r="F45" s="67">
        <v>0.35714285714285715</v>
      </c>
      <c r="G45" s="67">
        <v>0.36684782608695654</v>
      </c>
      <c r="H45" s="67">
        <v>0.1358695652173913</v>
      </c>
      <c r="I45" s="68">
        <v>6739.2592592592591</v>
      </c>
      <c r="J45" s="68">
        <v>-8898</v>
      </c>
      <c r="K45" s="67">
        <v>4.7619047619047616E-2</v>
      </c>
      <c r="L45" s="67">
        <v>0.11904761904761904</v>
      </c>
      <c r="M45" s="67">
        <v>0.23369565217391305</v>
      </c>
      <c r="N45" s="67">
        <v>0.29891304347826086</v>
      </c>
      <c r="O45" s="67">
        <v>0.59302325581395354</v>
      </c>
      <c r="P45" s="67">
        <v>0.41818181818181815</v>
      </c>
      <c r="Q45" s="67">
        <v>0.42962962962962964</v>
      </c>
    </row>
    <row r="46" spans="1:17" x14ac:dyDescent="0.4">
      <c r="A46" s="69">
        <v>43</v>
      </c>
      <c r="B46" s="66">
        <v>-32.999999999999993</v>
      </c>
      <c r="C46" s="66">
        <v>-0.76744186046511609</v>
      </c>
      <c r="D46" s="71">
        <v>2.0930232558139537</v>
      </c>
      <c r="E46" s="67">
        <v>0.27906976744186046</v>
      </c>
      <c r="F46" s="67">
        <v>0.37209302325581395</v>
      </c>
      <c r="G46" s="67">
        <v>0.36533333333333334</v>
      </c>
      <c r="H46" s="67">
        <v>0.14133333333333334</v>
      </c>
      <c r="I46" s="68">
        <v>6741.6058394160582</v>
      </c>
      <c r="J46" s="68">
        <v>-9500</v>
      </c>
      <c r="K46" s="67">
        <v>6.9767441860465115E-2</v>
      </c>
      <c r="L46" s="67">
        <v>0.11627906976744186</v>
      </c>
      <c r="M46" s="67">
        <v>0.23200000000000001</v>
      </c>
      <c r="N46" s="67">
        <v>0.29866666666666669</v>
      </c>
      <c r="O46" s="67">
        <v>0.5977011494252874</v>
      </c>
      <c r="P46" s="67">
        <v>0.4107142857142857</v>
      </c>
      <c r="Q46" s="67">
        <v>0.43795620437956206</v>
      </c>
    </row>
    <row r="47" spans="1:17" x14ac:dyDescent="0.4">
      <c r="A47" s="69">
        <v>44</v>
      </c>
      <c r="B47" s="66">
        <v>-27.999999999999993</v>
      </c>
      <c r="C47" s="66">
        <v>-0.63636363636363624</v>
      </c>
      <c r="D47" s="71">
        <v>2.0909090909090908</v>
      </c>
      <c r="E47" s="67">
        <v>0.27272727272727271</v>
      </c>
      <c r="F47" s="67">
        <v>0.36363636363636365</v>
      </c>
      <c r="G47" s="67">
        <v>0.36363636363636365</v>
      </c>
      <c r="H47" s="67">
        <v>0.13766233766233765</v>
      </c>
      <c r="I47" s="68">
        <v>6724.2857142857147</v>
      </c>
      <c r="J47" s="68">
        <v>-9500</v>
      </c>
      <c r="K47" s="67">
        <v>6.8181818181818177E-2</v>
      </c>
      <c r="L47" s="67">
        <v>0.11363636363636363</v>
      </c>
      <c r="M47" s="67">
        <v>0.23376623376623376</v>
      </c>
      <c r="N47" s="67">
        <v>0.29350649350649349</v>
      </c>
      <c r="O47" s="67">
        <v>0.6</v>
      </c>
      <c r="P47" s="67">
        <v>0.41592920353982299</v>
      </c>
      <c r="Q47" s="67">
        <v>0.43571428571428572</v>
      </c>
    </row>
    <row r="48" spans="1:17" x14ac:dyDescent="0.4">
      <c r="A48" s="69">
        <v>45</v>
      </c>
      <c r="B48" s="66">
        <v>-25.299999999999994</v>
      </c>
      <c r="C48" s="66">
        <v>-0.56222222222222207</v>
      </c>
      <c r="D48" s="71">
        <v>2.088888888888889</v>
      </c>
      <c r="E48" s="67">
        <v>0.26666666666666666</v>
      </c>
      <c r="F48" s="67">
        <v>0.35555555555555557</v>
      </c>
      <c r="G48" s="67">
        <v>0.36479591836734693</v>
      </c>
      <c r="H48" s="67">
        <v>0.13520408163265307</v>
      </c>
      <c r="I48" s="68">
        <v>6638.4615384615381</v>
      </c>
      <c r="J48" s="68">
        <v>-9500</v>
      </c>
      <c r="K48" s="67">
        <v>6.6666666666666666E-2</v>
      </c>
      <c r="L48" s="67">
        <v>0.1111111111111111</v>
      </c>
      <c r="M48" s="67">
        <v>0.22959183673469388</v>
      </c>
      <c r="N48" s="67">
        <v>0.29336734693877553</v>
      </c>
      <c r="O48" s="67">
        <v>0.6</v>
      </c>
      <c r="P48" s="67">
        <v>0.42608695652173911</v>
      </c>
      <c r="Q48" s="67">
        <v>0.43356643356643354</v>
      </c>
    </row>
    <row r="49" spans="1:17" x14ac:dyDescent="0.4">
      <c r="A49" s="69">
        <v>46</v>
      </c>
      <c r="B49" s="66">
        <v>12.900000000000009</v>
      </c>
      <c r="C49" s="66">
        <v>0.28043478260869587</v>
      </c>
      <c r="D49" s="71">
        <v>2.0652173913043477</v>
      </c>
      <c r="E49" s="67">
        <v>0.28260869565217389</v>
      </c>
      <c r="F49" s="67">
        <v>0.34782608695652173</v>
      </c>
      <c r="G49" s="67">
        <v>0.36724565756823824</v>
      </c>
      <c r="H49" s="67">
        <v>0.13399503722084366</v>
      </c>
      <c r="I49" s="68">
        <v>6645.27027027027</v>
      </c>
      <c r="J49" s="68">
        <v>-9546.2962962962956</v>
      </c>
      <c r="K49" s="67">
        <v>6.5217391304347824E-2</v>
      </c>
      <c r="L49" s="67">
        <v>0.10869565217391304</v>
      </c>
      <c r="M49" s="67">
        <v>0.22580645161290322</v>
      </c>
      <c r="N49" s="67">
        <v>0.29776674937965258</v>
      </c>
      <c r="O49" s="67">
        <v>0.60439560439560436</v>
      </c>
      <c r="P49" s="67">
        <v>0.42499999999999999</v>
      </c>
      <c r="Q49" s="67">
        <v>0.43243243243243246</v>
      </c>
    </row>
    <row r="50" spans="1:17" x14ac:dyDescent="0.4">
      <c r="A50" s="69">
        <v>47</v>
      </c>
      <c r="B50" s="66">
        <v>45.900000000000006</v>
      </c>
      <c r="C50" s="66">
        <v>0.9765957446808512</v>
      </c>
      <c r="D50" s="71">
        <v>2.0425531914893615</v>
      </c>
      <c r="E50" s="67">
        <v>0.2978723404255319</v>
      </c>
      <c r="F50" s="67">
        <v>0.34042553191489361</v>
      </c>
      <c r="G50" s="67">
        <v>0.36407766990291263</v>
      </c>
      <c r="H50" s="67">
        <v>0.13349514563106796</v>
      </c>
      <c r="I50" s="68">
        <v>6696</v>
      </c>
      <c r="J50" s="68">
        <v>-9443.636363636364</v>
      </c>
      <c r="K50" s="67">
        <v>6.3829787234042548E-2</v>
      </c>
      <c r="L50" s="67">
        <v>0.10638297872340426</v>
      </c>
      <c r="M50" s="67">
        <v>0.22330097087378642</v>
      </c>
      <c r="N50" s="67">
        <v>0.30339805825242716</v>
      </c>
      <c r="O50" s="67">
        <v>0.59782608695652173</v>
      </c>
      <c r="P50" s="67">
        <v>0.42399999999999999</v>
      </c>
      <c r="Q50" s="67">
        <v>0.42666666666666669</v>
      </c>
    </row>
    <row r="51" spans="1:17" x14ac:dyDescent="0.4">
      <c r="A51" s="69">
        <v>48</v>
      </c>
      <c r="B51" s="66">
        <v>111.4</v>
      </c>
      <c r="C51" s="66">
        <v>2.3208333333333333</v>
      </c>
      <c r="D51" s="71">
        <v>2.0208333333333335</v>
      </c>
      <c r="E51" s="67">
        <v>0.3125</v>
      </c>
      <c r="F51" s="67">
        <v>0.33333333333333331</v>
      </c>
      <c r="G51" s="67">
        <v>0.36966824644549762</v>
      </c>
      <c r="H51" s="67">
        <v>0.13033175355450238</v>
      </c>
      <c r="I51" s="68">
        <v>6666.0256410256407</v>
      </c>
      <c r="J51" s="68">
        <v>-9443.636363636364</v>
      </c>
      <c r="K51" s="67">
        <v>6.25E-2</v>
      </c>
      <c r="L51" s="67">
        <v>0.125</v>
      </c>
      <c r="M51" s="67">
        <v>0.22274881516587677</v>
      </c>
      <c r="N51" s="67">
        <v>0.30331753554502372</v>
      </c>
      <c r="O51" s="67">
        <v>0.6063829787234043</v>
      </c>
      <c r="P51" s="67">
        <v>0.4296875</v>
      </c>
      <c r="Q51" s="67">
        <v>0.42307692307692307</v>
      </c>
    </row>
    <row r="52" spans="1:17" x14ac:dyDescent="0.4">
      <c r="A52" s="69">
        <v>49</v>
      </c>
      <c r="B52" s="66">
        <v>113</v>
      </c>
      <c r="C52" s="66">
        <v>2.306122448979592</v>
      </c>
      <c r="D52" s="71">
        <v>2.0204081632653059</v>
      </c>
      <c r="E52" s="67">
        <v>0.30612244897959184</v>
      </c>
      <c r="F52" s="67">
        <v>0.32653061224489793</v>
      </c>
      <c r="G52" s="67">
        <v>0.37296037296037299</v>
      </c>
      <c r="H52" s="67">
        <v>0.13053613053613053</v>
      </c>
      <c r="I52" s="68">
        <v>6588.75</v>
      </c>
      <c r="J52" s="68">
        <v>-9412.5</v>
      </c>
      <c r="K52" s="67">
        <v>6.1224489795918366E-2</v>
      </c>
      <c r="L52" s="67">
        <v>0.12244897959183673</v>
      </c>
      <c r="M52" s="67">
        <v>0.21911421911421911</v>
      </c>
      <c r="N52" s="67">
        <v>0.30769230769230771</v>
      </c>
      <c r="O52" s="67">
        <v>0.6063829787234043</v>
      </c>
      <c r="P52" s="67">
        <v>0.43181818181818182</v>
      </c>
      <c r="Q52" s="67">
        <v>0.43125000000000002</v>
      </c>
    </row>
    <row r="53" spans="1:17" x14ac:dyDescent="0.4">
      <c r="A53" s="69">
        <v>50</v>
      </c>
      <c r="B53" s="66">
        <v>106.3</v>
      </c>
      <c r="C53" s="66">
        <v>2.1259999999999999</v>
      </c>
      <c r="D53" s="71">
        <v>2.02</v>
      </c>
      <c r="E53" s="67">
        <v>0.3</v>
      </c>
      <c r="F53" s="67">
        <v>0.32</v>
      </c>
      <c r="G53" s="67">
        <v>0.36842105263157893</v>
      </c>
      <c r="H53" s="67">
        <v>0.13043478260869565</v>
      </c>
      <c r="I53" s="68">
        <v>6597.5155279503106</v>
      </c>
      <c r="J53" s="68">
        <v>-9282.4561403508778</v>
      </c>
      <c r="K53" s="67">
        <v>0.06</v>
      </c>
      <c r="L53" s="67">
        <v>0.12</v>
      </c>
      <c r="M53" s="67">
        <v>0.2219679633867277</v>
      </c>
      <c r="N53" s="67">
        <v>0.30205949656750575</v>
      </c>
      <c r="O53" s="67">
        <v>0.58762886597938147</v>
      </c>
      <c r="P53" s="67">
        <v>0.43181818181818182</v>
      </c>
      <c r="Q53" s="67">
        <v>0.42857142857142855</v>
      </c>
    </row>
    <row r="54" spans="1:17" x14ac:dyDescent="0.4">
      <c r="A54" s="69">
        <v>51</v>
      </c>
      <c r="B54" s="66">
        <v>113.39999999999999</v>
      </c>
      <c r="C54" s="66">
        <v>2.2235294117647055</v>
      </c>
      <c r="D54" s="71">
        <v>2.0196078431372548</v>
      </c>
      <c r="E54" s="67">
        <v>0.29411764705882354</v>
      </c>
      <c r="F54" s="67">
        <v>0.31372549019607843</v>
      </c>
      <c r="G54" s="67">
        <v>0.3724604966139955</v>
      </c>
      <c r="H54" s="67">
        <v>0.12866817155756208</v>
      </c>
      <c r="I54" s="68">
        <v>6523.030303030303</v>
      </c>
      <c r="J54" s="68">
        <v>-9282.4561403508778</v>
      </c>
      <c r="K54" s="67">
        <v>5.8823529411764705E-2</v>
      </c>
      <c r="L54" s="67">
        <v>0.11764705882352941</v>
      </c>
      <c r="M54" s="67">
        <v>0.21896162528216703</v>
      </c>
      <c r="N54" s="67">
        <v>0.30474040632054178</v>
      </c>
      <c r="O54" s="67">
        <v>0.58762886597938147</v>
      </c>
      <c r="P54" s="67">
        <v>0.43703703703703706</v>
      </c>
      <c r="Q54" s="67">
        <v>0.42424242424242425</v>
      </c>
    </row>
    <row r="55" spans="1:17" x14ac:dyDescent="0.4">
      <c r="A55" s="69">
        <v>52</v>
      </c>
      <c r="B55" s="66">
        <v>113.39999999999999</v>
      </c>
      <c r="C55" s="66">
        <v>2.1807692307692306</v>
      </c>
      <c r="D55" s="71">
        <v>2</v>
      </c>
      <c r="E55" s="67">
        <v>0.30769230769230771</v>
      </c>
      <c r="F55" s="67">
        <v>0.30769230769230771</v>
      </c>
      <c r="G55" s="67">
        <v>0.3724604966139955</v>
      </c>
      <c r="H55" s="67">
        <v>0.12866817155756208</v>
      </c>
      <c r="I55" s="68">
        <v>6523.030303030303</v>
      </c>
      <c r="J55" s="68">
        <v>-9282.4561403508778</v>
      </c>
      <c r="K55" s="67">
        <v>5.7692307692307696E-2</v>
      </c>
      <c r="L55" s="67">
        <v>0.11538461538461539</v>
      </c>
      <c r="M55" s="67">
        <v>0.21896162528216703</v>
      </c>
      <c r="N55" s="67">
        <v>0.30474040632054178</v>
      </c>
      <c r="O55" s="67">
        <v>0.58762886597938147</v>
      </c>
      <c r="P55" s="67">
        <v>0.43703703703703706</v>
      </c>
      <c r="Q55" s="67">
        <v>0.42424242424242425</v>
      </c>
    </row>
    <row r="56" spans="1:17" x14ac:dyDescent="0.4">
      <c r="A56" s="69">
        <v>53</v>
      </c>
      <c r="B56" s="66">
        <v>79.799999999999983</v>
      </c>
      <c r="C56" s="66">
        <v>1.5056603773584902</v>
      </c>
      <c r="D56" s="71">
        <v>2.0188679245283021</v>
      </c>
      <c r="E56" s="67">
        <v>0.30188679245283018</v>
      </c>
      <c r="F56" s="67">
        <v>0.32075471698113206</v>
      </c>
      <c r="G56" s="67">
        <v>0.36807095343680707</v>
      </c>
      <c r="H56" s="67">
        <v>0.12860310421286031</v>
      </c>
      <c r="I56" s="68">
        <v>6530.1204819277109</v>
      </c>
      <c r="J56" s="68">
        <v>-9148.2758620689656</v>
      </c>
      <c r="K56" s="67">
        <v>5.6603773584905662E-2</v>
      </c>
      <c r="L56" s="67">
        <v>0.11320754716981132</v>
      </c>
      <c r="M56" s="67">
        <v>0.21729490022172948</v>
      </c>
      <c r="N56" s="67">
        <v>0.29933481152993346</v>
      </c>
      <c r="O56" s="67">
        <v>0.58163265306122447</v>
      </c>
      <c r="P56" s="67">
        <v>0.43703703703703706</v>
      </c>
      <c r="Q56" s="67">
        <v>0.42168674698795183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61C8B-B86A-467E-AA9C-DCBA87AE0C5A}">
  <sheetPr codeName="Sheet14"/>
  <dimension ref="A1:Q5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  <row r="43" spans="1:17" x14ac:dyDescent="0.4">
      <c r="A43" s="69">
        <v>40</v>
      </c>
      <c r="B43" s="66">
        <v>-65.2</v>
      </c>
      <c r="C43" s="66">
        <v>-1.6300000000000001</v>
      </c>
      <c r="D43" s="71">
        <v>2.1</v>
      </c>
      <c r="E43" s="67">
        <v>0.25</v>
      </c>
      <c r="F43" s="67">
        <v>0.35</v>
      </c>
      <c r="G43" s="67">
        <v>0.24850299401197604</v>
      </c>
      <c r="H43" s="67">
        <v>0.15269461077844312</v>
      </c>
      <c r="I43" s="68">
        <v>8744.5783132530123</v>
      </c>
      <c r="J43" s="68">
        <v>-7225.4901960784309</v>
      </c>
      <c r="K43" s="67">
        <v>2.5000000000000001E-2</v>
      </c>
      <c r="L43" s="67">
        <v>0.125</v>
      </c>
      <c r="M43" s="67">
        <v>0.24850299401197604</v>
      </c>
      <c r="N43" s="67">
        <v>0.17065868263473055</v>
      </c>
      <c r="O43" s="67">
        <v>0.5662650602409639</v>
      </c>
      <c r="P43" s="67">
        <v>0.33333333333333331</v>
      </c>
      <c r="Q43" s="67">
        <v>0.33734939759036142</v>
      </c>
    </row>
    <row r="44" spans="1:17" x14ac:dyDescent="0.4">
      <c r="A44" s="69">
        <v>41</v>
      </c>
      <c r="B44" s="66">
        <v>-100</v>
      </c>
      <c r="C44" s="66">
        <v>-2.4390243902439024</v>
      </c>
      <c r="D44" s="71">
        <v>2.1219512195121952</v>
      </c>
      <c r="E44" s="67">
        <v>0.24390243902439024</v>
      </c>
      <c r="F44" s="67">
        <v>0.36585365853658536</v>
      </c>
      <c r="G44" s="67">
        <v>0.24561403508771928</v>
      </c>
      <c r="H44" s="67">
        <v>0.15497076023391812</v>
      </c>
      <c r="I44" s="68">
        <v>8783.3333333333339</v>
      </c>
      <c r="J44" s="68">
        <v>-7277.3584905660373</v>
      </c>
      <c r="K44" s="67">
        <v>2.4390243902439025E-2</v>
      </c>
      <c r="L44" s="67">
        <v>0.12195121951219512</v>
      </c>
      <c r="M44" s="67">
        <v>0.24853801169590642</v>
      </c>
      <c r="N44" s="67">
        <v>0.16959064327485379</v>
      </c>
      <c r="O44" s="67">
        <v>0.56470588235294117</v>
      </c>
      <c r="P44" s="67">
        <v>0.32758620689655171</v>
      </c>
      <c r="Q44" s="67">
        <v>0.34523809523809523</v>
      </c>
    </row>
    <row r="45" spans="1:17" x14ac:dyDescent="0.4">
      <c r="A45" s="69">
        <v>42</v>
      </c>
      <c r="B45" s="66">
        <v>-65.5</v>
      </c>
      <c r="C45" s="66">
        <v>-1.5595238095238095</v>
      </c>
      <c r="D45" s="71">
        <v>2.0952380952380953</v>
      </c>
      <c r="E45" s="67">
        <v>0.26190476190476192</v>
      </c>
      <c r="F45" s="67">
        <v>0.35714285714285715</v>
      </c>
      <c r="G45" s="67">
        <v>0.24645892351274787</v>
      </c>
      <c r="H45" s="67">
        <v>0.15297450424929179</v>
      </c>
      <c r="I45" s="68">
        <v>9121.8390804597693</v>
      </c>
      <c r="J45" s="68">
        <v>-7290.7407407407409</v>
      </c>
      <c r="K45" s="67">
        <v>2.3809523809523808E-2</v>
      </c>
      <c r="L45" s="67">
        <v>0.11904761904761904</v>
      </c>
      <c r="M45" s="67">
        <v>0.25495750708215298</v>
      </c>
      <c r="N45" s="67">
        <v>0.1643059490084986</v>
      </c>
      <c r="O45" s="67">
        <v>0.56666666666666665</v>
      </c>
      <c r="P45" s="67">
        <v>0.32758620689655171</v>
      </c>
      <c r="Q45" s="67">
        <v>0.35632183908045978</v>
      </c>
    </row>
    <row r="46" spans="1:17" x14ac:dyDescent="0.4">
      <c r="A46" s="69">
        <v>43</v>
      </c>
      <c r="B46" s="66">
        <v>-52</v>
      </c>
      <c r="C46" s="66">
        <v>-1.2093023255813953</v>
      </c>
      <c r="D46" s="71">
        <v>2.0930232558139537</v>
      </c>
      <c r="E46" s="67">
        <v>0.2558139534883721</v>
      </c>
      <c r="F46" s="67">
        <v>0.34883720930232559</v>
      </c>
      <c r="G46" s="67">
        <v>0.24929971988795518</v>
      </c>
      <c r="H46" s="67">
        <v>0.15126050420168066</v>
      </c>
      <c r="I46" s="68">
        <v>9119.1011235955048</v>
      </c>
      <c r="J46" s="68">
        <v>-7290.7407407407409</v>
      </c>
      <c r="K46" s="67">
        <v>2.3255813953488372E-2</v>
      </c>
      <c r="L46" s="67">
        <v>0.11627906976744186</v>
      </c>
      <c r="M46" s="67">
        <v>0.25490196078431371</v>
      </c>
      <c r="N46" s="67">
        <v>0.16806722689075632</v>
      </c>
      <c r="O46" s="67">
        <v>0.5714285714285714</v>
      </c>
      <c r="P46" s="67">
        <v>0.33333333333333331</v>
      </c>
      <c r="Q46" s="67">
        <v>0.3595505617977528</v>
      </c>
    </row>
    <row r="47" spans="1:17" x14ac:dyDescent="0.4">
      <c r="A47" s="69">
        <v>44</v>
      </c>
      <c r="B47" s="66">
        <v>8.3999999999999986</v>
      </c>
      <c r="C47" s="66">
        <v>0.19090909090909089</v>
      </c>
      <c r="D47" s="71">
        <v>2.0681818181818183</v>
      </c>
      <c r="E47" s="67">
        <v>0.27272727272727271</v>
      </c>
      <c r="F47" s="67">
        <v>0.34090909090909088</v>
      </c>
      <c r="G47" s="67">
        <v>0.2541436464088398</v>
      </c>
      <c r="H47" s="67">
        <v>0.15193370165745856</v>
      </c>
      <c r="I47" s="68">
        <v>9278.2608695652179</v>
      </c>
      <c r="J47" s="68">
        <v>-7205.454545454545</v>
      </c>
      <c r="K47" s="67">
        <v>2.2727272727272728E-2</v>
      </c>
      <c r="L47" s="67">
        <v>0.13636363636363635</v>
      </c>
      <c r="M47" s="67">
        <v>0.25966850828729282</v>
      </c>
      <c r="N47" s="67">
        <v>0.16574585635359115</v>
      </c>
      <c r="O47" s="67">
        <v>0.58510638297872342</v>
      </c>
      <c r="P47" s="67">
        <v>0.33333333333333331</v>
      </c>
      <c r="Q47" s="67">
        <v>0.34782608695652173</v>
      </c>
    </row>
    <row r="48" spans="1:17" x14ac:dyDescent="0.4">
      <c r="A48" s="69">
        <v>45</v>
      </c>
      <c r="B48" s="66">
        <v>-32.5</v>
      </c>
      <c r="C48" s="66">
        <v>-0.72222222222222221</v>
      </c>
      <c r="D48" s="71">
        <v>2.088888888888889</v>
      </c>
      <c r="E48" s="67">
        <v>0.26666666666666666</v>
      </c>
      <c r="F48" s="67">
        <v>0.35555555555555557</v>
      </c>
      <c r="G48" s="67">
        <v>0.25067385444743934</v>
      </c>
      <c r="H48" s="67">
        <v>0.15633423180592992</v>
      </c>
      <c r="I48" s="68">
        <v>9264.5161290322576</v>
      </c>
      <c r="J48" s="68">
        <v>-7098.2758620689656</v>
      </c>
      <c r="K48" s="67">
        <v>2.2222222222222223E-2</v>
      </c>
      <c r="L48" s="67">
        <v>0.13333333333333333</v>
      </c>
      <c r="M48" s="67">
        <v>0.26145552560646901</v>
      </c>
      <c r="N48" s="67">
        <v>0.16172506738544473</v>
      </c>
      <c r="O48" s="67">
        <v>0.57731958762886593</v>
      </c>
      <c r="P48" s="67">
        <v>0.33333333333333331</v>
      </c>
      <c r="Q48" s="67">
        <v>0.35483870967741937</v>
      </c>
    </row>
    <row r="49" spans="1:17" x14ac:dyDescent="0.4">
      <c r="A49" s="69">
        <v>46</v>
      </c>
      <c r="B49" s="66">
        <v>-6.1000000000000014</v>
      </c>
      <c r="C49" s="66">
        <v>-0.13260869565217395</v>
      </c>
      <c r="D49" s="71">
        <v>2.0652173913043477</v>
      </c>
      <c r="E49" s="67">
        <v>0.28260869565217389</v>
      </c>
      <c r="F49" s="67">
        <v>0.34782608695652173</v>
      </c>
      <c r="G49" s="67">
        <v>0.24934383202099739</v>
      </c>
      <c r="H49" s="67">
        <v>0.15748031496062992</v>
      </c>
      <c r="I49" s="68">
        <v>9300</v>
      </c>
      <c r="J49" s="68">
        <v>-7016.666666666667</v>
      </c>
      <c r="K49" s="67">
        <v>2.1739130434782608E-2</v>
      </c>
      <c r="L49" s="67">
        <v>0.13043478260869565</v>
      </c>
      <c r="M49" s="67">
        <v>0.2572178477690289</v>
      </c>
      <c r="N49" s="67">
        <v>0.16535433070866143</v>
      </c>
      <c r="O49" s="67">
        <v>0.58163265306122447</v>
      </c>
      <c r="P49" s="67">
        <v>0.33333333333333331</v>
      </c>
      <c r="Q49" s="67">
        <v>0.35789473684210527</v>
      </c>
    </row>
    <row r="50" spans="1:17" x14ac:dyDescent="0.4">
      <c r="A50" s="69">
        <v>47</v>
      </c>
      <c r="B50" s="66">
        <v>-33.1</v>
      </c>
      <c r="C50" s="66">
        <v>-0.70425531914893624</v>
      </c>
      <c r="D50" s="71">
        <v>2.0851063829787235</v>
      </c>
      <c r="E50" s="67">
        <v>0.27659574468085107</v>
      </c>
      <c r="F50" s="67">
        <v>0.36170212765957449</v>
      </c>
      <c r="G50" s="67">
        <v>0.25125628140703515</v>
      </c>
      <c r="H50" s="67">
        <v>0.15577889447236182</v>
      </c>
      <c r="I50" s="68">
        <v>9392</v>
      </c>
      <c r="J50" s="68">
        <v>-7070.9677419354839</v>
      </c>
      <c r="K50" s="67">
        <v>2.1276595744680851E-2</v>
      </c>
      <c r="L50" s="67">
        <v>0.1276595744680851</v>
      </c>
      <c r="M50" s="67">
        <v>0.25879396984924624</v>
      </c>
      <c r="N50" s="67">
        <v>0.17085427135678391</v>
      </c>
      <c r="O50" s="67">
        <v>0.57281553398058249</v>
      </c>
      <c r="P50" s="67">
        <v>0.35294117647058826</v>
      </c>
      <c r="Q50" s="67">
        <v>0.37</v>
      </c>
    </row>
    <row r="51" spans="1:17" x14ac:dyDescent="0.4">
      <c r="A51" s="69">
        <v>48</v>
      </c>
      <c r="B51" s="66">
        <v>-33.800000000000004</v>
      </c>
      <c r="C51" s="66">
        <v>-0.70416666666666672</v>
      </c>
      <c r="D51" s="71">
        <v>2.0833333333333335</v>
      </c>
      <c r="E51" s="67">
        <v>0.27083333333333331</v>
      </c>
      <c r="F51" s="67">
        <v>0.35416666666666669</v>
      </c>
      <c r="G51" s="67">
        <v>0.25247524752475248</v>
      </c>
      <c r="H51" s="67">
        <v>0.15346534653465346</v>
      </c>
      <c r="I51" s="68">
        <v>9400.9803921568619</v>
      </c>
      <c r="J51" s="68">
        <v>-7070.9677419354839</v>
      </c>
      <c r="K51" s="67">
        <v>2.0833333333333332E-2</v>
      </c>
      <c r="L51" s="67">
        <v>0.125</v>
      </c>
      <c r="M51" s="67">
        <v>0.26237623762376239</v>
      </c>
      <c r="N51" s="67">
        <v>0.16831683168316833</v>
      </c>
      <c r="O51" s="67">
        <v>0.57547169811320753</v>
      </c>
      <c r="P51" s="67">
        <v>0.35294117647058826</v>
      </c>
      <c r="Q51" s="67">
        <v>0.37254901960784315</v>
      </c>
    </row>
    <row r="52" spans="1:17" x14ac:dyDescent="0.4">
      <c r="A52" s="69">
        <v>49</v>
      </c>
      <c r="B52" s="66">
        <v>-23.100000000000005</v>
      </c>
      <c r="C52" s="66">
        <v>-0.47142857142857153</v>
      </c>
      <c r="D52" s="71">
        <v>2.0816326530612246</v>
      </c>
      <c r="E52" s="67">
        <v>0.26530612244897961</v>
      </c>
      <c r="F52" s="67">
        <v>0.34693877551020408</v>
      </c>
      <c r="G52" s="67">
        <v>0.25423728813559321</v>
      </c>
      <c r="H52" s="67">
        <v>0.15254237288135594</v>
      </c>
      <c r="I52" s="68">
        <v>9396.1904761904771</v>
      </c>
      <c r="J52" s="68">
        <v>-7085.7142857142853</v>
      </c>
      <c r="K52" s="67">
        <v>2.0408163265306121E-2</v>
      </c>
      <c r="L52" s="67">
        <v>0.12244897959183673</v>
      </c>
      <c r="M52" s="67">
        <v>0.25907990314769974</v>
      </c>
      <c r="N52" s="67">
        <v>0.16949152542372881</v>
      </c>
      <c r="O52" s="67">
        <v>0.57943925233644855</v>
      </c>
      <c r="P52" s="67">
        <v>0.35714285714285715</v>
      </c>
      <c r="Q52" s="67">
        <v>0.39047619047619048</v>
      </c>
    </row>
    <row r="53" spans="1:17" x14ac:dyDescent="0.4">
      <c r="A53" s="69">
        <v>50</v>
      </c>
      <c r="B53" s="66">
        <v>-79.300000000000011</v>
      </c>
      <c r="C53" s="66">
        <v>-1.5860000000000003</v>
      </c>
      <c r="D53" s="71">
        <v>2.1</v>
      </c>
      <c r="E53" s="67">
        <v>0.26</v>
      </c>
      <c r="F53" s="67">
        <v>0.36</v>
      </c>
      <c r="G53" s="67">
        <v>0.24882629107981222</v>
      </c>
      <c r="H53" s="67">
        <v>0.15258215962441316</v>
      </c>
      <c r="I53" s="68">
        <v>9334.9056603773588</v>
      </c>
      <c r="J53" s="68">
        <v>-7267.6923076923076</v>
      </c>
      <c r="K53" s="67">
        <v>0.04</v>
      </c>
      <c r="L53" s="67">
        <v>0.12</v>
      </c>
      <c r="M53" s="67">
        <v>0.25352112676056338</v>
      </c>
      <c r="N53" s="67">
        <v>0.17840375586854459</v>
      </c>
      <c r="O53" s="67">
        <v>0.57407407407407407</v>
      </c>
      <c r="P53" s="67">
        <v>0.34210526315789475</v>
      </c>
      <c r="Q53" s="67">
        <v>0.3867924528301887</v>
      </c>
    </row>
    <row r="54" spans="1:17" x14ac:dyDescent="0.4">
      <c r="A54" s="69">
        <v>51</v>
      </c>
      <c r="B54" s="66">
        <v>-16.600000000000009</v>
      </c>
      <c r="C54" s="66">
        <v>-0.32549019607843155</v>
      </c>
      <c r="D54" s="71">
        <v>2.0784313725490198</v>
      </c>
      <c r="E54" s="67">
        <v>0.27450980392156865</v>
      </c>
      <c r="F54" s="67">
        <v>0.35294117647058826</v>
      </c>
      <c r="G54" s="67">
        <v>0.25231481481481483</v>
      </c>
      <c r="H54" s="67">
        <v>0.15509259259259259</v>
      </c>
      <c r="I54" s="68">
        <v>9573.3944954128438</v>
      </c>
      <c r="J54" s="68">
        <v>-7189.5522388059699</v>
      </c>
      <c r="K54" s="67">
        <v>3.9215686274509803E-2</v>
      </c>
      <c r="L54" s="67">
        <v>0.13725490196078433</v>
      </c>
      <c r="M54" s="67">
        <v>0.25925925925925924</v>
      </c>
      <c r="N54" s="67">
        <v>0.17592592592592593</v>
      </c>
      <c r="O54" s="67">
        <v>0.5803571428571429</v>
      </c>
      <c r="P54" s="67">
        <v>0.34210526315789475</v>
      </c>
      <c r="Q54" s="67">
        <v>0.39449541284403672</v>
      </c>
    </row>
    <row r="55" spans="1:17" x14ac:dyDescent="0.4">
      <c r="A55" s="69">
        <v>52</v>
      </c>
      <c r="B55" s="66">
        <v>18.499999999999993</v>
      </c>
      <c r="C55" s="66">
        <v>0.35576923076923062</v>
      </c>
      <c r="D55" s="71">
        <v>2.0576923076923075</v>
      </c>
      <c r="E55" s="67">
        <v>0.28846153846153844</v>
      </c>
      <c r="F55" s="67">
        <v>0.34615384615384615</v>
      </c>
      <c r="G55" s="67">
        <v>0.25623582766439912</v>
      </c>
      <c r="H55" s="67">
        <v>0.15873015873015872</v>
      </c>
      <c r="I55" s="68">
        <v>9616.8141592920347</v>
      </c>
      <c r="J55" s="68">
        <v>-7332.8571428571431</v>
      </c>
      <c r="K55" s="67">
        <v>3.8461538461538464E-2</v>
      </c>
      <c r="L55" s="67">
        <v>0.13461538461538461</v>
      </c>
      <c r="M55" s="67">
        <v>0.26303854875283444</v>
      </c>
      <c r="N55" s="67">
        <v>0.17460317460317459</v>
      </c>
      <c r="O55" s="67">
        <v>0.57758620689655171</v>
      </c>
      <c r="P55" s="67">
        <v>0.35064935064935066</v>
      </c>
      <c r="Q55" s="67">
        <v>0.39823008849557523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D67CE3-4346-412C-B496-FE2DD71485C3}">
  <sheetPr codeName="Sheet12"/>
  <dimension ref="A1:Q4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  <row r="32" spans="1:17" x14ac:dyDescent="0.4">
      <c r="A32" s="69">
        <v>29</v>
      </c>
      <c r="B32" s="66">
        <v>-908.69999999999993</v>
      </c>
      <c r="C32" s="66">
        <v>-31.334482758620688</v>
      </c>
      <c r="D32" s="71">
        <v>2.5172413793103448</v>
      </c>
      <c r="E32" s="67">
        <v>0.13793103448275862</v>
      </c>
      <c r="F32" s="67">
        <v>0.65517241379310343</v>
      </c>
      <c r="G32" s="67">
        <v>0.1875</v>
      </c>
      <c r="H32" s="67">
        <v>0.22083333333333333</v>
      </c>
      <c r="I32" s="68">
        <v>7648.8888888888887</v>
      </c>
      <c r="J32" s="68">
        <v>-9890.566037735849</v>
      </c>
      <c r="K32" s="67">
        <v>0.27586206896551724</v>
      </c>
      <c r="L32" s="67">
        <v>0</v>
      </c>
      <c r="M32" s="67">
        <v>0.24583333333333332</v>
      </c>
      <c r="N32" s="67">
        <v>0.125</v>
      </c>
      <c r="O32" s="67">
        <v>0.47457627118644069</v>
      </c>
      <c r="P32" s="67">
        <v>0.13333333333333333</v>
      </c>
      <c r="Q32" s="67">
        <v>0.55555555555555558</v>
      </c>
    </row>
    <row r="33" spans="1:17" x14ac:dyDescent="0.4">
      <c r="A33" s="69">
        <v>30</v>
      </c>
      <c r="B33" s="66">
        <v>-826.8</v>
      </c>
      <c r="C33" s="66">
        <v>-27.56</v>
      </c>
      <c r="D33" s="71">
        <v>2.4666666666666668</v>
      </c>
      <c r="E33" s="67">
        <v>0.16666666666666666</v>
      </c>
      <c r="F33" s="67">
        <v>0.6333333333333333</v>
      </c>
      <c r="G33" s="67">
        <v>0.19678714859437751</v>
      </c>
      <c r="H33" s="67">
        <v>0.21285140562248997</v>
      </c>
      <c r="I33" s="68">
        <v>8695.9183673469379</v>
      </c>
      <c r="J33" s="68">
        <v>-9890.566037735849</v>
      </c>
      <c r="K33" s="67">
        <v>0.26666666666666666</v>
      </c>
      <c r="L33" s="67">
        <v>3.3333333333333333E-2</v>
      </c>
      <c r="M33" s="67">
        <v>0.24899598393574296</v>
      </c>
      <c r="N33" s="67">
        <v>0.12449799196787148</v>
      </c>
      <c r="O33" s="67">
        <v>0.5</v>
      </c>
      <c r="P33" s="67">
        <v>0.12903225806451613</v>
      </c>
      <c r="Q33" s="67">
        <v>0.53061224489795922</v>
      </c>
    </row>
    <row r="34" spans="1:17" x14ac:dyDescent="0.4">
      <c r="A34" s="69">
        <v>31</v>
      </c>
      <c r="B34" s="66">
        <v>-835.69999999999993</v>
      </c>
      <c r="C34" s="66">
        <v>-26.958064516129031</v>
      </c>
      <c r="D34" s="71">
        <v>2.4516129032258065</v>
      </c>
      <c r="E34" s="67">
        <v>0.16129032258064516</v>
      </c>
      <c r="F34" s="67">
        <v>0.61290322580645162</v>
      </c>
      <c r="G34" s="67">
        <v>0.19607843137254902</v>
      </c>
      <c r="H34" s="67">
        <v>0.20784313725490197</v>
      </c>
      <c r="I34" s="68">
        <v>8564</v>
      </c>
      <c r="J34" s="68">
        <v>-9890.566037735849</v>
      </c>
      <c r="K34" s="67">
        <v>0.25806451612903225</v>
      </c>
      <c r="L34" s="67">
        <v>3.2258064516129031E-2</v>
      </c>
      <c r="M34" s="67">
        <v>0.24705882352941178</v>
      </c>
      <c r="N34" s="67">
        <v>0.12549019607843137</v>
      </c>
      <c r="O34" s="67">
        <v>0.49206349206349204</v>
      </c>
      <c r="P34" s="67">
        <v>0.15625</v>
      </c>
      <c r="Q34" s="67">
        <v>0.54</v>
      </c>
    </row>
    <row r="35" spans="1:17" x14ac:dyDescent="0.4">
      <c r="A35" s="69">
        <v>32</v>
      </c>
      <c r="B35" s="66">
        <v>-838.69999999999993</v>
      </c>
      <c r="C35" s="66">
        <v>-26.209374999999998</v>
      </c>
      <c r="D35" s="71">
        <v>2.4375</v>
      </c>
      <c r="E35" s="67">
        <v>0.15625</v>
      </c>
      <c r="F35" s="67">
        <v>0.59375</v>
      </c>
      <c r="G35" s="67">
        <v>0.19548872180451127</v>
      </c>
      <c r="H35" s="67">
        <v>0.19924812030075187</v>
      </c>
      <c r="I35" s="68">
        <v>8513.461538461539</v>
      </c>
      <c r="J35" s="68">
        <v>-9890.566037735849</v>
      </c>
      <c r="K35" s="67">
        <v>0.25</v>
      </c>
      <c r="L35" s="67">
        <v>3.125E-2</v>
      </c>
      <c r="M35" s="67">
        <v>0.24436090225563908</v>
      </c>
      <c r="N35" s="67">
        <v>0.13909774436090225</v>
      </c>
      <c r="O35" s="67">
        <v>0.47692307692307695</v>
      </c>
      <c r="P35" s="67">
        <v>0.1891891891891892</v>
      </c>
      <c r="Q35" s="67">
        <v>0.51923076923076927</v>
      </c>
    </row>
    <row r="36" spans="1:17" x14ac:dyDescent="0.4">
      <c r="A36" s="69">
        <v>33</v>
      </c>
      <c r="B36" s="66">
        <v>-878.19999999999993</v>
      </c>
      <c r="C36" s="66">
        <v>-26.61212121212121</v>
      </c>
      <c r="D36" s="71">
        <v>2.4545454545454546</v>
      </c>
      <c r="E36" s="67">
        <v>0.15151515151515152</v>
      </c>
      <c r="F36" s="67">
        <v>0.60606060606060608</v>
      </c>
      <c r="G36" s="67">
        <v>0.19708029197080293</v>
      </c>
      <c r="H36" s="67">
        <v>0.19708029197080293</v>
      </c>
      <c r="I36" s="68">
        <v>8348.1481481481478</v>
      </c>
      <c r="J36" s="68">
        <v>-9922.2222222222226</v>
      </c>
      <c r="K36" s="67">
        <v>0.24242424242424243</v>
      </c>
      <c r="L36" s="67">
        <v>3.0303030303030304E-2</v>
      </c>
      <c r="M36" s="67">
        <v>0.24087591240875914</v>
      </c>
      <c r="N36" s="67">
        <v>0.145985401459854</v>
      </c>
      <c r="O36" s="67">
        <v>0.46969696969696972</v>
      </c>
      <c r="P36" s="67">
        <v>0.17499999999999999</v>
      </c>
      <c r="Q36" s="67">
        <v>0.53703703703703709</v>
      </c>
    </row>
    <row r="37" spans="1:17" x14ac:dyDescent="0.4">
      <c r="A37" s="69">
        <v>34</v>
      </c>
      <c r="B37" s="66">
        <v>-833.19999999999993</v>
      </c>
      <c r="C37" s="66">
        <v>-24.505882352941175</v>
      </c>
      <c r="D37" s="71">
        <v>2.4117647058823528</v>
      </c>
      <c r="E37" s="67">
        <v>0.17647058823529413</v>
      </c>
      <c r="F37" s="67">
        <v>0.58823529411764708</v>
      </c>
      <c r="G37" s="67">
        <v>0.20143884892086331</v>
      </c>
      <c r="H37" s="67">
        <v>0.19424460431654678</v>
      </c>
      <c r="I37" s="68">
        <v>8514.2857142857138</v>
      </c>
      <c r="J37" s="68">
        <v>-9922.2222222222226</v>
      </c>
      <c r="K37" s="67">
        <v>0.23529411764705882</v>
      </c>
      <c r="L37" s="67">
        <v>5.8823529411764705E-2</v>
      </c>
      <c r="M37" s="67">
        <v>0.24820143884892087</v>
      </c>
      <c r="N37" s="67">
        <v>0.14388489208633093</v>
      </c>
      <c r="O37" s="67">
        <v>0.47826086956521741</v>
      </c>
      <c r="P37" s="67">
        <v>0.17499999999999999</v>
      </c>
      <c r="Q37" s="67">
        <v>0.5357142857142857</v>
      </c>
    </row>
    <row r="38" spans="1:17" x14ac:dyDescent="0.4">
      <c r="A38" s="69">
        <v>35</v>
      </c>
      <c r="B38" s="66">
        <v>-815.59999999999991</v>
      </c>
      <c r="C38" s="66">
        <v>-23.302857142857139</v>
      </c>
      <c r="D38" s="71">
        <v>2.4</v>
      </c>
      <c r="E38" s="67">
        <v>0.17142857142857143</v>
      </c>
      <c r="F38" s="67">
        <v>0.5714285714285714</v>
      </c>
      <c r="G38" s="67">
        <v>0.20494699646643111</v>
      </c>
      <c r="H38" s="67">
        <v>0.19434628975265017</v>
      </c>
      <c r="I38" s="68">
        <v>8679.310344827587</v>
      </c>
      <c r="J38" s="68">
        <v>-9960</v>
      </c>
      <c r="K38" s="67">
        <v>0.22857142857142856</v>
      </c>
      <c r="L38" s="67">
        <v>5.7142857142857141E-2</v>
      </c>
      <c r="M38" s="67">
        <v>0.25088339222614842</v>
      </c>
      <c r="N38" s="67">
        <v>0.14487632508833923</v>
      </c>
      <c r="O38" s="67">
        <v>0.49295774647887325</v>
      </c>
      <c r="P38" s="67">
        <v>0.17073170731707318</v>
      </c>
      <c r="Q38" s="67">
        <v>0.51724137931034486</v>
      </c>
    </row>
    <row r="39" spans="1:17" x14ac:dyDescent="0.4">
      <c r="A39" s="69">
        <v>36</v>
      </c>
      <c r="B39" s="66">
        <v>-783.49999999999989</v>
      </c>
      <c r="C39" s="66">
        <v>-21.763888888888886</v>
      </c>
      <c r="D39" s="71">
        <v>2.3611111111111112</v>
      </c>
      <c r="E39" s="67">
        <v>0.19444444444444445</v>
      </c>
      <c r="F39" s="67">
        <v>0.55555555555555558</v>
      </c>
      <c r="G39" s="67">
        <v>0.21232876712328766</v>
      </c>
      <c r="H39" s="67">
        <v>0.19178082191780821</v>
      </c>
      <c r="I39" s="68">
        <v>8551.6129032258068</v>
      </c>
      <c r="J39" s="68">
        <v>-9875</v>
      </c>
      <c r="K39" s="67">
        <v>0.22222222222222221</v>
      </c>
      <c r="L39" s="67">
        <v>5.5555555555555552E-2</v>
      </c>
      <c r="M39" s="67">
        <v>0.25342465753424659</v>
      </c>
      <c r="N39" s="67">
        <v>0.14726027397260275</v>
      </c>
      <c r="O39" s="67">
        <v>0.51351351351351349</v>
      </c>
      <c r="P39" s="67">
        <v>0.18604651162790697</v>
      </c>
      <c r="Q39" s="67">
        <v>0.5</v>
      </c>
    </row>
    <row r="40" spans="1:17" x14ac:dyDescent="0.4">
      <c r="A40" s="69">
        <v>37</v>
      </c>
      <c r="B40" s="66">
        <v>-826.89999999999986</v>
      </c>
      <c r="C40" s="66">
        <v>-22.348648648648645</v>
      </c>
      <c r="D40" s="71">
        <v>2.3783783783783785</v>
      </c>
      <c r="E40" s="67">
        <v>0.1891891891891892</v>
      </c>
      <c r="F40" s="67">
        <v>0.56756756756756754</v>
      </c>
      <c r="G40" s="67">
        <v>0.21</v>
      </c>
      <c r="H40" s="67">
        <v>0.19333333333333333</v>
      </c>
      <c r="I40" s="68">
        <v>8457.1428571428569</v>
      </c>
      <c r="J40" s="68">
        <v>-9810.3448275862065</v>
      </c>
      <c r="K40" s="67">
        <v>0.21621621621621623</v>
      </c>
      <c r="L40" s="67">
        <v>5.4054054054054057E-2</v>
      </c>
      <c r="M40" s="67">
        <v>0.24666666666666667</v>
      </c>
      <c r="N40" s="67">
        <v>0.14666666666666667</v>
      </c>
      <c r="O40" s="67">
        <v>0.51351351351351349</v>
      </c>
      <c r="P40" s="67">
        <v>0.18181818181818182</v>
      </c>
      <c r="Q40" s="67">
        <v>0.49206349206349204</v>
      </c>
    </row>
    <row r="41" spans="1:17" x14ac:dyDescent="0.4">
      <c r="A41" s="69">
        <v>38</v>
      </c>
      <c r="B41" s="66">
        <v>-829.99999999999989</v>
      </c>
      <c r="C41" s="66">
        <v>-21.84210526315789</v>
      </c>
      <c r="D41" s="71">
        <v>2.3684210526315788</v>
      </c>
      <c r="E41" s="67">
        <v>0.18421052631578946</v>
      </c>
      <c r="F41" s="67">
        <v>0.55263157894736847</v>
      </c>
      <c r="G41" s="67">
        <v>0.21035598705501618</v>
      </c>
      <c r="H41" s="67">
        <v>0.1941747572815534</v>
      </c>
      <c r="I41" s="68">
        <v>8566.1538461538457</v>
      </c>
      <c r="J41" s="68">
        <v>-9846.6666666666661</v>
      </c>
      <c r="K41" s="67">
        <v>0.21052631578947367</v>
      </c>
      <c r="L41" s="67">
        <v>5.2631578947368418E-2</v>
      </c>
      <c r="M41" s="67">
        <v>0.24919093851132687</v>
      </c>
      <c r="N41" s="67">
        <v>0.14563106796116504</v>
      </c>
      <c r="O41" s="67">
        <v>0.50649350649350644</v>
      </c>
      <c r="P41" s="67">
        <v>0.2</v>
      </c>
      <c r="Q41" s="67">
        <v>0.50769230769230766</v>
      </c>
    </row>
    <row r="42" spans="1:17" x14ac:dyDescent="0.4">
      <c r="A42" s="69">
        <v>39</v>
      </c>
      <c r="B42" s="66">
        <v>-786.29999999999984</v>
      </c>
      <c r="C42" s="66">
        <v>-20.161538461538459</v>
      </c>
      <c r="D42" s="71">
        <v>2.3333333333333335</v>
      </c>
      <c r="E42" s="67">
        <v>0.20512820512820512</v>
      </c>
      <c r="F42" s="67">
        <v>0.53846153846153844</v>
      </c>
      <c r="G42" s="67">
        <v>0.21766561514195584</v>
      </c>
      <c r="H42" s="67">
        <v>0.19242902208201892</v>
      </c>
      <c r="I42" s="68">
        <v>8724.63768115942</v>
      </c>
      <c r="J42" s="68">
        <v>-9816.3934426229516</v>
      </c>
      <c r="K42" s="67">
        <v>0.20512820512820512</v>
      </c>
      <c r="L42" s="67">
        <v>5.128205128205128E-2</v>
      </c>
      <c r="M42" s="67">
        <v>0.24921135646687698</v>
      </c>
      <c r="N42" s="67">
        <v>0.14826498422712933</v>
      </c>
      <c r="O42" s="67">
        <v>0.51898734177215189</v>
      </c>
      <c r="P42" s="67">
        <v>0.21276595744680851</v>
      </c>
      <c r="Q42" s="67">
        <v>0.49275362318840582</v>
      </c>
    </row>
    <row r="43" spans="1:17" x14ac:dyDescent="0.4">
      <c r="A43" s="69">
        <v>40</v>
      </c>
      <c r="B43" s="66">
        <v>-820.5999999999998</v>
      </c>
      <c r="C43" s="66">
        <v>-20.514999999999993</v>
      </c>
      <c r="D43" s="71">
        <v>2.35</v>
      </c>
      <c r="E43" s="67">
        <v>0.2</v>
      </c>
      <c r="F43" s="67">
        <v>0.55000000000000004</v>
      </c>
      <c r="G43" s="67">
        <v>0.21362229102167182</v>
      </c>
      <c r="H43" s="67">
        <v>0.19504643962848298</v>
      </c>
      <c r="I43" s="68">
        <v>8724.63768115942</v>
      </c>
      <c r="J43" s="68">
        <v>-9663.4920634920636</v>
      </c>
      <c r="K43" s="67">
        <v>0.2</v>
      </c>
      <c r="L43" s="67">
        <v>0.05</v>
      </c>
      <c r="M43" s="67">
        <v>0.25077399380804954</v>
      </c>
      <c r="N43" s="67">
        <v>0.15170278637770898</v>
      </c>
      <c r="O43" s="67">
        <v>0.50617283950617287</v>
      </c>
      <c r="P43" s="67">
        <v>0.20408163265306123</v>
      </c>
      <c r="Q43" s="67">
        <v>0.49275362318840582</v>
      </c>
    </row>
    <row r="44" spans="1:17" x14ac:dyDescent="0.4">
      <c r="A44" s="69">
        <v>41</v>
      </c>
      <c r="B44" s="66">
        <v>-820.5999999999998</v>
      </c>
      <c r="C44" s="66">
        <v>-20.014634146341457</v>
      </c>
      <c r="D44" s="71">
        <v>2.3170731707317072</v>
      </c>
      <c r="E44" s="67">
        <v>0.21951219512195122</v>
      </c>
      <c r="F44" s="67">
        <v>0.53658536585365857</v>
      </c>
      <c r="G44" s="67">
        <v>0.21362229102167182</v>
      </c>
      <c r="H44" s="67">
        <v>0.19504643962848298</v>
      </c>
      <c r="I44" s="68">
        <v>8724.63768115942</v>
      </c>
      <c r="J44" s="68">
        <v>-9663.4920634920636</v>
      </c>
      <c r="K44" s="67">
        <v>0.1951219512195122</v>
      </c>
      <c r="L44" s="67">
        <v>4.878048780487805E-2</v>
      </c>
      <c r="M44" s="67">
        <v>0.25077399380804954</v>
      </c>
      <c r="N44" s="67">
        <v>0.15170278637770898</v>
      </c>
      <c r="O44" s="67">
        <v>0.50617283950617287</v>
      </c>
      <c r="P44" s="67">
        <v>0.20408163265306123</v>
      </c>
      <c r="Q44" s="67">
        <v>0.49275362318840582</v>
      </c>
    </row>
    <row r="45" spans="1:17" x14ac:dyDescent="0.4">
      <c r="A45" s="69">
        <v>42</v>
      </c>
      <c r="B45" s="66">
        <v>-789.99999999999977</v>
      </c>
      <c r="C45" s="66">
        <v>-18.809523809523803</v>
      </c>
      <c r="D45" s="71">
        <v>2.2857142857142856</v>
      </c>
      <c r="E45" s="67">
        <v>0.23809523809523808</v>
      </c>
      <c r="F45" s="67">
        <v>0.52380952380952384</v>
      </c>
      <c r="G45" s="67">
        <v>0.21450151057401812</v>
      </c>
      <c r="H45" s="67">
        <v>0.19335347432024169</v>
      </c>
      <c r="I45" s="68">
        <v>8760.5633802816901</v>
      </c>
      <c r="J45" s="68">
        <v>-9603.125</v>
      </c>
      <c r="K45" s="67">
        <v>0.19047619047619047</v>
      </c>
      <c r="L45" s="67">
        <v>4.7619047619047616E-2</v>
      </c>
      <c r="M45" s="67">
        <v>0.25075528700906347</v>
      </c>
      <c r="N45" s="67">
        <v>0.15407854984894259</v>
      </c>
      <c r="O45" s="67">
        <v>0.51807228915662651</v>
      </c>
      <c r="P45" s="67">
        <v>0.19607843137254902</v>
      </c>
      <c r="Q45" s="67">
        <v>0.50704225352112675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985E2-7960-40C7-9F36-AF4A01C142D4}">
  <sheetPr codeName="Sheet10"/>
  <dimension ref="A1:Q10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  <row r="79" spans="1:17" x14ac:dyDescent="0.4">
      <c r="A79" s="69">
        <v>76</v>
      </c>
      <c r="B79" s="66">
        <v>-77.500000000000057</v>
      </c>
      <c r="C79" s="66">
        <v>-1.0197368421052639</v>
      </c>
      <c r="D79" s="71">
        <v>2.0394736842105261</v>
      </c>
      <c r="E79" s="67">
        <v>0.27631578947368424</v>
      </c>
      <c r="F79" s="67">
        <v>0.31578947368421051</v>
      </c>
      <c r="G79" s="67">
        <v>0.29318541996830427</v>
      </c>
      <c r="H79" s="67">
        <v>0.17274167987321712</v>
      </c>
      <c r="I79" s="68">
        <v>8856.7567567567567</v>
      </c>
      <c r="J79" s="68">
        <v>-7408.2568807339449</v>
      </c>
      <c r="K79" s="67">
        <v>0.11842105263157894</v>
      </c>
      <c r="L79" s="67">
        <v>7.8947368421052627E-2</v>
      </c>
      <c r="M79" s="67">
        <v>0.28367670364500791</v>
      </c>
      <c r="N79" s="67">
        <v>0.19334389857369255</v>
      </c>
      <c r="O79" s="67">
        <v>0.64245810055865926</v>
      </c>
      <c r="P79" s="67">
        <v>0.28688524590163933</v>
      </c>
      <c r="Q79" s="67">
        <v>0.39459459459459462</v>
      </c>
    </row>
    <row r="80" spans="1:17" x14ac:dyDescent="0.4">
      <c r="A80" s="69">
        <v>77</v>
      </c>
      <c r="B80" s="66">
        <v>-82.800000000000054</v>
      </c>
      <c r="C80" s="66">
        <v>-1.0753246753246761</v>
      </c>
      <c r="D80" s="71">
        <v>2.0389610389610389</v>
      </c>
      <c r="E80" s="67">
        <v>0.27272727272727271</v>
      </c>
      <c r="F80" s="67">
        <v>0.31168831168831168</v>
      </c>
      <c r="G80" s="67">
        <v>0.29218749999999999</v>
      </c>
      <c r="H80" s="67">
        <v>0.17499999999999999</v>
      </c>
      <c r="I80" s="68">
        <v>8997.3262032085568</v>
      </c>
      <c r="J80" s="68">
        <v>-7440.1785714285716</v>
      </c>
      <c r="K80" s="67">
        <v>0.11688311688311688</v>
      </c>
      <c r="L80" s="67">
        <v>7.792207792207792E-2</v>
      </c>
      <c r="M80" s="67">
        <v>0.28437499999999999</v>
      </c>
      <c r="N80" s="67">
        <v>0.19375000000000001</v>
      </c>
      <c r="O80" s="67">
        <v>0.6428571428571429</v>
      </c>
      <c r="P80" s="67">
        <v>0.28225806451612906</v>
      </c>
      <c r="Q80" s="67">
        <v>0.40106951871657753</v>
      </c>
    </row>
    <row r="81" spans="1:17" x14ac:dyDescent="0.4">
      <c r="A81" s="69">
        <v>78</v>
      </c>
      <c r="B81" s="66">
        <v>-95.400000000000048</v>
      </c>
      <c r="C81" s="66">
        <v>-1.2230769230769236</v>
      </c>
      <c r="D81" s="71">
        <v>2.0384615384615383</v>
      </c>
      <c r="E81" s="67">
        <v>0.26923076923076922</v>
      </c>
      <c r="F81" s="67">
        <v>0.30769230769230771</v>
      </c>
      <c r="G81" s="67">
        <v>0.29339477726574503</v>
      </c>
      <c r="H81" s="67">
        <v>0.17204301075268819</v>
      </c>
      <c r="I81" s="68">
        <v>8919.8952879581157</v>
      </c>
      <c r="J81" s="68">
        <v>-7440.1785714285716</v>
      </c>
      <c r="K81" s="67">
        <v>0.11538461538461539</v>
      </c>
      <c r="L81" s="67">
        <v>7.6923076923076927E-2</v>
      </c>
      <c r="M81" s="67">
        <v>0.2857142857142857</v>
      </c>
      <c r="N81" s="67">
        <v>0.19662058371735791</v>
      </c>
      <c r="O81" s="67">
        <v>0.64516129032258063</v>
      </c>
      <c r="P81" s="67">
        <v>0.28125</v>
      </c>
      <c r="Q81" s="67">
        <v>0.39790575916230364</v>
      </c>
    </row>
    <row r="82" spans="1:17" x14ac:dyDescent="0.4">
      <c r="A82" s="69">
        <v>79</v>
      </c>
      <c r="B82" s="66">
        <v>-29.200000000000045</v>
      </c>
      <c r="C82" s="66">
        <v>-0.36962025316455754</v>
      </c>
      <c r="D82" s="71">
        <v>2.0253164556962027</v>
      </c>
      <c r="E82" s="67">
        <v>0.27848101265822783</v>
      </c>
      <c r="F82" s="67">
        <v>0.30379746835443039</v>
      </c>
      <c r="G82" s="67">
        <v>0.29528158295281581</v>
      </c>
      <c r="H82" s="67">
        <v>0.17047184170471841</v>
      </c>
      <c r="I82" s="68">
        <v>8977.8350515463917</v>
      </c>
      <c r="J82" s="68">
        <v>-7440.1785714285716</v>
      </c>
      <c r="K82" s="67">
        <v>0.11392405063291139</v>
      </c>
      <c r="L82" s="67">
        <v>8.8607594936708861E-2</v>
      </c>
      <c r="M82" s="67">
        <v>0.28767123287671231</v>
      </c>
      <c r="N82" s="67">
        <v>0.19634703196347031</v>
      </c>
      <c r="O82" s="67">
        <v>0.64021164021164023</v>
      </c>
      <c r="P82" s="67">
        <v>0.2868217054263566</v>
      </c>
      <c r="Q82" s="67">
        <v>0.40206185567010311</v>
      </c>
    </row>
    <row r="83" spans="1:17" x14ac:dyDescent="0.4">
      <c r="A83" s="69">
        <v>80</v>
      </c>
      <c r="B83" s="66">
        <v>-64.80000000000004</v>
      </c>
      <c r="C83" s="66">
        <v>-0.8100000000000005</v>
      </c>
      <c r="D83" s="71">
        <v>2.0375000000000001</v>
      </c>
      <c r="E83" s="67">
        <v>0.27500000000000002</v>
      </c>
      <c r="F83" s="67">
        <v>0.3125</v>
      </c>
      <c r="G83" s="67">
        <v>0.29341317365269459</v>
      </c>
      <c r="H83" s="67">
        <v>0.17065868263473055</v>
      </c>
      <c r="I83" s="68">
        <v>9039.2857142857138</v>
      </c>
      <c r="J83" s="68">
        <v>-7464.0350877192986</v>
      </c>
      <c r="K83" s="67">
        <v>0.1125</v>
      </c>
      <c r="L83" s="67">
        <v>8.7499999999999994E-2</v>
      </c>
      <c r="M83" s="67">
        <v>0.28742514970059879</v>
      </c>
      <c r="N83" s="67">
        <v>0.19610778443113772</v>
      </c>
      <c r="O83" s="67">
        <v>0.640625</v>
      </c>
      <c r="P83" s="67">
        <v>0.28244274809160308</v>
      </c>
      <c r="Q83" s="67">
        <v>0.40306122448979592</v>
      </c>
    </row>
    <row r="84" spans="1:17" x14ac:dyDescent="0.4">
      <c r="A84" s="69">
        <v>81</v>
      </c>
      <c r="B84" s="66">
        <v>-101.60000000000004</v>
      </c>
      <c r="C84" s="66">
        <v>-1.2543209876543215</v>
      </c>
      <c r="D84" s="71">
        <v>2.0493827160493829</v>
      </c>
      <c r="E84" s="67">
        <v>0.27160493827160492</v>
      </c>
      <c r="F84" s="67">
        <v>0.32098765432098764</v>
      </c>
      <c r="G84" s="67">
        <v>0.29185185185185186</v>
      </c>
      <c r="H84" s="67">
        <v>0.17037037037037037</v>
      </c>
      <c r="I84" s="68">
        <v>8999.4923857868016</v>
      </c>
      <c r="J84" s="68">
        <v>-7416.521739130435</v>
      </c>
      <c r="K84" s="67">
        <v>0.1111111111111111</v>
      </c>
      <c r="L84" s="67">
        <v>8.6419753086419748E-2</v>
      </c>
      <c r="M84" s="67">
        <v>0.28444444444444444</v>
      </c>
      <c r="N84" s="67">
        <v>0.19555555555555557</v>
      </c>
      <c r="O84" s="67">
        <v>0.640625</v>
      </c>
      <c r="P84" s="67">
        <v>0.28030303030303028</v>
      </c>
      <c r="Q84" s="67">
        <v>0.40609137055837563</v>
      </c>
    </row>
    <row r="85" spans="1:17" x14ac:dyDescent="0.4">
      <c r="A85" s="69">
        <v>82</v>
      </c>
      <c r="B85" s="66">
        <v>-91.600000000000037</v>
      </c>
      <c r="C85" s="66">
        <v>-1.1170731707317079</v>
      </c>
      <c r="D85" s="71">
        <v>2.0487804878048781</v>
      </c>
      <c r="E85" s="67">
        <v>0.26829268292682928</v>
      </c>
      <c r="F85" s="67">
        <v>0.31707317073170732</v>
      </c>
      <c r="G85" s="67">
        <v>0.29136163982430452</v>
      </c>
      <c r="H85" s="67">
        <v>0.16837481698389459</v>
      </c>
      <c r="I85" s="68">
        <v>8974.3718592964833</v>
      </c>
      <c r="J85" s="68">
        <v>-7416.521739130435</v>
      </c>
      <c r="K85" s="67">
        <v>0.10975609756097561</v>
      </c>
      <c r="L85" s="67">
        <v>8.5365853658536592E-2</v>
      </c>
      <c r="M85" s="67">
        <v>0.28550512445095166</v>
      </c>
      <c r="N85" s="67">
        <v>0.19619326500732065</v>
      </c>
      <c r="O85" s="67">
        <v>0.64102564102564108</v>
      </c>
      <c r="P85" s="67">
        <v>0.27611940298507465</v>
      </c>
      <c r="Q85" s="67">
        <v>0.40703517587939697</v>
      </c>
    </row>
    <row r="86" spans="1:17" x14ac:dyDescent="0.4">
      <c r="A86" s="69">
        <v>83</v>
      </c>
      <c r="B86" s="66">
        <v>-49.100000000000037</v>
      </c>
      <c r="C86" s="66">
        <v>-0.59156626506024146</v>
      </c>
      <c r="D86" s="71">
        <v>2.036144578313253</v>
      </c>
      <c r="E86" s="67">
        <v>0.27710843373493976</v>
      </c>
      <c r="F86" s="67">
        <v>0.31325301204819278</v>
      </c>
      <c r="G86" s="67">
        <v>0.29088277858176553</v>
      </c>
      <c r="H86" s="67">
        <v>0.16642547033285093</v>
      </c>
      <c r="I86" s="68">
        <v>9062.1890547263683</v>
      </c>
      <c r="J86" s="68">
        <v>-7416.521739130435</v>
      </c>
      <c r="K86" s="67">
        <v>0.10843373493975904</v>
      </c>
      <c r="L86" s="67">
        <v>8.4337349397590355E-2</v>
      </c>
      <c r="M86" s="67">
        <v>0.28364688856729375</v>
      </c>
      <c r="N86" s="67">
        <v>0.19536903039073805</v>
      </c>
      <c r="O86" s="67">
        <v>0.6428571428571429</v>
      </c>
      <c r="P86" s="67">
        <v>0.27407407407407408</v>
      </c>
      <c r="Q86" s="67">
        <v>0.4079601990049751</v>
      </c>
    </row>
    <row r="87" spans="1:17" x14ac:dyDescent="0.4">
      <c r="A87" s="69">
        <v>84</v>
      </c>
      <c r="B87" s="66">
        <v>-56.100000000000037</v>
      </c>
      <c r="C87" s="66">
        <v>-0.66785714285714326</v>
      </c>
      <c r="D87" s="71">
        <v>2.0357142857142856</v>
      </c>
      <c r="E87" s="67">
        <v>0.27380952380952384</v>
      </c>
      <c r="F87" s="67">
        <v>0.30952380952380953</v>
      </c>
      <c r="G87" s="67">
        <v>0.29041487839771102</v>
      </c>
      <c r="H87" s="67">
        <v>0.16595135908440631</v>
      </c>
      <c r="I87" s="68">
        <v>9057.6354679802953</v>
      </c>
      <c r="J87" s="68">
        <v>-7375</v>
      </c>
      <c r="K87" s="67">
        <v>0.10714285714285714</v>
      </c>
      <c r="L87" s="67">
        <v>8.3333333333333329E-2</v>
      </c>
      <c r="M87" s="67">
        <v>0.2832618025751073</v>
      </c>
      <c r="N87" s="67">
        <v>0.19599427753934193</v>
      </c>
      <c r="O87" s="67">
        <v>0.64141414141414144</v>
      </c>
      <c r="P87" s="67">
        <v>0.27737226277372262</v>
      </c>
      <c r="Q87" s="67">
        <v>0.4039408866995074</v>
      </c>
    </row>
    <row r="88" spans="1:17" x14ac:dyDescent="0.4">
      <c r="A88" s="69">
        <v>85</v>
      </c>
      <c r="B88" s="66">
        <v>-90.30000000000004</v>
      </c>
      <c r="C88" s="66">
        <v>-1.0623529411764712</v>
      </c>
      <c r="D88" s="71">
        <v>2.0470588235294116</v>
      </c>
      <c r="E88" s="67">
        <v>0.27058823529411763</v>
      </c>
      <c r="F88" s="67">
        <v>0.31764705882352939</v>
      </c>
      <c r="G88" s="67">
        <v>0.29014084507042254</v>
      </c>
      <c r="H88" s="67">
        <v>0.1647887323943662</v>
      </c>
      <c r="I88" s="68">
        <v>9119.9029126213591</v>
      </c>
      <c r="J88" s="68">
        <v>-7517.0940170940175</v>
      </c>
      <c r="K88" s="67">
        <v>0.10588235294117647</v>
      </c>
      <c r="L88" s="67">
        <v>8.2352941176470587E-2</v>
      </c>
      <c r="M88" s="67">
        <v>0.28309859154929579</v>
      </c>
      <c r="N88" s="67">
        <v>0.19577464788732393</v>
      </c>
      <c r="O88" s="67">
        <v>0.63681592039800994</v>
      </c>
      <c r="P88" s="67">
        <v>0.28776978417266186</v>
      </c>
      <c r="Q88" s="67">
        <v>0.41262135922330095</v>
      </c>
    </row>
    <row r="89" spans="1:17" x14ac:dyDescent="0.4">
      <c r="A89" s="69">
        <v>86</v>
      </c>
      <c r="B89" s="66">
        <v>-148.80000000000004</v>
      </c>
      <c r="C89" s="66">
        <v>-1.7302325581395352</v>
      </c>
      <c r="D89" s="71">
        <v>2.058139534883721</v>
      </c>
      <c r="E89" s="67">
        <v>0.26744186046511625</v>
      </c>
      <c r="F89" s="67">
        <v>0.32558139534883723</v>
      </c>
      <c r="G89" s="67">
        <v>0.28851540616246496</v>
      </c>
      <c r="H89" s="67">
        <v>0.16666666666666666</v>
      </c>
      <c r="I89" s="68">
        <v>9119.9029126213591</v>
      </c>
      <c r="J89" s="68">
        <v>-7642.8571428571431</v>
      </c>
      <c r="K89" s="67">
        <v>0.11627906976744186</v>
      </c>
      <c r="L89" s="67">
        <v>8.1395348837209308E-2</v>
      </c>
      <c r="M89" s="67">
        <v>0.28431372549019607</v>
      </c>
      <c r="N89" s="67">
        <v>0.19467787114845939</v>
      </c>
      <c r="O89" s="67">
        <v>0.63054187192118227</v>
      </c>
      <c r="P89" s="67">
        <v>0.28776978417266186</v>
      </c>
      <c r="Q89" s="67">
        <v>0.41262135922330095</v>
      </c>
    </row>
    <row r="90" spans="1:17" x14ac:dyDescent="0.4">
      <c r="A90" s="69">
        <v>87</v>
      </c>
      <c r="B90" s="66">
        <v>-226.80000000000004</v>
      </c>
      <c r="C90" s="66">
        <v>-2.6068965517241383</v>
      </c>
      <c r="D90" s="71">
        <v>2.0689655172413794</v>
      </c>
      <c r="E90" s="67">
        <v>0.26436781609195403</v>
      </c>
      <c r="F90" s="67">
        <v>0.33333333333333331</v>
      </c>
      <c r="G90" s="67">
        <v>0.28650904033379693</v>
      </c>
      <c r="H90" s="67">
        <v>0.16968011126564672</v>
      </c>
      <c r="I90" s="68">
        <v>9119.9029126213591</v>
      </c>
      <c r="J90" s="68">
        <v>-7897.5409836065573</v>
      </c>
      <c r="K90" s="67">
        <v>0.12643678160919541</v>
      </c>
      <c r="L90" s="67">
        <v>8.0459770114942528E-2</v>
      </c>
      <c r="M90" s="67">
        <v>0.28650904033379693</v>
      </c>
      <c r="N90" s="67">
        <v>0.19471488178025034</v>
      </c>
      <c r="O90" s="67">
        <v>0.62135922330097082</v>
      </c>
      <c r="P90" s="67">
        <v>0.2857142857142857</v>
      </c>
      <c r="Q90" s="67">
        <v>0.41262135922330095</v>
      </c>
    </row>
    <row r="91" spans="1:17" x14ac:dyDescent="0.4">
      <c r="A91" s="69">
        <v>88</v>
      </c>
      <c r="B91" s="66">
        <v>-218.00000000000003</v>
      </c>
      <c r="C91" s="66">
        <v>-2.4772727272727275</v>
      </c>
      <c r="D91" s="71">
        <v>2.0681818181818183</v>
      </c>
      <c r="E91" s="67">
        <v>0.26136363636363635</v>
      </c>
      <c r="F91" s="67">
        <v>0.32954545454545453</v>
      </c>
      <c r="G91" s="67">
        <v>0.28708791208791207</v>
      </c>
      <c r="H91" s="67">
        <v>0.16895604395604397</v>
      </c>
      <c r="I91" s="68">
        <v>9083.7320574162677</v>
      </c>
      <c r="J91" s="68">
        <v>-7849.5934959349597</v>
      </c>
      <c r="K91" s="67">
        <v>0.125</v>
      </c>
      <c r="L91" s="67">
        <v>7.9545454545454544E-2</v>
      </c>
      <c r="M91" s="67">
        <v>0.28708791208791207</v>
      </c>
      <c r="N91" s="67">
        <v>0.19368131868131869</v>
      </c>
      <c r="O91" s="67">
        <v>0.61722488038277512</v>
      </c>
      <c r="P91" s="67">
        <v>0.29078014184397161</v>
      </c>
      <c r="Q91" s="67">
        <v>0.41148325358851673</v>
      </c>
    </row>
    <row r="92" spans="1:17" x14ac:dyDescent="0.4">
      <c r="A92" s="69">
        <v>89</v>
      </c>
      <c r="B92" s="66">
        <v>-208.40000000000003</v>
      </c>
      <c r="C92" s="66">
        <v>-2.3415730337078657</v>
      </c>
      <c r="D92" s="71">
        <v>2.0674157303370788</v>
      </c>
      <c r="E92" s="67">
        <v>0.25842696629213485</v>
      </c>
      <c r="F92" s="67">
        <v>0.3258426966292135</v>
      </c>
      <c r="G92" s="67">
        <v>0.28668478260869568</v>
      </c>
      <c r="H92" s="67">
        <v>0.16983695652173914</v>
      </c>
      <c r="I92" s="68">
        <v>9090.995260663507</v>
      </c>
      <c r="J92" s="68">
        <v>-7771.2</v>
      </c>
      <c r="K92" s="67">
        <v>0.12359550561797752</v>
      </c>
      <c r="L92" s="67">
        <v>7.8651685393258425E-2</v>
      </c>
      <c r="M92" s="67">
        <v>0.28940217391304346</v>
      </c>
      <c r="N92" s="67">
        <v>0.19429347826086957</v>
      </c>
      <c r="O92" s="67">
        <v>0.61502347417840375</v>
      </c>
      <c r="P92" s="67">
        <v>0.28671328671328672</v>
      </c>
      <c r="Q92" s="67">
        <v>0.41232227488151657</v>
      </c>
    </row>
    <row r="93" spans="1:17" x14ac:dyDescent="0.4">
      <c r="A93" s="69">
        <v>90</v>
      </c>
      <c r="B93" s="66">
        <v>-273.5</v>
      </c>
      <c r="C93" s="66">
        <v>-3.0388888888888888</v>
      </c>
      <c r="D93" s="71">
        <v>2.0777777777777779</v>
      </c>
      <c r="E93" s="67">
        <v>0.25555555555555554</v>
      </c>
      <c r="F93" s="67">
        <v>0.33333333333333331</v>
      </c>
      <c r="G93" s="67">
        <v>0.28322147651006713</v>
      </c>
      <c r="H93" s="67">
        <v>0.17046979865771811</v>
      </c>
      <c r="I93" s="68">
        <v>9090.995260663507</v>
      </c>
      <c r="J93" s="68">
        <v>-7837.7952755905508</v>
      </c>
      <c r="K93" s="67">
        <v>0.13333333333333333</v>
      </c>
      <c r="L93" s="67">
        <v>7.7777777777777779E-2</v>
      </c>
      <c r="M93" s="67">
        <v>0.28859060402684567</v>
      </c>
      <c r="N93" s="67">
        <v>0.19463087248322147</v>
      </c>
      <c r="O93" s="67">
        <v>0.6093023255813953</v>
      </c>
      <c r="P93" s="67">
        <v>0.28275862068965518</v>
      </c>
      <c r="Q93" s="67">
        <v>0.41232227488151657</v>
      </c>
    </row>
    <row r="94" spans="1:17" x14ac:dyDescent="0.4">
      <c r="A94" s="69">
        <v>91</v>
      </c>
      <c r="B94" s="66">
        <v>-241.9</v>
      </c>
      <c r="C94" s="66">
        <v>-2.6582417582417581</v>
      </c>
      <c r="D94" s="71">
        <v>2.0659340659340661</v>
      </c>
      <c r="E94" s="67">
        <v>0.26373626373626374</v>
      </c>
      <c r="F94" s="67">
        <v>0.32967032967032966</v>
      </c>
      <c r="G94" s="67">
        <v>0.28346456692913385</v>
      </c>
      <c r="H94" s="67">
        <v>0.16929133858267717</v>
      </c>
      <c r="I94" s="68">
        <v>9094.4444444444453</v>
      </c>
      <c r="J94" s="68">
        <v>-7871.3178294573645</v>
      </c>
      <c r="K94" s="67">
        <v>0.13186813186813187</v>
      </c>
      <c r="L94" s="67">
        <v>7.6923076923076927E-2</v>
      </c>
      <c r="M94" s="67">
        <v>0.28871391076115488</v>
      </c>
      <c r="N94" s="67">
        <v>0.19553805774278216</v>
      </c>
      <c r="O94" s="67">
        <v>0.61363636363636365</v>
      </c>
      <c r="P94" s="67">
        <v>0.27516778523489932</v>
      </c>
      <c r="Q94" s="67">
        <v>0.42129629629629628</v>
      </c>
    </row>
    <row r="95" spans="1:17" x14ac:dyDescent="0.4">
      <c r="A95" s="69">
        <v>92</v>
      </c>
      <c r="B95" s="66">
        <v>-273.60000000000002</v>
      </c>
      <c r="C95" s="66">
        <v>-2.973913043478261</v>
      </c>
      <c r="D95" s="71">
        <v>2.0760869565217392</v>
      </c>
      <c r="E95" s="67">
        <v>0.2608695652173913</v>
      </c>
      <c r="F95" s="67">
        <v>0.33695652173913043</v>
      </c>
      <c r="G95" s="67">
        <v>0.2814526588845655</v>
      </c>
      <c r="H95" s="67">
        <v>0.16861219195849547</v>
      </c>
      <c r="I95" s="68">
        <v>9089.4009216589857</v>
      </c>
      <c r="J95" s="68">
        <v>-7840.7692307692305</v>
      </c>
      <c r="K95" s="67">
        <v>0.13043478260869565</v>
      </c>
      <c r="L95" s="67">
        <v>7.6086956521739135E-2</v>
      </c>
      <c r="M95" s="67">
        <v>0.28793774319066145</v>
      </c>
      <c r="N95" s="67">
        <v>0.19455252918287938</v>
      </c>
      <c r="O95" s="67">
        <v>0.61261261261261257</v>
      </c>
      <c r="P95" s="67">
        <v>0.27333333333333332</v>
      </c>
      <c r="Q95" s="67">
        <v>0.42396313364055299</v>
      </c>
    </row>
    <row r="96" spans="1:17" x14ac:dyDescent="0.4">
      <c r="A96" s="69">
        <v>93</v>
      </c>
      <c r="B96" s="66">
        <v>-210.50000000000003</v>
      </c>
      <c r="C96" s="66">
        <v>-2.263440860215054</v>
      </c>
      <c r="D96" s="71">
        <v>2.064516129032258</v>
      </c>
      <c r="E96" s="67">
        <v>0.26881720430107525</v>
      </c>
      <c r="F96" s="67">
        <v>0.33333333333333331</v>
      </c>
      <c r="G96" s="67">
        <v>0.28149100257069409</v>
      </c>
      <c r="H96" s="67">
        <v>0.16709511568123395</v>
      </c>
      <c r="I96" s="68">
        <v>9262.1004566210049</v>
      </c>
      <c r="J96" s="68">
        <v>-7840.7692307692305</v>
      </c>
      <c r="K96" s="67">
        <v>0.12903225806451613</v>
      </c>
      <c r="L96" s="67">
        <v>8.6021505376344093E-2</v>
      </c>
      <c r="M96" s="67">
        <v>0.2879177377892031</v>
      </c>
      <c r="N96" s="67">
        <v>0.19280205655526991</v>
      </c>
      <c r="O96" s="67">
        <v>0.6116071428571429</v>
      </c>
      <c r="P96" s="67">
        <v>0.27333333333333332</v>
      </c>
      <c r="Q96" s="67">
        <v>0.42009132420091322</v>
      </c>
    </row>
    <row r="97" spans="1:17" x14ac:dyDescent="0.4">
      <c r="A97" s="69">
        <v>94</v>
      </c>
      <c r="B97" s="66">
        <v>-221.00000000000003</v>
      </c>
      <c r="C97" s="66">
        <v>-2.3510638297872344</v>
      </c>
      <c r="D97" s="71">
        <v>2.0638297872340425</v>
      </c>
      <c r="E97" s="67">
        <v>0.26595744680851063</v>
      </c>
      <c r="F97" s="67">
        <v>0.32978723404255317</v>
      </c>
      <c r="G97" s="67">
        <v>0.28030303030303028</v>
      </c>
      <c r="H97" s="67">
        <v>0.1691919191919192</v>
      </c>
      <c r="I97" s="68">
        <v>9233.7837837837833</v>
      </c>
      <c r="J97" s="68">
        <v>-7811.940298507463</v>
      </c>
      <c r="K97" s="67">
        <v>0.1276595744680851</v>
      </c>
      <c r="L97" s="67">
        <v>8.5106382978723402E-2</v>
      </c>
      <c r="M97" s="67">
        <v>0.2878787878787879</v>
      </c>
      <c r="N97" s="67">
        <v>0.19065656565656566</v>
      </c>
      <c r="O97" s="67">
        <v>0.60964912280701755</v>
      </c>
      <c r="P97" s="67">
        <v>0.27152317880794702</v>
      </c>
      <c r="Q97" s="67">
        <v>0.4144144144144144</v>
      </c>
    </row>
    <row r="98" spans="1:17" x14ac:dyDescent="0.4">
      <c r="A98" s="69">
        <v>95</v>
      </c>
      <c r="B98" s="66">
        <v>-254.3</v>
      </c>
      <c r="C98" s="66">
        <v>-2.6768421052631579</v>
      </c>
      <c r="D98" s="71">
        <v>2.0736842105263156</v>
      </c>
      <c r="E98" s="67">
        <v>0.26315789473684209</v>
      </c>
      <c r="F98" s="67">
        <v>0.33684210526315789</v>
      </c>
      <c r="G98" s="67">
        <v>0.28035043804755944</v>
      </c>
      <c r="H98" s="67">
        <v>0.16896120150187735</v>
      </c>
      <c r="I98" s="68">
        <v>9174.5535714285706</v>
      </c>
      <c r="J98" s="68">
        <v>-7842.9629629629626</v>
      </c>
      <c r="K98" s="67">
        <v>0.12631578947368421</v>
      </c>
      <c r="L98" s="67">
        <v>8.4210526315789472E-2</v>
      </c>
      <c r="M98" s="67">
        <v>0.28660826032540676</v>
      </c>
      <c r="N98" s="67">
        <v>0.19274092615769711</v>
      </c>
      <c r="O98" s="67">
        <v>0.611353711790393</v>
      </c>
      <c r="P98" s="67">
        <v>0.27272727272727271</v>
      </c>
      <c r="Q98" s="67">
        <v>0.41964285714285715</v>
      </c>
    </row>
    <row r="99" spans="1:17" x14ac:dyDescent="0.4">
      <c r="A99" s="69">
        <v>96</v>
      </c>
      <c r="B99" s="66">
        <v>-293.90000000000003</v>
      </c>
      <c r="C99" s="66">
        <v>-3.0614583333333338</v>
      </c>
      <c r="D99" s="71">
        <v>2.0833333333333335</v>
      </c>
      <c r="E99" s="67">
        <v>0.26041666666666669</v>
      </c>
      <c r="F99" s="67">
        <v>0.34375</v>
      </c>
      <c r="G99" s="67">
        <v>0.27901234567901234</v>
      </c>
      <c r="H99" s="67">
        <v>0.1728395061728395</v>
      </c>
      <c r="I99" s="68">
        <v>9164.1592920353978</v>
      </c>
      <c r="J99" s="68">
        <v>-7732.8571428571431</v>
      </c>
      <c r="K99" s="67">
        <v>0.125</v>
      </c>
      <c r="L99" s="67">
        <v>8.3333333333333329E-2</v>
      </c>
      <c r="M99" s="67">
        <v>0.29012345679012347</v>
      </c>
      <c r="N99" s="67">
        <v>0.19012345679012346</v>
      </c>
      <c r="O99" s="67">
        <v>0.60425531914893615</v>
      </c>
      <c r="P99" s="67">
        <v>0.27272727272727271</v>
      </c>
      <c r="Q99" s="67">
        <v>0.4247787610619469</v>
      </c>
    </row>
    <row r="100" spans="1:17" x14ac:dyDescent="0.4">
      <c r="A100" s="69">
        <v>97</v>
      </c>
      <c r="B100" s="66">
        <v>-323.70000000000005</v>
      </c>
      <c r="C100" s="66">
        <v>-3.3371134020618562</v>
      </c>
      <c r="D100" s="71">
        <v>2.0927835051546393</v>
      </c>
      <c r="E100" s="67">
        <v>0.25773195876288657</v>
      </c>
      <c r="F100" s="67">
        <v>0.35051546391752575</v>
      </c>
      <c r="G100" s="67">
        <v>0.2783882783882784</v>
      </c>
      <c r="H100" s="67">
        <v>0.17460317460317459</v>
      </c>
      <c r="I100" s="68">
        <v>9118.4210526315783</v>
      </c>
      <c r="J100" s="68">
        <v>-7655.9440559440563</v>
      </c>
      <c r="K100" s="67">
        <v>0.12371134020618557</v>
      </c>
      <c r="L100" s="67">
        <v>8.247422680412371E-2</v>
      </c>
      <c r="M100" s="67">
        <v>0.2893772893772894</v>
      </c>
      <c r="N100" s="67">
        <v>0.19047619047619047</v>
      </c>
      <c r="O100" s="67">
        <v>0.6033755274261603</v>
      </c>
      <c r="P100" s="67">
        <v>0.27564102564102566</v>
      </c>
      <c r="Q100" s="67">
        <v>0.42543859649122806</v>
      </c>
    </row>
    <row r="101" spans="1:17" x14ac:dyDescent="0.4">
      <c r="A101" s="69">
        <v>98</v>
      </c>
      <c r="B101" s="66">
        <v>-382.90000000000003</v>
      </c>
      <c r="C101" s="66">
        <v>-3.9071428571428575</v>
      </c>
      <c r="D101" s="71">
        <v>2.1020408163265305</v>
      </c>
      <c r="E101" s="67">
        <v>0.25510204081632654</v>
      </c>
      <c r="F101" s="67">
        <v>0.35714285714285715</v>
      </c>
      <c r="G101" s="67">
        <v>0.27636363636363637</v>
      </c>
      <c r="H101" s="67">
        <v>0.17454545454545456</v>
      </c>
      <c r="I101" s="68">
        <v>9118.4210526315783</v>
      </c>
      <c r="J101" s="68">
        <v>-7686.1111111111113</v>
      </c>
      <c r="K101" s="67">
        <v>0.1326530612244898</v>
      </c>
      <c r="L101" s="67">
        <v>8.1632653061224483E-2</v>
      </c>
      <c r="M101" s="67">
        <v>0.29090909090909089</v>
      </c>
      <c r="N101" s="67">
        <v>0.18909090909090909</v>
      </c>
      <c r="O101" s="67">
        <v>0.59583333333333333</v>
      </c>
      <c r="P101" s="67">
        <v>0.27564102564102566</v>
      </c>
      <c r="Q101" s="67">
        <v>0.42543859649122806</v>
      </c>
    </row>
    <row r="102" spans="1:17" x14ac:dyDescent="0.4">
      <c r="A102" s="69">
        <v>99</v>
      </c>
      <c r="B102" s="66">
        <v>-347.50000000000006</v>
      </c>
      <c r="C102" s="66">
        <v>-3.5101010101010108</v>
      </c>
      <c r="D102" s="71">
        <v>2.0909090909090908</v>
      </c>
      <c r="E102" s="67">
        <v>0.26262626262626265</v>
      </c>
      <c r="F102" s="67">
        <v>0.35353535353535354</v>
      </c>
      <c r="G102" s="67">
        <v>0.27697841726618705</v>
      </c>
      <c r="H102" s="67">
        <v>0.17386091127098321</v>
      </c>
      <c r="I102" s="68">
        <v>9155.8441558441555</v>
      </c>
      <c r="J102" s="68">
        <v>-7666.2068965517237</v>
      </c>
      <c r="K102" s="67">
        <v>0.13131313131313133</v>
      </c>
      <c r="L102" s="67">
        <v>8.0808080808080815E-2</v>
      </c>
      <c r="M102" s="67">
        <v>0.29136690647482016</v>
      </c>
      <c r="N102" s="67">
        <v>0.18705035971223022</v>
      </c>
      <c r="O102" s="67">
        <v>0.60082304526748975</v>
      </c>
      <c r="P102" s="67">
        <v>0.27564102564102566</v>
      </c>
      <c r="Q102" s="67">
        <v>0.42857142857142855</v>
      </c>
    </row>
    <row r="103" spans="1:17" x14ac:dyDescent="0.4">
      <c r="A103" s="69">
        <v>100</v>
      </c>
      <c r="B103" s="66">
        <v>-405.00000000000006</v>
      </c>
      <c r="C103" s="66">
        <v>-4.0500000000000007</v>
      </c>
      <c r="D103" s="71">
        <v>2.1</v>
      </c>
      <c r="E103" s="67">
        <v>0.26</v>
      </c>
      <c r="F103" s="67">
        <v>0.36</v>
      </c>
      <c r="G103" s="67">
        <v>0.27500000000000002</v>
      </c>
      <c r="H103" s="67">
        <v>0.1738095238095238</v>
      </c>
      <c r="I103" s="68">
        <v>9155.8441558441555</v>
      </c>
      <c r="J103" s="68">
        <v>-7736.9863013698632</v>
      </c>
      <c r="K103" s="67">
        <v>0.14000000000000001</v>
      </c>
      <c r="L103" s="67">
        <v>0.08</v>
      </c>
      <c r="M103" s="67">
        <v>0.29166666666666669</v>
      </c>
      <c r="N103" s="67">
        <v>0.18571428571428572</v>
      </c>
      <c r="O103" s="67">
        <v>0.59591836734693882</v>
      </c>
      <c r="P103" s="67">
        <v>0.27564102564102566</v>
      </c>
      <c r="Q103" s="67">
        <v>0.42857142857142855</v>
      </c>
    </row>
    <row r="104" spans="1:17" x14ac:dyDescent="0.4">
      <c r="A104" s="69">
        <v>101</v>
      </c>
      <c r="B104" s="66">
        <v>-377.80000000000007</v>
      </c>
      <c r="C104" s="66">
        <v>-3.7405940594059413</v>
      </c>
      <c r="D104" s="71">
        <v>2.0891089108910892</v>
      </c>
      <c r="E104" s="67">
        <v>0.26732673267326734</v>
      </c>
      <c r="F104" s="67">
        <v>0.35643564356435642</v>
      </c>
      <c r="G104" s="67">
        <v>0.27423167848699764</v>
      </c>
      <c r="H104" s="67">
        <v>0.17375886524822695</v>
      </c>
      <c r="I104" s="68">
        <v>9168.1034482758623</v>
      </c>
      <c r="J104" s="68">
        <v>-7697.9591836734689</v>
      </c>
      <c r="K104" s="67">
        <v>0.13861386138613863</v>
      </c>
      <c r="L104" s="67">
        <v>7.9207920792079209E-2</v>
      </c>
      <c r="M104" s="67">
        <v>0.29078014184397161</v>
      </c>
      <c r="N104" s="67">
        <v>0.18439716312056736</v>
      </c>
      <c r="O104" s="67">
        <v>0.59756097560975607</v>
      </c>
      <c r="P104" s="67">
        <v>0.27564102564102566</v>
      </c>
      <c r="Q104" s="67">
        <v>0.43103448275862066</v>
      </c>
    </row>
    <row r="105" spans="1:17" x14ac:dyDescent="0.4">
      <c r="A105" s="69">
        <v>102</v>
      </c>
      <c r="B105" s="66">
        <v>-377.80000000000007</v>
      </c>
      <c r="C105" s="66">
        <v>-3.7039215686274516</v>
      </c>
      <c r="D105" s="71">
        <v>2.0784313725490198</v>
      </c>
      <c r="E105" s="67">
        <v>0.27450980392156865</v>
      </c>
      <c r="F105" s="67">
        <v>0.35294117647058826</v>
      </c>
      <c r="G105" s="67">
        <v>0.27423167848699764</v>
      </c>
      <c r="H105" s="67">
        <v>0.17375886524822695</v>
      </c>
      <c r="I105" s="68">
        <v>9168.1034482758623</v>
      </c>
      <c r="J105" s="68">
        <v>-7697.9591836734689</v>
      </c>
      <c r="K105" s="67">
        <v>0.13725490196078433</v>
      </c>
      <c r="L105" s="67">
        <v>7.8431372549019607E-2</v>
      </c>
      <c r="M105" s="67">
        <v>0.29078014184397161</v>
      </c>
      <c r="N105" s="67">
        <v>0.18439716312056736</v>
      </c>
      <c r="O105" s="67">
        <v>0.59756097560975607</v>
      </c>
      <c r="P105" s="67">
        <v>0.27564102564102566</v>
      </c>
      <c r="Q105" s="67">
        <v>0.43103448275862066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86C294-5717-4A06-81B5-A0D50C02A4BF}">
  <sheetPr codeName="Sheet8"/>
  <dimension ref="A1:Q9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  <row r="77" spans="1:17" x14ac:dyDescent="0.4">
      <c r="A77" s="69">
        <v>74</v>
      </c>
      <c r="B77" s="66">
        <v>1553.8000000000006</v>
      </c>
      <c r="C77" s="66">
        <v>20.997297297297305</v>
      </c>
      <c r="D77" s="71">
        <v>1.5810810810810811</v>
      </c>
      <c r="E77" s="67">
        <v>0.58108108108108103</v>
      </c>
      <c r="F77" s="67">
        <v>0.16216216216216217</v>
      </c>
      <c r="G77" s="67">
        <v>0.39225589225589225</v>
      </c>
      <c r="H77" s="67">
        <v>0.14814814814814814</v>
      </c>
      <c r="I77" s="68">
        <v>9315.8798283261804</v>
      </c>
      <c r="J77" s="68">
        <v>-8011.363636363636</v>
      </c>
      <c r="K77" s="67">
        <v>5.4054054054054057E-2</v>
      </c>
      <c r="L77" s="67">
        <v>0.1891891891891892</v>
      </c>
      <c r="M77" s="67">
        <v>0.32491582491582494</v>
      </c>
      <c r="N77" s="67">
        <v>0.24410774410774411</v>
      </c>
      <c r="O77" s="67">
        <v>0.62176165803108807</v>
      </c>
      <c r="P77" s="67">
        <v>0.53103448275862064</v>
      </c>
      <c r="Q77" s="67">
        <v>0.41630901287553645</v>
      </c>
    </row>
    <row r="78" spans="1:17" x14ac:dyDescent="0.4">
      <c r="A78" s="69">
        <v>75</v>
      </c>
      <c r="B78" s="66">
        <v>1496.5000000000007</v>
      </c>
      <c r="C78" s="66">
        <v>19.953333333333344</v>
      </c>
      <c r="D78" s="71">
        <v>1.6</v>
      </c>
      <c r="E78" s="67">
        <v>0.57333333333333336</v>
      </c>
      <c r="F78" s="67">
        <v>0.17333333333333334</v>
      </c>
      <c r="G78" s="67">
        <v>0.38833333333333331</v>
      </c>
      <c r="H78" s="67">
        <v>0.14833333333333334</v>
      </c>
      <c r="I78" s="68">
        <v>9315.8798283261804</v>
      </c>
      <c r="J78" s="68">
        <v>-8123.5955056179773</v>
      </c>
      <c r="K78" s="67">
        <v>6.6666666666666666E-2</v>
      </c>
      <c r="L78" s="67">
        <v>0.18666666666666668</v>
      </c>
      <c r="M78" s="67">
        <v>0.32666666666666666</v>
      </c>
      <c r="N78" s="67">
        <v>0.24166666666666667</v>
      </c>
      <c r="O78" s="67">
        <v>0.61224489795918369</v>
      </c>
      <c r="P78" s="67">
        <v>0.53103448275862064</v>
      </c>
      <c r="Q78" s="67">
        <v>0.41630901287553645</v>
      </c>
    </row>
    <row r="79" spans="1:17" x14ac:dyDescent="0.4">
      <c r="A79" s="69">
        <v>76</v>
      </c>
      <c r="B79" s="66">
        <v>1535.1000000000006</v>
      </c>
      <c r="C79" s="66">
        <v>20.198684210526324</v>
      </c>
      <c r="D79" s="71">
        <v>1.5921052631578947</v>
      </c>
      <c r="E79" s="67">
        <v>0.57894736842105265</v>
      </c>
      <c r="F79" s="67">
        <v>0.17105263157894737</v>
      </c>
      <c r="G79" s="67">
        <v>0.38952536824877249</v>
      </c>
      <c r="H79" s="67">
        <v>0.15057283142389524</v>
      </c>
      <c r="I79" s="68">
        <v>9328.5714285714294</v>
      </c>
      <c r="J79" s="68">
        <v>-8146.739130434783</v>
      </c>
      <c r="K79" s="67">
        <v>6.5789473684210523E-2</v>
      </c>
      <c r="L79" s="67">
        <v>0.18421052631578946</v>
      </c>
      <c r="M79" s="67">
        <v>0.32733224222585927</v>
      </c>
      <c r="N79" s="67">
        <v>0.24058919803600654</v>
      </c>
      <c r="O79" s="67">
        <v>0.61499999999999999</v>
      </c>
      <c r="P79" s="67">
        <v>0.5374149659863946</v>
      </c>
      <c r="Q79" s="67">
        <v>0.42016806722689076</v>
      </c>
    </row>
    <row r="80" spans="1:17" x14ac:dyDescent="0.4">
      <c r="A80" s="69">
        <v>77</v>
      </c>
      <c r="B80" s="66">
        <v>1496.5000000000007</v>
      </c>
      <c r="C80" s="66">
        <v>19.435064935064943</v>
      </c>
      <c r="D80" s="71">
        <v>1.6103896103896105</v>
      </c>
      <c r="E80" s="67">
        <v>0.5714285714285714</v>
      </c>
      <c r="F80" s="67">
        <v>0.18181818181818182</v>
      </c>
      <c r="G80" s="67">
        <v>0.38834951456310679</v>
      </c>
      <c r="H80" s="67">
        <v>0.15372168284789645</v>
      </c>
      <c r="I80" s="68">
        <v>9280.8333333333339</v>
      </c>
      <c r="J80" s="68">
        <v>-8063.1578947368425</v>
      </c>
      <c r="K80" s="67">
        <v>6.4935064935064929E-2</v>
      </c>
      <c r="L80" s="67">
        <v>0.18181818181818182</v>
      </c>
      <c r="M80" s="67">
        <v>0.32847896440129448</v>
      </c>
      <c r="N80" s="67">
        <v>0.24110032362459546</v>
      </c>
      <c r="O80" s="67">
        <v>0.61083743842364535</v>
      </c>
      <c r="P80" s="67">
        <v>0.53691275167785235</v>
      </c>
      <c r="Q80" s="67">
        <v>0.41666666666666669</v>
      </c>
    </row>
    <row r="81" spans="1:17" x14ac:dyDescent="0.4">
      <c r="A81" s="69">
        <v>78</v>
      </c>
      <c r="B81" s="66">
        <v>1534.7000000000007</v>
      </c>
      <c r="C81" s="66">
        <v>19.675641025641035</v>
      </c>
      <c r="D81" s="71">
        <v>1.6025641025641026</v>
      </c>
      <c r="E81" s="67">
        <v>0.57692307692307687</v>
      </c>
      <c r="F81" s="67">
        <v>0.17948717948717949</v>
      </c>
      <c r="G81" s="67">
        <v>0.38879999999999998</v>
      </c>
      <c r="H81" s="67">
        <v>0.1552</v>
      </c>
      <c r="I81" s="68">
        <v>9297.9423868312751</v>
      </c>
      <c r="J81" s="68">
        <v>-8006.1855670103096</v>
      </c>
      <c r="K81" s="67">
        <v>6.4102564102564097E-2</v>
      </c>
      <c r="L81" s="67">
        <v>0.17948717948717949</v>
      </c>
      <c r="M81" s="67">
        <v>0.32800000000000001</v>
      </c>
      <c r="N81" s="67">
        <v>0.24</v>
      </c>
      <c r="O81" s="67">
        <v>0.61463414634146341</v>
      </c>
      <c r="P81" s="67">
        <v>0.54</v>
      </c>
      <c r="Q81" s="67">
        <v>0.41975308641975306</v>
      </c>
    </row>
    <row r="82" spans="1:17" x14ac:dyDescent="0.4">
      <c r="A82" s="69">
        <v>79</v>
      </c>
      <c r="B82" s="66">
        <v>1485.0000000000007</v>
      </c>
      <c r="C82" s="66">
        <v>18.797468354430389</v>
      </c>
      <c r="D82" s="71">
        <v>1.620253164556962</v>
      </c>
      <c r="E82" s="67">
        <v>0.569620253164557</v>
      </c>
      <c r="F82" s="67">
        <v>0.189873417721519</v>
      </c>
      <c r="G82" s="67">
        <v>0.3854660347551343</v>
      </c>
      <c r="H82" s="67">
        <v>0.16113744075829384</v>
      </c>
      <c r="I82" s="68">
        <v>9309.0163934426237</v>
      </c>
      <c r="J82" s="68">
        <v>-7916.666666666667</v>
      </c>
      <c r="K82" s="67">
        <v>6.3291139240506333E-2</v>
      </c>
      <c r="L82" s="67">
        <v>0.17721518987341772</v>
      </c>
      <c r="M82" s="67">
        <v>0.33175355450236965</v>
      </c>
      <c r="N82" s="67">
        <v>0.23854660347551343</v>
      </c>
      <c r="O82" s="67">
        <v>0.60476190476190472</v>
      </c>
      <c r="P82" s="67">
        <v>0.53642384105960261</v>
      </c>
      <c r="Q82" s="67">
        <v>0.42213114754098363</v>
      </c>
    </row>
    <row r="83" spans="1:17" x14ac:dyDescent="0.4">
      <c r="A83" s="69">
        <v>80</v>
      </c>
      <c r="B83" s="66">
        <v>1482.0000000000007</v>
      </c>
      <c r="C83" s="66">
        <v>18.525000000000009</v>
      </c>
      <c r="D83" s="71">
        <v>1.625</v>
      </c>
      <c r="E83" s="67">
        <v>0.5625</v>
      </c>
      <c r="F83" s="67">
        <v>0.1875</v>
      </c>
      <c r="G83" s="67">
        <v>0.38377535101404059</v>
      </c>
      <c r="H83" s="67">
        <v>0.15912636505460218</v>
      </c>
      <c r="I83" s="68">
        <v>9298.3739837398371</v>
      </c>
      <c r="J83" s="68">
        <v>-7916.666666666667</v>
      </c>
      <c r="K83" s="67">
        <v>6.25E-2</v>
      </c>
      <c r="L83" s="67">
        <v>0.17499999999999999</v>
      </c>
      <c r="M83" s="67">
        <v>0.33073322932917315</v>
      </c>
      <c r="N83" s="67">
        <v>0.23712948517940718</v>
      </c>
      <c r="O83" s="67">
        <v>0.60377358490566035</v>
      </c>
      <c r="P83" s="67">
        <v>0.53289473684210531</v>
      </c>
      <c r="Q83" s="67">
        <v>0.42682926829268292</v>
      </c>
    </row>
    <row r="84" spans="1:17" x14ac:dyDescent="0.4">
      <c r="A84" s="69">
        <v>81</v>
      </c>
      <c r="B84" s="66">
        <v>1523.8000000000006</v>
      </c>
      <c r="C84" s="66">
        <v>18.812345679012353</v>
      </c>
      <c r="D84" s="71">
        <v>1.617283950617284</v>
      </c>
      <c r="E84" s="67">
        <v>0.5679012345679012</v>
      </c>
      <c r="F84" s="67">
        <v>0.18518518518518517</v>
      </c>
      <c r="G84" s="67">
        <v>0.38520801232665641</v>
      </c>
      <c r="H84" s="67">
        <v>0.15716486902927582</v>
      </c>
      <c r="I84" s="68">
        <v>9252.7999999999993</v>
      </c>
      <c r="J84" s="68">
        <v>-7916.666666666667</v>
      </c>
      <c r="K84" s="67">
        <v>6.1728395061728392E-2</v>
      </c>
      <c r="L84" s="67">
        <v>0.1728395061728395</v>
      </c>
      <c r="M84" s="67">
        <v>0.33127889060092452</v>
      </c>
      <c r="N84" s="67">
        <v>0.23728813559322035</v>
      </c>
      <c r="O84" s="67">
        <v>0.6093023255813953</v>
      </c>
      <c r="P84" s="67">
        <v>0.53246753246753242</v>
      </c>
      <c r="Q84" s="67">
        <v>0.432</v>
      </c>
    </row>
    <row r="85" spans="1:17" x14ac:dyDescent="0.4">
      <c r="A85" s="69">
        <v>82</v>
      </c>
      <c r="B85" s="66">
        <v>1552.2000000000007</v>
      </c>
      <c r="C85" s="66">
        <v>18.929268292682934</v>
      </c>
      <c r="D85" s="71">
        <v>1.6097560975609757</v>
      </c>
      <c r="E85" s="67">
        <v>0.57317073170731703</v>
      </c>
      <c r="F85" s="67">
        <v>0.18292682926829268</v>
      </c>
      <c r="G85" s="67">
        <v>0.38426626323751889</v>
      </c>
      <c r="H85" s="67">
        <v>0.15582450832072617</v>
      </c>
      <c r="I85" s="68">
        <v>9214.5669291338581</v>
      </c>
      <c r="J85" s="68">
        <v>-7877.6699029126212</v>
      </c>
      <c r="K85" s="67">
        <v>6.097560975609756E-2</v>
      </c>
      <c r="L85" s="67">
        <v>0.17073170731707318</v>
      </c>
      <c r="M85" s="67">
        <v>0.32980332829046899</v>
      </c>
      <c r="N85" s="67">
        <v>0.23449319213313161</v>
      </c>
      <c r="O85" s="67">
        <v>0.61009174311926606</v>
      </c>
      <c r="P85" s="67">
        <v>0.53548387096774197</v>
      </c>
      <c r="Q85" s="67">
        <v>0.43307086614173229</v>
      </c>
    </row>
    <row r="86" spans="1:17" x14ac:dyDescent="0.4">
      <c r="A86" s="69">
        <v>83</v>
      </c>
      <c r="B86" s="66">
        <v>1511.9000000000008</v>
      </c>
      <c r="C86" s="66">
        <v>18.215662650602418</v>
      </c>
      <c r="D86" s="71">
        <v>1.6265060240963856</v>
      </c>
      <c r="E86" s="67">
        <v>0.5662650602409639</v>
      </c>
      <c r="F86" s="67">
        <v>0.19277108433734941</v>
      </c>
      <c r="G86" s="67">
        <v>0.3811659192825112</v>
      </c>
      <c r="H86" s="67">
        <v>0.15844544095665172</v>
      </c>
      <c r="I86" s="68">
        <v>9193.7254901960787</v>
      </c>
      <c r="J86" s="68">
        <v>-7866.0377358490568</v>
      </c>
      <c r="K86" s="67">
        <v>6.0240963855421686E-2</v>
      </c>
      <c r="L86" s="67">
        <v>0.16867469879518071</v>
      </c>
      <c r="M86" s="67">
        <v>0.33183856502242154</v>
      </c>
      <c r="N86" s="67">
        <v>0.23168908819133036</v>
      </c>
      <c r="O86" s="67">
        <v>0.60360360360360366</v>
      </c>
      <c r="P86" s="67">
        <v>0.53548387096774197</v>
      </c>
      <c r="Q86" s="67">
        <v>0.43137254901960786</v>
      </c>
    </row>
    <row r="87" spans="1:17" x14ac:dyDescent="0.4">
      <c r="A87" s="69">
        <v>84</v>
      </c>
      <c r="B87" s="66">
        <v>1510.6000000000008</v>
      </c>
      <c r="C87" s="66">
        <v>17.983333333333341</v>
      </c>
      <c r="D87" s="71">
        <v>1.6309523809523809</v>
      </c>
      <c r="E87" s="67">
        <v>0.55952380952380953</v>
      </c>
      <c r="F87" s="67">
        <v>0.19047619047619047</v>
      </c>
      <c r="G87" s="67">
        <v>0.37997054491899851</v>
      </c>
      <c r="H87" s="67">
        <v>0.16053019145802652</v>
      </c>
      <c r="I87" s="68">
        <v>9200.3875968992252</v>
      </c>
      <c r="J87" s="68">
        <v>-7829.3577981651379</v>
      </c>
      <c r="K87" s="67">
        <v>5.9523809523809521E-2</v>
      </c>
      <c r="L87" s="67">
        <v>0.16666666666666666</v>
      </c>
      <c r="M87" s="67">
        <v>0.33431516936671574</v>
      </c>
      <c r="N87" s="67">
        <v>0.22827687776141384</v>
      </c>
      <c r="O87" s="67">
        <v>0.59471365638766516</v>
      </c>
      <c r="P87" s="67">
        <v>0.53548387096774197</v>
      </c>
      <c r="Q87" s="67">
        <v>0.43023255813953487</v>
      </c>
    </row>
    <row r="88" spans="1:17" x14ac:dyDescent="0.4">
      <c r="A88" s="69">
        <v>85</v>
      </c>
      <c r="B88" s="66">
        <v>1566.5000000000009</v>
      </c>
      <c r="C88" s="66">
        <v>18.429411764705893</v>
      </c>
      <c r="D88" s="71">
        <v>1.6235294117647059</v>
      </c>
      <c r="E88" s="67">
        <v>0.56470588235294117</v>
      </c>
      <c r="F88" s="67">
        <v>0.18823529411764706</v>
      </c>
      <c r="G88" s="67">
        <v>0.3808139534883721</v>
      </c>
      <c r="H88" s="67">
        <v>0.15988372093023256</v>
      </c>
      <c r="I88" s="68">
        <v>9214.5038167938928</v>
      </c>
      <c r="J88" s="68">
        <v>-7781.818181818182</v>
      </c>
      <c r="K88" s="67">
        <v>5.8823529411764705E-2</v>
      </c>
      <c r="L88" s="67">
        <v>0.17647058823529413</v>
      </c>
      <c r="M88" s="67">
        <v>0.33575581395348836</v>
      </c>
      <c r="N88" s="67">
        <v>0.23110465116279069</v>
      </c>
      <c r="O88" s="67">
        <v>0.59307359307359309</v>
      </c>
      <c r="P88" s="67">
        <v>0.53459119496855345</v>
      </c>
      <c r="Q88" s="67">
        <v>0.43129770992366412</v>
      </c>
    </row>
    <row r="89" spans="1:17" x14ac:dyDescent="0.4">
      <c r="A89" s="69">
        <v>86</v>
      </c>
      <c r="B89" s="66">
        <v>1610.200000000001</v>
      </c>
      <c r="C89" s="66">
        <v>18.7232558139535</v>
      </c>
      <c r="D89" s="71">
        <v>1.6162790697674418</v>
      </c>
      <c r="E89" s="67">
        <v>0.56976744186046513</v>
      </c>
      <c r="F89" s="67">
        <v>0.18604651162790697</v>
      </c>
      <c r="G89" s="67">
        <v>0.38218390804597702</v>
      </c>
      <c r="H89" s="67">
        <v>0.15948275862068967</v>
      </c>
      <c r="I89" s="68">
        <v>9200.7518796992481</v>
      </c>
      <c r="J89" s="68">
        <v>-7783.7837837837842</v>
      </c>
      <c r="K89" s="67">
        <v>5.8139534883720929E-2</v>
      </c>
      <c r="L89" s="67">
        <v>0.1744186046511628</v>
      </c>
      <c r="M89" s="67">
        <v>0.33333333333333331</v>
      </c>
      <c r="N89" s="67">
        <v>0.23275862068965517</v>
      </c>
      <c r="O89" s="67">
        <v>0.59482758620689657</v>
      </c>
      <c r="P89" s="67">
        <v>0.54320987654320985</v>
      </c>
      <c r="Q89" s="67">
        <v>0.43233082706766918</v>
      </c>
    </row>
    <row r="90" spans="1:17" x14ac:dyDescent="0.4">
      <c r="A90" s="69">
        <v>87</v>
      </c>
      <c r="B90" s="66">
        <v>1662.8000000000009</v>
      </c>
      <c r="C90" s="66">
        <v>19.112643678160929</v>
      </c>
      <c r="D90" s="71">
        <v>1.6091954022988506</v>
      </c>
      <c r="E90" s="67">
        <v>0.57471264367816088</v>
      </c>
      <c r="F90" s="67">
        <v>0.18390804597701149</v>
      </c>
      <c r="G90" s="67">
        <v>0.38243626062322944</v>
      </c>
      <c r="H90" s="67">
        <v>0.15722379603399433</v>
      </c>
      <c r="I90" s="68">
        <v>9196.6666666666661</v>
      </c>
      <c r="J90" s="68">
        <v>-7783.7837837837842</v>
      </c>
      <c r="K90" s="67">
        <v>5.7471264367816091E-2</v>
      </c>
      <c r="L90" s="67">
        <v>0.18390804597701149</v>
      </c>
      <c r="M90" s="67">
        <v>0.33286118980169971</v>
      </c>
      <c r="N90" s="67">
        <v>0.23371104815864022</v>
      </c>
      <c r="O90" s="67">
        <v>0.6</v>
      </c>
      <c r="P90" s="67">
        <v>0.53939393939393943</v>
      </c>
      <c r="Q90" s="67">
        <v>0.43333333333333335</v>
      </c>
    </row>
    <row r="91" spans="1:17" x14ac:dyDescent="0.4">
      <c r="A91" s="69">
        <v>88</v>
      </c>
      <c r="B91" s="66">
        <v>1664.200000000001</v>
      </c>
      <c r="C91" s="66">
        <v>18.911363636363646</v>
      </c>
      <c r="D91" s="71">
        <v>1.6136363636363635</v>
      </c>
      <c r="E91" s="67">
        <v>0.56818181818181823</v>
      </c>
      <c r="F91" s="67">
        <v>0.18181818181818182</v>
      </c>
      <c r="G91" s="67">
        <v>0.3807531380753138</v>
      </c>
      <c r="H91" s="67">
        <v>0.15481171548117154</v>
      </c>
      <c r="I91" s="68">
        <v>9165.9340659340651</v>
      </c>
      <c r="J91" s="68">
        <v>-7783.7837837837842</v>
      </c>
      <c r="K91" s="67">
        <v>5.6818181818181816E-2</v>
      </c>
      <c r="L91" s="67">
        <v>0.18181818181818182</v>
      </c>
      <c r="M91" s="67">
        <v>0.32914923291492332</v>
      </c>
      <c r="N91" s="67">
        <v>0.23430962343096234</v>
      </c>
      <c r="O91" s="67">
        <v>0.60169491525423724</v>
      </c>
      <c r="P91" s="67">
        <v>0.5357142857142857</v>
      </c>
      <c r="Q91" s="67">
        <v>0.42857142857142855</v>
      </c>
    </row>
    <row r="92" spans="1:17" x14ac:dyDescent="0.4">
      <c r="A92" s="69">
        <v>89</v>
      </c>
      <c r="B92" s="66">
        <v>1656.900000000001</v>
      </c>
      <c r="C92" s="66">
        <v>18.616853932584281</v>
      </c>
      <c r="D92" s="71">
        <v>1.6179775280898876</v>
      </c>
      <c r="E92" s="67">
        <v>0.5617977528089888</v>
      </c>
      <c r="F92" s="67">
        <v>0.1797752808988764</v>
      </c>
      <c r="G92" s="67">
        <v>0.37826685006877581</v>
      </c>
      <c r="H92" s="67">
        <v>0.15405777166437415</v>
      </c>
      <c r="I92" s="68">
        <v>9142.545454545454</v>
      </c>
      <c r="J92" s="68">
        <v>-7760.7142857142853</v>
      </c>
      <c r="K92" s="67">
        <v>5.6179775280898875E-2</v>
      </c>
      <c r="L92" s="67">
        <v>0.1797752808988764</v>
      </c>
      <c r="M92" s="67">
        <v>0.33012379642365886</v>
      </c>
      <c r="N92" s="67">
        <v>0.23246217331499311</v>
      </c>
      <c r="O92" s="67">
        <v>0.6</v>
      </c>
      <c r="P92" s="67">
        <v>0.53254437869822491</v>
      </c>
      <c r="Q92" s="67">
        <v>0.42545454545454547</v>
      </c>
    </row>
    <row r="93" spans="1:17" x14ac:dyDescent="0.4">
      <c r="A93" s="69">
        <v>90</v>
      </c>
      <c r="B93" s="66">
        <v>1620.900000000001</v>
      </c>
      <c r="C93" s="66">
        <v>18.010000000000012</v>
      </c>
      <c r="D93" s="71">
        <v>1.6333333333333333</v>
      </c>
      <c r="E93" s="67">
        <v>0.55555555555555558</v>
      </c>
      <c r="F93" s="67">
        <v>0.18888888888888888</v>
      </c>
      <c r="G93" s="67">
        <v>0.37602179836512262</v>
      </c>
      <c r="H93" s="67">
        <v>0.15395095367847411</v>
      </c>
      <c r="I93" s="68">
        <v>9137.31884057971</v>
      </c>
      <c r="J93" s="68">
        <v>-7798.2300884955748</v>
      </c>
      <c r="K93" s="67">
        <v>5.5555555555555552E-2</v>
      </c>
      <c r="L93" s="67">
        <v>0.17777777777777778</v>
      </c>
      <c r="M93" s="67">
        <v>0.32833787465940056</v>
      </c>
      <c r="N93" s="67">
        <v>0.2329700272479564</v>
      </c>
      <c r="O93" s="67">
        <v>0.60165975103734437</v>
      </c>
      <c r="P93" s="67">
        <v>0.52631578947368418</v>
      </c>
      <c r="Q93" s="67">
        <v>0.42391304347826086</v>
      </c>
    </row>
    <row r="94" spans="1:17" x14ac:dyDescent="0.4">
      <c r="A94" s="69">
        <v>91</v>
      </c>
      <c r="B94" s="66">
        <v>1680.8000000000011</v>
      </c>
      <c r="C94" s="66">
        <v>18.470329670329683</v>
      </c>
      <c r="D94" s="71">
        <v>1.6263736263736264</v>
      </c>
      <c r="E94" s="67">
        <v>0.56043956043956045</v>
      </c>
      <c r="F94" s="67">
        <v>0.18681318681318682</v>
      </c>
      <c r="G94" s="67">
        <v>0.3783783783783784</v>
      </c>
      <c r="H94" s="67">
        <v>0.1527027027027027</v>
      </c>
      <c r="I94" s="68">
        <v>9155.7142857142862</v>
      </c>
      <c r="J94" s="68">
        <v>-7798.2300884955748</v>
      </c>
      <c r="K94" s="67">
        <v>5.4945054945054944E-2</v>
      </c>
      <c r="L94" s="67">
        <v>0.18681318681318682</v>
      </c>
      <c r="M94" s="67">
        <v>0.33108108108108109</v>
      </c>
      <c r="N94" s="67">
        <v>0.23108108108108108</v>
      </c>
      <c r="O94" s="67">
        <v>0.60816326530612241</v>
      </c>
      <c r="P94" s="67">
        <v>0.52631578947368418</v>
      </c>
      <c r="Q94" s="67">
        <v>0.43214285714285716</v>
      </c>
    </row>
    <row r="95" spans="1:17" x14ac:dyDescent="0.4">
      <c r="A95" s="69">
        <v>92</v>
      </c>
      <c r="B95" s="66">
        <v>1634.7000000000012</v>
      </c>
      <c r="C95" s="66">
        <v>17.768478260869578</v>
      </c>
      <c r="D95" s="71">
        <v>1.6413043478260869</v>
      </c>
      <c r="E95" s="67">
        <v>0.55434782608695654</v>
      </c>
      <c r="F95" s="67">
        <v>0.19565217391304349</v>
      </c>
      <c r="G95" s="67">
        <v>0.37650200267022699</v>
      </c>
      <c r="H95" s="67">
        <v>0.15220293724966621</v>
      </c>
      <c r="I95" s="68">
        <v>9136.1702127659573</v>
      </c>
      <c r="J95" s="68">
        <v>-7835.0877192982452</v>
      </c>
      <c r="K95" s="67">
        <v>5.434782608695652E-2</v>
      </c>
      <c r="L95" s="67">
        <v>0.18478260869565216</v>
      </c>
      <c r="M95" s="67">
        <v>0.32843791722296395</v>
      </c>
      <c r="N95" s="67">
        <v>0.22963951935914553</v>
      </c>
      <c r="O95" s="67">
        <v>0.60569105691056913</v>
      </c>
      <c r="P95" s="67">
        <v>0.52906976744186052</v>
      </c>
      <c r="Q95" s="67">
        <v>0.42907801418439717</v>
      </c>
    </row>
    <row r="96" spans="1:17" x14ac:dyDescent="0.4">
      <c r="A96" s="69">
        <v>93</v>
      </c>
      <c r="B96" s="66">
        <v>1677.6000000000013</v>
      </c>
      <c r="C96" s="66">
        <v>18.038709677419369</v>
      </c>
      <c r="D96" s="71">
        <v>1.6344086021505377</v>
      </c>
      <c r="E96" s="67">
        <v>0.55913978494623651</v>
      </c>
      <c r="F96" s="67">
        <v>0.19354838709677419</v>
      </c>
      <c r="G96" s="67">
        <v>0.37664041994750658</v>
      </c>
      <c r="H96" s="67">
        <v>0.15223097112860892</v>
      </c>
      <c r="I96" s="68">
        <v>9144.5993031358885</v>
      </c>
      <c r="J96" s="68">
        <v>-7880.1724137931033</v>
      </c>
      <c r="K96" s="67">
        <v>5.3763440860215055E-2</v>
      </c>
      <c r="L96" s="67">
        <v>0.19354838709677419</v>
      </c>
      <c r="M96" s="67">
        <v>0.33070866141732286</v>
      </c>
      <c r="N96" s="67">
        <v>0.2283464566929134</v>
      </c>
      <c r="O96" s="67">
        <v>0.6071428571428571</v>
      </c>
      <c r="P96" s="67">
        <v>0.52298850574712641</v>
      </c>
      <c r="Q96" s="67">
        <v>0.42857142857142855</v>
      </c>
    </row>
    <row r="97" spans="1:17" x14ac:dyDescent="0.4">
      <c r="A97" s="69">
        <v>94</v>
      </c>
      <c r="B97" s="66">
        <v>1672.4000000000012</v>
      </c>
      <c r="C97" s="66">
        <v>17.791489361702141</v>
      </c>
      <c r="D97" s="71">
        <v>1.6382978723404256</v>
      </c>
      <c r="E97" s="67">
        <v>0.55319148936170215</v>
      </c>
      <c r="F97" s="67">
        <v>0.19148936170212766</v>
      </c>
      <c r="G97" s="67">
        <v>0.37630208333333331</v>
      </c>
      <c r="H97" s="67">
        <v>0.15104166666666666</v>
      </c>
      <c r="I97" s="68">
        <v>9113.4948096885819</v>
      </c>
      <c r="J97" s="68">
        <v>-7880.1724137931033</v>
      </c>
      <c r="K97" s="67">
        <v>5.3191489361702128E-2</v>
      </c>
      <c r="L97" s="67">
        <v>0.19148936170212766</v>
      </c>
      <c r="M97" s="67">
        <v>0.33072916666666669</v>
      </c>
      <c r="N97" s="67">
        <v>0.22786458333333334</v>
      </c>
      <c r="O97" s="67">
        <v>0.61023622047244097</v>
      </c>
      <c r="P97" s="67">
        <v>0.52</v>
      </c>
      <c r="Q97" s="67">
        <v>0.42560553633217996</v>
      </c>
    </row>
    <row r="98" spans="1:17" x14ac:dyDescent="0.4">
      <c r="A98" s="69">
        <v>95</v>
      </c>
      <c r="B98" s="66">
        <v>1681.2000000000012</v>
      </c>
      <c r="C98" s="66">
        <v>17.696842105263169</v>
      </c>
      <c r="D98" s="71">
        <v>1.6421052631578947</v>
      </c>
      <c r="E98" s="67">
        <v>0.54736842105263162</v>
      </c>
      <c r="F98" s="67">
        <v>0.18947368421052632</v>
      </c>
      <c r="G98" s="67">
        <v>0.37580437580437581</v>
      </c>
      <c r="H98" s="67">
        <v>0.14929214929214929</v>
      </c>
      <c r="I98" s="68">
        <v>9095.2054794520554</v>
      </c>
      <c r="J98" s="68">
        <v>-7880.1724137931033</v>
      </c>
      <c r="K98" s="67">
        <v>5.2631578947368418E-2</v>
      </c>
      <c r="L98" s="67">
        <v>0.18947368421052632</v>
      </c>
      <c r="M98" s="67">
        <v>0.32947232947232946</v>
      </c>
      <c r="N98" s="67">
        <v>0.22908622908622908</v>
      </c>
      <c r="O98" s="67">
        <v>0.609375</v>
      </c>
      <c r="P98" s="67">
        <v>0.52247191011235961</v>
      </c>
      <c r="Q98" s="67">
        <v>0.42123287671232879</v>
      </c>
    </row>
    <row r="99" spans="1:17" x14ac:dyDescent="0.4">
      <c r="A99" s="69">
        <v>96</v>
      </c>
      <c r="B99" s="66">
        <v>1684.2000000000012</v>
      </c>
      <c r="C99" s="66">
        <v>17.543750000000014</v>
      </c>
      <c r="D99" s="71">
        <v>1.6458333333333333</v>
      </c>
      <c r="E99" s="67">
        <v>0.54166666666666663</v>
      </c>
      <c r="F99" s="67">
        <v>0.1875</v>
      </c>
      <c r="G99" s="67">
        <v>0.37707006369426754</v>
      </c>
      <c r="H99" s="67">
        <v>0.14904458598726114</v>
      </c>
      <c r="I99" s="68">
        <v>9021.95945945946</v>
      </c>
      <c r="J99" s="68">
        <v>-7878.6324786324785</v>
      </c>
      <c r="K99" s="67">
        <v>5.2083333333333336E-2</v>
      </c>
      <c r="L99" s="67">
        <v>0.1875</v>
      </c>
      <c r="M99" s="67">
        <v>0.32738853503184712</v>
      </c>
      <c r="N99" s="67">
        <v>0.23184713375796179</v>
      </c>
      <c r="O99" s="67">
        <v>0.6108949416342413</v>
      </c>
      <c r="P99" s="67">
        <v>0.52747252747252749</v>
      </c>
      <c r="Q99" s="67">
        <v>0.42229729729729731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5FDA05-B042-4F5F-8C97-6F005D521AC7}">
  <sheetPr codeName="Sheet6"/>
  <dimension ref="A1:Q14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  <row r="108" spans="1:17" x14ac:dyDescent="0.4">
      <c r="A108" s="69">
        <v>105</v>
      </c>
      <c r="B108" s="66">
        <v>-2.6645352591003757E-15</v>
      </c>
      <c r="C108" s="66">
        <v>-8.4588420923821458E-18</v>
      </c>
      <c r="D108" s="71">
        <v>2</v>
      </c>
      <c r="E108" s="67">
        <v>0.33333333333333331</v>
      </c>
      <c r="F108" s="67">
        <v>0.33333333333333331</v>
      </c>
      <c r="G108" s="67">
        <v>0.30299539170506912</v>
      </c>
      <c r="H108" s="67">
        <v>0.17127496159754224</v>
      </c>
      <c r="I108" s="68">
        <v>8369.4550063371353</v>
      </c>
      <c r="J108" s="68">
        <v>-8001.5695067264578</v>
      </c>
      <c r="K108" s="67">
        <v>0.10158730158730159</v>
      </c>
      <c r="L108" s="67">
        <v>0.10158730158730159</v>
      </c>
      <c r="M108" s="67">
        <v>0.26574500768049153</v>
      </c>
      <c r="N108" s="67">
        <v>0.22004608294930875</v>
      </c>
      <c r="O108" s="67">
        <v>0.59682080924855496</v>
      </c>
      <c r="P108" s="67">
        <v>0.37870855148342059</v>
      </c>
      <c r="Q108" s="67">
        <v>0.42585551330798477</v>
      </c>
    </row>
    <row r="109" spans="1:17" x14ac:dyDescent="0.4">
      <c r="A109" s="69">
        <v>106</v>
      </c>
      <c r="B109" s="66">
        <v>1.4210854715202004E-14</v>
      </c>
      <c r="C109" s="66">
        <v>4.4688222374849071E-17</v>
      </c>
      <c r="D109" s="71">
        <v>2</v>
      </c>
      <c r="E109" s="67">
        <v>0.33333333333333331</v>
      </c>
      <c r="F109" s="67">
        <v>0.33333333333333331</v>
      </c>
      <c r="G109" s="67">
        <v>0.30254656024325349</v>
      </c>
      <c r="H109" s="67">
        <v>0.17103762827822122</v>
      </c>
      <c r="I109" s="68">
        <v>8458.9195979899505</v>
      </c>
      <c r="J109" s="68">
        <v>-8014.4444444444443</v>
      </c>
      <c r="K109" s="67">
        <v>0.10377358490566038</v>
      </c>
      <c r="L109" s="67">
        <v>0.10377358490566038</v>
      </c>
      <c r="M109" s="67">
        <v>0.26605853287723297</v>
      </c>
      <c r="N109" s="67">
        <v>0.21892816419612315</v>
      </c>
      <c r="O109" s="67">
        <v>0.59857142857142853</v>
      </c>
      <c r="P109" s="67">
        <v>0.3767361111111111</v>
      </c>
      <c r="Q109" s="67">
        <v>0.42587939698492461</v>
      </c>
    </row>
    <row r="110" spans="1:17" x14ac:dyDescent="0.4">
      <c r="A110" s="69">
        <v>107</v>
      </c>
      <c r="B110" s="66">
        <v>1.4210854715202004E-14</v>
      </c>
      <c r="C110" s="66">
        <v>4.4270575436766365E-17</v>
      </c>
      <c r="D110" s="71">
        <v>2</v>
      </c>
      <c r="E110" s="67">
        <v>0.33333333333333331</v>
      </c>
      <c r="F110" s="67">
        <v>0.33333333333333331</v>
      </c>
      <c r="G110" s="67">
        <v>0.3033033033033033</v>
      </c>
      <c r="H110" s="67">
        <v>0.17042042042042041</v>
      </c>
      <c r="I110" s="68">
        <v>8456.5594059405939</v>
      </c>
      <c r="J110" s="68">
        <v>-7998.4581497797353</v>
      </c>
      <c r="K110" s="67">
        <v>0.10280373831775701</v>
      </c>
      <c r="L110" s="67">
        <v>0.10280373831775701</v>
      </c>
      <c r="M110" s="67">
        <v>0.26726726726726729</v>
      </c>
      <c r="N110" s="67">
        <v>0.21884384384384384</v>
      </c>
      <c r="O110" s="67">
        <v>0.5997191011235955</v>
      </c>
      <c r="P110" s="67">
        <v>0.37735849056603776</v>
      </c>
      <c r="Q110" s="67">
        <v>0.42821782178217821</v>
      </c>
    </row>
    <row r="111" spans="1:17" x14ac:dyDescent="0.4">
      <c r="A111" s="69">
        <v>108</v>
      </c>
      <c r="B111" s="66">
        <v>2.1316282072803006E-14</v>
      </c>
      <c r="C111" s="66">
        <v>6.5790994051861125E-17</v>
      </c>
      <c r="D111" s="71">
        <v>2</v>
      </c>
      <c r="E111" s="67">
        <v>0.33333333333333331</v>
      </c>
      <c r="F111" s="67">
        <v>0.33333333333333331</v>
      </c>
      <c r="G111" s="67">
        <v>0.30275913497390006</v>
      </c>
      <c r="H111" s="67">
        <v>0.16964951528709918</v>
      </c>
      <c r="I111" s="68">
        <v>8464.2857142857138</v>
      </c>
      <c r="J111" s="68">
        <v>-8020.4395604395604</v>
      </c>
      <c r="K111" s="67">
        <v>0.10493827160493827</v>
      </c>
      <c r="L111" s="67">
        <v>0.10493827160493827</v>
      </c>
      <c r="M111" s="67">
        <v>0.26808351976137212</v>
      </c>
      <c r="N111" s="67">
        <v>0.21812080536912751</v>
      </c>
      <c r="O111" s="67">
        <v>0.59527121001390826</v>
      </c>
      <c r="P111" s="67">
        <v>0.37948717948717947</v>
      </c>
      <c r="Q111" s="67">
        <v>0.42980295566502463</v>
      </c>
    </row>
    <row r="112" spans="1:17" x14ac:dyDescent="0.4">
      <c r="A112" s="69">
        <v>109</v>
      </c>
      <c r="B112" s="66">
        <v>2.1316282072803006E-14</v>
      </c>
      <c r="C112" s="66">
        <v>6.5187406950467911E-17</v>
      </c>
      <c r="D112" s="71">
        <v>2</v>
      </c>
      <c r="E112" s="67">
        <v>0.33333333333333331</v>
      </c>
      <c r="F112" s="67">
        <v>0.33333333333333331</v>
      </c>
      <c r="G112" s="67">
        <v>0.30239410681399631</v>
      </c>
      <c r="H112" s="67">
        <v>0.1694290976058932</v>
      </c>
      <c r="I112" s="68">
        <v>8486.1144945188789</v>
      </c>
      <c r="J112" s="68">
        <v>-8029.130434782609</v>
      </c>
      <c r="K112" s="67">
        <v>0.10397553516819572</v>
      </c>
      <c r="L112" s="67">
        <v>0.10397553516819572</v>
      </c>
      <c r="M112" s="67">
        <v>0.26813996316758748</v>
      </c>
      <c r="N112" s="67">
        <v>0.21878453038674034</v>
      </c>
      <c r="O112" s="67">
        <v>0.59478021978021978</v>
      </c>
      <c r="P112" s="67">
        <v>0.38047138047138046</v>
      </c>
      <c r="Q112" s="67">
        <v>0.42996345919610229</v>
      </c>
    </row>
    <row r="113" spans="1:17" x14ac:dyDescent="0.4">
      <c r="A113" s="69">
        <v>110</v>
      </c>
      <c r="B113" s="66">
        <v>2.1316282072803006E-14</v>
      </c>
      <c r="C113" s="66">
        <v>6.4594794160009105E-17</v>
      </c>
      <c r="D113" s="71">
        <v>2</v>
      </c>
      <c r="E113" s="67">
        <v>0.33333333333333331</v>
      </c>
      <c r="F113" s="67">
        <v>0.33333333333333331</v>
      </c>
      <c r="G113" s="67">
        <v>0.30263157894736842</v>
      </c>
      <c r="H113" s="67">
        <v>0.16995614035087719</v>
      </c>
      <c r="I113" s="68">
        <v>8461.95652173913</v>
      </c>
      <c r="J113" s="68">
        <v>-7993.7634408602153</v>
      </c>
      <c r="K113" s="67">
        <v>0.10303030303030303</v>
      </c>
      <c r="L113" s="67">
        <v>0.10303030303030303</v>
      </c>
      <c r="M113" s="67">
        <v>0.26790935672514621</v>
      </c>
      <c r="N113" s="67">
        <v>0.21966374269005848</v>
      </c>
      <c r="O113" s="67">
        <v>0.592087312414734</v>
      </c>
      <c r="P113" s="67">
        <v>0.3843594009983361</v>
      </c>
      <c r="Q113" s="67">
        <v>0.42874396135265702</v>
      </c>
    </row>
    <row r="114" spans="1:17" x14ac:dyDescent="0.4">
      <c r="A114" s="69">
        <v>111</v>
      </c>
      <c r="B114" s="66">
        <v>2.708944180085382E-14</v>
      </c>
      <c r="C114" s="66">
        <v>8.1349675077639101E-17</v>
      </c>
      <c r="D114" s="71">
        <v>2</v>
      </c>
      <c r="E114" s="67">
        <v>0.33333333333333331</v>
      </c>
      <c r="F114" s="67">
        <v>0.33333333333333331</v>
      </c>
      <c r="G114" s="67">
        <v>0.30286543344214728</v>
      </c>
      <c r="H114" s="67">
        <v>0.16974972796517954</v>
      </c>
      <c r="I114" s="68">
        <v>8448.2634730538921</v>
      </c>
      <c r="J114" s="68">
        <v>-7969.4444444444443</v>
      </c>
      <c r="K114" s="67">
        <v>0.1021021021021021</v>
      </c>
      <c r="L114" s="67">
        <v>0.1021021021021021</v>
      </c>
      <c r="M114" s="67">
        <v>0.26731955023576354</v>
      </c>
      <c r="N114" s="67">
        <v>0.21907870874138557</v>
      </c>
      <c r="O114" s="67">
        <v>0.59430122116689277</v>
      </c>
      <c r="P114" s="67">
        <v>0.38410596026490068</v>
      </c>
      <c r="Q114" s="67">
        <v>0.42994011976047902</v>
      </c>
    </row>
    <row r="115" spans="1:17" x14ac:dyDescent="0.4">
      <c r="A115" s="69">
        <v>112</v>
      </c>
      <c r="B115" s="66">
        <v>2.8421709430404007E-14</v>
      </c>
      <c r="C115" s="66">
        <v>8.4588420923821446E-17</v>
      </c>
      <c r="D115" s="71">
        <v>2</v>
      </c>
      <c r="E115" s="67">
        <v>0.33333333333333331</v>
      </c>
      <c r="F115" s="67">
        <v>0.33333333333333331</v>
      </c>
      <c r="G115" s="67">
        <v>0.30276878820568143</v>
      </c>
      <c r="H115" s="67">
        <v>0.1700827040632866</v>
      </c>
      <c r="I115" s="68">
        <v>8435.2731591448937</v>
      </c>
      <c r="J115" s="68">
        <v>-7950.5285412262156</v>
      </c>
      <c r="K115" s="67">
        <v>0.10119047619047619</v>
      </c>
      <c r="L115" s="67">
        <v>0.10119047619047619</v>
      </c>
      <c r="M115" s="67">
        <v>0.26860841423948217</v>
      </c>
      <c r="N115" s="67">
        <v>0.21826681049982022</v>
      </c>
      <c r="O115" s="67">
        <v>0.59303882195448465</v>
      </c>
      <c r="P115" s="67">
        <v>0.38220757825370677</v>
      </c>
      <c r="Q115" s="67">
        <v>0.42874109263657956</v>
      </c>
    </row>
    <row r="116" spans="1:17" x14ac:dyDescent="0.4">
      <c r="A116" s="69">
        <v>113</v>
      </c>
      <c r="B116" s="66">
        <v>2.8421709430404007E-14</v>
      </c>
      <c r="C116" s="66">
        <v>8.3839850827150463E-17</v>
      </c>
      <c r="D116" s="71">
        <v>2</v>
      </c>
      <c r="E116" s="67">
        <v>0.33333333333333331</v>
      </c>
      <c r="F116" s="67">
        <v>0.33333333333333331</v>
      </c>
      <c r="G116" s="67">
        <v>0.30231729055258466</v>
      </c>
      <c r="H116" s="67">
        <v>0.16898395721925133</v>
      </c>
      <c r="I116" s="68">
        <v>8445.9905660377353</v>
      </c>
      <c r="J116" s="68">
        <v>-7958.2278481012654</v>
      </c>
      <c r="K116" s="67">
        <v>0.10029498525073746</v>
      </c>
      <c r="L116" s="67">
        <v>0.10029498525073746</v>
      </c>
      <c r="M116" s="67">
        <v>0.26773618538324423</v>
      </c>
      <c r="N116" s="67">
        <v>0.21818181818181817</v>
      </c>
      <c r="O116" s="67">
        <v>0.59254327563248999</v>
      </c>
      <c r="P116" s="67">
        <v>0.37908496732026142</v>
      </c>
      <c r="Q116" s="67">
        <v>0.43160377358490565</v>
      </c>
    </row>
    <row r="117" spans="1:17" x14ac:dyDescent="0.4">
      <c r="A117" s="69">
        <v>114</v>
      </c>
      <c r="B117" s="66">
        <v>2.8421709430404007E-14</v>
      </c>
      <c r="C117" s="66">
        <v>8.3104413539193E-17</v>
      </c>
      <c r="D117" s="71">
        <v>2</v>
      </c>
      <c r="E117" s="67">
        <v>0.33333333333333331</v>
      </c>
      <c r="F117" s="67">
        <v>0.33333333333333331</v>
      </c>
      <c r="G117" s="67">
        <v>0.3022269353128314</v>
      </c>
      <c r="H117" s="67">
        <v>0.16861081654294804</v>
      </c>
      <c r="I117" s="68">
        <v>8441.1695906432742</v>
      </c>
      <c r="J117" s="68">
        <v>-7949.6855345911954</v>
      </c>
      <c r="K117" s="67">
        <v>9.9415204678362568E-2</v>
      </c>
      <c r="L117" s="67">
        <v>9.9415204678362568E-2</v>
      </c>
      <c r="M117" s="67">
        <v>0.26793920113114172</v>
      </c>
      <c r="N117" s="67">
        <v>0.21809826793920112</v>
      </c>
      <c r="O117" s="67">
        <v>0.59366754617414252</v>
      </c>
      <c r="P117" s="67">
        <v>0.37925445705024313</v>
      </c>
      <c r="Q117" s="67">
        <v>0.43274853801169588</v>
      </c>
    </row>
    <row r="118" spans="1:17" x14ac:dyDescent="0.4">
      <c r="A118" s="69">
        <v>115</v>
      </c>
      <c r="B118" s="66">
        <v>2.5590640717609858E-14</v>
      </c>
      <c r="C118" s="66">
        <v>7.4175770195970603E-17</v>
      </c>
      <c r="D118" s="71">
        <v>2</v>
      </c>
      <c r="E118" s="67">
        <v>0.33333333333333331</v>
      </c>
      <c r="F118" s="67">
        <v>0.33333333333333331</v>
      </c>
      <c r="G118" s="67">
        <v>0.30258560447239691</v>
      </c>
      <c r="H118" s="67">
        <v>0.16736547868623342</v>
      </c>
      <c r="I118" s="68">
        <v>8485.1039260969974</v>
      </c>
      <c r="J118" s="68">
        <v>-7983.2985386221299</v>
      </c>
      <c r="K118" s="67">
        <v>9.8550724637681164E-2</v>
      </c>
      <c r="L118" s="67">
        <v>9.8550724637681164E-2</v>
      </c>
      <c r="M118" s="67">
        <v>0.26799440950384346</v>
      </c>
      <c r="N118" s="67">
        <v>0.21872816212438853</v>
      </c>
      <c r="O118" s="67">
        <v>0.59322033898305082</v>
      </c>
      <c r="P118" s="67">
        <v>0.38178913738019171</v>
      </c>
      <c r="Q118" s="67">
        <v>0.43764434180138567</v>
      </c>
    </row>
    <row r="119" spans="1:17" x14ac:dyDescent="0.4">
      <c r="A119" s="69">
        <v>116</v>
      </c>
      <c r="B119" s="66">
        <v>2.8421709430404007E-14</v>
      </c>
      <c r="C119" s="66">
        <v>8.167157882300002E-17</v>
      </c>
      <c r="D119" s="71">
        <v>2</v>
      </c>
      <c r="E119" s="67">
        <v>0.33333333333333331</v>
      </c>
      <c r="F119" s="67">
        <v>0.33333333333333331</v>
      </c>
      <c r="G119" s="67">
        <v>0.30271398747390399</v>
      </c>
      <c r="H119" s="67">
        <v>0.16736256089074461</v>
      </c>
      <c r="I119" s="68">
        <v>8496.6666666666661</v>
      </c>
      <c r="J119" s="68">
        <v>-8012.4740124740129</v>
      </c>
      <c r="K119" s="67">
        <v>0.10057471264367816</v>
      </c>
      <c r="L119" s="67">
        <v>0.10057471264367816</v>
      </c>
      <c r="M119" s="67">
        <v>0.26896311760612385</v>
      </c>
      <c r="N119" s="67">
        <v>0.21851078636047322</v>
      </c>
      <c r="O119" s="67">
        <v>0.59249676584734801</v>
      </c>
      <c r="P119" s="67">
        <v>0.38216560509554143</v>
      </c>
      <c r="Q119" s="67">
        <v>0.43793103448275861</v>
      </c>
    </row>
    <row r="120" spans="1:17" x14ac:dyDescent="0.4">
      <c r="A120" s="69">
        <v>117</v>
      </c>
      <c r="B120" s="66">
        <v>2.8421709430404007E-14</v>
      </c>
      <c r="C120" s="66">
        <v>8.0973531140752162E-17</v>
      </c>
      <c r="D120" s="71">
        <v>2</v>
      </c>
      <c r="E120" s="67">
        <v>0.33333333333333331</v>
      </c>
      <c r="F120" s="67">
        <v>0.33333333333333331</v>
      </c>
      <c r="G120" s="67">
        <v>0.30287296642436828</v>
      </c>
      <c r="H120" s="67">
        <v>0.16822429906542055</v>
      </c>
      <c r="I120" s="68">
        <v>8526.5142857142855</v>
      </c>
      <c r="J120" s="68">
        <v>-8071.1934156378602</v>
      </c>
      <c r="K120" s="67">
        <v>0.10256410256410256</v>
      </c>
      <c r="L120" s="67">
        <v>0.10256410256410256</v>
      </c>
      <c r="M120" s="67">
        <v>0.27033575631706475</v>
      </c>
      <c r="N120" s="67">
        <v>0.21806853582554517</v>
      </c>
      <c r="O120" s="67">
        <v>0.59282970550576186</v>
      </c>
      <c r="P120" s="67">
        <v>0.38095238095238093</v>
      </c>
      <c r="Q120" s="67">
        <v>0.43542857142857144</v>
      </c>
    </row>
    <row r="121" spans="1:17" x14ac:dyDescent="0.4">
      <c r="A121" s="69">
        <v>118</v>
      </c>
      <c r="B121" s="66">
        <v>2.8421709430404007E-14</v>
      </c>
      <c r="C121" s="66">
        <v>8.0287314775152563E-17</v>
      </c>
      <c r="D121" s="71">
        <v>2</v>
      </c>
      <c r="E121" s="67">
        <v>0.33333333333333331</v>
      </c>
      <c r="F121" s="67">
        <v>0.33333333333333331</v>
      </c>
      <c r="G121" s="67">
        <v>0.30290598290598292</v>
      </c>
      <c r="H121" s="67">
        <v>0.1682051282051282</v>
      </c>
      <c r="I121" s="68">
        <v>8504.6275395033863</v>
      </c>
      <c r="J121" s="68">
        <v>-8061.9918699186992</v>
      </c>
      <c r="K121" s="67">
        <v>0.10169491525423729</v>
      </c>
      <c r="L121" s="67">
        <v>0.10169491525423729</v>
      </c>
      <c r="M121" s="67">
        <v>0.26940170940170938</v>
      </c>
      <c r="N121" s="67">
        <v>0.21777777777777776</v>
      </c>
      <c r="O121" s="67">
        <v>0.59263959390862941</v>
      </c>
      <c r="P121" s="67">
        <v>0.38147566718995291</v>
      </c>
      <c r="Q121" s="67">
        <v>0.43566591422121898</v>
      </c>
    </row>
    <row r="122" spans="1:17" x14ac:dyDescent="0.4">
      <c r="A122" s="69">
        <v>119</v>
      </c>
      <c r="B122" s="66">
        <v>3.5527136788005009E-14</v>
      </c>
      <c r="C122" s="66">
        <v>9.9515789322142887E-17</v>
      </c>
      <c r="D122" s="71">
        <v>2</v>
      </c>
      <c r="E122" s="67">
        <v>0.33333333333333331</v>
      </c>
      <c r="F122" s="67">
        <v>0.33333333333333331</v>
      </c>
      <c r="G122" s="67">
        <v>0.30284552845528456</v>
      </c>
      <c r="H122" s="67">
        <v>0.16836043360433606</v>
      </c>
      <c r="I122" s="68">
        <v>8489.5973154362418</v>
      </c>
      <c r="J122" s="68">
        <v>-8026.3581488933605</v>
      </c>
      <c r="K122" s="67">
        <v>0.10084033613445378</v>
      </c>
      <c r="L122" s="67">
        <v>0.10084033613445378</v>
      </c>
      <c r="M122" s="67">
        <v>0.26998644986449866</v>
      </c>
      <c r="N122" s="67">
        <v>0.21680216802168023</v>
      </c>
      <c r="O122" s="67">
        <v>0.59222082810539523</v>
      </c>
      <c r="P122" s="67">
        <v>0.3828125</v>
      </c>
      <c r="Q122" s="67">
        <v>0.43512304250559286</v>
      </c>
    </row>
    <row r="123" spans="1:17" x14ac:dyDescent="0.4">
      <c r="A123" s="69">
        <v>120</v>
      </c>
      <c r="B123" s="66">
        <v>3.907985046680551E-14</v>
      </c>
      <c r="C123" s="66">
        <v>1.0855514018557086E-16</v>
      </c>
      <c r="D123" s="71">
        <v>2</v>
      </c>
      <c r="E123" s="67">
        <v>0.33333333333333331</v>
      </c>
      <c r="F123" s="67">
        <v>0.33333333333333331</v>
      </c>
      <c r="G123" s="67">
        <v>0.302755376344086</v>
      </c>
      <c r="H123" s="67">
        <v>0.16868279569892472</v>
      </c>
      <c r="I123" s="68">
        <v>8464.9278579356269</v>
      </c>
      <c r="J123" s="68">
        <v>-8002.7888446215138</v>
      </c>
      <c r="K123" s="67">
        <v>0.1</v>
      </c>
      <c r="L123" s="67">
        <v>0.1</v>
      </c>
      <c r="M123" s="67">
        <v>0.27083333333333331</v>
      </c>
      <c r="N123" s="67">
        <v>0.21639784946236559</v>
      </c>
      <c r="O123" s="67">
        <v>0.59057071960297769</v>
      </c>
      <c r="P123" s="67">
        <v>0.38198757763975155</v>
      </c>
      <c r="Q123" s="67">
        <v>0.43396226415094341</v>
      </c>
    </row>
    <row r="124" spans="1:17" x14ac:dyDescent="0.4">
      <c r="A124" s="69">
        <v>121</v>
      </c>
      <c r="B124" s="66">
        <v>3.5527136788005009E-14</v>
      </c>
      <c r="C124" s="66">
        <v>9.7870900242438045E-17</v>
      </c>
      <c r="D124" s="71">
        <v>2</v>
      </c>
      <c r="E124" s="67">
        <v>0.33333333333333331</v>
      </c>
      <c r="F124" s="67">
        <v>0.33333333333333331</v>
      </c>
      <c r="G124" s="67">
        <v>0.30272787757817698</v>
      </c>
      <c r="H124" s="67">
        <v>0.16899534264803726</v>
      </c>
      <c r="I124" s="68">
        <v>8464.8351648351654</v>
      </c>
      <c r="J124" s="68">
        <v>-7996.6535433070867</v>
      </c>
      <c r="K124" s="67">
        <v>9.9173553719008267E-2</v>
      </c>
      <c r="L124" s="67">
        <v>9.9173553719008267E-2</v>
      </c>
      <c r="M124" s="67">
        <v>0.27145708582834333</v>
      </c>
      <c r="N124" s="67">
        <v>0.21623419827012641</v>
      </c>
      <c r="O124" s="67">
        <v>0.58823529411764708</v>
      </c>
      <c r="P124" s="67">
        <v>0.38153846153846155</v>
      </c>
      <c r="Q124" s="67">
        <v>0.43296703296703298</v>
      </c>
    </row>
    <row r="125" spans="1:17" x14ac:dyDescent="0.4">
      <c r="A125" s="69">
        <v>122</v>
      </c>
      <c r="B125" s="66">
        <v>3.1974423109204508E-14</v>
      </c>
      <c r="C125" s="66">
        <v>8.7361811773782808E-17</v>
      </c>
      <c r="D125" s="71">
        <v>2</v>
      </c>
      <c r="E125" s="67">
        <v>0.33333333333333331</v>
      </c>
      <c r="F125" s="67">
        <v>0.33333333333333331</v>
      </c>
      <c r="G125" s="67">
        <v>0.30267062314540061</v>
      </c>
      <c r="H125" s="67">
        <v>0.16880975931421036</v>
      </c>
      <c r="I125" s="68">
        <v>8464.1612200435738</v>
      </c>
      <c r="J125" s="68">
        <v>-8001.171875</v>
      </c>
      <c r="K125" s="67">
        <v>0.10109289617486339</v>
      </c>
      <c r="L125" s="67">
        <v>0.10109289617486339</v>
      </c>
      <c r="M125" s="67">
        <v>0.27200791295746785</v>
      </c>
      <c r="N125" s="67">
        <v>0.21661721068249259</v>
      </c>
      <c r="O125" s="67">
        <v>0.58787878787878789</v>
      </c>
      <c r="P125" s="67">
        <v>0.38051750380517502</v>
      </c>
      <c r="Q125" s="67">
        <v>0.43355119825708061</v>
      </c>
    </row>
    <row r="126" spans="1:17" x14ac:dyDescent="0.4">
      <c r="A126" s="69">
        <v>123</v>
      </c>
      <c r="B126" s="66">
        <v>3.3750779948604759E-14</v>
      </c>
      <c r="C126" s="66">
        <v>9.1465528316002061E-17</v>
      </c>
      <c r="D126" s="71">
        <v>2</v>
      </c>
      <c r="E126" s="67">
        <v>0.33333333333333331</v>
      </c>
      <c r="F126" s="67">
        <v>0.33333333333333331</v>
      </c>
      <c r="G126" s="67">
        <v>0.30285343709468221</v>
      </c>
      <c r="H126" s="67">
        <v>0.16763942931258105</v>
      </c>
      <c r="I126" s="68">
        <v>8461.9914346895075</v>
      </c>
      <c r="J126" s="68">
        <v>-8019.342359767892</v>
      </c>
      <c r="K126" s="67">
        <v>0.1002710027100271</v>
      </c>
      <c r="L126" s="67">
        <v>0.1002710027100271</v>
      </c>
      <c r="M126" s="67">
        <v>0.27172503242542151</v>
      </c>
      <c r="N126" s="67">
        <v>0.21789883268482491</v>
      </c>
      <c r="O126" s="67">
        <v>0.58711217183770881</v>
      </c>
      <c r="P126" s="67">
        <v>0.38095238095238093</v>
      </c>
      <c r="Q126" s="67">
        <v>0.43790149892933616</v>
      </c>
    </row>
    <row r="127" spans="1:17" x14ac:dyDescent="0.4">
      <c r="A127" s="69">
        <v>124</v>
      </c>
      <c r="B127" s="66">
        <v>3.9801495432811862E-14</v>
      </c>
      <c r="C127" s="66">
        <v>1.0699326729250501E-16</v>
      </c>
      <c r="D127" s="71">
        <v>2</v>
      </c>
      <c r="E127" s="67">
        <v>0.33333333333333331</v>
      </c>
      <c r="F127" s="67">
        <v>0.33333333333333331</v>
      </c>
      <c r="G127" s="67">
        <v>0.30308880308880309</v>
      </c>
      <c r="H127" s="67">
        <v>0.16795366795366795</v>
      </c>
      <c r="I127" s="68">
        <v>8448.3014861995762</v>
      </c>
      <c r="J127" s="68">
        <v>-8016.4750957854403</v>
      </c>
      <c r="K127" s="67">
        <v>9.9462365591397844E-2</v>
      </c>
      <c r="L127" s="67">
        <v>9.9462365591397844E-2</v>
      </c>
      <c r="M127" s="67">
        <v>0.27059202059202059</v>
      </c>
      <c r="N127" s="67">
        <v>0.21846846846846846</v>
      </c>
      <c r="O127" s="67">
        <v>0.58858501783590966</v>
      </c>
      <c r="P127" s="67">
        <v>0.38291605301914583</v>
      </c>
      <c r="Q127" s="67">
        <v>0.43736730360934184</v>
      </c>
    </row>
    <row r="128" spans="1:17" x14ac:dyDescent="0.4">
      <c r="A128" s="69">
        <v>125</v>
      </c>
      <c r="B128" s="66">
        <v>3.5527136788005009E-14</v>
      </c>
      <c r="C128" s="66">
        <v>9.4739031434680031E-17</v>
      </c>
      <c r="D128" s="71">
        <v>2</v>
      </c>
      <c r="E128" s="67">
        <v>0.33333333333333331</v>
      </c>
      <c r="F128" s="67">
        <v>0.33333333333333331</v>
      </c>
      <c r="G128" s="67">
        <v>0.30271132376395532</v>
      </c>
      <c r="H128" s="67">
        <v>0.1674641148325359</v>
      </c>
      <c r="I128" s="68">
        <v>8448.4720758693365</v>
      </c>
      <c r="J128" s="68">
        <v>-8019.6190476190477</v>
      </c>
      <c r="K128" s="67">
        <v>9.8666666666666666E-2</v>
      </c>
      <c r="L128" s="67">
        <v>9.8666666666666666E-2</v>
      </c>
      <c r="M128" s="67">
        <v>0.27017543859649124</v>
      </c>
      <c r="N128" s="67">
        <v>0.21818181818181817</v>
      </c>
      <c r="O128" s="67">
        <v>0.58795749704840616</v>
      </c>
      <c r="P128" s="67">
        <v>0.38596491228070173</v>
      </c>
      <c r="Q128" s="67">
        <v>0.43835616438356162</v>
      </c>
    </row>
    <row r="129" spans="1:17" x14ac:dyDescent="0.4">
      <c r="A129" s="69">
        <v>126</v>
      </c>
      <c r="B129" s="66">
        <v>4.2632564145606011E-14</v>
      </c>
      <c r="C129" s="66">
        <v>1.1278456123176193E-16</v>
      </c>
      <c r="D129" s="71">
        <v>2</v>
      </c>
      <c r="E129" s="67">
        <v>0.33333333333333331</v>
      </c>
      <c r="F129" s="67">
        <v>0.33333333333333331</v>
      </c>
      <c r="G129" s="67">
        <v>0.30259822560202787</v>
      </c>
      <c r="H129" s="67">
        <v>0.16730038022813687</v>
      </c>
      <c r="I129" s="68">
        <v>8490.0523560209422</v>
      </c>
      <c r="J129" s="68">
        <v>-8085.037878787879</v>
      </c>
      <c r="K129" s="67">
        <v>0.10052910052910052</v>
      </c>
      <c r="L129" s="67">
        <v>0.10052910052910052</v>
      </c>
      <c r="M129" s="67">
        <v>0.26996197718631176</v>
      </c>
      <c r="N129" s="67">
        <v>0.21736375158428389</v>
      </c>
      <c r="O129" s="67">
        <v>0.58920187793427226</v>
      </c>
      <c r="P129" s="67">
        <v>0.38483965014577259</v>
      </c>
      <c r="Q129" s="67">
        <v>0.4387434554973822</v>
      </c>
    </row>
    <row r="130" spans="1:17" x14ac:dyDescent="0.4">
      <c r="A130" s="69">
        <v>127</v>
      </c>
      <c r="B130" s="66">
        <v>4.2632564145606011E-14</v>
      </c>
      <c r="C130" s="66">
        <v>1.1189649382048822E-16</v>
      </c>
      <c r="D130" s="71">
        <v>2</v>
      </c>
      <c r="E130" s="67">
        <v>0.33333333333333331</v>
      </c>
      <c r="F130" s="67">
        <v>0.33333333333333331</v>
      </c>
      <c r="G130" s="67">
        <v>0.30237648530331457</v>
      </c>
      <c r="H130" s="67">
        <v>0.16791744840525327</v>
      </c>
      <c r="I130" s="68">
        <v>8457.7042399172697</v>
      </c>
      <c r="J130" s="68">
        <v>-8050.4655493482305</v>
      </c>
      <c r="K130" s="67">
        <v>9.9737532808398949E-2</v>
      </c>
      <c r="L130" s="67">
        <v>9.9737532808398949E-2</v>
      </c>
      <c r="M130" s="67">
        <v>0.26923076923076922</v>
      </c>
      <c r="N130" s="67">
        <v>0.21607254534083803</v>
      </c>
      <c r="O130" s="67">
        <v>0.59117305458768876</v>
      </c>
      <c r="P130" s="67">
        <v>0.38350217076700432</v>
      </c>
      <c r="Q130" s="67">
        <v>0.4364012409513961</v>
      </c>
    </row>
    <row r="131" spans="1:17" x14ac:dyDescent="0.4">
      <c r="A131" s="69">
        <v>128</v>
      </c>
      <c r="B131" s="66">
        <v>4.2632564145606011E-14</v>
      </c>
      <c r="C131" s="66">
        <v>1.1102230246251565E-16</v>
      </c>
      <c r="D131" s="71">
        <v>2</v>
      </c>
      <c r="E131" s="67">
        <v>0.33333333333333331</v>
      </c>
      <c r="F131" s="67">
        <v>0.33333333333333331</v>
      </c>
      <c r="G131" s="67">
        <v>0.30204460966542751</v>
      </c>
      <c r="H131" s="67">
        <v>0.16759603469640644</v>
      </c>
      <c r="I131" s="68">
        <v>8445.3333333333339</v>
      </c>
      <c r="J131" s="68">
        <v>-8048.9833641404803</v>
      </c>
      <c r="K131" s="67">
        <v>0.1015625</v>
      </c>
      <c r="L131" s="67">
        <v>0.1015625</v>
      </c>
      <c r="M131" s="67">
        <v>0.2698265179677819</v>
      </c>
      <c r="N131" s="67">
        <v>0.21561338289962825</v>
      </c>
      <c r="O131" s="67">
        <v>0.59127439724454645</v>
      </c>
      <c r="P131" s="67">
        <v>0.38362068965517243</v>
      </c>
      <c r="Q131" s="67">
        <v>0.43692307692307691</v>
      </c>
    </row>
    <row r="132" spans="1:17" x14ac:dyDescent="0.4">
      <c r="A132" s="69">
        <v>129</v>
      </c>
      <c r="B132" s="66">
        <v>4.7073456244106637E-14</v>
      </c>
      <c r="C132" s="66">
        <v>1.2163683784006883E-16</v>
      </c>
      <c r="D132" s="71">
        <v>2</v>
      </c>
      <c r="E132" s="67">
        <v>0.33333333333333331</v>
      </c>
      <c r="F132" s="67">
        <v>0.33333333333333331</v>
      </c>
      <c r="G132" s="67">
        <v>0.30224684518313327</v>
      </c>
      <c r="H132" s="67">
        <v>0.16743613419513698</v>
      </c>
      <c r="I132" s="68">
        <v>8418.8391038696536</v>
      </c>
      <c r="J132" s="68">
        <v>-8033.8235294117649</v>
      </c>
      <c r="K132" s="67">
        <v>0.10077519379844961</v>
      </c>
      <c r="L132" s="67">
        <v>0.10077519379844961</v>
      </c>
      <c r="M132" s="67">
        <v>0.26900584795321636</v>
      </c>
      <c r="N132" s="67">
        <v>0.21606648199445982</v>
      </c>
      <c r="O132" s="67">
        <v>0.59153318077803207</v>
      </c>
      <c r="P132" s="67">
        <v>0.38603988603988604</v>
      </c>
      <c r="Q132" s="67">
        <v>0.43788187372708759</v>
      </c>
    </row>
    <row r="133" spans="1:17" x14ac:dyDescent="0.4">
      <c r="A133" s="69">
        <v>130</v>
      </c>
      <c r="B133" s="66">
        <v>4.9737991503207013E-14</v>
      </c>
      <c r="C133" s="66">
        <v>1.2753331154668464E-16</v>
      </c>
      <c r="D133" s="71">
        <v>2</v>
      </c>
      <c r="E133" s="67">
        <v>0.33333333333333331</v>
      </c>
      <c r="F133" s="67">
        <v>0.33333333333333331</v>
      </c>
      <c r="G133" s="67">
        <v>0.30225472273004267</v>
      </c>
      <c r="H133" s="67">
        <v>0.16758074344911639</v>
      </c>
      <c r="I133" s="68">
        <v>8403.9314516129034</v>
      </c>
      <c r="J133" s="68">
        <v>-8011.272727272727</v>
      </c>
      <c r="K133" s="67">
        <v>0.1</v>
      </c>
      <c r="L133" s="67">
        <v>0.1</v>
      </c>
      <c r="M133" s="67">
        <v>0.26873857404021939</v>
      </c>
      <c r="N133" s="67">
        <v>0.21633150517976843</v>
      </c>
      <c r="O133" s="67">
        <v>0.59070294784580502</v>
      </c>
      <c r="P133" s="67">
        <v>0.38591549295774646</v>
      </c>
      <c r="Q133" s="67">
        <v>0.4375</v>
      </c>
    </row>
    <row r="134" spans="1:17" x14ac:dyDescent="0.4">
      <c r="A134" s="69">
        <v>131</v>
      </c>
      <c r="B134" s="66">
        <v>4.8849813083506888E-14</v>
      </c>
      <c r="C134" s="66">
        <v>1.2429977883843992E-16</v>
      </c>
      <c r="D134" s="71">
        <v>2</v>
      </c>
      <c r="E134" s="67">
        <v>0.33333333333333331</v>
      </c>
      <c r="F134" s="67">
        <v>0.33333333333333331</v>
      </c>
      <c r="G134" s="67">
        <v>0.30190389845874888</v>
      </c>
      <c r="H134" s="67">
        <v>0.16772438803263826</v>
      </c>
      <c r="I134" s="68">
        <v>8391.191191191192</v>
      </c>
      <c r="J134" s="68">
        <v>-8000.5405405405409</v>
      </c>
      <c r="K134" s="67">
        <v>9.9236641221374045E-2</v>
      </c>
      <c r="L134" s="67">
        <v>9.9236641221374045E-2</v>
      </c>
      <c r="M134" s="67">
        <v>0.26835902085222124</v>
      </c>
      <c r="N134" s="67">
        <v>0.21698398307645814</v>
      </c>
      <c r="O134" s="67">
        <v>0.59121621621621623</v>
      </c>
      <c r="P134" s="67">
        <v>0.38579387186629527</v>
      </c>
      <c r="Q134" s="67">
        <v>0.43643643643643643</v>
      </c>
    </row>
    <row r="135" spans="1:17" x14ac:dyDescent="0.4">
      <c r="A135" s="69">
        <v>132</v>
      </c>
      <c r="B135" s="66">
        <v>4.2632564145606011E-14</v>
      </c>
      <c r="C135" s="66">
        <v>1.0765799026668185E-16</v>
      </c>
      <c r="D135" s="71">
        <v>2</v>
      </c>
      <c r="E135" s="67">
        <v>0.33333333333333331</v>
      </c>
      <c r="F135" s="67">
        <v>0.33333333333333331</v>
      </c>
      <c r="G135" s="67">
        <v>0.30218628331835878</v>
      </c>
      <c r="H135" s="67">
        <v>0.16831386642707397</v>
      </c>
      <c r="I135" s="68">
        <v>8368.0872150644209</v>
      </c>
      <c r="J135" s="68">
        <v>-7978.4697508896797</v>
      </c>
      <c r="K135" s="67">
        <v>0.10101010101010101</v>
      </c>
      <c r="L135" s="67">
        <v>0.10101010101010101</v>
      </c>
      <c r="M135" s="67">
        <v>0.26864330637915546</v>
      </c>
      <c r="N135" s="67">
        <v>0.2168313866427074</v>
      </c>
      <c r="O135" s="67">
        <v>0.59085841694537344</v>
      </c>
      <c r="P135" s="67">
        <v>0.38674033149171272</v>
      </c>
      <c r="Q135" s="67">
        <v>0.43508424182358774</v>
      </c>
    </row>
    <row r="136" spans="1:17" x14ac:dyDescent="0.4">
      <c r="A136" s="69">
        <v>133</v>
      </c>
      <c r="B136" s="66">
        <v>4.2632564145606011E-14</v>
      </c>
      <c r="C136" s="66">
        <v>1.0684853169324814E-16</v>
      </c>
      <c r="D136" s="71">
        <v>2</v>
      </c>
      <c r="E136" s="67">
        <v>0.33333333333333331</v>
      </c>
      <c r="F136" s="67">
        <v>0.33333333333333331</v>
      </c>
      <c r="G136" s="67">
        <v>0.30238095238095236</v>
      </c>
      <c r="H136" s="67">
        <v>0.16815476190476192</v>
      </c>
      <c r="I136" s="68">
        <v>8355.7086614173222</v>
      </c>
      <c r="J136" s="68">
        <v>-7977.8761061946907</v>
      </c>
      <c r="K136" s="67">
        <v>0.10025062656641603</v>
      </c>
      <c r="L136" s="67">
        <v>0.10025062656641603</v>
      </c>
      <c r="M136" s="67">
        <v>0.2681547619047619</v>
      </c>
      <c r="N136" s="67">
        <v>0.21785714285714286</v>
      </c>
      <c r="O136" s="67">
        <v>0.59156492785793557</v>
      </c>
      <c r="P136" s="67">
        <v>0.38524590163934425</v>
      </c>
      <c r="Q136" s="67">
        <v>0.4360236220472441</v>
      </c>
    </row>
    <row r="137" spans="1:17" x14ac:dyDescent="0.4">
      <c r="A137" s="69">
        <v>134</v>
      </c>
      <c r="B137" s="66">
        <v>3.5527136788005009E-14</v>
      </c>
      <c r="C137" s="66">
        <v>8.8375962159216446E-17</v>
      </c>
      <c r="D137" s="71">
        <v>2</v>
      </c>
      <c r="E137" s="67">
        <v>0.33333333333333331</v>
      </c>
      <c r="F137" s="67">
        <v>0.33333333333333331</v>
      </c>
      <c r="G137" s="67">
        <v>0.30254588513913561</v>
      </c>
      <c r="H137" s="67">
        <v>0.16755476613380699</v>
      </c>
      <c r="I137" s="68">
        <v>8366.7318982387478</v>
      </c>
      <c r="J137" s="68">
        <v>-7984.9823321554768</v>
      </c>
      <c r="K137" s="67">
        <v>0.10199004975124377</v>
      </c>
      <c r="L137" s="67">
        <v>0.10199004975124377</v>
      </c>
      <c r="M137" s="67">
        <v>0.26968620485494377</v>
      </c>
      <c r="N137" s="67">
        <v>0.21669626998223801</v>
      </c>
      <c r="O137" s="67">
        <v>0.5916575192096597</v>
      </c>
      <c r="P137" s="67">
        <v>0.38524590163934425</v>
      </c>
      <c r="Q137" s="67">
        <v>0.43835616438356162</v>
      </c>
    </row>
    <row r="138" spans="1:17" x14ac:dyDescent="0.4">
      <c r="A138" s="69">
        <v>135</v>
      </c>
      <c r="B138" s="66">
        <v>3.5527136788005009E-14</v>
      </c>
      <c r="C138" s="66">
        <v>8.77213254024815E-17</v>
      </c>
      <c r="D138" s="71">
        <v>2</v>
      </c>
      <c r="E138" s="67">
        <v>0.33333333333333331</v>
      </c>
      <c r="F138" s="67">
        <v>0.33333333333333331</v>
      </c>
      <c r="G138" s="67">
        <v>0.30249632892804701</v>
      </c>
      <c r="H138" s="67">
        <v>0.16710719530102791</v>
      </c>
      <c r="I138" s="68">
        <v>8376.0194174757289</v>
      </c>
      <c r="J138" s="68">
        <v>-7986.4674868189804</v>
      </c>
      <c r="K138" s="67">
        <v>0.10123456790123457</v>
      </c>
      <c r="L138" s="67">
        <v>0.10123456790123457</v>
      </c>
      <c r="M138" s="67">
        <v>0.26901615271659324</v>
      </c>
      <c r="N138" s="67">
        <v>0.21585903083700442</v>
      </c>
      <c r="O138" s="67">
        <v>0.59279475982532748</v>
      </c>
      <c r="P138" s="67">
        <v>0.38639455782312926</v>
      </c>
      <c r="Q138" s="67">
        <v>0.43980582524271844</v>
      </c>
    </row>
    <row r="139" spans="1:17" x14ac:dyDescent="0.4">
      <c r="A139" s="69">
        <v>136</v>
      </c>
      <c r="B139" s="66">
        <v>3.1974423109204508E-14</v>
      </c>
      <c r="C139" s="66">
        <v>7.8368684091187526E-17</v>
      </c>
      <c r="D139" s="71">
        <v>2</v>
      </c>
      <c r="E139" s="67">
        <v>0.33333333333333331</v>
      </c>
      <c r="F139" s="67">
        <v>0.33333333333333331</v>
      </c>
      <c r="G139" s="67">
        <v>0.30139372822299654</v>
      </c>
      <c r="H139" s="67">
        <v>0.16666666666666666</v>
      </c>
      <c r="I139" s="68">
        <v>8387.1868978805396</v>
      </c>
      <c r="J139" s="68">
        <v>-8019.5121951219517</v>
      </c>
      <c r="K139" s="67">
        <v>0.10294117647058823</v>
      </c>
      <c r="L139" s="67">
        <v>0.10294117647058823</v>
      </c>
      <c r="M139" s="67">
        <v>0.26887340301974449</v>
      </c>
      <c r="N139" s="67">
        <v>0.21602787456445993</v>
      </c>
      <c r="O139" s="67">
        <v>0.59179265658747304</v>
      </c>
      <c r="P139" s="67">
        <v>0.38306451612903225</v>
      </c>
      <c r="Q139" s="67">
        <v>0.43930635838150289</v>
      </c>
    </row>
    <row r="140" spans="1:17" x14ac:dyDescent="0.4">
      <c r="A140" s="69">
        <v>137</v>
      </c>
      <c r="B140" s="66">
        <v>2.8421709430404007E-14</v>
      </c>
      <c r="C140" s="66">
        <v>6.9152577689547465E-17</v>
      </c>
      <c r="D140" s="71">
        <v>2</v>
      </c>
      <c r="E140" s="67">
        <v>0.33333333333333331</v>
      </c>
      <c r="F140" s="67">
        <v>0.33333333333333331</v>
      </c>
      <c r="G140" s="67">
        <v>0.30161476355247979</v>
      </c>
      <c r="H140" s="67">
        <v>0.16695501730103807</v>
      </c>
      <c r="I140" s="68">
        <v>8398.7571701720844</v>
      </c>
      <c r="J140" s="68">
        <v>-8040.0690846286698</v>
      </c>
      <c r="K140" s="67">
        <v>0.10218978102189781</v>
      </c>
      <c r="L140" s="67">
        <v>0.10218978102189781</v>
      </c>
      <c r="M140" s="67">
        <v>0.26931949250288351</v>
      </c>
      <c r="N140" s="67">
        <v>0.21539792387543252</v>
      </c>
      <c r="O140" s="67">
        <v>0.59207708779443258</v>
      </c>
      <c r="P140" s="67">
        <v>0.38286479250334671</v>
      </c>
      <c r="Q140" s="67">
        <v>0.43881453154875716</v>
      </c>
    </row>
    <row r="141" spans="1:17" x14ac:dyDescent="0.4">
      <c r="A141" s="69">
        <v>138</v>
      </c>
      <c r="B141" s="66">
        <v>3.1086244689504383E-14</v>
      </c>
      <c r="C141" s="66">
        <v>7.5087547559189332E-17</v>
      </c>
      <c r="D141" s="71">
        <v>2</v>
      </c>
      <c r="E141" s="67">
        <v>0.33333333333333331</v>
      </c>
      <c r="F141" s="67">
        <v>0.33333333333333331</v>
      </c>
      <c r="G141" s="67">
        <v>0.30149168100975332</v>
      </c>
      <c r="H141" s="67">
        <v>0.16695352839931152</v>
      </c>
      <c r="I141" s="68">
        <v>8419.0294957183633</v>
      </c>
      <c r="J141" s="68">
        <v>-8045.5326460481101</v>
      </c>
      <c r="K141" s="67">
        <v>0.10386473429951691</v>
      </c>
      <c r="L141" s="67">
        <v>0.10386473429951691</v>
      </c>
      <c r="M141" s="67">
        <v>0.27022375215146299</v>
      </c>
      <c r="N141" s="67">
        <v>0.21457257601835916</v>
      </c>
      <c r="O141" s="67">
        <v>0.59235668789808915</v>
      </c>
      <c r="P141" s="67">
        <v>0.38235294117647056</v>
      </c>
      <c r="Q141" s="67">
        <v>0.43862987630827782</v>
      </c>
    </row>
    <row r="142" spans="1:17" x14ac:dyDescent="0.4">
      <c r="A142" s="69">
        <v>139</v>
      </c>
      <c r="B142" s="66">
        <v>3.5527136788005009E-14</v>
      </c>
      <c r="C142" s="66">
        <v>8.519697071464031E-17</v>
      </c>
      <c r="D142" s="71">
        <v>2</v>
      </c>
      <c r="E142" s="67">
        <v>0.33333333333333331</v>
      </c>
      <c r="F142" s="67">
        <v>0.33333333333333331</v>
      </c>
      <c r="G142" s="67">
        <v>0.30145175064047824</v>
      </c>
      <c r="H142" s="67">
        <v>0.16737830913748933</v>
      </c>
      <c r="I142" s="68">
        <v>8427.9508970727093</v>
      </c>
      <c r="J142" s="68">
        <v>-8061.3945578231296</v>
      </c>
      <c r="K142" s="67">
        <v>0.10311750599520383</v>
      </c>
      <c r="L142" s="67">
        <v>0.10311750599520383</v>
      </c>
      <c r="M142" s="67">
        <v>0.27013948192428122</v>
      </c>
      <c r="N142" s="67">
        <v>0.21434671221178481</v>
      </c>
      <c r="O142" s="67">
        <v>0.59220231822971547</v>
      </c>
      <c r="P142" s="67">
        <v>0.38379814077025232</v>
      </c>
      <c r="Q142" s="67">
        <v>0.43720491029272901</v>
      </c>
    </row>
    <row r="143" spans="1:17" x14ac:dyDescent="0.4">
      <c r="A143" s="69">
        <v>140</v>
      </c>
      <c r="B143" s="66">
        <v>3.730349362740526E-14</v>
      </c>
      <c r="C143" s="66">
        <v>8.8817841970012528E-17</v>
      </c>
      <c r="D143" s="71">
        <v>2</v>
      </c>
      <c r="E143" s="67">
        <v>0.33333333333333331</v>
      </c>
      <c r="F143" s="67">
        <v>0.33333333333333331</v>
      </c>
      <c r="G143" s="67">
        <v>0.30133106768620788</v>
      </c>
      <c r="H143" s="67">
        <v>0.16737468139337297</v>
      </c>
      <c r="I143" s="68">
        <v>8412.875939849624</v>
      </c>
      <c r="J143" s="68">
        <v>-8040.7783417935698</v>
      </c>
      <c r="K143" s="67">
        <v>0.10238095238095238</v>
      </c>
      <c r="L143" s="67">
        <v>0.10238095238095238</v>
      </c>
      <c r="M143" s="67">
        <v>0.26961200792976492</v>
      </c>
      <c r="N143" s="67">
        <v>0.21467006513735487</v>
      </c>
      <c r="O143" s="67">
        <v>0.59138655462184875</v>
      </c>
      <c r="P143" s="67">
        <v>0.38390501319261211</v>
      </c>
      <c r="Q143" s="67">
        <v>0.43703007518796994</v>
      </c>
    </row>
    <row r="144" spans="1:17" x14ac:dyDescent="0.4">
      <c r="A144" s="69">
        <v>141</v>
      </c>
      <c r="B144" s="66">
        <v>3.730349362740526E-14</v>
      </c>
      <c r="C144" s="66">
        <v>8.8187928197175559E-17</v>
      </c>
      <c r="D144" s="71">
        <v>1.9929078014184398</v>
      </c>
      <c r="E144" s="67">
        <v>0.33806146572104018</v>
      </c>
      <c r="F144" s="67">
        <v>0.33096926713947988</v>
      </c>
      <c r="G144" s="67">
        <v>0.30133106768620788</v>
      </c>
      <c r="H144" s="67">
        <v>0.16737468139337297</v>
      </c>
      <c r="I144" s="68">
        <v>8412.875939849624</v>
      </c>
      <c r="J144" s="68">
        <v>-8040.7783417935698</v>
      </c>
      <c r="K144" s="67">
        <v>0.10165484633569739</v>
      </c>
      <c r="L144" s="67">
        <v>0.10165484633569739</v>
      </c>
      <c r="M144" s="67">
        <v>0.26961200792976492</v>
      </c>
      <c r="N144" s="67">
        <v>0.21467006513735487</v>
      </c>
      <c r="O144" s="67">
        <v>0.59138655462184875</v>
      </c>
      <c r="P144" s="67">
        <v>0.38390501319261211</v>
      </c>
      <c r="Q144" s="67">
        <v>0.43703007518796994</v>
      </c>
    </row>
    <row r="145" spans="1:17" x14ac:dyDescent="0.4">
      <c r="A145" s="69">
        <v>142</v>
      </c>
      <c r="B145" s="66">
        <v>3.5527136788005009E-14</v>
      </c>
      <c r="C145" s="66">
        <v>8.3397034713626778E-17</v>
      </c>
      <c r="D145" s="71">
        <v>1.9929577464788732</v>
      </c>
      <c r="E145" s="67">
        <v>0.3380281690140845</v>
      </c>
      <c r="F145" s="67">
        <v>0.33098591549295775</v>
      </c>
      <c r="G145" s="67">
        <v>0.30126582278481012</v>
      </c>
      <c r="H145" s="67">
        <v>0.16708860759493671</v>
      </c>
      <c r="I145" s="68">
        <v>8397.4789915966394</v>
      </c>
      <c r="J145" s="68">
        <v>-8025.4208754208757</v>
      </c>
      <c r="K145" s="67">
        <v>0.10093896713615023</v>
      </c>
      <c r="L145" s="67">
        <v>0.10093896713615023</v>
      </c>
      <c r="M145" s="67">
        <v>0.26891701828410691</v>
      </c>
      <c r="N145" s="67">
        <v>0.21490857946554148</v>
      </c>
      <c r="O145" s="67">
        <v>0.59205020920502094</v>
      </c>
      <c r="P145" s="67">
        <v>0.38481675392670156</v>
      </c>
      <c r="Q145" s="67">
        <v>0.43790849673202614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546</vt:i4>
      </vt:variant>
    </vt:vector>
  </HeadingPairs>
  <TitlesOfParts>
    <vt:vector size="593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かわたつ</vt:lpstr>
      <vt:lpstr>やがさき</vt:lpstr>
      <vt:lpstr>やがさき2</vt:lpstr>
      <vt:lpstr>かわたつ2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かわたつ!アガリ数</vt:lpstr>
      <vt:lpstr>だいち!アガリ数</vt:lpstr>
      <vt:lpstr>たかの!アガリ数</vt:lpstr>
      <vt:lpstr>ただ!アガリ数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かわたつ!アガリ率</vt:lpstr>
      <vt:lpstr>だいち!アガリ率</vt:lpstr>
      <vt:lpstr>たかの!アガリ率</vt:lpstr>
      <vt:lpstr>ただ!アガリ率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かわたつ!チョンボ数</vt:lpstr>
      <vt:lpstr>だいち!チョンボ数</vt:lpstr>
      <vt:lpstr>たかの!チョンボ数</vt:lpstr>
      <vt:lpstr>ただ!チョンボ数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かわたつ!チョンボ率</vt:lpstr>
      <vt:lpstr>だいち!チョンボ率</vt:lpstr>
      <vt:lpstr>たかの!チョンボ率</vt:lpstr>
      <vt:lpstr>ただ!チョンボ率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かわたつ!ツモ数</vt:lpstr>
      <vt:lpstr>だいち!ツモ数</vt:lpstr>
      <vt:lpstr>たかの!ツモ数</vt:lpstr>
      <vt:lpstr>ただ!ツモ数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かわたつ!ツモ率</vt:lpstr>
      <vt:lpstr>だいち!ツモ率</vt:lpstr>
      <vt:lpstr>たかの!ツモ率</vt:lpstr>
      <vt:lpstr>ただ!ツモ率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かわたつ!トップ数</vt:lpstr>
      <vt:lpstr>だいち!トップ数</vt:lpstr>
      <vt:lpstr>たかの!トップ数</vt:lpstr>
      <vt:lpstr>ただ!トップ数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かわたつ!トップ率</vt:lpstr>
      <vt:lpstr>だいち!トップ率</vt:lpstr>
      <vt:lpstr>たかの!トップ率</vt:lpstr>
      <vt:lpstr>ただ!トップ率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かわたつ!ふっとばし数</vt:lpstr>
      <vt:lpstr>だいち!ふっとばし数</vt:lpstr>
      <vt:lpstr>たかの!ふっとばし数</vt:lpstr>
      <vt:lpstr>ただ!ふっとばし数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かわたつ!ふっとばし率</vt:lpstr>
      <vt:lpstr>だいち!ふっとばし率</vt:lpstr>
      <vt:lpstr>たかの!ふっとばし率</vt:lpstr>
      <vt:lpstr>ただ!ふっとばし率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かわたつ!ふっとび数</vt:lpstr>
      <vt:lpstr>だいち!ふっとび数</vt:lpstr>
      <vt:lpstr>たかの!ふっとび数</vt:lpstr>
      <vt:lpstr>ただ!ふっとび数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かわたつ!ふっとび率</vt:lpstr>
      <vt:lpstr>だいち!ふっとび率</vt:lpstr>
      <vt:lpstr>たかの!ふっとび率</vt:lpstr>
      <vt:lpstr>ただ!ふっとび率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かわたつ!ラス数</vt:lpstr>
      <vt:lpstr>だいち!ラス数</vt:lpstr>
      <vt:lpstr>たかの!ラス数</vt:lpstr>
      <vt:lpstr>ただ!ラス数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かわたつ!ラス率</vt:lpstr>
      <vt:lpstr>だいち!ラス率</vt:lpstr>
      <vt:lpstr>たかの!ラス率</vt:lpstr>
      <vt:lpstr>ただ!ラス率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かわたつ!リーチ数</vt:lpstr>
      <vt:lpstr>だいち!リーチ数</vt:lpstr>
      <vt:lpstr>たかの!リーチ数</vt:lpstr>
      <vt:lpstr>ただ!リーチ数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かわたつ!リーチ成功数</vt:lpstr>
      <vt:lpstr>だいち!リーチ成功数</vt:lpstr>
      <vt:lpstr>たかの!リーチ成功数</vt:lpstr>
      <vt:lpstr>ただ!リーチ成功数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かわたつ!リーチ成功率</vt:lpstr>
      <vt:lpstr>だいち!リーチ成功率</vt:lpstr>
      <vt:lpstr>たかの!リーチ成功率</vt:lpstr>
      <vt:lpstr>ただ!リーチ成功率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かわたつ!リーチ率</vt:lpstr>
      <vt:lpstr>だいち!リーチ率</vt:lpstr>
      <vt:lpstr>たかの!リーチ率</vt:lpstr>
      <vt:lpstr>ただ!リーチ率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かわたつ!ロン数</vt:lpstr>
      <vt:lpstr>だいち!ロン数</vt:lpstr>
      <vt:lpstr>たかの!ロン数</vt:lpstr>
      <vt:lpstr>ただ!ロン数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かわたつ!ロン率</vt:lpstr>
      <vt:lpstr>だいち!ロン率</vt:lpstr>
      <vt:lpstr>たかの!ロン率</vt:lpstr>
      <vt:lpstr>ただ!ロン率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かわたつ!逆転数</vt:lpstr>
      <vt:lpstr>だいち!逆転数</vt:lpstr>
      <vt:lpstr>たかの!逆転数</vt:lpstr>
      <vt:lpstr>ただ!逆転数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かわたつ!逆転率</vt:lpstr>
      <vt:lpstr>だいち!逆転率</vt:lpstr>
      <vt:lpstr>たかの!逆転率</vt:lpstr>
      <vt:lpstr>ただ!逆転率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かわたつ!最大ドラ数</vt:lpstr>
      <vt:lpstr>だいち!最大ドラ数</vt:lpstr>
      <vt:lpstr>たかの!最大ドラ数</vt:lpstr>
      <vt:lpstr>ただ!最大ドラ数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かわたつ!最大点数</vt:lpstr>
      <vt:lpstr>だいち!最大点数</vt:lpstr>
      <vt:lpstr>たかの!最大点数</vt:lpstr>
      <vt:lpstr>ただ!最大点数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かわたつ!総局数</vt:lpstr>
      <vt:lpstr>だいち!総局数</vt:lpstr>
      <vt:lpstr>たかの!総局数</vt:lpstr>
      <vt:lpstr>ただ!総局数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かわたつ!対戦数</vt:lpstr>
      <vt:lpstr>だいち!対戦数</vt:lpstr>
      <vt:lpstr>たかの!対戦数</vt:lpstr>
      <vt:lpstr>ただ!対戦数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かわたつ!通算スコア</vt:lpstr>
      <vt:lpstr>だいち!通算スコア</vt:lpstr>
      <vt:lpstr>たかの!通算スコア</vt:lpstr>
      <vt:lpstr>ただ!通算スコア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かわたつ!副露数</vt:lpstr>
      <vt:lpstr>だいち!副露数</vt:lpstr>
      <vt:lpstr>たかの!副露数</vt:lpstr>
      <vt:lpstr>ただ!副露数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かわたつ!副露成功数</vt:lpstr>
      <vt:lpstr>だいち!副露成功数</vt:lpstr>
      <vt:lpstr>たかの!副露成功数</vt:lpstr>
      <vt:lpstr>ただ!副露成功数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かわたつ!副露成功率</vt:lpstr>
      <vt:lpstr>だいち!副露成功率</vt:lpstr>
      <vt:lpstr>たかの!副露成功率</vt:lpstr>
      <vt:lpstr>ただ!副露成功率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かわたつ!副露率</vt:lpstr>
      <vt:lpstr>だいち!副露率</vt:lpstr>
      <vt:lpstr>たかの!副露率</vt:lpstr>
      <vt:lpstr>ただ!副露率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かわたつ!平均アガリ点</vt:lpstr>
      <vt:lpstr>だいち!平均アガリ点</vt:lpstr>
      <vt:lpstr>たかの!平均アガリ点</vt:lpstr>
      <vt:lpstr>ただ!平均アガリ点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かわたつ!平均スコア</vt:lpstr>
      <vt:lpstr>だいち!平均スコア</vt:lpstr>
      <vt:lpstr>たかの!平均スコア</vt:lpstr>
      <vt:lpstr>ただ!平均スコア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かわたつ!平均順位</vt:lpstr>
      <vt:lpstr>だいち!平均順位</vt:lpstr>
      <vt:lpstr>たかの!平均順位</vt:lpstr>
      <vt:lpstr>ただ!平均順位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かわたつ!平均放銃点</vt:lpstr>
      <vt:lpstr>だいち!平均放銃点</vt:lpstr>
      <vt:lpstr>たかの!平均放銃点</vt:lpstr>
      <vt:lpstr>ただ!平均放銃点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かわたつ!放銃数</vt:lpstr>
      <vt:lpstr>だいち!放銃数</vt:lpstr>
      <vt:lpstr>たかの!放銃数</vt:lpstr>
      <vt:lpstr>ただ!放銃数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かわたつ!放銃率</vt:lpstr>
      <vt:lpstr>だいち!放銃率</vt:lpstr>
      <vt:lpstr>たかの!放銃率</vt:lpstr>
      <vt:lpstr>ただ!放銃率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かわたつ!連続アガリ</vt:lpstr>
      <vt:lpstr>だいち!連続アガリ</vt:lpstr>
      <vt:lpstr>たかの!連続アガリ</vt:lpstr>
      <vt:lpstr>ただ!連続アガリ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かわたつ!連続無放銃</vt:lpstr>
      <vt:lpstr>だいち!連続無放銃</vt:lpstr>
      <vt:lpstr>たかの!連続無放銃</vt:lpstr>
      <vt:lpstr>ただ!連続無放銃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2018-11-18T09:24:12Z</dcterms:created>
  <dcterms:modified xsi:type="dcterms:W3CDTF">2019-05-16T17:05:59Z</dcterms:modified>
</cp:coreProperties>
</file>