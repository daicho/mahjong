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D3A80958-2DD9-4CAF-A3F8-E71D7D107131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453" r:id="rId6"/>
    <sheet name="だいち" sheetId="5455" r:id="rId7"/>
    <sheet name="りくと" sheetId="5457" r:id="rId8"/>
    <sheet name="ただ" sheetId="5459" r:id="rId9"/>
    <sheet name="れんたろう" sheetId="5461" r:id="rId10"/>
    <sheet name="たかの" sheetId="5463" r:id="rId11"/>
    <sheet name="ぱぱ" sheetId="5465" r:id="rId12"/>
    <sheet name="まっつん" sheetId="5467" r:id="rId13"/>
    <sheet name="あさひ" sheetId="5469" r:id="rId14"/>
    <sheet name="いっしー" sheetId="5471" r:id="rId15"/>
    <sheet name="ほたに" sheetId="5473" r:id="rId16"/>
    <sheet name="かわたつ" sheetId="5475" r:id="rId17"/>
    <sheet name="やがさき" sheetId="5477" r:id="rId18"/>
    <sheet name="やがさき2" sheetId="5478" state="hidden" r:id="rId19"/>
    <sheet name="かわたつ2" sheetId="5476" state="hidden" r:id="rId20"/>
    <sheet name="ほたに2" sheetId="5474" state="hidden" r:id="rId21"/>
    <sheet name="いっしー2" sheetId="5472" state="hidden" r:id="rId22"/>
    <sheet name="あさひ2" sheetId="5470" state="hidden" r:id="rId23"/>
    <sheet name="まっつん2" sheetId="5468" state="hidden" r:id="rId24"/>
    <sheet name="ぱぱ2" sheetId="5466" state="hidden" r:id="rId25"/>
    <sheet name="たかの2" sheetId="5464" state="hidden" r:id="rId26"/>
    <sheet name="れんたろう2" sheetId="5462" state="hidden" r:id="rId27"/>
    <sheet name="ただ2" sheetId="5460" state="hidden" r:id="rId28"/>
    <sheet name="りくと2" sheetId="5458" state="hidden" r:id="rId29"/>
    <sheet name="だいち2" sheetId="5456" state="hidden" r:id="rId30"/>
    <sheet name="全体2" sheetId="5454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ふっとばし率" sheetId="3523" state="hidden" r:id="rId42"/>
    <sheet name="リーチ率" sheetId="3524" state="hidden" r:id="rId43"/>
    <sheet name="副露率" sheetId="3525" state="hidden" r:id="rId44"/>
    <sheet name="リーチ成功率" sheetId="4841" state="hidden" r:id="rId45"/>
    <sheet name="副露成功率" sheetId="3527" state="hidden" r:id="rId46"/>
    <sheet name="ツモ率" sheetId="3528" state="hidden" r:id="rId47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23" i="5465" l="1"/>
  <c r="O15" i="5471"/>
  <c r="O25" i="5455" l="1"/>
  <c r="O15" i="5477"/>
  <c r="O15" i="5459" l="1"/>
  <c r="O16" i="5463"/>
  <c r="O16" i="5453"/>
  <c r="O17" i="5477"/>
  <c r="O16" i="5477"/>
  <c r="C27" i="5477"/>
  <c r="B24" i="5477"/>
  <c r="C20" i="5477"/>
  <c r="B17" i="5477"/>
  <c r="H51" i="5477" s="1"/>
  <c r="C16" i="5477"/>
  <c r="C15" i="5477"/>
  <c r="C14" i="5477"/>
  <c r="C13" i="5477"/>
  <c r="O12" i="5477"/>
  <c r="C12" i="5477"/>
  <c r="O11" i="5477"/>
  <c r="C11" i="5477"/>
  <c r="O10" i="5477"/>
  <c r="C10" i="5477"/>
  <c r="C9" i="5477"/>
  <c r="C8" i="5477"/>
  <c r="O7" i="5477"/>
  <c r="C7" i="5477"/>
  <c r="O6" i="5477"/>
  <c r="B6" i="5477"/>
  <c r="O5" i="5477"/>
  <c r="B5" i="5477"/>
  <c r="O4" i="5477"/>
  <c r="O3" i="5477"/>
  <c r="O2" i="5477"/>
  <c r="O15" i="5475"/>
  <c r="O16" i="5475"/>
  <c r="C27" i="5475"/>
  <c r="B24" i="5475"/>
  <c r="C20" i="5475"/>
  <c r="B17" i="5475"/>
  <c r="H52" i="5475" s="1"/>
  <c r="C16" i="5475"/>
  <c r="C15" i="5475"/>
  <c r="C14" i="5475"/>
  <c r="C13" i="5475"/>
  <c r="O12" i="5475"/>
  <c r="C12" i="5475"/>
  <c r="O11" i="5475"/>
  <c r="C11" i="5475"/>
  <c r="O10" i="5475"/>
  <c r="C10" i="5475"/>
  <c r="C9" i="5475"/>
  <c r="C8" i="5475"/>
  <c r="O7" i="5475"/>
  <c r="C7" i="5475"/>
  <c r="O6" i="5475"/>
  <c r="B6" i="5475"/>
  <c r="O5" i="5475"/>
  <c r="B5" i="5475"/>
  <c r="O4" i="5475"/>
  <c r="O3" i="5475"/>
  <c r="O2" i="5475"/>
  <c r="O23" i="5461"/>
  <c r="O16" i="5455"/>
  <c r="O25" i="5453"/>
  <c r="H14" i="5477" l="1"/>
  <c r="H4" i="5477"/>
  <c r="H2" i="5477"/>
  <c r="H8" i="5477"/>
  <c r="H7" i="5477"/>
  <c r="H16" i="5477"/>
  <c r="H40" i="5477"/>
  <c r="B23" i="5477"/>
  <c r="H28" i="5477"/>
  <c r="H44" i="5477"/>
  <c r="H3" i="5477"/>
  <c r="H6" i="5477"/>
  <c r="H11" i="5477"/>
  <c r="C17" i="5477"/>
  <c r="H32" i="5477"/>
  <c r="H48" i="5477"/>
  <c r="H5" i="5477"/>
  <c r="H10" i="5477"/>
  <c r="H13" i="5477"/>
  <c r="C18" i="5477"/>
  <c r="H25" i="5477"/>
  <c r="H36" i="5477"/>
  <c r="H52" i="5477"/>
  <c r="H18" i="5477"/>
  <c r="H20" i="5477"/>
  <c r="H23" i="5477"/>
  <c r="H26" i="5477"/>
  <c r="H29" i="5477"/>
  <c r="H33" i="5477"/>
  <c r="H37" i="5477"/>
  <c r="H41" i="5477"/>
  <c r="H45" i="5477"/>
  <c r="H49" i="5477"/>
  <c r="H15" i="5477"/>
  <c r="C19" i="5477"/>
  <c r="H21" i="5477"/>
  <c r="H30" i="5477"/>
  <c r="H34" i="5477"/>
  <c r="H38" i="5477"/>
  <c r="H42" i="5477"/>
  <c r="H46" i="5477"/>
  <c r="H50" i="5477"/>
  <c r="H9" i="5477"/>
  <c r="H12" i="5477"/>
  <c r="H17" i="5477"/>
  <c r="H19" i="5477"/>
  <c r="H22" i="5477"/>
  <c r="H24" i="5477"/>
  <c r="H27" i="5477"/>
  <c r="H31" i="5477"/>
  <c r="H35" i="5477"/>
  <c r="H39" i="5477"/>
  <c r="H43" i="5477"/>
  <c r="H47" i="5477"/>
  <c r="H14" i="5475"/>
  <c r="H8" i="5475"/>
  <c r="B23" i="5475"/>
  <c r="H25" i="5475"/>
  <c r="H5" i="5475"/>
  <c r="C17" i="5475"/>
  <c r="H4" i="5475"/>
  <c r="H11" i="5475"/>
  <c r="C18" i="5475"/>
  <c r="H2" i="5475"/>
  <c r="H10" i="5475"/>
  <c r="H16" i="5475"/>
  <c r="H20" i="5475"/>
  <c r="H26" i="5475"/>
  <c r="H33" i="5475"/>
  <c r="H45" i="5475"/>
  <c r="H13" i="5475"/>
  <c r="H15" i="5475"/>
  <c r="C19" i="5475"/>
  <c r="H21" i="5475"/>
  <c r="H30" i="5475"/>
  <c r="H34" i="5475"/>
  <c r="H38" i="5475"/>
  <c r="H42" i="5475"/>
  <c r="H46" i="5475"/>
  <c r="H50" i="5475"/>
  <c r="H18" i="5475"/>
  <c r="H23" i="5475"/>
  <c r="H29" i="5475"/>
  <c r="H37" i="5475"/>
  <c r="H41" i="5475"/>
  <c r="H49" i="5475"/>
  <c r="H7" i="5475"/>
  <c r="H3" i="5475"/>
  <c r="H6" i="5475"/>
  <c r="H9" i="5475"/>
  <c r="H12" i="5475"/>
  <c r="H17" i="5475"/>
  <c r="H19" i="5475"/>
  <c r="H22" i="5475"/>
  <c r="H24" i="5475"/>
  <c r="H27" i="5475"/>
  <c r="H31" i="5475"/>
  <c r="H35" i="5475"/>
  <c r="H39" i="5475"/>
  <c r="H43" i="5475"/>
  <c r="H47" i="5475"/>
  <c r="H51" i="5475"/>
  <c r="H28" i="5475"/>
  <c r="H32" i="5475"/>
  <c r="H36" i="5475"/>
  <c r="H40" i="5475"/>
  <c r="H44" i="5475"/>
  <c r="H48" i="5475"/>
  <c r="O17" i="5463" l="1"/>
  <c r="O18" i="5471"/>
  <c r="O20" i="5473" l="1"/>
  <c r="O18" i="5473"/>
  <c r="O16" i="5467"/>
  <c r="O20" i="5457"/>
  <c r="O24" i="5455" l="1"/>
  <c r="O17" i="5473"/>
  <c r="O21" i="5465"/>
  <c r="O15" i="5473"/>
  <c r="O16" i="5473" l="1"/>
  <c r="O19" i="5473"/>
  <c r="C27" i="5473"/>
  <c r="B24" i="5473"/>
  <c r="C20" i="5473"/>
  <c r="B17" i="5473"/>
  <c r="H51" i="5473" s="1"/>
  <c r="C16" i="5473"/>
  <c r="C15" i="5473"/>
  <c r="C14" i="5473"/>
  <c r="C13" i="5473"/>
  <c r="O12" i="5473"/>
  <c r="C12" i="5473"/>
  <c r="O11" i="5473"/>
  <c r="C11" i="5473"/>
  <c r="O10" i="5473"/>
  <c r="C10" i="5473"/>
  <c r="C9" i="5473"/>
  <c r="C8" i="5473"/>
  <c r="O7" i="5473"/>
  <c r="C7" i="5473"/>
  <c r="O6" i="5473"/>
  <c r="B6" i="5473"/>
  <c r="O5" i="5473"/>
  <c r="B5" i="5473"/>
  <c r="O4" i="5473"/>
  <c r="O3" i="5473"/>
  <c r="O2" i="5473"/>
  <c r="O21" i="5461"/>
  <c r="O20" i="5463"/>
  <c r="O22" i="5453"/>
  <c r="H2" i="5473" l="1"/>
  <c r="H11" i="5473"/>
  <c r="H4" i="5473"/>
  <c r="H10" i="5473"/>
  <c r="H16" i="5473"/>
  <c r="H8" i="5473"/>
  <c r="H14" i="5473"/>
  <c r="H5" i="5473"/>
  <c r="C19" i="5473"/>
  <c r="H30" i="5473"/>
  <c r="H38" i="5473"/>
  <c r="H46" i="5473"/>
  <c r="H25" i="5473"/>
  <c r="H48" i="5473"/>
  <c r="H32" i="5473"/>
  <c r="H7" i="5473"/>
  <c r="H15" i="5473"/>
  <c r="H42" i="5473"/>
  <c r="H50" i="5473"/>
  <c r="H40" i="5473"/>
  <c r="H13" i="5473"/>
  <c r="C17" i="5473"/>
  <c r="H21" i="5473"/>
  <c r="H34" i="5473"/>
  <c r="H3" i="5473"/>
  <c r="H6" i="5473"/>
  <c r="H9" i="5473"/>
  <c r="H12" i="5473"/>
  <c r="C18" i="5473"/>
  <c r="B23" i="5473"/>
  <c r="H28" i="5473"/>
  <c r="H36" i="5473"/>
  <c r="H44" i="5473"/>
  <c r="H52" i="5473"/>
  <c r="H18" i="5473"/>
  <c r="H20" i="5473"/>
  <c r="H23" i="5473"/>
  <c r="H26" i="5473"/>
  <c r="H29" i="5473"/>
  <c r="H33" i="5473"/>
  <c r="H37" i="5473"/>
  <c r="H41" i="5473"/>
  <c r="H45" i="5473"/>
  <c r="H49" i="5473"/>
  <c r="H17" i="5473"/>
  <c r="H19" i="5473"/>
  <c r="H22" i="5473"/>
  <c r="H24" i="5473"/>
  <c r="H27" i="5473"/>
  <c r="H31" i="5473"/>
  <c r="H35" i="5473"/>
  <c r="H39" i="5473"/>
  <c r="H43" i="5473"/>
  <c r="H47" i="5473"/>
  <c r="O21" i="5463" l="1"/>
  <c r="O17" i="5459"/>
  <c r="O21" i="5467"/>
  <c r="O18" i="5467"/>
  <c r="O18" i="5455" l="1"/>
  <c r="O19" i="5471"/>
  <c r="O20" i="5471" l="1"/>
  <c r="O16" i="5471"/>
  <c r="O15" i="5461"/>
  <c r="O20" i="5459"/>
  <c r="O17" i="5469" l="1"/>
  <c r="O22" i="5465"/>
  <c r="O15" i="5469"/>
  <c r="O22" i="5471"/>
  <c r="O15" i="5457"/>
  <c r="O20" i="5467"/>
  <c r="O18" i="5453"/>
  <c r="O21" i="5471"/>
  <c r="O17" i="5471"/>
  <c r="C27" i="5471"/>
  <c r="B24" i="5471"/>
  <c r="C20" i="5471"/>
  <c r="B17" i="5471"/>
  <c r="H52" i="5471" s="1"/>
  <c r="C16" i="5471"/>
  <c r="C15" i="5471"/>
  <c r="C14" i="5471"/>
  <c r="C13" i="5471"/>
  <c r="O12" i="5471"/>
  <c r="C12" i="5471"/>
  <c r="O11" i="5471"/>
  <c r="C11" i="5471"/>
  <c r="O10" i="5471"/>
  <c r="C10" i="5471"/>
  <c r="C9" i="5471"/>
  <c r="C8" i="5471"/>
  <c r="O7" i="5471"/>
  <c r="C7" i="5471"/>
  <c r="O6" i="5471"/>
  <c r="B6" i="5471"/>
  <c r="O5" i="5471"/>
  <c r="B5" i="5471"/>
  <c r="O4" i="5471"/>
  <c r="O3" i="5471"/>
  <c r="O2" i="5471"/>
  <c r="O16" i="5469"/>
  <c r="O18" i="5469"/>
  <c r="C27" i="5469"/>
  <c r="B24" i="5469"/>
  <c r="C20" i="5469"/>
  <c r="B17" i="5469"/>
  <c r="H51" i="5469" s="1"/>
  <c r="C16" i="5469"/>
  <c r="C15" i="5469"/>
  <c r="C14" i="5469"/>
  <c r="C13" i="5469"/>
  <c r="O12" i="5469"/>
  <c r="C12" i="5469"/>
  <c r="O11" i="5469"/>
  <c r="C11" i="5469"/>
  <c r="O10" i="5469"/>
  <c r="C10" i="5469"/>
  <c r="C9" i="5469"/>
  <c r="C8" i="5469"/>
  <c r="O7" i="5469"/>
  <c r="C7" i="5469"/>
  <c r="O6" i="5469"/>
  <c r="B6" i="5469"/>
  <c r="O5" i="5469"/>
  <c r="B5" i="5469"/>
  <c r="O4" i="5469"/>
  <c r="O3" i="5469"/>
  <c r="O2" i="5469"/>
  <c r="O22" i="5467"/>
  <c r="O23" i="5467"/>
  <c r="O15" i="5455"/>
  <c r="O20" i="5455"/>
  <c r="O26" i="5453"/>
  <c r="H6" i="5469" l="1"/>
  <c r="H16" i="5469"/>
  <c r="H28" i="5469"/>
  <c r="H3" i="5469"/>
  <c r="B23" i="5469"/>
  <c r="H44" i="5469"/>
  <c r="H5" i="5469"/>
  <c r="H12" i="5469"/>
  <c r="H14" i="5469"/>
  <c r="H32" i="5469"/>
  <c r="H9" i="5469"/>
  <c r="H11" i="5469"/>
  <c r="C18" i="5469"/>
  <c r="H2" i="5469"/>
  <c r="C19" i="5469"/>
  <c r="H48" i="5469"/>
  <c r="H25" i="5469"/>
  <c r="H36" i="5469"/>
  <c r="H52" i="5469"/>
  <c r="H4" i="5469"/>
  <c r="H8" i="5469"/>
  <c r="H10" i="5469"/>
  <c r="H7" i="5469"/>
  <c r="H13" i="5469"/>
  <c r="H15" i="5469"/>
  <c r="C17" i="5469"/>
  <c r="H21" i="5469"/>
  <c r="H40" i="5469"/>
  <c r="H2" i="5471"/>
  <c r="H13" i="5471"/>
  <c r="C17" i="5471"/>
  <c r="H21" i="5471"/>
  <c r="H4" i="5471"/>
  <c r="H8" i="5471"/>
  <c r="H10" i="5471"/>
  <c r="H3" i="5471"/>
  <c r="C18" i="5471"/>
  <c r="H7" i="5471"/>
  <c r="H15" i="5471"/>
  <c r="H6" i="5471"/>
  <c r="H9" i="5471"/>
  <c r="H12" i="5471"/>
  <c r="H5" i="5471"/>
  <c r="H11" i="5471"/>
  <c r="H14" i="5471"/>
  <c r="H16" i="5471"/>
  <c r="C19" i="5471"/>
  <c r="H18" i="5471"/>
  <c r="H20" i="5471"/>
  <c r="H23" i="5471"/>
  <c r="H26" i="5471"/>
  <c r="H29" i="5471"/>
  <c r="H33" i="5471"/>
  <c r="H37" i="5471"/>
  <c r="H41" i="5471"/>
  <c r="H45" i="5471"/>
  <c r="H49" i="5471"/>
  <c r="H30" i="5471"/>
  <c r="H34" i="5471"/>
  <c r="H38" i="5471"/>
  <c r="H42" i="5471"/>
  <c r="H46" i="5471"/>
  <c r="H50" i="5471"/>
  <c r="H17" i="5471"/>
  <c r="H19" i="5471"/>
  <c r="H22" i="5471"/>
  <c r="H24" i="5471"/>
  <c r="H27" i="5471"/>
  <c r="H31" i="5471"/>
  <c r="H35" i="5471"/>
  <c r="H39" i="5471"/>
  <c r="H43" i="5471"/>
  <c r="H47" i="5471"/>
  <c r="H51" i="5471"/>
  <c r="B23" i="5471"/>
  <c r="H25" i="5471"/>
  <c r="H28" i="5471"/>
  <c r="H32" i="5471"/>
  <c r="H36" i="5471"/>
  <c r="H40" i="5471"/>
  <c r="H44" i="5471"/>
  <c r="H48" i="5471"/>
  <c r="H18" i="5469"/>
  <c r="H20" i="5469"/>
  <c r="H23" i="5469"/>
  <c r="H26" i="5469"/>
  <c r="H29" i="5469"/>
  <c r="H33" i="5469"/>
  <c r="H37" i="5469"/>
  <c r="H41" i="5469"/>
  <c r="H45" i="5469"/>
  <c r="H49" i="5469"/>
  <c r="H30" i="5469"/>
  <c r="H34" i="5469"/>
  <c r="H38" i="5469"/>
  <c r="H42" i="5469"/>
  <c r="H46" i="5469"/>
  <c r="H50" i="5469"/>
  <c r="H17" i="5469"/>
  <c r="H19" i="5469"/>
  <c r="H22" i="5469"/>
  <c r="H24" i="5469"/>
  <c r="H27" i="5469"/>
  <c r="H31" i="5469"/>
  <c r="H35" i="5469"/>
  <c r="H39" i="5469"/>
  <c r="H43" i="5469"/>
  <c r="H47" i="5469"/>
  <c r="O17" i="5467" l="1"/>
  <c r="O20" i="5465"/>
  <c r="O16" i="5465"/>
  <c r="O17" i="5457"/>
  <c r="O18" i="5463" l="1"/>
  <c r="O17" i="5461"/>
  <c r="O17" i="5465"/>
  <c r="O18" i="5465"/>
  <c r="O15" i="5463" l="1"/>
  <c r="O16" i="5461"/>
  <c r="O22" i="5459"/>
  <c r="O18" i="5459"/>
  <c r="O15" i="5467"/>
  <c r="O19" i="5467"/>
  <c r="C27" i="5467"/>
  <c r="B24" i="5467"/>
  <c r="C20" i="5467"/>
  <c r="B17" i="5467"/>
  <c r="H52" i="5467" s="1"/>
  <c r="C16" i="5467"/>
  <c r="C15" i="5467"/>
  <c r="C14" i="5467"/>
  <c r="C13" i="5467"/>
  <c r="O12" i="5467"/>
  <c r="C12" i="5467"/>
  <c r="O11" i="5467"/>
  <c r="C11" i="5467"/>
  <c r="O10" i="5467"/>
  <c r="C10" i="5467"/>
  <c r="C9" i="5467"/>
  <c r="C8" i="5467"/>
  <c r="O7" i="5467"/>
  <c r="C7" i="5467"/>
  <c r="O6" i="5467"/>
  <c r="B6" i="5467"/>
  <c r="O5" i="5467"/>
  <c r="B5" i="5467"/>
  <c r="O4" i="5467"/>
  <c r="O3" i="5467"/>
  <c r="O2" i="5467"/>
  <c r="O22" i="5461"/>
  <c r="O21" i="5457"/>
  <c r="O23" i="5453"/>
  <c r="H8" i="5467" l="1"/>
  <c r="H2" i="5467"/>
  <c r="C17" i="5467"/>
  <c r="H4" i="5467"/>
  <c r="H10" i="5467"/>
  <c r="H18" i="5467"/>
  <c r="H20" i="5467"/>
  <c r="H23" i="5467"/>
  <c r="H26" i="5467"/>
  <c r="H29" i="5467"/>
  <c r="H33" i="5467"/>
  <c r="H37" i="5467"/>
  <c r="H41" i="5467"/>
  <c r="H45" i="5467"/>
  <c r="H49" i="5467"/>
  <c r="H7" i="5467"/>
  <c r="H13" i="5467"/>
  <c r="H15" i="5467"/>
  <c r="C19" i="5467"/>
  <c r="H21" i="5467"/>
  <c r="H30" i="5467"/>
  <c r="H34" i="5467"/>
  <c r="H38" i="5467"/>
  <c r="H42" i="5467"/>
  <c r="H46" i="5467"/>
  <c r="H50" i="5467"/>
  <c r="H3" i="5467"/>
  <c r="H6" i="5467"/>
  <c r="H9" i="5467"/>
  <c r="H12" i="5467"/>
  <c r="H17" i="5467"/>
  <c r="H19" i="5467"/>
  <c r="H22" i="5467"/>
  <c r="H24" i="5467"/>
  <c r="H27" i="5467"/>
  <c r="H31" i="5467"/>
  <c r="H35" i="5467"/>
  <c r="H39" i="5467"/>
  <c r="H43" i="5467"/>
  <c r="H47" i="5467"/>
  <c r="H51" i="5467"/>
  <c r="H5" i="5467"/>
  <c r="H11" i="5467"/>
  <c r="H14" i="5467"/>
  <c r="H16" i="5467"/>
  <c r="C18" i="5467"/>
  <c r="B23" i="5467"/>
  <c r="H25" i="5467"/>
  <c r="H28" i="5467"/>
  <c r="H32" i="5467"/>
  <c r="H36" i="5467"/>
  <c r="H40" i="5467"/>
  <c r="H44" i="5467"/>
  <c r="H48" i="5467"/>
  <c r="O19" i="5459" l="1"/>
  <c r="O19" i="5465"/>
  <c r="O15" i="5465"/>
  <c r="C27" i="5465"/>
  <c r="B24" i="5465"/>
  <c r="C20" i="5465"/>
  <c r="B17" i="5465"/>
  <c r="H52" i="5465" s="1"/>
  <c r="C16" i="5465"/>
  <c r="C15" i="5465"/>
  <c r="C14" i="5465"/>
  <c r="C13" i="5465"/>
  <c r="O12" i="5465"/>
  <c r="C12" i="5465"/>
  <c r="O11" i="5465"/>
  <c r="C11" i="5465"/>
  <c r="O10" i="5465"/>
  <c r="C10" i="5465"/>
  <c r="C9" i="5465"/>
  <c r="C8" i="5465"/>
  <c r="O7" i="5465"/>
  <c r="C7" i="5465"/>
  <c r="O6" i="5465"/>
  <c r="B6" i="5465"/>
  <c r="O5" i="5465"/>
  <c r="B5" i="5465"/>
  <c r="O4" i="5465"/>
  <c r="O3" i="5465"/>
  <c r="O2" i="5465"/>
  <c r="O19" i="5455"/>
  <c r="O17" i="5453"/>
  <c r="O19" i="5463"/>
  <c r="O18" i="5457"/>
  <c r="O19" i="5457"/>
  <c r="O19" i="5461"/>
  <c r="O22" i="5463"/>
  <c r="O23" i="5463"/>
  <c r="C27" i="5463"/>
  <c r="B24" i="5463"/>
  <c r="C20" i="5463"/>
  <c r="B17" i="5463"/>
  <c r="H50" i="5463" s="1"/>
  <c r="C16" i="5463"/>
  <c r="C15" i="5463"/>
  <c r="C14" i="5463"/>
  <c r="C13" i="5463"/>
  <c r="O12" i="5463"/>
  <c r="C12" i="5463"/>
  <c r="O11" i="5463"/>
  <c r="C11" i="5463"/>
  <c r="O10" i="5463"/>
  <c r="C10" i="5463"/>
  <c r="C9" i="5463"/>
  <c r="C8" i="5463"/>
  <c r="O7" i="5463"/>
  <c r="C7" i="5463"/>
  <c r="O6" i="5463"/>
  <c r="B6" i="5463"/>
  <c r="O5" i="5463"/>
  <c r="B5" i="5463"/>
  <c r="O4" i="5463"/>
  <c r="O3" i="5463"/>
  <c r="O2" i="5463"/>
  <c r="O20" i="5461"/>
  <c r="O18" i="5461"/>
  <c r="C27" i="5461"/>
  <c r="B24" i="5461"/>
  <c r="C20" i="5461"/>
  <c r="B17" i="5461"/>
  <c r="H50" i="5461" s="1"/>
  <c r="C16" i="5461"/>
  <c r="C15" i="5461"/>
  <c r="C14" i="5461"/>
  <c r="C13" i="5461"/>
  <c r="O12" i="5461"/>
  <c r="C12" i="5461"/>
  <c r="O11" i="5461"/>
  <c r="C11" i="5461"/>
  <c r="O10" i="5461"/>
  <c r="C10" i="5461"/>
  <c r="C9" i="5461"/>
  <c r="C8" i="5461"/>
  <c r="O7" i="5461"/>
  <c r="C7" i="5461"/>
  <c r="O6" i="5461"/>
  <c r="B6" i="5461"/>
  <c r="O5" i="5461"/>
  <c r="B5" i="5461"/>
  <c r="O4" i="5461"/>
  <c r="O3" i="5461"/>
  <c r="O2" i="5461"/>
  <c r="O21" i="5455"/>
  <c r="O23" i="5455"/>
  <c r="O20" i="5453"/>
  <c r="O21" i="5453"/>
  <c r="C17" i="5465" l="1"/>
  <c r="H4" i="5465"/>
  <c r="H10" i="5465"/>
  <c r="H2" i="5465"/>
  <c r="H8" i="5465"/>
  <c r="H4" i="5463"/>
  <c r="H2" i="5463"/>
  <c r="H4" i="5461"/>
  <c r="H2" i="5461"/>
  <c r="H26" i="5465"/>
  <c r="H41" i="5465"/>
  <c r="H13" i="5465"/>
  <c r="H15" i="5465"/>
  <c r="C19" i="5465"/>
  <c r="H21" i="5465"/>
  <c r="H30" i="5465"/>
  <c r="H34" i="5465"/>
  <c r="H38" i="5465"/>
  <c r="H42" i="5465"/>
  <c r="H46" i="5465"/>
  <c r="H50" i="5465"/>
  <c r="H20" i="5465"/>
  <c r="H33" i="5465"/>
  <c r="H49" i="5465"/>
  <c r="H3" i="5465"/>
  <c r="H6" i="5465"/>
  <c r="H9" i="5465"/>
  <c r="H12" i="5465"/>
  <c r="H17" i="5465"/>
  <c r="H19" i="5465"/>
  <c r="H22" i="5465"/>
  <c r="H24" i="5465"/>
  <c r="H27" i="5465"/>
  <c r="H31" i="5465"/>
  <c r="H35" i="5465"/>
  <c r="H39" i="5465"/>
  <c r="H43" i="5465"/>
  <c r="H47" i="5465"/>
  <c r="H51" i="5465"/>
  <c r="H18" i="5465"/>
  <c r="H23" i="5465"/>
  <c r="H29" i="5465"/>
  <c r="H37" i="5465"/>
  <c r="H45" i="5465"/>
  <c r="H7" i="5465"/>
  <c r="H5" i="5465"/>
  <c r="H11" i="5465"/>
  <c r="H14" i="5465"/>
  <c r="H16" i="5465"/>
  <c r="C18" i="5465"/>
  <c r="B23" i="5465"/>
  <c r="H25" i="5465"/>
  <c r="H28" i="5465"/>
  <c r="H32" i="5465"/>
  <c r="H36" i="5465"/>
  <c r="H40" i="5465"/>
  <c r="H44" i="5465"/>
  <c r="H48" i="5465"/>
  <c r="H22" i="5463"/>
  <c r="C17" i="5463"/>
  <c r="H39" i="5463"/>
  <c r="H31" i="5463"/>
  <c r="H25" i="5463"/>
  <c r="H9" i="5463"/>
  <c r="H12" i="5463"/>
  <c r="H14" i="5463"/>
  <c r="H3" i="5463"/>
  <c r="H6" i="5463"/>
  <c r="H11" i="5463"/>
  <c r="H17" i="5463"/>
  <c r="H47" i="5463"/>
  <c r="H5" i="5463"/>
  <c r="H8" i="5463"/>
  <c r="H10" i="5463"/>
  <c r="H10" i="5461"/>
  <c r="H16" i="5463"/>
  <c r="C18" i="5463"/>
  <c r="B23" i="5463"/>
  <c r="H32" i="5463"/>
  <c r="H40" i="5463"/>
  <c r="H48" i="5463"/>
  <c r="H19" i="5463"/>
  <c r="H27" i="5463"/>
  <c r="H35" i="5463"/>
  <c r="H43" i="5463"/>
  <c r="H51" i="5463"/>
  <c r="H24" i="5463"/>
  <c r="H28" i="5463"/>
  <c r="H36" i="5463"/>
  <c r="H44" i="5463"/>
  <c r="H52" i="5463"/>
  <c r="H18" i="5463"/>
  <c r="H20" i="5463"/>
  <c r="H23" i="5463"/>
  <c r="H26" i="5463"/>
  <c r="H29" i="5463"/>
  <c r="H33" i="5463"/>
  <c r="H37" i="5463"/>
  <c r="H41" i="5463"/>
  <c r="H45" i="5463"/>
  <c r="H49" i="5463"/>
  <c r="H7" i="5463"/>
  <c r="H13" i="5463"/>
  <c r="H15" i="5463"/>
  <c r="C19" i="5463"/>
  <c r="H21" i="5463"/>
  <c r="H30" i="5463"/>
  <c r="H34" i="5463"/>
  <c r="H38" i="5463"/>
  <c r="H42" i="5463"/>
  <c r="H46" i="5463"/>
  <c r="H8" i="5461"/>
  <c r="H22" i="5461"/>
  <c r="H25" i="5461"/>
  <c r="H31" i="5461"/>
  <c r="H39" i="5461"/>
  <c r="H47" i="5461"/>
  <c r="H15" i="5461"/>
  <c r="H48" i="5461"/>
  <c r="C17" i="5461"/>
  <c r="H19" i="5461"/>
  <c r="H32" i="5461"/>
  <c r="H3" i="5461"/>
  <c r="H9" i="5461"/>
  <c r="H35" i="5461"/>
  <c r="H43" i="5461"/>
  <c r="H51" i="5461"/>
  <c r="C19" i="5461"/>
  <c r="H7" i="5461"/>
  <c r="H13" i="5461"/>
  <c r="B23" i="5461"/>
  <c r="H40" i="5461"/>
  <c r="H6" i="5461"/>
  <c r="H12" i="5461"/>
  <c r="H17" i="5461"/>
  <c r="H27" i="5461"/>
  <c r="H5" i="5461"/>
  <c r="H11" i="5461"/>
  <c r="H14" i="5461"/>
  <c r="H16" i="5461"/>
  <c r="C18" i="5461"/>
  <c r="H21" i="5461"/>
  <c r="H24" i="5461"/>
  <c r="H28" i="5461"/>
  <c r="H36" i="5461"/>
  <c r="H44" i="5461"/>
  <c r="H52" i="5461"/>
  <c r="H18" i="5461"/>
  <c r="H20" i="5461"/>
  <c r="H23" i="5461"/>
  <c r="H26" i="5461"/>
  <c r="H29" i="5461"/>
  <c r="H33" i="5461"/>
  <c r="H37" i="5461"/>
  <c r="H41" i="5461"/>
  <c r="H45" i="5461"/>
  <c r="H49" i="5461"/>
  <c r="H30" i="5461"/>
  <c r="H34" i="5461"/>
  <c r="H38" i="5461"/>
  <c r="H42" i="5461"/>
  <c r="H46" i="5461"/>
  <c r="O16" i="5459" l="1"/>
  <c r="O21" i="5459"/>
  <c r="C27" i="5459"/>
  <c r="B24" i="5459"/>
  <c r="C20" i="5459"/>
  <c r="B17" i="5459"/>
  <c r="H52" i="5459" s="1"/>
  <c r="C16" i="5459"/>
  <c r="C15" i="5459"/>
  <c r="C14" i="5459"/>
  <c r="C13" i="5459"/>
  <c r="O12" i="5459"/>
  <c r="C12" i="5459"/>
  <c r="O11" i="5459"/>
  <c r="C11" i="5459"/>
  <c r="O10" i="5459"/>
  <c r="C10" i="5459"/>
  <c r="C9" i="5459"/>
  <c r="C8" i="5459"/>
  <c r="O7" i="5459"/>
  <c r="C7" i="5459"/>
  <c r="O6" i="5459"/>
  <c r="B6" i="5459"/>
  <c r="O5" i="5459"/>
  <c r="B5" i="5459"/>
  <c r="O4" i="5459"/>
  <c r="O3" i="5459"/>
  <c r="O2" i="5459"/>
  <c r="O22" i="5457"/>
  <c r="O16" i="5457"/>
  <c r="C27" i="5457"/>
  <c r="B24" i="5457"/>
  <c r="C20" i="5457"/>
  <c r="B17" i="5457"/>
  <c r="H52" i="5457" s="1"/>
  <c r="C16" i="5457"/>
  <c r="C15" i="5457"/>
  <c r="C14" i="5457"/>
  <c r="C13" i="5457"/>
  <c r="O12" i="5457"/>
  <c r="C12" i="5457"/>
  <c r="O11" i="5457"/>
  <c r="C11" i="5457"/>
  <c r="O10" i="5457"/>
  <c r="C10" i="5457"/>
  <c r="C9" i="5457"/>
  <c r="C8" i="5457"/>
  <c r="O7" i="5457"/>
  <c r="C7" i="5457"/>
  <c r="O6" i="5457"/>
  <c r="B6" i="5457"/>
  <c r="O5" i="5457"/>
  <c r="B5" i="5457"/>
  <c r="O4" i="5457"/>
  <c r="O3" i="5457"/>
  <c r="O2" i="5457"/>
  <c r="O24" i="5453"/>
  <c r="O17" i="5455"/>
  <c r="O22" i="5455"/>
  <c r="C27" i="5455"/>
  <c r="B24" i="5455"/>
  <c r="C20" i="5455"/>
  <c r="B17" i="5455"/>
  <c r="H51" i="5455" s="1"/>
  <c r="C16" i="5455"/>
  <c r="C15" i="5455"/>
  <c r="C14" i="5455"/>
  <c r="C13" i="5455"/>
  <c r="O12" i="5455"/>
  <c r="C12" i="5455"/>
  <c r="O11" i="5455"/>
  <c r="C11" i="5455"/>
  <c r="O10" i="5455"/>
  <c r="C10" i="5455"/>
  <c r="C9" i="5455"/>
  <c r="C8" i="5455"/>
  <c r="O7" i="5455"/>
  <c r="C7" i="5455"/>
  <c r="O6" i="5455"/>
  <c r="B6" i="5455"/>
  <c r="O5" i="5455"/>
  <c r="B5" i="5455"/>
  <c r="O4" i="5455"/>
  <c r="O3" i="5455"/>
  <c r="O2" i="5455"/>
  <c r="O15" i="5453"/>
  <c r="O19" i="5453"/>
  <c r="C27" i="5453"/>
  <c r="B24" i="5453"/>
  <c r="C20" i="5453"/>
  <c r="B17" i="5453"/>
  <c r="H50" i="5453" s="1"/>
  <c r="C16" i="5453"/>
  <c r="C15" i="5453"/>
  <c r="C14" i="5453"/>
  <c r="C13" i="5453"/>
  <c r="O12" i="5453"/>
  <c r="C12" i="5453"/>
  <c r="O11" i="5453"/>
  <c r="C11" i="5453"/>
  <c r="O10" i="5453"/>
  <c r="C10" i="5453"/>
  <c r="C9" i="5453"/>
  <c r="C8" i="5453"/>
  <c r="O7" i="5453"/>
  <c r="C7" i="5453"/>
  <c r="O6" i="5453"/>
  <c r="B6" i="5453"/>
  <c r="O5" i="5453"/>
  <c r="B5" i="5453"/>
  <c r="O4" i="5453"/>
  <c r="O3" i="5453"/>
  <c r="O2" i="5453"/>
  <c r="H16" i="5457" l="1"/>
  <c r="H4" i="5457"/>
  <c r="H21" i="5457"/>
  <c r="H2" i="5457"/>
  <c r="H27" i="5459"/>
  <c r="H10" i="5459"/>
  <c r="H43" i="5459"/>
  <c r="H3" i="5459"/>
  <c r="H6" i="5459"/>
  <c r="H22" i="5459"/>
  <c r="H8" i="5459"/>
  <c r="C17" i="5459"/>
  <c r="H28" i="5455"/>
  <c r="H9" i="5455"/>
  <c r="H36" i="5455"/>
  <c r="H2" i="5455"/>
  <c r="H4" i="5455"/>
  <c r="H6" i="5455"/>
  <c r="H12" i="5455"/>
  <c r="B23" i="5455"/>
  <c r="H3" i="5455"/>
  <c r="H39" i="5459"/>
  <c r="H12" i="5459"/>
  <c r="H17" i="5459"/>
  <c r="H31" i="5459"/>
  <c r="H47" i="5459"/>
  <c r="H2" i="5459"/>
  <c r="H4" i="5459"/>
  <c r="H9" i="5459"/>
  <c r="H19" i="5459"/>
  <c r="H24" i="5459"/>
  <c r="H35" i="5459"/>
  <c r="H51" i="5459"/>
  <c r="H18" i="5459"/>
  <c r="H20" i="5459"/>
  <c r="H23" i="5459"/>
  <c r="H26" i="5459"/>
  <c r="H29" i="5459"/>
  <c r="H33" i="5459"/>
  <c r="H37" i="5459"/>
  <c r="H41" i="5459"/>
  <c r="H45" i="5459"/>
  <c r="H49" i="5459"/>
  <c r="H7" i="5459"/>
  <c r="H13" i="5459"/>
  <c r="H15" i="5459"/>
  <c r="C19" i="5459"/>
  <c r="H21" i="5459"/>
  <c r="H30" i="5459"/>
  <c r="H34" i="5459"/>
  <c r="H38" i="5459"/>
  <c r="H42" i="5459"/>
  <c r="H46" i="5459"/>
  <c r="H50" i="5459"/>
  <c r="H5" i="5459"/>
  <c r="H11" i="5459"/>
  <c r="H14" i="5459"/>
  <c r="H16" i="5459"/>
  <c r="C18" i="5459"/>
  <c r="B23" i="5459"/>
  <c r="H25" i="5459"/>
  <c r="H28" i="5459"/>
  <c r="H32" i="5459"/>
  <c r="H36" i="5459"/>
  <c r="H40" i="5459"/>
  <c r="H44" i="5459"/>
  <c r="H48" i="5459"/>
  <c r="H8" i="5457"/>
  <c r="C18" i="5457"/>
  <c r="H14" i="5457"/>
  <c r="H5" i="5457"/>
  <c r="H11" i="5457"/>
  <c r="H39" i="5457"/>
  <c r="H22" i="5457"/>
  <c r="H27" i="5457"/>
  <c r="H15" i="5457"/>
  <c r="H47" i="5457"/>
  <c r="H10" i="5457"/>
  <c r="C19" i="5457"/>
  <c r="H43" i="5457"/>
  <c r="H7" i="5457"/>
  <c r="H13" i="5457"/>
  <c r="C17" i="5457"/>
  <c r="H19" i="5457"/>
  <c r="H31" i="5457"/>
  <c r="H3" i="5457"/>
  <c r="H6" i="5457"/>
  <c r="H9" i="5457"/>
  <c r="H12" i="5457"/>
  <c r="H17" i="5457"/>
  <c r="H24" i="5457"/>
  <c r="H35" i="5457"/>
  <c r="H51" i="5457"/>
  <c r="H18" i="5457"/>
  <c r="H20" i="5457"/>
  <c r="H23" i="5457"/>
  <c r="H26" i="5457"/>
  <c r="H29" i="5457"/>
  <c r="H33" i="5457"/>
  <c r="H37" i="5457"/>
  <c r="H41" i="5457"/>
  <c r="H45" i="5457"/>
  <c r="H49" i="5457"/>
  <c r="H30" i="5457"/>
  <c r="H34" i="5457"/>
  <c r="H38" i="5457"/>
  <c r="H42" i="5457"/>
  <c r="H46" i="5457"/>
  <c r="H50" i="5457"/>
  <c r="B23" i="5457"/>
  <c r="H25" i="5457"/>
  <c r="H28" i="5457"/>
  <c r="H32" i="5457"/>
  <c r="H36" i="5457"/>
  <c r="H40" i="5457"/>
  <c r="H44" i="5457"/>
  <c r="H48" i="5457"/>
  <c r="H4" i="5453"/>
  <c r="H2" i="5453"/>
  <c r="H10" i="5453"/>
  <c r="H32" i="5453"/>
  <c r="H8" i="5453"/>
  <c r="H39" i="5453"/>
  <c r="H9" i="5453"/>
  <c r="H16" i="5453"/>
  <c r="H25" i="5453"/>
  <c r="H5" i="5453"/>
  <c r="H12" i="5453"/>
  <c r="C18" i="5453"/>
  <c r="H44" i="5455"/>
  <c r="H5" i="5455"/>
  <c r="H8" i="5455"/>
  <c r="H10" i="5455"/>
  <c r="C18" i="5455"/>
  <c r="H52" i="5455"/>
  <c r="H11" i="5455"/>
  <c r="H14" i="5455"/>
  <c r="H16" i="5455"/>
  <c r="C19" i="5455"/>
  <c r="H30" i="5455"/>
  <c r="H38" i="5455"/>
  <c r="H46" i="5455"/>
  <c r="H25" i="5455"/>
  <c r="H32" i="5455"/>
  <c r="H40" i="5455"/>
  <c r="H48" i="5455"/>
  <c r="H7" i="5455"/>
  <c r="H13" i="5455"/>
  <c r="H15" i="5455"/>
  <c r="C17" i="5455"/>
  <c r="H21" i="5455"/>
  <c r="H34" i="5455"/>
  <c r="H42" i="5455"/>
  <c r="H50" i="5455"/>
  <c r="H18" i="5455"/>
  <c r="H20" i="5455"/>
  <c r="H23" i="5455"/>
  <c r="H26" i="5455"/>
  <c r="H29" i="5455"/>
  <c r="H33" i="5455"/>
  <c r="H37" i="5455"/>
  <c r="H41" i="5455"/>
  <c r="H45" i="5455"/>
  <c r="H49" i="5455"/>
  <c r="H17" i="5455"/>
  <c r="H19" i="5455"/>
  <c r="H22" i="5455"/>
  <c r="H24" i="5455"/>
  <c r="H27" i="5455"/>
  <c r="H31" i="5455"/>
  <c r="H35" i="5455"/>
  <c r="H39" i="5455"/>
  <c r="H43" i="5455"/>
  <c r="H47" i="5455"/>
  <c r="H14" i="5453"/>
  <c r="H22" i="5453"/>
  <c r="H40" i="5453"/>
  <c r="H3" i="5453"/>
  <c r="H6" i="5453"/>
  <c r="H11" i="5453"/>
  <c r="H17" i="5453"/>
  <c r="B23" i="5453"/>
  <c r="H31" i="5453"/>
  <c r="H47" i="5453"/>
  <c r="H48" i="5453"/>
  <c r="H19" i="5453"/>
  <c r="H27" i="5453"/>
  <c r="H35" i="5453"/>
  <c r="H43" i="5453"/>
  <c r="H51" i="5453"/>
  <c r="C17" i="5453"/>
  <c r="H24" i="5453"/>
  <c r="H28" i="5453"/>
  <c r="H36" i="5453"/>
  <c r="H44" i="5453"/>
  <c r="H52" i="5453"/>
  <c r="H18" i="5453"/>
  <c r="H20" i="5453"/>
  <c r="H23" i="5453"/>
  <c r="H26" i="5453"/>
  <c r="H29" i="5453"/>
  <c r="H33" i="5453"/>
  <c r="H37" i="5453"/>
  <c r="H41" i="5453"/>
  <c r="H45" i="5453"/>
  <c r="H49" i="5453"/>
  <c r="H7" i="5453"/>
  <c r="H13" i="5453"/>
  <c r="H15" i="5453"/>
  <c r="C19" i="5453"/>
  <c r="H21" i="5453"/>
  <c r="H30" i="5453"/>
  <c r="H34" i="5453"/>
  <c r="H38" i="5453"/>
  <c r="H42" i="5453"/>
  <c r="H46" i="5453"/>
  <c r="H52" i="2228" l="1"/>
  <c r="H51" i="2228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<sst xmlns="http://schemas.openxmlformats.org/spreadsheetml/2006/main" count="3317" uniqueCount="260">
  <si>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</si>
  <si>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</si>
  <si>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</si>
  <si>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</si>
  <si>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</si>
  <si>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</si>
  <si>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</si>
  <si>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</si>
  <si>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</si>
  <si>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</si>
  <si>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</si>
  <si>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</si>
  <si>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</si>
  <si>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</si>
  <si>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</si>
  <si>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</si>
  <si>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</si>
  <si>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</si>
  <si>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</si>
  <si>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</si>
  <si>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</si>
  <si>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</si>
  <si>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</si>
  <si>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</si>
  <si>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</si>
  <si>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</si>
  <si>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</si>
  <si>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</si>
  <si>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</si>
  <si>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</si>
  <si>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</si>
  <si>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</si>
  <si>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</si>
  <si>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</si>
  <si>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</si>
  <si>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</si>
  <si>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</si>
  <si>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</si>
  <si>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</si>
  <si>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</si>
  <si>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</si>
  <si>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</si>
  <si>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</si>
  <si>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</si>
  <si>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</si>
  <si>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</si>
  <si>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</si>
  <si>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</si>
  <si>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</si>
  <si>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</si>
  <si>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</si>
  <si>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</si>
  <si>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</si>
  <si>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</si>
  <si>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</si>
  <si>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</si>
  <si>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</si>
  <si>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</si>
  <si>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</si>
  <si>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</si>
  <si>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</si>
  <si>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</si>
  <si>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</si>
  <si>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</si>
  <si>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</si>
  <si>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</si>
  <si>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</si>
  <si>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</si>
  <si>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</si>
  <si>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</si>
  <si>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</si>
  <si>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</si>
  <si>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</si>
  <si>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</si>
  <si>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</si>
  <si>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</si>
  <si>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</si>
  <si>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</si>
  <si>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</si>
  <si>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</si>
  <si>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</si>
  <si>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</si>
  <si>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</si>
  <si>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</si>
  <si>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</si>
  <si>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</si>
  <si>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</si>
  <si>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</si>
  <si>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</si>
  <si>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</si>
  <si>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</si>
  <si>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</si>
  <si>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</si>
  <si>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</si>
  <si>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</si>
  <si>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</si>
  <si>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</si>
  <si>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</si>
  <si>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</si>
  <si>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</si>
  <si>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</si>
  <si>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</si>
  <si>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</si>
  <si>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</si>
  <si>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</si>
  <si>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</si>
  <si>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</si>
  <si>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</si>
  <si>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</si>
  <si>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</si>
  <si>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</si>
  <si>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</si>
  <si>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</si>
  <si>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</si>
  <si>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</si>
  <si>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</si>
  <si>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</si>
  <si>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</si>
  <si>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</si>
  <si>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</si>
  <si>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</si>
  <si>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</si>
  <si>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</si>
  <si>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</si>
  <si>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</si>
  <si>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</si>
  <si>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</si>
  <si>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</si>
  <si>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</si>
  <si>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</si>
  <si>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</si>
  <si>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</si>
  <si>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</si>
  <si>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</si>
  <si>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</si>
  <si>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</si>
  <si>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</si>
  <si>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</si>
  <si>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</si>
  <si>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</si>
  <si>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</si>
  <si>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</si>
  <si>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</si>
  <si>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</si>
  <si>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</si>
  <si>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</si>
  <si>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</si>
  <si>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</si>
  <si>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</si>
  <si>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</si>
  <si>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</si>
  <si>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</si>
  <si>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</si>
  <si>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</si>
  <si>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</si>
  <si>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</si>
  <si>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</si>
  <si>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</si>
  <si>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</si>
  <si>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</si>
  <si>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</si>
  <si>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</si>
  <si>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</si>
  <si>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</si>
  <si>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</si>
  <si>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</si>
  <si>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</si>
  <si>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</si>
  <si>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</si>
  <si>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</si>
  <si>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</si>
  <si>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</si>
  <si>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</si>
  <si>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</si>
  <si>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</si>
  <si>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</si>
  <si>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</si>
  <si>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</si>
  <si>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</si>
  <si>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</si>
  <si>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</si>
  <si>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</si>
  <si>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</si>
  <si>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</si>
  <si>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</si>
  <si>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</si>
  <si>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</si>
  <si>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</si>
  <si>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</si>
  <si>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</si>
  <si>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</si>
  <si>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</si>
  <si>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</si>
  <si>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</si>
  <si>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</si>
  <si>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</si>
  <si>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</si>
  <si>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</si>
  <si>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</si>
  <si>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</si>
  <si>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</si>
  <si>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</si>
  <si>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</si>
  <si>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</si>
  <si>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</si>
  <si>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</si>
  <si>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</si>
  <si>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</si>
  <si>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</si>
  <si>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</si>
  <si>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</si>
  <si>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</si>
  <si>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</si>
  <si>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</si>
  <si>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</si>
  <si>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</si>
  <si>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</si>
  <si>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</si>
  <si>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</si>
  <si>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</si>
  <si>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</si>
  <si>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</si>
  <si>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</si>
  <si>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</si>
  <si>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</si>
  <si>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</si>
  <si>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</si>
  <si>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</si>
  <si>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</si>
  <si>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</si>
  <si>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</si>
  <si>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</si>
  <si>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</si>
  <si>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</si>
  <si>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</si>
  <si>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2019-05-23@1.xlsm</t>
  </si>
  <si>
    <t>2019-05-24@2.xlsm</t>
  </si>
  <si>
    <t>2019-05-27@2.xlsm</t>
  </si>
  <si>
    <t>2019-05-25@1.xlsm</t>
  </si>
  <si>
    <t>2019-05-28@2.xlsm</t>
  </si>
  <si>
    <t>2019-05-31@2.xlsm</t>
  </si>
  <si>
    <t>2019-06-01@2.xlsm</t>
  </si>
  <si>
    <t>2019-06-02@2.xlsm</t>
  </si>
  <si>
    <t>2019-06-03@2.xlsm</t>
  </si>
  <si>
    <t>2019-06-04@2.xlsm</t>
  </si>
  <si>
    <t>52</t>
  </si>
  <si>
    <t>赤ドラ</t>
  </si>
  <si>
    <t>53</t>
    <phoneticPr fontId="1"/>
  </si>
  <si>
    <t>十三不塔</t>
    <rPh sb="0" eb="4">
      <t>シー</t>
    </rPh>
    <phoneticPr fontId="1"/>
  </si>
  <si>
    <t>2019-06-06@2.xlsm</t>
  </si>
  <si>
    <t>2019-06-07@2.xlsm</t>
  </si>
  <si>
    <t>2019-06-08@2.xlsm</t>
  </si>
  <si>
    <t>2019-06-09@2.xlsm</t>
  </si>
  <si>
    <t>2019-06-11@2.xlsm</t>
  </si>
  <si>
    <t>2019-06-12@2.xlsm</t>
  </si>
  <si>
    <t>2019-06-13@2.xlsm</t>
  </si>
  <si>
    <t>2019-06-14@1.xlsm</t>
  </si>
  <si>
    <t>2019-06-15@1.xlsm</t>
  </si>
  <si>
    <t>2019-06-16@2.xlsm</t>
  </si>
  <si>
    <t>2019-06-18@2.xlsm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</si>
</sst>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4" fontId="0" fillId="0" borderId="7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全体!$K$2:$K$689</c:f>
              <c:numCache>
                <c:formatCode>General</c:formatCode>
                <c:ptCount val="68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</c:numCache>
            </c:numRef>
          </c:xVal>
          <c:yVal>
            <c:numRef>
              <c:f>全体!$L$2:$L$689</c:f>
              <c:numCache>
                <c:formatCode>\+0.0;\-0.0;\±0</c:formatCode>
                <c:ptCount val="688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-62.999999999999993</c:v>
                </c:pt>
                <c:pt idx="557">
                  <c:v>-44.999999999999993</c:v>
                </c:pt>
                <c:pt idx="558">
                  <c:v>7.1054273576010019E-15</c:v>
                </c:pt>
                <c:pt idx="559">
                  <c:v>100.9</c:v>
                </c:pt>
                <c:pt idx="560">
                  <c:v>27.200000000000003</c:v>
                </c:pt>
                <c:pt idx="561">
                  <c:v>3.5527136788005009E-15</c:v>
                </c:pt>
                <c:pt idx="562">
                  <c:v>27.100000000000005</c:v>
                </c:pt>
                <c:pt idx="563">
                  <c:v>31.800000000000004</c:v>
                </c:pt>
                <c:pt idx="564">
                  <c:v>3.5527136788005009E-15</c:v>
                </c:pt>
                <c:pt idx="565">
                  <c:v>-0.79999999999999649</c:v>
                </c:pt>
                <c:pt idx="566">
                  <c:v>23.400000000000002</c:v>
                </c:pt>
                <c:pt idx="567">
                  <c:v>3.5527136788005009E-15</c:v>
                </c:pt>
                <c:pt idx="568">
                  <c:v>57.2</c:v>
                </c:pt>
                <c:pt idx="569">
                  <c:v>69.5</c:v>
                </c:pt>
                <c:pt idx="570">
                  <c:v>0</c:v>
                </c:pt>
                <c:pt idx="571">
                  <c:v>-48.7</c:v>
                </c:pt>
                <c:pt idx="572">
                  <c:v>-37.1</c:v>
                </c:pt>
                <c:pt idx="573">
                  <c:v>0</c:v>
                </c:pt>
                <c:pt idx="574">
                  <c:v>29.4</c:v>
                </c:pt>
                <c:pt idx="575">
                  <c:v>-0.80000000000000071</c:v>
                </c:pt>
                <c:pt idx="576">
                  <c:v>-6.6613381477509392E-16</c:v>
                </c:pt>
                <c:pt idx="577">
                  <c:v>79.599999999999994</c:v>
                </c:pt>
                <c:pt idx="578">
                  <c:v>70.8</c:v>
                </c:pt>
                <c:pt idx="579">
                  <c:v>0</c:v>
                </c:pt>
                <c:pt idx="580">
                  <c:v>-55.7</c:v>
                </c:pt>
                <c:pt idx="581">
                  <c:v>7.6999999999999957</c:v>
                </c:pt>
                <c:pt idx="582">
                  <c:v>-4.4408920985006262E-15</c:v>
                </c:pt>
                <c:pt idx="583">
                  <c:v>40.599999999999994</c:v>
                </c:pt>
                <c:pt idx="584">
                  <c:v>43.599999999999994</c:v>
                </c:pt>
                <c:pt idx="585">
                  <c:v>-7.1054273576010019E-15</c:v>
                </c:pt>
                <c:pt idx="586">
                  <c:v>-50.500000000000007</c:v>
                </c:pt>
                <c:pt idx="587">
                  <c:v>-47.900000000000006</c:v>
                </c:pt>
                <c:pt idx="588">
                  <c:v>-7.1054273576010019E-15</c:v>
                </c:pt>
                <c:pt idx="589">
                  <c:v>-41.70000000000001</c:v>
                </c:pt>
                <c:pt idx="590">
                  <c:v>-0.70000000000000995</c:v>
                </c:pt>
                <c:pt idx="591">
                  <c:v>-9.9920072216264089E-15</c:v>
                </c:pt>
                <c:pt idx="592">
                  <c:v>-34.900000000000006</c:v>
                </c:pt>
                <c:pt idx="593">
                  <c:v>-38.100000000000009</c:v>
                </c:pt>
                <c:pt idx="594">
                  <c:v>-7.1054273576010019E-15</c:v>
                </c:pt>
                <c:pt idx="595">
                  <c:v>64.199999999999989</c:v>
                </c:pt>
                <c:pt idx="596">
                  <c:v>57.999999999999986</c:v>
                </c:pt>
                <c:pt idx="597">
                  <c:v>-1.4210854715202004E-14</c:v>
                </c:pt>
                <c:pt idx="598">
                  <c:v>60.299999999999983</c:v>
                </c:pt>
                <c:pt idx="599">
                  <c:v>-1.7000000000000171</c:v>
                </c:pt>
                <c:pt idx="600">
                  <c:v>-1.7097434579227411E-14</c:v>
                </c:pt>
                <c:pt idx="601">
                  <c:v>7.2999999999999829</c:v>
                </c:pt>
                <c:pt idx="602">
                  <c:v>36.09999999999998</c:v>
                </c:pt>
                <c:pt idx="603">
                  <c:v>-2.1316282072803006E-14</c:v>
                </c:pt>
                <c:pt idx="604">
                  <c:v>-41.40000000000002</c:v>
                </c:pt>
                <c:pt idx="605">
                  <c:v>-48.000000000000021</c:v>
                </c:pt>
                <c:pt idx="606">
                  <c:v>-2.1316282072803006E-14</c:v>
                </c:pt>
                <c:pt idx="607">
                  <c:v>31.899999999999977</c:v>
                </c:pt>
                <c:pt idx="608">
                  <c:v>33.899999999999977</c:v>
                </c:pt>
                <c:pt idx="609">
                  <c:v>-2.1316282072803006E-14</c:v>
                </c:pt>
                <c:pt idx="610">
                  <c:v>-11.100000000000021</c:v>
                </c:pt>
                <c:pt idx="611">
                  <c:v>56.699999999999974</c:v>
                </c:pt>
                <c:pt idx="612">
                  <c:v>-2.8421709430404007E-14</c:v>
                </c:pt>
                <c:pt idx="613">
                  <c:v>-24.400000000000027</c:v>
                </c:pt>
                <c:pt idx="614">
                  <c:v>-25.600000000000026</c:v>
                </c:pt>
                <c:pt idx="615">
                  <c:v>-2.4868995751603507E-14</c:v>
                </c:pt>
                <c:pt idx="616">
                  <c:v>-44.600000000000023</c:v>
                </c:pt>
                <c:pt idx="617">
                  <c:v>-34.90000000000002</c:v>
                </c:pt>
                <c:pt idx="618">
                  <c:v>-2.1316282072803006E-14</c:v>
                </c:pt>
                <c:pt idx="619">
                  <c:v>46.09999999999998</c:v>
                </c:pt>
                <c:pt idx="620">
                  <c:v>54.59999999999998</c:v>
                </c:pt>
                <c:pt idx="621">
                  <c:v>-2.1316282072803006E-14</c:v>
                </c:pt>
                <c:pt idx="622">
                  <c:v>56.499999999999979</c:v>
                </c:pt>
                <c:pt idx="623">
                  <c:v>64.699999999999974</c:v>
                </c:pt>
                <c:pt idx="624">
                  <c:v>-2.8421709430404007E-14</c:v>
                </c:pt>
                <c:pt idx="625">
                  <c:v>23.699999999999971</c:v>
                </c:pt>
                <c:pt idx="626">
                  <c:v>1.4999999999999716</c:v>
                </c:pt>
                <c:pt idx="627">
                  <c:v>-2.8421709430404007E-14</c:v>
                </c:pt>
                <c:pt idx="628">
                  <c:v>27.699999999999971</c:v>
                </c:pt>
                <c:pt idx="629">
                  <c:v>3.3999999999999702</c:v>
                </c:pt>
                <c:pt idx="630">
                  <c:v>-2.9753977059954195E-14</c:v>
                </c:pt>
                <c:pt idx="631">
                  <c:v>45.299999999999969</c:v>
                </c:pt>
                <c:pt idx="632">
                  <c:v>-5.8000000000000327</c:v>
                </c:pt>
                <c:pt idx="633">
                  <c:v>-3.2862601528904634E-14</c:v>
                </c:pt>
                <c:pt idx="634">
                  <c:v>8.999999999999968</c:v>
                </c:pt>
                <c:pt idx="635">
                  <c:v>57.299999999999969</c:v>
                </c:pt>
                <c:pt idx="636">
                  <c:v>-2.8421709430404007E-14</c:v>
                </c:pt>
                <c:pt idx="637">
                  <c:v>-56.000000000000028</c:v>
                </c:pt>
                <c:pt idx="638">
                  <c:v>-50.000000000000028</c:v>
                </c:pt>
                <c:pt idx="639">
                  <c:v>-2.8421709430404007E-14</c:v>
                </c:pt>
                <c:pt idx="640">
                  <c:v>-56.200000000000031</c:v>
                </c:pt>
                <c:pt idx="641">
                  <c:v>11.699999999999974</c:v>
                </c:pt>
                <c:pt idx="642">
                  <c:v>-2.4868995751603507E-14</c:v>
                </c:pt>
                <c:pt idx="643">
                  <c:v>-31.800000000000026</c:v>
                </c:pt>
                <c:pt idx="644">
                  <c:v>-42.700000000000024</c:v>
                </c:pt>
                <c:pt idx="645">
                  <c:v>-2.1316282072803006E-14</c:v>
                </c:pt>
                <c:pt idx="646">
                  <c:v>-7.3000000000000211</c:v>
                </c:pt>
                <c:pt idx="647">
                  <c:v>45.999999999999979</c:v>
                </c:pt>
                <c:pt idx="648">
                  <c:v>-1.0000000000000213</c:v>
                </c:pt>
                <c:pt idx="649">
                  <c:v>-15.300000000000022</c:v>
                </c:pt>
                <c:pt idx="650">
                  <c:v>35.09999999999998</c:v>
                </c:pt>
                <c:pt idx="651">
                  <c:v>-1.0000000000000213</c:v>
                </c:pt>
                <c:pt idx="652">
                  <c:v>-1.0000000000000213</c:v>
                </c:pt>
                <c:pt idx="653">
                  <c:v>-1.0000000000000213</c:v>
                </c:pt>
                <c:pt idx="654">
                  <c:v>-1.0000000000000213</c:v>
                </c:pt>
                <c:pt idx="655">
                  <c:v>-61.90000000000002</c:v>
                </c:pt>
                <c:pt idx="656">
                  <c:v>2.4999999999999858</c:v>
                </c:pt>
                <c:pt idx="657">
                  <c:v>-1.0000000000000142</c:v>
                </c:pt>
                <c:pt idx="658">
                  <c:v>66.799999999999983</c:v>
                </c:pt>
                <c:pt idx="659">
                  <c:v>54.899999999999984</c:v>
                </c:pt>
                <c:pt idx="660">
                  <c:v>-1.0000000000000142</c:v>
                </c:pt>
                <c:pt idx="661">
                  <c:v>-15.900000000000015</c:v>
                </c:pt>
                <c:pt idx="662">
                  <c:v>-52.300000000000011</c:v>
                </c:pt>
                <c:pt idx="663">
                  <c:v>-1.0000000000000142</c:v>
                </c:pt>
                <c:pt idx="664">
                  <c:v>-58.700000000000017</c:v>
                </c:pt>
                <c:pt idx="665">
                  <c:v>-41.100000000000016</c:v>
                </c:pt>
                <c:pt idx="666">
                  <c:v>-1.0000000000000142</c:v>
                </c:pt>
                <c:pt idx="667">
                  <c:v>-2.9000000000000141</c:v>
                </c:pt>
                <c:pt idx="668">
                  <c:v>31.79999999999999</c:v>
                </c:pt>
                <c:pt idx="669">
                  <c:v>-1.0000000000000071</c:v>
                </c:pt>
                <c:pt idx="670">
                  <c:v>10.599999999999993</c:v>
                </c:pt>
                <c:pt idx="671">
                  <c:v>-44.800000000000004</c:v>
                </c:pt>
                <c:pt idx="672">
                  <c:v>-1.0000000000000071</c:v>
                </c:pt>
                <c:pt idx="673">
                  <c:v>-2.0000000000000071</c:v>
                </c:pt>
                <c:pt idx="674">
                  <c:v>-60.000000000000007</c:v>
                </c:pt>
                <c:pt idx="675">
                  <c:v>-1.0000000000000071</c:v>
                </c:pt>
                <c:pt idx="676">
                  <c:v>-2.3000000000000069</c:v>
                </c:pt>
                <c:pt idx="677">
                  <c:v>33.699999999999996</c:v>
                </c:pt>
                <c:pt idx="678">
                  <c:v>-1.0000000000000071</c:v>
                </c:pt>
                <c:pt idx="679">
                  <c:v>-8.4000000000000075</c:v>
                </c:pt>
                <c:pt idx="680">
                  <c:v>-72.100000000000009</c:v>
                </c:pt>
                <c:pt idx="681">
                  <c:v>-1.0000000000000142</c:v>
                </c:pt>
                <c:pt idx="682">
                  <c:v>75.999999999999986</c:v>
                </c:pt>
                <c:pt idx="683">
                  <c:v>-6.0000000000000142</c:v>
                </c:pt>
                <c:pt idx="684">
                  <c:v>-1.0000000000000142</c:v>
                </c:pt>
                <c:pt idx="685">
                  <c:v>48.699999999999989</c:v>
                </c:pt>
                <c:pt idx="686">
                  <c:v>37.79999999999999</c:v>
                </c:pt>
                <c:pt idx="687">
                  <c:v>-1.0000000000000071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58-4FA7-9C9E-6BFE43DB3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-16.081871345029239</c:v>
                </c:pt>
                <c:pt idx="1">
                  <c:v>-5.9790732436472345</c:v>
                </c:pt>
                <c:pt idx="2">
                  <c:v>9.5693779904306222</c:v>
                </c:pt>
                <c:pt idx="3">
                  <c:v>7.0175438596491224</c:v>
                </c:pt>
                <c:pt idx="4">
                  <c:v>-11.695906432748538</c:v>
                </c:pt>
                <c:pt idx="5">
                  <c:v>21.92982456140351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51-49E6-96EB-1BD1AB52C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だいち!$K$2:$K$157</c:f>
              <c:numCache>
                <c:formatCode>General</c:formatCode>
                <c:ptCount val="1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</c:numCache>
            </c:numRef>
          </c:xVal>
          <c:yVal>
            <c:numRef>
              <c:f>だいち!$L$2:$L$157</c:f>
              <c:numCache>
                <c:formatCode>\+0.0;\-0.0;\±0</c:formatCode>
                <c:ptCount val="156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1565.600000000001</c:v>
                </c:pt>
                <c:pt idx="126">
                  <c:v>1666.5000000000011</c:v>
                </c:pt>
                <c:pt idx="127">
                  <c:v>1643.100000000001</c:v>
                </c:pt>
                <c:pt idx="128">
                  <c:v>1573.600000000001</c:v>
                </c:pt>
                <c:pt idx="129">
                  <c:v>1603.0000000000011</c:v>
                </c:pt>
                <c:pt idx="130">
                  <c:v>1682.600000000001</c:v>
                </c:pt>
                <c:pt idx="131">
                  <c:v>1632.100000000001</c:v>
                </c:pt>
                <c:pt idx="132">
                  <c:v>1590.400000000001</c:v>
                </c:pt>
                <c:pt idx="133">
                  <c:v>1555.5000000000009</c:v>
                </c:pt>
                <c:pt idx="134">
                  <c:v>1549.3000000000009</c:v>
                </c:pt>
                <c:pt idx="135">
                  <c:v>1609.6000000000008</c:v>
                </c:pt>
                <c:pt idx="136">
                  <c:v>1638.4000000000008</c:v>
                </c:pt>
                <c:pt idx="137">
                  <c:v>1631.8000000000009</c:v>
                </c:pt>
                <c:pt idx="138">
                  <c:v>1633.8000000000009</c:v>
                </c:pt>
                <c:pt idx="139">
                  <c:v>1701.6000000000008</c:v>
                </c:pt>
                <c:pt idx="140">
                  <c:v>1700.4000000000008</c:v>
                </c:pt>
                <c:pt idx="141">
                  <c:v>1724.1000000000008</c:v>
                </c:pt>
                <c:pt idx="142">
                  <c:v>1751.8000000000009</c:v>
                </c:pt>
                <c:pt idx="143">
                  <c:v>1797.1000000000008</c:v>
                </c:pt>
                <c:pt idx="144">
                  <c:v>1806.1000000000008</c:v>
                </c:pt>
                <c:pt idx="145">
                  <c:v>1774.3000000000009</c:v>
                </c:pt>
                <c:pt idx="146">
                  <c:v>1767.0000000000009</c:v>
                </c:pt>
                <c:pt idx="147">
                  <c:v>1767.0000000000009</c:v>
                </c:pt>
                <c:pt idx="148">
                  <c:v>1763.5000000000009</c:v>
                </c:pt>
                <c:pt idx="149">
                  <c:v>1727.1000000000008</c:v>
                </c:pt>
                <c:pt idx="150">
                  <c:v>1744.7000000000007</c:v>
                </c:pt>
                <c:pt idx="151">
                  <c:v>1788.5000000000007</c:v>
                </c:pt>
                <c:pt idx="152">
                  <c:v>1847.5000000000007</c:v>
                </c:pt>
                <c:pt idx="153">
                  <c:v>1812.8000000000006</c:v>
                </c:pt>
                <c:pt idx="154">
                  <c:v>1805.4000000000005</c:v>
                </c:pt>
                <c:pt idx="155">
                  <c:v>1855.1000000000006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F6-47A7-995F-4855674870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2113.6363636363635</c:v>
                </c:pt>
                <c:pt idx="1">
                  <c:v>1486</c:v>
                </c:pt>
                <c:pt idx="2">
                  <c:v>919.58041958041963</c:v>
                </c:pt>
                <c:pt idx="3">
                  <c:v>2293.8931297709923</c:v>
                </c:pt>
                <c:pt idx="4">
                  <c:v>186.20689655172413</c:v>
                </c:pt>
                <c:pt idx="5">
                  <c:v>871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77-4C41-84BE-1658D0BD7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りくと!$K$2:$K$128</c:f>
              <c:numCache>
                <c:formatCode>General</c:formatCode>
                <c:ptCount val="1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</c:numCache>
            </c:numRef>
          </c:xVal>
          <c:yVal>
            <c:numRef>
              <c:f>りくと!$L$2:$L$128</c:f>
              <c:numCache>
                <c:formatCode>\+0.0;\-0.0;\±0</c:formatCode>
                <c:ptCount val="127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  <c:pt idx="116">
                  <c:v>-316.00000000000006</c:v>
                </c:pt>
                <c:pt idx="117">
                  <c:v>-313.40000000000003</c:v>
                </c:pt>
                <c:pt idx="118">
                  <c:v>-324.50000000000006</c:v>
                </c:pt>
                <c:pt idx="119">
                  <c:v>-346.70000000000005</c:v>
                </c:pt>
                <c:pt idx="120">
                  <c:v>-371.00000000000006</c:v>
                </c:pt>
                <c:pt idx="121">
                  <c:v>-422.10000000000008</c:v>
                </c:pt>
                <c:pt idx="122">
                  <c:v>-478.00000000000006</c:v>
                </c:pt>
                <c:pt idx="123">
                  <c:v>-426.70000000000005</c:v>
                </c:pt>
                <c:pt idx="124">
                  <c:v>-484.40000000000003</c:v>
                </c:pt>
                <c:pt idx="125">
                  <c:v>-449.70000000000005</c:v>
                </c:pt>
                <c:pt idx="126">
                  <c:v>-438.1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A-4D67-BAE0-E9023756A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144.44444444444446</c:v>
                </c:pt>
                <c:pt idx="1">
                  <c:v>-2159.8360655737706</c:v>
                </c:pt>
                <c:pt idx="2">
                  <c:v>378.81355932203388</c:v>
                </c:pt>
                <c:pt idx="3">
                  <c:v>-2.8846153846153846</c:v>
                </c:pt>
                <c:pt idx="4">
                  <c:v>187.09677419354838</c:v>
                </c:pt>
                <c:pt idx="5">
                  <c:v>330.23255813953489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9D-444E-968D-ED398A4681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ただ!$K$2:$K$94</c:f>
              <c:numCache>
                <c:formatCode>General</c:formatCode>
                <c:ptCount val="9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</c:numCache>
            </c:numRef>
          </c:xVal>
          <c:yVal>
            <c:numRef>
              <c:f>ただ!$L$2:$L$94</c:f>
              <c:numCache>
                <c:formatCode>\+0.0;\-0.0;\±0</c:formatCode>
                <c:ptCount val="93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  <c:pt idx="69">
                  <c:v>-1115.2999999999997</c:v>
                </c:pt>
                <c:pt idx="70">
                  <c:v>-1170.9999999999998</c:v>
                </c:pt>
                <c:pt idx="71">
                  <c:v>-1130.3999999999999</c:v>
                </c:pt>
                <c:pt idx="72">
                  <c:v>-1129.6999999999998</c:v>
                </c:pt>
                <c:pt idx="73">
                  <c:v>-1091.5999999999999</c:v>
                </c:pt>
                <c:pt idx="74">
                  <c:v>-1149.5999999999999</c:v>
                </c:pt>
                <c:pt idx="75">
                  <c:v>-1147.8999999999999</c:v>
                </c:pt>
                <c:pt idx="76">
                  <c:v>-1183.9999999999998</c:v>
                </c:pt>
                <c:pt idx="77">
                  <c:v>-1135.9999999999998</c:v>
                </c:pt>
                <c:pt idx="78">
                  <c:v>-1169.8999999999999</c:v>
                </c:pt>
                <c:pt idx="79">
                  <c:v>-1226.5999999999999</c:v>
                </c:pt>
                <c:pt idx="80">
                  <c:v>-1201</c:v>
                </c:pt>
                <c:pt idx="81">
                  <c:v>-1265.7</c:v>
                </c:pt>
                <c:pt idx="82">
                  <c:v>-1267.2</c:v>
                </c:pt>
                <c:pt idx="83">
                  <c:v>-1270.6000000000001</c:v>
                </c:pt>
                <c:pt idx="84">
                  <c:v>-1264.8000000000002</c:v>
                </c:pt>
                <c:pt idx="85">
                  <c:v>-1322.1000000000001</c:v>
                </c:pt>
                <c:pt idx="86">
                  <c:v>-1272.1000000000001</c:v>
                </c:pt>
                <c:pt idx="87">
                  <c:v>-1283.8000000000002</c:v>
                </c:pt>
                <c:pt idx="88">
                  <c:v>-1241.1000000000001</c:v>
                </c:pt>
                <c:pt idx="89">
                  <c:v>-1288.1000000000001</c:v>
                </c:pt>
                <c:pt idx="90">
                  <c:v>-1324.2</c:v>
                </c:pt>
                <c:pt idx="91">
                  <c:v>-1253.1000000000001</c:v>
                </c:pt>
                <c:pt idx="92">
                  <c:v>-1291.9000000000001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48-4F16-A322-E6E13D0459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-3102.1739130434785</c:v>
                </c:pt>
                <c:pt idx="1">
                  <c:v>-1118.8888888888889</c:v>
                </c:pt>
                <c:pt idx="2">
                  <c:v>-307.05882352941177</c:v>
                </c:pt>
                <c:pt idx="3">
                  <c:v>-4301.333333333333</c:v>
                </c:pt>
                <c:pt idx="4">
                  <c:v>-467.64705882352939</c:v>
                </c:pt>
                <c:pt idx="5">
                  <c:v>-1285.2459016393443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12-420C-A01D-66F69D1685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れんたろう!$K$2:$K$92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れんたろう!$L$2:$L$92</c:f>
              <c:numCache>
                <c:formatCode>\+0.0;\-0.0;\±0</c:formatCode>
                <c:ptCount val="91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  <c:pt idx="80">
                  <c:v>109.69999999999999</c:v>
                </c:pt>
                <c:pt idx="81">
                  <c:v>173.1</c:v>
                </c:pt>
                <c:pt idx="82">
                  <c:v>214.1</c:v>
                </c:pt>
                <c:pt idx="83">
                  <c:v>210.9</c:v>
                </c:pt>
                <c:pt idx="84">
                  <c:v>275.10000000000002</c:v>
                </c:pt>
                <c:pt idx="85">
                  <c:v>213.10000000000002</c:v>
                </c:pt>
                <c:pt idx="86">
                  <c:v>158.50000000000003</c:v>
                </c:pt>
                <c:pt idx="87">
                  <c:v>102.50000000000003</c:v>
                </c:pt>
                <c:pt idx="88">
                  <c:v>46.300000000000026</c:v>
                </c:pt>
                <c:pt idx="89">
                  <c:v>32.000000000000028</c:v>
                </c:pt>
                <c:pt idx="90">
                  <c:v>21.10000000000003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3E-4E69-8ABF-3C800B4A3C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-684.44444444444446</c:v>
                </c:pt>
                <c:pt idx="1">
                  <c:v>219.31818181818181</c:v>
                </c:pt>
                <c:pt idx="2">
                  <c:v>1135.8024691358025</c:v>
                </c:pt>
                <c:pt idx="3">
                  <c:v>964.28571428571433</c:v>
                </c:pt>
                <c:pt idx="4">
                  <c:v>-550</c:v>
                </c:pt>
                <c:pt idx="5">
                  <c:v>-192.98245614035088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CB-49D7-920E-B810809B3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たかの!$K$2:$K$80</c:f>
              <c:numCache>
                <c:formatCode>General</c:formatCode>
                <c:ptCount val="7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</c:numCache>
            </c:numRef>
          </c:xVal>
          <c:yVal>
            <c:numRef>
              <c:f>たかの!$L$2:$L$80</c:f>
              <c:numCache>
                <c:formatCode>\+0.0;\-0.0;\±0</c:formatCode>
                <c:ptCount val="79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  <c:pt idx="63">
                  <c:v>45.09999999999998</c:v>
                </c:pt>
                <c:pt idx="64">
                  <c:v>45.899999999999977</c:v>
                </c:pt>
                <c:pt idx="65">
                  <c:v>38.199999999999974</c:v>
                </c:pt>
                <c:pt idx="66">
                  <c:v>-5.400000000000027</c:v>
                </c:pt>
                <c:pt idx="67">
                  <c:v>1.8999999999999728</c:v>
                </c:pt>
                <c:pt idx="68">
                  <c:v>-39.500000000000028</c:v>
                </c:pt>
                <c:pt idx="69">
                  <c:v>-7.6000000000000298</c:v>
                </c:pt>
                <c:pt idx="70">
                  <c:v>-32.000000000000028</c:v>
                </c:pt>
                <c:pt idx="71">
                  <c:v>-76.600000000000023</c:v>
                </c:pt>
                <c:pt idx="72">
                  <c:v>-68.40000000000002</c:v>
                </c:pt>
                <c:pt idx="73">
                  <c:v>-129.30000000000001</c:v>
                </c:pt>
                <c:pt idx="74">
                  <c:v>-61.500000000000014</c:v>
                </c:pt>
                <c:pt idx="75">
                  <c:v>-76.40000000000002</c:v>
                </c:pt>
                <c:pt idx="76">
                  <c:v>-36.300000000000018</c:v>
                </c:pt>
                <c:pt idx="77">
                  <c:v>-37.300000000000018</c:v>
                </c:pt>
                <c:pt idx="78">
                  <c:v>-38.600000000000016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9-4A4B-ABC1-290E04928D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630.76923076923072</c:v>
                </c:pt>
                <c:pt idx="1">
                  <c:v>-897.43589743589746</c:v>
                </c:pt>
                <c:pt idx="2">
                  <c:v>-1478.5714285714287</c:v>
                </c:pt>
                <c:pt idx="3">
                  <c:v>740.90909090909088</c:v>
                </c:pt>
                <c:pt idx="4">
                  <c:v>900</c:v>
                </c:pt>
                <c:pt idx="5">
                  <c:v>-372.22222222222223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0D-4546-A65B-3A3DAC73DD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ぱぱ!$K$2:$K$48</c:f>
              <c:numCache>
                <c:formatCode>General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ぱぱ!$L$2:$L$48</c:f>
              <c:numCache>
                <c:formatCode>\+0.0;\-0.0;\±0</c:formatCode>
                <c:ptCount val="47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  <c:pt idx="45">
                  <c:v>-295.39999999999998</c:v>
                </c:pt>
                <c:pt idx="46">
                  <c:v>-377.4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63-4489-83E3-39C922D66B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-2791.304347826087</c:v>
                </c:pt>
                <c:pt idx="1">
                  <c:v>2121.7391304347825</c:v>
                </c:pt>
                <c:pt idx="2">
                  <c:v>-865.11627906976742</c:v>
                </c:pt>
                <c:pt idx="3">
                  <c:v>-3805</c:v>
                </c:pt>
                <c:pt idx="4">
                  <c:v>-205.55555555555554</c:v>
                </c:pt>
                <c:pt idx="5">
                  <c:v>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05-4A4C-9C4B-05DAEDA892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まっつん!$K$2:$K$68</c:f>
              <c:numCache>
                <c:formatCode>General</c:formatCode>
                <c:ptCount val="6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</c:numCache>
            </c:numRef>
          </c:xVal>
          <c:yVal>
            <c:numRef>
              <c:f>まっつん!$L$2:$L$68</c:f>
              <c:numCache>
                <c:formatCode>\+0.0;\-0.0;\±0</c:formatCode>
                <c:ptCount val="67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  <c:pt idx="59">
                  <c:v>295</c:v>
                </c:pt>
                <c:pt idx="60">
                  <c:v>295</c:v>
                </c:pt>
                <c:pt idx="61">
                  <c:v>359.4</c:v>
                </c:pt>
                <c:pt idx="62">
                  <c:v>347.5</c:v>
                </c:pt>
                <c:pt idx="63">
                  <c:v>345.6</c:v>
                </c:pt>
                <c:pt idx="64">
                  <c:v>287.60000000000002</c:v>
                </c:pt>
                <c:pt idx="65">
                  <c:v>323.60000000000002</c:v>
                </c:pt>
                <c:pt idx="66">
                  <c:v>328.6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9D-4579-B4FF-D538A6DE0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1484.6153846153845</c:v>
                </c:pt>
                <c:pt idx="1">
                  <c:v>1085.483870967742</c:v>
                </c:pt>
                <c:pt idx="2">
                  <c:v>-752.72727272727275</c:v>
                </c:pt>
                <c:pt idx="3">
                  <c:v>2473.5849056603774</c:v>
                </c:pt>
                <c:pt idx="4">
                  <c:v>-1159.5744680851064</c:v>
                </c:pt>
                <c:pt idx="5">
                  <c:v>276.92307692307691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B4-4510-BEEC-F38F14FA27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01-4DE5-8648-D77EB3D29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42-46B1-AA1E-6C3FC82B3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いっしー!$L$2:$L$20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  <c:pt idx="15">
                  <c:v>-85.399999999999991</c:v>
                </c:pt>
                <c:pt idx="16">
                  <c:v>-140.79999999999998</c:v>
                </c:pt>
                <c:pt idx="17">
                  <c:v>-204.5</c:v>
                </c:pt>
                <c:pt idx="18">
                  <c:v>-127.5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8E-4A7B-AA1A-808F435803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-1016.6666666666666</c:v>
                </c:pt>
                <c:pt idx="1">
                  <c:v>-1044.4444444444443</c:v>
                </c:pt>
                <c:pt idx="2">
                  <c:v>152.94117647058823</c:v>
                </c:pt>
                <c:pt idx="3">
                  <c:v>-4237.5</c:v>
                </c:pt>
                <c:pt idx="4">
                  <c:v>-243.75</c:v>
                </c:pt>
                <c:pt idx="5">
                  <c:v>-3407.6923076923076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97-44CF-9095-A2D82ED2D0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ほたに!$L$2:$L$12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18.099999999999994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7C-479A-827B-2592B18A8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-1966.6666666666667</c:v>
                </c:pt>
                <c:pt idx="1">
                  <c:v>4077.7777777777778</c:v>
                </c:pt>
                <c:pt idx="2">
                  <c:v>-3733.3333333333335</c:v>
                </c:pt>
                <c:pt idx="3">
                  <c:v>-1666.6666666666667</c:v>
                </c:pt>
                <c:pt idx="4">
                  <c:v>1957.1428571428571</c:v>
                </c:pt>
                <c:pt idx="5">
                  <c:v>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FB-40F5-97CA-315E1DB316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2D-4389-BE6B-29FC7C26EB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FE-4355-B038-5F30E1DA22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04-424F-8847-EC0E1B1791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250</c:v>
                </c:pt>
                <c:pt idx="1">
                  <c:v>-7000</c:v>
                </c:pt>
                <c:pt idx="2">
                  <c:v>-3000</c:v>
                </c:pt>
                <c:pt idx="3">
                  <c:v>-1000</c:v>
                </c:pt>
                <c:pt idx="4">
                  <c:v>400</c:v>
                </c:pt>
                <c:pt idx="5">
                  <c:v>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F1-4C14-BE93-6A5B6F329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れんたろう2!$B$1:$B$2</c:f>
              <c:strCache>
                <c:ptCount val="2"/>
                <c:pt idx="0">
                  <c:v>れんたろう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れんたろう2!$A$3:$A$93</c:f>
              <c:numCache>
                <c:formatCode>0\ "回"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れんたろう2!$B$3:$B$93</c:f>
              <c:numCache>
                <c:formatCode>\+0.0;\-0.0;\±0</c:formatCode>
                <c:ptCount val="91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  <c:pt idx="80">
                  <c:v>109.69999999999999</c:v>
                </c:pt>
                <c:pt idx="81">
                  <c:v>173.1</c:v>
                </c:pt>
                <c:pt idx="82">
                  <c:v>214.1</c:v>
                </c:pt>
                <c:pt idx="83">
                  <c:v>210.9</c:v>
                </c:pt>
                <c:pt idx="84">
                  <c:v>275.10000000000002</c:v>
                </c:pt>
                <c:pt idx="85">
                  <c:v>213.10000000000002</c:v>
                </c:pt>
                <c:pt idx="86">
                  <c:v>158.50000000000003</c:v>
                </c:pt>
                <c:pt idx="87">
                  <c:v>102.50000000000003</c:v>
                </c:pt>
                <c:pt idx="88">
                  <c:v>46.300000000000026</c:v>
                </c:pt>
                <c:pt idx="89">
                  <c:v>32.000000000000028</c:v>
                </c:pt>
                <c:pt idx="90">
                  <c:v>21.10000000000003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000000000000007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れんたろう2!$C$1:$C$2</c:f>
              <c:strCache>
                <c:ptCount val="2"/>
                <c:pt idx="0">
                  <c:v>れんたろう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れんたろう2!$A$3:$A$93</c:f>
              <c:numCache>
                <c:formatCode>0\ "回"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れんたろう2!$C$3:$C$93</c:f>
              <c:numCache>
                <c:formatCode>\+0.0;\-0.0;\±0</c:formatCode>
                <c:ptCount val="91"/>
                <c:pt idx="1">
                  <c:v>-51.2</c:v>
                </c:pt>
                <c:pt idx="2">
                  <c:v>-46.650000000000006</c:v>
                </c:pt>
                <c:pt idx="3">
                  <c:v>-20.033333333333335</c:v>
                </c:pt>
                <c:pt idx="4">
                  <c:v>-2.8250000000000028</c:v>
                </c:pt>
                <c:pt idx="5">
                  <c:v>-7.2200000000000015</c:v>
                </c:pt>
                <c:pt idx="6">
                  <c:v>1.5166666666666657</c:v>
                </c:pt>
                <c:pt idx="7">
                  <c:v>-7.3285714285714292</c:v>
                </c:pt>
                <c:pt idx="8">
                  <c:v>-0.21250000000000036</c:v>
                </c:pt>
                <c:pt idx="9">
                  <c:v>-0.64444444444444471</c:v>
                </c:pt>
                <c:pt idx="10">
                  <c:v>-5.65</c:v>
                </c:pt>
                <c:pt idx="11">
                  <c:v>-2.5090909090909097</c:v>
                </c:pt>
                <c:pt idx="12">
                  <c:v>-3.5750000000000006</c:v>
                </c:pt>
                <c:pt idx="13">
                  <c:v>-4.5153846153846153</c:v>
                </c:pt>
                <c:pt idx="14">
                  <c:v>-2.1</c:v>
                </c:pt>
                <c:pt idx="15">
                  <c:v>-1.7533333333333334</c:v>
                </c:pt>
                <c:pt idx="16">
                  <c:v>-3.1437499999999998</c:v>
                </c:pt>
                <c:pt idx="17">
                  <c:v>-4.3705882352941172</c:v>
                </c:pt>
                <c:pt idx="18">
                  <c:v>-4.2277777777777779</c:v>
                </c:pt>
                <c:pt idx="19">
                  <c:v>3.1578947368421505E-2</c:v>
                </c:pt>
                <c:pt idx="20">
                  <c:v>-0.17999999999999958</c:v>
                </c:pt>
                <c:pt idx="21">
                  <c:v>-0.14761904761904723</c:v>
                </c:pt>
                <c:pt idx="22">
                  <c:v>-0.77727272727272689</c:v>
                </c:pt>
                <c:pt idx="23">
                  <c:v>-2.4217391304347822</c:v>
                </c:pt>
                <c:pt idx="24">
                  <c:v>-2.4791666666666661</c:v>
                </c:pt>
                <c:pt idx="25">
                  <c:v>-1.5999999999999994</c:v>
                </c:pt>
                <c:pt idx="26">
                  <c:v>-2.7346153846153842</c:v>
                </c:pt>
                <c:pt idx="27">
                  <c:v>-2.4518518518518513</c:v>
                </c:pt>
                <c:pt idx="28">
                  <c:v>-4.1607142857142856</c:v>
                </c:pt>
                <c:pt idx="29">
                  <c:v>-4.1999999999999993</c:v>
                </c:pt>
                <c:pt idx="30">
                  <c:v>-5.2066666666666661</c:v>
                </c:pt>
                <c:pt idx="31">
                  <c:v>-2.9645161290322579</c:v>
                </c:pt>
                <c:pt idx="32">
                  <c:v>-3.71875</c:v>
                </c:pt>
                <c:pt idx="33">
                  <c:v>-3.3000000000000003</c:v>
                </c:pt>
                <c:pt idx="34">
                  <c:v>-1.6676470588235295</c:v>
                </c:pt>
                <c:pt idx="35">
                  <c:v>-2.5257142857142858</c:v>
                </c:pt>
                <c:pt idx="36">
                  <c:v>-3.6305555555555551</c:v>
                </c:pt>
                <c:pt idx="37">
                  <c:v>-1.7324324324324323</c:v>
                </c:pt>
                <c:pt idx="38">
                  <c:v>-2.0157894736842104</c:v>
                </c:pt>
                <c:pt idx="39">
                  <c:v>-1.8282051282051281</c:v>
                </c:pt>
                <c:pt idx="40">
                  <c:v>-1.6300000000000001</c:v>
                </c:pt>
                <c:pt idx="41">
                  <c:v>-2.4390243902439024</c:v>
                </c:pt>
                <c:pt idx="42">
                  <c:v>-1.5595238095238095</c:v>
                </c:pt>
                <c:pt idx="43">
                  <c:v>-1.2093023255813953</c:v>
                </c:pt>
                <c:pt idx="44">
                  <c:v>0.19090909090909089</c:v>
                </c:pt>
                <c:pt idx="45">
                  <c:v>-0.72222222222222221</c:v>
                </c:pt>
                <c:pt idx="46">
                  <c:v>-0.13260869565217395</c:v>
                </c:pt>
                <c:pt idx="47">
                  <c:v>-0.70425531914893624</c:v>
                </c:pt>
                <c:pt idx="48">
                  <c:v>-0.70416666666666672</c:v>
                </c:pt>
                <c:pt idx="49">
                  <c:v>-0.47142857142857153</c:v>
                </c:pt>
                <c:pt idx="50">
                  <c:v>-1.5860000000000003</c:v>
                </c:pt>
                <c:pt idx="51">
                  <c:v>-0.32549019607843155</c:v>
                </c:pt>
                <c:pt idx="52">
                  <c:v>0.35576923076923062</c:v>
                </c:pt>
                <c:pt idx="53">
                  <c:v>-7.7358490566037899E-2</c:v>
                </c:pt>
                <c:pt idx="54">
                  <c:v>0.24259259259259242</c:v>
                </c:pt>
                <c:pt idx="55">
                  <c:v>0.4909090909090908</c:v>
                </c:pt>
                <c:pt idx="56">
                  <c:v>-0.83035714285714302</c:v>
                </c:pt>
                <c:pt idx="57">
                  <c:v>-0.61578947368421066</c:v>
                </c:pt>
                <c:pt idx="58">
                  <c:v>-1.1603448275862072</c:v>
                </c:pt>
                <c:pt idx="59">
                  <c:v>-0.89322033898305098</c:v>
                </c:pt>
                <c:pt idx="60">
                  <c:v>0.22666666666666646</c:v>
                </c:pt>
                <c:pt idx="61">
                  <c:v>-0.41147540983606584</c:v>
                </c:pt>
                <c:pt idx="62">
                  <c:v>-0.44516129032258089</c:v>
                </c:pt>
                <c:pt idx="63">
                  <c:v>0.31746031746031722</c:v>
                </c:pt>
                <c:pt idx="64">
                  <c:v>0.9390624999999998</c:v>
                </c:pt>
                <c:pt idx="65">
                  <c:v>2.0246153846153847</c:v>
                </c:pt>
                <c:pt idx="66">
                  <c:v>1.3045454545454545</c:v>
                </c:pt>
                <c:pt idx="67">
                  <c:v>2.2999999999999998</c:v>
                </c:pt>
                <c:pt idx="68">
                  <c:v>2.2397058823529408</c:v>
                </c:pt>
                <c:pt idx="69">
                  <c:v>1.5391304347826085</c:v>
                </c:pt>
                <c:pt idx="70">
                  <c:v>2.097142857142857</c:v>
                </c:pt>
                <c:pt idx="71">
                  <c:v>1.2507042253521123</c:v>
                </c:pt>
                <c:pt idx="72">
                  <c:v>1.3652777777777776</c:v>
                </c:pt>
                <c:pt idx="73">
                  <c:v>2.1410958904109587</c:v>
                </c:pt>
                <c:pt idx="74">
                  <c:v>1.3418918918918916</c:v>
                </c:pt>
                <c:pt idx="75">
                  <c:v>1.9373333333333331</c:v>
                </c:pt>
                <c:pt idx="76">
                  <c:v>2.1486842105263158</c:v>
                </c:pt>
                <c:pt idx="77">
                  <c:v>1.1636363636363634</c:v>
                </c:pt>
                <c:pt idx="78">
                  <c:v>1.2089743589743587</c:v>
                </c:pt>
                <c:pt idx="79">
                  <c:v>1.4999999999999998</c:v>
                </c:pt>
                <c:pt idx="80">
                  <c:v>1.3712499999999999</c:v>
                </c:pt>
                <c:pt idx="81">
                  <c:v>2.1370370370370368</c:v>
                </c:pt>
                <c:pt idx="82">
                  <c:v>2.6109756097560974</c:v>
                </c:pt>
                <c:pt idx="83">
                  <c:v>2.5409638554216869</c:v>
                </c:pt>
                <c:pt idx="84">
                  <c:v>3.2750000000000004</c:v>
                </c:pt>
                <c:pt idx="85">
                  <c:v>2.507058823529412</c:v>
                </c:pt>
                <c:pt idx="86">
                  <c:v>1.8430232558139539</c:v>
                </c:pt>
                <c:pt idx="87">
                  <c:v>1.1781609195402303</c:v>
                </c:pt>
                <c:pt idx="88">
                  <c:v>0.52613636363636396</c:v>
                </c:pt>
                <c:pt idx="89">
                  <c:v>0.35955056179775313</c:v>
                </c:pt>
                <c:pt idx="90">
                  <c:v>0.23444444444444479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4556040756914222E-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れんたろう2!$D$1:$D$2</c:f>
              <c:strCache>
                <c:ptCount val="2"/>
                <c:pt idx="0">
                  <c:v>れんたろう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れんたろう2!$A$3:$A$93</c:f>
              <c:numCache>
                <c:formatCode>0\ "回"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れんたろう2!$D$3:$D$93</c:f>
              <c:numCache>
                <c:formatCode>0.00\ "位"</c:formatCode>
                <c:ptCount val="91"/>
                <c:pt idx="1">
                  <c:v>3</c:v>
                </c:pt>
                <c:pt idx="2">
                  <c:v>3</c:v>
                </c:pt>
                <c:pt idx="3">
                  <c:v>2.3333333333333335</c:v>
                </c:pt>
                <c:pt idx="4">
                  <c:v>2</c:v>
                </c:pt>
                <c:pt idx="5">
                  <c:v>2.2000000000000002</c:v>
                </c:pt>
                <c:pt idx="6">
                  <c:v>2</c:v>
                </c:pt>
                <c:pt idx="7">
                  <c:v>2.1428571428571428</c:v>
                </c:pt>
                <c:pt idx="8">
                  <c:v>2</c:v>
                </c:pt>
                <c:pt idx="9">
                  <c:v>2</c:v>
                </c:pt>
                <c:pt idx="10">
                  <c:v>2.1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1.9285714285714286</c:v>
                </c:pt>
                <c:pt idx="15">
                  <c:v>1.9333333333333333</c:v>
                </c:pt>
                <c:pt idx="16">
                  <c:v>2</c:v>
                </c:pt>
                <c:pt idx="17">
                  <c:v>2.0588235294117645</c:v>
                </c:pt>
                <c:pt idx="18">
                  <c:v>2.0555555555555554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2.0434782608695654</c:v>
                </c:pt>
                <c:pt idx="24">
                  <c:v>2.0416666666666665</c:v>
                </c:pt>
                <c:pt idx="25">
                  <c:v>2.04</c:v>
                </c:pt>
                <c:pt idx="26">
                  <c:v>2.0769230769230771</c:v>
                </c:pt>
                <c:pt idx="27">
                  <c:v>2.074074074074074</c:v>
                </c:pt>
                <c:pt idx="28">
                  <c:v>2.1071428571428572</c:v>
                </c:pt>
                <c:pt idx="29">
                  <c:v>2.103448275862069</c:v>
                </c:pt>
                <c:pt idx="30">
                  <c:v>2.1333333333333333</c:v>
                </c:pt>
                <c:pt idx="31">
                  <c:v>2.096774193548387</c:v>
                </c:pt>
                <c:pt idx="32">
                  <c:v>2.125</c:v>
                </c:pt>
                <c:pt idx="33">
                  <c:v>2.1212121212121211</c:v>
                </c:pt>
                <c:pt idx="34">
                  <c:v>2.0882352941176472</c:v>
                </c:pt>
                <c:pt idx="35">
                  <c:v>2.1142857142857143</c:v>
                </c:pt>
                <c:pt idx="36">
                  <c:v>2.1388888888888888</c:v>
                </c:pt>
                <c:pt idx="37">
                  <c:v>2.1081081081081079</c:v>
                </c:pt>
                <c:pt idx="38">
                  <c:v>2.1052631578947367</c:v>
                </c:pt>
                <c:pt idx="39">
                  <c:v>2.1025641025641026</c:v>
                </c:pt>
                <c:pt idx="40">
                  <c:v>2.1</c:v>
                </c:pt>
                <c:pt idx="41">
                  <c:v>2.1219512195121952</c:v>
                </c:pt>
                <c:pt idx="42">
                  <c:v>2.0952380952380953</c:v>
                </c:pt>
                <c:pt idx="43">
                  <c:v>2.0930232558139537</c:v>
                </c:pt>
                <c:pt idx="44">
                  <c:v>2.0681818181818183</c:v>
                </c:pt>
                <c:pt idx="45">
                  <c:v>2.088888888888889</c:v>
                </c:pt>
                <c:pt idx="46">
                  <c:v>2.0652173913043477</c:v>
                </c:pt>
                <c:pt idx="47">
                  <c:v>2.0851063829787235</c:v>
                </c:pt>
                <c:pt idx="48">
                  <c:v>2.0833333333333335</c:v>
                </c:pt>
                <c:pt idx="49">
                  <c:v>2.0816326530612246</c:v>
                </c:pt>
                <c:pt idx="50">
                  <c:v>2.1</c:v>
                </c:pt>
                <c:pt idx="51">
                  <c:v>2.0784313725490198</c:v>
                </c:pt>
                <c:pt idx="52">
                  <c:v>2.0576923076923075</c:v>
                </c:pt>
                <c:pt idx="53">
                  <c:v>2.0754716981132075</c:v>
                </c:pt>
                <c:pt idx="54">
                  <c:v>2.074074074074074</c:v>
                </c:pt>
                <c:pt idx="55">
                  <c:v>2.0727272727272728</c:v>
                </c:pt>
                <c:pt idx="56">
                  <c:v>2.0892857142857144</c:v>
                </c:pt>
                <c:pt idx="57">
                  <c:v>2.0877192982456139</c:v>
                </c:pt>
                <c:pt idx="58">
                  <c:v>2.103448275862069</c:v>
                </c:pt>
                <c:pt idx="59">
                  <c:v>2.1016949152542375</c:v>
                </c:pt>
                <c:pt idx="60">
                  <c:v>2.0833333333333335</c:v>
                </c:pt>
                <c:pt idx="61">
                  <c:v>2.098360655737705</c:v>
                </c:pt>
                <c:pt idx="62">
                  <c:v>2.096774193548387</c:v>
                </c:pt>
                <c:pt idx="63">
                  <c:v>2.0793650793650795</c:v>
                </c:pt>
                <c:pt idx="64">
                  <c:v>2.0625</c:v>
                </c:pt>
                <c:pt idx="65">
                  <c:v>2.046153846153846</c:v>
                </c:pt>
                <c:pt idx="66">
                  <c:v>2.0606060606060606</c:v>
                </c:pt>
                <c:pt idx="67">
                  <c:v>2.044776119402985</c:v>
                </c:pt>
                <c:pt idx="68">
                  <c:v>2.0441176470588234</c:v>
                </c:pt>
                <c:pt idx="69">
                  <c:v>2.0579710144927534</c:v>
                </c:pt>
                <c:pt idx="70">
                  <c:v>2.0428571428571427</c:v>
                </c:pt>
                <c:pt idx="71">
                  <c:v>2.056338028169014</c:v>
                </c:pt>
                <c:pt idx="72">
                  <c:v>2.0555555555555554</c:v>
                </c:pt>
                <c:pt idx="73">
                  <c:v>2.0410958904109591</c:v>
                </c:pt>
                <c:pt idx="74">
                  <c:v>2.0540540540540539</c:v>
                </c:pt>
                <c:pt idx="75">
                  <c:v>2.04</c:v>
                </c:pt>
                <c:pt idx="76">
                  <c:v>2.0394736842105261</c:v>
                </c:pt>
                <c:pt idx="77">
                  <c:v>2.051948051948052</c:v>
                </c:pt>
                <c:pt idx="78">
                  <c:v>2.0512820512820511</c:v>
                </c:pt>
                <c:pt idx="79">
                  <c:v>2.037974683544304</c:v>
                </c:pt>
                <c:pt idx="80">
                  <c:v>2.0375000000000001</c:v>
                </c:pt>
                <c:pt idx="81">
                  <c:v>2.0246913580246915</c:v>
                </c:pt>
                <c:pt idx="82">
                  <c:v>2.0121951219512195</c:v>
                </c:pt>
                <c:pt idx="83">
                  <c:v>2.0120481927710845</c:v>
                </c:pt>
                <c:pt idx="84">
                  <c:v>2</c:v>
                </c:pt>
                <c:pt idx="85">
                  <c:v>2.0117647058823529</c:v>
                </c:pt>
                <c:pt idx="86">
                  <c:v>2.0232558139534884</c:v>
                </c:pt>
                <c:pt idx="87">
                  <c:v>2.0344827586206895</c:v>
                </c:pt>
                <c:pt idx="88">
                  <c:v>2.0454545454545454</c:v>
                </c:pt>
                <c:pt idx="89">
                  <c:v>2.0449438202247192</c:v>
                </c:pt>
                <c:pt idx="90">
                  <c:v>2.0444444444444443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56331877729259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れんたろう2!$E$1:$E$2</c:f>
              <c:strCache>
                <c:ptCount val="2"/>
                <c:pt idx="0">
                  <c:v>れんたろう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れんたろう2!$A$3:$A$93</c:f>
              <c:numCache>
                <c:formatCode>0\ "回"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れんたろう2!$E$3:$E$93</c:f>
              <c:numCache>
                <c:formatCode>0.0%</c:formatCode>
                <c:ptCount val="91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0.42857142857142855</c:v>
                </c:pt>
                <c:pt idx="8">
                  <c:v>0.5</c:v>
                </c:pt>
                <c:pt idx="9">
                  <c:v>0.44444444444444442</c:v>
                </c:pt>
                <c:pt idx="10">
                  <c:v>0.4</c:v>
                </c:pt>
                <c:pt idx="11">
                  <c:v>0.45454545454545453</c:v>
                </c:pt>
                <c:pt idx="12">
                  <c:v>0.41666666666666669</c:v>
                </c:pt>
                <c:pt idx="13">
                  <c:v>0.38461538461538464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0.33333333333333331</c:v>
                </c:pt>
                <c:pt idx="19">
                  <c:v>0.36842105263157893</c:v>
                </c:pt>
                <c:pt idx="20">
                  <c:v>0.35</c:v>
                </c:pt>
                <c:pt idx="21">
                  <c:v>0.33333333333333331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0.29166666666666669</c:v>
                </c:pt>
                <c:pt idx="25">
                  <c:v>0.28000000000000003</c:v>
                </c:pt>
                <c:pt idx="26">
                  <c:v>0.26923076923076922</c:v>
                </c:pt>
                <c:pt idx="27">
                  <c:v>0.25925925925925924</c:v>
                </c:pt>
                <c:pt idx="28">
                  <c:v>0.25</c:v>
                </c:pt>
                <c:pt idx="29">
                  <c:v>0.2413793103448276</c:v>
                </c:pt>
                <c:pt idx="30">
                  <c:v>0.23333333333333334</c:v>
                </c:pt>
                <c:pt idx="31">
                  <c:v>0.25806451612903225</c:v>
                </c:pt>
                <c:pt idx="32">
                  <c:v>0.25</c:v>
                </c:pt>
                <c:pt idx="33">
                  <c:v>0.24242424242424243</c:v>
                </c:pt>
                <c:pt idx="34">
                  <c:v>0.26470588235294118</c:v>
                </c:pt>
                <c:pt idx="35">
                  <c:v>0.25714285714285712</c:v>
                </c:pt>
                <c:pt idx="36">
                  <c:v>0.25</c:v>
                </c:pt>
                <c:pt idx="37">
                  <c:v>0.27027027027027029</c:v>
                </c:pt>
                <c:pt idx="38">
                  <c:v>0.26315789473684209</c:v>
                </c:pt>
                <c:pt idx="39">
                  <c:v>0.25641025641025639</c:v>
                </c:pt>
                <c:pt idx="40">
                  <c:v>0.25</c:v>
                </c:pt>
                <c:pt idx="41">
                  <c:v>0.24390243902439024</c:v>
                </c:pt>
                <c:pt idx="42">
                  <c:v>0.26190476190476192</c:v>
                </c:pt>
                <c:pt idx="43">
                  <c:v>0.2558139534883721</c:v>
                </c:pt>
                <c:pt idx="44">
                  <c:v>0.27272727272727271</c:v>
                </c:pt>
                <c:pt idx="45">
                  <c:v>0.26666666666666666</c:v>
                </c:pt>
                <c:pt idx="46">
                  <c:v>0.28260869565217389</c:v>
                </c:pt>
                <c:pt idx="47">
                  <c:v>0.27659574468085107</c:v>
                </c:pt>
                <c:pt idx="48">
                  <c:v>0.27083333333333331</c:v>
                </c:pt>
                <c:pt idx="49">
                  <c:v>0.26530612244897961</c:v>
                </c:pt>
                <c:pt idx="50">
                  <c:v>0.26</c:v>
                </c:pt>
                <c:pt idx="51">
                  <c:v>0.27450980392156865</c:v>
                </c:pt>
                <c:pt idx="52">
                  <c:v>0.28846153846153844</c:v>
                </c:pt>
                <c:pt idx="53">
                  <c:v>0.28301886792452829</c:v>
                </c:pt>
                <c:pt idx="54">
                  <c:v>0.27777777777777779</c:v>
                </c:pt>
                <c:pt idx="55">
                  <c:v>0.27272727272727271</c:v>
                </c:pt>
                <c:pt idx="56">
                  <c:v>0.26785714285714285</c:v>
                </c:pt>
                <c:pt idx="57">
                  <c:v>0.26315789473684209</c:v>
                </c:pt>
                <c:pt idx="58">
                  <c:v>0.25862068965517243</c:v>
                </c:pt>
                <c:pt idx="59">
                  <c:v>0.25423728813559321</c:v>
                </c:pt>
                <c:pt idx="60">
                  <c:v>0.26666666666666666</c:v>
                </c:pt>
                <c:pt idx="61">
                  <c:v>0.26229508196721313</c:v>
                </c:pt>
                <c:pt idx="62">
                  <c:v>0.25806451612903225</c:v>
                </c:pt>
                <c:pt idx="63">
                  <c:v>0.26984126984126983</c:v>
                </c:pt>
                <c:pt idx="64">
                  <c:v>0.28125</c:v>
                </c:pt>
                <c:pt idx="65">
                  <c:v>0.29230769230769232</c:v>
                </c:pt>
                <c:pt idx="66">
                  <c:v>0.2878787878787879</c:v>
                </c:pt>
                <c:pt idx="67">
                  <c:v>0.29850746268656714</c:v>
                </c:pt>
                <c:pt idx="68">
                  <c:v>0.29411764705882354</c:v>
                </c:pt>
                <c:pt idx="69">
                  <c:v>0.28985507246376813</c:v>
                </c:pt>
                <c:pt idx="70">
                  <c:v>0.3</c:v>
                </c:pt>
                <c:pt idx="71">
                  <c:v>0.29577464788732394</c:v>
                </c:pt>
                <c:pt idx="72">
                  <c:v>0.29166666666666669</c:v>
                </c:pt>
                <c:pt idx="73">
                  <c:v>0.30136986301369861</c:v>
                </c:pt>
                <c:pt idx="74">
                  <c:v>0.29729729729729731</c:v>
                </c:pt>
                <c:pt idx="75">
                  <c:v>0.30666666666666664</c:v>
                </c:pt>
                <c:pt idx="76">
                  <c:v>0.30263157894736842</c:v>
                </c:pt>
                <c:pt idx="77">
                  <c:v>0.29870129870129869</c:v>
                </c:pt>
                <c:pt idx="78">
                  <c:v>0.29487179487179488</c:v>
                </c:pt>
                <c:pt idx="79">
                  <c:v>0.30379746835443039</c:v>
                </c:pt>
                <c:pt idx="80">
                  <c:v>0.3</c:v>
                </c:pt>
                <c:pt idx="81">
                  <c:v>0.30864197530864196</c:v>
                </c:pt>
                <c:pt idx="82">
                  <c:v>0.31707317073170732</c:v>
                </c:pt>
                <c:pt idx="83">
                  <c:v>0.31325301204819278</c:v>
                </c:pt>
                <c:pt idx="84">
                  <c:v>0.32142857142857145</c:v>
                </c:pt>
                <c:pt idx="85">
                  <c:v>0.31764705882352939</c:v>
                </c:pt>
                <c:pt idx="86">
                  <c:v>0.31395348837209303</c:v>
                </c:pt>
                <c:pt idx="87">
                  <c:v>0.31034482758620691</c:v>
                </c:pt>
                <c:pt idx="88">
                  <c:v>0.30681818181818182</c:v>
                </c:pt>
                <c:pt idx="89">
                  <c:v>0.30337078651685395</c:v>
                </c:pt>
                <c:pt idx="90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6244541484716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れんたろう2!$F$1:$F$2</c:f>
              <c:strCache>
                <c:ptCount val="2"/>
                <c:pt idx="0">
                  <c:v>れんたろう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れんたろう2!$A$3:$A$93</c:f>
              <c:numCache>
                <c:formatCode>0\ "回"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れんたろう2!$F$3:$F$93</c:f>
              <c:numCache>
                <c:formatCode>0.0%</c:formatCode>
                <c:ptCount val="91"/>
                <c:pt idx="1">
                  <c:v>1</c:v>
                </c:pt>
                <c:pt idx="2">
                  <c:v>1</c:v>
                </c:pt>
                <c:pt idx="3">
                  <c:v>0.66666666666666663</c:v>
                </c:pt>
                <c:pt idx="4">
                  <c:v>0.5</c:v>
                </c:pt>
                <c:pt idx="5">
                  <c:v>0.6</c:v>
                </c:pt>
                <c:pt idx="6">
                  <c:v>0.5</c:v>
                </c:pt>
                <c:pt idx="7">
                  <c:v>0.5714285714285714</c:v>
                </c:pt>
                <c:pt idx="8">
                  <c:v>0.5</c:v>
                </c:pt>
                <c:pt idx="9">
                  <c:v>0.44444444444444442</c:v>
                </c:pt>
                <c:pt idx="10">
                  <c:v>0.5</c:v>
                </c:pt>
                <c:pt idx="11">
                  <c:v>0.45454545454545453</c:v>
                </c:pt>
                <c:pt idx="12">
                  <c:v>0.41666666666666669</c:v>
                </c:pt>
                <c:pt idx="13">
                  <c:v>0.38461538461538464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0.36842105263157893</c:v>
                </c:pt>
                <c:pt idx="20">
                  <c:v>0.35</c:v>
                </c:pt>
                <c:pt idx="21">
                  <c:v>0.33333333333333331</c:v>
                </c:pt>
                <c:pt idx="22">
                  <c:v>0.31818181818181818</c:v>
                </c:pt>
                <c:pt idx="23">
                  <c:v>0.34782608695652173</c:v>
                </c:pt>
                <c:pt idx="24">
                  <c:v>0.33333333333333331</c:v>
                </c:pt>
                <c:pt idx="25">
                  <c:v>0.32</c:v>
                </c:pt>
                <c:pt idx="26">
                  <c:v>0.34615384615384615</c:v>
                </c:pt>
                <c:pt idx="27">
                  <c:v>0.33333333333333331</c:v>
                </c:pt>
                <c:pt idx="28">
                  <c:v>0.35714285714285715</c:v>
                </c:pt>
                <c:pt idx="29">
                  <c:v>0.34482758620689657</c:v>
                </c:pt>
                <c:pt idx="30">
                  <c:v>0.36666666666666664</c:v>
                </c:pt>
                <c:pt idx="31">
                  <c:v>0.35483870967741937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0.35294117647058826</c:v>
                </c:pt>
                <c:pt idx="35">
                  <c:v>0.37142857142857144</c:v>
                </c:pt>
                <c:pt idx="36">
                  <c:v>0.3888888888888889</c:v>
                </c:pt>
                <c:pt idx="37">
                  <c:v>0.3783783783783784</c:v>
                </c:pt>
                <c:pt idx="38">
                  <c:v>0.36842105263157893</c:v>
                </c:pt>
                <c:pt idx="39">
                  <c:v>0.35897435897435898</c:v>
                </c:pt>
                <c:pt idx="40">
                  <c:v>0.35</c:v>
                </c:pt>
                <c:pt idx="41">
                  <c:v>0.36585365853658536</c:v>
                </c:pt>
                <c:pt idx="42">
                  <c:v>0.35714285714285715</c:v>
                </c:pt>
                <c:pt idx="43">
                  <c:v>0.34883720930232559</c:v>
                </c:pt>
                <c:pt idx="44">
                  <c:v>0.34090909090909088</c:v>
                </c:pt>
                <c:pt idx="45">
                  <c:v>0.35555555555555557</c:v>
                </c:pt>
                <c:pt idx="46">
                  <c:v>0.34782608695652173</c:v>
                </c:pt>
                <c:pt idx="47">
                  <c:v>0.36170212765957449</c:v>
                </c:pt>
                <c:pt idx="48">
                  <c:v>0.35416666666666669</c:v>
                </c:pt>
                <c:pt idx="49">
                  <c:v>0.34693877551020408</c:v>
                </c:pt>
                <c:pt idx="50">
                  <c:v>0.36</c:v>
                </c:pt>
                <c:pt idx="51">
                  <c:v>0.35294117647058826</c:v>
                </c:pt>
                <c:pt idx="52">
                  <c:v>0.34615384615384615</c:v>
                </c:pt>
                <c:pt idx="53">
                  <c:v>0.35849056603773582</c:v>
                </c:pt>
                <c:pt idx="54">
                  <c:v>0.35185185185185186</c:v>
                </c:pt>
                <c:pt idx="55">
                  <c:v>0.34545454545454546</c:v>
                </c:pt>
                <c:pt idx="56">
                  <c:v>0.35714285714285715</c:v>
                </c:pt>
                <c:pt idx="57">
                  <c:v>0.35087719298245612</c:v>
                </c:pt>
                <c:pt idx="58">
                  <c:v>0.36206896551724138</c:v>
                </c:pt>
                <c:pt idx="59">
                  <c:v>0.3559322033898305</c:v>
                </c:pt>
                <c:pt idx="60">
                  <c:v>0.35</c:v>
                </c:pt>
                <c:pt idx="61">
                  <c:v>0.36065573770491804</c:v>
                </c:pt>
                <c:pt idx="62">
                  <c:v>0.35483870967741937</c:v>
                </c:pt>
                <c:pt idx="63">
                  <c:v>0.34920634920634919</c:v>
                </c:pt>
                <c:pt idx="64">
                  <c:v>0.34375</c:v>
                </c:pt>
                <c:pt idx="65">
                  <c:v>0.33846153846153848</c:v>
                </c:pt>
                <c:pt idx="66">
                  <c:v>0.34848484848484851</c:v>
                </c:pt>
                <c:pt idx="67">
                  <c:v>0.34328358208955223</c:v>
                </c:pt>
                <c:pt idx="68">
                  <c:v>0.33823529411764708</c:v>
                </c:pt>
                <c:pt idx="69">
                  <c:v>0.34782608695652173</c:v>
                </c:pt>
                <c:pt idx="70">
                  <c:v>0.34285714285714286</c:v>
                </c:pt>
                <c:pt idx="71">
                  <c:v>0.352112676056338</c:v>
                </c:pt>
                <c:pt idx="72">
                  <c:v>0.34722222222222221</c:v>
                </c:pt>
                <c:pt idx="73">
                  <c:v>0.34246575342465752</c:v>
                </c:pt>
                <c:pt idx="74">
                  <c:v>0.35135135135135137</c:v>
                </c:pt>
                <c:pt idx="75">
                  <c:v>0.34666666666666668</c:v>
                </c:pt>
                <c:pt idx="76">
                  <c:v>0.34210526315789475</c:v>
                </c:pt>
                <c:pt idx="77">
                  <c:v>0.35064935064935066</c:v>
                </c:pt>
                <c:pt idx="78">
                  <c:v>0.34615384615384615</c:v>
                </c:pt>
                <c:pt idx="79">
                  <c:v>0.34177215189873417</c:v>
                </c:pt>
                <c:pt idx="80">
                  <c:v>0.33750000000000002</c:v>
                </c:pt>
                <c:pt idx="81">
                  <c:v>0.33333333333333331</c:v>
                </c:pt>
                <c:pt idx="82">
                  <c:v>0.32926829268292684</c:v>
                </c:pt>
                <c:pt idx="83">
                  <c:v>0.3253012048192771</c:v>
                </c:pt>
                <c:pt idx="84">
                  <c:v>0.32142857142857145</c:v>
                </c:pt>
                <c:pt idx="85">
                  <c:v>0.32941176470588235</c:v>
                </c:pt>
                <c:pt idx="86">
                  <c:v>0.33720930232558138</c:v>
                </c:pt>
                <c:pt idx="87">
                  <c:v>0.34482758620689657</c:v>
                </c:pt>
                <c:pt idx="88">
                  <c:v>0.35227272727272729</c:v>
                </c:pt>
                <c:pt idx="89">
                  <c:v>0.34831460674157305</c:v>
                </c:pt>
                <c:pt idx="90">
                  <c:v>0.34444444444444444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1877729257641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れんたろう2!$G$1:$G$2</c:f>
              <c:strCache>
                <c:ptCount val="2"/>
                <c:pt idx="0">
                  <c:v>れんたろう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れんたろう2!$A$3:$A$93</c:f>
              <c:numCache>
                <c:formatCode>0\ "回"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れんたろう2!$G$3:$G$93</c:f>
              <c:numCache>
                <c:formatCode>0.0%</c:formatCode>
                <c:ptCount val="91"/>
                <c:pt idx="1">
                  <c:v>0.14285714285714285</c:v>
                </c:pt>
                <c:pt idx="2">
                  <c:v>0.125</c:v>
                </c:pt>
                <c:pt idx="3">
                  <c:v>0.21739130434782608</c:v>
                </c:pt>
                <c:pt idx="4">
                  <c:v>0.22222222222222221</c:v>
                </c:pt>
                <c:pt idx="5">
                  <c:v>0.24324324324324326</c:v>
                </c:pt>
                <c:pt idx="6">
                  <c:v>0.26530612244897961</c:v>
                </c:pt>
                <c:pt idx="7">
                  <c:v>0.24561403508771928</c:v>
                </c:pt>
                <c:pt idx="8">
                  <c:v>0.27536231884057971</c:v>
                </c:pt>
                <c:pt idx="9">
                  <c:v>0.27272727272727271</c:v>
                </c:pt>
                <c:pt idx="10">
                  <c:v>0.25882352941176473</c:v>
                </c:pt>
                <c:pt idx="11">
                  <c:v>0.25263157894736843</c:v>
                </c:pt>
                <c:pt idx="12">
                  <c:v>0.22857142857142856</c:v>
                </c:pt>
                <c:pt idx="13">
                  <c:v>0.22033898305084745</c:v>
                </c:pt>
                <c:pt idx="14">
                  <c:v>0.23387096774193547</c:v>
                </c:pt>
                <c:pt idx="15">
                  <c:v>0.23255813953488372</c:v>
                </c:pt>
                <c:pt idx="16">
                  <c:v>0.22627737226277372</c:v>
                </c:pt>
                <c:pt idx="17">
                  <c:v>0.22068965517241379</c:v>
                </c:pt>
                <c:pt idx="18">
                  <c:v>0.23717948717948717</c:v>
                </c:pt>
                <c:pt idx="19">
                  <c:v>0.26035502958579881</c:v>
                </c:pt>
                <c:pt idx="20">
                  <c:v>0.25698324022346369</c:v>
                </c:pt>
                <c:pt idx="21">
                  <c:v>0.26063829787234044</c:v>
                </c:pt>
                <c:pt idx="22">
                  <c:v>0.25</c:v>
                </c:pt>
                <c:pt idx="23">
                  <c:v>0.2413793103448276</c:v>
                </c:pt>
                <c:pt idx="24">
                  <c:v>0.24285714285714285</c:v>
                </c:pt>
                <c:pt idx="25">
                  <c:v>0.24311926605504589</c:v>
                </c:pt>
                <c:pt idx="26">
                  <c:v>0.24229074889867841</c:v>
                </c:pt>
                <c:pt idx="27">
                  <c:v>0.24166666666666667</c:v>
                </c:pt>
                <c:pt idx="28">
                  <c:v>0.23577235772357724</c:v>
                </c:pt>
                <c:pt idx="29">
                  <c:v>0.23412698412698413</c:v>
                </c:pt>
                <c:pt idx="30">
                  <c:v>0.23574144486692014</c:v>
                </c:pt>
                <c:pt idx="31">
                  <c:v>0.23985239852398524</c:v>
                </c:pt>
                <c:pt idx="32">
                  <c:v>0.23843416370106763</c:v>
                </c:pt>
                <c:pt idx="33">
                  <c:v>0.24305555555555555</c:v>
                </c:pt>
                <c:pt idx="34">
                  <c:v>0.24914675767918087</c:v>
                </c:pt>
                <c:pt idx="35">
                  <c:v>0.24749163879598662</c:v>
                </c:pt>
                <c:pt idx="36">
                  <c:v>0.24104234527687296</c:v>
                </c:pt>
                <c:pt idx="37">
                  <c:v>0.24281150159744408</c:v>
                </c:pt>
                <c:pt idx="38">
                  <c:v>0.24374999999999999</c:v>
                </c:pt>
                <c:pt idx="39">
                  <c:v>0.24770642201834864</c:v>
                </c:pt>
                <c:pt idx="40">
                  <c:v>0.24850299401197604</c:v>
                </c:pt>
                <c:pt idx="41">
                  <c:v>0.24561403508771928</c:v>
                </c:pt>
                <c:pt idx="42">
                  <c:v>0.24645892351274787</c:v>
                </c:pt>
                <c:pt idx="43">
                  <c:v>0.24929971988795518</c:v>
                </c:pt>
                <c:pt idx="44">
                  <c:v>0.2541436464088398</c:v>
                </c:pt>
                <c:pt idx="45">
                  <c:v>0.25067385444743934</c:v>
                </c:pt>
                <c:pt idx="46">
                  <c:v>0.24934383202099739</c:v>
                </c:pt>
                <c:pt idx="47">
                  <c:v>0.25125628140703515</c:v>
                </c:pt>
                <c:pt idx="48">
                  <c:v>0.25247524752475248</c:v>
                </c:pt>
                <c:pt idx="49">
                  <c:v>0.25423728813559321</c:v>
                </c:pt>
                <c:pt idx="50">
                  <c:v>0.24882629107981222</c:v>
                </c:pt>
                <c:pt idx="51">
                  <c:v>0.25231481481481483</c:v>
                </c:pt>
                <c:pt idx="52">
                  <c:v>0.25623582766439912</c:v>
                </c:pt>
                <c:pt idx="53">
                  <c:v>0.25389755011135856</c:v>
                </c:pt>
                <c:pt idx="54">
                  <c:v>0.25934065934065936</c:v>
                </c:pt>
                <c:pt idx="55">
                  <c:v>0.26236559139784948</c:v>
                </c:pt>
                <c:pt idx="56">
                  <c:v>0.26012793176972282</c:v>
                </c:pt>
                <c:pt idx="57">
                  <c:v>0.26160337552742619</c:v>
                </c:pt>
                <c:pt idx="58">
                  <c:v>0.25933609958506226</c:v>
                </c:pt>
                <c:pt idx="59">
                  <c:v>0.25971370143149286</c:v>
                </c:pt>
                <c:pt idx="60">
                  <c:v>0.26534653465346536</c:v>
                </c:pt>
                <c:pt idx="61">
                  <c:v>0.26848249027237353</c:v>
                </c:pt>
                <c:pt idx="62">
                  <c:v>0.26782273603082851</c:v>
                </c:pt>
                <c:pt idx="63">
                  <c:v>0.27221172022684309</c:v>
                </c:pt>
                <c:pt idx="64">
                  <c:v>0.27339449541284405</c:v>
                </c:pt>
                <c:pt idx="65">
                  <c:v>0.27617328519855594</c:v>
                </c:pt>
                <c:pt idx="66">
                  <c:v>0.27886323268206037</c:v>
                </c:pt>
                <c:pt idx="67">
                  <c:v>0.28021015761821366</c:v>
                </c:pt>
                <c:pt idx="68">
                  <c:v>0.2795138888888889</c:v>
                </c:pt>
                <c:pt idx="69">
                  <c:v>0.27796610169491526</c:v>
                </c:pt>
                <c:pt idx="70">
                  <c:v>0.2797319932998325</c:v>
                </c:pt>
                <c:pt idx="71">
                  <c:v>0.27787021630615638</c:v>
                </c:pt>
                <c:pt idx="72">
                  <c:v>0.27941176470588236</c:v>
                </c:pt>
                <c:pt idx="73">
                  <c:v>0.27993527508090615</c:v>
                </c:pt>
                <c:pt idx="74">
                  <c:v>0.27858293075684382</c:v>
                </c:pt>
                <c:pt idx="75">
                  <c:v>0.28298887122416533</c:v>
                </c:pt>
                <c:pt idx="76">
                  <c:v>0.28322784810126583</c:v>
                </c:pt>
                <c:pt idx="77">
                  <c:v>0.28081123244929795</c:v>
                </c:pt>
                <c:pt idx="78">
                  <c:v>0.28240740740740738</c:v>
                </c:pt>
                <c:pt idx="79">
                  <c:v>0.28376327769347498</c:v>
                </c:pt>
                <c:pt idx="80">
                  <c:v>0.28313253012048195</c:v>
                </c:pt>
                <c:pt idx="81">
                  <c:v>0.28464977645305511</c:v>
                </c:pt>
                <c:pt idx="82">
                  <c:v>0.28592375366568917</c:v>
                </c:pt>
                <c:pt idx="83">
                  <c:v>0.28592162554426703</c:v>
                </c:pt>
                <c:pt idx="84">
                  <c:v>0.28898426323319026</c:v>
                </c:pt>
                <c:pt idx="85">
                  <c:v>0.2867231638418079</c:v>
                </c:pt>
                <c:pt idx="86">
                  <c:v>0.28491620111731841</c:v>
                </c:pt>
                <c:pt idx="87">
                  <c:v>0.28254847645429365</c:v>
                </c:pt>
                <c:pt idx="88">
                  <c:v>0.28159340659340659</c:v>
                </c:pt>
                <c:pt idx="89">
                  <c:v>0.28360215053763443</c:v>
                </c:pt>
                <c:pt idx="90">
                  <c:v>0.28362183754993342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8735511064278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れんたろう2!$H$1:$H$2</c:f>
              <c:strCache>
                <c:ptCount val="2"/>
                <c:pt idx="0">
                  <c:v>れんたろう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れんたろう2!$A$3:$A$93</c:f>
              <c:numCache>
                <c:formatCode>0\ "回"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れんたろう2!$H$3:$H$93</c:f>
              <c:numCache>
                <c:formatCode>0.0%</c:formatCode>
                <c:ptCount val="91"/>
                <c:pt idx="1">
                  <c:v>0.5714285714285714</c:v>
                </c:pt>
                <c:pt idx="2">
                  <c:v>0.4375</c:v>
                </c:pt>
                <c:pt idx="3">
                  <c:v>0.34782608695652173</c:v>
                </c:pt>
                <c:pt idx="4">
                  <c:v>0.33333333333333331</c:v>
                </c:pt>
                <c:pt idx="5">
                  <c:v>0.32432432432432434</c:v>
                </c:pt>
                <c:pt idx="6">
                  <c:v>0.26530612244897961</c:v>
                </c:pt>
                <c:pt idx="7">
                  <c:v>0.26315789473684209</c:v>
                </c:pt>
                <c:pt idx="8">
                  <c:v>0.21739130434782608</c:v>
                </c:pt>
                <c:pt idx="9">
                  <c:v>0.23376623376623376</c:v>
                </c:pt>
                <c:pt idx="10">
                  <c:v>0.24705882352941178</c:v>
                </c:pt>
                <c:pt idx="11">
                  <c:v>0.23157894736842105</c:v>
                </c:pt>
                <c:pt idx="12">
                  <c:v>0.20952380952380953</c:v>
                </c:pt>
                <c:pt idx="13">
                  <c:v>0.20338983050847459</c:v>
                </c:pt>
                <c:pt idx="14">
                  <c:v>0.19354838709677419</c:v>
                </c:pt>
                <c:pt idx="15">
                  <c:v>0.18604651162790697</c:v>
                </c:pt>
                <c:pt idx="16">
                  <c:v>0.18248175182481752</c:v>
                </c:pt>
                <c:pt idx="17">
                  <c:v>0.1793103448275862</c:v>
                </c:pt>
                <c:pt idx="18">
                  <c:v>0.17948717948717949</c:v>
                </c:pt>
                <c:pt idx="19">
                  <c:v>0.17751479289940827</c:v>
                </c:pt>
                <c:pt idx="20">
                  <c:v>0.17318435754189945</c:v>
                </c:pt>
                <c:pt idx="21">
                  <c:v>0.16489361702127658</c:v>
                </c:pt>
                <c:pt idx="22">
                  <c:v>0.15816326530612246</c:v>
                </c:pt>
                <c:pt idx="23">
                  <c:v>0.1625615763546798</c:v>
                </c:pt>
                <c:pt idx="24">
                  <c:v>0.16666666666666666</c:v>
                </c:pt>
                <c:pt idx="25">
                  <c:v>0.16513761467889909</c:v>
                </c:pt>
                <c:pt idx="26">
                  <c:v>0.16299559471365638</c:v>
                </c:pt>
                <c:pt idx="27">
                  <c:v>0.16666666666666666</c:v>
                </c:pt>
                <c:pt idx="28">
                  <c:v>0.17073170731707318</c:v>
                </c:pt>
                <c:pt idx="29">
                  <c:v>0.17460317460317459</c:v>
                </c:pt>
                <c:pt idx="30">
                  <c:v>0.17110266159695817</c:v>
                </c:pt>
                <c:pt idx="31">
                  <c:v>0.16974169741697417</c:v>
                </c:pt>
                <c:pt idx="32">
                  <c:v>0.16725978647686832</c:v>
                </c:pt>
                <c:pt idx="33">
                  <c:v>0.16666666666666666</c:v>
                </c:pt>
                <c:pt idx="34">
                  <c:v>0.16382252559726962</c:v>
                </c:pt>
                <c:pt idx="35">
                  <c:v>0.16053511705685619</c:v>
                </c:pt>
                <c:pt idx="36">
                  <c:v>0.15960912052117263</c:v>
                </c:pt>
                <c:pt idx="37">
                  <c:v>0.15654952076677317</c:v>
                </c:pt>
                <c:pt idx="38">
                  <c:v>0.15937499999999999</c:v>
                </c:pt>
                <c:pt idx="39">
                  <c:v>0.15596330275229359</c:v>
                </c:pt>
                <c:pt idx="40">
                  <c:v>0.15269461077844312</c:v>
                </c:pt>
                <c:pt idx="41">
                  <c:v>0.15497076023391812</c:v>
                </c:pt>
                <c:pt idx="42">
                  <c:v>0.15297450424929179</c:v>
                </c:pt>
                <c:pt idx="43">
                  <c:v>0.15126050420168066</c:v>
                </c:pt>
                <c:pt idx="44">
                  <c:v>0.15193370165745856</c:v>
                </c:pt>
                <c:pt idx="45">
                  <c:v>0.15633423180592992</c:v>
                </c:pt>
                <c:pt idx="46">
                  <c:v>0.15748031496062992</c:v>
                </c:pt>
                <c:pt idx="47">
                  <c:v>0.15577889447236182</c:v>
                </c:pt>
                <c:pt idx="48">
                  <c:v>0.15346534653465346</c:v>
                </c:pt>
                <c:pt idx="49">
                  <c:v>0.15254237288135594</c:v>
                </c:pt>
                <c:pt idx="50">
                  <c:v>0.15258215962441316</c:v>
                </c:pt>
                <c:pt idx="51">
                  <c:v>0.15509259259259259</c:v>
                </c:pt>
                <c:pt idx="52">
                  <c:v>0.15873015873015872</c:v>
                </c:pt>
                <c:pt idx="53">
                  <c:v>0.15812917594654788</c:v>
                </c:pt>
                <c:pt idx="54">
                  <c:v>0.16043956043956045</c:v>
                </c:pt>
                <c:pt idx="55">
                  <c:v>0.15698924731182795</c:v>
                </c:pt>
                <c:pt idx="56">
                  <c:v>0.15991471215351813</c:v>
                </c:pt>
                <c:pt idx="57">
                  <c:v>0.16033755274261605</c:v>
                </c:pt>
                <c:pt idx="58">
                  <c:v>0.15767634854771784</c:v>
                </c:pt>
                <c:pt idx="59">
                  <c:v>0.15746421267893659</c:v>
                </c:pt>
                <c:pt idx="60">
                  <c:v>0.15445544554455445</c:v>
                </c:pt>
                <c:pt idx="61">
                  <c:v>0.15953307392996108</c:v>
                </c:pt>
                <c:pt idx="62">
                  <c:v>0.15799614643545279</c:v>
                </c:pt>
                <c:pt idx="63">
                  <c:v>0.16068052930056712</c:v>
                </c:pt>
                <c:pt idx="64">
                  <c:v>0.16146788990825689</c:v>
                </c:pt>
                <c:pt idx="65">
                  <c:v>0.16064981949458484</c:v>
                </c:pt>
                <c:pt idx="66">
                  <c:v>0.16341030195381884</c:v>
                </c:pt>
                <c:pt idx="67">
                  <c:v>0.16462346760070051</c:v>
                </c:pt>
                <c:pt idx="68">
                  <c:v>0.16493055555555555</c:v>
                </c:pt>
                <c:pt idx="69">
                  <c:v>0.16271186440677965</c:v>
                </c:pt>
                <c:pt idx="70">
                  <c:v>0.1624790619765494</c:v>
                </c:pt>
                <c:pt idx="71">
                  <c:v>0.16638935108153077</c:v>
                </c:pt>
                <c:pt idx="72">
                  <c:v>0.16666666666666666</c:v>
                </c:pt>
                <c:pt idx="73">
                  <c:v>0.16828478964401294</c:v>
                </c:pt>
                <c:pt idx="74">
                  <c:v>0.17230273752012881</c:v>
                </c:pt>
                <c:pt idx="75">
                  <c:v>0.17170111287758347</c:v>
                </c:pt>
                <c:pt idx="76">
                  <c:v>0.17088607594936708</c:v>
                </c:pt>
                <c:pt idx="77">
                  <c:v>0.17628705148205928</c:v>
                </c:pt>
                <c:pt idx="78">
                  <c:v>0.17592592592592593</c:v>
                </c:pt>
                <c:pt idx="79">
                  <c:v>0.17754172989377845</c:v>
                </c:pt>
                <c:pt idx="80">
                  <c:v>0.17771084337349397</c:v>
                </c:pt>
                <c:pt idx="81">
                  <c:v>0.17585692995529062</c:v>
                </c:pt>
                <c:pt idx="82">
                  <c:v>0.1744868035190616</c:v>
                </c:pt>
                <c:pt idx="83">
                  <c:v>0.17271407837445574</c:v>
                </c:pt>
                <c:pt idx="84">
                  <c:v>0.17024320457796852</c:v>
                </c:pt>
                <c:pt idx="85">
                  <c:v>0.16949152542372881</c:v>
                </c:pt>
                <c:pt idx="86">
                  <c:v>0.1717877094972067</c:v>
                </c:pt>
                <c:pt idx="87">
                  <c:v>0.17313019390581719</c:v>
                </c:pt>
                <c:pt idx="88">
                  <c:v>0.17445054945054944</c:v>
                </c:pt>
                <c:pt idx="89">
                  <c:v>0.17473118279569894</c:v>
                </c:pt>
                <c:pt idx="90">
                  <c:v>0.17709720372836218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78960309097295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れんたろう2!$I$1:$I$2</c:f>
              <c:strCache>
                <c:ptCount val="2"/>
                <c:pt idx="0">
                  <c:v>れんたろう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れんたろう2!$A$3:$A$93</c:f>
              <c:numCache>
                <c:formatCode>0\ "回"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れんたろう2!$I$3:$I$93</c:f>
              <c:numCache>
                <c:formatCode>0</c:formatCode>
                <c:ptCount val="91"/>
                <c:pt idx="1">
                  <c:v>2000</c:v>
                </c:pt>
                <c:pt idx="2">
                  <c:v>2950</c:v>
                </c:pt>
                <c:pt idx="3">
                  <c:v>7100</c:v>
                </c:pt>
                <c:pt idx="4">
                  <c:v>11250</c:v>
                </c:pt>
                <c:pt idx="5">
                  <c:v>9266.6666666666661</c:v>
                </c:pt>
                <c:pt idx="6">
                  <c:v>9392.3076923076915</c:v>
                </c:pt>
                <c:pt idx="7">
                  <c:v>8921.4285714285706</c:v>
                </c:pt>
                <c:pt idx="8">
                  <c:v>8084.2105263157891</c:v>
                </c:pt>
                <c:pt idx="9">
                  <c:v>7695.2380952380954</c:v>
                </c:pt>
                <c:pt idx="10">
                  <c:v>7890.909090909091</c:v>
                </c:pt>
                <c:pt idx="11">
                  <c:v>7883.333333333333</c:v>
                </c:pt>
                <c:pt idx="12">
                  <c:v>7883.333333333333</c:v>
                </c:pt>
                <c:pt idx="13">
                  <c:v>7880.7692307692305</c:v>
                </c:pt>
                <c:pt idx="14">
                  <c:v>7686.2068965517237</c:v>
                </c:pt>
                <c:pt idx="15">
                  <c:v>7696.666666666667</c:v>
                </c:pt>
                <c:pt idx="16">
                  <c:v>7706.4516129032254</c:v>
                </c:pt>
                <c:pt idx="17">
                  <c:v>7715.625</c:v>
                </c:pt>
                <c:pt idx="18">
                  <c:v>7875.6756756756758</c:v>
                </c:pt>
                <c:pt idx="19">
                  <c:v>7934.090909090909</c:v>
                </c:pt>
                <c:pt idx="20">
                  <c:v>8008.695652173913</c:v>
                </c:pt>
                <c:pt idx="21">
                  <c:v>7983.6734693877552</c:v>
                </c:pt>
                <c:pt idx="22">
                  <c:v>7983.6734693877552</c:v>
                </c:pt>
                <c:pt idx="23">
                  <c:v>7983.6734693877552</c:v>
                </c:pt>
                <c:pt idx="24">
                  <c:v>7982.3529411764703</c:v>
                </c:pt>
                <c:pt idx="25">
                  <c:v>8284.9056603773588</c:v>
                </c:pt>
                <c:pt idx="26">
                  <c:v>8101.818181818182</c:v>
                </c:pt>
                <c:pt idx="27">
                  <c:v>8372.4137931034475</c:v>
                </c:pt>
                <c:pt idx="28">
                  <c:v>8372.4137931034475</c:v>
                </c:pt>
                <c:pt idx="29">
                  <c:v>8361.016949152543</c:v>
                </c:pt>
                <c:pt idx="30">
                  <c:v>8224.1935483870966</c:v>
                </c:pt>
                <c:pt idx="31">
                  <c:v>8490.7692307692305</c:v>
                </c:pt>
                <c:pt idx="32">
                  <c:v>8447.7611940298502</c:v>
                </c:pt>
                <c:pt idx="33">
                  <c:v>8422.8571428571431</c:v>
                </c:pt>
                <c:pt idx="34">
                  <c:v>8586.301369863013</c:v>
                </c:pt>
                <c:pt idx="35">
                  <c:v>8487.8378378378384</c:v>
                </c:pt>
                <c:pt idx="36">
                  <c:v>8487.8378378378384</c:v>
                </c:pt>
                <c:pt idx="37">
                  <c:v>9001.3157894736851</c:v>
                </c:pt>
                <c:pt idx="38">
                  <c:v>8955.1282051282051</c:v>
                </c:pt>
                <c:pt idx="39">
                  <c:v>8769.1358024691363</c:v>
                </c:pt>
                <c:pt idx="40">
                  <c:v>8744.5783132530123</c:v>
                </c:pt>
                <c:pt idx="41">
                  <c:v>8783.3333333333339</c:v>
                </c:pt>
                <c:pt idx="42">
                  <c:v>9121.8390804597693</c:v>
                </c:pt>
                <c:pt idx="43">
                  <c:v>9119.1011235955048</c:v>
                </c:pt>
                <c:pt idx="44">
                  <c:v>9278.2608695652179</c:v>
                </c:pt>
                <c:pt idx="45">
                  <c:v>9264.5161290322576</c:v>
                </c:pt>
                <c:pt idx="46">
                  <c:v>9300</c:v>
                </c:pt>
                <c:pt idx="47">
                  <c:v>9392</c:v>
                </c:pt>
                <c:pt idx="48">
                  <c:v>9400.9803921568619</c:v>
                </c:pt>
                <c:pt idx="49">
                  <c:v>9396.1904761904771</c:v>
                </c:pt>
                <c:pt idx="50">
                  <c:v>9334.9056603773588</c:v>
                </c:pt>
                <c:pt idx="51">
                  <c:v>9573.3944954128438</c:v>
                </c:pt>
                <c:pt idx="52">
                  <c:v>9616.8141592920347</c:v>
                </c:pt>
                <c:pt idx="53">
                  <c:v>9578.9473684210534</c:v>
                </c:pt>
                <c:pt idx="54">
                  <c:v>9636.4406779661022</c:v>
                </c:pt>
                <c:pt idx="55">
                  <c:v>9560.6557377049176</c:v>
                </c:pt>
                <c:pt idx="56">
                  <c:v>9560.6557377049176</c:v>
                </c:pt>
                <c:pt idx="57">
                  <c:v>9567.7419354838712</c:v>
                </c:pt>
                <c:pt idx="58">
                  <c:v>9512</c:v>
                </c:pt>
                <c:pt idx="59">
                  <c:v>9598.4251968503941</c:v>
                </c:pt>
                <c:pt idx="60">
                  <c:v>9640.2985074626868</c:v>
                </c:pt>
                <c:pt idx="61">
                  <c:v>9544.927536231884</c:v>
                </c:pt>
                <c:pt idx="62">
                  <c:v>9533.8129496402871</c:v>
                </c:pt>
                <c:pt idx="63">
                  <c:v>9534.0277777777774</c:v>
                </c:pt>
                <c:pt idx="64">
                  <c:v>9625.5033557046972</c:v>
                </c:pt>
                <c:pt idx="65">
                  <c:v>9700.6535947712418</c:v>
                </c:pt>
                <c:pt idx="66">
                  <c:v>9550.3184713375795</c:v>
                </c:pt>
                <c:pt idx="67">
                  <c:v>9796.25</c:v>
                </c:pt>
                <c:pt idx="68">
                  <c:v>9809.9378881987577</c:v>
                </c:pt>
                <c:pt idx="69">
                  <c:v>9756.707317073171</c:v>
                </c:pt>
                <c:pt idx="70">
                  <c:v>9797.0059880239514</c:v>
                </c:pt>
                <c:pt idx="71">
                  <c:v>9797.0059880239514</c:v>
                </c:pt>
                <c:pt idx="72">
                  <c:v>9761.9883040935674</c:v>
                </c:pt>
                <c:pt idx="73">
                  <c:v>9926.5895953757226</c:v>
                </c:pt>
                <c:pt idx="74">
                  <c:v>9926.5895953757226</c:v>
                </c:pt>
                <c:pt idx="75">
                  <c:v>9939.8876404494385</c:v>
                </c:pt>
                <c:pt idx="76">
                  <c:v>10018.435754189944</c:v>
                </c:pt>
                <c:pt idx="77">
                  <c:v>10062.777777777777</c:v>
                </c:pt>
                <c:pt idx="78">
                  <c:v>10057.92349726776</c:v>
                </c:pt>
                <c:pt idx="79">
                  <c:v>9977.5401069518721</c:v>
                </c:pt>
                <c:pt idx="80">
                  <c:v>9967.021276595744</c:v>
                </c:pt>
                <c:pt idx="81">
                  <c:v>10089.005235602095</c:v>
                </c:pt>
                <c:pt idx="82">
                  <c:v>10080</c:v>
                </c:pt>
                <c:pt idx="83">
                  <c:v>10031.472081218275</c:v>
                </c:pt>
                <c:pt idx="84">
                  <c:v>10054.455445544554</c:v>
                </c:pt>
                <c:pt idx="85">
                  <c:v>10064.039408866995</c:v>
                </c:pt>
                <c:pt idx="86">
                  <c:v>10033.823529411764</c:v>
                </c:pt>
                <c:pt idx="87">
                  <c:v>10033.823529411764</c:v>
                </c:pt>
                <c:pt idx="88">
                  <c:v>10010.731707317073</c:v>
                </c:pt>
                <c:pt idx="89">
                  <c:v>9831.2796208530799</c:v>
                </c:pt>
                <c:pt idx="90">
                  <c:v>9851.6431924882636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665.25573192239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れんたろう2!$J$1:$J$2</c:f>
              <c:strCache>
                <c:ptCount val="2"/>
                <c:pt idx="0">
                  <c:v>れんたろう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れんたろう2!$A$3:$A$93</c:f>
              <c:numCache>
                <c:formatCode>0\ "回"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れんたろう2!$J$3:$J$93</c:f>
              <c:numCache>
                <c:formatCode>0</c:formatCode>
                <c:ptCount val="91"/>
                <c:pt idx="1">
                  <c:v>-5800</c:v>
                </c:pt>
                <c:pt idx="2">
                  <c:v>-5014.2857142857147</c:v>
                </c:pt>
                <c:pt idx="3">
                  <c:v>-5887.5</c:v>
                </c:pt>
                <c:pt idx="4">
                  <c:v>-5666.666666666667</c:v>
                </c:pt>
                <c:pt idx="5">
                  <c:v>-5333.333333333333</c:v>
                </c:pt>
                <c:pt idx="6">
                  <c:v>-5323.0769230769229</c:v>
                </c:pt>
                <c:pt idx="7">
                  <c:v>-6586.666666666667</c:v>
                </c:pt>
                <c:pt idx="8">
                  <c:v>-6586.666666666667</c:v>
                </c:pt>
                <c:pt idx="9">
                  <c:v>-6188.8888888888887</c:v>
                </c:pt>
                <c:pt idx="10">
                  <c:v>-6633.333333333333</c:v>
                </c:pt>
                <c:pt idx="11">
                  <c:v>-6450</c:v>
                </c:pt>
                <c:pt idx="12">
                  <c:v>-6450</c:v>
                </c:pt>
                <c:pt idx="13">
                  <c:v>-6895.833333333333</c:v>
                </c:pt>
                <c:pt idx="14">
                  <c:v>-6895.833333333333</c:v>
                </c:pt>
                <c:pt idx="15">
                  <c:v>-6895.833333333333</c:v>
                </c:pt>
                <c:pt idx="16">
                  <c:v>-7100</c:v>
                </c:pt>
                <c:pt idx="17">
                  <c:v>-7288.4615384615381</c:v>
                </c:pt>
                <c:pt idx="18">
                  <c:v>-7839.2857142857147</c:v>
                </c:pt>
                <c:pt idx="19">
                  <c:v>-7616.666666666667</c:v>
                </c:pt>
                <c:pt idx="20">
                  <c:v>-7629.0322580645161</c:v>
                </c:pt>
                <c:pt idx="21">
                  <c:v>-7629.0322580645161</c:v>
                </c:pt>
                <c:pt idx="22">
                  <c:v>-7629.0322580645161</c:v>
                </c:pt>
                <c:pt idx="23">
                  <c:v>-7372.727272727273</c:v>
                </c:pt>
                <c:pt idx="24">
                  <c:v>-7237.1428571428569</c:v>
                </c:pt>
                <c:pt idx="25">
                  <c:v>-7536.1111111111113</c:v>
                </c:pt>
                <c:pt idx="26">
                  <c:v>-7472.9729729729734</c:v>
                </c:pt>
                <c:pt idx="27">
                  <c:v>-7187.5</c:v>
                </c:pt>
                <c:pt idx="28">
                  <c:v>-7321.4285714285716</c:v>
                </c:pt>
                <c:pt idx="29">
                  <c:v>-7193.181818181818</c:v>
                </c:pt>
                <c:pt idx="30">
                  <c:v>-7300</c:v>
                </c:pt>
                <c:pt idx="31">
                  <c:v>-7226.086956521739</c:v>
                </c:pt>
                <c:pt idx="32">
                  <c:v>-7195.744680851064</c:v>
                </c:pt>
                <c:pt idx="33">
                  <c:v>-7206.25</c:v>
                </c:pt>
                <c:pt idx="34">
                  <c:v>-7206.25</c:v>
                </c:pt>
                <c:pt idx="35">
                  <c:v>-7206.25</c:v>
                </c:pt>
                <c:pt idx="36">
                  <c:v>-7222.4489795918371</c:v>
                </c:pt>
                <c:pt idx="37">
                  <c:v>-7222.4489795918371</c:v>
                </c:pt>
                <c:pt idx="38">
                  <c:v>-7225.4901960784309</c:v>
                </c:pt>
                <c:pt idx="39">
                  <c:v>-7225.4901960784309</c:v>
                </c:pt>
                <c:pt idx="40">
                  <c:v>-7225.4901960784309</c:v>
                </c:pt>
                <c:pt idx="41">
                  <c:v>-7277.3584905660373</c:v>
                </c:pt>
                <c:pt idx="42">
                  <c:v>-7290.7407407407409</c:v>
                </c:pt>
                <c:pt idx="43">
                  <c:v>-7290.7407407407409</c:v>
                </c:pt>
                <c:pt idx="44">
                  <c:v>-7205.454545454545</c:v>
                </c:pt>
                <c:pt idx="45">
                  <c:v>-7098.2758620689656</c:v>
                </c:pt>
                <c:pt idx="46">
                  <c:v>-7016.666666666667</c:v>
                </c:pt>
                <c:pt idx="47">
                  <c:v>-7070.9677419354839</c:v>
                </c:pt>
                <c:pt idx="48">
                  <c:v>-7070.9677419354839</c:v>
                </c:pt>
                <c:pt idx="49">
                  <c:v>-7085.7142857142853</c:v>
                </c:pt>
                <c:pt idx="50">
                  <c:v>-7267.6923076923076</c:v>
                </c:pt>
                <c:pt idx="51">
                  <c:v>-7189.5522388059699</c:v>
                </c:pt>
                <c:pt idx="52">
                  <c:v>-7332.8571428571431</c:v>
                </c:pt>
                <c:pt idx="53">
                  <c:v>-7243.6619718309857</c:v>
                </c:pt>
                <c:pt idx="54">
                  <c:v>-7427.3972602739723</c:v>
                </c:pt>
                <c:pt idx="55">
                  <c:v>-7427.3972602739723</c:v>
                </c:pt>
                <c:pt idx="56">
                  <c:v>-7709.333333333333</c:v>
                </c:pt>
                <c:pt idx="57">
                  <c:v>-7760.5263157894733</c:v>
                </c:pt>
                <c:pt idx="58">
                  <c:v>-7760.5263157894733</c:v>
                </c:pt>
                <c:pt idx="59">
                  <c:v>-7815.5844155844152</c:v>
                </c:pt>
                <c:pt idx="60">
                  <c:v>-7814.1025641025644</c:v>
                </c:pt>
                <c:pt idx="61">
                  <c:v>-7900</c:v>
                </c:pt>
                <c:pt idx="62">
                  <c:v>-7900</c:v>
                </c:pt>
                <c:pt idx="63">
                  <c:v>-7834.1176470588234</c:v>
                </c:pt>
                <c:pt idx="64">
                  <c:v>-7707.954545454545</c:v>
                </c:pt>
                <c:pt idx="65">
                  <c:v>-7643.8202247191011</c:v>
                </c:pt>
                <c:pt idx="66">
                  <c:v>-7795.652173913043</c:v>
                </c:pt>
                <c:pt idx="67">
                  <c:v>-7773.4042553191493</c:v>
                </c:pt>
                <c:pt idx="68">
                  <c:v>-7775.7894736842109</c:v>
                </c:pt>
                <c:pt idx="69">
                  <c:v>-7819.791666666667</c:v>
                </c:pt>
                <c:pt idx="70">
                  <c:v>-7779.3814432989693</c:v>
                </c:pt>
                <c:pt idx="71">
                  <c:v>-7806</c:v>
                </c:pt>
                <c:pt idx="72">
                  <c:v>-7748.0392156862745</c:v>
                </c:pt>
                <c:pt idx="73">
                  <c:v>-7724.0384615384619</c:v>
                </c:pt>
                <c:pt idx="74">
                  <c:v>-7843.9252336448599</c:v>
                </c:pt>
                <c:pt idx="75">
                  <c:v>-7845.3703703703704</c:v>
                </c:pt>
                <c:pt idx="76">
                  <c:v>-7845.3703703703704</c:v>
                </c:pt>
                <c:pt idx="77">
                  <c:v>-8037.1681415929206</c:v>
                </c:pt>
                <c:pt idx="78">
                  <c:v>-8107.0175438596489</c:v>
                </c:pt>
                <c:pt idx="79">
                  <c:v>-8087.1794871794873</c:v>
                </c:pt>
                <c:pt idx="80">
                  <c:v>-8059.3220338983047</c:v>
                </c:pt>
                <c:pt idx="81">
                  <c:v>-8059.3220338983047</c:v>
                </c:pt>
                <c:pt idx="82">
                  <c:v>-8092.4369747899163</c:v>
                </c:pt>
                <c:pt idx="83">
                  <c:v>-8092.4369747899163</c:v>
                </c:pt>
                <c:pt idx="84">
                  <c:v>-8092.4369747899163</c:v>
                </c:pt>
                <c:pt idx="85">
                  <c:v>-8291.6666666666661</c:v>
                </c:pt>
                <c:pt idx="86">
                  <c:v>-8311.3821138211388</c:v>
                </c:pt>
                <c:pt idx="87">
                  <c:v>-8434.4</c:v>
                </c:pt>
                <c:pt idx="88">
                  <c:v>-8534.645669291338</c:v>
                </c:pt>
                <c:pt idx="89">
                  <c:v>-8504.6153846153848</c:v>
                </c:pt>
                <c:pt idx="90">
                  <c:v>-8481.2030075187977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316.213389121339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れんたろう2!$K$1:$K$2</c:f>
              <c:strCache>
                <c:ptCount val="2"/>
                <c:pt idx="0">
                  <c:v>れんたろう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れんたろう2!$A$3:$A$93</c:f>
              <c:numCache>
                <c:formatCode>0\ "回"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れんたろう2!$K$3:$K$93</c:f>
              <c:numCache>
                <c:formatCode>0.0%</c:formatCode>
                <c:ptCount val="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5.2631578947368418E-2</c:v>
                </c:pt>
                <c:pt idx="20">
                  <c:v>0.05</c:v>
                </c:pt>
                <c:pt idx="21">
                  <c:v>4.7619047619047616E-2</c:v>
                </c:pt>
                <c:pt idx="22">
                  <c:v>4.5454545454545456E-2</c:v>
                </c:pt>
                <c:pt idx="23">
                  <c:v>4.3478260869565216E-2</c:v>
                </c:pt>
                <c:pt idx="24">
                  <c:v>4.1666666666666664E-2</c:v>
                </c:pt>
                <c:pt idx="25">
                  <c:v>0.04</c:v>
                </c:pt>
                <c:pt idx="26">
                  <c:v>3.8461538461538464E-2</c:v>
                </c:pt>
                <c:pt idx="27">
                  <c:v>3.7037037037037035E-2</c:v>
                </c:pt>
                <c:pt idx="28">
                  <c:v>3.5714285714285712E-2</c:v>
                </c:pt>
                <c:pt idx="29">
                  <c:v>3.4482758620689655E-2</c:v>
                </c:pt>
                <c:pt idx="30">
                  <c:v>3.3333333333333333E-2</c:v>
                </c:pt>
                <c:pt idx="31">
                  <c:v>3.2258064516129031E-2</c:v>
                </c:pt>
                <c:pt idx="32">
                  <c:v>3.125E-2</c:v>
                </c:pt>
                <c:pt idx="33">
                  <c:v>3.0303030303030304E-2</c:v>
                </c:pt>
                <c:pt idx="34">
                  <c:v>2.9411764705882353E-2</c:v>
                </c:pt>
                <c:pt idx="35">
                  <c:v>2.8571428571428571E-2</c:v>
                </c:pt>
                <c:pt idx="36">
                  <c:v>2.7777777777777776E-2</c:v>
                </c:pt>
                <c:pt idx="37">
                  <c:v>2.7027027027027029E-2</c:v>
                </c:pt>
                <c:pt idx="38">
                  <c:v>2.6315789473684209E-2</c:v>
                </c:pt>
                <c:pt idx="39">
                  <c:v>2.564102564102564E-2</c:v>
                </c:pt>
                <c:pt idx="40">
                  <c:v>2.5000000000000001E-2</c:v>
                </c:pt>
                <c:pt idx="41">
                  <c:v>2.4390243902439025E-2</c:v>
                </c:pt>
                <c:pt idx="42">
                  <c:v>2.3809523809523808E-2</c:v>
                </c:pt>
                <c:pt idx="43">
                  <c:v>2.3255813953488372E-2</c:v>
                </c:pt>
                <c:pt idx="44">
                  <c:v>2.2727272727272728E-2</c:v>
                </c:pt>
                <c:pt idx="45">
                  <c:v>2.2222222222222223E-2</c:v>
                </c:pt>
                <c:pt idx="46">
                  <c:v>2.1739130434782608E-2</c:v>
                </c:pt>
                <c:pt idx="47">
                  <c:v>2.1276595744680851E-2</c:v>
                </c:pt>
                <c:pt idx="48">
                  <c:v>2.0833333333333332E-2</c:v>
                </c:pt>
                <c:pt idx="49">
                  <c:v>2.0408163265306121E-2</c:v>
                </c:pt>
                <c:pt idx="50">
                  <c:v>0.04</c:v>
                </c:pt>
                <c:pt idx="51">
                  <c:v>3.9215686274509803E-2</c:v>
                </c:pt>
                <c:pt idx="52">
                  <c:v>3.8461538461538464E-2</c:v>
                </c:pt>
                <c:pt idx="53">
                  <c:v>3.7735849056603772E-2</c:v>
                </c:pt>
                <c:pt idx="54">
                  <c:v>3.7037037037037035E-2</c:v>
                </c:pt>
                <c:pt idx="55">
                  <c:v>3.6363636363636362E-2</c:v>
                </c:pt>
                <c:pt idx="56">
                  <c:v>5.3571428571428568E-2</c:v>
                </c:pt>
                <c:pt idx="57">
                  <c:v>5.2631578947368418E-2</c:v>
                </c:pt>
                <c:pt idx="58">
                  <c:v>5.1724137931034482E-2</c:v>
                </c:pt>
                <c:pt idx="59">
                  <c:v>5.0847457627118647E-2</c:v>
                </c:pt>
                <c:pt idx="60">
                  <c:v>0.05</c:v>
                </c:pt>
                <c:pt idx="61">
                  <c:v>4.9180327868852458E-2</c:v>
                </c:pt>
                <c:pt idx="62">
                  <c:v>4.8387096774193547E-2</c:v>
                </c:pt>
                <c:pt idx="63">
                  <c:v>4.7619047619047616E-2</c:v>
                </c:pt>
                <c:pt idx="64">
                  <c:v>4.6875E-2</c:v>
                </c:pt>
                <c:pt idx="65">
                  <c:v>4.6153846153846156E-2</c:v>
                </c:pt>
                <c:pt idx="66">
                  <c:v>4.5454545454545456E-2</c:v>
                </c:pt>
                <c:pt idx="67">
                  <c:v>4.4776119402985072E-2</c:v>
                </c:pt>
                <c:pt idx="68">
                  <c:v>4.4117647058823532E-2</c:v>
                </c:pt>
                <c:pt idx="69">
                  <c:v>4.3478260869565216E-2</c:v>
                </c:pt>
                <c:pt idx="70">
                  <c:v>4.2857142857142858E-2</c:v>
                </c:pt>
                <c:pt idx="71">
                  <c:v>5.6338028169014086E-2</c:v>
                </c:pt>
                <c:pt idx="72">
                  <c:v>5.5555555555555552E-2</c:v>
                </c:pt>
                <c:pt idx="73">
                  <c:v>5.4794520547945202E-2</c:v>
                </c:pt>
                <c:pt idx="74">
                  <c:v>6.7567567567567571E-2</c:v>
                </c:pt>
                <c:pt idx="75">
                  <c:v>6.6666666666666666E-2</c:v>
                </c:pt>
                <c:pt idx="76">
                  <c:v>6.5789473684210523E-2</c:v>
                </c:pt>
                <c:pt idx="77">
                  <c:v>7.792207792207792E-2</c:v>
                </c:pt>
                <c:pt idx="78">
                  <c:v>7.6923076923076927E-2</c:v>
                </c:pt>
                <c:pt idx="79">
                  <c:v>7.5949367088607597E-2</c:v>
                </c:pt>
                <c:pt idx="80">
                  <c:v>7.4999999999999997E-2</c:v>
                </c:pt>
                <c:pt idx="81">
                  <c:v>7.407407407407407E-2</c:v>
                </c:pt>
                <c:pt idx="82">
                  <c:v>7.3170731707317069E-2</c:v>
                </c:pt>
                <c:pt idx="83">
                  <c:v>7.2289156626506021E-2</c:v>
                </c:pt>
                <c:pt idx="84">
                  <c:v>7.1428571428571425E-2</c:v>
                </c:pt>
                <c:pt idx="85">
                  <c:v>8.2352941176470587E-2</c:v>
                </c:pt>
                <c:pt idx="86">
                  <c:v>8.1395348837209308E-2</c:v>
                </c:pt>
                <c:pt idx="87">
                  <c:v>9.1954022988505746E-2</c:v>
                </c:pt>
                <c:pt idx="88">
                  <c:v>0.10227272727272728</c:v>
                </c:pt>
                <c:pt idx="89">
                  <c:v>0.10112359550561797</c:v>
                </c:pt>
                <c:pt idx="90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93595342066957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れんたろう2!$L$1:$L$2</c:f>
              <c:strCache>
                <c:ptCount val="2"/>
                <c:pt idx="0">
                  <c:v>れんたろう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れんたろう2!$A$3:$A$93</c:f>
              <c:numCache>
                <c:formatCode>0\ "回"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れんたろう2!$L$3:$L$93</c:f>
              <c:numCache>
                <c:formatCode>0.0%</c:formatCode>
                <c:ptCount val="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0.10526315789473684</c:v>
                </c:pt>
                <c:pt idx="20">
                  <c:v>0.1</c:v>
                </c:pt>
                <c:pt idx="21">
                  <c:v>9.5238095238095233E-2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0.08</c:v>
                </c:pt>
                <c:pt idx="26">
                  <c:v>7.6923076923076927E-2</c:v>
                </c:pt>
                <c:pt idx="27">
                  <c:v>7.407407407407407E-2</c:v>
                </c:pt>
                <c:pt idx="28">
                  <c:v>7.1428571428571425E-2</c:v>
                </c:pt>
                <c:pt idx="29">
                  <c:v>6.8965517241379309E-2</c:v>
                </c:pt>
                <c:pt idx="30">
                  <c:v>6.6666666666666666E-2</c:v>
                </c:pt>
                <c:pt idx="31">
                  <c:v>9.6774193548387094E-2</c:v>
                </c:pt>
                <c:pt idx="32">
                  <c:v>9.375E-2</c:v>
                </c:pt>
                <c:pt idx="33">
                  <c:v>9.0909090909090912E-2</c:v>
                </c:pt>
                <c:pt idx="34">
                  <c:v>0.11764705882352941</c:v>
                </c:pt>
                <c:pt idx="35">
                  <c:v>0.11428571428571428</c:v>
                </c:pt>
                <c:pt idx="36">
                  <c:v>0.1111111111111111</c:v>
                </c:pt>
                <c:pt idx="37">
                  <c:v>0.13513513513513514</c:v>
                </c:pt>
                <c:pt idx="38">
                  <c:v>0.13157894736842105</c:v>
                </c:pt>
                <c:pt idx="39">
                  <c:v>0.12820512820512819</c:v>
                </c:pt>
                <c:pt idx="40">
                  <c:v>0.125</c:v>
                </c:pt>
                <c:pt idx="41">
                  <c:v>0.12195121951219512</c:v>
                </c:pt>
                <c:pt idx="42">
                  <c:v>0.11904761904761904</c:v>
                </c:pt>
                <c:pt idx="43">
                  <c:v>0.11627906976744186</c:v>
                </c:pt>
                <c:pt idx="44">
                  <c:v>0.13636363636363635</c:v>
                </c:pt>
                <c:pt idx="45">
                  <c:v>0.13333333333333333</c:v>
                </c:pt>
                <c:pt idx="46">
                  <c:v>0.13043478260869565</c:v>
                </c:pt>
                <c:pt idx="47">
                  <c:v>0.1276595744680851</c:v>
                </c:pt>
                <c:pt idx="48">
                  <c:v>0.125</c:v>
                </c:pt>
                <c:pt idx="49">
                  <c:v>0.12244897959183673</c:v>
                </c:pt>
                <c:pt idx="50">
                  <c:v>0.12</c:v>
                </c:pt>
                <c:pt idx="51">
                  <c:v>0.13725490196078433</c:v>
                </c:pt>
                <c:pt idx="52">
                  <c:v>0.13461538461538461</c:v>
                </c:pt>
                <c:pt idx="53">
                  <c:v>0.13207547169811321</c:v>
                </c:pt>
                <c:pt idx="54">
                  <c:v>0.12962962962962962</c:v>
                </c:pt>
                <c:pt idx="55">
                  <c:v>0.12727272727272726</c:v>
                </c:pt>
                <c:pt idx="56">
                  <c:v>0.125</c:v>
                </c:pt>
                <c:pt idx="57">
                  <c:v>0.12280701754385964</c:v>
                </c:pt>
                <c:pt idx="58">
                  <c:v>0.1206896551724138</c:v>
                </c:pt>
                <c:pt idx="59">
                  <c:v>0.11864406779661017</c:v>
                </c:pt>
                <c:pt idx="60">
                  <c:v>0.11666666666666667</c:v>
                </c:pt>
                <c:pt idx="61">
                  <c:v>0.11475409836065574</c:v>
                </c:pt>
                <c:pt idx="62">
                  <c:v>0.11290322580645161</c:v>
                </c:pt>
                <c:pt idx="63">
                  <c:v>0.1111111111111111</c:v>
                </c:pt>
                <c:pt idx="64">
                  <c:v>0.109375</c:v>
                </c:pt>
                <c:pt idx="65">
                  <c:v>0.12307692307692308</c:v>
                </c:pt>
                <c:pt idx="66">
                  <c:v>0.12121212121212122</c:v>
                </c:pt>
                <c:pt idx="67">
                  <c:v>0.13432835820895522</c:v>
                </c:pt>
                <c:pt idx="68">
                  <c:v>0.13235294117647059</c:v>
                </c:pt>
                <c:pt idx="69">
                  <c:v>0.13043478260869565</c:v>
                </c:pt>
                <c:pt idx="70">
                  <c:v>0.12857142857142856</c:v>
                </c:pt>
                <c:pt idx="71">
                  <c:v>0.12676056338028169</c:v>
                </c:pt>
                <c:pt idx="72">
                  <c:v>0.125</c:v>
                </c:pt>
                <c:pt idx="73">
                  <c:v>0.13698630136986301</c:v>
                </c:pt>
                <c:pt idx="74">
                  <c:v>0.13513513513513514</c:v>
                </c:pt>
                <c:pt idx="75">
                  <c:v>0.13333333333333333</c:v>
                </c:pt>
                <c:pt idx="76">
                  <c:v>0.13157894736842105</c:v>
                </c:pt>
                <c:pt idx="77">
                  <c:v>0.12987012987012986</c:v>
                </c:pt>
                <c:pt idx="78">
                  <c:v>0.12820512820512819</c:v>
                </c:pt>
                <c:pt idx="79">
                  <c:v>0.12658227848101267</c:v>
                </c:pt>
                <c:pt idx="80">
                  <c:v>0.125</c:v>
                </c:pt>
                <c:pt idx="81">
                  <c:v>0.13580246913580246</c:v>
                </c:pt>
                <c:pt idx="82">
                  <c:v>0.13414634146341464</c:v>
                </c:pt>
                <c:pt idx="83">
                  <c:v>0.13253012048192772</c:v>
                </c:pt>
                <c:pt idx="84">
                  <c:v>0.14285714285714285</c:v>
                </c:pt>
                <c:pt idx="85">
                  <c:v>0.14117647058823529</c:v>
                </c:pt>
                <c:pt idx="86">
                  <c:v>0.13953488372093023</c:v>
                </c:pt>
                <c:pt idx="87">
                  <c:v>0.13793103448275862</c:v>
                </c:pt>
                <c:pt idx="88">
                  <c:v>0.13636363636363635</c:v>
                </c:pt>
                <c:pt idx="89">
                  <c:v>0.1348314606741573</c:v>
                </c:pt>
                <c:pt idx="90">
                  <c:v>0.13333333333333333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93595342066957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れんたろう2!$M$1:$M$2</c:f>
              <c:strCache>
                <c:ptCount val="2"/>
                <c:pt idx="0">
                  <c:v>れんたろう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れんたろう2!$A$3:$A$93</c:f>
              <c:numCache>
                <c:formatCode>0\ "回"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れんたろう2!$M$3:$M$93</c:f>
              <c:numCache>
                <c:formatCode>0.0%</c:formatCode>
                <c:ptCount val="91"/>
                <c:pt idx="1">
                  <c:v>0.2857142857142857</c:v>
                </c:pt>
                <c:pt idx="2">
                  <c:v>0.25</c:v>
                </c:pt>
                <c:pt idx="3">
                  <c:v>0.21739130434782608</c:v>
                </c:pt>
                <c:pt idx="4">
                  <c:v>0.18518518518518517</c:v>
                </c:pt>
                <c:pt idx="5">
                  <c:v>0.1891891891891892</c:v>
                </c:pt>
                <c:pt idx="6">
                  <c:v>0.22448979591836735</c:v>
                </c:pt>
                <c:pt idx="7">
                  <c:v>0.21052631578947367</c:v>
                </c:pt>
                <c:pt idx="8">
                  <c:v>0.24637681159420291</c:v>
                </c:pt>
                <c:pt idx="9">
                  <c:v>0.24675324675324675</c:v>
                </c:pt>
                <c:pt idx="10">
                  <c:v>0.23529411764705882</c:v>
                </c:pt>
                <c:pt idx="11">
                  <c:v>0.23157894736842105</c:v>
                </c:pt>
                <c:pt idx="12">
                  <c:v>0.22857142857142856</c:v>
                </c:pt>
                <c:pt idx="13">
                  <c:v>0.22033898305084745</c:v>
                </c:pt>
                <c:pt idx="14">
                  <c:v>0.22580645161290322</c:v>
                </c:pt>
                <c:pt idx="15">
                  <c:v>0.22480620155038761</c:v>
                </c:pt>
                <c:pt idx="16">
                  <c:v>0.22627737226277372</c:v>
                </c:pt>
                <c:pt idx="17">
                  <c:v>0.22758620689655173</c:v>
                </c:pt>
                <c:pt idx="18">
                  <c:v>0.25641025641025639</c:v>
                </c:pt>
                <c:pt idx="19">
                  <c:v>0.25443786982248523</c:v>
                </c:pt>
                <c:pt idx="20">
                  <c:v>0.24581005586592178</c:v>
                </c:pt>
                <c:pt idx="21">
                  <c:v>0.24468085106382978</c:v>
                </c:pt>
                <c:pt idx="22">
                  <c:v>0.24489795918367346</c:v>
                </c:pt>
                <c:pt idx="23">
                  <c:v>0.24630541871921183</c:v>
                </c:pt>
                <c:pt idx="24">
                  <c:v>0.23809523809523808</c:v>
                </c:pt>
                <c:pt idx="25">
                  <c:v>0.23853211009174313</c:v>
                </c:pt>
                <c:pt idx="26">
                  <c:v>0.23788546255506607</c:v>
                </c:pt>
                <c:pt idx="27">
                  <c:v>0.24583333333333332</c:v>
                </c:pt>
                <c:pt idx="28">
                  <c:v>0.24390243902439024</c:v>
                </c:pt>
                <c:pt idx="29">
                  <c:v>0.23809523809523808</c:v>
                </c:pt>
                <c:pt idx="30">
                  <c:v>0.23574144486692014</c:v>
                </c:pt>
                <c:pt idx="31">
                  <c:v>0.23985239852398524</c:v>
                </c:pt>
                <c:pt idx="32">
                  <c:v>0.23843416370106763</c:v>
                </c:pt>
                <c:pt idx="33">
                  <c:v>0.24305555555555555</c:v>
                </c:pt>
                <c:pt idx="34">
                  <c:v>0.24914675767918087</c:v>
                </c:pt>
                <c:pt idx="35">
                  <c:v>0.25083612040133779</c:v>
                </c:pt>
                <c:pt idx="36">
                  <c:v>0.24429967426710097</c:v>
                </c:pt>
                <c:pt idx="37">
                  <c:v>0.24281150159744408</c:v>
                </c:pt>
                <c:pt idx="38">
                  <c:v>0.24687500000000001</c:v>
                </c:pt>
                <c:pt idx="39">
                  <c:v>0.25076452599388377</c:v>
                </c:pt>
                <c:pt idx="40">
                  <c:v>0.24850299401197604</c:v>
                </c:pt>
                <c:pt idx="41">
                  <c:v>0.24853801169590642</c:v>
                </c:pt>
                <c:pt idx="42">
                  <c:v>0.25495750708215298</c:v>
                </c:pt>
                <c:pt idx="43">
                  <c:v>0.25490196078431371</c:v>
                </c:pt>
                <c:pt idx="44">
                  <c:v>0.25966850828729282</c:v>
                </c:pt>
                <c:pt idx="45">
                  <c:v>0.26145552560646901</c:v>
                </c:pt>
                <c:pt idx="46">
                  <c:v>0.2572178477690289</c:v>
                </c:pt>
                <c:pt idx="47">
                  <c:v>0.25879396984924624</c:v>
                </c:pt>
                <c:pt idx="48">
                  <c:v>0.26237623762376239</c:v>
                </c:pt>
                <c:pt idx="49">
                  <c:v>0.25907990314769974</c:v>
                </c:pt>
                <c:pt idx="50">
                  <c:v>0.25352112676056338</c:v>
                </c:pt>
                <c:pt idx="51">
                  <c:v>0.25925925925925924</c:v>
                </c:pt>
                <c:pt idx="52">
                  <c:v>0.26303854875283444</c:v>
                </c:pt>
                <c:pt idx="53">
                  <c:v>0.26280623608017817</c:v>
                </c:pt>
                <c:pt idx="54">
                  <c:v>0.2725274725274725</c:v>
                </c:pt>
                <c:pt idx="55">
                  <c:v>0.27526881720430108</c:v>
                </c:pt>
                <c:pt idx="56">
                  <c:v>0.27505330490405117</c:v>
                </c:pt>
                <c:pt idx="57">
                  <c:v>0.27637130801687765</c:v>
                </c:pt>
                <c:pt idx="58">
                  <c:v>0.27385892116182575</c:v>
                </c:pt>
                <c:pt idx="59">
                  <c:v>0.27198364008179959</c:v>
                </c:pt>
                <c:pt idx="60">
                  <c:v>0.26732673267326734</c:v>
                </c:pt>
                <c:pt idx="61">
                  <c:v>0.2723735408560311</c:v>
                </c:pt>
                <c:pt idx="62">
                  <c:v>0.26974951830443161</c:v>
                </c:pt>
                <c:pt idx="63">
                  <c:v>0.27221172022684309</c:v>
                </c:pt>
                <c:pt idx="64">
                  <c:v>0.27339449541284405</c:v>
                </c:pt>
                <c:pt idx="65">
                  <c:v>0.27978339350180503</c:v>
                </c:pt>
                <c:pt idx="66">
                  <c:v>0.28063943161634103</c:v>
                </c:pt>
                <c:pt idx="67">
                  <c:v>0.28021015761821366</c:v>
                </c:pt>
                <c:pt idx="68">
                  <c:v>0.2795138888888889</c:v>
                </c:pt>
                <c:pt idx="69">
                  <c:v>0.27796610169491526</c:v>
                </c:pt>
                <c:pt idx="70">
                  <c:v>0.27805695142378561</c:v>
                </c:pt>
                <c:pt idx="71">
                  <c:v>0.28286189683860236</c:v>
                </c:pt>
                <c:pt idx="72">
                  <c:v>0.28431372549019607</c:v>
                </c:pt>
                <c:pt idx="73">
                  <c:v>0.28478964401294499</c:v>
                </c:pt>
                <c:pt idx="74">
                  <c:v>0.28341384863123992</c:v>
                </c:pt>
                <c:pt idx="75">
                  <c:v>0.2861685214626391</c:v>
                </c:pt>
                <c:pt idx="76">
                  <c:v>0.2848101265822785</c:v>
                </c:pt>
                <c:pt idx="77">
                  <c:v>0.28549141965678626</c:v>
                </c:pt>
                <c:pt idx="78">
                  <c:v>0.28858024691358025</c:v>
                </c:pt>
                <c:pt idx="79">
                  <c:v>0.2898330804248862</c:v>
                </c:pt>
                <c:pt idx="80">
                  <c:v>0.29066265060240964</c:v>
                </c:pt>
                <c:pt idx="81">
                  <c:v>0.29210134128166915</c:v>
                </c:pt>
                <c:pt idx="82">
                  <c:v>0.29472140762463345</c:v>
                </c:pt>
                <c:pt idx="83">
                  <c:v>0.2960812772133527</c:v>
                </c:pt>
                <c:pt idx="84">
                  <c:v>0.29327610872675253</c:v>
                </c:pt>
                <c:pt idx="85">
                  <c:v>0.2923728813559322</c:v>
                </c:pt>
                <c:pt idx="86">
                  <c:v>0.29329608938547486</c:v>
                </c:pt>
                <c:pt idx="87">
                  <c:v>0.29224376731301938</c:v>
                </c:pt>
                <c:pt idx="88">
                  <c:v>0.29120879120879123</c:v>
                </c:pt>
                <c:pt idx="89">
                  <c:v>0.29166666666666669</c:v>
                </c:pt>
                <c:pt idx="90">
                  <c:v>0.29161118508655126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99438004917457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れんたろう2!$N$1:$N$2</c:f>
              <c:strCache>
                <c:ptCount val="2"/>
                <c:pt idx="0">
                  <c:v>れんたろう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れんたろう2!$A$3:$A$93</c:f>
              <c:numCache>
                <c:formatCode>0\ "回"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れんたろう2!$N$3:$N$93</c:f>
              <c:numCache>
                <c:formatCode>0.0%</c:formatCode>
                <c:ptCount val="91"/>
                <c:pt idx="1">
                  <c:v>0.14285714285714285</c:v>
                </c:pt>
                <c:pt idx="2">
                  <c:v>6.25E-2</c:v>
                </c:pt>
                <c:pt idx="3">
                  <c:v>0.21739130434782608</c:v>
                </c:pt>
                <c:pt idx="4">
                  <c:v>0.25925925925925924</c:v>
                </c:pt>
                <c:pt idx="5">
                  <c:v>0.21621621621621623</c:v>
                </c:pt>
                <c:pt idx="6">
                  <c:v>0.24489795918367346</c:v>
                </c:pt>
                <c:pt idx="7">
                  <c:v>0.24561403508771928</c:v>
                </c:pt>
                <c:pt idx="8">
                  <c:v>0.2318840579710145</c:v>
                </c:pt>
                <c:pt idx="9">
                  <c:v>0.23376623376623376</c:v>
                </c:pt>
                <c:pt idx="10">
                  <c:v>0.21176470588235294</c:v>
                </c:pt>
                <c:pt idx="11">
                  <c:v>0.21052631578947367</c:v>
                </c:pt>
                <c:pt idx="12">
                  <c:v>0.20952380952380953</c:v>
                </c:pt>
                <c:pt idx="13">
                  <c:v>0.2288135593220339</c:v>
                </c:pt>
                <c:pt idx="14">
                  <c:v>0.23387096774193547</c:v>
                </c:pt>
                <c:pt idx="15">
                  <c:v>0.23255813953488372</c:v>
                </c:pt>
                <c:pt idx="16">
                  <c:v>0.22627737226277372</c:v>
                </c:pt>
                <c:pt idx="17">
                  <c:v>0.22068965517241379</c:v>
                </c:pt>
                <c:pt idx="18">
                  <c:v>0.21794871794871795</c:v>
                </c:pt>
                <c:pt idx="19">
                  <c:v>0.21893491124260356</c:v>
                </c:pt>
                <c:pt idx="20">
                  <c:v>0.21229050279329609</c:v>
                </c:pt>
                <c:pt idx="21">
                  <c:v>0.20744680851063829</c:v>
                </c:pt>
                <c:pt idx="22">
                  <c:v>0.19897959183673469</c:v>
                </c:pt>
                <c:pt idx="23">
                  <c:v>0.19704433497536947</c:v>
                </c:pt>
                <c:pt idx="24">
                  <c:v>0.2</c:v>
                </c:pt>
                <c:pt idx="25">
                  <c:v>0.19724770642201836</c:v>
                </c:pt>
                <c:pt idx="26">
                  <c:v>0.1894273127753304</c:v>
                </c:pt>
                <c:pt idx="27">
                  <c:v>0.18333333333333332</c:v>
                </c:pt>
                <c:pt idx="28">
                  <c:v>0.17886178861788618</c:v>
                </c:pt>
                <c:pt idx="29">
                  <c:v>0.17460317460317459</c:v>
                </c:pt>
                <c:pt idx="30">
                  <c:v>0.17490494296577946</c:v>
                </c:pt>
                <c:pt idx="31">
                  <c:v>0.17712177121771217</c:v>
                </c:pt>
                <c:pt idx="32">
                  <c:v>0.18149466192170818</c:v>
                </c:pt>
                <c:pt idx="33">
                  <c:v>0.17708333333333334</c:v>
                </c:pt>
                <c:pt idx="34">
                  <c:v>0.17406143344709898</c:v>
                </c:pt>
                <c:pt idx="35">
                  <c:v>0.1705685618729097</c:v>
                </c:pt>
                <c:pt idx="36">
                  <c:v>0.16938110749185667</c:v>
                </c:pt>
                <c:pt idx="37">
                  <c:v>0.16932907348242812</c:v>
                </c:pt>
                <c:pt idx="38">
                  <c:v>0.16875000000000001</c:v>
                </c:pt>
                <c:pt idx="39">
                  <c:v>0.16819571865443425</c:v>
                </c:pt>
                <c:pt idx="40">
                  <c:v>0.17065868263473055</c:v>
                </c:pt>
                <c:pt idx="41">
                  <c:v>0.16959064327485379</c:v>
                </c:pt>
                <c:pt idx="42">
                  <c:v>0.1643059490084986</c:v>
                </c:pt>
                <c:pt idx="43">
                  <c:v>0.16806722689075632</c:v>
                </c:pt>
                <c:pt idx="44">
                  <c:v>0.16574585635359115</c:v>
                </c:pt>
                <c:pt idx="45">
                  <c:v>0.16172506738544473</c:v>
                </c:pt>
                <c:pt idx="46">
                  <c:v>0.16535433070866143</c:v>
                </c:pt>
                <c:pt idx="47">
                  <c:v>0.17085427135678391</c:v>
                </c:pt>
                <c:pt idx="48">
                  <c:v>0.16831683168316833</c:v>
                </c:pt>
                <c:pt idx="49">
                  <c:v>0.16949152542372881</c:v>
                </c:pt>
                <c:pt idx="50">
                  <c:v>0.17840375586854459</c:v>
                </c:pt>
                <c:pt idx="51">
                  <c:v>0.17592592592592593</c:v>
                </c:pt>
                <c:pt idx="52">
                  <c:v>0.17460317460317459</c:v>
                </c:pt>
                <c:pt idx="53">
                  <c:v>0.17594654788418709</c:v>
                </c:pt>
                <c:pt idx="54">
                  <c:v>0.17362637362637362</c:v>
                </c:pt>
                <c:pt idx="55">
                  <c:v>0.17204301075268819</c:v>
                </c:pt>
                <c:pt idx="56">
                  <c:v>0.17270788912579957</c:v>
                </c:pt>
                <c:pt idx="57">
                  <c:v>0.17088607594936708</c:v>
                </c:pt>
                <c:pt idx="58">
                  <c:v>0.17012448132780084</c:v>
                </c:pt>
                <c:pt idx="59">
                  <c:v>0.17177914110429449</c:v>
                </c:pt>
                <c:pt idx="60">
                  <c:v>0.17821782178217821</c:v>
                </c:pt>
                <c:pt idx="61">
                  <c:v>0.18093385214007782</c:v>
                </c:pt>
                <c:pt idx="62">
                  <c:v>0.1811175337186898</c:v>
                </c:pt>
                <c:pt idx="63">
                  <c:v>0.18147448015122875</c:v>
                </c:pt>
                <c:pt idx="64">
                  <c:v>0.1853211009174312</c:v>
                </c:pt>
                <c:pt idx="65">
                  <c:v>0.18592057761732853</c:v>
                </c:pt>
                <c:pt idx="66">
                  <c:v>0.18650088809946713</c:v>
                </c:pt>
                <c:pt idx="67">
                  <c:v>0.18563922942206654</c:v>
                </c:pt>
                <c:pt idx="68">
                  <c:v>0.1857638888888889</c:v>
                </c:pt>
                <c:pt idx="69">
                  <c:v>0.1864406779661017</c:v>
                </c:pt>
                <c:pt idx="70">
                  <c:v>0.18592964824120603</c:v>
                </c:pt>
                <c:pt idx="71">
                  <c:v>0.18469217970049917</c:v>
                </c:pt>
                <c:pt idx="72">
                  <c:v>0.184640522875817</c:v>
                </c:pt>
                <c:pt idx="73">
                  <c:v>0.18608414239482202</c:v>
                </c:pt>
                <c:pt idx="74">
                  <c:v>0.18840579710144928</c:v>
                </c:pt>
                <c:pt idx="75">
                  <c:v>0.18759936406995231</c:v>
                </c:pt>
                <c:pt idx="76">
                  <c:v>0.18829113924050633</c:v>
                </c:pt>
                <c:pt idx="77">
                  <c:v>0.19188767550702029</c:v>
                </c:pt>
                <c:pt idx="78">
                  <c:v>0.19135802469135801</c:v>
                </c:pt>
                <c:pt idx="79">
                  <c:v>0.19423368740515934</c:v>
                </c:pt>
                <c:pt idx="80">
                  <c:v>0.19427710843373494</c:v>
                </c:pt>
                <c:pt idx="81">
                  <c:v>0.19374068554396423</c:v>
                </c:pt>
                <c:pt idx="82">
                  <c:v>0.1906158357771261</c:v>
                </c:pt>
                <c:pt idx="83">
                  <c:v>0.19013062409288825</c:v>
                </c:pt>
                <c:pt idx="84">
                  <c:v>0.19170243204577969</c:v>
                </c:pt>
                <c:pt idx="85">
                  <c:v>0.18926553672316385</c:v>
                </c:pt>
                <c:pt idx="86">
                  <c:v>0.18854748603351956</c:v>
                </c:pt>
                <c:pt idx="87">
                  <c:v>0.18975069252077562</c:v>
                </c:pt>
                <c:pt idx="88">
                  <c:v>0.18818681318681318</c:v>
                </c:pt>
                <c:pt idx="89">
                  <c:v>0.18817204301075269</c:v>
                </c:pt>
                <c:pt idx="90">
                  <c:v>0.1877496671105193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6533192834562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れんたろう2!$O$1:$O$2</c:f>
              <c:strCache>
                <c:ptCount val="2"/>
                <c:pt idx="0">
                  <c:v>れんたろう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れんたろう2!$A$3:$A$93</c:f>
              <c:numCache>
                <c:formatCode>0\ "回"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れんたろう2!$O$3:$O$93</c:f>
              <c:numCache>
                <c:formatCode>0.0%</c:formatCode>
                <c:ptCount val="91"/>
                <c:pt idx="1">
                  <c:v>0</c:v>
                </c:pt>
                <c:pt idx="2">
                  <c:v>0.25</c:v>
                </c:pt>
                <c:pt idx="3">
                  <c:v>0.4</c:v>
                </c:pt>
                <c:pt idx="4">
                  <c:v>0.4</c:v>
                </c:pt>
                <c:pt idx="5">
                  <c:v>0.5714285714285714</c:v>
                </c:pt>
                <c:pt idx="6">
                  <c:v>0.54545454545454541</c:v>
                </c:pt>
                <c:pt idx="7">
                  <c:v>0.5</c:v>
                </c:pt>
                <c:pt idx="8">
                  <c:v>0.47058823529411764</c:v>
                </c:pt>
                <c:pt idx="9">
                  <c:v>0.52631578947368418</c:v>
                </c:pt>
                <c:pt idx="10">
                  <c:v>0.5</c:v>
                </c:pt>
                <c:pt idx="11">
                  <c:v>0.5</c:v>
                </c:pt>
                <c:pt idx="12">
                  <c:v>0.45833333333333331</c:v>
                </c:pt>
                <c:pt idx="13">
                  <c:v>0.46153846153846156</c:v>
                </c:pt>
                <c:pt idx="14">
                  <c:v>0.4642857142857143</c:v>
                </c:pt>
                <c:pt idx="15">
                  <c:v>0.48275862068965519</c:v>
                </c:pt>
                <c:pt idx="16">
                  <c:v>0.4838709677419355</c:v>
                </c:pt>
                <c:pt idx="17">
                  <c:v>0.48484848484848486</c:v>
                </c:pt>
                <c:pt idx="18">
                  <c:v>0.5</c:v>
                </c:pt>
                <c:pt idx="19">
                  <c:v>0.51162790697674421</c:v>
                </c:pt>
                <c:pt idx="20">
                  <c:v>0.5</c:v>
                </c:pt>
                <c:pt idx="21">
                  <c:v>0.52173913043478259</c:v>
                </c:pt>
                <c:pt idx="22">
                  <c:v>0.5</c:v>
                </c:pt>
                <c:pt idx="23">
                  <c:v>0.48</c:v>
                </c:pt>
                <c:pt idx="24">
                  <c:v>0.48</c:v>
                </c:pt>
                <c:pt idx="25">
                  <c:v>0.5</c:v>
                </c:pt>
                <c:pt idx="26">
                  <c:v>0.5</c:v>
                </c:pt>
                <c:pt idx="27">
                  <c:v>0.50847457627118642</c:v>
                </c:pt>
                <c:pt idx="28">
                  <c:v>0.5</c:v>
                </c:pt>
                <c:pt idx="29">
                  <c:v>0.5</c:v>
                </c:pt>
                <c:pt idx="30">
                  <c:v>0.5161290322580645</c:v>
                </c:pt>
                <c:pt idx="31">
                  <c:v>0.53846153846153844</c:v>
                </c:pt>
                <c:pt idx="32">
                  <c:v>0.53731343283582089</c:v>
                </c:pt>
                <c:pt idx="33">
                  <c:v>0.55714285714285716</c:v>
                </c:pt>
                <c:pt idx="34">
                  <c:v>0.57534246575342463</c:v>
                </c:pt>
                <c:pt idx="35">
                  <c:v>0.57333333333333336</c:v>
                </c:pt>
                <c:pt idx="36">
                  <c:v>0.57333333333333336</c:v>
                </c:pt>
                <c:pt idx="37">
                  <c:v>0.56578947368421051</c:v>
                </c:pt>
                <c:pt idx="38">
                  <c:v>0.55696202531645567</c:v>
                </c:pt>
                <c:pt idx="39">
                  <c:v>0.57317073170731703</c:v>
                </c:pt>
                <c:pt idx="40">
                  <c:v>0.5662650602409639</c:v>
                </c:pt>
                <c:pt idx="41">
                  <c:v>0.56470588235294117</c:v>
                </c:pt>
                <c:pt idx="42">
                  <c:v>0.56666666666666665</c:v>
                </c:pt>
                <c:pt idx="43">
                  <c:v>0.5714285714285714</c:v>
                </c:pt>
                <c:pt idx="44">
                  <c:v>0.58510638297872342</c:v>
                </c:pt>
                <c:pt idx="45">
                  <c:v>0.57731958762886593</c:v>
                </c:pt>
                <c:pt idx="46">
                  <c:v>0.58163265306122447</c:v>
                </c:pt>
                <c:pt idx="47">
                  <c:v>0.57281553398058249</c:v>
                </c:pt>
                <c:pt idx="48">
                  <c:v>0.57547169811320753</c:v>
                </c:pt>
                <c:pt idx="49">
                  <c:v>0.57943925233644855</c:v>
                </c:pt>
                <c:pt idx="50">
                  <c:v>0.57407407407407407</c:v>
                </c:pt>
                <c:pt idx="51">
                  <c:v>0.5803571428571429</c:v>
                </c:pt>
                <c:pt idx="52">
                  <c:v>0.57758620689655171</c:v>
                </c:pt>
                <c:pt idx="53">
                  <c:v>0.57627118644067798</c:v>
                </c:pt>
                <c:pt idx="54">
                  <c:v>0.58064516129032262</c:v>
                </c:pt>
                <c:pt idx="55">
                  <c:v>0.5859375</c:v>
                </c:pt>
                <c:pt idx="56">
                  <c:v>0.58139534883720934</c:v>
                </c:pt>
                <c:pt idx="57">
                  <c:v>0.58778625954198471</c:v>
                </c:pt>
                <c:pt idx="58">
                  <c:v>0.58333333333333337</c:v>
                </c:pt>
                <c:pt idx="59">
                  <c:v>0.5864661654135338</c:v>
                </c:pt>
                <c:pt idx="60">
                  <c:v>0.58518518518518514</c:v>
                </c:pt>
                <c:pt idx="61">
                  <c:v>0.59285714285714286</c:v>
                </c:pt>
                <c:pt idx="62">
                  <c:v>0.59285714285714286</c:v>
                </c:pt>
                <c:pt idx="63">
                  <c:v>0.59027777777777779</c:v>
                </c:pt>
                <c:pt idx="64">
                  <c:v>0.58389261744966447</c:v>
                </c:pt>
                <c:pt idx="65">
                  <c:v>0.58064516129032262</c:v>
                </c:pt>
                <c:pt idx="66">
                  <c:v>0.58227848101265822</c:v>
                </c:pt>
                <c:pt idx="67">
                  <c:v>0.58750000000000002</c:v>
                </c:pt>
                <c:pt idx="68">
                  <c:v>0.59006211180124224</c:v>
                </c:pt>
                <c:pt idx="69">
                  <c:v>0.58536585365853655</c:v>
                </c:pt>
                <c:pt idx="70">
                  <c:v>0.59036144578313254</c:v>
                </c:pt>
                <c:pt idx="71">
                  <c:v>0.57647058823529407</c:v>
                </c:pt>
                <c:pt idx="72">
                  <c:v>0.58045977011494254</c:v>
                </c:pt>
                <c:pt idx="73">
                  <c:v>0.58522727272727271</c:v>
                </c:pt>
                <c:pt idx="74">
                  <c:v>0.58522727272727271</c:v>
                </c:pt>
                <c:pt idx="75">
                  <c:v>0.58888888888888891</c:v>
                </c:pt>
                <c:pt idx="76">
                  <c:v>0.58888888888888891</c:v>
                </c:pt>
                <c:pt idx="77">
                  <c:v>0.57923497267759561</c:v>
                </c:pt>
                <c:pt idx="78">
                  <c:v>0.58288770053475936</c:v>
                </c:pt>
                <c:pt idx="79">
                  <c:v>0.5759162303664922</c:v>
                </c:pt>
                <c:pt idx="80">
                  <c:v>0.57512953367875652</c:v>
                </c:pt>
                <c:pt idx="81">
                  <c:v>0.57653061224489799</c:v>
                </c:pt>
                <c:pt idx="82">
                  <c:v>0.57213930348258701</c:v>
                </c:pt>
                <c:pt idx="83">
                  <c:v>0.57352941176470584</c:v>
                </c:pt>
                <c:pt idx="84">
                  <c:v>0.57560975609756093</c:v>
                </c:pt>
                <c:pt idx="85">
                  <c:v>0.5748792270531401</c:v>
                </c:pt>
                <c:pt idx="86">
                  <c:v>0.56666666666666665</c:v>
                </c:pt>
                <c:pt idx="87">
                  <c:v>0.56398104265402849</c:v>
                </c:pt>
                <c:pt idx="88">
                  <c:v>0.56603773584905659</c:v>
                </c:pt>
                <c:pt idx="89">
                  <c:v>0.56221198156682028</c:v>
                </c:pt>
                <c:pt idx="90">
                  <c:v>0.56621004566210043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784190715181932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れんたろう2!$P$1:$P$2</c:f>
              <c:strCache>
                <c:ptCount val="2"/>
                <c:pt idx="0">
                  <c:v>れんたろう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れんたろう2!$A$3:$A$93</c:f>
              <c:numCache>
                <c:formatCode>0\ "回"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れんたろう2!$P$3:$P$93</c:f>
              <c:numCache>
                <c:formatCode>0.0%</c:formatCode>
                <c:ptCount val="91"/>
                <c:pt idx="1">
                  <c:v>0</c:v>
                </c:pt>
                <c:pt idx="2">
                  <c:v>0</c:v>
                </c:pt>
                <c:pt idx="3">
                  <c:v>0.4</c:v>
                </c:pt>
                <c:pt idx="4">
                  <c:v>0.2857142857142857</c:v>
                </c:pt>
                <c:pt idx="5">
                  <c:v>0.375</c:v>
                </c:pt>
                <c:pt idx="6">
                  <c:v>0.41666666666666669</c:v>
                </c:pt>
                <c:pt idx="7">
                  <c:v>0.35714285714285715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0.35</c:v>
                </c:pt>
                <c:pt idx="12">
                  <c:v>0.31818181818181818</c:v>
                </c:pt>
                <c:pt idx="13">
                  <c:v>0.29629629629629628</c:v>
                </c:pt>
                <c:pt idx="14">
                  <c:v>0.34482758620689657</c:v>
                </c:pt>
                <c:pt idx="15">
                  <c:v>0.33333333333333331</c:v>
                </c:pt>
                <c:pt idx="16">
                  <c:v>0.32258064516129031</c:v>
                </c:pt>
                <c:pt idx="17">
                  <c:v>0.3125</c:v>
                </c:pt>
                <c:pt idx="18">
                  <c:v>0.3235294117647059</c:v>
                </c:pt>
                <c:pt idx="19">
                  <c:v>0.35135135135135137</c:v>
                </c:pt>
                <c:pt idx="20">
                  <c:v>0.36842105263157893</c:v>
                </c:pt>
                <c:pt idx="21">
                  <c:v>0.35897435897435898</c:v>
                </c:pt>
                <c:pt idx="22">
                  <c:v>0.35897435897435898</c:v>
                </c:pt>
                <c:pt idx="23">
                  <c:v>0.35</c:v>
                </c:pt>
                <c:pt idx="24">
                  <c:v>0.35714285714285715</c:v>
                </c:pt>
                <c:pt idx="25">
                  <c:v>0.34883720930232559</c:v>
                </c:pt>
                <c:pt idx="26">
                  <c:v>0.34883720930232559</c:v>
                </c:pt>
                <c:pt idx="27">
                  <c:v>0.34090909090909088</c:v>
                </c:pt>
                <c:pt idx="28">
                  <c:v>0.34090909090909088</c:v>
                </c:pt>
                <c:pt idx="29">
                  <c:v>0.34090909090909088</c:v>
                </c:pt>
                <c:pt idx="30">
                  <c:v>0.34782608695652173</c:v>
                </c:pt>
                <c:pt idx="31">
                  <c:v>0.33333333333333331</c:v>
                </c:pt>
                <c:pt idx="32">
                  <c:v>0.31372549019607843</c:v>
                </c:pt>
                <c:pt idx="33">
                  <c:v>0.31372549019607843</c:v>
                </c:pt>
                <c:pt idx="34">
                  <c:v>0.31372549019607843</c:v>
                </c:pt>
                <c:pt idx="35">
                  <c:v>0.31372549019607843</c:v>
                </c:pt>
                <c:pt idx="36">
                  <c:v>0.30769230769230771</c:v>
                </c:pt>
                <c:pt idx="37">
                  <c:v>0.32075471698113206</c:v>
                </c:pt>
                <c:pt idx="38">
                  <c:v>0.31481481481481483</c:v>
                </c:pt>
                <c:pt idx="39">
                  <c:v>0.30909090909090908</c:v>
                </c:pt>
                <c:pt idx="40">
                  <c:v>0.33333333333333331</c:v>
                </c:pt>
                <c:pt idx="41">
                  <c:v>0.32758620689655171</c:v>
                </c:pt>
                <c:pt idx="42">
                  <c:v>0.32758620689655171</c:v>
                </c:pt>
                <c:pt idx="43">
                  <c:v>0.33333333333333331</c:v>
                </c:pt>
                <c:pt idx="44">
                  <c:v>0.33333333333333331</c:v>
                </c:pt>
                <c:pt idx="45">
                  <c:v>0.33333333333333331</c:v>
                </c:pt>
                <c:pt idx="46">
                  <c:v>0.33333333333333331</c:v>
                </c:pt>
                <c:pt idx="47">
                  <c:v>0.35294117647058826</c:v>
                </c:pt>
                <c:pt idx="48">
                  <c:v>0.35294117647058826</c:v>
                </c:pt>
                <c:pt idx="49">
                  <c:v>0.35714285714285715</c:v>
                </c:pt>
                <c:pt idx="50">
                  <c:v>0.34210526315789475</c:v>
                </c:pt>
                <c:pt idx="51">
                  <c:v>0.34210526315789475</c:v>
                </c:pt>
                <c:pt idx="52">
                  <c:v>0.35064935064935066</c:v>
                </c:pt>
                <c:pt idx="53">
                  <c:v>0.34177215189873417</c:v>
                </c:pt>
                <c:pt idx="54">
                  <c:v>0.34177215189873417</c:v>
                </c:pt>
                <c:pt idx="55">
                  <c:v>0.33750000000000002</c:v>
                </c:pt>
                <c:pt idx="56">
                  <c:v>0.33333333333333331</c:v>
                </c:pt>
                <c:pt idx="57">
                  <c:v>0.33333333333333331</c:v>
                </c:pt>
                <c:pt idx="58">
                  <c:v>0.34146341463414637</c:v>
                </c:pt>
                <c:pt idx="59">
                  <c:v>0.34523809523809523</c:v>
                </c:pt>
                <c:pt idx="60">
                  <c:v>0.36666666666666664</c:v>
                </c:pt>
                <c:pt idx="61">
                  <c:v>0.35483870967741937</c:v>
                </c:pt>
                <c:pt idx="62">
                  <c:v>0.36170212765957449</c:v>
                </c:pt>
                <c:pt idx="63">
                  <c:v>0.375</c:v>
                </c:pt>
                <c:pt idx="64">
                  <c:v>0.38613861386138615</c:v>
                </c:pt>
                <c:pt idx="65">
                  <c:v>0.38834951456310679</c:v>
                </c:pt>
                <c:pt idx="66">
                  <c:v>0.39047619047619048</c:v>
                </c:pt>
                <c:pt idx="67">
                  <c:v>0.39622641509433965</c:v>
                </c:pt>
                <c:pt idx="68">
                  <c:v>0.3925233644859813</c:v>
                </c:pt>
                <c:pt idx="69">
                  <c:v>0.4</c:v>
                </c:pt>
                <c:pt idx="70">
                  <c:v>0.40540540540540543</c:v>
                </c:pt>
                <c:pt idx="71">
                  <c:v>0.40540540540540543</c:v>
                </c:pt>
                <c:pt idx="72">
                  <c:v>0.40707964601769914</c:v>
                </c:pt>
                <c:pt idx="73">
                  <c:v>0.4</c:v>
                </c:pt>
                <c:pt idx="74">
                  <c:v>0.39316239316239315</c:v>
                </c:pt>
                <c:pt idx="75">
                  <c:v>0.39830508474576271</c:v>
                </c:pt>
                <c:pt idx="76">
                  <c:v>0.40336134453781514</c:v>
                </c:pt>
                <c:pt idx="77">
                  <c:v>0.3983739837398374</c:v>
                </c:pt>
                <c:pt idx="78">
                  <c:v>0.39516129032258063</c:v>
                </c:pt>
                <c:pt idx="79">
                  <c:v>0.40625</c:v>
                </c:pt>
                <c:pt idx="80">
                  <c:v>0.40310077519379844</c:v>
                </c:pt>
                <c:pt idx="81">
                  <c:v>0.40769230769230769</c:v>
                </c:pt>
                <c:pt idx="82">
                  <c:v>0.40769230769230769</c:v>
                </c:pt>
                <c:pt idx="83">
                  <c:v>0.40458015267175573</c:v>
                </c:pt>
                <c:pt idx="84">
                  <c:v>0.41791044776119401</c:v>
                </c:pt>
                <c:pt idx="85">
                  <c:v>0.41791044776119401</c:v>
                </c:pt>
                <c:pt idx="86">
                  <c:v>0.42222222222222222</c:v>
                </c:pt>
                <c:pt idx="87">
                  <c:v>0.41605839416058393</c:v>
                </c:pt>
                <c:pt idx="88">
                  <c:v>0.41605839416058393</c:v>
                </c:pt>
                <c:pt idx="89">
                  <c:v>0.41428571428571431</c:v>
                </c:pt>
                <c:pt idx="90">
                  <c:v>0.41134751773049644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03061224489796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れんたろう2!$Q$1:$Q$2</c:f>
              <c:strCache>
                <c:ptCount val="2"/>
                <c:pt idx="0">
                  <c:v>れんたろう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れんたろう2!$A$3:$A$93</c:f>
              <c:numCache>
                <c:formatCode>0\ "回"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れんたろう2!$Q$3:$Q$93</c:f>
              <c:numCache>
                <c:formatCode>0.0%</c:formatCode>
                <c:ptCount val="91"/>
                <c:pt idx="1">
                  <c:v>0</c:v>
                </c:pt>
                <c:pt idx="2">
                  <c:v>0</c:v>
                </c:pt>
                <c:pt idx="3">
                  <c:v>0.2</c:v>
                </c:pt>
                <c:pt idx="4">
                  <c:v>0.16666666666666666</c:v>
                </c:pt>
                <c:pt idx="5">
                  <c:v>0.22222222222222221</c:v>
                </c:pt>
                <c:pt idx="6">
                  <c:v>0.23076923076923078</c:v>
                </c:pt>
                <c:pt idx="7">
                  <c:v>0.2857142857142857</c:v>
                </c:pt>
                <c:pt idx="8">
                  <c:v>0.36842105263157893</c:v>
                </c:pt>
                <c:pt idx="9">
                  <c:v>0.38095238095238093</c:v>
                </c:pt>
                <c:pt idx="10">
                  <c:v>0.36363636363636365</c:v>
                </c:pt>
                <c:pt idx="11">
                  <c:v>0.375</c:v>
                </c:pt>
                <c:pt idx="12">
                  <c:v>0.375</c:v>
                </c:pt>
                <c:pt idx="13">
                  <c:v>0.34615384615384615</c:v>
                </c:pt>
                <c:pt idx="14">
                  <c:v>0.31034482758620691</c:v>
                </c:pt>
                <c:pt idx="15">
                  <c:v>0.3</c:v>
                </c:pt>
                <c:pt idx="16">
                  <c:v>0.32258064516129031</c:v>
                </c:pt>
                <c:pt idx="17">
                  <c:v>0.34375</c:v>
                </c:pt>
                <c:pt idx="18">
                  <c:v>0.29729729729729731</c:v>
                </c:pt>
                <c:pt idx="19">
                  <c:v>0.31818181818181818</c:v>
                </c:pt>
                <c:pt idx="20">
                  <c:v>0.32608695652173914</c:v>
                </c:pt>
                <c:pt idx="21">
                  <c:v>0.32653061224489793</c:v>
                </c:pt>
                <c:pt idx="22">
                  <c:v>0.32653061224489793</c:v>
                </c:pt>
                <c:pt idx="23">
                  <c:v>0.32653061224489793</c:v>
                </c:pt>
                <c:pt idx="24">
                  <c:v>0.33333333333333331</c:v>
                </c:pt>
                <c:pt idx="25">
                  <c:v>0.32075471698113206</c:v>
                </c:pt>
                <c:pt idx="26">
                  <c:v>0.30909090909090908</c:v>
                </c:pt>
                <c:pt idx="27">
                  <c:v>0.31034482758620691</c:v>
                </c:pt>
                <c:pt idx="28">
                  <c:v>0.31034482758620691</c:v>
                </c:pt>
                <c:pt idx="29">
                  <c:v>0.32203389830508472</c:v>
                </c:pt>
                <c:pt idx="30">
                  <c:v>0.32258064516129031</c:v>
                </c:pt>
                <c:pt idx="31">
                  <c:v>0.33846153846153848</c:v>
                </c:pt>
                <c:pt idx="32">
                  <c:v>0.34328358208955223</c:v>
                </c:pt>
                <c:pt idx="33">
                  <c:v>0.35714285714285715</c:v>
                </c:pt>
                <c:pt idx="34">
                  <c:v>0.35616438356164382</c:v>
                </c:pt>
                <c:pt idx="35">
                  <c:v>0.35135135135135137</c:v>
                </c:pt>
                <c:pt idx="36">
                  <c:v>0.35135135135135137</c:v>
                </c:pt>
                <c:pt idx="37">
                  <c:v>0.34210526315789475</c:v>
                </c:pt>
                <c:pt idx="38">
                  <c:v>0.34615384615384615</c:v>
                </c:pt>
                <c:pt idx="39">
                  <c:v>0.34567901234567899</c:v>
                </c:pt>
                <c:pt idx="40">
                  <c:v>0.33734939759036142</c:v>
                </c:pt>
                <c:pt idx="41">
                  <c:v>0.34523809523809523</c:v>
                </c:pt>
                <c:pt idx="42">
                  <c:v>0.35632183908045978</c:v>
                </c:pt>
                <c:pt idx="43">
                  <c:v>0.3595505617977528</c:v>
                </c:pt>
                <c:pt idx="44">
                  <c:v>0.34782608695652173</c:v>
                </c:pt>
                <c:pt idx="45">
                  <c:v>0.35483870967741937</c:v>
                </c:pt>
                <c:pt idx="46">
                  <c:v>0.35789473684210527</c:v>
                </c:pt>
                <c:pt idx="47">
                  <c:v>0.37</c:v>
                </c:pt>
                <c:pt idx="48">
                  <c:v>0.37254901960784315</c:v>
                </c:pt>
                <c:pt idx="49">
                  <c:v>0.39047619047619048</c:v>
                </c:pt>
                <c:pt idx="50">
                  <c:v>0.3867924528301887</c:v>
                </c:pt>
                <c:pt idx="51">
                  <c:v>0.39449541284403672</c:v>
                </c:pt>
                <c:pt idx="52">
                  <c:v>0.39823008849557523</c:v>
                </c:pt>
                <c:pt idx="53">
                  <c:v>0.40350877192982454</c:v>
                </c:pt>
                <c:pt idx="54">
                  <c:v>0.4152542372881356</c:v>
                </c:pt>
                <c:pt idx="55">
                  <c:v>0.40163934426229508</c:v>
                </c:pt>
                <c:pt idx="56">
                  <c:v>0.40163934426229508</c:v>
                </c:pt>
                <c:pt idx="57">
                  <c:v>0.41129032258064518</c:v>
                </c:pt>
                <c:pt idx="58">
                  <c:v>0.40799999999999997</c:v>
                </c:pt>
                <c:pt idx="59">
                  <c:v>0.40157480314960631</c:v>
                </c:pt>
                <c:pt idx="60">
                  <c:v>0.41791044776119401</c:v>
                </c:pt>
                <c:pt idx="61">
                  <c:v>0.40579710144927539</c:v>
                </c:pt>
                <c:pt idx="62">
                  <c:v>0.40287769784172661</c:v>
                </c:pt>
                <c:pt idx="63">
                  <c:v>0.40972222222222221</c:v>
                </c:pt>
                <c:pt idx="64">
                  <c:v>0.41610738255033558</c:v>
                </c:pt>
                <c:pt idx="65">
                  <c:v>0.42483660130718953</c:v>
                </c:pt>
                <c:pt idx="66">
                  <c:v>0.42675159235668791</c:v>
                </c:pt>
                <c:pt idx="67">
                  <c:v>0.43125000000000002</c:v>
                </c:pt>
                <c:pt idx="68">
                  <c:v>0.43478260869565216</c:v>
                </c:pt>
                <c:pt idx="69">
                  <c:v>0.43292682926829268</c:v>
                </c:pt>
                <c:pt idx="70">
                  <c:v>0.43712574850299402</c:v>
                </c:pt>
                <c:pt idx="71">
                  <c:v>0.43712574850299402</c:v>
                </c:pt>
                <c:pt idx="72">
                  <c:v>0.43274853801169588</c:v>
                </c:pt>
                <c:pt idx="73">
                  <c:v>0.43352601156069365</c:v>
                </c:pt>
                <c:pt idx="74">
                  <c:v>0.43352601156069365</c:v>
                </c:pt>
                <c:pt idx="75">
                  <c:v>0.42696629213483145</c:v>
                </c:pt>
                <c:pt idx="76">
                  <c:v>0.42458100558659218</c:v>
                </c:pt>
                <c:pt idx="77">
                  <c:v>0.42222222222222222</c:v>
                </c:pt>
                <c:pt idx="78">
                  <c:v>0.42076502732240439</c:v>
                </c:pt>
                <c:pt idx="79">
                  <c:v>0.42245989304812837</c:v>
                </c:pt>
                <c:pt idx="80">
                  <c:v>0.42021276595744683</c:v>
                </c:pt>
                <c:pt idx="81">
                  <c:v>0.42408376963350786</c:v>
                </c:pt>
                <c:pt idx="82">
                  <c:v>0.41538461538461541</c:v>
                </c:pt>
                <c:pt idx="83">
                  <c:v>0.41116751269035534</c:v>
                </c:pt>
                <c:pt idx="84">
                  <c:v>0.40594059405940597</c:v>
                </c:pt>
                <c:pt idx="85">
                  <c:v>0.40886699507389163</c:v>
                </c:pt>
                <c:pt idx="86">
                  <c:v>0.40686274509803921</c:v>
                </c:pt>
                <c:pt idx="87">
                  <c:v>0.40686274509803921</c:v>
                </c:pt>
                <c:pt idx="88">
                  <c:v>0.40975609756097559</c:v>
                </c:pt>
                <c:pt idx="89">
                  <c:v>0.41232227488151657</c:v>
                </c:pt>
                <c:pt idx="90">
                  <c:v>0.41314553990610331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15108759553203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8"/>
      <c r="C1" s="149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50">
        <v>0</v>
      </c>
      <c r="C2" s="151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2">
        <v>0</v>
      </c>
      <c r="C3" s="153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4">
        <v>0</v>
      </c>
      <c r="C4" s="155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6">
        <f>IF(B$2=0,0,B$4/B$2)</f>
        <v>0</v>
      </c>
      <c r="C5" s="157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6">
        <f>IF(B$2=0,0,(B$7*1+B$8*2+B$9*3)/B$2)</f>
        <v>0</v>
      </c>
      <c r="C6" s="147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191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192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4">
        <v>0</v>
      </c>
      <c r="C25" s="145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42">
        <v>0</v>
      </c>
      <c r="C26" s="143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181</v>
      </c>
      <c r="G50" s="47">
        <v>0</v>
      </c>
      <c r="H50" s="133">
        <f t="shared" si="1"/>
        <v>0</v>
      </c>
      <c r="I50" s="94"/>
    </row>
    <row r="51" spans="5:9" x14ac:dyDescent="0.4">
      <c r="E51" s="138" t="s">
        <v>245</v>
      </c>
      <c r="F51" s="139" t="s">
        <v>246</v>
      </c>
      <c r="G51" s="48">
        <v>0</v>
      </c>
      <c r="H51" s="140">
        <f t="shared" ref="H51" si="3">IF(B$17=0,0,G51/B$17)</f>
        <v>0</v>
      </c>
      <c r="I51" s="141"/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K69"/>
  <sheetViews>
    <sheetView topLeftCell="A56"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43555.865254629629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43557.861898148149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43559.023657407408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43560.077013888891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43561.108240740738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182</v>
      </c>
      <c r="B7" s="31">
        <v>43562.384884259256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185</v>
      </c>
      <c r="I7" s="30" t="s">
        <v>186</v>
      </c>
      <c r="J7" s="30" t="s">
        <v>187</v>
      </c>
    </row>
    <row r="8" spans="1:10" x14ac:dyDescent="0.4">
      <c r="A8" s="30" t="s">
        <v>188</v>
      </c>
      <c r="B8" s="31">
        <v>43566.499976851854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185</v>
      </c>
      <c r="I8" s="30" t="s">
        <v>186</v>
      </c>
    </row>
    <row r="9" spans="1:10" x14ac:dyDescent="0.4">
      <c r="A9" s="30" t="s">
        <v>189</v>
      </c>
      <c r="B9" s="31">
        <v>43564.018379629626</v>
      </c>
      <c r="C9" s="30" t="s">
        <v>130</v>
      </c>
      <c r="D9" s="30" t="s">
        <v>131</v>
      </c>
    </row>
    <row r="10" spans="1:10" x14ac:dyDescent="0.4">
      <c r="A10" s="30" t="s">
        <v>190</v>
      </c>
      <c r="B10" s="31">
        <v>43565.032939814817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193</v>
      </c>
      <c r="B11" s="31">
        <v>43566.030486111114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194</v>
      </c>
      <c r="B12" s="31">
        <v>43567.091643518521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195</v>
      </c>
      <c r="B13" s="31">
        <v>43568.067824074074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196</v>
      </c>
      <c r="B14" s="31">
        <v>43569.100624999999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197</v>
      </c>
      <c r="B15" s="31">
        <v>43570.006157407406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185</v>
      </c>
    </row>
    <row r="16" spans="1:10" x14ac:dyDescent="0.4">
      <c r="A16" s="30" t="s">
        <v>198</v>
      </c>
      <c r="B16" s="31">
        <v>43571.043124999997</v>
      </c>
      <c r="C16" s="30" t="s">
        <v>130</v>
      </c>
      <c r="D16" s="30" t="s">
        <v>131</v>
      </c>
    </row>
    <row r="17" spans="1:10" x14ac:dyDescent="0.4">
      <c r="A17" s="30" t="s">
        <v>199</v>
      </c>
      <c r="B17" s="31">
        <v>43573.057615740741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201</v>
      </c>
      <c r="B18" s="31">
        <v>43574.063958333332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202</v>
      </c>
      <c r="B19" s="31">
        <v>43575.082037037035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203</v>
      </c>
      <c r="B20" s="31">
        <v>43576.051666666666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185</v>
      </c>
    </row>
    <row r="21" spans="1:10" x14ac:dyDescent="0.4">
      <c r="A21" s="30" t="s">
        <v>204</v>
      </c>
      <c r="B21" s="31">
        <v>43577.022314814814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185</v>
      </c>
      <c r="I21" s="30" t="s">
        <v>186</v>
      </c>
      <c r="J21" s="30" t="s">
        <v>187</v>
      </c>
    </row>
    <row r="22" spans="1:10" x14ac:dyDescent="0.4">
      <c r="A22" s="30" t="s">
        <v>205</v>
      </c>
      <c r="B22" s="31">
        <v>43579.04247685185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206</v>
      </c>
      <c r="B23" s="31">
        <v>43580.060046296298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207</v>
      </c>
      <c r="B24" s="31">
        <v>43581.023773148147</v>
      </c>
      <c r="C24" s="30" t="s">
        <v>130</v>
      </c>
      <c r="D24" s="30" t="s">
        <v>131</v>
      </c>
    </row>
    <row r="25" spans="1:10" x14ac:dyDescent="0.4">
      <c r="A25" s="30" t="s">
        <v>208</v>
      </c>
      <c r="B25" s="31">
        <v>43582.061388888891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209</v>
      </c>
      <c r="B26" s="31">
        <v>43582.906527777777</v>
      </c>
      <c r="C26" s="30" t="s">
        <v>130</v>
      </c>
      <c r="D26" s="30" t="s">
        <v>131</v>
      </c>
    </row>
    <row r="27" spans="1:10" x14ac:dyDescent="0.4">
      <c r="A27" s="30" t="s">
        <v>210</v>
      </c>
      <c r="B27" s="31">
        <v>43590.780717592592</v>
      </c>
      <c r="C27" s="30" t="s">
        <v>130</v>
      </c>
      <c r="D27" s="30" t="s">
        <v>131</v>
      </c>
    </row>
    <row r="28" spans="1:10" x14ac:dyDescent="0.4">
      <c r="A28" s="30" t="s">
        <v>211</v>
      </c>
      <c r="B28" s="31">
        <v>43595.016759259262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212</v>
      </c>
      <c r="B29" s="31">
        <v>43592.020578703705</v>
      </c>
      <c r="C29" s="30" t="s">
        <v>130</v>
      </c>
      <c r="D29" s="30" t="s">
        <v>131</v>
      </c>
    </row>
    <row r="30" spans="1:10" x14ac:dyDescent="0.4">
      <c r="A30" s="30" t="s">
        <v>213</v>
      </c>
      <c r="B30" s="31">
        <v>43593.086967592593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214</v>
      </c>
      <c r="B31" s="31">
        <v>43593.980185185188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215</v>
      </c>
      <c r="B32" s="31">
        <v>43595.036134259259</v>
      </c>
      <c r="C32" s="30" t="s">
        <v>130</v>
      </c>
      <c r="D32" s="30" t="s">
        <v>131</v>
      </c>
    </row>
    <row r="33" spans="1:11" x14ac:dyDescent="0.4">
      <c r="A33" s="30" t="s">
        <v>216</v>
      </c>
      <c r="B33" s="31">
        <v>43596.111018518517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217</v>
      </c>
      <c r="B34" s="31">
        <v>43597.633935185186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218</v>
      </c>
      <c r="B35" s="31">
        <v>43597.749398148146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219</v>
      </c>
      <c r="B36" s="31">
        <v>43599.035115740742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220</v>
      </c>
      <c r="B37" s="31">
        <v>43599.98951388889</v>
      </c>
      <c r="C37" s="30" t="s">
        <v>130</v>
      </c>
      <c r="D37" s="30" t="s">
        <v>131</v>
      </c>
    </row>
    <row r="38" spans="1:11" x14ac:dyDescent="0.4">
      <c r="A38" s="30" t="s">
        <v>221</v>
      </c>
      <c r="B38" s="31">
        <v>43601.497314814813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224</v>
      </c>
      <c r="B39" s="31">
        <v>43602.577175925922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225</v>
      </c>
      <c r="B40" s="31">
        <v>43605.945185185185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185</v>
      </c>
      <c r="I40" s="30" t="s">
        <v>186</v>
      </c>
      <c r="J40" s="30" t="s">
        <v>187</v>
      </c>
      <c r="K40" s="30" t="s">
        <v>228</v>
      </c>
    </row>
    <row r="41" spans="1:11" x14ac:dyDescent="0.4">
      <c r="A41" s="30" t="s">
        <v>226</v>
      </c>
      <c r="B41" s="31">
        <v>43605.945185185185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227</v>
      </c>
      <c r="B42" s="31">
        <v>43608.879282407404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229</v>
      </c>
      <c r="B43" s="31">
        <v>43606.718368055554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185</v>
      </c>
    </row>
    <row r="44" spans="1:11" x14ac:dyDescent="0.4">
      <c r="A44" s="30" t="s">
        <v>231</v>
      </c>
      <c r="B44" s="31">
        <v>43607.87667824074</v>
      </c>
      <c r="C44" s="30" t="s">
        <v>130</v>
      </c>
    </row>
    <row r="45" spans="1:11" x14ac:dyDescent="0.4">
      <c r="A45" s="30" t="s">
        <v>230</v>
      </c>
      <c r="B45" s="31">
        <v>43606.874745370369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232</v>
      </c>
      <c r="B46" s="31">
        <v>43608.430162037039</v>
      </c>
      <c r="C46" s="30" t="s">
        <v>130</v>
      </c>
      <c r="D46" s="30" t="s">
        <v>131</v>
      </c>
      <c r="E46" s="30" t="s">
        <v>169</v>
      </c>
    </row>
    <row r="47" spans="1:11" x14ac:dyDescent="0.4">
      <c r="A47" s="30" t="s">
        <v>233</v>
      </c>
      <c r="B47" s="31">
        <v>43607.920266203706</v>
      </c>
      <c r="C47" s="30" t="s">
        <v>130</v>
      </c>
    </row>
    <row r="48" spans="1:11" x14ac:dyDescent="0.4">
      <c r="A48" s="30" t="s">
        <v>235</v>
      </c>
      <c r="B48" s="31">
        <v>43609.644525462965</v>
      </c>
      <c r="C48" s="30" t="s">
        <v>130</v>
      </c>
    </row>
    <row r="49" spans="1:7" x14ac:dyDescent="0.4">
      <c r="A49" s="30" t="s">
        <v>234</v>
      </c>
      <c r="B49" s="31">
        <v>43609.644525462965</v>
      </c>
      <c r="C49" s="30" t="s">
        <v>130</v>
      </c>
      <c r="D49" s="30" t="s">
        <v>131</v>
      </c>
      <c r="E49" s="30" t="s">
        <v>169</v>
      </c>
      <c r="F49" s="30" t="s">
        <v>174</v>
      </c>
    </row>
    <row r="50" spans="1:7" x14ac:dyDescent="0.4">
      <c r="A50" s="30" t="s">
        <v>236</v>
      </c>
      <c r="B50" s="31">
        <v>43609.871759259258</v>
      </c>
      <c r="C50" s="30" t="s">
        <v>130</v>
      </c>
      <c r="D50" s="30" t="s">
        <v>131</v>
      </c>
      <c r="E50" s="30" t="s">
        <v>169</v>
      </c>
      <c r="F50" s="30" t="s">
        <v>174</v>
      </c>
      <c r="G50" s="30" t="s">
        <v>175</v>
      </c>
    </row>
    <row r="51" spans="1:7" x14ac:dyDescent="0.4">
      <c r="A51" s="30" t="s">
        <v>238</v>
      </c>
      <c r="B51" s="31">
        <v>43612.745358796295</v>
      </c>
      <c r="C51" s="30" t="s">
        <v>130</v>
      </c>
      <c r="D51" s="30" t="s">
        <v>131</v>
      </c>
      <c r="E51" s="30" t="s">
        <v>169</v>
      </c>
    </row>
    <row r="52" spans="1:7" x14ac:dyDescent="0.4">
      <c r="A52" s="30" t="s">
        <v>237</v>
      </c>
      <c r="B52" s="31">
        <v>43613.63894675926</v>
      </c>
      <c r="C52" s="30" t="s">
        <v>130</v>
      </c>
    </row>
    <row r="53" spans="1:7" x14ac:dyDescent="0.4">
      <c r="A53" s="30" t="s">
        <v>239</v>
      </c>
      <c r="B53" s="31">
        <v>43613.763310185182</v>
      </c>
      <c r="C53" s="30" t="s">
        <v>130</v>
      </c>
      <c r="D53" s="30" t="s">
        <v>131</v>
      </c>
      <c r="E53" s="30" t="s">
        <v>169</v>
      </c>
    </row>
    <row r="54" spans="1:7" x14ac:dyDescent="0.4">
      <c r="A54" s="30" t="s">
        <v>240</v>
      </c>
      <c r="B54" s="31">
        <v>43618.007013888891</v>
      </c>
      <c r="C54" s="30" t="s">
        <v>130</v>
      </c>
      <c r="D54" s="30" t="s">
        <v>131</v>
      </c>
      <c r="E54" s="30" t="s">
        <v>169</v>
      </c>
      <c r="F54" s="30" t="s">
        <v>174</v>
      </c>
      <c r="G54" s="30" t="s">
        <v>175</v>
      </c>
    </row>
    <row r="55" spans="1:7" x14ac:dyDescent="0.4">
      <c r="A55" s="30" t="s">
        <v>241</v>
      </c>
      <c r="B55" s="31">
        <v>43618.036354166667</v>
      </c>
      <c r="C55" s="30" t="s">
        <v>130</v>
      </c>
    </row>
    <row r="56" spans="1:7" x14ac:dyDescent="0.4">
      <c r="A56" s="30" t="s">
        <v>242</v>
      </c>
      <c r="B56" s="31">
        <v>43619.976898148147</v>
      </c>
      <c r="C56" s="30" t="s">
        <v>130</v>
      </c>
    </row>
    <row r="57" spans="1:7" x14ac:dyDescent="0.4">
      <c r="A57" s="30" t="s">
        <v>243</v>
      </c>
      <c r="B57" s="31">
        <v>43620.019814814812</v>
      </c>
      <c r="C57" s="30" t="s">
        <v>130</v>
      </c>
    </row>
    <row r="58" spans="1:7" x14ac:dyDescent="0.4">
      <c r="A58" s="30" t="s">
        <v>244</v>
      </c>
      <c r="B58" s="31">
        <v>43620.765509259261</v>
      </c>
      <c r="C58" s="30" t="s">
        <v>130</v>
      </c>
      <c r="D58" s="30" t="s">
        <v>131</v>
      </c>
      <c r="E58" s="30" t="s">
        <v>169</v>
      </c>
    </row>
    <row r="59" spans="1:7" x14ac:dyDescent="0.4">
      <c r="A59" s="30" t="s">
        <v>249</v>
      </c>
      <c r="B59" s="31">
        <v>43622.069513888891</v>
      </c>
      <c r="C59" s="30" t="s">
        <v>130</v>
      </c>
    </row>
    <row r="60" spans="1:7" x14ac:dyDescent="0.4">
      <c r="A60" s="30" t="s">
        <v>250</v>
      </c>
      <c r="B60" s="31">
        <v>43624.129907407405</v>
      </c>
      <c r="C60" s="30" t="s">
        <v>130</v>
      </c>
      <c r="D60" s="30" t="s">
        <v>131</v>
      </c>
      <c r="E60" s="30" t="s">
        <v>169</v>
      </c>
      <c r="F60" s="30" t="s">
        <v>174</v>
      </c>
    </row>
    <row r="61" spans="1:7" x14ac:dyDescent="0.4">
      <c r="A61" s="30" t="s">
        <v>251</v>
      </c>
      <c r="B61" s="31">
        <v>43624.873993055553</v>
      </c>
      <c r="C61" s="30" t="s">
        <v>130</v>
      </c>
      <c r="D61" s="30" t="s">
        <v>131</v>
      </c>
    </row>
    <row r="62" spans="1:7" x14ac:dyDescent="0.4">
      <c r="A62" s="30" t="s">
        <v>252</v>
      </c>
      <c r="B62" s="31">
        <v>43625.885787037034</v>
      </c>
      <c r="C62" s="30" t="s">
        <v>130</v>
      </c>
    </row>
    <row r="63" spans="1:7" x14ac:dyDescent="0.4">
      <c r="A63" s="30" t="s">
        <v>253</v>
      </c>
      <c r="B63" s="31">
        <v>43627.998032407406</v>
      </c>
      <c r="C63" s="30" t="s">
        <v>130</v>
      </c>
      <c r="D63" s="30" t="s">
        <v>131</v>
      </c>
      <c r="E63" s="30" t="s">
        <v>169</v>
      </c>
      <c r="F63" s="30" t="s">
        <v>174</v>
      </c>
    </row>
    <row r="64" spans="1:7" x14ac:dyDescent="0.4">
      <c r="A64" s="30" t="s">
        <v>254</v>
      </c>
      <c r="B64" s="31">
        <v>43629.04078703704</v>
      </c>
      <c r="C64" s="30" t="s">
        <v>130</v>
      </c>
      <c r="D64" s="30" t="s">
        <v>131</v>
      </c>
      <c r="E64" s="30" t="s">
        <v>169</v>
      </c>
    </row>
    <row r="65" spans="1:5" x14ac:dyDescent="0.4">
      <c r="A65" s="30" t="s">
        <v>255</v>
      </c>
      <c r="B65" s="31">
        <v>43630.051932870374</v>
      </c>
      <c r="C65" s="30" t="s">
        <v>130</v>
      </c>
      <c r="D65" s="30" t="s">
        <v>131</v>
      </c>
      <c r="E65" s="30" t="s">
        <v>169</v>
      </c>
    </row>
    <row r="66" spans="1:5" x14ac:dyDescent="0.4">
      <c r="A66" s="30" t="s">
        <v>256</v>
      </c>
      <c r="B66" s="31">
        <v>43632.957395833335</v>
      </c>
      <c r="C66" s="30" t="s">
        <v>130</v>
      </c>
      <c r="D66" s="30" t="s">
        <v>131</v>
      </c>
    </row>
    <row r="67" spans="1:5" x14ac:dyDescent="0.4">
      <c r="A67" s="30" t="s">
        <v>257</v>
      </c>
      <c r="B67" s="31">
        <v>43632.957395833335</v>
      </c>
      <c r="C67" s="30" t="s">
        <v>130</v>
      </c>
      <c r="D67" s="30" t="s">
        <v>131</v>
      </c>
      <c r="E67" s="30" t="s">
        <v>169</v>
      </c>
    </row>
    <row r="68" spans="1:5" x14ac:dyDescent="0.4">
      <c r="A68" s="30" t="s">
        <v>258</v>
      </c>
      <c r="B68" s="31">
        <v>43633.013645833336</v>
      </c>
      <c r="C68" s="30" t="s">
        <v>130</v>
      </c>
      <c r="D68" s="30" t="s">
        <v>131</v>
      </c>
    </row>
    <row r="69" spans="1:5" x14ac:dyDescent="0.4">
      <c r="A69" s="30" t="s">
        <v>259</v>
      </c>
      <c r="B69" s="31">
        <v>43634.838437500002</v>
      </c>
      <c r="C69" s="30" t="s">
        <v>130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3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687</v>
      </c>
    </row>
    <row r="2" spans="1:2" x14ac:dyDescent="0.4">
      <c r="A2" t="s">
        <v>127</v>
      </c>
      <c r="B2">
        <v>155</v>
      </c>
    </row>
    <row r="3" spans="1:2" x14ac:dyDescent="0.4">
      <c r="A3" t="s">
        <v>128</v>
      </c>
      <c r="B3">
        <v>126</v>
      </c>
    </row>
    <row r="4" spans="1:2" x14ac:dyDescent="0.4">
      <c r="A4" t="s">
        <v>129</v>
      </c>
      <c r="B4">
        <v>92</v>
      </c>
    </row>
    <row r="5" spans="1:2" x14ac:dyDescent="0.4">
      <c r="A5" t="s">
        <v>171</v>
      </c>
      <c r="B5">
        <v>90</v>
      </c>
    </row>
    <row r="6" spans="1:2" x14ac:dyDescent="0.4">
      <c r="A6" t="s">
        <v>172</v>
      </c>
      <c r="B6">
        <v>78</v>
      </c>
    </row>
    <row r="7" spans="1:2" x14ac:dyDescent="0.4">
      <c r="A7" t="s">
        <v>173</v>
      </c>
      <c r="B7">
        <v>46</v>
      </c>
    </row>
    <row r="8" spans="1:2" x14ac:dyDescent="0.4">
      <c r="A8" t="s">
        <v>177</v>
      </c>
      <c r="B8">
        <v>66</v>
      </c>
    </row>
    <row r="9" spans="1:2" x14ac:dyDescent="0.4">
      <c r="A9" t="s">
        <v>183</v>
      </c>
      <c r="B9">
        <v>3</v>
      </c>
    </row>
    <row r="10" spans="1:2" x14ac:dyDescent="0.4">
      <c r="A10" t="s">
        <v>184</v>
      </c>
      <c r="B10">
        <v>18</v>
      </c>
    </row>
    <row r="11" spans="1:2" x14ac:dyDescent="0.4">
      <c r="A11" t="s">
        <v>200</v>
      </c>
      <c r="B11">
        <v>10</v>
      </c>
    </row>
    <row r="12" spans="1:2" x14ac:dyDescent="0.4">
      <c r="A12" t="s">
        <v>222</v>
      </c>
      <c r="B12">
        <v>1</v>
      </c>
    </row>
    <row r="13" spans="1:2" x14ac:dyDescent="0.4">
      <c r="A13" t="s">
        <v>223</v>
      </c>
      <c r="B13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8" t="s">
        <v>6</v>
      </c>
      <c r="C1" s="159"/>
      <c r="D1" s="158" t="s">
        <v>7</v>
      </c>
      <c r="E1" s="159"/>
      <c r="F1" s="158" t="s">
        <v>16</v>
      </c>
      <c r="G1" s="159"/>
      <c r="H1" s="158" t="s">
        <v>15</v>
      </c>
      <c r="I1" s="159"/>
      <c r="J1" s="158" t="s">
        <v>162</v>
      </c>
      <c r="K1" s="159"/>
      <c r="L1" s="158" t="s">
        <v>149</v>
      </c>
      <c r="M1" s="159"/>
      <c r="N1" s="158" t="s">
        <v>150</v>
      </c>
      <c r="O1" s="159"/>
      <c r="P1" s="158" t="s">
        <v>5</v>
      </c>
      <c r="Q1" s="159"/>
      <c r="R1" s="158" t="s">
        <v>17</v>
      </c>
      <c r="S1" s="159"/>
      <c r="T1" s="158" t="s">
        <v>18</v>
      </c>
      <c r="U1" s="159"/>
      <c r="V1" s="158" t="s">
        <v>141</v>
      </c>
      <c r="W1" s="159"/>
      <c r="X1" s="158" t="s">
        <v>123</v>
      </c>
      <c r="Y1" s="159"/>
      <c r="Z1" s="158" t="s">
        <v>120</v>
      </c>
      <c r="AA1" s="159"/>
      <c r="AB1" s="158" t="s">
        <v>126</v>
      </c>
      <c r="AC1" s="159"/>
      <c r="AD1" s="158" t="s">
        <v>151</v>
      </c>
      <c r="AE1" s="159"/>
      <c r="AF1" s="158" t="s">
        <v>144</v>
      </c>
      <c r="AG1" s="159"/>
      <c r="AH1" s="158" t="s">
        <v>153</v>
      </c>
      <c r="AI1" s="159"/>
    </row>
    <row r="2" spans="1:35" x14ac:dyDescent="0.4">
      <c r="A2" s="72" t="s">
        <v>161</v>
      </c>
      <c r="B2" s="160"/>
      <c r="C2" s="161"/>
      <c r="D2" s="160"/>
      <c r="E2" s="161"/>
      <c r="F2" s="162">
        <v>0.92361543348127062</v>
      </c>
      <c r="G2" s="163"/>
      <c r="H2" s="162">
        <v>0.70247035780006595</v>
      </c>
      <c r="I2" s="163"/>
      <c r="J2" s="162">
        <v>0.758904607921293</v>
      </c>
      <c r="K2" s="163"/>
      <c r="L2" s="162">
        <v>0.75039598056090429</v>
      </c>
      <c r="M2" s="163"/>
      <c r="N2" s="162">
        <v>0.63171137855253678</v>
      </c>
      <c r="O2" s="163"/>
      <c r="P2" s="162">
        <v>0.14949619101533199</v>
      </c>
      <c r="Q2" s="163"/>
      <c r="R2" s="162">
        <v>0.4636383358611374</v>
      </c>
      <c r="S2" s="163"/>
      <c r="T2" s="162">
        <v>0.50564660249910831</v>
      </c>
      <c r="U2" s="163"/>
      <c r="V2" s="162">
        <v>0.4288334582919468</v>
      </c>
      <c r="W2" s="163"/>
      <c r="X2" s="162">
        <v>0.3943021257822194</v>
      </c>
      <c r="Y2" s="163"/>
      <c r="Z2" s="162">
        <v>0.16105280187712256</v>
      </c>
      <c r="AA2" s="163"/>
      <c r="AB2" s="162">
        <v>0.34030167806401412</v>
      </c>
      <c r="AC2" s="163"/>
      <c r="AD2" s="162">
        <v>0.74127188830733104</v>
      </c>
      <c r="AE2" s="163"/>
      <c r="AF2" s="162">
        <v>-0.10134381219285868</v>
      </c>
      <c r="AG2" s="163"/>
      <c r="AH2" s="162">
        <v>0.24075327581424436</v>
      </c>
      <c r="AI2" s="163"/>
    </row>
    <row r="3" spans="1:35" x14ac:dyDescent="0.4">
      <c r="A3" s="74">
        <v>1</v>
      </c>
      <c r="B3" s="75" t="s">
        <v>127</v>
      </c>
      <c r="C3" s="76">
        <v>1855.1000000000006</v>
      </c>
      <c r="D3" s="77" t="s">
        <v>183</v>
      </c>
      <c r="E3" s="96">
        <v>20.333333333333332</v>
      </c>
      <c r="F3" s="77" t="s">
        <v>183</v>
      </c>
      <c r="G3" s="78">
        <v>1.3333333333333333</v>
      </c>
      <c r="H3" s="77" t="s">
        <v>183</v>
      </c>
      <c r="I3" s="79">
        <v>0.66666666666666663</v>
      </c>
      <c r="J3" s="77" t="s">
        <v>183</v>
      </c>
      <c r="K3" s="79">
        <v>0</v>
      </c>
      <c r="L3" s="77" t="s">
        <v>172</v>
      </c>
      <c r="M3" s="80">
        <v>0.34384384384384387</v>
      </c>
      <c r="N3" s="77" t="s">
        <v>222</v>
      </c>
      <c r="O3" s="80">
        <v>7.6923076923076927E-2</v>
      </c>
      <c r="P3" s="77" t="s">
        <v>222</v>
      </c>
      <c r="Q3" s="81">
        <v>13800</v>
      </c>
      <c r="R3" s="77" t="s">
        <v>183</v>
      </c>
      <c r="S3" s="81">
        <v>-5150</v>
      </c>
      <c r="T3" s="77" t="s">
        <v>200</v>
      </c>
      <c r="U3" s="79">
        <v>0</v>
      </c>
      <c r="V3" s="77" t="s">
        <v>127</v>
      </c>
      <c r="W3" s="79">
        <v>0.17419354838709677</v>
      </c>
      <c r="X3" s="77" t="s">
        <v>127</v>
      </c>
      <c r="Y3" s="80">
        <v>0.31349206349206349</v>
      </c>
      <c r="Z3" s="77" t="s">
        <v>200</v>
      </c>
      <c r="AA3" s="80">
        <v>0.29411764705882354</v>
      </c>
      <c r="AB3" s="77" t="s">
        <v>223</v>
      </c>
      <c r="AC3" s="80">
        <v>1</v>
      </c>
      <c r="AD3" s="77" t="s">
        <v>127</v>
      </c>
      <c r="AE3" s="80">
        <v>0.51470588235294112</v>
      </c>
      <c r="AF3" s="77" t="s">
        <v>223</v>
      </c>
      <c r="AG3" s="80">
        <v>0.6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177</v>
      </c>
      <c r="C4" s="84">
        <v>328.6</v>
      </c>
      <c r="D4" s="85" t="s">
        <v>222</v>
      </c>
      <c r="E4" s="97">
        <v>13.3</v>
      </c>
      <c r="F4" s="85" t="s">
        <v>127</v>
      </c>
      <c r="G4" s="86">
        <v>1.7483870967741935</v>
      </c>
      <c r="H4" s="85" t="s">
        <v>127</v>
      </c>
      <c r="I4" s="87">
        <v>0.4838709677419355</v>
      </c>
      <c r="J4" s="85" t="s">
        <v>222</v>
      </c>
      <c r="K4" s="87">
        <v>0</v>
      </c>
      <c r="L4" s="85" t="s">
        <v>127</v>
      </c>
      <c r="M4" s="88">
        <v>0.34365079365079365</v>
      </c>
      <c r="N4" s="85" t="s">
        <v>183</v>
      </c>
      <c r="O4" s="88">
        <v>0.10526315789473684</v>
      </c>
      <c r="P4" s="85" t="s">
        <v>223</v>
      </c>
      <c r="Q4" s="89">
        <v>10600</v>
      </c>
      <c r="R4" s="85" t="s">
        <v>200</v>
      </c>
      <c r="S4" s="89">
        <v>-6378.5714285714284</v>
      </c>
      <c r="T4" s="85" t="s">
        <v>183</v>
      </c>
      <c r="U4" s="87">
        <v>0</v>
      </c>
      <c r="V4" s="85" t="s">
        <v>177</v>
      </c>
      <c r="W4" s="87">
        <v>0.13636363636363635</v>
      </c>
      <c r="X4" s="85" t="s">
        <v>128</v>
      </c>
      <c r="Y4" s="88">
        <v>0.29942418426103645</v>
      </c>
      <c r="Z4" s="85" t="s">
        <v>172</v>
      </c>
      <c r="AA4" s="88">
        <v>0.29129129129129128</v>
      </c>
      <c r="AB4" s="85" t="s">
        <v>200</v>
      </c>
      <c r="AC4" s="88">
        <v>0.7</v>
      </c>
      <c r="AD4" s="85" t="s">
        <v>183</v>
      </c>
      <c r="AE4" s="88">
        <v>0.5</v>
      </c>
      <c r="AF4" s="85" t="s">
        <v>200</v>
      </c>
      <c r="AG4" s="88">
        <v>0.58620689655172409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183</v>
      </c>
      <c r="C5" s="84">
        <v>61</v>
      </c>
      <c r="D5" s="85" t="s">
        <v>127</v>
      </c>
      <c r="E5" s="97">
        <v>11.968387096774197</v>
      </c>
      <c r="F5" s="85" t="s">
        <v>200</v>
      </c>
      <c r="G5" s="86">
        <v>1.8</v>
      </c>
      <c r="H5" s="85" t="s">
        <v>177</v>
      </c>
      <c r="I5" s="87">
        <v>0.40909090909090912</v>
      </c>
      <c r="J5" s="85" t="s">
        <v>200</v>
      </c>
      <c r="K5" s="87">
        <v>0.1</v>
      </c>
      <c r="L5" s="85" t="s">
        <v>200</v>
      </c>
      <c r="M5" s="88">
        <v>0.3411764705882353</v>
      </c>
      <c r="N5" s="85" t="s">
        <v>172</v>
      </c>
      <c r="O5" s="88">
        <v>0.13813813813813813</v>
      </c>
      <c r="P5" s="85" t="s">
        <v>171</v>
      </c>
      <c r="Q5" s="89">
        <v>9851.6431924882636</v>
      </c>
      <c r="R5" s="85" t="s">
        <v>177</v>
      </c>
      <c r="S5" s="89">
        <v>-7539.2405063291135</v>
      </c>
      <c r="T5" s="85" t="s">
        <v>222</v>
      </c>
      <c r="U5" s="87">
        <v>0</v>
      </c>
      <c r="V5" s="85" t="s">
        <v>171</v>
      </c>
      <c r="W5" s="87">
        <v>0.13333333333333333</v>
      </c>
      <c r="X5" s="85" t="s">
        <v>177</v>
      </c>
      <c r="Y5" s="88">
        <v>0.29523809523809524</v>
      </c>
      <c r="Z5" s="85" t="s">
        <v>173</v>
      </c>
      <c r="AA5" s="88">
        <v>0.25569620253164554</v>
      </c>
      <c r="AB5" s="85" t="s">
        <v>177</v>
      </c>
      <c r="AC5" s="88">
        <v>0.64516129032258063</v>
      </c>
      <c r="AD5" s="85" t="s">
        <v>200</v>
      </c>
      <c r="AE5" s="88">
        <v>0.48</v>
      </c>
      <c r="AF5" s="85" t="s">
        <v>173</v>
      </c>
      <c r="AG5" s="88">
        <v>0.50862068965517238</v>
      </c>
      <c r="AH5" s="85" t="s">
        <v>177</v>
      </c>
      <c r="AI5" s="92">
        <v>103000</v>
      </c>
    </row>
    <row r="6" spans="1:35" x14ac:dyDescent="0.4">
      <c r="A6" s="82">
        <v>4</v>
      </c>
      <c r="B6" s="83" t="s">
        <v>171</v>
      </c>
      <c r="C6" s="84">
        <v>21.10000000000003</v>
      </c>
      <c r="D6" s="85" t="s">
        <v>177</v>
      </c>
      <c r="E6" s="97">
        <v>4.9787878787878794</v>
      </c>
      <c r="F6" s="85" t="s">
        <v>177</v>
      </c>
      <c r="G6" s="86">
        <v>1.8636363636363635</v>
      </c>
      <c r="H6" s="85" t="s">
        <v>184</v>
      </c>
      <c r="I6" s="87">
        <v>0.3888888888888889</v>
      </c>
      <c r="J6" s="85" t="s">
        <v>127</v>
      </c>
      <c r="K6" s="87">
        <v>0.23225806451612904</v>
      </c>
      <c r="L6" s="85" t="s">
        <v>177</v>
      </c>
      <c r="M6" s="88">
        <v>0.30285714285714288</v>
      </c>
      <c r="N6" s="85" t="s">
        <v>177</v>
      </c>
      <c r="O6" s="88">
        <v>0.15047619047619049</v>
      </c>
      <c r="P6" s="85" t="s">
        <v>128</v>
      </c>
      <c r="Q6" s="89">
        <v>9241.7857142857138</v>
      </c>
      <c r="R6" s="85" t="s">
        <v>128</v>
      </c>
      <c r="S6" s="89">
        <v>-7806.7415730337079</v>
      </c>
      <c r="T6" s="85" t="s">
        <v>223</v>
      </c>
      <c r="U6" s="87">
        <v>0</v>
      </c>
      <c r="V6" s="85" t="s">
        <v>145</v>
      </c>
      <c r="W6" s="87">
        <v>0.11935953420669577</v>
      </c>
      <c r="X6" s="85" t="s">
        <v>171</v>
      </c>
      <c r="Y6" s="88">
        <v>0.29161118508655126</v>
      </c>
      <c r="Z6" s="85" t="s">
        <v>223</v>
      </c>
      <c r="AA6" s="88">
        <v>0.23529411764705882</v>
      </c>
      <c r="AB6" s="85" t="s">
        <v>184</v>
      </c>
      <c r="AC6" s="88">
        <v>0.63888888888888884</v>
      </c>
      <c r="AD6" s="85" t="s">
        <v>184</v>
      </c>
      <c r="AE6" s="88">
        <v>0.42424242424242425</v>
      </c>
      <c r="AF6" s="85" t="s">
        <v>222</v>
      </c>
      <c r="AG6" s="88">
        <v>0.5</v>
      </c>
      <c r="AH6" s="85" t="s">
        <v>172</v>
      </c>
      <c r="AI6" s="92">
        <v>97500</v>
      </c>
    </row>
    <row r="7" spans="1:35" x14ac:dyDescent="0.4">
      <c r="A7" s="82">
        <v>5</v>
      </c>
      <c r="B7" s="83" t="s">
        <v>200</v>
      </c>
      <c r="C7" s="84">
        <v>18.099999999999994</v>
      </c>
      <c r="D7" s="85" t="s">
        <v>200</v>
      </c>
      <c r="E7" s="97">
        <v>1.8099999999999994</v>
      </c>
      <c r="F7" s="85" t="s">
        <v>145</v>
      </c>
      <c r="G7" s="86">
        <v>1.9956331877729259</v>
      </c>
      <c r="H7" s="85" t="s">
        <v>145</v>
      </c>
      <c r="I7" s="87">
        <v>0.33624454148471616</v>
      </c>
      <c r="J7" s="85" t="s">
        <v>177</v>
      </c>
      <c r="K7" s="87">
        <v>0.27272727272727271</v>
      </c>
      <c r="L7" s="85" t="s">
        <v>145</v>
      </c>
      <c r="M7" s="88">
        <v>0.2987355110642782</v>
      </c>
      <c r="N7" s="85" t="s">
        <v>127</v>
      </c>
      <c r="O7" s="88">
        <v>0.15634920634920635</v>
      </c>
      <c r="P7" s="85" t="s">
        <v>127</v>
      </c>
      <c r="Q7" s="89">
        <v>9122.8637413394918</v>
      </c>
      <c r="R7" s="85" t="s">
        <v>127</v>
      </c>
      <c r="S7" s="89">
        <v>-8230.9644670050766</v>
      </c>
      <c r="T7" s="85" t="s">
        <v>172</v>
      </c>
      <c r="U7" s="87">
        <v>5.128205128205128E-2</v>
      </c>
      <c r="V7" s="85" t="s">
        <v>172</v>
      </c>
      <c r="W7" s="87">
        <v>0.11538461538461539</v>
      </c>
      <c r="X7" s="85" t="s">
        <v>145</v>
      </c>
      <c r="Y7" s="88">
        <v>0.27994380049174572</v>
      </c>
      <c r="Z7" s="85" t="s">
        <v>184</v>
      </c>
      <c r="AA7" s="88">
        <v>0.22448979591836735</v>
      </c>
      <c r="AB7" s="85" t="s">
        <v>183</v>
      </c>
      <c r="AC7" s="88">
        <v>0.6</v>
      </c>
      <c r="AD7" s="85" t="s">
        <v>172</v>
      </c>
      <c r="AE7" s="88">
        <v>0.42268041237113402</v>
      </c>
      <c r="AF7" s="85" t="s">
        <v>184</v>
      </c>
      <c r="AG7" s="88">
        <v>0.47619047619047616</v>
      </c>
      <c r="AH7" s="85" t="s">
        <v>128</v>
      </c>
      <c r="AI7" s="92">
        <v>97300</v>
      </c>
    </row>
    <row r="8" spans="1:35" x14ac:dyDescent="0.4">
      <c r="A8" s="82">
        <v>6</v>
      </c>
      <c r="B8" s="83" t="s">
        <v>222</v>
      </c>
      <c r="C8" s="84">
        <v>13.3</v>
      </c>
      <c r="D8" s="85" t="s">
        <v>171</v>
      </c>
      <c r="E8" s="97">
        <v>0.23444444444444479</v>
      </c>
      <c r="F8" s="85" t="s">
        <v>222</v>
      </c>
      <c r="G8" s="86">
        <v>2</v>
      </c>
      <c r="H8" s="85" t="s">
        <v>171</v>
      </c>
      <c r="I8" s="87">
        <v>0.3</v>
      </c>
      <c r="J8" s="85" t="s">
        <v>172</v>
      </c>
      <c r="K8" s="87">
        <v>0.30769230769230771</v>
      </c>
      <c r="L8" s="85" t="s">
        <v>223</v>
      </c>
      <c r="M8" s="88">
        <v>0.29411764705882354</v>
      </c>
      <c r="N8" s="85" t="s">
        <v>200</v>
      </c>
      <c r="O8" s="88">
        <v>0.16470588235294117</v>
      </c>
      <c r="P8" s="85" t="s">
        <v>177</v>
      </c>
      <c r="Q8" s="89">
        <v>8937.1069182389929</v>
      </c>
      <c r="R8" s="85" t="s">
        <v>173</v>
      </c>
      <c r="S8" s="89">
        <v>-8300</v>
      </c>
      <c r="T8" s="85" t="s">
        <v>127</v>
      </c>
      <c r="U8" s="87">
        <v>9.6774193548387094E-2</v>
      </c>
      <c r="V8" s="85" t="s">
        <v>129</v>
      </c>
      <c r="W8" s="87">
        <v>0.10869565217391304</v>
      </c>
      <c r="X8" s="85" t="s">
        <v>129</v>
      </c>
      <c r="Y8" s="88">
        <v>0.27777777777777779</v>
      </c>
      <c r="Z8" s="85" t="s">
        <v>127</v>
      </c>
      <c r="AA8" s="88">
        <v>0.21587301587301588</v>
      </c>
      <c r="AB8" s="85" t="s">
        <v>173</v>
      </c>
      <c r="AC8" s="88">
        <v>0.5842696629213483</v>
      </c>
      <c r="AD8" s="85" t="s">
        <v>171</v>
      </c>
      <c r="AE8" s="88">
        <v>0.41134751773049644</v>
      </c>
      <c r="AF8" s="85" t="s">
        <v>177</v>
      </c>
      <c r="AG8" s="88">
        <v>0.44654088050314467</v>
      </c>
      <c r="AH8" s="85" t="s">
        <v>129</v>
      </c>
      <c r="AI8" s="92">
        <v>96900</v>
      </c>
    </row>
    <row r="9" spans="1:35" x14ac:dyDescent="0.4">
      <c r="A9" s="82">
        <v>7</v>
      </c>
      <c r="B9" s="83" t="s">
        <v>145</v>
      </c>
      <c r="C9" s="84">
        <v>-1.0000000000000071</v>
      </c>
      <c r="D9" s="85" t="s">
        <v>145</v>
      </c>
      <c r="E9" s="97">
        <v>-1.4556040756914222E-3</v>
      </c>
      <c r="F9" s="85" t="s">
        <v>172</v>
      </c>
      <c r="G9" s="86">
        <v>2.0384615384615383</v>
      </c>
      <c r="H9" s="85" t="s">
        <v>200</v>
      </c>
      <c r="I9" s="87">
        <v>0.3</v>
      </c>
      <c r="J9" s="85" t="s">
        <v>145</v>
      </c>
      <c r="K9" s="87">
        <v>0.33187772925764192</v>
      </c>
      <c r="L9" s="85" t="s">
        <v>173</v>
      </c>
      <c r="M9" s="88">
        <v>0.29367088607594938</v>
      </c>
      <c r="N9" s="85" t="s">
        <v>145</v>
      </c>
      <c r="O9" s="88">
        <v>0.16789603090972954</v>
      </c>
      <c r="P9" s="85" t="s">
        <v>129</v>
      </c>
      <c r="Q9" s="89">
        <v>8755.3191489361707</v>
      </c>
      <c r="R9" s="85" t="s">
        <v>145</v>
      </c>
      <c r="S9" s="89">
        <v>-8316.2133891213398</v>
      </c>
      <c r="T9" s="85" t="s">
        <v>171</v>
      </c>
      <c r="U9" s="87">
        <v>0.1</v>
      </c>
      <c r="V9" s="85" t="s">
        <v>128</v>
      </c>
      <c r="W9" s="87">
        <v>8.7301587301587297E-2</v>
      </c>
      <c r="X9" s="85" t="s">
        <v>183</v>
      </c>
      <c r="Y9" s="88">
        <v>0.26315789473684209</v>
      </c>
      <c r="Z9" s="85" t="s">
        <v>183</v>
      </c>
      <c r="AA9" s="88">
        <v>0.21052631578947367</v>
      </c>
      <c r="AB9" s="85" t="s">
        <v>128</v>
      </c>
      <c r="AC9" s="88">
        <v>0.58333333333333337</v>
      </c>
      <c r="AD9" s="85" t="s">
        <v>145</v>
      </c>
      <c r="AE9" s="88">
        <v>0.39030612244897961</v>
      </c>
      <c r="AF9" s="85" t="s">
        <v>145</v>
      </c>
      <c r="AG9" s="88">
        <v>0.43151087595532039</v>
      </c>
      <c r="AH9" s="85" t="s">
        <v>184</v>
      </c>
      <c r="AI9" s="92">
        <v>92000</v>
      </c>
    </row>
    <row r="10" spans="1:35" x14ac:dyDescent="0.4">
      <c r="A10" s="82">
        <v>8</v>
      </c>
      <c r="B10" s="83" t="s">
        <v>223</v>
      </c>
      <c r="C10" s="84">
        <v>-24.7</v>
      </c>
      <c r="D10" s="85" t="s">
        <v>172</v>
      </c>
      <c r="E10" s="97">
        <v>-0.49487179487179506</v>
      </c>
      <c r="F10" s="85" t="s">
        <v>171</v>
      </c>
      <c r="G10" s="86">
        <v>2.0444444444444443</v>
      </c>
      <c r="H10" s="85" t="s">
        <v>173</v>
      </c>
      <c r="I10" s="87">
        <v>0.28260869565217389</v>
      </c>
      <c r="J10" s="85" t="s">
        <v>171</v>
      </c>
      <c r="K10" s="87">
        <v>0.34444444444444444</v>
      </c>
      <c r="L10" s="85" t="s">
        <v>184</v>
      </c>
      <c r="M10" s="88">
        <v>0.2857142857142857</v>
      </c>
      <c r="N10" s="85" t="s">
        <v>128</v>
      </c>
      <c r="O10" s="88">
        <v>0.17082533589251439</v>
      </c>
      <c r="P10" s="85" t="s">
        <v>145</v>
      </c>
      <c r="Q10" s="89">
        <v>8665.2557319223979</v>
      </c>
      <c r="R10" s="85" t="s">
        <v>184</v>
      </c>
      <c r="S10" s="89">
        <v>-8376.4705882352937</v>
      </c>
      <c r="T10" s="85" t="s">
        <v>145</v>
      </c>
      <c r="U10" s="87">
        <v>0.11935953420669577</v>
      </c>
      <c r="V10" s="85" t="s">
        <v>173</v>
      </c>
      <c r="W10" s="87">
        <v>6.5217391304347824E-2</v>
      </c>
      <c r="X10" s="85" t="s">
        <v>184</v>
      </c>
      <c r="Y10" s="88">
        <v>0.24489795918367346</v>
      </c>
      <c r="Z10" s="85" t="s">
        <v>145</v>
      </c>
      <c r="AA10" s="88">
        <v>0.2065331928345627</v>
      </c>
      <c r="AB10" s="85" t="s">
        <v>145</v>
      </c>
      <c r="AC10" s="88">
        <v>0.57841907151819327</v>
      </c>
      <c r="AD10" s="85" t="s">
        <v>177</v>
      </c>
      <c r="AE10" s="88">
        <v>0.35483870967741937</v>
      </c>
      <c r="AF10" s="85" t="s">
        <v>129</v>
      </c>
      <c r="AG10" s="88">
        <v>0.42553191489361702</v>
      </c>
      <c r="AH10" s="85" t="s">
        <v>171</v>
      </c>
      <c r="AI10" s="92">
        <v>91700</v>
      </c>
    </row>
    <row r="11" spans="1:35" x14ac:dyDescent="0.4">
      <c r="A11" s="82">
        <v>9</v>
      </c>
      <c r="B11" s="83" t="s">
        <v>172</v>
      </c>
      <c r="C11" s="84">
        <v>-38.600000000000016</v>
      </c>
      <c r="D11" s="85" t="s">
        <v>128</v>
      </c>
      <c r="E11" s="97">
        <v>-3.4769841269841271</v>
      </c>
      <c r="F11" s="85" t="s">
        <v>128</v>
      </c>
      <c r="G11" s="86">
        <v>2.0952380952380953</v>
      </c>
      <c r="H11" s="85" t="s">
        <v>172</v>
      </c>
      <c r="I11" s="87">
        <v>0.26923076923076922</v>
      </c>
      <c r="J11" s="85" t="s">
        <v>128</v>
      </c>
      <c r="K11" s="87">
        <v>0.35714285714285715</v>
      </c>
      <c r="L11" s="85" t="s">
        <v>171</v>
      </c>
      <c r="M11" s="88">
        <v>0.28362183754993342</v>
      </c>
      <c r="N11" s="85" t="s">
        <v>171</v>
      </c>
      <c r="O11" s="88">
        <v>0.17709720372836218</v>
      </c>
      <c r="P11" s="85" t="s">
        <v>184</v>
      </c>
      <c r="Q11" s="89">
        <v>8642.8571428571431</v>
      </c>
      <c r="R11" s="85" t="s">
        <v>171</v>
      </c>
      <c r="S11" s="89">
        <v>-8481.2030075187977</v>
      </c>
      <c r="T11" s="85" t="s">
        <v>173</v>
      </c>
      <c r="U11" s="87">
        <v>0.13043478260869565</v>
      </c>
      <c r="V11" s="85" t="s">
        <v>184</v>
      </c>
      <c r="W11" s="87">
        <v>5.5555555555555552E-2</v>
      </c>
      <c r="X11" s="85" t="s">
        <v>200</v>
      </c>
      <c r="Y11" s="88">
        <v>0.23529411764705882</v>
      </c>
      <c r="Z11" s="85" t="s">
        <v>171</v>
      </c>
      <c r="AA11" s="88">
        <v>0.1877496671105193</v>
      </c>
      <c r="AB11" s="85" t="s">
        <v>127</v>
      </c>
      <c r="AC11" s="88">
        <v>0.57721518987341769</v>
      </c>
      <c r="AD11" s="85" t="s">
        <v>173</v>
      </c>
      <c r="AE11" s="88">
        <v>0.32673267326732675</v>
      </c>
      <c r="AF11" s="85" t="s">
        <v>128</v>
      </c>
      <c r="AG11" s="88">
        <v>0.42499999999999999</v>
      </c>
      <c r="AH11" s="85" t="s">
        <v>173</v>
      </c>
      <c r="AI11" s="92">
        <v>85900</v>
      </c>
    </row>
    <row r="12" spans="1:35" x14ac:dyDescent="0.4">
      <c r="A12" s="82">
        <v>10</v>
      </c>
      <c r="B12" s="83" t="s">
        <v>184</v>
      </c>
      <c r="C12" s="84">
        <v>-127.5</v>
      </c>
      <c r="D12" s="85" t="s">
        <v>184</v>
      </c>
      <c r="E12" s="97">
        <v>-7.083333333333333</v>
      </c>
      <c r="F12" s="85" t="s">
        <v>173</v>
      </c>
      <c r="G12" s="86">
        <v>2.1086956521739131</v>
      </c>
      <c r="H12" s="85" t="s">
        <v>128</v>
      </c>
      <c r="I12" s="87">
        <v>0.26190476190476192</v>
      </c>
      <c r="J12" s="85" t="s">
        <v>173</v>
      </c>
      <c r="K12" s="87">
        <v>0.39130434782608697</v>
      </c>
      <c r="L12" s="85" t="s">
        <v>128</v>
      </c>
      <c r="M12" s="88">
        <v>0.2687140115163148</v>
      </c>
      <c r="N12" s="85" t="s">
        <v>173</v>
      </c>
      <c r="O12" s="88">
        <v>0.189873417721519</v>
      </c>
      <c r="P12" s="85" t="s">
        <v>183</v>
      </c>
      <c r="Q12" s="89">
        <v>7860</v>
      </c>
      <c r="R12" s="85" t="s">
        <v>172</v>
      </c>
      <c r="S12" s="89">
        <v>-8579.347826086956</v>
      </c>
      <c r="T12" s="85" t="s">
        <v>128</v>
      </c>
      <c r="U12" s="87">
        <v>0.13492063492063491</v>
      </c>
      <c r="V12" s="85" t="s">
        <v>200</v>
      </c>
      <c r="W12" s="87">
        <v>0</v>
      </c>
      <c r="X12" s="85" t="s">
        <v>222</v>
      </c>
      <c r="Y12" s="88">
        <v>0.23076923076923078</v>
      </c>
      <c r="Z12" s="85" t="s">
        <v>177</v>
      </c>
      <c r="AA12" s="88">
        <v>0.17714285714285713</v>
      </c>
      <c r="AB12" s="85" t="s">
        <v>171</v>
      </c>
      <c r="AC12" s="88">
        <v>0.56621004566210043</v>
      </c>
      <c r="AD12" s="85" t="s">
        <v>128</v>
      </c>
      <c r="AE12" s="88">
        <v>0.28804347826086957</v>
      </c>
      <c r="AF12" s="85" t="s">
        <v>172</v>
      </c>
      <c r="AG12" s="88">
        <v>0.42358078602620086</v>
      </c>
      <c r="AH12" s="85" t="s">
        <v>200</v>
      </c>
      <c r="AI12" s="92">
        <v>54800</v>
      </c>
    </row>
    <row r="13" spans="1:35" x14ac:dyDescent="0.4">
      <c r="A13" s="82">
        <v>11</v>
      </c>
      <c r="B13" s="83" t="s">
        <v>173</v>
      </c>
      <c r="C13" s="84">
        <v>-377.4</v>
      </c>
      <c r="D13" s="85" t="s">
        <v>173</v>
      </c>
      <c r="E13" s="97">
        <v>-8.2043478260869556</v>
      </c>
      <c r="F13" s="85" t="s">
        <v>184</v>
      </c>
      <c r="G13" s="86">
        <v>2.1111111111111112</v>
      </c>
      <c r="H13" s="85" t="s">
        <v>129</v>
      </c>
      <c r="I13" s="87">
        <v>0.25</v>
      </c>
      <c r="J13" s="85" t="s">
        <v>129</v>
      </c>
      <c r="K13" s="87">
        <v>0.4891304347826087</v>
      </c>
      <c r="L13" s="85" t="s">
        <v>183</v>
      </c>
      <c r="M13" s="88">
        <v>0.26315789473684209</v>
      </c>
      <c r="N13" s="85" t="s">
        <v>129</v>
      </c>
      <c r="O13" s="88">
        <v>0.18992248062015504</v>
      </c>
      <c r="P13" s="85" t="s">
        <v>173</v>
      </c>
      <c r="Q13" s="89">
        <v>6945.6896551724139</v>
      </c>
      <c r="R13" s="85" t="s">
        <v>129</v>
      </c>
      <c r="S13" s="89">
        <v>-9236.0544217687075</v>
      </c>
      <c r="T13" s="85" t="s">
        <v>177</v>
      </c>
      <c r="U13" s="87">
        <v>0.15151515151515152</v>
      </c>
      <c r="V13" s="85" t="s">
        <v>183</v>
      </c>
      <c r="W13" s="87">
        <v>0</v>
      </c>
      <c r="X13" s="85" t="s">
        <v>173</v>
      </c>
      <c r="Y13" s="88">
        <v>0.22531645569620254</v>
      </c>
      <c r="Z13" s="85" t="s">
        <v>128</v>
      </c>
      <c r="AA13" s="88">
        <v>0.1765834932821497</v>
      </c>
      <c r="AB13" s="85" t="s">
        <v>172</v>
      </c>
      <c r="AC13" s="88">
        <v>0.56338028169014087</v>
      </c>
      <c r="AD13" s="85" t="s">
        <v>129</v>
      </c>
      <c r="AE13" s="88">
        <v>0.25</v>
      </c>
      <c r="AF13" s="85" t="s">
        <v>171</v>
      </c>
      <c r="AG13" s="88">
        <v>0.41314553990610331</v>
      </c>
      <c r="AH13" s="85" t="s">
        <v>183</v>
      </c>
      <c r="AI13" s="92">
        <v>53500</v>
      </c>
    </row>
    <row r="14" spans="1:35" x14ac:dyDescent="0.4">
      <c r="A14" s="82">
        <v>12</v>
      </c>
      <c r="B14" s="83" t="s">
        <v>128</v>
      </c>
      <c r="C14" s="84">
        <v>-438.1</v>
      </c>
      <c r="D14" s="85" t="s">
        <v>223</v>
      </c>
      <c r="E14" s="97">
        <v>-12.35</v>
      </c>
      <c r="F14" s="85" t="s">
        <v>129</v>
      </c>
      <c r="G14" s="86">
        <v>2.2391304347826089</v>
      </c>
      <c r="H14" s="85" t="s">
        <v>222</v>
      </c>
      <c r="I14" s="87">
        <v>0</v>
      </c>
      <c r="J14" s="85" t="s">
        <v>184</v>
      </c>
      <c r="K14" s="87">
        <v>0.5</v>
      </c>
      <c r="L14" s="85" t="s">
        <v>129</v>
      </c>
      <c r="M14" s="88">
        <v>0.24289405684754523</v>
      </c>
      <c r="N14" s="85" t="s">
        <v>184</v>
      </c>
      <c r="O14" s="88">
        <v>0.23129251700680273</v>
      </c>
      <c r="P14" s="85" t="s">
        <v>172</v>
      </c>
      <c r="Q14" s="89">
        <v>6775.1091703056773</v>
      </c>
      <c r="R14" s="85" t="s">
        <v>222</v>
      </c>
      <c r="S14" s="89">
        <v>-12000</v>
      </c>
      <c r="T14" s="85" t="s">
        <v>129</v>
      </c>
      <c r="U14" s="87">
        <v>0.18478260869565216</v>
      </c>
      <c r="V14" s="85" t="s">
        <v>222</v>
      </c>
      <c r="W14" s="87">
        <v>0</v>
      </c>
      <c r="X14" s="85" t="s">
        <v>172</v>
      </c>
      <c r="Y14" s="88">
        <v>0.21321321321321321</v>
      </c>
      <c r="Z14" s="85" t="s">
        <v>129</v>
      </c>
      <c r="AA14" s="88">
        <v>0.16020671834625322</v>
      </c>
      <c r="AB14" s="85" t="s">
        <v>129</v>
      </c>
      <c r="AC14" s="88">
        <v>0.52093023255813953</v>
      </c>
      <c r="AD14" s="85" t="s">
        <v>223</v>
      </c>
      <c r="AE14" s="88">
        <v>0.25</v>
      </c>
      <c r="AF14" s="85" t="s">
        <v>127</v>
      </c>
      <c r="AG14" s="88">
        <v>0.4110854503464203</v>
      </c>
      <c r="AH14" s="85" t="s">
        <v>222</v>
      </c>
      <c r="AI14" s="92">
        <v>48300</v>
      </c>
    </row>
    <row r="15" spans="1:35" x14ac:dyDescent="0.4">
      <c r="A15" s="82">
        <v>13</v>
      </c>
      <c r="B15" s="83" t="s">
        <v>129</v>
      </c>
      <c r="C15" s="84">
        <v>-1291.9000000000001</v>
      </c>
      <c r="D15" s="85" t="s">
        <v>129</v>
      </c>
      <c r="E15" s="97">
        <v>-14.042391304347827</v>
      </c>
      <c r="F15" s="85" t="s">
        <v>223</v>
      </c>
      <c r="G15" s="86">
        <v>2.5</v>
      </c>
      <c r="H15" s="85" t="s">
        <v>223</v>
      </c>
      <c r="I15" s="87">
        <v>0</v>
      </c>
      <c r="J15" s="85" t="s">
        <v>223</v>
      </c>
      <c r="K15" s="87">
        <v>0.5</v>
      </c>
      <c r="L15" s="85" t="s">
        <v>222</v>
      </c>
      <c r="M15" s="88">
        <v>0.15384615384615385</v>
      </c>
      <c r="N15" s="85" t="s">
        <v>223</v>
      </c>
      <c r="O15" s="88">
        <v>0.23529411764705882</v>
      </c>
      <c r="P15" s="85" t="s">
        <v>200</v>
      </c>
      <c r="Q15" s="89">
        <v>6765.5172413793107</v>
      </c>
      <c r="R15" s="85" t="s">
        <v>223</v>
      </c>
      <c r="S15" s="89">
        <v>-12425</v>
      </c>
      <c r="T15" s="85" t="s">
        <v>184</v>
      </c>
      <c r="U15" s="87">
        <v>0.22222222222222221</v>
      </c>
      <c r="V15" s="85" t="s">
        <v>223</v>
      </c>
      <c r="W15" s="87">
        <v>0</v>
      </c>
      <c r="X15" s="85" t="s">
        <v>223</v>
      </c>
      <c r="Y15" s="88">
        <v>0.17647058823529413</v>
      </c>
      <c r="Z15" s="85" t="s">
        <v>222</v>
      </c>
      <c r="AA15" s="88">
        <v>7.6923076923076927E-2</v>
      </c>
      <c r="AB15" s="85" t="s">
        <v>222</v>
      </c>
      <c r="AC15" s="88">
        <v>0.33333333333333331</v>
      </c>
      <c r="AD15" s="85" t="s">
        <v>222</v>
      </c>
      <c r="AE15" s="88">
        <v>0</v>
      </c>
      <c r="AF15" s="85" t="s">
        <v>183</v>
      </c>
      <c r="AG15" s="88">
        <v>0.2</v>
      </c>
      <c r="AH15" s="85" t="s">
        <v>223</v>
      </c>
      <c r="AI15" s="92">
        <v>47300</v>
      </c>
    </row>
  </sheetData>
  <sortState ref="AH3:AI45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48DE6-F449-4380-B816-B263642B4AAF}">
  <sheetPr codeName="Sheet4"/>
  <dimension ref="A1:Q689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145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687</v>
      </c>
      <c r="C2" s="151"/>
      <c r="E2" s="62" t="s">
        <v>65</v>
      </c>
      <c r="F2" s="59" t="s">
        <v>21</v>
      </c>
      <c r="G2" s="46">
        <v>880</v>
      </c>
      <c r="H2" s="132">
        <f>IF(B$17=0,0,G2/B$17)</f>
        <v>0.5173427395649618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-16.081871345029239</v>
      </c>
      <c r="P2" s="118">
        <v>684</v>
      </c>
      <c r="Q2" s="102">
        <v>-11000</v>
      </c>
    </row>
    <row r="3" spans="1:17" x14ac:dyDescent="0.4">
      <c r="A3" s="55" t="s">
        <v>8</v>
      </c>
      <c r="B3" s="152">
        <v>5694</v>
      </c>
      <c r="C3" s="153"/>
      <c r="E3" s="63" t="s">
        <v>66</v>
      </c>
      <c r="F3" s="60" t="s">
        <v>22</v>
      </c>
      <c r="G3" s="47">
        <v>204</v>
      </c>
      <c r="H3" s="133">
        <f>IF(B$17=0,0,G3/B$17)</f>
        <v>0.11992945326278659</v>
      </c>
      <c r="I3" s="94">
        <v>4</v>
      </c>
      <c r="K3" s="38">
        <v>1</v>
      </c>
      <c r="L3" s="99">
        <v>-5.0999999999999996</v>
      </c>
      <c r="N3" s="115" t="s">
        <v>133</v>
      </c>
      <c r="O3" s="122">
        <f t="shared" si="0"/>
        <v>-5.9790732436472345</v>
      </c>
      <c r="P3" s="119">
        <v>669</v>
      </c>
      <c r="Q3" s="103">
        <v>-4000</v>
      </c>
    </row>
    <row r="4" spans="1:17" x14ac:dyDescent="0.4">
      <c r="A4" s="55" t="s">
        <v>6</v>
      </c>
      <c r="B4" s="154">
        <v>-1.0000000000000071</v>
      </c>
      <c r="C4" s="155"/>
      <c r="E4" s="63" t="s">
        <v>67</v>
      </c>
      <c r="F4" s="60" t="s">
        <v>23</v>
      </c>
      <c r="G4" s="47">
        <v>1243</v>
      </c>
      <c r="H4" s="133">
        <f>IF(B$17=0,0,G4/B$17)</f>
        <v>0.73074661963550858</v>
      </c>
      <c r="I4" s="94">
        <v>7</v>
      </c>
      <c r="K4" s="38">
        <v>2</v>
      </c>
      <c r="L4" s="99">
        <v>40.4</v>
      </c>
      <c r="N4" s="115" t="s">
        <v>134</v>
      </c>
      <c r="O4" s="122">
        <f t="shared" si="0"/>
        <v>9.5693779904306222</v>
      </c>
      <c r="P4" s="119">
        <v>627</v>
      </c>
      <c r="Q4" s="103">
        <v>6000</v>
      </c>
    </row>
    <row r="5" spans="1:17" x14ac:dyDescent="0.4">
      <c r="A5" s="55" t="s">
        <v>7</v>
      </c>
      <c r="B5" s="156">
        <f>IF(B$2=0,0,B$4/B$2)</f>
        <v>-1.4556040756914222E-3</v>
      </c>
      <c r="C5" s="157"/>
      <c r="E5" s="63" t="s">
        <v>68</v>
      </c>
      <c r="F5" s="60" t="s">
        <v>24</v>
      </c>
      <c r="G5" s="47">
        <v>517</v>
      </c>
      <c r="H5" s="133">
        <f>IF(B$17=0,0,G5/B$17)</f>
        <v>0.30393885949441507</v>
      </c>
      <c r="I5" s="94">
        <v>9</v>
      </c>
      <c r="K5" s="38">
        <v>3</v>
      </c>
      <c r="L5" s="99">
        <v>0</v>
      </c>
      <c r="N5" s="115" t="s">
        <v>135</v>
      </c>
      <c r="O5" s="122">
        <f t="shared" si="0"/>
        <v>7.0175438596491224</v>
      </c>
      <c r="P5" s="119">
        <v>570</v>
      </c>
      <c r="Q5" s="103">
        <v>4000</v>
      </c>
    </row>
    <row r="6" spans="1:17" x14ac:dyDescent="0.4">
      <c r="A6" s="55" t="s">
        <v>1</v>
      </c>
      <c r="B6" s="146">
        <f>IF(B$2=0,0,(B$7*1+B$8*2+B$9*3)/B$2)</f>
        <v>1.9956331877729259</v>
      </c>
      <c r="C6" s="147"/>
      <c r="E6" s="63" t="s">
        <v>69</v>
      </c>
      <c r="F6" s="60" t="s">
        <v>12</v>
      </c>
      <c r="G6" s="47">
        <v>531</v>
      </c>
      <c r="H6" s="133">
        <f>IF(B$17=0,0,G6/B$17)</f>
        <v>0.31216931216931215</v>
      </c>
      <c r="I6" s="94">
        <v>8</v>
      </c>
      <c r="K6" s="38">
        <v>4</v>
      </c>
      <c r="L6" s="99">
        <v>2.2000000000000002</v>
      </c>
      <c r="N6" s="115" t="s">
        <v>136</v>
      </c>
      <c r="O6" s="122">
        <f t="shared" si="0"/>
        <v>-11.695906432748538</v>
      </c>
      <c r="P6" s="119">
        <v>513</v>
      </c>
      <c r="Q6" s="103">
        <v>-6000</v>
      </c>
    </row>
    <row r="7" spans="1:17" x14ac:dyDescent="0.4">
      <c r="A7" s="55" t="s">
        <v>2</v>
      </c>
      <c r="B7" s="47">
        <v>231</v>
      </c>
      <c r="C7" s="39">
        <f>IF(B$2=0,0,B7/B$2)</f>
        <v>0.33624454148471616</v>
      </c>
      <c r="E7" s="63" t="s">
        <v>70</v>
      </c>
      <c r="F7" s="60" t="s">
        <v>25</v>
      </c>
      <c r="G7" s="47">
        <v>299</v>
      </c>
      <c r="H7" s="133">
        <f>IF(B$17=0,0,G7/B$17)</f>
        <v>0.17577895355673134</v>
      </c>
      <c r="I7" s="94">
        <v>7</v>
      </c>
      <c r="K7" s="38">
        <v>5</v>
      </c>
      <c r="L7" s="99">
        <v>-37</v>
      </c>
      <c r="N7" s="116" t="s">
        <v>137</v>
      </c>
      <c r="O7" s="123">
        <f t="shared" si="0"/>
        <v>21.92982456140351</v>
      </c>
      <c r="P7" s="120">
        <v>456</v>
      </c>
      <c r="Q7" s="104">
        <v>10000</v>
      </c>
    </row>
    <row r="8" spans="1:17" x14ac:dyDescent="0.4">
      <c r="A8" s="55" t="s">
        <v>3</v>
      </c>
      <c r="B8" s="47">
        <v>228</v>
      </c>
      <c r="C8" s="39">
        <f>IF(B$2=0,0,B8/B$2)</f>
        <v>0.33187772925764192</v>
      </c>
      <c r="E8" s="63" t="s">
        <v>71</v>
      </c>
      <c r="F8" s="60" t="s">
        <v>26</v>
      </c>
      <c r="G8" s="47">
        <v>171</v>
      </c>
      <c r="H8" s="133">
        <f>IF(B$17=0,0,G8/B$17)</f>
        <v>0.10052910052910052</v>
      </c>
      <c r="I8" s="94">
        <v>6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228</v>
      </c>
      <c r="C9" s="40">
        <f t="shared" ref="C9" si="1">IF(B$2=0,0,B9/B$2)</f>
        <v>0.33187772925764192</v>
      </c>
      <c r="E9" s="63" t="s">
        <v>72</v>
      </c>
      <c r="F9" s="60" t="s">
        <v>27</v>
      </c>
      <c r="G9" s="47">
        <v>119</v>
      </c>
      <c r="H9" s="133">
        <f>IF(B$17=0,0,G9/B$17)</f>
        <v>6.9958847736625515E-2</v>
      </c>
      <c r="I9" s="94">
        <v>5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82</v>
      </c>
      <c r="C10" s="40">
        <f>IF(B$2=0,0,B10/B$2)</f>
        <v>0.11935953420669577</v>
      </c>
      <c r="E10" s="63" t="s">
        <v>73</v>
      </c>
      <c r="F10" s="60" t="s">
        <v>28</v>
      </c>
      <c r="G10" s="47">
        <v>857</v>
      </c>
      <c r="H10" s="133">
        <f>IF(B$17=0,0,G10/B$17)</f>
        <v>0.50382128159905937</v>
      </c>
      <c r="I10" s="94">
        <v>9</v>
      </c>
      <c r="K10" s="38">
        <v>8</v>
      </c>
      <c r="L10" s="99">
        <v>19.699999999999996</v>
      </c>
      <c r="N10" s="114" t="s">
        <v>164</v>
      </c>
      <c r="O10" s="124">
        <f>IF(P10=0,0,Q10/P10)</f>
        <v>-1.9860262008733616</v>
      </c>
      <c r="P10" s="118">
        <v>229</v>
      </c>
      <c r="Q10" s="106">
        <v>-454.79999999999978</v>
      </c>
    </row>
    <row r="11" spans="1:17" x14ac:dyDescent="0.4">
      <c r="A11" s="56" t="s">
        <v>140</v>
      </c>
      <c r="B11" s="48">
        <v>82</v>
      </c>
      <c r="C11" s="40">
        <f>IF(B$2=0,0,B11/B$2)</f>
        <v>0.11935953420669577</v>
      </c>
      <c r="E11" s="63" t="s">
        <v>74</v>
      </c>
      <c r="F11" s="60" t="s">
        <v>29</v>
      </c>
      <c r="G11" s="47">
        <v>11</v>
      </c>
      <c r="H11" s="133">
        <f>IF(B$17=0,0,G11/B$17)</f>
        <v>6.4667842445620223E-3</v>
      </c>
      <c r="I11" s="94">
        <v>6</v>
      </c>
      <c r="K11" s="38">
        <v>9</v>
      </c>
      <c r="L11" s="99">
        <v>-3.5527136788005009E-15</v>
      </c>
      <c r="N11" s="115" t="s">
        <v>165</v>
      </c>
      <c r="O11" s="125">
        <f>IF(P11=0,0,Q11/P11)</f>
        <v>0.64410480349344967</v>
      </c>
      <c r="P11" s="119">
        <v>229</v>
      </c>
      <c r="Q11" s="107">
        <v>147.49999999999997</v>
      </c>
    </row>
    <row r="12" spans="1:17" x14ac:dyDescent="0.4">
      <c r="A12" s="57" t="s">
        <v>160</v>
      </c>
      <c r="B12" s="49">
        <v>57</v>
      </c>
      <c r="C12" s="42">
        <f>IF(B$2=0,0,B12/B$2)</f>
        <v>8.296943231441048E-2</v>
      </c>
      <c r="E12" s="63" t="s">
        <v>75</v>
      </c>
      <c r="F12" s="60" t="s">
        <v>30</v>
      </c>
      <c r="G12" s="47">
        <v>8</v>
      </c>
      <c r="H12" s="133">
        <f>IF(B$17=0,0,G12/B$17)</f>
        <v>4.7031158142269254E-3</v>
      </c>
      <c r="I12" s="94">
        <v>5</v>
      </c>
      <c r="K12" s="38">
        <v>10</v>
      </c>
      <c r="L12" s="99">
        <v>40.099999999999994</v>
      </c>
      <c r="N12" s="116" t="s">
        <v>166</v>
      </c>
      <c r="O12" s="126">
        <f>IF(P12=0,0,Q12/P12)</f>
        <v>1.3375545851528383</v>
      </c>
      <c r="P12" s="120">
        <v>229</v>
      </c>
      <c r="Q12" s="108">
        <v>306.29999999999995</v>
      </c>
    </row>
    <row r="13" spans="1:17" x14ac:dyDescent="0.4">
      <c r="A13" s="58" t="s">
        <v>122</v>
      </c>
      <c r="B13" s="50">
        <v>1594</v>
      </c>
      <c r="C13" s="44">
        <f>IF(B$3=0,0,B13/B$3)</f>
        <v>0.27994380049174572</v>
      </c>
      <c r="E13" s="63" t="s">
        <v>76</v>
      </c>
      <c r="F13" s="60" t="s">
        <v>31</v>
      </c>
      <c r="G13" s="47">
        <v>10</v>
      </c>
      <c r="H13" s="133">
        <f>IF(B$17=0,0,G13/B$17)</f>
        <v>5.8788947677836569E-3</v>
      </c>
      <c r="I13" s="94">
        <v>5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1176</v>
      </c>
      <c r="C14" s="39">
        <f>IF(B$3=0,0,B14/B$3)</f>
        <v>0.2065331928345627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922</v>
      </c>
      <c r="C15" s="37">
        <f>IF(B$13=0,0,B15/B$13)</f>
        <v>0.57841907151819327</v>
      </c>
      <c r="E15" s="63" t="s">
        <v>78</v>
      </c>
      <c r="F15" s="60" t="s">
        <v>33</v>
      </c>
      <c r="G15" s="47">
        <v>4</v>
      </c>
      <c r="H15" s="133">
        <f>IF(B$17=0,0,G15/B$17)</f>
        <v>2.3515579071134627E-3</v>
      </c>
      <c r="I15" s="94">
        <v>4</v>
      </c>
      <c r="K15" s="38">
        <v>13</v>
      </c>
      <c r="L15" s="99">
        <v>-42.100000000000009</v>
      </c>
      <c r="N15" s="114" t="s">
        <v>129</v>
      </c>
      <c r="O15" s="124">
        <f>IF(P15=0,0,Q15/P15)</f>
        <v>21.058152173913069</v>
      </c>
      <c r="P15" s="118">
        <v>184</v>
      </c>
      <c r="Q15" s="106">
        <v>3874.7000000000048</v>
      </c>
    </row>
    <row r="16" spans="1:17" x14ac:dyDescent="0.4">
      <c r="A16" s="54" t="s">
        <v>125</v>
      </c>
      <c r="B16" s="46">
        <v>459</v>
      </c>
      <c r="C16" s="37">
        <f>IF(B$14=0,0,B16/B$14)</f>
        <v>0.39030612244897961</v>
      </c>
      <c r="E16" s="63" t="s">
        <v>79</v>
      </c>
      <c r="F16" s="60" t="s">
        <v>34</v>
      </c>
      <c r="G16" s="47">
        <v>47</v>
      </c>
      <c r="H16" s="133">
        <f>IF(B$17=0,0,G16/B$17)</f>
        <v>2.7630805408583186E-2</v>
      </c>
      <c r="I16" s="94">
        <v>7</v>
      </c>
      <c r="K16" s="38">
        <v>14</v>
      </c>
      <c r="L16" s="99">
        <v>18.79999999999999</v>
      </c>
      <c r="N16" s="115" t="s">
        <v>223</v>
      </c>
      <c r="O16" s="125">
        <f>IF(P16=0,0,Q16/P16)</f>
        <v>18.524999999999995</v>
      </c>
      <c r="P16" s="119">
        <v>4</v>
      </c>
      <c r="Q16" s="107">
        <v>74.09999999999998</v>
      </c>
    </row>
    <row r="17" spans="1:17" x14ac:dyDescent="0.4">
      <c r="A17" s="54" t="s">
        <v>10</v>
      </c>
      <c r="B17" s="46">
        <f>B19+B18</f>
        <v>1701</v>
      </c>
      <c r="C17" s="37">
        <f>IF(B$3=0,0,B17/B$3)</f>
        <v>0.2987355110642782</v>
      </c>
      <c r="E17" s="63" t="s">
        <v>80</v>
      </c>
      <c r="F17" s="60" t="s">
        <v>35</v>
      </c>
      <c r="G17" s="47">
        <v>26</v>
      </c>
      <c r="H17" s="133">
        <f>IF(B$17=0,0,G17/B$17)</f>
        <v>1.5285126396237508E-2</v>
      </c>
      <c r="I17" s="94">
        <v>6</v>
      </c>
      <c r="K17" s="38">
        <v>15</v>
      </c>
      <c r="L17" s="99">
        <v>-1.0658141036401503E-14</v>
      </c>
      <c r="N17" s="115" t="s">
        <v>173</v>
      </c>
      <c r="O17" s="125">
        <f>IF(P17=0,0,Q17/P17)</f>
        <v>12.306521739130433</v>
      </c>
      <c r="P17" s="119">
        <v>92</v>
      </c>
      <c r="Q17" s="107">
        <v>1132.1999999999998</v>
      </c>
    </row>
    <row r="18" spans="1:17" x14ac:dyDescent="0.4">
      <c r="A18" s="55" t="s">
        <v>12</v>
      </c>
      <c r="B18" s="47">
        <v>734</v>
      </c>
      <c r="C18" s="39">
        <f>IF(B$17=0,0,B18/B$17)</f>
        <v>0.43151087595532039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90.899999999999991</v>
      </c>
      <c r="N18" s="115" t="s">
        <v>184</v>
      </c>
      <c r="O18" s="125">
        <f>IF(P18=0,0,Q18/P18)</f>
        <v>10.597222222222221</v>
      </c>
      <c r="P18" s="119">
        <v>36</v>
      </c>
      <c r="Q18" s="107">
        <v>381.5</v>
      </c>
    </row>
    <row r="19" spans="1:17" x14ac:dyDescent="0.4">
      <c r="A19" s="55" t="s">
        <v>11</v>
      </c>
      <c r="B19" s="47">
        <v>967</v>
      </c>
      <c r="C19" s="39">
        <f>IF(B$17=0,0,B19/B$17)</f>
        <v>0.56848912404467955</v>
      </c>
      <c r="E19" s="63" t="s">
        <v>82</v>
      </c>
      <c r="F19" s="60" t="s">
        <v>37</v>
      </c>
      <c r="G19" s="47">
        <v>46</v>
      </c>
      <c r="H19" s="133">
        <f>IF(B$17=0,0,G19/B$17)</f>
        <v>2.7042915931804822E-2</v>
      </c>
      <c r="I19" s="94">
        <v>6</v>
      </c>
      <c r="K19" s="38">
        <v>17</v>
      </c>
      <c r="L19" s="99">
        <v>8.2999999999999972</v>
      </c>
      <c r="N19" s="115" t="s">
        <v>128</v>
      </c>
      <c r="O19" s="125">
        <f>IF(P19=0,0,Q19/P19)</f>
        <v>5.2154761904761893</v>
      </c>
      <c r="P19" s="119">
        <v>252</v>
      </c>
      <c r="Q19" s="107">
        <v>1314.2999999999997</v>
      </c>
    </row>
    <row r="20" spans="1:17" x14ac:dyDescent="0.4">
      <c r="A20" s="55" t="s">
        <v>13</v>
      </c>
      <c r="B20" s="47">
        <v>956</v>
      </c>
      <c r="C20" s="39">
        <f>IF(B$3=0,0,B20/B$3)</f>
        <v>0.16789603090972954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-3.5527136788005009E-15</v>
      </c>
      <c r="N20" s="115" t="s">
        <v>172</v>
      </c>
      <c r="O20" s="125">
        <f>IF(P20=0,0,Q20/P20)</f>
        <v>0.74230769230769167</v>
      </c>
      <c r="P20" s="119">
        <v>156</v>
      </c>
      <c r="Q20" s="107">
        <v>115.7999999999999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84</v>
      </c>
      <c r="F21" s="60" t="s">
        <v>39</v>
      </c>
      <c r="G21" s="47">
        <v>84</v>
      </c>
      <c r="H21" s="133">
        <f>IF(B$17=0,0,G21/B$17)</f>
        <v>4.9382716049382713E-2</v>
      </c>
      <c r="I21" s="94">
        <v>6</v>
      </c>
      <c r="K21" s="38">
        <v>19</v>
      </c>
      <c r="L21" s="99">
        <v>30.999999999999996</v>
      </c>
      <c r="N21" s="115" t="s">
        <v>171</v>
      </c>
      <c r="O21" s="125">
        <f>IF(P21=0,0,Q21/P21)</f>
        <v>-0.35166666666666407</v>
      </c>
      <c r="P21" s="119">
        <v>180</v>
      </c>
      <c r="Q21" s="107">
        <v>-63.299999999999535</v>
      </c>
    </row>
    <row r="22" spans="1:17" x14ac:dyDescent="0.4">
      <c r="A22" s="55" t="s">
        <v>192</v>
      </c>
      <c r="B22" s="47">
        <v>31</v>
      </c>
      <c r="C22" s="135">
        <v>0</v>
      </c>
      <c r="E22" s="63" t="s">
        <v>85</v>
      </c>
      <c r="F22" s="60" t="s">
        <v>40</v>
      </c>
      <c r="G22" s="47">
        <v>4</v>
      </c>
      <c r="H22" s="133">
        <f>IF(B$17=0,0,G22/B$17)</f>
        <v>2.3515579071134627E-3</v>
      </c>
      <c r="I22" s="94">
        <v>3</v>
      </c>
      <c r="K22" s="38">
        <v>20</v>
      </c>
      <c r="L22" s="99">
        <v>0.79999999999999716</v>
      </c>
      <c r="N22" s="115" t="s">
        <v>200</v>
      </c>
      <c r="O22" s="125">
        <f>IF(P22=0,0,Q22/P22)</f>
        <v>-2.7150000000000012</v>
      </c>
      <c r="P22" s="119">
        <v>20</v>
      </c>
      <c r="Q22" s="107">
        <v>-54.300000000000026</v>
      </c>
    </row>
    <row r="23" spans="1:17" x14ac:dyDescent="0.4">
      <c r="A23" s="55" t="s">
        <v>5</v>
      </c>
      <c r="B23" s="51">
        <f>IF(B$17=0,0,C23/B$17)</f>
        <v>8665.2557319223979</v>
      </c>
      <c r="C23" s="41">
        <v>14739600</v>
      </c>
      <c r="E23" s="63" t="s">
        <v>86</v>
      </c>
      <c r="F23" s="60" t="s">
        <v>41</v>
      </c>
      <c r="G23" s="47">
        <v>7</v>
      </c>
      <c r="H23" s="133">
        <f>IF(B$17=0,0,G23/B$17)</f>
        <v>4.11522633744856E-3</v>
      </c>
      <c r="I23" s="94">
        <v>3</v>
      </c>
      <c r="K23" s="38">
        <v>21</v>
      </c>
      <c r="L23" s="99">
        <v>-2.886579864025407E-15</v>
      </c>
      <c r="N23" s="115" t="s">
        <v>177</v>
      </c>
      <c r="O23" s="125">
        <f>IF(P23=0,0,Q23/P23)</f>
        <v>-7.4681818181818178</v>
      </c>
      <c r="P23" s="119">
        <v>132</v>
      </c>
      <c r="Q23" s="107">
        <v>-985.8</v>
      </c>
    </row>
    <row r="24" spans="1:17" x14ac:dyDescent="0.4">
      <c r="A24" s="57" t="s">
        <v>14</v>
      </c>
      <c r="B24" s="52">
        <f>IF(B$20=0,0,C24/B$20)</f>
        <v>-8316.2133891213398</v>
      </c>
      <c r="C24" s="45">
        <v>-7950300</v>
      </c>
      <c r="E24" s="63" t="s">
        <v>87</v>
      </c>
      <c r="F24" s="60" t="s">
        <v>42</v>
      </c>
      <c r="G24" s="47">
        <v>97</v>
      </c>
      <c r="H24" s="133">
        <f>IF(B$17=0,0,G24/B$17)</f>
        <v>5.7025279247501469E-2</v>
      </c>
      <c r="I24" s="94">
        <v>5</v>
      </c>
      <c r="K24" s="38">
        <v>22</v>
      </c>
      <c r="L24" s="99">
        <v>23.699999999999996</v>
      </c>
      <c r="N24" s="115" t="s">
        <v>127</v>
      </c>
      <c r="O24" s="125">
        <f>IF(P24=0,0,Q24/P24)</f>
        <v>-17.955806451612879</v>
      </c>
      <c r="P24" s="119">
        <v>310</v>
      </c>
      <c r="Q24" s="107">
        <v>-5566.2999999999929</v>
      </c>
    </row>
    <row r="25" spans="1:17" x14ac:dyDescent="0.4">
      <c r="A25" s="90" t="s">
        <v>142</v>
      </c>
      <c r="B25" s="144">
        <v>8</v>
      </c>
      <c r="C25" s="145"/>
      <c r="E25" s="63" t="s">
        <v>88</v>
      </c>
      <c r="F25" s="60" t="s">
        <v>43</v>
      </c>
      <c r="G25" s="47">
        <v>6</v>
      </c>
      <c r="H25" s="133">
        <f>IF(B$17=0,0,G25/B$17)</f>
        <v>3.5273368606701938E-3</v>
      </c>
      <c r="I25" s="94">
        <v>5</v>
      </c>
      <c r="K25" s="38">
        <v>23</v>
      </c>
      <c r="L25" s="99">
        <v>26.299999999999997</v>
      </c>
      <c r="N25" s="115" t="s">
        <v>222</v>
      </c>
      <c r="O25" s="125">
        <f>IF(P25=0,0,Q25/P25)</f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42">
        <v>116000</v>
      </c>
      <c r="C26" s="143"/>
      <c r="E26" s="63" t="s">
        <v>89</v>
      </c>
      <c r="F26" s="60" t="s">
        <v>44</v>
      </c>
      <c r="G26" s="47">
        <v>2</v>
      </c>
      <c r="H26" s="133">
        <f>IF(B$17=0,0,G26/B$17)</f>
        <v>1.1757789535567313E-3</v>
      </c>
      <c r="I26" s="94">
        <v>3</v>
      </c>
      <c r="K26" s="38">
        <v>24</v>
      </c>
      <c r="L26" s="99">
        <v>-3.5527136788005009E-15</v>
      </c>
      <c r="N26" s="115" t="s">
        <v>183</v>
      </c>
      <c r="O26" s="125">
        <f>IF(P26=0,0,Q26/P26)</f>
        <v>-30.5</v>
      </c>
      <c r="P26" s="119">
        <v>6</v>
      </c>
      <c r="Q26" s="107">
        <v>-183</v>
      </c>
    </row>
    <row r="27" spans="1:17" x14ac:dyDescent="0.4">
      <c r="A27" s="57" t="s">
        <v>143</v>
      </c>
      <c r="B27" s="65">
        <v>14</v>
      </c>
      <c r="C27" s="42">
        <f>IF(B$3=0,0,B27/B$3)</f>
        <v>2.4587284861257463E-3</v>
      </c>
      <c r="E27" s="63" t="s">
        <v>90</v>
      </c>
      <c r="F27" s="60" t="s">
        <v>45</v>
      </c>
      <c r="G27" s="47">
        <v>212</v>
      </c>
      <c r="H27" s="133">
        <f>IF(B$17=0,0,G27/B$17)</f>
        <v>0.12463256907701352</v>
      </c>
      <c r="I27" s="94">
        <v>6</v>
      </c>
      <c r="K27" s="38">
        <v>25</v>
      </c>
      <c r="L27" s="99">
        <v>-31.300000000000004</v>
      </c>
    </row>
    <row r="28" spans="1:17" x14ac:dyDescent="0.4">
      <c r="E28" s="63" t="s">
        <v>91</v>
      </c>
      <c r="F28" s="60" t="s">
        <v>46</v>
      </c>
      <c r="G28" s="47">
        <v>5</v>
      </c>
      <c r="H28" s="133">
        <f>IF(B$17=0,0,G28/B$17)</f>
        <v>2.9394473838918285E-3</v>
      </c>
      <c r="I28" s="94">
        <v>4</v>
      </c>
      <c r="K28" s="38">
        <v>26</v>
      </c>
      <c r="L28" s="99">
        <v>1.8999999999999986</v>
      </c>
    </row>
    <row r="29" spans="1:17" x14ac:dyDescent="0.4">
      <c r="E29" s="63" t="s">
        <v>92</v>
      </c>
      <c r="F29" s="60" t="s">
        <v>47</v>
      </c>
      <c r="G29" s="47">
        <v>34</v>
      </c>
      <c r="H29" s="133">
        <f>IF(B$17=0,0,G29/B$17)</f>
        <v>1.9988242210464434E-2</v>
      </c>
      <c r="I29" s="94">
        <v>5</v>
      </c>
      <c r="K29" s="38">
        <v>27</v>
      </c>
      <c r="L29" s="99">
        <v>-1.3322676295501878E-15</v>
      </c>
    </row>
    <row r="30" spans="1:17" x14ac:dyDescent="0.4">
      <c r="E30" s="63" t="s">
        <v>93</v>
      </c>
      <c r="F30" s="60" t="s">
        <v>48</v>
      </c>
      <c r="G30" s="47">
        <v>7</v>
      </c>
      <c r="H30" s="133">
        <f>IF(B$17=0,0,G30/B$17)</f>
        <v>4.11522633744856E-3</v>
      </c>
      <c r="I30" s="94">
        <v>5</v>
      </c>
      <c r="K30" s="38">
        <v>28</v>
      </c>
      <c r="L30" s="99">
        <v>-58.3</v>
      </c>
    </row>
    <row r="31" spans="1:17" x14ac:dyDescent="0.4">
      <c r="E31" s="63" t="s">
        <v>94</v>
      </c>
      <c r="F31" s="60" t="s">
        <v>49</v>
      </c>
      <c r="G31" s="47">
        <v>6</v>
      </c>
      <c r="H31" s="133">
        <f>IF(B$17=0,0,G31/B$17)</f>
        <v>3.5273368606701938E-3</v>
      </c>
      <c r="I31" s="94">
        <v>5</v>
      </c>
      <c r="K31" s="38">
        <v>29</v>
      </c>
      <c r="L31" s="99">
        <v>-9.5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0</v>
      </c>
    </row>
    <row r="33" spans="5:12" x14ac:dyDescent="0.4">
      <c r="E33" s="63" t="s">
        <v>96</v>
      </c>
      <c r="F33" s="60" t="s">
        <v>51</v>
      </c>
      <c r="G33" s="47">
        <v>2</v>
      </c>
      <c r="H33" s="133">
        <f>IF(B$17=0,0,G33/B$17)</f>
        <v>1.1757789535567313E-3</v>
      </c>
      <c r="I33" s="94">
        <v>3</v>
      </c>
      <c r="K33" s="38">
        <v>31</v>
      </c>
      <c r="L33" s="99">
        <v>29.1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98</v>
      </c>
      <c r="F35" s="60" t="s">
        <v>53</v>
      </c>
      <c r="G35" s="47">
        <v>1</v>
      </c>
      <c r="H35" s="133">
        <f>IF(B$17=0,0,G35/B$17)</f>
        <v>5.8788947677836567E-4</v>
      </c>
      <c r="I35" s="94">
        <v>2</v>
      </c>
      <c r="K35" s="38">
        <v>33</v>
      </c>
      <c r="L35" s="99">
        <v>8.8817841970012523E-16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102</v>
      </c>
      <c r="F39" s="60" t="s">
        <v>57</v>
      </c>
      <c r="G39" s="47">
        <v>1</v>
      </c>
      <c r="H39" s="133">
        <f>IF(B$17=0,0,G39/B$17)</f>
        <v>5.8788947677836567E-4</v>
      </c>
      <c r="I39" s="94">
        <v>2</v>
      </c>
      <c r="K39" s="38">
        <v>37</v>
      </c>
      <c r="L39" s="99">
        <v>-31.699999999999992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180</v>
      </c>
      <c r="F50" s="60" t="s">
        <v>181</v>
      </c>
      <c r="G50" s="47">
        <v>26</v>
      </c>
      <c r="H50" s="133">
        <f>IF(B$17=0,0,G50/B$17)</f>
        <v>1.5285126396237508E-2</v>
      </c>
      <c r="I50" s="94">
        <v>5</v>
      </c>
      <c r="K50" s="38">
        <v>48</v>
      </c>
      <c r="L50" s="99">
        <v>-7.1054273576010019E-15</v>
      </c>
    </row>
    <row r="51" spans="5:12" x14ac:dyDescent="0.4">
      <c r="E51" s="138" t="s">
        <v>245</v>
      </c>
      <c r="F51" s="139" t="s">
        <v>246</v>
      </c>
      <c r="G51" s="48">
        <v>696</v>
      </c>
      <c r="H51" s="140">
        <f>IF(B$17=0,0,G51/B$17)</f>
        <v>0.40917107583774248</v>
      </c>
      <c r="I51" s="141">
        <v>6</v>
      </c>
      <c r="K51" s="38">
        <v>49</v>
      </c>
      <c r="L51" s="99">
        <v>38.399999999999991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  <row r="519" spans="11:12" x14ac:dyDescent="0.4">
      <c r="K519" s="38">
        <v>517</v>
      </c>
      <c r="L519" s="99">
        <v>40.600000000000009</v>
      </c>
    </row>
    <row r="520" spans="11:12" x14ac:dyDescent="0.4">
      <c r="K520" s="38">
        <v>518</v>
      </c>
      <c r="L520" s="99">
        <v>42.70000000000001</v>
      </c>
    </row>
    <row r="521" spans="11:12" x14ac:dyDescent="0.4">
      <c r="K521" s="38">
        <v>519</v>
      </c>
      <c r="L521" s="99">
        <v>7.1054273576010019E-15</v>
      </c>
    </row>
    <row r="522" spans="11:12" x14ac:dyDescent="0.4">
      <c r="K522" s="38">
        <v>520</v>
      </c>
      <c r="L522" s="99">
        <v>-57.999999999999993</v>
      </c>
    </row>
    <row r="523" spans="11:12" x14ac:dyDescent="0.4">
      <c r="K523" s="38">
        <v>521</v>
      </c>
      <c r="L523" s="99">
        <v>-1.9999999999999929</v>
      </c>
    </row>
    <row r="524" spans="11:12" x14ac:dyDescent="0.4">
      <c r="K524" s="38">
        <v>522</v>
      </c>
      <c r="L524" s="99">
        <v>7.1054273576010019E-15</v>
      </c>
    </row>
    <row r="525" spans="11:12" x14ac:dyDescent="0.4">
      <c r="K525" s="38">
        <v>523</v>
      </c>
      <c r="L525" s="99">
        <v>36.400000000000006</v>
      </c>
    </row>
    <row r="526" spans="11:12" x14ac:dyDescent="0.4">
      <c r="K526" s="38">
        <v>524</v>
      </c>
      <c r="L526" s="99">
        <v>45.900000000000006</v>
      </c>
    </row>
    <row r="527" spans="11:12" x14ac:dyDescent="0.4">
      <c r="K527" s="38">
        <v>525</v>
      </c>
      <c r="L527" s="99">
        <v>7.1054273576010019E-15</v>
      </c>
    </row>
    <row r="528" spans="11:12" x14ac:dyDescent="0.4">
      <c r="K528" s="38">
        <v>526</v>
      </c>
      <c r="L528" s="99">
        <v>-78.699999999999989</v>
      </c>
    </row>
    <row r="529" spans="11:12" x14ac:dyDescent="0.4">
      <c r="K529" s="38">
        <v>527</v>
      </c>
      <c r="L529" s="99">
        <v>-20.699999999999989</v>
      </c>
    </row>
    <row r="530" spans="11:12" x14ac:dyDescent="0.4">
      <c r="K530" s="38">
        <v>528</v>
      </c>
      <c r="L530" s="99">
        <v>1.0658141036401503E-14</v>
      </c>
    </row>
    <row r="531" spans="11:12" x14ac:dyDescent="0.4">
      <c r="K531" s="38">
        <v>529</v>
      </c>
      <c r="L531" s="99">
        <v>37.400000000000006</v>
      </c>
    </row>
    <row r="532" spans="11:12" x14ac:dyDescent="0.4">
      <c r="K532" s="38">
        <v>530</v>
      </c>
      <c r="L532" s="99">
        <v>-5.5999999999999943</v>
      </c>
    </row>
    <row r="533" spans="11:12" x14ac:dyDescent="0.4">
      <c r="K533" s="38">
        <v>531</v>
      </c>
      <c r="L533" s="99">
        <v>5.3290705182007514E-15</v>
      </c>
    </row>
    <row r="534" spans="11:12" x14ac:dyDescent="0.4">
      <c r="K534" s="38">
        <v>532</v>
      </c>
      <c r="L534" s="99">
        <v>5.3290705182007514E-15</v>
      </c>
    </row>
    <row r="535" spans="11:12" x14ac:dyDescent="0.4">
      <c r="K535" s="38">
        <v>533</v>
      </c>
      <c r="L535" s="99">
        <v>-56.999999999999993</v>
      </c>
    </row>
    <row r="536" spans="11:12" x14ac:dyDescent="0.4">
      <c r="K536" s="38">
        <v>534</v>
      </c>
      <c r="L536" s="99">
        <v>7.1054273576010019E-15</v>
      </c>
    </row>
    <row r="537" spans="11:12" x14ac:dyDescent="0.4">
      <c r="K537" s="38">
        <v>535</v>
      </c>
      <c r="L537" s="99">
        <v>-23.699999999999992</v>
      </c>
    </row>
    <row r="538" spans="11:12" x14ac:dyDescent="0.4">
      <c r="K538" s="38">
        <v>536</v>
      </c>
      <c r="L538" s="99">
        <v>-1.2999999999999936</v>
      </c>
    </row>
    <row r="539" spans="11:12" x14ac:dyDescent="0.4">
      <c r="K539" s="38">
        <v>537</v>
      </c>
      <c r="L539" s="99">
        <v>6.4392935428259079E-15</v>
      </c>
    </row>
    <row r="540" spans="11:12" x14ac:dyDescent="0.4">
      <c r="K540" s="38">
        <v>538</v>
      </c>
      <c r="L540" s="99">
        <v>-2.9999999999999938</v>
      </c>
    </row>
    <row r="541" spans="11:12" x14ac:dyDescent="0.4">
      <c r="K541" s="38">
        <v>539</v>
      </c>
      <c r="L541" s="99">
        <v>43.000000000000007</v>
      </c>
    </row>
    <row r="542" spans="11:12" x14ac:dyDescent="0.4">
      <c r="K542" s="38">
        <v>540</v>
      </c>
      <c r="L542" s="99">
        <v>7.1054273576010019E-15</v>
      </c>
    </row>
    <row r="543" spans="11:12" x14ac:dyDescent="0.4">
      <c r="K543" s="38">
        <v>541</v>
      </c>
      <c r="L543" s="99">
        <v>-35.099999999999994</v>
      </c>
    </row>
    <row r="544" spans="11:12" x14ac:dyDescent="0.4">
      <c r="K544" s="38">
        <v>542</v>
      </c>
      <c r="L544" s="99">
        <v>-5.4999999999999929</v>
      </c>
    </row>
    <row r="545" spans="11:12" x14ac:dyDescent="0.4">
      <c r="K545" s="38">
        <v>543</v>
      </c>
      <c r="L545" s="99">
        <v>7.1054273576010019E-15</v>
      </c>
    </row>
    <row r="546" spans="11:12" x14ac:dyDescent="0.4">
      <c r="K546" s="38">
        <v>544</v>
      </c>
      <c r="L546" s="99">
        <v>-26.999999999999993</v>
      </c>
    </row>
    <row r="547" spans="11:12" x14ac:dyDescent="0.4">
      <c r="K547" s="38">
        <v>545</v>
      </c>
      <c r="L547" s="99">
        <v>6.5000000000000071</v>
      </c>
    </row>
    <row r="548" spans="11:12" x14ac:dyDescent="0.4">
      <c r="K548" s="38">
        <v>546</v>
      </c>
      <c r="L548" s="99">
        <v>7.1054273576010019E-15</v>
      </c>
    </row>
    <row r="549" spans="11:12" x14ac:dyDescent="0.4">
      <c r="K549" s="38">
        <v>547</v>
      </c>
      <c r="L549" s="99">
        <v>49.000000000000007</v>
      </c>
    </row>
    <row r="550" spans="11:12" x14ac:dyDescent="0.4">
      <c r="K550" s="38">
        <v>548</v>
      </c>
      <c r="L550" s="99">
        <v>57.100000000000009</v>
      </c>
    </row>
    <row r="551" spans="11:12" x14ac:dyDescent="0.4">
      <c r="K551" s="38">
        <v>549</v>
      </c>
      <c r="L551" s="99">
        <v>7.1054273576010019E-15</v>
      </c>
    </row>
    <row r="552" spans="11:12" x14ac:dyDescent="0.4">
      <c r="K552" s="38">
        <v>550</v>
      </c>
      <c r="L552" s="99">
        <v>-28.199999999999992</v>
      </c>
    </row>
    <row r="553" spans="11:12" x14ac:dyDescent="0.4">
      <c r="K553" s="38">
        <v>551</v>
      </c>
      <c r="L553" s="99">
        <v>2.2000000000000064</v>
      </c>
    </row>
    <row r="554" spans="11:12" x14ac:dyDescent="0.4">
      <c r="K554" s="38">
        <v>552</v>
      </c>
      <c r="L554" s="99">
        <v>6.2172489379008766E-15</v>
      </c>
    </row>
    <row r="555" spans="11:12" x14ac:dyDescent="0.4">
      <c r="K555" s="38">
        <v>553</v>
      </c>
      <c r="L555" s="99">
        <v>6.1000000000000059</v>
      </c>
    </row>
    <row r="556" spans="11:12" x14ac:dyDescent="0.4">
      <c r="K556" s="38">
        <v>554</v>
      </c>
      <c r="L556" s="99">
        <v>-33.79999999999999</v>
      </c>
    </row>
    <row r="557" spans="11:12" x14ac:dyDescent="0.4">
      <c r="K557" s="38">
        <v>555</v>
      </c>
      <c r="L557" s="99">
        <v>7.1054273576010019E-15</v>
      </c>
    </row>
    <row r="558" spans="11:12" x14ac:dyDescent="0.4">
      <c r="K558" s="38">
        <v>556</v>
      </c>
      <c r="L558" s="99">
        <v>-62.999999999999993</v>
      </c>
    </row>
    <row r="559" spans="11:12" x14ac:dyDescent="0.4">
      <c r="K559" s="38">
        <v>557</v>
      </c>
      <c r="L559" s="99">
        <v>-44.999999999999993</v>
      </c>
    </row>
    <row r="560" spans="11:12" x14ac:dyDescent="0.4">
      <c r="K560" s="38">
        <v>558</v>
      </c>
      <c r="L560" s="99">
        <v>7.1054273576010019E-15</v>
      </c>
    </row>
    <row r="561" spans="11:12" x14ac:dyDescent="0.4">
      <c r="K561" s="38">
        <v>559</v>
      </c>
      <c r="L561" s="99">
        <v>100.9</v>
      </c>
    </row>
    <row r="562" spans="11:12" x14ac:dyDescent="0.4">
      <c r="K562" s="38">
        <v>560</v>
      </c>
      <c r="L562" s="99">
        <v>27.200000000000003</v>
      </c>
    </row>
    <row r="563" spans="11:12" x14ac:dyDescent="0.4">
      <c r="K563" s="38">
        <v>561</v>
      </c>
      <c r="L563" s="99">
        <v>3.5527136788005009E-15</v>
      </c>
    </row>
    <row r="564" spans="11:12" x14ac:dyDescent="0.4">
      <c r="K564" s="38">
        <v>562</v>
      </c>
      <c r="L564" s="99">
        <v>27.100000000000005</v>
      </c>
    </row>
    <row r="565" spans="11:12" x14ac:dyDescent="0.4">
      <c r="K565" s="38">
        <v>563</v>
      </c>
      <c r="L565" s="99">
        <v>31.800000000000004</v>
      </c>
    </row>
    <row r="566" spans="11:12" x14ac:dyDescent="0.4">
      <c r="K566" s="38">
        <v>564</v>
      </c>
      <c r="L566" s="99">
        <v>3.5527136788005009E-15</v>
      </c>
    </row>
    <row r="567" spans="11:12" x14ac:dyDescent="0.4">
      <c r="K567" s="38">
        <v>565</v>
      </c>
      <c r="L567" s="99">
        <v>-0.79999999999999649</v>
      </c>
    </row>
    <row r="568" spans="11:12" x14ac:dyDescent="0.4">
      <c r="K568" s="38">
        <v>566</v>
      </c>
      <c r="L568" s="99">
        <v>23.400000000000002</v>
      </c>
    </row>
    <row r="569" spans="11:12" x14ac:dyDescent="0.4">
      <c r="K569" s="38">
        <v>567</v>
      </c>
      <c r="L569" s="99">
        <v>3.5527136788005009E-15</v>
      </c>
    </row>
    <row r="570" spans="11:12" x14ac:dyDescent="0.4">
      <c r="K570" s="38">
        <v>568</v>
      </c>
      <c r="L570" s="99">
        <v>57.2</v>
      </c>
    </row>
    <row r="571" spans="11:12" x14ac:dyDescent="0.4">
      <c r="K571" s="38">
        <v>569</v>
      </c>
      <c r="L571" s="99">
        <v>69.5</v>
      </c>
    </row>
    <row r="572" spans="11:12" x14ac:dyDescent="0.4">
      <c r="K572" s="38">
        <v>570</v>
      </c>
      <c r="L572" s="99">
        <v>0</v>
      </c>
    </row>
    <row r="573" spans="11:12" x14ac:dyDescent="0.4">
      <c r="K573" s="38">
        <v>571</v>
      </c>
      <c r="L573" s="99">
        <v>-48.7</v>
      </c>
    </row>
    <row r="574" spans="11:12" x14ac:dyDescent="0.4">
      <c r="K574" s="38">
        <v>572</v>
      </c>
      <c r="L574" s="99">
        <v>-37.1</v>
      </c>
    </row>
    <row r="575" spans="11:12" x14ac:dyDescent="0.4">
      <c r="K575" s="38">
        <v>573</v>
      </c>
      <c r="L575" s="99">
        <v>0</v>
      </c>
    </row>
    <row r="576" spans="11:12" x14ac:dyDescent="0.4">
      <c r="K576" s="38">
        <v>574</v>
      </c>
      <c r="L576" s="99">
        <v>29.4</v>
      </c>
    </row>
    <row r="577" spans="11:12" x14ac:dyDescent="0.4">
      <c r="K577" s="38">
        <v>575</v>
      </c>
      <c r="L577" s="99">
        <v>-0.80000000000000071</v>
      </c>
    </row>
    <row r="578" spans="11:12" x14ac:dyDescent="0.4">
      <c r="K578" s="38">
        <v>576</v>
      </c>
      <c r="L578" s="99">
        <v>-6.6613381477509392E-16</v>
      </c>
    </row>
    <row r="579" spans="11:12" x14ac:dyDescent="0.4">
      <c r="K579" s="38">
        <v>577</v>
      </c>
      <c r="L579" s="99">
        <v>79.599999999999994</v>
      </c>
    </row>
    <row r="580" spans="11:12" x14ac:dyDescent="0.4">
      <c r="K580" s="38">
        <v>578</v>
      </c>
      <c r="L580" s="99">
        <v>70.8</v>
      </c>
    </row>
    <row r="581" spans="11:12" x14ac:dyDescent="0.4">
      <c r="K581" s="38">
        <v>579</v>
      </c>
      <c r="L581" s="99">
        <v>0</v>
      </c>
    </row>
    <row r="582" spans="11:12" x14ac:dyDescent="0.4">
      <c r="K582" s="38">
        <v>580</v>
      </c>
      <c r="L582" s="99">
        <v>-55.7</v>
      </c>
    </row>
    <row r="583" spans="11:12" x14ac:dyDescent="0.4">
      <c r="K583" s="38">
        <v>581</v>
      </c>
      <c r="L583" s="99">
        <v>7.6999999999999957</v>
      </c>
    </row>
    <row r="584" spans="11:12" x14ac:dyDescent="0.4">
      <c r="K584" s="38">
        <v>582</v>
      </c>
      <c r="L584" s="99">
        <v>-4.4408920985006262E-15</v>
      </c>
    </row>
    <row r="585" spans="11:12" x14ac:dyDescent="0.4">
      <c r="K585" s="38">
        <v>583</v>
      </c>
      <c r="L585" s="99">
        <v>40.599999999999994</v>
      </c>
    </row>
    <row r="586" spans="11:12" x14ac:dyDescent="0.4">
      <c r="K586" s="38">
        <v>584</v>
      </c>
      <c r="L586" s="99">
        <v>43.599999999999994</v>
      </c>
    </row>
    <row r="587" spans="11:12" x14ac:dyDescent="0.4">
      <c r="K587" s="38">
        <v>585</v>
      </c>
      <c r="L587" s="99">
        <v>-7.1054273576010019E-15</v>
      </c>
    </row>
    <row r="588" spans="11:12" x14ac:dyDescent="0.4">
      <c r="K588" s="38">
        <v>586</v>
      </c>
      <c r="L588" s="99">
        <v>-50.500000000000007</v>
      </c>
    </row>
    <row r="589" spans="11:12" x14ac:dyDescent="0.4">
      <c r="K589" s="38">
        <v>587</v>
      </c>
      <c r="L589" s="99">
        <v>-47.900000000000006</v>
      </c>
    </row>
    <row r="590" spans="11:12" x14ac:dyDescent="0.4">
      <c r="K590" s="38">
        <v>588</v>
      </c>
      <c r="L590" s="99">
        <v>-7.1054273576010019E-15</v>
      </c>
    </row>
    <row r="591" spans="11:12" x14ac:dyDescent="0.4">
      <c r="K591" s="38">
        <v>589</v>
      </c>
      <c r="L591" s="99">
        <v>-41.70000000000001</v>
      </c>
    </row>
    <row r="592" spans="11:12" x14ac:dyDescent="0.4">
      <c r="K592" s="38">
        <v>590</v>
      </c>
      <c r="L592" s="99">
        <v>-0.70000000000000995</v>
      </c>
    </row>
    <row r="593" spans="11:12" x14ac:dyDescent="0.4">
      <c r="K593" s="38">
        <v>591</v>
      </c>
      <c r="L593" s="99">
        <v>-9.9920072216264089E-15</v>
      </c>
    </row>
    <row r="594" spans="11:12" x14ac:dyDescent="0.4">
      <c r="K594" s="38">
        <v>592</v>
      </c>
      <c r="L594" s="99">
        <v>-34.900000000000006</v>
      </c>
    </row>
    <row r="595" spans="11:12" x14ac:dyDescent="0.4">
      <c r="K595" s="38">
        <v>593</v>
      </c>
      <c r="L595" s="99">
        <v>-38.100000000000009</v>
      </c>
    </row>
    <row r="596" spans="11:12" x14ac:dyDescent="0.4">
      <c r="K596" s="38">
        <v>594</v>
      </c>
      <c r="L596" s="99">
        <v>-7.1054273576010019E-15</v>
      </c>
    </row>
    <row r="597" spans="11:12" x14ac:dyDescent="0.4">
      <c r="K597" s="38">
        <v>595</v>
      </c>
      <c r="L597" s="99">
        <v>64.199999999999989</v>
      </c>
    </row>
    <row r="598" spans="11:12" x14ac:dyDescent="0.4">
      <c r="K598" s="38">
        <v>596</v>
      </c>
      <c r="L598" s="99">
        <v>57.999999999999986</v>
      </c>
    </row>
    <row r="599" spans="11:12" x14ac:dyDescent="0.4">
      <c r="K599" s="38">
        <v>597</v>
      </c>
      <c r="L599" s="99">
        <v>-1.4210854715202004E-14</v>
      </c>
    </row>
    <row r="600" spans="11:12" x14ac:dyDescent="0.4">
      <c r="K600" s="38">
        <v>598</v>
      </c>
      <c r="L600" s="99">
        <v>60.299999999999983</v>
      </c>
    </row>
    <row r="601" spans="11:12" x14ac:dyDescent="0.4">
      <c r="K601" s="38">
        <v>599</v>
      </c>
      <c r="L601" s="99">
        <v>-1.7000000000000171</v>
      </c>
    </row>
    <row r="602" spans="11:12" x14ac:dyDescent="0.4">
      <c r="K602" s="38">
        <v>600</v>
      </c>
      <c r="L602" s="99">
        <v>-1.7097434579227411E-14</v>
      </c>
    </row>
    <row r="603" spans="11:12" x14ac:dyDescent="0.4">
      <c r="K603" s="38">
        <v>601</v>
      </c>
      <c r="L603" s="99">
        <v>7.2999999999999829</v>
      </c>
    </row>
    <row r="604" spans="11:12" x14ac:dyDescent="0.4">
      <c r="K604" s="38">
        <v>602</v>
      </c>
      <c r="L604" s="99">
        <v>36.09999999999998</v>
      </c>
    </row>
    <row r="605" spans="11:12" x14ac:dyDescent="0.4">
      <c r="K605" s="38">
        <v>603</v>
      </c>
      <c r="L605" s="99">
        <v>-2.1316282072803006E-14</v>
      </c>
    </row>
    <row r="606" spans="11:12" x14ac:dyDescent="0.4">
      <c r="K606" s="38">
        <v>604</v>
      </c>
      <c r="L606" s="99">
        <v>-41.40000000000002</v>
      </c>
    </row>
    <row r="607" spans="11:12" x14ac:dyDescent="0.4">
      <c r="K607" s="38">
        <v>605</v>
      </c>
      <c r="L607" s="99">
        <v>-48.000000000000021</v>
      </c>
    </row>
    <row r="608" spans="11:12" x14ac:dyDescent="0.4">
      <c r="K608" s="38">
        <v>606</v>
      </c>
      <c r="L608" s="99">
        <v>-2.1316282072803006E-14</v>
      </c>
    </row>
    <row r="609" spans="11:12" x14ac:dyDescent="0.4">
      <c r="K609" s="38">
        <v>607</v>
      </c>
      <c r="L609" s="99">
        <v>31.899999999999977</v>
      </c>
    </row>
    <row r="610" spans="11:12" x14ac:dyDescent="0.4">
      <c r="K610" s="38">
        <v>608</v>
      </c>
      <c r="L610" s="99">
        <v>33.899999999999977</v>
      </c>
    </row>
    <row r="611" spans="11:12" x14ac:dyDescent="0.4">
      <c r="K611" s="38">
        <v>609</v>
      </c>
      <c r="L611" s="99">
        <v>-2.1316282072803006E-14</v>
      </c>
    </row>
    <row r="612" spans="11:12" x14ac:dyDescent="0.4">
      <c r="K612" s="38">
        <v>610</v>
      </c>
      <c r="L612" s="99">
        <v>-11.100000000000021</v>
      </c>
    </row>
    <row r="613" spans="11:12" x14ac:dyDescent="0.4">
      <c r="K613" s="38">
        <v>611</v>
      </c>
      <c r="L613" s="99">
        <v>56.699999999999974</v>
      </c>
    </row>
    <row r="614" spans="11:12" x14ac:dyDescent="0.4">
      <c r="K614" s="38">
        <v>612</v>
      </c>
      <c r="L614" s="99">
        <v>-2.8421709430404007E-14</v>
      </c>
    </row>
    <row r="615" spans="11:12" x14ac:dyDescent="0.4">
      <c r="K615" s="38">
        <v>613</v>
      </c>
      <c r="L615" s="99">
        <v>-24.400000000000027</v>
      </c>
    </row>
    <row r="616" spans="11:12" x14ac:dyDescent="0.4">
      <c r="K616" s="38">
        <v>614</v>
      </c>
      <c r="L616" s="99">
        <v>-25.600000000000026</v>
      </c>
    </row>
    <row r="617" spans="11:12" x14ac:dyDescent="0.4">
      <c r="K617" s="38">
        <v>615</v>
      </c>
      <c r="L617" s="99">
        <v>-2.4868995751603507E-14</v>
      </c>
    </row>
    <row r="618" spans="11:12" x14ac:dyDescent="0.4">
      <c r="K618" s="38">
        <v>616</v>
      </c>
      <c r="L618" s="99">
        <v>-44.600000000000023</v>
      </c>
    </row>
    <row r="619" spans="11:12" x14ac:dyDescent="0.4">
      <c r="K619" s="38">
        <v>617</v>
      </c>
      <c r="L619" s="99">
        <v>-34.90000000000002</v>
      </c>
    </row>
    <row r="620" spans="11:12" x14ac:dyDescent="0.4">
      <c r="K620" s="38">
        <v>618</v>
      </c>
      <c r="L620" s="99">
        <v>-2.1316282072803006E-14</v>
      </c>
    </row>
    <row r="621" spans="11:12" x14ac:dyDescent="0.4">
      <c r="K621" s="38">
        <v>619</v>
      </c>
      <c r="L621" s="99">
        <v>46.09999999999998</v>
      </c>
    </row>
    <row r="622" spans="11:12" x14ac:dyDescent="0.4">
      <c r="K622" s="38">
        <v>620</v>
      </c>
      <c r="L622" s="99">
        <v>54.59999999999998</v>
      </c>
    </row>
    <row r="623" spans="11:12" x14ac:dyDescent="0.4">
      <c r="K623" s="38">
        <v>621</v>
      </c>
      <c r="L623" s="99">
        <v>-2.1316282072803006E-14</v>
      </c>
    </row>
    <row r="624" spans="11:12" x14ac:dyDescent="0.4">
      <c r="K624" s="38">
        <v>622</v>
      </c>
      <c r="L624" s="99">
        <v>56.499999999999979</v>
      </c>
    </row>
    <row r="625" spans="11:12" x14ac:dyDescent="0.4">
      <c r="K625" s="38">
        <v>623</v>
      </c>
      <c r="L625" s="99">
        <v>64.699999999999974</v>
      </c>
    </row>
    <row r="626" spans="11:12" x14ac:dyDescent="0.4">
      <c r="K626" s="38">
        <v>624</v>
      </c>
      <c r="L626" s="99">
        <v>-2.8421709430404007E-14</v>
      </c>
    </row>
    <row r="627" spans="11:12" x14ac:dyDescent="0.4">
      <c r="K627" s="38">
        <v>625</v>
      </c>
      <c r="L627" s="99">
        <v>23.699999999999971</v>
      </c>
    </row>
    <row r="628" spans="11:12" x14ac:dyDescent="0.4">
      <c r="K628" s="38">
        <v>626</v>
      </c>
      <c r="L628" s="99">
        <v>1.4999999999999716</v>
      </c>
    </row>
    <row r="629" spans="11:12" x14ac:dyDescent="0.4">
      <c r="K629" s="38">
        <v>627</v>
      </c>
      <c r="L629" s="99">
        <v>-2.8421709430404007E-14</v>
      </c>
    </row>
    <row r="630" spans="11:12" x14ac:dyDescent="0.4">
      <c r="K630" s="38">
        <v>628</v>
      </c>
      <c r="L630" s="99">
        <v>27.699999999999971</v>
      </c>
    </row>
    <row r="631" spans="11:12" x14ac:dyDescent="0.4">
      <c r="K631" s="38">
        <v>629</v>
      </c>
      <c r="L631" s="99">
        <v>3.3999999999999702</v>
      </c>
    </row>
    <row r="632" spans="11:12" x14ac:dyDescent="0.4">
      <c r="K632" s="38">
        <v>630</v>
      </c>
      <c r="L632" s="99">
        <v>-2.9753977059954195E-14</v>
      </c>
    </row>
    <row r="633" spans="11:12" x14ac:dyDescent="0.4">
      <c r="K633" s="38">
        <v>631</v>
      </c>
      <c r="L633" s="99">
        <v>45.299999999999969</v>
      </c>
    </row>
    <row r="634" spans="11:12" x14ac:dyDescent="0.4">
      <c r="K634" s="38">
        <v>632</v>
      </c>
      <c r="L634" s="99">
        <v>-5.8000000000000327</v>
      </c>
    </row>
    <row r="635" spans="11:12" x14ac:dyDescent="0.4">
      <c r="K635" s="38">
        <v>633</v>
      </c>
      <c r="L635" s="99">
        <v>-3.2862601528904634E-14</v>
      </c>
    </row>
    <row r="636" spans="11:12" x14ac:dyDescent="0.4">
      <c r="K636" s="38">
        <v>634</v>
      </c>
      <c r="L636" s="99">
        <v>8.999999999999968</v>
      </c>
    </row>
    <row r="637" spans="11:12" x14ac:dyDescent="0.4">
      <c r="K637" s="38">
        <v>635</v>
      </c>
      <c r="L637" s="99">
        <v>57.299999999999969</v>
      </c>
    </row>
    <row r="638" spans="11:12" x14ac:dyDescent="0.4">
      <c r="K638" s="38">
        <v>636</v>
      </c>
      <c r="L638" s="99">
        <v>-2.8421709430404007E-14</v>
      </c>
    </row>
    <row r="639" spans="11:12" x14ac:dyDescent="0.4">
      <c r="K639" s="38">
        <v>637</v>
      </c>
      <c r="L639" s="99">
        <v>-56.000000000000028</v>
      </c>
    </row>
    <row r="640" spans="11:12" x14ac:dyDescent="0.4">
      <c r="K640" s="38">
        <v>638</v>
      </c>
      <c r="L640" s="99">
        <v>-50.000000000000028</v>
      </c>
    </row>
    <row r="641" spans="11:12" x14ac:dyDescent="0.4">
      <c r="K641" s="38">
        <v>639</v>
      </c>
      <c r="L641" s="99">
        <v>-2.8421709430404007E-14</v>
      </c>
    </row>
    <row r="642" spans="11:12" x14ac:dyDescent="0.4">
      <c r="K642" s="38">
        <v>640</v>
      </c>
      <c r="L642" s="99">
        <v>-56.200000000000031</v>
      </c>
    </row>
    <row r="643" spans="11:12" x14ac:dyDescent="0.4">
      <c r="K643" s="38">
        <v>641</v>
      </c>
      <c r="L643" s="99">
        <v>11.699999999999974</v>
      </c>
    </row>
    <row r="644" spans="11:12" x14ac:dyDescent="0.4">
      <c r="K644" s="38">
        <v>642</v>
      </c>
      <c r="L644" s="99">
        <v>-2.4868995751603507E-14</v>
      </c>
    </row>
    <row r="645" spans="11:12" x14ac:dyDescent="0.4">
      <c r="K645" s="38">
        <v>643</v>
      </c>
      <c r="L645" s="99">
        <v>-31.800000000000026</v>
      </c>
    </row>
    <row r="646" spans="11:12" x14ac:dyDescent="0.4">
      <c r="K646" s="38">
        <v>644</v>
      </c>
      <c r="L646" s="99">
        <v>-42.700000000000024</v>
      </c>
    </row>
    <row r="647" spans="11:12" x14ac:dyDescent="0.4">
      <c r="K647" s="38">
        <v>645</v>
      </c>
      <c r="L647" s="99">
        <v>-2.1316282072803006E-14</v>
      </c>
    </row>
    <row r="648" spans="11:12" x14ac:dyDescent="0.4">
      <c r="K648" s="38">
        <v>646</v>
      </c>
      <c r="L648" s="99">
        <v>-7.3000000000000211</v>
      </c>
    </row>
    <row r="649" spans="11:12" x14ac:dyDescent="0.4">
      <c r="K649" s="38">
        <v>647</v>
      </c>
      <c r="L649" s="99">
        <v>45.999999999999979</v>
      </c>
    </row>
    <row r="650" spans="11:12" x14ac:dyDescent="0.4">
      <c r="K650" s="38">
        <v>648</v>
      </c>
      <c r="L650" s="99">
        <v>-1.0000000000000213</v>
      </c>
    </row>
    <row r="651" spans="11:12" x14ac:dyDescent="0.4">
      <c r="K651" s="38">
        <v>649</v>
      </c>
      <c r="L651" s="99">
        <v>-15.300000000000022</v>
      </c>
    </row>
    <row r="652" spans="11:12" x14ac:dyDescent="0.4">
      <c r="K652" s="38">
        <v>650</v>
      </c>
      <c r="L652" s="99">
        <v>35.09999999999998</v>
      </c>
    </row>
    <row r="653" spans="11:12" x14ac:dyDescent="0.4">
      <c r="K653" s="38">
        <v>651</v>
      </c>
      <c r="L653" s="99">
        <v>-1.0000000000000213</v>
      </c>
    </row>
    <row r="654" spans="11:12" x14ac:dyDescent="0.4">
      <c r="K654" s="38">
        <v>652</v>
      </c>
      <c r="L654" s="99">
        <v>-1.0000000000000213</v>
      </c>
    </row>
    <row r="655" spans="11:12" x14ac:dyDescent="0.4">
      <c r="K655" s="38">
        <v>653</v>
      </c>
      <c r="L655" s="99">
        <v>-1.0000000000000213</v>
      </c>
    </row>
    <row r="656" spans="11:12" x14ac:dyDescent="0.4">
      <c r="K656" s="38">
        <v>654</v>
      </c>
      <c r="L656" s="99">
        <v>-1.0000000000000213</v>
      </c>
    </row>
    <row r="657" spans="11:12" x14ac:dyDescent="0.4">
      <c r="K657" s="38">
        <v>655</v>
      </c>
      <c r="L657" s="99">
        <v>-61.90000000000002</v>
      </c>
    </row>
    <row r="658" spans="11:12" x14ac:dyDescent="0.4">
      <c r="K658" s="38">
        <v>656</v>
      </c>
      <c r="L658" s="99">
        <v>2.4999999999999858</v>
      </c>
    </row>
    <row r="659" spans="11:12" x14ac:dyDescent="0.4">
      <c r="K659" s="38">
        <v>657</v>
      </c>
      <c r="L659" s="99">
        <v>-1.0000000000000142</v>
      </c>
    </row>
    <row r="660" spans="11:12" x14ac:dyDescent="0.4">
      <c r="K660" s="38">
        <v>658</v>
      </c>
      <c r="L660" s="99">
        <v>66.799999999999983</v>
      </c>
    </row>
    <row r="661" spans="11:12" x14ac:dyDescent="0.4">
      <c r="K661" s="38">
        <v>659</v>
      </c>
      <c r="L661" s="99">
        <v>54.899999999999984</v>
      </c>
    </row>
    <row r="662" spans="11:12" x14ac:dyDescent="0.4">
      <c r="K662" s="38">
        <v>660</v>
      </c>
      <c r="L662" s="99">
        <v>-1.0000000000000142</v>
      </c>
    </row>
    <row r="663" spans="11:12" x14ac:dyDescent="0.4">
      <c r="K663" s="38">
        <v>661</v>
      </c>
      <c r="L663" s="99">
        <v>-15.900000000000015</v>
      </c>
    </row>
    <row r="664" spans="11:12" x14ac:dyDescent="0.4">
      <c r="K664" s="38">
        <v>662</v>
      </c>
      <c r="L664" s="99">
        <v>-52.300000000000011</v>
      </c>
    </row>
    <row r="665" spans="11:12" x14ac:dyDescent="0.4">
      <c r="K665" s="38">
        <v>663</v>
      </c>
      <c r="L665" s="99">
        <v>-1.0000000000000142</v>
      </c>
    </row>
    <row r="666" spans="11:12" x14ac:dyDescent="0.4">
      <c r="K666" s="38">
        <v>664</v>
      </c>
      <c r="L666" s="99">
        <v>-58.700000000000017</v>
      </c>
    </row>
    <row r="667" spans="11:12" x14ac:dyDescent="0.4">
      <c r="K667" s="38">
        <v>665</v>
      </c>
      <c r="L667" s="99">
        <v>-41.100000000000016</v>
      </c>
    </row>
    <row r="668" spans="11:12" x14ac:dyDescent="0.4">
      <c r="K668" s="38">
        <v>666</v>
      </c>
      <c r="L668" s="99">
        <v>-1.0000000000000142</v>
      </c>
    </row>
    <row r="669" spans="11:12" x14ac:dyDescent="0.4">
      <c r="K669" s="38">
        <v>667</v>
      </c>
      <c r="L669" s="99">
        <v>-2.9000000000000141</v>
      </c>
    </row>
    <row r="670" spans="11:12" x14ac:dyDescent="0.4">
      <c r="K670" s="38">
        <v>668</v>
      </c>
      <c r="L670" s="99">
        <v>31.79999999999999</v>
      </c>
    </row>
    <row r="671" spans="11:12" x14ac:dyDescent="0.4">
      <c r="K671" s="38">
        <v>669</v>
      </c>
      <c r="L671" s="99">
        <v>-1.0000000000000071</v>
      </c>
    </row>
    <row r="672" spans="11:12" x14ac:dyDescent="0.4">
      <c r="K672" s="38">
        <v>670</v>
      </c>
      <c r="L672" s="99">
        <v>10.599999999999993</v>
      </c>
    </row>
    <row r="673" spans="11:12" x14ac:dyDescent="0.4">
      <c r="K673" s="38">
        <v>671</v>
      </c>
      <c r="L673" s="99">
        <v>-44.800000000000004</v>
      </c>
    </row>
    <row r="674" spans="11:12" x14ac:dyDescent="0.4">
      <c r="K674" s="38">
        <v>672</v>
      </c>
      <c r="L674" s="99">
        <v>-1.0000000000000071</v>
      </c>
    </row>
    <row r="675" spans="11:12" x14ac:dyDescent="0.4">
      <c r="K675" s="38">
        <v>673</v>
      </c>
      <c r="L675" s="99">
        <v>-2.0000000000000071</v>
      </c>
    </row>
    <row r="676" spans="11:12" x14ac:dyDescent="0.4">
      <c r="K676" s="38">
        <v>674</v>
      </c>
      <c r="L676" s="99">
        <v>-60.000000000000007</v>
      </c>
    </row>
    <row r="677" spans="11:12" x14ac:dyDescent="0.4">
      <c r="K677" s="38">
        <v>675</v>
      </c>
      <c r="L677" s="99">
        <v>-1.0000000000000071</v>
      </c>
    </row>
    <row r="678" spans="11:12" x14ac:dyDescent="0.4">
      <c r="K678" s="38">
        <v>676</v>
      </c>
      <c r="L678" s="99">
        <v>-2.3000000000000069</v>
      </c>
    </row>
    <row r="679" spans="11:12" x14ac:dyDescent="0.4">
      <c r="K679" s="38">
        <v>677</v>
      </c>
      <c r="L679" s="99">
        <v>33.699999999999996</v>
      </c>
    </row>
    <row r="680" spans="11:12" x14ac:dyDescent="0.4">
      <c r="K680" s="38">
        <v>678</v>
      </c>
      <c r="L680" s="99">
        <v>-1.0000000000000071</v>
      </c>
    </row>
    <row r="681" spans="11:12" x14ac:dyDescent="0.4">
      <c r="K681" s="38">
        <v>679</v>
      </c>
      <c r="L681" s="99">
        <v>-8.4000000000000075</v>
      </c>
    </row>
    <row r="682" spans="11:12" x14ac:dyDescent="0.4">
      <c r="K682" s="38">
        <v>680</v>
      </c>
      <c r="L682" s="99">
        <v>-72.100000000000009</v>
      </c>
    </row>
    <row r="683" spans="11:12" x14ac:dyDescent="0.4">
      <c r="K683" s="38">
        <v>681</v>
      </c>
      <c r="L683" s="99">
        <v>-1.0000000000000142</v>
      </c>
    </row>
    <row r="684" spans="11:12" x14ac:dyDescent="0.4">
      <c r="K684" s="38">
        <v>682</v>
      </c>
      <c r="L684" s="99">
        <v>75.999999999999986</v>
      </c>
    </row>
    <row r="685" spans="11:12" x14ac:dyDescent="0.4">
      <c r="K685" s="38">
        <v>683</v>
      </c>
      <c r="L685" s="99">
        <v>-6.0000000000000142</v>
      </c>
    </row>
    <row r="686" spans="11:12" x14ac:dyDescent="0.4">
      <c r="K686" s="38">
        <v>684</v>
      </c>
      <c r="L686" s="99">
        <v>-1.0000000000000142</v>
      </c>
    </row>
    <row r="687" spans="11:12" x14ac:dyDescent="0.4">
      <c r="K687" s="38">
        <v>685</v>
      </c>
      <c r="L687" s="99">
        <v>48.699999999999989</v>
      </c>
    </row>
    <row r="688" spans="11:12" x14ac:dyDescent="0.4">
      <c r="K688" s="38">
        <v>686</v>
      </c>
      <c r="L688" s="99">
        <v>37.79999999999999</v>
      </c>
    </row>
    <row r="689" spans="11:12" x14ac:dyDescent="0.4">
      <c r="K689" s="38">
        <v>687</v>
      </c>
      <c r="L689" s="99">
        <v>-1.0000000000000071</v>
      </c>
    </row>
  </sheetData>
  <sortState ref="E2:I689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5C4CE-7006-4F46-8BD2-4265ACD7CDB1}">
  <sheetPr codeName="Sheet7"/>
  <dimension ref="A1:Q15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127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155</v>
      </c>
      <c r="C2" s="151"/>
      <c r="E2" s="62" t="s">
        <v>65</v>
      </c>
      <c r="F2" s="59" t="s">
        <v>21</v>
      </c>
      <c r="G2" s="46">
        <v>209</v>
      </c>
      <c r="H2" s="132">
        <f>IF(B$17=0,0,G2/B$17)</f>
        <v>0.48267898383371827</v>
      </c>
      <c r="I2" s="93">
        <v>11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2113.6363636363635</v>
      </c>
      <c r="P2" s="118">
        <v>154</v>
      </c>
      <c r="Q2" s="102">
        <v>325500</v>
      </c>
    </row>
    <row r="3" spans="1:17" x14ac:dyDescent="0.4">
      <c r="A3" s="55" t="s">
        <v>8</v>
      </c>
      <c r="B3" s="152">
        <v>1260</v>
      </c>
      <c r="C3" s="153"/>
      <c r="E3" s="63" t="s">
        <v>66</v>
      </c>
      <c r="F3" s="60" t="s">
        <v>22</v>
      </c>
      <c r="G3" s="47">
        <v>55</v>
      </c>
      <c r="H3" s="133">
        <f>IF(B$17=0,0,G3/B$17)</f>
        <v>0.12702078521939955</v>
      </c>
      <c r="I3" s="94">
        <v>3</v>
      </c>
      <c r="K3" s="38">
        <v>1</v>
      </c>
      <c r="L3" s="99">
        <v>-5.0999999999999996</v>
      </c>
      <c r="N3" s="115" t="s">
        <v>133</v>
      </c>
      <c r="O3" s="122">
        <f t="shared" si="0"/>
        <v>1486</v>
      </c>
      <c r="P3" s="119">
        <v>150</v>
      </c>
      <c r="Q3" s="103">
        <v>222900</v>
      </c>
    </row>
    <row r="4" spans="1:17" x14ac:dyDescent="0.4">
      <c r="A4" s="55" t="s">
        <v>6</v>
      </c>
      <c r="B4" s="154">
        <v>1855.1000000000006</v>
      </c>
      <c r="C4" s="155"/>
      <c r="E4" s="63" t="s">
        <v>67</v>
      </c>
      <c r="F4" s="60" t="s">
        <v>23</v>
      </c>
      <c r="G4" s="47">
        <v>309</v>
      </c>
      <c r="H4" s="133">
        <f>IF(B$17=0,0,G4/B$17)</f>
        <v>0.71362586605080836</v>
      </c>
      <c r="I4" s="94">
        <v>8</v>
      </c>
      <c r="K4" s="38">
        <v>2</v>
      </c>
      <c r="L4" s="99">
        <v>-2.8999999999999995</v>
      </c>
      <c r="N4" s="115" t="s">
        <v>134</v>
      </c>
      <c r="O4" s="122">
        <f t="shared" si="0"/>
        <v>919.58041958041963</v>
      </c>
      <c r="P4" s="119">
        <v>143</v>
      </c>
      <c r="Q4" s="103">
        <v>131500</v>
      </c>
    </row>
    <row r="5" spans="1:17" x14ac:dyDescent="0.4">
      <c r="A5" s="55" t="s">
        <v>7</v>
      </c>
      <c r="B5" s="156">
        <f>IF(B$2=0,0,B$4/B$2)</f>
        <v>11.968387096774197</v>
      </c>
      <c r="C5" s="157"/>
      <c r="E5" s="63" t="s">
        <v>68</v>
      </c>
      <c r="F5" s="60" t="s">
        <v>24</v>
      </c>
      <c r="G5" s="47">
        <v>122</v>
      </c>
      <c r="H5" s="133">
        <f>IF(B$17=0,0,G5/B$17)</f>
        <v>0.28175519630484991</v>
      </c>
      <c r="I5" s="94">
        <v>10</v>
      </c>
      <c r="K5" s="38">
        <v>3</v>
      </c>
      <c r="L5" s="99">
        <v>70.399999999999991</v>
      </c>
      <c r="N5" s="115" t="s">
        <v>135</v>
      </c>
      <c r="O5" s="122">
        <f t="shared" si="0"/>
        <v>2293.8931297709923</v>
      </c>
      <c r="P5" s="119">
        <v>131</v>
      </c>
      <c r="Q5" s="103">
        <v>300500</v>
      </c>
    </row>
    <row r="6" spans="1:17" x14ac:dyDescent="0.4">
      <c r="A6" s="55" t="s">
        <v>1</v>
      </c>
      <c r="B6" s="146">
        <f>IF(B$2=0,0,(B$7*1+B$8*2+B$9*3)/B$2)</f>
        <v>1.7483870967741935</v>
      </c>
      <c r="C6" s="147"/>
      <c r="E6" s="63" t="s">
        <v>69</v>
      </c>
      <c r="F6" s="60" t="s">
        <v>12</v>
      </c>
      <c r="G6" s="47">
        <v>117</v>
      </c>
      <c r="H6" s="133">
        <f>IF(B$17=0,0,G6/B$17)</f>
        <v>0.2702078521939954</v>
      </c>
      <c r="I6" s="94">
        <v>11</v>
      </c>
      <c r="K6" s="38">
        <v>4</v>
      </c>
      <c r="L6" s="99">
        <v>110.5</v>
      </c>
      <c r="N6" s="115" t="s">
        <v>136</v>
      </c>
      <c r="O6" s="122">
        <f t="shared" si="0"/>
        <v>186.20689655172413</v>
      </c>
      <c r="P6" s="119">
        <v>116</v>
      </c>
      <c r="Q6" s="103">
        <v>21600</v>
      </c>
    </row>
    <row r="7" spans="1:17" x14ac:dyDescent="0.4">
      <c r="A7" s="55" t="s">
        <v>2</v>
      </c>
      <c r="B7" s="47">
        <v>75</v>
      </c>
      <c r="C7" s="39">
        <f>IF(B$2=0,0,B7/B$2)</f>
        <v>0.4838709677419355</v>
      </c>
      <c r="E7" s="63" t="s">
        <v>70</v>
      </c>
      <c r="F7" s="60" t="s">
        <v>25</v>
      </c>
      <c r="G7" s="47">
        <v>70</v>
      </c>
      <c r="H7" s="133">
        <f>IF(B$17=0,0,G7/B$17)</f>
        <v>0.16166281755196305</v>
      </c>
      <c r="I7" s="94">
        <v>9</v>
      </c>
      <c r="K7" s="38">
        <v>5</v>
      </c>
      <c r="L7" s="99">
        <v>201.4</v>
      </c>
      <c r="N7" s="116" t="s">
        <v>137</v>
      </c>
      <c r="O7" s="123">
        <f t="shared" si="0"/>
        <v>871</v>
      </c>
      <c r="P7" s="120">
        <v>100</v>
      </c>
      <c r="Q7" s="104">
        <v>87100</v>
      </c>
    </row>
    <row r="8" spans="1:17" x14ac:dyDescent="0.4">
      <c r="A8" s="55" t="s">
        <v>3</v>
      </c>
      <c r="B8" s="47">
        <v>44</v>
      </c>
      <c r="C8" s="39">
        <f>IF(B$2=0,0,B8/B$2)</f>
        <v>0.28387096774193549</v>
      </c>
      <c r="E8" s="63" t="s">
        <v>71</v>
      </c>
      <c r="F8" s="60" t="s">
        <v>26</v>
      </c>
      <c r="G8" s="47">
        <v>38</v>
      </c>
      <c r="H8" s="133">
        <f>IF(B$17=0,0,G8/B$17)</f>
        <v>8.7759815242494224E-2</v>
      </c>
      <c r="I8" s="94">
        <v>7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36</v>
      </c>
      <c r="C9" s="40">
        <f t="shared" ref="C9" si="1">IF(B$2=0,0,B9/B$2)</f>
        <v>0.23225806451612904</v>
      </c>
      <c r="E9" s="63" t="s">
        <v>72</v>
      </c>
      <c r="F9" s="60" t="s">
        <v>27</v>
      </c>
      <c r="G9" s="47">
        <v>30</v>
      </c>
      <c r="H9" s="133">
        <f>IF(B$17=0,0,G9/B$17)</f>
        <v>6.9284064665127015E-2</v>
      </c>
      <c r="I9" s="94">
        <v>6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15</v>
      </c>
      <c r="C10" s="40">
        <f>IF(B$2=0,0,B10/B$2)</f>
        <v>9.6774193548387094E-2</v>
      </c>
      <c r="E10" s="63" t="s">
        <v>73</v>
      </c>
      <c r="F10" s="60" t="s">
        <v>28</v>
      </c>
      <c r="G10" s="47">
        <v>245</v>
      </c>
      <c r="H10" s="133">
        <f>IF(B$17=0,0,G10/B$17)</f>
        <v>0.56581986143187069</v>
      </c>
      <c r="I10" s="94">
        <v>5</v>
      </c>
      <c r="K10" s="38">
        <v>8</v>
      </c>
      <c r="L10" s="99">
        <v>285.20000000000005</v>
      </c>
      <c r="N10" s="114" t="s">
        <v>164</v>
      </c>
      <c r="O10" s="124">
        <f>IF(P10=0,0,Q10/P10)</f>
        <v>14.018367346938778</v>
      </c>
      <c r="P10" s="118">
        <v>49</v>
      </c>
      <c r="Q10" s="106">
        <v>686.90000000000009</v>
      </c>
    </row>
    <row r="11" spans="1:17" x14ac:dyDescent="0.4">
      <c r="A11" s="56" t="s">
        <v>140</v>
      </c>
      <c r="B11" s="48">
        <v>27</v>
      </c>
      <c r="C11" s="40">
        <f>IF(B$2=0,0,B11/B$2)</f>
        <v>0.17419354838709677</v>
      </c>
      <c r="E11" s="63" t="s">
        <v>74</v>
      </c>
      <c r="F11" s="60" t="s">
        <v>29</v>
      </c>
      <c r="G11" s="47">
        <v>3</v>
      </c>
      <c r="H11" s="133">
        <f>IF(B$17=0,0,G11/B$17)</f>
        <v>6.9284064665127024E-3</v>
      </c>
      <c r="I11" s="94">
        <v>5</v>
      </c>
      <c r="K11" s="38">
        <v>9</v>
      </c>
      <c r="L11" s="99">
        <v>277.90000000000003</v>
      </c>
      <c r="N11" s="115" t="s">
        <v>165</v>
      </c>
      <c r="O11" s="125">
        <f>IF(P11=0,0,Q11/P11)</f>
        <v>10.271111111111111</v>
      </c>
      <c r="P11" s="119">
        <v>45</v>
      </c>
      <c r="Q11" s="107">
        <v>462.2</v>
      </c>
    </row>
    <row r="12" spans="1:17" x14ac:dyDescent="0.4">
      <c r="A12" s="57" t="s">
        <v>160</v>
      </c>
      <c r="B12" s="49">
        <v>21</v>
      </c>
      <c r="C12" s="42">
        <f>IF(B$2=0,0,B12/B$2)</f>
        <v>0.13548387096774195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K12" s="38">
        <v>10</v>
      </c>
      <c r="L12" s="99">
        <v>246.20000000000005</v>
      </c>
      <c r="N12" s="116" t="s">
        <v>166</v>
      </c>
      <c r="O12" s="126">
        <f>IF(P12=0,0,Q12/P12)</f>
        <v>11.57377049180328</v>
      </c>
      <c r="P12" s="120">
        <v>61</v>
      </c>
      <c r="Q12" s="108">
        <v>706.00000000000011</v>
      </c>
    </row>
    <row r="13" spans="1:17" x14ac:dyDescent="0.4">
      <c r="A13" s="58" t="s">
        <v>122</v>
      </c>
      <c r="B13" s="50">
        <v>395</v>
      </c>
      <c r="C13" s="44">
        <f>IF(B$3=0,0,B13/B$3)</f>
        <v>0.31349206349206349</v>
      </c>
      <c r="E13" s="63" t="s">
        <v>76</v>
      </c>
      <c r="F13" s="60" t="s">
        <v>31</v>
      </c>
      <c r="G13" s="47">
        <v>1</v>
      </c>
      <c r="H13" s="133">
        <f>IF(B$17=0,0,G13/B$17)</f>
        <v>2.3094688221709007E-3</v>
      </c>
      <c r="I13" s="94">
        <v>8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272</v>
      </c>
      <c r="C14" s="39">
        <f>IF(B$3=0,0,B14/B$3)</f>
        <v>0.21587301587301588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228</v>
      </c>
      <c r="C15" s="37">
        <f>IF(B$13=0,0,B15/B$13)</f>
        <v>0.57721518987341769</v>
      </c>
      <c r="E15" s="63" t="s">
        <v>78</v>
      </c>
      <c r="F15" s="60" t="s">
        <v>33</v>
      </c>
      <c r="G15" s="47">
        <v>2</v>
      </c>
      <c r="H15" s="133">
        <f>IF(B$17=0,0,G15/B$17)</f>
        <v>4.6189376443418013E-3</v>
      </c>
      <c r="I15" s="94">
        <v>2</v>
      </c>
      <c r="K15" s="38">
        <v>13</v>
      </c>
      <c r="L15" s="99">
        <v>418.90000000000003</v>
      </c>
      <c r="N15" s="114" t="s">
        <v>183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140</v>
      </c>
      <c r="C16" s="37">
        <f>IF(B$14=0,0,B16/B$14)</f>
        <v>0.51470588235294112</v>
      </c>
      <c r="E16" s="63" t="s">
        <v>79</v>
      </c>
      <c r="F16" s="60" t="s">
        <v>34</v>
      </c>
      <c r="G16" s="47">
        <v>12</v>
      </c>
      <c r="H16" s="133">
        <f>IF(B$17=0,0,G16/B$17)</f>
        <v>2.771362586605081E-2</v>
      </c>
      <c r="I16" s="94">
        <v>6</v>
      </c>
      <c r="K16" s="38">
        <v>14</v>
      </c>
      <c r="L16" s="99">
        <v>473.50000000000006</v>
      </c>
      <c r="N16" s="115" t="s">
        <v>222</v>
      </c>
      <c r="O16" s="125">
        <f>IF(P16=0,0,Q16/P16)</f>
        <v>29.599999999999998</v>
      </c>
      <c r="P16" s="119">
        <v>1</v>
      </c>
      <c r="Q16" s="107">
        <v>29.599999999999998</v>
      </c>
    </row>
    <row r="17" spans="1:17" x14ac:dyDescent="0.4">
      <c r="A17" s="54" t="s">
        <v>10</v>
      </c>
      <c r="B17" s="46">
        <f>B19+B18</f>
        <v>433</v>
      </c>
      <c r="C17" s="37">
        <f>IF(B$3=0,0,B17/B$3)</f>
        <v>0.34365079365079365</v>
      </c>
      <c r="E17" s="63" t="s">
        <v>80</v>
      </c>
      <c r="F17" s="60" t="s">
        <v>35</v>
      </c>
      <c r="G17" s="47">
        <v>5</v>
      </c>
      <c r="H17" s="133">
        <f>IF(B$17=0,0,G17/B$17)</f>
        <v>1.1547344110854504E-2</v>
      </c>
      <c r="I17" s="94">
        <v>9</v>
      </c>
      <c r="K17" s="38">
        <v>15</v>
      </c>
      <c r="L17" s="99">
        <v>481.50000000000006</v>
      </c>
      <c r="N17" s="115" t="s">
        <v>129</v>
      </c>
      <c r="O17" s="125">
        <f>IF(P17=0,0,Q17/P17)</f>
        <v>26.951724137931038</v>
      </c>
      <c r="P17" s="119">
        <v>58</v>
      </c>
      <c r="Q17" s="107">
        <v>1563.2000000000003</v>
      </c>
    </row>
    <row r="18" spans="1:17" x14ac:dyDescent="0.4">
      <c r="A18" s="55" t="s">
        <v>12</v>
      </c>
      <c r="B18" s="47">
        <v>178</v>
      </c>
      <c r="C18" s="39">
        <f>IF(B$17=0,0,B18/B$17)</f>
        <v>0.4110854503464203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425.50000000000006</v>
      </c>
      <c r="N18" s="115" t="s">
        <v>184</v>
      </c>
      <c r="O18" s="125">
        <f>IF(P18=0,0,Q18/P18)</f>
        <v>23.074999999999992</v>
      </c>
      <c r="P18" s="119">
        <v>12</v>
      </c>
      <c r="Q18" s="107">
        <v>276.89999999999992</v>
      </c>
    </row>
    <row r="19" spans="1:17" x14ac:dyDescent="0.4">
      <c r="A19" s="55" t="s">
        <v>11</v>
      </c>
      <c r="B19" s="47">
        <v>255</v>
      </c>
      <c r="C19" s="39">
        <f>IF(B$17=0,0,B19/B$17)</f>
        <v>0.5889145496535797</v>
      </c>
      <c r="E19" s="63" t="s">
        <v>82</v>
      </c>
      <c r="F19" s="60" t="s">
        <v>37</v>
      </c>
      <c r="G19" s="47">
        <v>12</v>
      </c>
      <c r="H19" s="133">
        <f>IF(B$17=0,0,G19/B$17)</f>
        <v>2.771362586605081E-2</v>
      </c>
      <c r="I19" s="94">
        <v>5</v>
      </c>
      <c r="K19" s="38">
        <v>17</v>
      </c>
      <c r="L19" s="99">
        <v>427.40000000000003</v>
      </c>
      <c r="N19" s="115" t="s">
        <v>173</v>
      </c>
      <c r="O19" s="125">
        <f>IF(P19=0,0,Q19/P19)</f>
        <v>21.768181818181816</v>
      </c>
      <c r="P19" s="119">
        <v>22</v>
      </c>
      <c r="Q19" s="107">
        <v>478.9</v>
      </c>
    </row>
    <row r="20" spans="1:17" x14ac:dyDescent="0.4">
      <c r="A20" s="55" t="s">
        <v>13</v>
      </c>
      <c r="B20" s="47">
        <v>197</v>
      </c>
      <c r="C20" s="39">
        <f>IF(B$3=0,0,B20/B$3)</f>
        <v>0.15634920634920635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429.3</v>
      </c>
      <c r="N20" s="115" t="s">
        <v>177</v>
      </c>
      <c r="O20" s="125">
        <f>IF(P20=0,0,Q20/P20)</f>
        <v>21.61379310344828</v>
      </c>
      <c r="P20" s="119">
        <v>29</v>
      </c>
      <c r="Q20" s="107">
        <v>626.80000000000018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84</v>
      </c>
      <c r="F21" s="60" t="s">
        <v>39</v>
      </c>
      <c r="G21" s="47">
        <v>25</v>
      </c>
      <c r="H21" s="133">
        <f>IF(B$17=0,0,G21/B$17)</f>
        <v>5.7736720554272515E-2</v>
      </c>
      <c r="I21" s="94">
        <v>4</v>
      </c>
      <c r="K21" s="38">
        <v>19</v>
      </c>
      <c r="L21" s="99">
        <v>405.40000000000003</v>
      </c>
      <c r="N21" s="115" t="s">
        <v>172</v>
      </c>
      <c r="O21" s="125">
        <f>IF(P21=0,0,Q21/P21)</f>
        <v>21.160465116279067</v>
      </c>
      <c r="P21" s="119">
        <v>43</v>
      </c>
      <c r="Q21" s="107">
        <v>909.89999999999986</v>
      </c>
    </row>
    <row r="22" spans="1:17" x14ac:dyDescent="0.4">
      <c r="A22" s="55" t="s">
        <v>192</v>
      </c>
      <c r="B22" s="47">
        <v>39</v>
      </c>
      <c r="C22" s="135">
        <v>9</v>
      </c>
      <c r="E22" s="63" t="s">
        <v>85</v>
      </c>
      <c r="F22" s="60" t="s">
        <v>40</v>
      </c>
      <c r="G22" s="47">
        <v>1</v>
      </c>
      <c r="H22" s="133">
        <f>IF(B$17=0,0,G22/B$17)</f>
        <v>2.3094688221709007E-3</v>
      </c>
      <c r="I22" s="94">
        <v>4</v>
      </c>
      <c r="K22" s="38">
        <v>20</v>
      </c>
      <c r="L22" s="99">
        <v>469.6</v>
      </c>
      <c r="N22" s="115" t="s">
        <v>128</v>
      </c>
      <c r="O22" s="125">
        <f>IF(P22=0,0,Q22/P22)</f>
        <v>18.795402298850576</v>
      </c>
      <c r="P22" s="119">
        <v>87</v>
      </c>
      <c r="Q22" s="107">
        <v>1635.2</v>
      </c>
    </row>
    <row r="23" spans="1:17" x14ac:dyDescent="0.4">
      <c r="A23" s="55" t="s">
        <v>5</v>
      </c>
      <c r="B23" s="51">
        <f>IF(B$17=0,0,C23/B$17)</f>
        <v>9122.8637413394918</v>
      </c>
      <c r="C23" s="41">
        <v>3950200</v>
      </c>
      <c r="E23" s="63" t="s">
        <v>86</v>
      </c>
      <c r="F23" s="60" t="s">
        <v>41</v>
      </c>
      <c r="G23" s="47">
        <v>4</v>
      </c>
      <c r="H23" s="133">
        <f>IF(B$17=0,0,G23/B$17)</f>
        <v>9.2378752886836026E-3</v>
      </c>
      <c r="I23" s="94">
        <v>2</v>
      </c>
      <c r="K23" s="38">
        <v>21</v>
      </c>
      <c r="L23" s="99">
        <v>468.3</v>
      </c>
      <c r="N23" s="115" t="s">
        <v>171</v>
      </c>
      <c r="O23" s="125">
        <f>IF(P23=0,0,Q23/P23)</f>
        <v>1.6094339622641485</v>
      </c>
      <c r="P23" s="119">
        <v>53</v>
      </c>
      <c r="Q23" s="107">
        <v>85.299999999999869</v>
      </c>
    </row>
    <row r="24" spans="1:17" x14ac:dyDescent="0.4">
      <c r="A24" s="57" t="s">
        <v>14</v>
      </c>
      <c r="B24" s="52">
        <f>IF(B$20=0,0,C24/B$20)</f>
        <v>-8230.9644670050766</v>
      </c>
      <c r="C24" s="45">
        <v>-1621500</v>
      </c>
      <c r="E24" s="63" t="s">
        <v>87</v>
      </c>
      <c r="F24" s="60" t="s">
        <v>42</v>
      </c>
      <c r="G24" s="47">
        <v>32</v>
      </c>
      <c r="H24" s="133">
        <f>IF(B$17=0,0,G24/B$17)</f>
        <v>7.3903002309468821E-2</v>
      </c>
      <c r="I24" s="94">
        <v>4</v>
      </c>
      <c r="K24" s="38">
        <v>22</v>
      </c>
      <c r="L24" s="99">
        <v>519.20000000000005</v>
      </c>
      <c r="N24" s="115" t="s">
        <v>200</v>
      </c>
      <c r="O24" s="125">
        <f>IF(P24=0,0,Q24/P24)</f>
        <v>-8.9666666666666668</v>
      </c>
      <c r="P24" s="119">
        <v>3</v>
      </c>
      <c r="Q24" s="107">
        <v>-26.9</v>
      </c>
    </row>
    <row r="25" spans="1:17" x14ac:dyDescent="0.4">
      <c r="A25" s="90" t="s">
        <v>142</v>
      </c>
      <c r="B25" s="144">
        <v>7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2.3094688221709007E-3</v>
      </c>
      <c r="I25" s="94">
        <v>6</v>
      </c>
      <c r="K25" s="38">
        <v>23</v>
      </c>
      <c r="L25" s="99">
        <v>555.90000000000009</v>
      </c>
      <c r="N25" s="115" t="s">
        <v>223</v>
      </c>
      <c r="O25" s="125">
        <f>IF(P25=0,0,Q25/P25)</f>
        <v>-81.8</v>
      </c>
      <c r="P25" s="119">
        <v>1</v>
      </c>
      <c r="Q25" s="107">
        <v>-81.8</v>
      </c>
    </row>
    <row r="26" spans="1:17" x14ac:dyDescent="0.4">
      <c r="A26" s="58" t="s">
        <v>152</v>
      </c>
      <c r="B26" s="142">
        <v>116000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7.9365079365079365E-4</v>
      </c>
      <c r="E27" s="63" t="s">
        <v>90</v>
      </c>
      <c r="F27" s="60" t="s">
        <v>45</v>
      </c>
      <c r="G27" s="47">
        <v>68</v>
      </c>
      <c r="H27" s="133">
        <f>IF(B$17=0,0,G27/B$17)</f>
        <v>0.15704387990762125</v>
      </c>
      <c r="I27" s="94">
        <v>4</v>
      </c>
      <c r="K27" s="38">
        <v>25</v>
      </c>
      <c r="L27" s="99">
        <v>655.20000000000005</v>
      </c>
    </row>
    <row r="28" spans="1:17" x14ac:dyDescent="0.4">
      <c r="E28" s="63" t="s">
        <v>91</v>
      </c>
      <c r="F28" s="60" t="s">
        <v>46</v>
      </c>
      <c r="G28" s="47">
        <v>2</v>
      </c>
      <c r="H28" s="133">
        <f>IF(B$17=0,0,G28/B$17)</f>
        <v>4.6189376443418013E-3</v>
      </c>
      <c r="I28" s="94">
        <v>2</v>
      </c>
      <c r="K28" s="38">
        <v>26</v>
      </c>
      <c r="L28" s="99">
        <v>625.40000000000009</v>
      </c>
    </row>
    <row r="29" spans="1:17" x14ac:dyDescent="0.4">
      <c r="E29" s="63" t="s">
        <v>92</v>
      </c>
      <c r="F29" s="60" t="s">
        <v>47</v>
      </c>
      <c r="G29" s="47">
        <v>10</v>
      </c>
      <c r="H29" s="133">
        <f>IF(B$17=0,0,G29/B$17)</f>
        <v>2.3094688221709007E-2</v>
      </c>
      <c r="I29" s="94">
        <v>3</v>
      </c>
      <c r="K29" s="38">
        <v>27</v>
      </c>
      <c r="L29" s="99">
        <v>596.30000000000007</v>
      </c>
    </row>
    <row r="30" spans="1:17" x14ac:dyDescent="0.4">
      <c r="E30" s="63" t="s">
        <v>93</v>
      </c>
      <c r="F30" s="60" t="s">
        <v>48</v>
      </c>
      <c r="G30" s="47">
        <v>2</v>
      </c>
      <c r="H30" s="133">
        <f>IF(B$17=0,0,G30/B$17)</f>
        <v>4.6189376443418013E-3</v>
      </c>
      <c r="I30" s="94">
        <v>4</v>
      </c>
      <c r="K30" s="38">
        <v>28</v>
      </c>
      <c r="L30" s="99">
        <v>655.6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2.3094688221709007E-3</v>
      </c>
      <c r="I31" s="94">
        <v>6</v>
      </c>
      <c r="K31" s="38">
        <v>29</v>
      </c>
      <c r="L31" s="99">
        <v>703.1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96</v>
      </c>
      <c r="F33" s="60" t="s">
        <v>51</v>
      </c>
      <c r="G33" s="47">
        <v>1</v>
      </c>
      <c r="H33" s="133">
        <f>IF(B$17=0,0,G33/B$17)</f>
        <v>2.3094688221709007E-3</v>
      </c>
      <c r="I33" s="94">
        <v>2</v>
      </c>
      <c r="K33" s="38">
        <v>31</v>
      </c>
      <c r="L33" s="99">
        <v>796.80000000000007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788.30000000000007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850.1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1013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1131.0999999999999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180</v>
      </c>
      <c r="F50" s="60" t="s">
        <v>181</v>
      </c>
      <c r="G50" s="47">
        <v>15</v>
      </c>
      <c r="H50" s="133">
        <f>IF(B$17=0,0,G50/B$17)</f>
        <v>3.4642032332563508E-2</v>
      </c>
      <c r="I50" s="94">
        <v>1</v>
      </c>
      <c r="K50" s="38">
        <v>48</v>
      </c>
      <c r="L50" s="99">
        <v>1259.3</v>
      </c>
    </row>
    <row r="51" spans="5:12" x14ac:dyDescent="0.4">
      <c r="E51" s="138" t="s">
        <v>245</v>
      </c>
      <c r="F51" s="139" t="s">
        <v>246</v>
      </c>
      <c r="G51" s="48">
        <v>180</v>
      </c>
      <c r="H51" s="140">
        <f>IF(B$17=0,0,G51/B$17)</f>
        <v>0.41570438799076215</v>
      </c>
      <c r="I51" s="141">
        <v>5</v>
      </c>
      <c r="K51" s="38">
        <v>49</v>
      </c>
      <c r="L51" s="99">
        <v>1289.8999999999999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  <row r="118" spans="11:12" x14ac:dyDescent="0.4">
      <c r="K118" s="38">
        <v>116</v>
      </c>
      <c r="L118" s="99">
        <v>1471.900000000001</v>
      </c>
    </row>
    <row r="119" spans="11:12" x14ac:dyDescent="0.4">
      <c r="K119" s="38">
        <v>117</v>
      </c>
      <c r="L119" s="99">
        <v>1492.600000000001</v>
      </c>
    </row>
    <row r="120" spans="11:12" x14ac:dyDescent="0.4">
      <c r="K120" s="38">
        <v>118</v>
      </c>
      <c r="L120" s="99">
        <v>1530.0000000000011</v>
      </c>
    </row>
    <row r="121" spans="11:12" x14ac:dyDescent="0.4">
      <c r="K121" s="38">
        <v>119</v>
      </c>
      <c r="L121" s="99">
        <v>1530.0000000000011</v>
      </c>
    </row>
    <row r="122" spans="11:12" x14ac:dyDescent="0.4">
      <c r="K122" s="38">
        <v>120</v>
      </c>
      <c r="L122" s="99">
        <v>1527.0000000000011</v>
      </c>
    </row>
    <row r="123" spans="11:12" x14ac:dyDescent="0.4">
      <c r="K123" s="38">
        <v>121</v>
      </c>
      <c r="L123" s="99">
        <v>1556.600000000001</v>
      </c>
    </row>
    <row r="124" spans="11:12" x14ac:dyDescent="0.4">
      <c r="K124" s="38">
        <v>122</v>
      </c>
      <c r="L124" s="99">
        <v>1590.100000000001</v>
      </c>
    </row>
    <row r="125" spans="11:12" x14ac:dyDescent="0.4">
      <c r="K125" s="38">
        <v>123</v>
      </c>
      <c r="L125" s="99">
        <v>1598.200000000001</v>
      </c>
    </row>
    <row r="126" spans="11:12" x14ac:dyDescent="0.4">
      <c r="K126" s="38">
        <v>124</v>
      </c>
      <c r="L126" s="99">
        <v>1628.600000000001</v>
      </c>
    </row>
    <row r="127" spans="11:12" x14ac:dyDescent="0.4">
      <c r="K127" s="38">
        <v>125</v>
      </c>
      <c r="L127" s="99">
        <v>1565.600000000001</v>
      </c>
    </row>
    <row r="128" spans="11:12" x14ac:dyDescent="0.4">
      <c r="K128" s="38">
        <v>126</v>
      </c>
      <c r="L128" s="99">
        <v>1666.5000000000011</v>
      </c>
    </row>
    <row r="129" spans="11:12" x14ac:dyDescent="0.4">
      <c r="K129" s="38">
        <v>127</v>
      </c>
      <c r="L129" s="99">
        <v>1643.100000000001</v>
      </c>
    </row>
    <row r="130" spans="11:12" x14ac:dyDescent="0.4">
      <c r="K130" s="38">
        <v>128</v>
      </c>
      <c r="L130" s="99">
        <v>1573.600000000001</v>
      </c>
    </row>
    <row r="131" spans="11:12" x14ac:dyDescent="0.4">
      <c r="K131" s="38">
        <v>129</v>
      </c>
      <c r="L131" s="99">
        <v>1603.0000000000011</v>
      </c>
    </row>
    <row r="132" spans="11:12" x14ac:dyDescent="0.4">
      <c r="K132" s="38">
        <v>130</v>
      </c>
      <c r="L132" s="99">
        <v>1682.600000000001</v>
      </c>
    </row>
    <row r="133" spans="11:12" x14ac:dyDescent="0.4">
      <c r="K133" s="38">
        <v>131</v>
      </c>
      <c r="L133" s="99">
        <v>1632.100000000001</v>
      </c>
    </row>
    <row r="134" spans="11:12" x14ac:dyDescent="0.4">
      <c r="K134" s="38">
        <v>132</v>
      </c>
      <c r="L134" s="99">
        <v>1590.400000000001</v>
      </c>
    </row>
    <row r="135" spans="11:12" x14ac:dyDescent="0.4">
      <c r="K135" s="38">
        <v>133</v>
      </c>
      <c r="L135" s="99">
        <v>1555.5000000000009</v>
      </c>
    </row>
    <row r="136" spans="11:12" x14ac:dyDescent="0.4">
      <c r="K136" s="38">
        <v>134</v>
      </c>
      <c r="L136" s="99">
        <v>1549.3000000000009</v>
      </c>
    </row>
    <row r="137" spans="11:12" x14ac:dyDescent="0.4">
      <c r="K137" s="38">
        <v>135</v>
      </c>
      <c r="L137" s="99">
        <v>1609.6000000000008</v>
      </c>
    </row>
    <row r="138" spans="11:12" x14ac:dyDescent="0.4">
      <c r="K138" s="38">
        <v>136</v>
      </c>
      <c r="L138" s="99">
        <v>1638.4000000000008</v>
      </c>
    </row>
    <row r="139" spans="11:12" x14ac:dyDescent="0.4">
      <c r="K139" s="38">
        <v>137</v>
      </c>
      <c r="L139" s="99">
        <v>1631.8000000000009</v>
      </c>
    </row>
    <row r="140" spans="11:12" x14ac:dyDescent="0.4">
      <c r="K140" s="38">
        <v>138</v>
      </c>
      <c r="L140" s="99">
        <v>1633.8000000000009</v>
      </c>
    </row>
    <row r="141" spans="11:12" x14ac:dyDescent="0.4">
      <c r="K141" s="38">
        <v>139</v>
      </c>
      <c r="L141" s="99">
        <v>1701.6000000000008</v>
      </c>
    </row>
    <row r="142" spans="11:12" x14ac:dyDescent="0.4">
      <c r="K142" s="38">
        <v>140</v>
      </c>
      <c r="L142" s="99">
        <v>1700.4000000000008</v>
      </c>
    </row>
    <row r="143" spans="11:12" x14ac:dyDescent="0.4">
      <c r="K143" s="38">
        <v>141</v>
      </c>
      <c r="L143" s="99">
        <v>1724.1000000000008</v>
      </c>
    </row>
    <row r="144" spans="11:12" x14ac:dyDescent="0.4">
      <c r="K144" s="38">
        <v>142</v>
      </c>
      <c r="L144" s="99">
        <v>1751.8000000000009</v>
      </c>
    </row>
    <row r="145" spans="11:12" x14ac:dyDescent="0.4">
      <c r="K145" s="38">
        <v>143</v>
      </c>
      <c r="L145" s="99">
        <v>1797.1000000000008</v>
      </c>
    </row>
    <row r="146" spans="11:12" x14ac:dyDescent="0.4">
      <c r="K146" s="38">
        <v>144</v>
      </c>
      <c r="L146" s="99">
        <v>1806.1000000000008</v>
      </c>
    </row>
    <row r="147" spans="11:12" x14ac:dyDescent="0.4">
      <c r="K147" s="38">
        <v>145</v>
      </c>
      <c r="L147" s="99">
        <v>1774.3000000000009</v>
      </c>
    </row>
    <row r="148" spans="11:12" x14ac:dyDescent="0.4">
      <c r="K148" s="38">
        <v>146</v>
      </c>
      <c r="L148" s="99">
        <v>1767.0000000000009</v>
      </c>
    </row>
    <row r="149" spans="11:12" x14ac:dyDescent="0.4">
      <c r="K149" s="38">
        <v>147</v>
      </c>
      <c r="L149" s="99">
        <v>1767.0000000000009</v>
      </c>
    </row>
    <row r="150" spans="11:12" x14ac:dyDescent="0.4">
      <c r="K150" s="38">
        <v>148</v>
      </c>
      <c r="L150" s="99">
        <v>1763.5000000000009</v>
      </c>
    </row>
    <row r="151" spans="11:12" x14ac:dyDescent="0.4">
      <c r="K151" s="38">
        <v>149</v>
      </c>
      <c r="L151" s="99">
        <v>1727.1000000000008</v>
      </c>
    </row>
    <row r="152" spans="11:12" x14ac:dyDescent="0.4">
      <c r="K152" s="38">
        <v>150</v>
      </c>
      <c r="L152" s="99">
        <v>1744.7000000000007</v>
      </c>
    </row>
    <row r="153" spans="11:12" x14ac:dyDescent="0.4">
      <c r="K153" s="38">
        <v>151</v>
      </c>
      <c r="L153" s="99">
        <v>1788.5000000000007</v>
      </c>
    </row>
    <row r="154" spans="11:12" x14ac:dyDescent="0.4">
      <c r="K154" s="38">
        <v>152</v>
      </c>
      <c r="L154" s="99">
        <v>1847.5000000000007</v>
      </c>
    </row>
    <row r="155" spans="11:12" x14ac:dyDescent="0.4">
      <c r="K155" s="38">
        <v>153</v>
      </c>
      <c r="L155" s="99">
        <v>1812.8000000000006</v>
      </c>
    </row>
    <row r="156" spans="11:12" x14ac:dyDescent="0.4">
      <c r="K156" s="38">
        <v>154</v>
      </c>
      <c r="L156" s="99">
        <v>1805.4000000000005</v>
      </c>
    </row>
    <row r="157" spans="11:12" x14ac:dyDescent="0.4">
      <c r="K157" s="38">
        <v>155</v>
      </c>
      <c r="L157" s="99">
        <v>1855.1000000000006</v>
      </c>
    </row>
  </sheetData>
  <sortState ref="E2:I157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B48DE-6B7B-4B76-A516-189DEE0B8C7B}">
  <sheetPr codeName="Sheet9"/>
  <dimension ref="A1:Q12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128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126</v>
      </c>
      <c r="C2" s="151"/>
      <c r="E2" s="62" t="s">
        <v>65</v>
      </c>
      <c r="F2" s="59" t="s">
        <v>21</v>
      </c>
      <c r="G2" s="46">
        <v>173</v>
      </c>
      <c r="H2" s="132">
        <f>IF(B$17=0,0,G2/B$17)</f>
        <v>0.61785714285714288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144.44444444444446</v>
      </c>
      <c r="P2" s="118">
        <v>126</v>
      </c>
      <c r="Q2" s="102">
        <v>18200</v>
      </c>
    </row>
    <row r="3" spans="1:17" x14ac:dyDescent="0.4">
      <c r="A3" s="55" t="s">
        <v>8</v>
      </c>
      <c r="B3" s="152">
        <v>1042</v>
      </c>
      <c r="C3" s="153"/>
      <c r="E3" s="63" t="s">
        <v>66</v>
      </c>
      <c r="F3" s="60" t="s">
        <v>22</v>
      </c>
      <c r="G3" s="47">
        <v>46</v>
      </c>
      <c r="H3" s="133">
        <f>IF(B$17=0,0,G3/B$17)</f>
        <v>0.16428571428571428</v>
      </c>
      <c r="I3" s="94">
        <v>1</v>
      </c>
      <c r="K3" s="38">
        <v>1</v>
      </c>
      <c r="L3" s="99">
        <v>45.5</v>
      </c>
      <c r="N3" s="115" t="s">
        <v>133</v>
      </c>
      <c r="O3" s="122">
        <f t="shared" si="0"/>
        <v>-2159.8360655737706</v>
      </c>
      <c r="P3" s="119">
        <v>122</v>
      </c>
      <c r="Q3" s="103">
        <v>-263500</v>
      </c>
    </row>
    <row r="4" spans="1:17" x14ac:dyDescent="0.4">
      <c r="A4" s="55" t="s">
        <v>6</v>
      </c>
      <c r="B4" s="154">
        <v>-438.1</v>
      </c>
      <c r="C4" s="155"/>
      <c r="E4" s="63" t="s">
        <v>67</v>
      </c>
      <c r="F4" s="60" t="s">
        <v>23</v>
      </c>
      <c r="G4" s="47">
        <v>215</v>
      </c>
      <c r="H4" s="133">
        <f>IF(B$17=0,0,G4/B$17)</f>
        <v>0.7678571428571429</v>
      </c>
      <c r="I4" s="94">
        <v>6</v>
      </c>
      <c r="K4" s="38">
        <v>2</v>
      </c>
      <c r="L4" s="99">
        <v>6.2999999999999972</v>
      </c>
      <c r="N4" s="115" t="s">
        <v>134</v>
      </c>
      <c r="O4" s="122">
        <f t="shared" si="0"/>
        <v>378.81355932203388</v>
      </c>
      <c r="P4" s="119">
        <v>118</v>
      </c>
      <c r="Q4" s="103">
        <v>44700</v>
      </c>
    </row>
    <row r="5" spans="1:17" x14ac:dyDescent="0.4">
      <c r="A5" s="55" t="s">
        <v>7</v>
      </c>
      <c r="B5" s="156">
        <f>IF(B$2=0,0,B$4/B$2)</f>
        <v>-3.4769841269841271</v>
      </c>
      <c r="C5" s="157"/>
      <c r="E5" s="63" t="s">
        <v>68</v>
      </c>
      <c r="F5" s="60" t="s">
        <v>24</v>
      </c>
      <c r="G5" s="47">
        <v>107</v>
      </c>
      <c r="H5" s="133">
        <f>IF(B$17=0,0,G5/B$17)</f>
        <v>0.38214285714285712</v>
      </c>
      <c r="I5" s="94">
        <v>4</v>
      </c>
      <c r="K5" s="38">
        <v>3</v>
      </c>
      <c r="L5" s="99">
        <v>-47.300000000000004</v>
      </c>
      <c r="N5" s="115" t="s">
        <v>135</v>
      </c>
      <c r="O5" s="122">
        <f t="shared" si="0"/>
        <v>-2.8846153846153846</v>
      </c>
      <c r="P5" s="119">
        <v>104</v>
      </c>
      <c r="Q5" s="103">
        <v>-300</v>
      </c>
    </row>
    <row r="6" spans="1:17" x14ac:dyDescent="0.4">
      <c r="A6" s="55" t="s">
        <v>1</v>
      </c>
      <c r="B6" s="146">
        <f>IF(B$2=0,0,(B$7*1+B$8*2+B$9*3)/B$2)</f>
        <v>2.0952380952380953</v>
      </c>
      <c r="C6" s="147"/>
      <c r="E6" s="63" t="s">
        <v>69</v>
      </c>
      <c r="F6" s="60" t="s">
        <v>12</v>
      </c>
      <c r="G6" s="47">
        <v>96</v>
      </c>
      <c r="H6" s="133">
        <f>IF(B$17=0,0,G6/B$17)</f>
        <v>0.34285714285714286</v>
      </c>
      <c r="I6" s="94">
        <v>7</v>
      </c>
      <c r="K6" s="38">
        <v>4</v>
      </c>
      <c r="L6" s="99">
        <v>13.599999999999994</v>
      </c>
      <c r="N6" s="115" t="s">
        <v>136</v>
      </c>
      <c r="O6" s="122">
        <f t="shared" si="0"/>
        <v>187.09677419354838</v>
      </c>
      <c r="P6" s="119">
        <v>93</v>
      </c>
      <c r="Q6" s="103">
        <v>17400</v>
      </c>
    </row>
    <row r="7" spans="1:17" x14ac:dyDescent="0.4">
      <c r="A7" s="55" t="s">
        <v>2</v>
      </c>
      <c r="B7" s="47">
        <v>33</v>
      </c>
      <c r="C7" s="39">
        <f>IF(B$2=0,0,B7/B$2)</f>
        <v>0.26190476190476192</v>
      </c>
      <c r="E7" s="63" t="s">
        <v>70</v>
      </c>
      <c r="F7" s="60" t="s">
        <v>25</v>
      </c>
      <c r="G7" s="47">
        <v>62</v>
      </c>
      <c r="H7" s="133">
        <f>IF(B$17=0,0,G7/B$17)</f>
        <v>0.22142857142857142</v>
      </c>
      <c r="I7" s="94">
        <v>1</v>
      </c>
      <c r="K7" s="38">
        <v>5</v>
      </c>
      <c r="L7" s="99">
        <v>-16.600000000000005</v>
      </c>
      <c r="N7" s="116" t="s">
        <v>137</v>
      </c>
      <c r="O7" s="123">
        <f t="shared" si="0"/>
        <v>330.23255813953489</v>
      </c>
      <c r="P7" s="120">
        <v>86</v>
      </c>
      <c r="Q7" s="104">
        <v>28400</v>
      </c>
    </row>
    <row r="8" spans="1:17" x14ac:dyDescent="0.4">
      <c r="A8" s="55" t="s">
        <v>3</v>
      </c>
      <c r="B8" s="47">
        <v>48</v>
      </c>
      <c r="C8" s="39">
        <f>IF(B$2=0,0,B8/B$2)</f>
        <v>0.38095238095238093</v>
      </c>
      <c r="E8" s="63" t="s">
        <v>71</v>
      </c>
      <c r="F8" s="60" t="s">
        <v>26</v>
      </c>
      <c r="G8" s="47">
        <v>34</v>
      </c>
      <c r="H8" s="133">
        <f>IF(B$17=0,0,G8/B$17)</f>
        <v>0.12142857142857143</v>
      </c>
      <c r="I8" s="94">
        <v>3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45</v>
      </c>
      <c r="C9" s="40">
        <f t="shared" ref="C9" si="1">IF(B$2=0,0,B9/B$2)</f>
        <v>0.35714285714285715</v>
      </c>
      <c r="E9" s="63" t="s">
        <v>72</v>
      </c>
      <c r="F9" s="60" t="s">
        <v>27</v>
      </c>
      <c r="G9" s="47">
        <v>17</v>
      </c>
      <c r="H9" s="133">
        <f>IF(B$17=0,0,G9/B$17)</f>
        <v>6.0714285714285714E-2</v>
      </c>
      <c r="I9" s="94">
        <v>7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17</v>
      </c>
      <c r="C10" s="40">
        <f>IF(B$2=0,0,B10/B$2)</f>
        <v>0.13492063492063491</v>
      </c>
      <c r="E10" s="63" t="s">
        <v>73</v>
      </c>
      <c r="F10" s="60" t="s">
        <v>28</v>
      </c>
      <c r="G10" s="47">
        <v>127</v>
      </c>
      <c r="H10" s="133">
        <f>IF(B$17=0,0,G10/B$17)</f>
        <v>0.45357142857142857</v>
      </c>
      <c r="I10" s="94">
        <v>10</v>
      </c>
      <c r="K10" s="38">
        <v>8</v>
      </c>
      <c r="L10" s="99">
        <v>-49.6</v>
      </c>
      <c r="N10" s="114" t="s">
        <v>164</v>
      </c>
      <c r="O10" s="124">
        <f>IF(P10=0,0,Q10/P10)</f>
        <v>-7.3666666666666671</v>
      </c>
      <c r="P10" s="118">
        <v>63</v>
      </c>
      <c r="Q10" s="106">
        <v>-464.1</v>
      </c>
    </row>
    <row r="11" spans="1:17" x14ac:dyDescent="0.4">
      <c r="A11" s="56" t="s">
        <v>140</v>
      </c>
      <c r="B11" s="48">
        <v>11</v>
      </c>
      <c r="C11" s="40">
        <f>IF(B$2=0,0,B11/B$2)</f>
        <v>8.7301587301587297E-2</v>
      </c>
      <c r="E11" s="63" t="s">
        <v>74</v>
      </c>
      <c r="F11" s="60" t="s">
        <v>29</v>
      </c>
      <c r="G11" s="47">
        <v>2</v>
      </c>
      <c r="H11" s="133">
        <f>IF(B$17=0,0,G11/B$17)</f>
        <v>7.1428571428571426E-3</v>
      </c>
      <c r="I11" s="94">
        <v>4</v>
      </c>
      <c r="K11" s="38">
        <v>9</v>
      </c>
      <c r="L11" s="99">
        <v>-79.5</v>
      </c>
      <c r="N11" s="115" t="s">
        <v>165</v>
      </c>
      <c r="O11" s="125">
        <f>IF(P11=0,0,Q11/P11)</f>
        <v>-3.2624999999999988</v>
      </c>
      <c r="P11" s="119">
        <v>32</v>
      </c>
      <c r="Q11" s="107">
        <v>-104.39999999999996</v>
      </c>
    </row>
    <row r="12" spans="1:17" x14ac:dyDescent="0.4">
      <c r="A12" s="57" t="s">
        <v>160</v>
      </c>
      <c r="B12" s="49">
        <v>8</v>
      </c>
      <c r="C12" s="42">
        <f>IF(B$2=0,0,B12/B$2)</f>
        <v>6.3492063492063489E-2</v>
      </c>
      <c r="E12" s="63" t="s">
        <v>75</v>
      </c>
      <c r="F12" s="60" t="s">
        <v>30</v>
      </c>
      <c r="G12" s="47">
        <v>2</v>
      </c>
      <c r="H12" s="133">
        <f>IF(B$17=0,0,G12/B$17)</f>
        <v>7.1428571428571426E-3</v>
      </c>
      <c r="I12" s="94">
        <v>2</v>
      </c>
      <c r="K12" s="38">
        <v>10</v>
      </c>
      <c r="L12" s="99">
        <v>-80.900000000000006</v>
      </c>
      <c r="N12" s="116" t="s">
        <v>166</v>
      </c>
      <c r="O12" s="126">
        <f>IF(P12=0,0,Q12/P12)</f>
        <v>4.2064516129032254</v>
      </c>
      <c r="P12" s="120">
        <v>31</v>
      </c>
      <c r="Q12" s="108">
        <v>130.39999999999998</v>
      </c>
    </row>
    <row r="13" spans="1:17" x14ac:dyDescent="0.4">
      <c r="A13" s="58" t="s">
        <v>122</v>
      </c>
      <c r="B13" s="50">
        <v>312</v>
      </c>
      <c r="C13" s="44">
        <f>IF(B$3=0,0,B13/B$3)</f>
        <v>0.29942418426103645</v>
      </c>
      <c r="E13" s="63" t="s">
        <v>76</v>
      </c>
      <c r="F13" s="60" t="s">
        <v>31</v>
      </c>
      <c r="G13" s="47">
        <v>2</v>
      </c>
      <c r="H13" s="133">
        <f>IF(B$17=0,0,G13/B$17)</f>
        <v>7.1428571428571426E-3</v>
      </c>
      <c r="I13" s="94">
        <v>3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184</v>
      </c>
      <c r="C14" s="39">
        <f>IF(B$3=0,0,B14/B$3)</f>
        <v>0.1765834932821497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182</v>
      </c>
      <c r="C15" s="37">
        <f>IF(B$13=0,0,B15/B$13)</f>
        <v>0.58333333333333337</v>
      </c>
      <c r="E15" s="63" t="s">
        <v>78</v>
      </c>
      <c r="F15" s="60" t="s">
        <v>33</v>
      </c>
      <c r="G15" s="47">
        <v>1</v>
      </c>
      <c r="H15" s="133">
        <f>IF(B$17=0,0,G15/B$17)</f>
        <v>3.5714285714285713E-3</v>
      </c>
      <c r="I15" s="94">
        <v>3</v>
      </c>
      <c r="K15" s="38">
        <v>13</v>
      </c>
      <c r="L15" s="99">
        <v>-81.900000000000006</v>
      </c>
      <c r="N15" s="114" t="s">
        <v>184</v>
      </c>
      <c r="O15" s="124">
        <f t="shared" ref="O15:O22" si="2">IF(P15=0,0,Q15/P15)</f>
        <v>28.642857142857146</v>
      </c>
      <c r="P15" s="118">
        <v>7</v>
      </c>
      <c r="Q15" s="106">
        <v>200.50000000000003</v>
      </c>
    </row>
    <row r="16" spans="1:17" x14ac:dyDescent="0.4">
      <c r="A16" s="54" t="s">
        <v>125</v>
      </c>
      <c r="B16" s="46">
        <v>53</v>
      </c>
      <c r="C16" s="37">
        <f>IF(B$14=0,0,B16/B$14)</f>
        <v>0.28804347826086957</v>
      </c>
      <c r="E16" s="63" t="s">
        <v>79</v>
      </c>
      <c r="F16" s="60" t="s">
        <v>34</v>
      </c>
      <c r="G16" s="47">
        <v>5</v>
      </c>
      <c r="H16" s="133">
        <f>IF(B$17=0,0,G16/B$17)</f>
        <v>1.7857142857142856E-2</v>
      </c>
      <c r="I16" s="94">
        <v>8</v>
      </c>
      <c r="K16" s="38">
        <v>14</v>
      </c>
      <c r="L16" s="99">
        <v>-25.600000000000009</v>
      </c>
      <c r="N16" s="115" t="s">
        <v>129</v>
      </c>
      <c r="O16" s="125">
        <f t="shared" si="2"/>
        <v>13.074999999999999</v>
      </c>
      <c r="P16" s="119">
        <v>40</v>
      </c>
      <c r="Q16" s="107">
        <v>523</v>
      </c>
    </row>
    <row r="17" spans="1:17" x14ac:dyDescent="0.4">
      <c r="A17" s="54" t="s">
        <v>10</v>
      </c>
      <c r="B17" s="46">
        <f>B19+B18</f>
        <v>280</v>
      </c>
      <c r="C17" s="37">
        <f>IF(B$3=0,0,B17/B$3)</f>
        <v>0.2687140115163148</v>
      </c>
      <c r="E17" s="63" t="s">
        <v>80</v>
      </c>
      <c r="F17" s="60" t="s">
        <v>35</v>
      </c>
      <c r="G17" s="47">
        <v>6</v>
      </c>
      <c r="H17" s="133">
        <f>IF(B$17=0,0,G17/B$17)</f>
        <v>2.1428571428571429E-2</v>
      </c>
      <c r="I17" s="94">
        <v>3</v>
      </c>
      <c r="K17" s="38">
        <v>15</v>
      </c>
      <c r="L17" s="99">
        <v>47.999999999999986</v>
      </c>
      <c r="N17" s="115" t="s">
        <v>173</v>
      </c>
      <c r="O17" s="125">
        <f t="shared" si="2"/>
        <v>5.672727272727272</v>
      </c>
      <c r="P17" s="119">
        <v>22</v>
      </c>
      <c r="Q17" s="107">
        <v>124.79999999999998</v>
      </c>
    </row>
    <row r="18" spans="1:17" x14ac:dyDescent="0.4">
      <c r="A18" s="55" t="s">
        <v>12</v>
      </c>
      <c r="B18" s="47">
        <v>119</v>
      </c>
      <c r="C18" s="39">
        <f>IF(B$17=0,0,B18/B$17)</f>
        <v>0.42499999999999999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41.699999999999989</v>
      </c>
      <c r="N18" s="115" t="s">
        <v>171</v>
      </c>
      <c r="O18" s="125">
        <f t="shared" si="2"/>
        <v>-2.3171428571428518</v>
      </c>
      <c r="P18" s="119">
        <v>35</v>
      </c>
      <c r="Q18" s="107">
        <v>-81.09999999999981</v>
      </c>
    </row>
    <row r="19" spans="1:17" x14ac:dyDescent="0.4">
      <c r="A19" s="55" t="s">
        <v>11</v>
      </c>
      <c r="B19" s="47">
        <v>161</v>
      </c>
      <c r="C19" s="39">
        <f>IF(B$17=0,0,B19/B$17)</f>
        <v>0.57499999999999996</v>
      </c>
      <c r="E19" s="63" t="s">
        <v>82</v>
      </c>
      <c r="F19" s="60" t="s">
        <v>37</v>
      </c>
      <c r="G19" s="47">
        <v>8</v>
      </c>
      <c r="H19" s="133">
        <f>IF(B$17=0,0,G19/B$17)</f>
        <v>2.8571428571428571E-2</v>
      </c>
      <c r="I19" s="94">
        <v>4</v>
      </c>
      <c r="K19" s="38">
        <v>17</v>
      </c>
      <c r="L19" s="99">
        <v>94.6</v>
      </c>
      <c r="N19" s="115" t="s">
        <v>172</v>
      </c>
      <c r="O19" s="125">
        <f t="shared" si="2"/>
        <v>-4.3735294117647046</v>
      </c>
      <c r="P19" s="119">
        <v>34</v>
      </c>
      <c r="Q19" s="107">
        <v>-148.69999999999996</v>
      </c>
    </row>
    <row r="20" spans="1:17" x14ac:dyDescent="0.4">
      <c r="A20" s="55" t="s">
        <v>13</v>
      </c>
      <c r="B20" s="47">
        <v>178</v>
      </c>
      <c r="C20" s="39">
        <f>IF(B$3=0,0,B20/B$3)</f>
        <v>0.17082533589251439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116.69999999999999</v>
      </c>
      <c r="N20" s="115" t="s">
        <v>200</v>
      </c>
      <c r="O20" s="125">
        <f t="shared" si="2"/>
        <v>-5.5000000000000018</v>
      </c>
      <c r="P20" s="119">
        <v>2</v>
      </c>
      <c r="Q20" s="107">
        <v>-11.000000000000004</v>
      </c>
    </row>
    <row r="21" spans="1:17" x14ac:dyDescent="0.4">
      <c r="A21" s="55" t="s">
        <v>191</v>
      </c>
      <c r="B21" s="47">
        <v>6</v>
      </c>
      <c r="C21" s="135">
        <v>0</v>
      </c>
      <c r="E21" s="63" t="s">
        <v>84</v>
      </c>
      <c r="F21" s="60" t="s">
        <v>39</v>
      </c>
      <c r="G21" s="47">
        <v>10</v>
      </c>
      <c r="H21" s="133">
        <f>IF(B$17=0,0,G21/B$17)</f>
        <v>3.5714285714285712E-2</v>
      </c>
      <c r="I21" s="94">
        <v>9</v>
      </c>
      <c r="K21" s="38">
        <v>19</v>
      </c>
      <c r="L21" s="99">
        <v>138.79999999999998</v>
      </c>
      <c r="N21" s="115" t="s">
        <v>177</v>
      </c>
      <c r="O21" s="125">
        <f t="shared" si="2"/>
        <v>-11.464</v>
      </c>
      <c r="P21" s="119">
        <v>25</v>
      </c>
      <c r="Q21" s="107">
        <v>-286.60000000000002</v>
      </c>
    </row>
    <row r="22" spans="1:17" x14ac:dyDescent="0.4">
      <c r="A22" s="55" t="s">
        <v>192</v>
      </c>
      <c r="B22" s="47">
        <v>24</v>
      </c>
      <c r="C22" s="135">
        <v>15</v>
      </c>
      <c r="E22" s="63" t="s">
        <v>85</v>
      </c>
      <c r="F22" s="60" t="s">
        <v>40</v>
      </c>
      <c r="G22" s="47">
        <v>1</v>
      </c>
      <c r="H22" s="133">
        <f>IF(B$17=0,0,G22/B$17)</f>
        <v>3.5714285714285713E-3</v>
      </c>
      <c r="I22" s="94">
        <v>2</v>
      </c>
      <c r="K22" s="38">
        <v>20</v>
      </c>
      <c r="L22" s="99">
        <v>164.49999999999997</v>
      </c>
      <c r="N22" s="115" t="s">
        <v>127</v>
      </c>
      <c r="O22" s="125">
        <f t="shared" si="2"/>
        <v>-18.795402298850576</v>
      </c>
      <c r="P22" s="119">
        <v>87</v>
      </c>
      <c r="Q22" s="107">
        <v>-1635.2</v>
      </c>
    </row>
    <row r="23" spans="1:17" x14ac:dyDescent="0.4">
      <c r="A23" s="55" t="s">
        <v>5</v>
      </c>
      <c r="B23" s="51">
        <f>IF(B$17=0,0,C23/B$17)</f>
        <v>9241.7857142857138</v>
      </c>
      <c r="C23" s="41">
        <v>2587700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-7806.7415730337079</v>
      </c>
      <c r="C24" s="45">
        <v>-1389600</v>
      </c>
      <c r="E24" s="63" t="s">
        <v>87</v>
      </c>
      <c r="F24" s="60" t="s">
        <v>42</v>
      </c>
      <c r="G24" s="47">
        <v>15</v>
      </c>
      <c r="H24" s="133">
        <f>IF(B$17=0,0,G24/B$17)</f>
        <v>5.3571428571428568E-2</v>
      </c>
      <c r="I24" s="94">
        <v>7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4">
        <v>7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42">
        <v>97300</v>
      </c>
      <c r="C26" s="143"/>
      <c r="E26" s="63" t="s">
        <v>89</v>
      </c>
      <c r="F26" s="60" t="s">
        <v>44</v>
      </c>
      <c r="G26" s="47">
        <v>1</v>
      </c>
      <c r="H26" s="133">
        <f>IF(B$17=0,0,G26/B$17)</f>
        <v>3.5714285714285713E-3</v>
      </c>
      <c r="I26" s="94">
        <v>2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4.7984644913627635E-3</v>
      </c>
      <c r="E27" s="63" t="s">
        <v>90</v>
      </c>
      <c r="F27" s="60" t="s">
        <v>45</v>
      </c>
      <c r="G27" s="47">
        <v>30</v>
      </c>
      <c r="H27" s="133">
        <f>IF(B$17=0,0,G27/B$17)</f>
        <v>0.10714285714285714</v>
      </c>
      <c r="I27" s="94">
        <v>10</v>
      </c>
      <c r="K27" s="38">
        <v>25</v>
      </c>
      <c r="L27" s="99">
        <v>245.59999999999997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237.69999999999996</v>
      </c>
    </row>
    <row r="29" spans="1:17" x14ac:dyDescent="0.4">
      <c r="E29" s="63" t="s">
        <v>92</v>
      </c>
      <c r="F29" s="60" t="s">
        <v>47</v>
      </c>
      <c r="G29" s="47">
        <v>6</v>
      </c>
      <c r="H29" s="133">
        <f>IF(B$17=0,0,G29/B$17)</f>
        <v>2.1428571428571429E-2</v>
      </c>
      <c r="I29" s="94">
        <v>3</v>
      </c>
      <c r="K29" s="38">
        <v>27</v>
      </c>
      <c r="L29" s="99">
        <v>236.69999999999996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3.5714285714285713E-3</v>
      </c>
      <c r="I30" s="94">
        <v>6</v>
      </c>
      <c r="K30" s="38">
        <v>28</v>
      </c>
      <c r="L30" s="99">
        <v>191.39999999999998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3.5714285714285713E-3</v>
      </c>
      <c r="I31" s="94">
        <v>5</v>
      </c>
      <c r="K31" s="38">
        <v>29</v>
      </c>
      <c r="L31" s="99">
        <v>182.49999999999997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178.99999999999997</v>
      </c>
    </row>
    <row r="33" spans="5:12" x14ac:dyDescent="0.4">
      <c r="E33" s="63" t="s">
        <v>96</v>
      </c>
      <c r="F33" s="60" t="s">
        <v>51</v>
      </c>
      <c r="G33" s="47">
        <v>1</v>
      </c>
      <c r="H33" s="133">
        <f>IF(B$17=0,0,G33/B$17)</f>
        <v>3.5714285714285713E-3</v>
      </c>
      <c r="I33" s="94">
        <v>1</v>
      </c>
      <c r="K33" s="38">
        <v>31</v>
      </c>
      <c r="L33" s="99">
        <v>186.99999999999997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241.49999999999997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230.89999999999998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189.39999999999998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180</v>
      </c>
      <c r="F50" s="60" t="s">
        <v>181</v>
      </c>
      <c r="G50" s="47">
        <v>5</v>
      </c>
      <c r="H50" s="133">
        <f>IF(B$17=0,0,G50/B$17)</f>
        <v>1.7857142857142856E-2</v>
      </c>
      <c r="I50" s="94">
        <v>3</v>
      </c>
      <c r="K50" s="38">
        <v>48</v>
      </c>
      <c r="L50" s="99">
        <v>50.599999999999959</v>
      </c>
    </row>
    <row r="51" spans="5:12" x14ac:dyDescent="0.4">
      <c r="E51" s="138" t="s">
        <v>245</v>
      </c>
      <c r="F51" s="139" t="s">
        <v>246</v>
      </c>
      <c r="G51" s="48">
        <v>120</v>
      </c>
      <c r="H51" s="140">
        <f>IF(B$17=0,0,G51/B$17)</f>
        <v>0.42857142857142855</v>
      </c>
      <c r="I51" s="141">
        <v>3</v>
      </c>
      <c r="K51" s="38">
        <v>49</v>
      </c>
      <c r="L51" s="99">
        <v>-4.8000000000000398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  <row r="117" spans="11:12" x14ac:dyDescent="0.4">
      <c r="K117" s="38">
        <v>115</v>
      </c>
      <c r="L117" s="99">
        <v>-327.60000000000008</v>
      </c>
    </row>
    <row r="118" spans="11:12" x14ac:dyDescent="0.4">
      <c r="K118" s="38">
        <v>116</v>
      </c>
      <c r="L118" s="99">
        <v>-316.00000000000006</v>
      </c>
    </row>
    <row r="119" spans="11:12" x14ac:dyDescent="0.4">
      <c r="K119" s="38">
        <v>117</v>
      </c>
      <c r="L119" s="99">
        <v>-313.40000000000003</v>
      </c>
    </row>
    <row r="120" spans="11:12" x14ac:dyDescent="0.4">
      <c r="K120" s="38">
        <v>118</v>
      </c>
      <c r="L120" s="99">
        <v>-324.50000000000006</v>
      </c>
    </row>
    <row r="121" spans="11:12" x14ac:dyDescent="0.4">
      <c r="K121" s="38">
        <v>119</v>
      </c>
      <c r="L121" s="99">
        <v>-346.70000000000005</v>
      </c>
    </row>
    <row r="122" spans="11:12" x14ac:dyDescent="0.4">
      <c r="K122" s="38">
        <v>120</v>
      </c>
      <c r="L122" s="99">
        <v>-371.00000000000006</v>
      </c>
    </row>
    <row r="123" spans="11:12" x14ac:dyDescent="0.4">
      <c r="K123" s="38">
        <v>121</v>
      </c>
      <c r="L123" s="99">
        <v>-422.10000000000008</v>
      </c>
    </row>
    <row r="124" spans="11:12" x14ac:dyDescent="0.4">
      <c r="K124" s="38">
        <v>122</v>
      </c>
      <c r="L124" s="99">
        <v>-478.00000000000006</v>
      </c>
    </row>
    <row r="125" spans="11:12" x14ac:dyDescent="0.4">
      <c r="K125" s="38">
        <v>123</v>
      </c>
      <c r="L125" s="99">
        <v>-426.70000000000005</v>
      </c>
    </row>
    <row r="126" spans="11:12" x14ac:dyDescent="0.4">
      <c r="K126" s="38">
        <v>124</v>
      </c>
      <c r="L126" s="99">
        <v>-484.40000000000003</v>
      </c>
    </row>
    <row r="127" spans="11:12" x14ac:dyDescent="0.4">
      <c r="K127" s="38">
        <v>125</v>
      </c>
      <c r="L127" s="99">
        <v>-449.70000000000005</v>
      </c>
    </row>
    <row r="128" spans="11:12" x14ac:dyDescent="0.4">
      <c r="K128" s="38">
        <v>126</v>
      </c>
      <c r="L128" s="99">
        <v>-438.1</v>
      </c>
    </row>
  </sheetData>
  <sortState ref="E2:I128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7BFEB-6F0B-46F1-9C81-59F07D552E48}">
  <sheetPr codeName="Sheet11"/>
  <dimension ref="A1:Q94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129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92</v>
      </c>
      <c r="C2" s="151"/>
      <c r="E2" s="62" t="s">
        <v>65</v>
      </c>
      <c r="F2" s="59" t="s">
        <v>21</v>
      </c>
      <c r="G2" s="46">
        <v>109</v>
      </c>
      <c r="H2" s="132">
        <f>IF(B$17=0,0,G2/B$17)</f>
        <v>0.57978723404255317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-3102.1739130434785</v>
      </c>
      <c r="P2" s="118">
        <v>92</v>
      </c>
      <c r="Q2" s="102">
        <v>-285400</v>
      </c>
    </row>
    <row r="3" spans="1:17" x14ac:dyDescent="0.4">
      <c r="A3" s="55" t="s">
        <v>8</v>
      </c>
      <c r="B3" s="152">
        <v>774</v>
      </c>
      <c r="C3" s="153"/>
      <c r="E3" s="63" t="s">
        <v>66</v>
      </c>
      <c r="F3" s="60" t="s">
        <v>22</v>
      </c>
      <c r="G3" s="47">
        <v>18</v>
      </c>
      <c r="H3" s="133">
        <f>IF(B$17=0,0,G3/B$17)</f>
        <v>9.5744680851063829E-2</v>
      </c>
      <c r="I3" s="94">
        <v>7</v>
      </c>
      <c r="K3" s="38">
        <v>1</v>
      </c>
      <c r="L3" s="99">
        <v>-40.4</v>
      </c>
      <c r="N3" s="115" t="s">
        <v>133</v>
      </c>
      <c r="O3" s="122">
        <f t="shared" si="0"/>
        <v>-1118.8888888888889</v>
      </c>
      <c r="P3" s="119">
        <v>90</v>
      </c>
      <c r="Q3" s="103">
        <v>-100700</v>
      </c>
    </row>
    <row r="4" spans="1:17" x14ac:dyDescent="0.4">
      <c r="A4" s="55" t="s">
        <v>6</v>
      </c>
      <c r="B4" s="154">
        <v>-1291.9000000000001</v>
      </c>
      <c r="C4" s="155"/>
      <c r="E4" s="63" t="s">
        <v>67</v>
      </c>
      <c r="F4" s="60" t="s">
        <v>23</v>
      </c>
      <c r="G4" s="47">
        <v>156</v>
      </c>
      <c r="H4" s="133">
        <f>IF(B$17=0,0,G4/B$17)</f>
        <v>0.82978723404255317</v>
      </c>
      <c r="I4" s="94">
        <v>3</v>
      </c>
      <c r="K4" s="38">
        <v>2</v>
      </c>
      <c r="L4" s="99">
        <v>-3.3999999999999986</v>
      </c>
      <c r="N4" s="115" t="s">
        <v>134</v>
      </c>
      <c r="O4" s="122">
        <f t="shared" si="0"/>
        <v>-307.05882352941177</v>
      </c>
      <c r="P4" s="119">
        <v>85</v>
      </c>
      <c r="Q4" s="103">
        <v>-26100</v>
      </c>
    </row>
    <row r="5" spans="1:17" x14ac:dyDescent="0.4">
      <c r="A5" s="55" t="s">
        <v>7</v>
      </c>
      <c r="B5" s="156">
        <f>IF(B$2=0,0,B$4/B$2)</f>
        <v>-14.042391304347827</v>
      </c>
      <c r="C5" s="157"/>
      <c r="E5" s="63" t="s">
        <v>68</v>
      </c>
      <c r="F5" s="60" t="s">
        <v>24</v>
      </c>
      <c r="G5" s="47">
        <v>63</v>
      </c>
      <c r="H5" s="133">
        <f>IF(B$17=0,0,G5/B$17)</f>
        <v>0.33510638297872342</v>
      </c>
      <c r="I5" s="94">
        <v>6</v>
      </c>
      <c r="K5" s="38">
        <v>3</v>
      </c>
      <c r="L5" s="99">
        <v>-23.099999999999998</v>
      </c>
      <c r="N5" s="115" t="s">
        <v>135</v>
      </c>
      <c r="O5" s="122">
        <f t="shared" si="0"/>
        <v>-4301.333333333333</v>
      </c>
      <c r="P5" s="119">
        <v>75</v>
      </c>
      <c r="Q5" s="103">
        <v>-322600</v>
      </c>
    </row>
    <row r="6" spans="1:17" x14ac:dyDescent="0.4">
      <c r="A6" s="55" t="s">
        <v>1</v>
      </c>
      <c r="B6" s="146">
        <f>IF(B$2=0,0,(B$7*1+B$8*2+B$9*3)/B$2)</f>
        <v>2.2391304347826089</v>
      </c>
      <c r="C6" s="147"/>
      <c r="E6" s="63" t="s">
        <v>69</v>
      </c>
      <c r="F6" s="60" t="s">
        <v>12</v>
      </c>
      <c r="G6" s="47">
        <v>70</v>
      </c>
      <c r="H6" s="133">
        <f>IF(B$17=0,0,G6/B$17)</f>
        <v>0.37234042553191488</v>
      </c>
      <c r="I6" s="94">
        <v>5</v>
      </c>
      <c r="K6" s="38">
        <v>4</v>
      </c>
      <c r="L6" s="99">
        <v>-31.4</v>
      </c>
      <c r="N6" s="115" t="s">
        <v>136</v>
      </c>
      <c r="O6" s="122">
        <f t="shared" si="0"/>
        <v>-467.64705882352939</v>
      </c>
      <c r="P6" s="119">
        <v>68</v>
      </c>
      <c r="Q6" s="103">
        <v>-31800</v>
      </c>
    </row>
    <row r="7" spans="1:17" x14ac:dyDescent="0.4">
      <c r="A7" s="55" t="s">
        <v>2</v>
      </c>
      <c r="B7" s="47">
        <v>23</v>
      </c>
      <c r="C7" s="39">
        <f>IF(B$2=0,0,B7/B$2)</f>
        <v>0.25</v>
      </c>
      <c r="E7" s="63" t="s">
        <v>70</v>
      </c>
      <c r="F7" s="60" t="s">
        <v>25</v>
      </c>
      <c r="G7" s="47">
        <v>37</v>
      </c>
      <c r="H7" s="133">
        <f>IF(B$17=0,0,G7/B$17)</f>
        <v>0.19680851063829788</v>
      </c>
      <c r="I7" s="94">
        <v>4</v>
      </c>
      <c r="K7" s="38">
        <v>5</v>
      </c>
      <c r="L7" s="99">
        <v>-32.199999999999996</v>
      </c>
      <c r="N7" s="116" t="s">
        <v>137</v>
      </c>
      <c r="O7" s="123">
        <f t="shared" si="0"/>
        <v>-1285.2459016393443</v>
      </c>
      <c r="P7" s="120">
        <v>61</v>
      </c>
      <c r="Q7" s="104">
        <v>-78400</v>
      </c>
    </row>
    <row r="8" spans="1:17" x14ac:dyDescent="0.4">
      <c r="A8" s="55" t="s">
        <v>3</v>
      </c>
      <c r="B8" s="47">
        <v>24</v>
      </c>
      <c r="C8" s="39">
        <f>IF(B$2=0,0,B8/B$2)</f>
        <v>0.2608695652173913</v>
      </c>
      <c r="E8" s="63" t="s">
        <v>71</v>
      </c>
      <c r="F8" s="60" t="s">
        <v>26</v>
      </c>
      <c r="G8" s="47">
        <v>29</v>
      </c>
      <c r="H8" s="133">
        <f>IF(B$17=0,0,G8/B$17)</f>
        <v>0.15425531914893617</v>
      </c>
      <c r="I8" s="94">
        <v>2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45</v>
      </c>
      <c r="C9" s="40">
        <f t="shared" ref="C9" si="1">IF(B$2=0,0,B9/B$2)</f>
        <v>0.4891304347826087</v>
      </c>
      <c r="E9" s="63" t="s">
        <v>72</v>
      </c>
      <c r="F9" s="60" t="s">
        <v>27</v>
      </c>
      <c r="G9" s="47">
        <v>20</v>
      </c>
      <c r="H9" s="133">
        <f>IF(B$17=0,0,G9/B$17)</f>
        <v>0.10638297872340426</v>
      </c>
      <c r="I9" s="94">
        <v>2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17</v>
      </c>
      <c r="C10" s="40">
        <f>IF(B$2=0,0,B10/B$2)</f>
        <v>0.18478260869565216</v>
      </c>
      <c r="E10" s="63" t="s">
        <v>73</v>
      </c>
      <c r="F10" s="60" t="s">
        <v>28</v>
      </c>
      <c r="G10" s="47">
        <v>69</v>
      </c>
      <c r="H10" s="133">
        <f>IF(B$17=0,0,G10/B$17)</f>
        <v>0.36702127659574468</v>
      </c>
      <c r="I10" s="94">
        <v>12</v>
      </c>
      <c r="K10" s="38">
        <v>8</v>
      </c>
      <c r="L10" s="99">
        <v>-79.599999999999994</v>
      </c>
      <c r="N10" s="114" t="s">
        <v>164</v>
      </c>
      <c r="O10" s="124">
        <f>IF(P10=0,0,Q10/P10)</f>
        <v>-17.74444444444444</v>
      </c>
      <c r="P10" s="118">
        <v>27</v>
      </c>
      <c r="Q10" s="106">
        <v>-479.09999999999985</v>
      </c>
    </row>
    <row r="11" spans="1:17" x14ac:dyDescent="0.4">
      <c r="A11" s="56" t="s">
        <v>140</v>
      </c>
      <c r="B11" s="48">
        <v>10</v>
      </c>
      <c r="C11" s="40">
        <f>IF(B$2=0,0,B11/B$2)</f>
        <v>0.10869565217391304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K11" s="38">
        <v>9</v>
      </c>
      <c r="L11" s="99">
        <v>-127.6</v>
      </c>
      <c r="N11" s="115" t="s">
        <v>165</v>
      </c>
      <c r="O11" s="125">
        <f>IF(P11=0,0,Q11/P11)</f>
        <v>-10.55675675675676</v>
      </c>
      <c r="P11" s="119">
        <v>37</v>
      </c>
      <c r="Q11" s="107">
        <v>-390.60000000000014</v>
      </c>
    </row>
    <row r="12" spans="1:17" x14ac:dyDescent="0.4">
      <c r="A12" s="57" t="s">
        <v>160</v>
      </c>
      <c r="B12" s="49">
        <v>7</v>
      </c>
      <c r="C12" s="42">
        <f>IF(B$2=0,0,B12/B$2)</f>
        <v>7.6086956521739135E-2</v>
      </c>
      <c r="E12" s="63" t="s">
        <v>75</v>
      </c>
      <c r="F12" s="60" t="s">
        <v>30</v>
      </c>
      <c r="G12" s="47">
        <v>3</v>
      </c>
      <c r="H12" s="133">
        <f>IF(B$17=0,0,G12/B$17)</f>
        <v>1.5957446808510637E-2</v>
      </c>
      <c r="I12" s="94">
        <v>2</v>
      </c>
      <c r="K12" s="38">
        <v>10</v>
      </c>
      <c r="L12" s="99">
        <v>-231.39999999999998</v>
      </c>
      <c r="N12" s="116" t="s">
        <v>166</v>
      </c>
      <c r="O12" s="126">
        <f>IF(P12=0,0,Q12/P12)</f>
        <v>-15.078571428571426</v>
      </c>
      <c r="P12" s="120">
        <v>28</v>
      </c>
      <c r="Q12" s="108">
        <v>-422.19999999999993</v>
      </c>
    </row>
    <row r="13" spans="1:17" x14ac:dyDescent="0.4">
      <c r="A13" s="58" t="s">
        <v>122</v>
      </c>
      <c r="B13" s="50">
        <v>215</v>
      </c>
      <c r="C13" s="44">
        <f>IF(B$3=0,0,B13/B$3)</f>
        <v>0.27777777777777779</v>
      </c>
      <c r="E13" s="63" t="s">
        <v>76</v>
      </c>
      <c r="F13" s="60" t="s">
        <v>31</v>
      </c>
      <c r="G13" s="47">
        <v>1</v>
      </c>
      <c r="H13" s="133">
        <f>IF(B$17=0,0,G13/B$17)</f>
        <v>5.3191489361702126E-3</v>
      </c>
      <c r="I13" s="94">
        <v>6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124</v>
      </c>
      <c r="C14" s="39">
        <f>IF(B$3=0,0,B14/B$3)</f>
        <v>0.16020671834625322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112</v>
      </c>
      <c r="C15" s="37">
        <f>IF(B$13=0,0,B15/B$13)</f>
        <v>0.52093023255813953</v>
      </c>
      <c r="E15" s="63" t="s">
        <v>78</v>
      </c>
      <c r="F15" s="60" t="s">
        <v>33</v>
      </c>
      <c r="G15" s="47">
        <v>1</v>
      </c>
      <c r="H15" s="133">
        <f>IF(B$17=0,0,G15/B$17)</f>
        <v>5.3191489361702126E-3</v>
      </c>
      <c r="I15" s="94">
        <v>1</v>
      </c>
      <c r="K15" s="38">
        <v>13</v>
      </c>
      <c r="L15" s="99">
        <v>-369.1</v>
      </c>
      <c r="N15" s="114" t="s">
        <v>223</v>
      </c>
      <c r="O15" s="124">
        <f>IF(P15=0,0,Q15/P15)</f>
        <v>62.800000000000004</v>
      </c>
      <c r="P15" s="118">
        <v>2</v>
      </c>
      <c r="Q15" s="106">
        <v>125.60000000000001</v>
      </c>
    </row>
    <row r="16" spans="1:17" x14ac:dyDescent="0.4">
      <c r="A16" s="54" t="s">
        <v>125</v>
      </c>
      <c r="B16" s="46">
        <v>31</v>
      </c>
      <c r="C16" s="37">
        <f>IF(B$14=0,0,B16/B$14)</f>
        <v>0.25</v>
      </c>
      <c r="E16" s="63" t="s">
        <v>79</v>
      </c>
      <c r="F16" s="60" t="s">
        <v>34</v>
      </c>
      <c r="G16" s="47">
        <v>8</v>
      </c>
      <c r="H16" s="133">
        <f>IF(B$17=0,0,G16/B$17)</f>
        <v>4.2553191489361701E-2</v>
      </c>
      <c r="I16" s="94">
        <v>3</v>
      </c>
      <c r="K16" s="38">
        <v>14</v>
      </c>
      <c r="L16" s="99">
        <v>-394.6</v>
      </c>
      <c r="N16" s="115" t="s">
        <v>128</v>
      </c>
      <c r="O16" s="125">
        <f>IF(P16=0,0,Q16/P16)</f>
        <v>-13.074999999999998</v>
      </c>
      <c r="P16" s="119">
        <v>40</v>
      </c>
      <c r="Q16" s="107">
        <v>-522.99999999999989</v>
      </c>
    </row>
    <row r="17" spans="1:17" x14ac:dyDescent="0.4">
      <c r="A17" s="54" t="s">
        <v>10</v>
      </c>
      <c r="B17" s="46">
        <f>B19+B18</f>
        <v>188</v>
      </c>
      <c r="C17" s="37">
        <f>IF(B$3=0,0,B17/B$3)</f>
        <v>0.24289405684754523</v>
      </c>
      <c r="E17" s="63" t="s">
        <v>80</v>
      </c>
      <c r="F17" s="60" t="s">
        <v>35</v>
      </c>
      <c r="G17" s="47">
        <v>1</v>
      </c>
      <c r="H17" s="133">
        <f>IF(B$17=0,0,G17/B$17)</f>
        <v>5.3191489361702126E-3</v>
      </c>
      <c r="I17" s="94">
        <v>10</v>
      </c>
      <c r="K17" s="38">
        <v>15</v>
      </c>
      <c r="L17" s="99">
        <v>-424.5</v>
      </c>
      <c r="N17" s="115" t="s">
        <v>177</v>
      </c>
      <c r="O17" s="125">
        <f>IF(P17=0,0,Q17/P17)</f>
        <v>-15.755000000000001</v>
      </c>
      <c r="P17" s="119">
        <v>20</v>
      </c>
      <c r="Q17" s="107">
        <v>-315.10000000000002</v>
      </c>
    </row>
    <row r="18" spans="1:17" x14ac:dyDescent="0.4">
      <c r="A18" s="55" t="s">
        <v>12</v>
      </c>
      <c r="B18" s="47">
        <v>80</v>
      </c>
      <c r="C18" s="39">
        <f>IF(B$17=0,0,B18/B$17)</f>
        <v>0.42553191489361702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-472</v>
      </c>
      <c r="N18" s="115" t="s">
        <v>171</v>
      </c>
      <c r="O18" s="125">
        <f>IF(P18=0,0,Q18/P18)</f>
        <v>-20.956666666666663</v>
      </c>
      <c r="P18" s="119">
        <v>30</v>
      </c>
      <c r="Q18" s="107">
        <v>-628.69999999999993</v>
      </c>
    </row>
    <row r="19" spans="1:17" x14ac:dyDescent="0.4">
      <c r="A19" s="55" t="s">
        <v>11</v>
      </c>
      <c r="B19" s="47">
        <v>108</v>
      </c>
      <c r="C19" s="39">
        <f>IF(B$17=0,0,B19/B$17)</f>
        <v>0.57446808510638303</v>
      </c>
      <c r="E19" s="63" t="s">
        <v>82</v>
      </c>
      <c r="F19" s="60" t="s">
        <v>37</v>
      </c>
      <c r="G19" s="47">
        <v>4</v>
      </c>
      <c r="H19" s="133">
        <f>IF(B$17=0,0,G19/B$17)</f>
        <v>2.1276595744680851E-2</v>
      </c>
      <c r="I19" s="94">
        <v>9</v>
      </c>
      <c r="K19" s="38">
        <v>17</v>
      </c>
      <c r="L19" s="99">
        <v>-538.29999999999995</v>
      </c>
      <c r="N19" s="115" t="s">
        <v>173</v>
      </c>
      <c r="O19" s="125">
        <f>IF(P19=0,0,Q19/P19)</f>
        <v>-21.862499999999997</v>
      </c>
      <c r="P19" s="119">
        <v>8</v>
      </c>
      <c r="Q19" s="107">
        <v>-174.89999999999998</v>
      </c>
    </row>
    <row r="20" spans="1:17" x14ac:dyDescent="0.4">
      <c r="A20" s="55" t="s">
        <v>13</v>
      </c>
      <c r="B20" s="47">
        <v>147</v>
      </c>
      <c r="C20" s="39">
        <f>IF(B$3=0,0,B20/B$3)</f>
        <v>0.18992248062015504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-537.19999999999993</v>
      </c>
      <c r="N20" s="115" t="s">
        <v>184</v>
      </c>
      <c r="O20" s="125">
        <f>IF(P20=0,0,Q20/P20)</f>
        <v>-24.240000000000002</v>
      </c>
      <c r="P20" s="119">
        <v>5</v>
      </c>
      <c r="Q20" s="107">
        <v>-121.2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84</v>
      </c>
      <c r="F21" s="60" t="s">
        <v>39</v>
      </c>
      <c r="G21" s="47">
        <v>7</v>
      </c>
      <c r="H21" s="133">
        <f>IF(B$17=0,0,G21/B$17)</f>
        <v>3.7234042553191488E-2</v>
      </c>
      <c r="I21" s="94">
        <v>8</v>
      </c>
      <c r="K21" s="38">
        <v>19</v>
      </c>
      <c r="L21" s="99">
        <v>-569.49999999999989</v>
      </c>
      <c r="N21" s="115" t="s">
        <v>127</v>
      </c>
      <c r="O21" s="125">
        <f>IF(P21=0,0,Q21/P21)</f>
        <v>-26.951724137931045</v>
      </c>
      <c r="P21" s="119">
        <v>58</v>
      </c>
      <c r="Q21" s="107">
        <v>-1563.2000000000005</v>
      </c>
    </row>
    <row r="22" spans="1:17" x14ac:dyDescent="0.4">
      <c r="A22" s="55" t="s">
        <v>192</v>
      </c>
      <c r="B22" s="47">
        <v>31</v>
      </c>
      <c r="C22" s="135">
        <v>0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-632.99999999999989</v>
      </c>
      <c r="N22" s="115" t="s">
        <v>172</v>
      </c>
      <c r="O22" s="125">
        <f>IF(P22=0,0,Q22/P22)</f>
        <v>-32.104761904761901</v>
      </c>
      <c r="P22" s="119">
        <v>21</v>
      </c>
      <c r="Q22" s="107">
        <v>-674.19999999999993</v>
      </c>
    </row>
    <row r="23" spans="1:17" x14ac:dyDescent="0.4">
      <c r="A23" s="55" t="s">
        <v>5</v>
      </c>
      <c r="B23" s="51">
        <f>IF(B$17=0,0,C23/B$17)</f>
        <v>8755.3191489361707</v>
      </c>
      <c r="C23" s="41">
        <v>1646000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-9236.0544217687075</v>
      </c>
      <c r="C24" s="45">
        <v>-1357700</v>
      </c>
      <c r="E24" s="63" t="s">
        <v>87</v>
      </c>
      <c r="F24" s="60" t="s">
        <v>42</v>
      </c>
      <c r="G24" s="47">
        <v>10</v>
      </c>
      <c r="H24" s="133">
        <f>IF(B$17=0,0,G24/B$17)</f>
        <v>5.3191489361702128E-2</v>
      </c>
      <c r="I24" s="94">
        <v>7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4">
        <v>7</v>
      </c>
      <c r="C25" s="145"/>
      <c r="E25" s="63" t="s">
        <v>88</v>
      </c>
      <c r="F25" s="60" t="s">
        <v>43</v>
      </c>
      <c r="G25" s="47">
        <v>2</v>
      </c>
      <c r="H25" s="133">
        <f>IF(B$17=0,0,G25/B$17)</f>
        <v>1.0638297872340425E-2</v>
      </c>
      <c r="I25" s="94">
        <v>1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42">
        <v>96900</v>
      </c>
      <c r="C26" s="143"/>
      <c r="E26" s="63" t="s">
        <v>89</v>
      </c>
      <c r="F26" s="60" t="s">
        <v>44</v>
      </c>
      <c r="G26" s="47">
        <v>1</v>
      </c>
      <c r="H26" s="133">
        <f>IF(B$17=0,0,G26/B$17)</f>
        <v>5.3191489361702126E-3</v>
      </c>
      <c r="I26" s="94">
        <v>1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1.2919896640826874E-3</v>
      </c>
      <c r="E27" s="63" t="s">
        <v>90</v>
      </c>
      <c r="F27" s="60" t="s">
        <v>45</v>
      </c>
      <c r="G27" s="47">
        <v>16</v>
      </c>
      <c r="H27" s="133">
        <f>IF(B$17=0,0,G27/B$17)</f>
        <v>8.5106382978723402E-2</v>
      </c>
      <c r="I27" s="94">
        <v>11</v>
      </c>
      <c r="K27" s="38">
        <v>25</v>
      </c>
      <c r="L27" s="99">
        <v>-783.69999999999993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-818.49999999999989</v>
      </c>
    </row>
    <row r="29" spans="1:17" x14ac:dyDescent="0.4">
      <c r="E29" s="63" t="s">
        <v>92</v>
      </c>
      <c r="F29" s="60" t="s">
        <v>47</v>
      </c>
      <c r="G29" s="47">
        <v>1</v>
      </c>
      <c r="H29" s="133">
        <f>IF(B$17=0,0,G29/B$17)</f>
        <v>5.3191489361702126E-3</v>
      </c>
      <c r="I29" s="94">
        <v>8</v>
      </c>
      <c r="K29" s="38">
        <v>27</v>
      </c>
      <c r="L29" s="99">
        <v>-876.19999999999993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5.3191489361702126E-3</v>
      </c>
      <c r="I30" s="94">
        <v>3</v>
      </c>
      <c r="K30" s="38">
        <v>28</v>
      </c>
      <c r="L30" s="99">
        <v>-931.09999999999991</v>
      </c>
    </row>
    <row r="31" spans="1:17" x14ac:dyDescent="0.4">
      <c r="E31" s="63" t="s">
        <v>94</v>
      </c>
      <c r="F31" s="60" t="s">
        <v>49</v>
      </c>
      <c r="G31" s="47">
        <v>2</v>
      </c>
      <c r="H31" s="133">
        <f>IF(B$17=0,0,G31/B$17)</f>
        <v>1.0638297872340425E-2</v>
      </c>
      <c r="I31" s="94">
        <v>1</v>
      </c>
      <c r="K31" s="38">
        <v>29</v>
      </c>
      <c r="L31" s="99">
        <v>-908.69999999999993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-826.8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-835.69999999999993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-838.69999999999993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-878.19999999999993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-826.89999999999986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-829.99999999999989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-786.29999999999984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-744.79999999999973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  <c r="K50" s="38">
        <v>48</v>
      </c>
      <c r="L50" s="99">
        <v>-699.39999999999975</v>
      </c>
    </row>
    <row r="51" spans="5:12" x14ac:dyDescent="0.4">
      <c r="E51" s="138" t="s">
        <v>245</v>
      </c>
      <c r="F51" s="139" t="s">
        <v>246</v>
      </c>
      <c r="G51" s="48">
        <v>73</v>
      </c>
      <c r="H51" s="140">
        <f>IF(B$17=0,0,G51/B$17)</f>
        <v>0.38829787234042551</v>
      </c>
      <c r="I51" s="141">
        <v>9</v>
      </c>
      <c r="K51" s="38">
        <v>49</v>
      </c>
      <c r="L51" s="99">
        <v>-715.0999999999998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  <row r="64" spans="5:12" x14ac:dyDescent="0.4">
      <c r="K64" s="38">
        <v>62</v>
      </c>
      <c r="L64" s="99">
        <v>-970.09999999999968</v>
      </c>
    </row>
    <row r="65" spans="11:12" x14ac:dyDescent="0.4">
      <c r="K65" s="38">
        <v>63</v>
      </c>
      <c r="L65" s="99">
        <v>-1013.0999999999997</v>
      </c>
    </row>
    <row r="66" spans="11:12" x14ac:dyDescent="0.4">
      <c r="K66" s="38">
        <v>64</v>
      </c>
      <c r="L66" s="99">
        <v>-1056.0999999999997</v>
      </c>
    </row>
    <row r="67" spans="11:12" x14ac:dyDescent="0.4">
      <c r="K67" s="38">
        <v>65</v>
      </c>
      <c r="L67" s="99">
        <v>-1083.0999999999997</v>
      </c>
    </row>
    <row r="68" spans="11:12" x14ac:dyDescent="0.4">
      <c r="K68" s="38">
        <v>66</v>
      </c>
      <c r="L68" s="99">
        <v>-1122.9999999999998</v>
      </c>
    </row>
    <row r="69" spans="11:12" x14ac:dyDescent="0.4">
      <c r="K69" s="38">
        <v>67</v>
      </c>
      <c r="L69" s="99">
        <v>-1123.7999999999997</v>
      </c>
    </row>
    <row r="70" spans="11:12" x14ac:dyDescent="0.4">
      <c r="K70" s="38">
        <v>68</v>
      </c>
      <c r="L70" s="99">
        <v>-1066.5999999999997</v>
      </c>
    </row>
    <row r="71" spans="11:12" x14ac:dyDescent="0.4">
      <c r="K71" s="38">
        <v>69</v>
      </c>
      <c r="L71" s="99">
        <v>-1115.2999999999997</v>
      </c>
    </row>
    <row r="72" spans="11:12" x14ac:dyDescent="0.4">
      <c r="K72" s="38">
        <v>70</v>
      </c>
      <c r="L72" s="99">
        <v>-1170.9999999999998</v>
      </c>
    </row>
    <row r="73" spans="11:12" x14ac:dyDescent="0.4">
      <c r="K73" s="38">
        <v>71</v>
      </c>
      <c r="L73" s="99">
        <v>-1130.3999999999999</v>
      </c>
    </row>
    <row r="74" spans="11:12" x14ac:dyDescent="0.4">
      <c r="K74" s="38">
        <v>72</v>
      </c>
      <c r="L74" s="99">
        <v>-1129.6999999999998</v>
      </c>
    </row>
    <row r="75" spans="11:12" x14ac:dyDescent="0.4">
      <c r="K75" s="38">
        <v>73</v>
      </c>
      <c r="L75" s="99">
        <v>-1091.5999999999999</v>
      </c>
    </row>
    <row r="76" spans="11:12" x14ac:dyDescent="0.4">
      <c r="K76" s="38">
        <v>74</v>
      </c>
      <c r="L76" s="99">
        <v>-1149.5999999999999</v>
      </c>
    </row>
    <row r="77" spans="11:12" x14ac:dyDescent="0.4">
      <c r="K77" s="38">
        <v>75</v>
      </c>
      <c r="L77" s="99">
        <v>-1147.8999999999999</v>
      </c>
    </row>
    <row r="78" spans="11:12" x14ac:dyDescent="0.4">
      <c r="K78" s="38">
        <v>76</v>
      </c>
      <c r="L78" s="99">
        <v>-1183.9999999999998</v>
      </c>
    </row>
    <row r="79" spans="11:12" x14ac:dyDescent="0.4">
      <c r="K79" s="38">
        <v>77</v>
      </c>
      <c r="L79" s="99">
        <v>-1135.9999999999998</v>
      </c>
    </row>
    <row r="80" spans="11:12" x14ac:dyDescent="0.4">
      <c r="K80" s="38">
        <v>78</v>
      </c>
      <c r="L80" s="99">
        <v>-1169.8999999999999</v>
      </c>
    </row>
    <row r="81" spans="11:12" x14ac:dyDescent="0.4">
      <c r="K81" s="38">
        <v>79</v>
      </c>
      <c r="L81" s="99">
        <v>-1226.5999999999999</v>
      </c>
    </row>
    <row r="82" spans="11:12" x14ac:dyDescent="0.4">
      <c r="K82" s="38">
        <v>80</v>
      </c>
      <c r="L82" s="99">
        <v>-1201</v>
      </c>
    </row>
    <row r="83" spans="11:12" x14ac:dyDescent="0.4">
      <c r="K83" s="38">
        <v>81</v>
      </c>
      <c r="L83" s="99">
        <v>-1265.7</v>
      </c>
    </row>
    <row r="84" spans="11:12" x14ac:dyDescent="0.4">
      <c r="K84" s="38">
        <v>82</v>
      </c>
      <c r="L84" s="99">
        <v>-1267.2</v>
      </c>
    </row>
    <row r="85" spans="11:12" x14ac:dyDescent="0.4">
      <c r="K85" s="38">
        <v>83</v>
      </c>
      <c r="L85" s="99">
        <v>-1270.6000000000001</v>
      </c>
    </row>
    <row r="86" spans="11:12" x14ac:dyDescent="0.4">
      <c r="K86" s="38">
        <v>84</v>
      </c>
      <c r="L86" s="99">
        <v>-1264.8000000000002</v>
      </c>
    </row>
    <row r="87" spans="11:12" x14ac:dyDescent="0.4">
      <c r="K87" s="38">
        <v>85</v>
      </c>
      <c r="L87" s="99">
        <v>-1322.1000000000001</v>
      </c>
    </row>
    <row r="88" spans="11:12" x14ac:dyDescent="0.4">
      <c r="K88" s="38">
        <v>86</v>
      </c>
      <c r="L88" s="99">
        <v>-1272.1000000000001</v>
      </c>
    </row>
    <row r="89" spans="11:12" x14ac:dyDescent="0.4">
      <c r="K89" s="38">
        <v>87</v>
      </c>
      <c r="L89" s="99">
        <v>-1283.8000000000002</v>
      </c>
    </row>
    <row r="90" spans="11:12" x14ac:dyDescent="0.4">
      <c r="K90" s="38">
        <v>88</v>
      </c>
      <c r="L90" s="99">
        <v>-1241.1000000000001</v>
      </c>
    </row>
    <row r="91" spans="11:12" x14ac:dyDescent="0.4">
      <c r="K91" s="38">
        <v>89</v>
      </c>
      <c r="L91" s="99">
        <v>-1288.1000000000001</v>
      </c>
    </row>
    <row r="92" spans="11:12" x14ac:dyDescent="0.4">
      <c r="K92" s="38">
        <v>90</v>
      </c>
      <c r="L92" s="99">
        <v>-1324.2</v>
      </c>
    </row>
    <row r="93" spans="11:12" x14ac:dyDescent="0.4">
      <c r="K93" s="38">
        <v>91</v>
      </c>
      <c r="L93" s="99">
        <v>-1253.1000000000001</v>
      </c>
    </row>
    <row r="94" spans="11:12" x14ac:dyDescent="0.4">
      <c r="K94" s="38">
        <v>92</v>
      </c>
      <c r="L94" s="99">
        <v>-1291.9000000000001</v>
      </c>
    </row>
  </sheetData>
  <sortState ref="E2:I94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5C5D5-C5FD-421F-AC31-06D742AD5C35}">
  <sheetPr codeName="Sheet13"/>
  <dimension ref="A1:Q9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171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90</v>
      </c>
      <c r="C2" s="151"/>
      <c r="E2" s="62" t="s">
        <v>65</v>
      </c>
      <c r="F2" s="59" t="s">
        <v>21</v>
      </c>
      <c r="G2" s="46">
        <v>116</v>
      </c>
      <c r="H2" s="132">
        <f>IF(B$17=0,0,G2/B$17)</f>
        <v>0.54460093896713613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-684.44444444444446</v>
      </c>
      <c r="P2" s="118">
        <v>90</v>
      </c>
      <c r="Q2" s="102">
        <v>-61600</v>
      </c>
    </row>
    <row r="3" spans="1:17" x14ac:dyDescent="0.4">
      <c r="A3" s="55" t="s">
        <v>8</v>
      </c>
      <c r="B3" s="152">
        <v>751</v>
      </c>
      <c r="C3" s="153"/>
      <c r="E3" s="63" t="s">
        <v>66</v>
      </c>
      <c r="F3" s="60" t="s">
        <v>22</v>
      </c>
      <c r="G3" s="47">
        <v>28</v>
      </c>
      <c r="H3" s="133">
        <f>IF(B$17=0,0,G3/B$17)</f>
        <v>0.13145539906103287</v>
      </c>
      <c r="I3" s="94">
        <v>2</v>
      </c>
      <c r="K3" s="38">
        <v>1</v>
      </c>
      <c r="L3" s="99">
        <v>-51.2</v>
      </c>
      <c r="N3" s="115" t="s">
        <v>133</v>
      </c>
      <c r="O3" s="122">
        <f t="shared" si="0"/>
        <v>219.31818181818181</v>
      </c>
      <c r="P3" s="119">
        <v>88</v>
      </c>
      <c r="Q3" s="103">
        <v>19300</v>
      </c>
    </row>
    <row r="4" spans="1:17" x14ac:dyDescent="0.4">
      <c r="A4" s="55" t="s">
        <v>6</v>
      </c>
      <c r="B4" s="154">
        <v>21.10000000000003</v>
      </c>
      <c r="C4" s="155"/>
      <c r="E4" s="63" t="s">
        <v>67</v>
      </c>
      <c r="F4" s="60" t="s">
        <v>23</v>
      </c>
      <c r="G4" s="47">
        <v>176</v>
      </c>
      <c r="H4" s="133">
        <f>IF(B$17=0,0,G4/B$17)</f>
        <v>0.82629107981220662</v>
      </c>
      <c r="I4" s="94">
        <v>4</v>
      </c>
      <c r="K4" s="38">
        <v>2</v>
      </c>
      <c r="L4" s="99">
        <v>-93.300000000000011</v>
      </c>
      <c r="N4" s="115" t="s">
        <v>134</v>
      </c>
      <c r="O4" s="122">
        <f t="shared" si="0"/>
        <v>1135.8024691358025</v>
      </c>
      <c r="P4" s="119">
        <v>81</v>
      </c>
      <c r="Q4" s="103">
        <v>92000</v>
      </c>
    </row>
    <row r="5" spans="1:17" x14ac:dyDescent="0.4">
      <c r="A5" s="55" t="s">
        <v>7</v>
      </c>
      <c r="B5" s="156">
        <f>IF(B$2=0,0,B$4/B$2)</f>
        <v>0.23444444444444479</v>
      </c>
      <c r="C5" s="157"/>
      <c r="E5" s="63" t="s">
        <v>68</v>
      </c>
      <c r="F5" s="60" t="s">
        <v>24</v>
      </c>
      <c r="G5" s="47">
        <v>70</v>
      </c>
      <c r="H5" s="133">
        <f>IF(B$17=0,0,G5/B$17)</f>
        <v>0.32863849765258218</v>
      </c>
      <c r="I5" s="94">
        <v>7</v>
      </c>
      <c r="K5" s="38">
        <v>3</v>
      </c>
      <c r="L5" s="99">
        <v>-60.100000000000009</v>
      </c>
      <c r="N5" s="115" t="s">
        <v>135</v>
      </c>
      <c r="O5" s="122">
        <f t="shared" si="0"/>
        <v>964.28571428571433</v>
      </c>
      <c r="P5" s="119">
        <v>70</v>
      </c>
      <c r="Q5" s="103">
        <v>67500</v>
      </c>
    </row>
    <row r="6" spans="1:17" x14ac:dyDescent="0.4">
      <c r="A6" s="55" t="s">
        <v>1</v>
      </c>
      <c r="B6" s="146">
        <f>IF(B$2=0,0,(B$7*1+B$8*2+B$9*3)/B$2)</f>
        <v>2.0444444444444443</v>
      </c>
      <c r="C6" s="147"/>
      <c r="E6" s="63" t="s">
        <v>69</v>
      </c>
      <c r="F6" s="60" t="s">
        <v>12</v>
      </c>
      <c r="G6" s="47">
        <v>63</v>
      </c>
      <c r="H6" s="133">
        <f>IF(B$17=0,0,G6/B$17)</f>
        <v>0.29577464788732394</v>
      </c>
      <c r="I6" s="94">
        <v>10</v>
      </c>
      <c r="K6" s="38">
        <v>4</v>
      </c>
      <c r="L6" s="99">
        <v>-11.300000000000011</v>
      </c>
      <c r="N6" s="115" t="s">
        <v>136</v>
      </c>
      <c r="O6" s="122">
        <f t="shared" si="0"/>
        <v>-550</v>
      </c>
      <c r="P6" s="119">
        <v>62</v>
      </c>
      <c r="Q6" s="103">
        <v>-34100</v>
      </c>
    </row>
    <row r="7" spans="1:17" x14ac:dyDescent="0.4">
      <c r="A7" s="55" t="s">
        <v>2</v>
      </c>
      <c r="B7" s="47">
        <v>27</v>
      </c>
      <c r="C7" s="39">
        <f>IF(B$2=0,0,B7/B$2)</f>
        <v>0.3</v>
      </c>
      <c r="E7" s="63" t="s">
        <v>70</v>
      </c>
      <c r="F7" s="60" t="s">
        <v>25</v>
      </c>
      <c r="G7" s="47">
        <v>42</v>
      </c>
      <c r="H7" s="133">
        <f>IF(B$17=0,0,G7/B$17)</f>
        <v>0.19718309859154928</v>
      </c>
      <c r="I7" s="94">
        <v>3</v>
      </c>
      <c r="K7" s="38">
        <v>5</v>
      </c>
      <c r="L7" s="99">
        <v>-36.100000000000009</v>
      </c>
      <c r="N7" s="116" t="s">
        <v>137</v>
      </c>
      <c r="O7" s="123">
        <f t="shared" si="0"/>
        <v>-192.98245614035088</v>
      </c>
      <c r="P7" s="120">
        <v>57</v>
      </c>
      <c r="Q7" s="104">
        <v>-11000</v>
      </c>
    </row>
    <row r="8" spans="1:17" x14ac:dyDescent="0.4">
      <c r="A8" s="55" t="s">
        <v>3</v>
      </c>
      <c r="B8" s="47">
        <v>32</v>
      </c>
      <c r="C8" s="39">
        <f>IF(B$2=0,0,B8/B$2)</f>
        <v>0.35555555555555557</v>
      </c>
      <c r="E8" s="63" t="s">
        <v>71</v>
      </c>
      <c r="F8" s="60" t="s">
        <v>26</v>
      </c>
      <c r="G8" s="47">
        <v>22</v>
      </c>
      <c r="H8" s="133">
        <f>IF(B$17=0,0,G8/B$17)</f>
        <v>0.10328638497652583</v>
      </c>
      <c r="I8" s="94">
        <v>5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31</v>
      </c>
      <c r="C9" s="40">
        <f t="shared" ref="C9" si="1">IF(B$2=0,0,B9/B$2)</f>
        <v>0.34444444444444444</v>
      </c>
      <c r="E9" s="63" t="s">
        <v>72</v>
      </c>
      <c r="F9" s="60" t="s">
        <v>27</v>
      </c>
      <c r="G9" s="47">
        <v>14</v>
      </c>
      <c r="H9" s="133">
        <f>IF(B$17=0,0,G9/B$17)</f>
        <v>6.5727699530516437E-2</v>
      </c>
      <c r="I9" s="94">
        <v>7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9</v>
      </c>
      <c r="C10" s="40">
        <f>IF(B$2=0,0,B10/B$2)</f>
        <v>0.1</v>
      </c>
      <c r="E10" s="63" t="s">
        <v>73</v>
      </c>
      <c r="F10" s="60" t="s">
        <v>28</v>
      </c>
      <c r="G10" s="47">
        <v>111</v>
      </c>
      <c r="H10" s="133">
        <f>IF(B$17=0,0,G10/B$17)</f>
        <v>0.52112676056338025</v>
      </c>
      <c r="I10" s="94">
        <v>8</v>
      </c>
      <c r="K10" s="38">
        <v>8</v>
      </c>
      <c r="L10" s="99">
        <v>-1.7000000000000028</v>
      </c>
      <c r="N10" s="114" t="s">
        <v>164</v>
      </c>
      <c r="O10" s="124">
        <f>IF(P10=0,0,Q10/P10)</f>
        <v>6.1739130434782608</v>
      </c>
      <c r="P10" s="118">
        <v>23</v>
      </c>
      <c r="Q10" s="106">
        <v>142</v>
      </c>
    </row>
    <row r="11" spans="1:17" x14ac:dyDescent="0.4">
      <c r="A11" s="56" t="s">
        <v>140</v>
      </c>
      <c r="B11" s="48">
        <v>12</v>
      </c>
      <c r="C11" s="40">
        <f>IF(B$2=0,0,B11/B$2)</f>
        <v>0.13333333333333333</v>
      </c>
      <c r="E11" s="63" t="s">
        <v>74</v>
      </c>
      <c r="F11" s="60" t="s">
        <v>29</v>
      </c>
      <c r="G11" s="47">
        <v>2</v>
      </c>
      <c r="H11" s="133">
        <f>IF(B$17=0,0,G11/B$17)</f>
        <v>9.3896713615023476E-3</v>
      </c>
      <c r="I11" s="94">
        <v>3</v>
      </c>
      <c r="K11" s="38">
        <v>9</v>
      </c>
      <c r="L11" s="99">
        <v>-5.8000000000000025</v>
      </c>
      <c r="N11" s="115" t="s">
        <v>165</v>
      </c>
      <c r="O11" s="125">
        <f>IF(P11=0,0,Q11/P11)</f>
        <v>-2.465714285714284</v>
      </c>
      <c r="P11" s="119">
        <v>35</v>
      </c>
      <c r="Q11" s="107">
        <v>-86.29999999999994</v>
      </c>
    </row>
    <row r="12" spans="1:17" x14ac:dyDescent="0.4">
      <c r="A12" s="57" t="s">
        <v>160</v>
      </c>
      <c r="B12" s="49">
        <v>6</v>
      </c>
      <c r="C12" s="42">
        <f>IF(B$2=0,0,B12/B$2)</f>
        <v>6.6666666666666666E-2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K12" s="38">
        <v>10</v>
      </c>
      <c r="L12" s="99">
        <v>-56.500000000000007</v>
      </c>
      <c r="N12" s="116" t="s">
        <v>166</v>
      </c>
      <c r="O12" s="126">
        <f>IF(P12=0,0,Q12/P12)</f>
        <v>-1.0812500000000003</v>
      </c>
      <c r="P12" s="120">
        <v>32</v>
      </c>
      <c r="Q12" s="108">
        <v>-34.600000000000009</v>
      </c>
    </row>
    <row r="13" spans="1:17" x14ac:dyDescent="0.4">
      <c r="A13" s="58" t="s">
        <v>122</v>
      </c>
      <c r="B13" s="50">
        <v>219</v>
      </c>
      <c r="C13" s="44">
        <f>IF(B$3=0,0,B13/B$3)</f>
        <v>0.29161118508655126</v>
      </c>
      <c r="E13" s="63" t="s">
        <v>76</v>
      </c>
      <c r="F13" s="60" t="s">
        <v>31</v>
      </c>
      <c r="G13" s="47">
        <v>3</v>
      </c>
      <c r="H13" s="133">
        <f>IF(B$17=0,0,G13/B$17)</f>
        <v>1.4084507042253521E-2</v>
      </c>
      <c r="I13" s="94">
        <v>2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141</v>
      </c>
      <c r="C14" s="39">
        <f>IF(B$3=0,0,B14/B$3)</f>
        <v>0.1877496671105193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124</v>
      </c>
      <c r="C15" s="37">
        <f>IF(B$13=0,0,B15/B$13)</f>
        <v>0.56621004566210043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-58.7</v>
      </c>
      <c r="N15" s="114" t="s">
        <v>184</v>
      </c>
      <c r="O15" s="124">
        <f>IF(P15=0,0,Q15/P15)</f>
        <v>25.400000000000002</v>
      </c>
      <c r="P15" s="118">
        <v>2</v>
      </c>
      <c r="Q15" s="106">
        <v>50.800000000000004</v>
      </c>
    </row>
    <row r="16" spans="1:17" x14ac:dyDescent="0.4">
      <c r="A16" s="54" t="s">
        <v>125</v>
      </c>
      <c r="B16" s="46">
        <v>58</v>
      </c>
      <c r="C16" s="37">
        <f>IF(B$14=0,0,B16/B$14)</f>
        <v>0.41134751773049644</v>
      </c>
      <c r="E16" s="63" t="s">
        <v>79</v>
      </c>
      <c r="F16" s="60" t="s">
        <v>34</v>
      </c>
      <c r="G16" s="47">
        <v>9</v>
      </c>
      <c r="H16" s="133">
        <f>IF(B$17=0,0,G16/B$17)</f>
        <v>4.2253521126760563E-2</v>
      </c>
      <c r="I16" s="94">
        <v>4</v>
      </c>
      <c r="K16" s="38">
        <v>14</v>
      </c>
      <c r="L16" s="99">
        <v>-29.400000000000002</v>
      </c>
      <c r="N16" s="115" t="s">
        <v>129</v>
      </c>
      <c r="O16" s="125">
        <f>IF(P16=0,0,Q16/P16)</f>
        <v>20.95666666666666</v>
      </c>
      <c r="P16" s="119">
        <v>30</v>
      </c>
      <c r="Q16" s="107">
        <v>628.69999999999982</v>
      </c>
    </row>
    <row r="17" spans="1:17" x14ac:dyDescent="0.4">
      <c r="A17" s="54" t="s">
        <v>10</v>
      </c>
      <c r="B17" s="46">
        <f>B19+B18</f>
        <v>213</v>
      </c>
      <c r="C17" s="37">
        <f>IF(B$3=0,0,B17/B$3)</f>
        <v>0.28362183754993342</v>
      </c>
      <c r="E17" s="63" t="s">
        <v>80</v>
      </c>
      <c r="F17" s="60" t="s">
        <v>35</v>
      </c>
      <c r="G17" s="47">
        <v>4</v>
      </c>
      <c r="H17" s="133">
        <f>IF(B$17=0,0,G17/B$17)</f>
        <v>1.8779342723004695E-2</v>
      </c>
      <c r="I17" s="94">
        <v>4</v>
      </c>
      <c r="K17" s="38">
        <v>15</v>
      </c>
      <c r="L17" s="99">
        <v>-26.3</v>
      </c>
      <c r="N17" s="115" t="s">
        <v>173</v>
      </c>
      <c r="O17" s="125">
        <f>IF(P17=0,0,Q17/P17)</f>
        <v>11.647058823529409</v>
      </c>
      <c r="P17" s="119">
        <v>17</v>
      </c>
      <c r="Q17" s="107">
        <v>197.99999999999997</v>
      </c>
    </row>
    <row r="18" spans="1:17" x14ac:dyDescent="0.4">
      <c r="A18" s="55" t="s">
        <v>12</v>
      </c>
      <c r="B18" s="47">
        <v>88</v>
      </c>
      <c r="C18" s="39">
        <f>IF(B$17=0,0,B18/B$17)</f>
        <v>0.41314553990610331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-50.3</v>
      </c>
      <c r="N18" s="115" t="s">
        <v>172</v>
      </c>
      <c r="O18" s="125">
        <f>IF(P18=0,0,Q18/P18)</f>
        <v>4.6449999999999996</v>
      </c>
      <c r="P18" s="119">
        <v>20</v>
      </c>
      <c r="Q18" s="107">
        <v>92.899999999999991</v>
      </c>
    </row>
    <row r="19" spans="1:17" x14ac:dyDescent="0.4">
      <c r="A19" s="55" t="s">
        <v>11</v>
      </c>
      <c r="B19" s="47">
        <v>125</v>
      </c>
      <c r="C19" s="39">
        <f>IF(B$17=0,0,B19/B$17)</f>
        <v>0.58685446009389675</v>
      </c>
      <c r="E19" s="63" t="s">
        <v>82</v>
      </c>
      <c r="F19" s="60" t="s">
        <v>37</v>
      </c>
      <c r="G19" s="47">
        <v>8</v>
      </c>
      <c r="H19" s="133">
        <f>IF(B$17=0,0,G19/B$17)</f>
        <v>3.7558685446009391E-2</v>
      </c>
      <c r="I19" s="94">
        <v>2</v>
      </c>
      <c r="K19" s="38">
        <v>17</v>
      </c>
      <c r="L19" s="99">
        <v>-74.3</v>
      </c>
      <c r="N19" s="115" t="s">
        <v>128</v>
      </c>
      <c r="O19" s="125">
        <f>IF(P19=0,0,Q19/P19)</f>
        <v>2.3171428571428523</v>
      </c>
      <c r="P19" s="119">
        <v>35</v>
      </c>
      <c r="Q19" s="107">
        <v>81.099999999999824</v>
      </c>
    </row>
    <row r="20" spans="1:17" x14ac:dyDescent="0.4">
      <c r="A20" s="55" t="s">
        <v>13</v>
      </c>
      <c r="B20" s="47">
        <v>133</v>
      </c>
      <c r="C20" s="39">
        <f>IF(B$3=0,0,B20/B$3)</f>
        <v>0.17709720372836218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-76.099999999999994</v>
      </c>
      <c r="N20" s="115" t="s">
        <v>127</v>
      </c>
      <c r="O20" s="125">
        <f>IF(P20=0,0,Q20/P20)</f>
        <v>-1.6094339622641469</v>
      </c>
      <c r="P20" s="119">
        <v>53</v>
      </c>
      <c r="Q20" s="107">
        <v>-85.299999999999784</v>
      </c>
    </row>
    <row r="21" spans="1:17" x14ac:dyDescent="0.4">
      <c r="A21" s="55" t="s">
        <v>191</v>
      </c>
      <c r="B21" s="47">
        <v>6</v>
      </c>
      <c r="C21" s="135">
        <v>1</v>
      </c>
      <c r="E21" s="63" t="s">
        <v>84</v>
      </c>
      <c r="F21" s="60" t="s">
        <v>39</v>
      </c>
      <c r="G21" s="47">
        <v>11</v>
      </c>
      <c r="H21" s="133">
        <f>IF(B$17=0,0,G21/B$17)</f>
        <v>5.1643192488262914E-2</v>
      </c>
      <c r="I21" s="94">
        <v>5</v>
      </c>
      <c r="K21" s="38">
        <v>19</v>
      </c>
      <c r="L21" s="99">
        <v>0.60000000000000853</v>
      </c>
      <c r="N21" s="115" t="s">
        <v>200</v>
      </c>
      <c r="O21" s="125">
        <f>IF(P21=0,0,Q21/P21)</f>
        <v>-22.524999999999999</v>
      </c>
      <c r="P21" s="119">
        <v>4</v>
      </c>
      <c r="Q21" s="107">
        <v>-90.1</v>
      </c>
    </row>
    <row r="22" spans="1:17" x14ac:dyDescent="0.4">
      <c r="A22" s="55" t="s">
        <v>192</v>
      </c>
      <c r="B22" s="47">
        <v>32</v>
      </c>
      <c r="C22" s="135">
        <v>1</v>
      </c>
      <c r="E22" s="63" t="s">
        <v>85</v>
      </c>
      <c r="F22" s="60" t="s">
        <v>40</v>
      </c>
      <c r="G22" s="47">
        <v>2</v>
      </c>
      <c r="H22" s="133">
        <f>IF(B$17=0,0,G22/B$17)</f>
        <v>9.3896713615023476E-3</v>
      </c>
      <c r="I22" s="94">
        <v>1</v>
      </c>
      <c r="K22" s="38">
        <v>20</v>
      </c>
      <c r="L22" s="99">
        <v>-3.5999999999999917</v>
      </c>
      <c r="N22" s="115" t="s">
        <v>177</v>
      </c>
      <c r="O22" s="125">
        <f>IF(P22=0,0,Q22/P22)</f>
        <v>-41.294444444444444</v>
      </c>
      <c r="P22" s="119">
        <v>18</v>
      </c>
      <c r="Q22" s="107">
        <v>-743.3</v>
      </c>
    </row>
    <row r="23" spans="1:17" x14ac:dyDescent="0.4">
      <c r="A23" s="55" t="s">
        <v>5</v>
      </c>
      <c r="B23" s="51">
        <f>IF(B$17=0,0,C23/B$17)</f>
        <v>9851.6431924882636</v>
      </c>
      <c r="C23" s="41">
        <v>2098400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-3.0999999999999917</v>
      </c>
      <c r="N23" s="115" t="s">
        <v>222</v>
      </c>
      <c r="O23" s="125">
        <f>IF(P23=0,0,Q23/P23)</f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-8481.2030075187977</v>
      </c>
      <c r="C24" s="45">
        <v>-1128000</v>
      </c>
      <c r="E24" s="63" t="s">
        <v>87</v>
      </c>
      <c r="F24" s="60" t="s">
        <v>42</v>
      </c>
      <c r="G24" s="47">
        <v>16</v>
      </c>
      <c r="H24" s="133">
        <f>IF(B$17=0,0,G24/B$17)</f>
        <v>7.5117370892018781E-2</v>
      </c>
      <c r="I24" s="94">
        <v>3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4">
        <v>8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4.6948356807511738E-3</v>
      </c>
      <c r="I25" s="94">
        <v>3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42">
        <v>91700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1.3315579227696406E-3</v>
      </c>
      <c r="E27" s="63" t="s">
        <v>90</v>
      </c>
      <c r="F27" s="60" t="s">
        <v>45</v>
      </c>
      <c r="G27" s="47">
        <v>36</v>
      </c>
      <c r="H27" s="133">
        <f>IF(B$17=0,0,G27/B$17)</f>
        <v>0.16901408450704225</v>
      </c>
      <c r="I27" s="94">
        <v>3</v>
      </c>
      <c r="K27" s="38">
        <v>25</v>
      </c>
      <c r="L27" s="99">
        <v>-39.999999999999986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-71.099999999999994</v>
      </c>
    </row>
    <row r="29" spans="1:17" x14ac:dyDescent="0.4">
      <c r="E29" s="63" t="s">
        <v>92</v>
      </c>
      <c r="F29" s="60" t="s">
        <v>47</v>
      </c>
      <c r="G29" s="47">
        <v>6</v>
      </c>
      <c r="H29" s="133">
        <f>IF(B$17=0,0,G29/B$17)</f>
        <v>2.8169014084507043E-2</v>
      </c>
      <c r="I29" s="94">
        <v>2</v>
      </c>
      <c r="K29" s="38">
        <v>27</v>
      </c>
      <c r="L29" s="99">
        <v>-66.199999999999989</v>
      </c>
    </row>
    <row r="30" spans="1:17" x14ac:dyDescent="0.4">
      <c r="E30" s="63" t="s">
        <v>93</v>
      </c>
      <c r="F30" s="60" t="s">
        <v>48</v>
      </c>
      <c r="G30" s="47">
        <v>2</v>
      </c>
      <c r="H30" s="133">
        <f>IF(B$17=0,0,G30/B$17)</f>
        <v>9.3896713615023476E-3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4.6948356807511738E-3</v>
      </c>
      <c r="I31" s="94">
        <v>3</v>
      </c>
      <c r="K31" s="38">
        <v>29</v>
      </c>
      <c r="L31" s="99">
        <v>-121.79999999999998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-156.19999999999999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-91.899999999999991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-108.9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-64.099999999999994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180</v>
      </c>
      <c r="F50" s="60" t="s">
        <v>181</v>
      </c>
      <c r="G50" s="47">
        <v>4</v>
      </c>
      <c r="H50" s="133">
        <f>IF(B$17=0,0,G50/B$17)</f>
        <v>1.8779342723004695E-2</v>
      </c>
      <c r="I50" s="94">
        <v>2</v>
      </c>
      <c r="K50" s="38">
        <v>48</v>
      </c>
      <c r="L50" s="99">
        <v>-33.800000000000004</v>
      </c>
    </row>
    <row r="51" spans="5:12" x14ac:dyDescent="0.4">
      <c r="E51" s="138" t="s">
        <v>245</v>
      </c>
      <c r="F51" s="139" t="s">
        <v>246</v>
      </c>
      <c r="G51" s="48">
        <v>81</v>
      </c>
      <c r="H51" s="140">
        <f>IF(B$17=0,0,G51/B$17)</f>
        <v>0.38028169014084506</v>
      </c>
      <c r="I51" s="141">
        <v>10</v>
      </c>
      <c r="K51" s="38">
        <v>49</v>
      </c>
      <c r="L51" s="99">
        <v>-23.100000000000005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146.79999999999998</v>
      </c>
    </row>
    <row r="73" spans="11:12" x14ac:dyDescent="0.4">
      <c r="K73" s="38">
        <v>71</v>
      </c>
      <c r="L73" s="99">
        <v>88.799999999999983</v>
      </c>
    </row>
    <row r="74" spans="11:12" x14ac:dyDescent="0.4">
      <c r="K74" s="38">
        <v>72</v>
      </c>
      <c r="L74" s="99">
        <v>98.299999999999983</v>
      </c>
    </row>
    <row r="75" spans="11:12" x14ac:dyDescent="0.4">
      <c r="K75" s="38">
        <v>73</v>
      </c>
      <c r="L75" s="99">
        <v>156.29999999999998</v>
      </c>
    </row>
    <row r="76" spans="11:12" x14ac:dyDescent="0.4">
      <c r="K76" s="38">
        <v>74</v>
      </c>
      <c r="L76" s="99">
        <v>99.299999999999983</v>
      </c>
    </row>
    <row r="77" spans="11:12" x14ac:dyDescent="0.4">
      <c r="K77" s="38">
        <v>75</v>
      </c>
      <c r="L77" s="99">
        <v>145.29999999999998</v>
      </c>
    </row>
    <row r="78" spans="11:12" x14ac:dyDescent="0.4">
      <c r="K78" s="38">
        <v>76</v>
      </c>
      <c r="L78" s="99">
        <v>163.29999999999998</v>
      </c>
    </row>
    <row r="79" spans="11:12" x14ac:dyDescent="0.4">
      <c r="K79" s="38">
        <v>77</v>
      </c>
      <c r="L79" s="99">
        <v>89.59999999999998</v>
      </c>
    </row>
    <row r="80" spans="11:12" x14ac:dyDescent="0.4">
      <c r="K80" s="38">
        <v>78</v>
      </c>
      <c r="L80" s="99">
        <v>94.299999999999983</v>
      </c>
    </row>
    <row r="81" spans="11:12" x14ac:dyDescent="0.4">
      <c r="K81" s="38">
        <v>79</v>
      </c>
      <c r="L81" s="99">
        <v>118.49999999999999</v>
      </c>
    </row>
    <row r="82" spans="11:12" x14ac:dyDescent="0.4">
      <c r="K82" s="38">
        <v>80</v>
      </c>
      <c r="L82" s="99">
        <v>109.69999999999999</v>
      </c>
    </row>
    <row r="83" spans="11:12" x14ac:dyDescent="0.4">
      <c r="K83" s="38">
        <v>81</v>
      </c>
      <c r="L83" s="99">
        <v>173.1</v>
      </c>
    </row>
    <row r="84" spans="11:12" x14ac:dyDescent="0.4">
      <c r="K84" s="38">
        <v>82</v>
      </c>
      <c r="L84" s="99">
        <v>214.1</v>
      </c>
    </row>
    <row r="85" spans="11:12" x14ac:dyDescent="0.4">
      <c r="K85" s="38">
        <v>83</v>
      </c>
      <c r="L85" s="99">
        <v>210.9</v>
      </c>
    </row>
    <row r="86" spans="11:12" x14ac:dyDescent="0.4">
      <c r="K86" s="38">
        <v>84</v>
      </c>
      <c r="L86" s="99">
        <v>275.10000000000002</v>
      </c>
    </row>
    <row r="87" spans="11:12" x14ac:dyDescent="0.4">
      <c r="K87" s="38">
        <v>85</v>
      </c>
      <c r="L87" s="99">
        <v>213.10000000000002</v>
      </c>
    </row>
    <row r="88" spans="11:12" x14ac:dyDescent="0.4">
      <c r="K88" s="38">
        <v>86</v>
      </c>
      <c r="L88" s="99">
        <v>158.50000000000003</v>
      </c>
    </row>
    <row r="89" spans="11:12" x14ac:dyDescent="0.4">
      <c r="K89" s="38">
        <v>87</v>
      </c>
      <c r="L89" s="99">
        <v>102.50000000000003</v>
      </c>
    </row>
    <row r="90" spans="11:12" x14ac:dyDescent="0.4">
      <c r="K90" s="38">
        <v>88</v>
      </c>
      <c r="L90" s="99">
        <v>46.300000000000026</v>
      </c>
    </row>
    <row r="91" spans="11:12" x14ac:dyDescent="0.4">
      <c r="K91" s="38">
        <v>89</v>
      </c>
      <c r="L91" s="99">
        <v>32.000000000000028</v>
      </c>
    </row>
    <row r="92" spans="11:12" x14ac:dyDescent="0.4">
      <c r="K92" s="38">
        <v>90</v>
      </c>
      <c r="L92" s="99">
        <v>21.10000000000003</v>
      </c>
    </row>
  </sheetData>
  <sortState ref="E2:I9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6AE4C-70AF-46BB-AA1E-6CF3427BCB07}">
  <sheetPr codeName="Sheet15"/>
  <dimension ref="A1:Q80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172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78</v>
      </c>
      <c r="C2" s="151"/>
      <c r="E2" s="62" t="s">
        <v>65</v>
      </c>
      <c r="F2" s="59" t="s">
        <v>21</v>
      </c>
      <c r="G2" s="46">
        <v>79</v>
      </c>
      <c r="H2" s="132">
        <f>IF(B$17=0,0,G2/B$17)</f>
        <v>0.34497816593886466</v>
      </c>
      <c r="I2" s="93">
        <v>13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630.76923076923072</v>
      </c>
      <c r="P2" s="118">
        <v>78</v>
      </c>
      <c r="Q2" s="102">
        <v>49200</v>
      </c>
    </row>
    <row r="3" spans="1:17" x14ac:dyDescent="0.4">
      <c r="A3" s="55" t="s">
        <v>8</v>
      </c>
      <c r="B3" s="152">
        <v>666</v>
      </c>
      <c r="C3" s="153"/>
      <c r="E3" s="63" t="s">
        <v>66</v>
      </c>
      <c r="F3" s="60" t="s">
        <v>22</v>
      </c>
      <c r="G3" s="47">
        <v>26</v>
      </c>
      <c r="H3" s="133">
        <f>IF(B$17=0,0,G3/B$17)</f>
        <v>0.11353711790393013</v>
      </c>
      <c r="I3" s="94">
        <v>6</v>
      </c>
      <c r="K3" s="38">
        <v>1</v>
      </c>
      <c r="L3" s="99">
        <v>11.1</v>
      </c>
      <c r="N3" s="115" t="s">
        <v>133</v>
      </c>
      <c r="O3" s="122">
        <f t="shared" si="0"/>
        <v>-897.43589743589746</v>
      </c>
      <c r="P3" s="119">
        <v>78</v>
      </c>
      <c r="Q3" s="103">
        <v>-70000</v>
      </c>
    </row>
    <row r="4" spans="1:17" x14ac:dyDescent="0.4">
      <c r="A4" s="55" t="s">
        <v>6</v>
      </c>
      <c r="B4" s="154">
        <v>-38.600000000000016</v>
      </c>
      <c r="C4" s="155"/>
      <c r="E4" s="63" t="s">
        <v>67</v>
      </c>
      <c r="F4" s="60" t="s">
        <v>23</v>
      </c>
      <c r="G4" s="47">
        <v>151</v>
      </c>
      <c r="H4" s="133">
        <f>IF(B$17=0,0,G4/B$17)</f>
        <v>0.65938864628820959</v>
      </c>
      <c r="I4" s="94">
        <v>10</v>
      </c>
      <c r="K4" s="38">
        <v>2</v>
      </c>
      <c r="L4" s="99">
        <v>-7.7000000000000011</v>
      </c>
      <c r="N4" s="115" t="s">
        <v>134</v>
      </c>
      <c r="O4" s="122">
        <f t="shared" si="0"/>
        <v>-1478.5714285714287</v>
      </c>
      <c r="P4" s="119">
        <v>70</v>
      </c>
      <c r="Q4" s="103">
        <v>-103500</v>
      </c>
    </row>
    <row r="5" spans="1:17" x14ac:dyDescent="0.4">
      <c r="A5" s="55" t="s">
        <v>7</v>
      </c>
      <c r="B5" s="156">
        <f>IF(B$2=0,0,B$4/B$2)</f>
        <v>-0.49487179487179506</v>
      </c>
      <c r="C5" s="157"/>
      <c r="E5" s="63" t="s">
        <v>68</v>
      </c>
      <c r="F5" s="60" t="s">
        <v>24</v>
      </c>
      <c r="G5" s="47">
        <v>40</v>
      </c>
      <c r="H5" s="133">
        <f>IF(B$17=0,0,G5/B$17)</f>
        <v>0.17467248908296942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740.90909090909088</v>
      </c>
      <c r="P5" s="119">
        <v>66</v>
      </c>
      <c r="Q5" s="103">
        <v>48900</v>
      </c>
    </row>
    <row r="6" spans="1:17" x14ac:dyDescent="0.4">
      <c r="A6" s="55" t="s">
        <v>1</v>
      </c>
      <c r="B6" s="146">
        <f>IF(B$2=0,0,(B$7*1+B$8*2+B$9*3)/B$2)</f>
        <v>2.0384615384615383</v>
      </c>
      <c r="C6" s="147"/>
      <c r="E6" s="63" t="s">
        <v>69</v>
      </c>
      <c r="F6" s="60" t="s">
        <v>12</v>
      </c>
      <c r="G6" s="47">
        <v>60</v>
      </c>
      <c r="H6" s="133">
        <f>IF(B$17=0,0,G6/B$17)</f>
        <v>0.26200873362445415</v>
      </c>
      <c r="I6" s="94">
        <v>12</v>
      </c>
      <c r="K6" s="38">
        <v>4</v>
      </c>
      <c r="L6" s="99">
        <v>34.9</v>
      </c>
      <c r="N6" s="115" t="s">
        <v>136</v>
      </c>
      <c r="O6" s="122">
        <f t="shared" si="0"/>
        <v>900</v>
      </c>
      <c r="P6" s="119">
        <v>62</v>
      </c>
      <c r="Q6" s="103">
        <v>55800</v>
      </c>
    </row>
    <row r="7" spans="1:17" x14ac:dyDescent="0.4">
      <c r="A7" s="55" t="s">
        <v>2</v>
      </c>
      <c r="B7" s="47">
        <v>21</v>
      </c>
      <c r="C7" s="39">
        <f>IF(B$2=0,0,B7/B$2)</f>
        <v>0.26923076923076922</v>
      </c>
      <c r="E7" s="63" t="s">
        <v>70</v>
      </c>
      <c r="F7" s="60" t="s">
        <v>25</v>
      </c>
      <c r="G7" s="47">
        <v>33</v>
      </c>
      <c r="H7" s="133">
        <f>IF(B$17=0,0,G7/B$17)</f>
        <v>0.14410480349344978</v>
      </c>
      <c r="I7" s="94">
        <v>10</v>
      </c>
      <c r="K7" s="38">
        <v>5</v>
      </c>
      <c r="L7" s="99">
        <v>29.4</v>
      </c>
      <c r="N7" s="116" t="s">
        <v>137</v>
      </c>
      <c r="O7" s="123">
        <f t="shared" si="0"/>
        <v>-372.22222222222223</v>
      </c>
      <c r="P7" s="120">
        <v>54</v>
      </c>
      <c r="Q7" s="104">
        <v>-20100</v>
      </c>
    </row>
    <row r="8" spans="1:17" x14ac:dyDescent="0.4">
      <c r="A8" s="55" t="s">
        <v>3</v>
      </c>
      <c r="B8" s="47">
        <v>33</v>
      </c>
      <c r="C8" s="39">
        <f>IF(B$2=0,0,B8/B$2)</f>
        <v>0.42307692307692307</v>
      </c>
      <c r="E8" s="63" t="s">
        <v>71</v>
      </c>
      <c r="F8" s="60" t="s">
        <v>26</v>
      </c>
      <c r="G8" s="47">
        <v>15</v>
      </c>
      <c r="H8" s="133">
        <f>IF(B$17=0,0,G8/B$17)</f>
        <v>6.5502183406113537E-2</v>
      </c>
      <c r="I8" s="94">
        <v>9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24</v>
      </c>
      <c r="C9" s="40">
        <f t="shared" ref="C9" si="1">IF(B$2=0,0,B9/B$2)</f>
        <v>0.30769230769230771</v>
      </c>
      <c r="E9" s="63" t="s">
        <v>72</v>
      </c>
      <c r="F9" s="60" t="s">
        <v>27</v>
      </c>
      <c r="G9" s="47">
        <v>19</v>
      </c>
      <c r="H9" s="133">
        <f>IF(B$17=0,0,G9/B$17)</f>
        <v>8.296943231441048E-2</v>
      </c>
      <c r="I9" s="94">
        <v>3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5.128205128205128E-2</v>
      </c>
      <c r="E10" s="63" t="s">
        <v>73</v>
      </c>
      <c r="F10" s="60" t="s">
        <v>28</v>
      </c>
      <c r="G10" s="47">
        <v>133</v>
      </c>
      <c r="H10" s="133">
        <f>IF(B$17=0,0,G10/B$17)</f>
        <v>0.58078602620087338</v>
      </c>
      <c r="I10" s="94">
        <v>4</v>
      </c>
      <c r="K10" s="38">
        <v>8</v>
      </c>
      <c r="L10" s="99">
        <v>-29.5</v>
      </c>
      <c r="N10" s="114" t="s">
        <v>164</v>
      </c>
      <c r="O10" s="124">
        <f>IF(P10=0,0,Q10/P10)</f>
        <v>-7.654545454545457</v>
      </c>
      <c r="P10" s="118">
        <v>22</v>
      </c>
      <c r="Q10" s="106">
        <v>-168.40000000000006</v>
      </c>
    </row>
    <row r="11" spans="1:17" x14ac:dyDescent="0.4">
      <c r="A11" s="56" t="s">
        <v>140</v>
      </c>
      <c r="B11" s="48">
        <v>9</v>
      </c>
      <c r="C11" s="40">
        <f>IF(B$2=0,0,B11/B$2)</f>
        <v>0.11538461538461539</v>
      </c>
      <c r="E11" s="63" t="s">
        <v>74</v>
      </c>
      <c r="F11" s="60" t="s">
        <v>29</v>
      </c>
      <c r="G11" s="47">
        <v>1</v>
      </c>
      <c r="H11" s="133">
        <f>IF(B$17=0,0,G11/B$17)</f>
        <v>4.3668122270742356E-3</v>
      </c>
      <c r="I11" s="94">
        <v>7</v>
      </c>
      <c r="K11" s="38">
        <v>9</v>
      </c>
      <c r="L11" s="99">
        <v>-56.5</v>
      </c>
      <c r="N11" s="115" t="s">
        <v>165</v>
      </c>
      <c r="O11" s="125">
        <f>IF(P11=0,0,Q11/P11)</f>
        <v>5.0640000000000001</v>
      </c>
      <c r="P11" s="119">
        <v>25</v>
      </c>
      <c r="Q11" s="107">
        <v>126.6</v>
      </c>
    </row>
    <row r="12" spans="1:17" x14ac:dyDescent="0.4">
      <c r="A12" s="57" t="s">
        <v>160</v>
      </c>
      <c r="B12" s="49">
        <v>6</v>
      </c>
      <c r="C12" s="42">
        <f>IF(B$2=0,0,B12/B$2)</f>
        <v>7.6923076923076927E-2</v>
      </c>
      <c r="E12" s="63" t="s">
        <v>75</v>
      </c>
      <c r="F12" s="60" t="s">
        <v>30</v>
      </c>
      <c r="G12" s="47">
        <v>1</v>
      </c>
      <c r="H12" s="133">
        <f>IF(B$17=0,0,G12/B$17)</f>
        <v>4.3668122270742356E-3</v>
      </c>
      <c r="I12" s="94">
        <v>4</v>
      </c>
      <c r="K12" s="38">
        <v>10</v>
      </c>
      <c r="L12" s="99">
        <v>24.200000000000003</v>
      </c>
      <c r="N12" s="116" t="s">
        <v>166</v>
      </c>
      <c r="O12" s="126">
        <f>IF(P12=0,0,Q12/P12)</f>
        <v>0.10322580645161285</v>
      </c>
      <c r="P12" s="120">
        <v>31</v>
      </c>
      <c r="Q12" s="108">
        <v>3.1999999999999984</v>
      </c>
    </row>
    <row r="13" spans="1:17" x14ac:dyDescent="0.4">
      <c r="A13" s="58" t="s">
        <v>122</v>
      </c>
      <c r="B13" s="50">
        <v>142</v>
      </c>
      <c r="C13" s="44">
        <f>IF(B$3=0,0,B13/B$3)</f>
        <v>0.21321321321321321</v>
      </c>
      <c r="E13" s="63" t="s">
        <v>76</v>
      </c>
      <c r="F13" s="60" t="s">
        <v>31</v>
      </c>
      <c r="G13" s="47">
        <v>1</v>
      </c>
      <c r="H13" s="133">
        <f>IF(B$17=0,0,G13/B$17)</f>
        <v>4.3668122270742356E-3</v>
      </c>
      <c r="I13" s="94">
        <v>6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194</v>
      </c>
      <c r="C14" s="39">
        <f>IF(B$3=0,0,B14/B$3)</f>
        <v>0.29129129129129128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80</v>
      </c>
      <c r="C15" s="37">
        <f>IF(B$13=0,0,B15/B$13)</f>
        <v>0.56338028169014087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-3</v>
      </c>
      <c r="N15" s="114" t="s">
        <v>129</v>
      </c>
      <c r="O15" s="124">
        <f t="shared" ref="O15:O23" si="2">IF(P15=0,0,Q15/P15)</f>
        <v>32.104761904761894</v>
      </c>
      <c r="P15" s="118">
        <v>21</v>
      </c>
      <c r="Q15" s="106">
        <v>674.19999999999982</v>
      </c>
    </row>
    <row r="16" spans="1:17" x14ac:dyDescent="0.4">
      <c r="A16" s="54" t="s">
        <v>125</v>
      </c>
      <c r="B16" s="46">
        <v>82</v>
      </c>
      <c r="C16" s="37">
        <f>IF(B$14=0,0,B16/B$14)</f>
        <v>0.42268041237113402</v>
      </c>
      <c r="E16" s="63" t="s">
        <v>79</v>
      </c>
      <c r="F16" s="60" t="s">
        <v>34</v>
      </c>
      <c r="G16" s="47">
        <v>3</v>
      </c>
      <c r="H16" s="133">
        <f>IF(B$17=0,0,G16/B$17)</f>
        <v>1.3100436681222707E-2</v>
      </c>
      <c r="I16" s="94">
        <v>10</v>
      </c>
      <c r="K16" s="38">
        <v>14</v>
      </c>
      <c r="L16" s="99">
        <v>-12.3</v>
      </c>
      <c r="N16" s="115" t="s">
        <v>223</v>
      </c>
      <c r="O16" s="125">
        <f t="shared" si="2"/>
        <v>30.3</v>
      </c>
      <c r="P16" s="119">
        <v>1</v>
      </c>
      <c r="Q16" s="107">
        <v>30.3</v>
      </c>
    </row>
    <row r="17" spans="1:17" x14ac:dyDescent="0.4">
      <c r="A17" s="54" t="s">
        <v>10</v>
      </c>
      <c r="B17" s="46">
        <f>B19+B18</f>
        <v>229</v>
      </c>
      <c r="C17" s="37">
        <f>IF(B$3=0,0,B17/B$3)</f>
        <v>0.34384384384384387</v>
      </c>
      <c r="E17" s="63" t="s">
        <v>80</v>
      </c>
      <c r="F17" s="60" t="s">
        <v>35</v>
      </c>
      <c r="G17" s="47">
        <v>3</v>
      </c>
      <c r="H17" s="133">
        <f>IF(B$17=0,0,G17/B$17)</f>
        <v>1.3100436681222707E-2</v>
      </c>
      <c r="I17" s="94">
        <v>7</v>
      </c>
      <c r="K17" s="38">
        <v>15</v>
      </c>
      <c r="L17" s="99">
        <v>-80.3</v>
      </c>
      <c r="N17" s="115" t="s">
        <v>184</v>
      </c>
      <c r="O17" s="125">
        <f t="shared" si="2"/>
        <v>17.349999999999998</v>
      </c>
      <c r="P17" s="119">
        <v>2</v>
      </c>
      <c r="Q17" s="107">
        <v>34.699999999999996</v>
      </c>
    </row>
    <row r="18" spans="1:17" x14ac:dyDescent="0.4">
      <c r="A18" s="55" t="s">
        <v>12</v>
      </c>
      <c r="B18" s="47">
        <v>97</v>
      </c>
      <c r="C18" s="39">
        <f>IF(B$17=0,0,B18/B$17)</f>
        <v>0.42358078602620086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-87.6</v>
      </c>
      <c r="N18" s="115" t="s">
        <v>173</v>
      </c>
      <c r="O18" s="125">
        <f t="shared" si="2"/>
        <v>6.6333333333333302</v>
      </c>
      <c r="P18" s="119">
        <v>12</v>
      </c>
      <c r="Q18" s="107">
        <v>79.599999999999966</v>
      </c>
    </row>
    <row r="19" spans="1:17" x14ac:dyDescent="0.4">
      <c r="A19" s="55" t="s">
        <v>11</v>
      </c>
      <c r="B19" s="47">
        <v>132</v>
      </c>
      <c r="C19" s="39">
        <f>IF(B$17=0,0,B19/B$17)</f>
        <v>0.57641921397379914</v>
      </c>
      <c r="E19" s="63" t="s">
        <v>82</v>
      </c>
      <c r="F19" s="60" t="s">
        <v>37</v>
      </c>
      <c r="G19" s="47">
        <v>8</v>
      </c>
      <c r="H19" s="133">
        <f>IF(B$17=0,0,G19/B$17)</f>
        <v>3.4934497816593885E-2</v>
      </c>
      <c r="I19" s="94">
        <v>3</v>
      </c>
      <c r="K19" s="38">
        <v>17</v>
      </c>
      <c r="L19" s="99">
        <v>-55.099999999999994</v>
      </c>
      <c r="N19" s="115" t="s">
        <v>128</v>
      </c>
      <c r="O19" s="125">
        <f t="shared" si="2"/>
        <v>4.3735294117647054</v>
      </c>
      <c r="P19" s="119">
        <v>34</v>
      </c>
      <c r="Q19" s="107">
        <v>148.69999999999999</v>
      </c>
    </row>
    <row r="20" spans="1:17" x14ac:dyDescent="0.4">
      <c r="A20" s="55" t="s">
        <v>13</v>
      </c>
      <c r="B20" s="47">
        <v>92</v>
      </c>
      <c r="C20" s="39">
        <f>IF(B$3=0,0,B20/B$3)</f>
        <v>0.13813813813813813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-28.199999999999996</v>
      </c>
      <c r="N20" s="115" t="s">
        <v>200</v>
      </c>
      <c r="O20" s="125">
        <f t="shared" si="2"/>
        <v>-2.7400000000000033</v>
      </c>
      <c r="P20" s="119">
        <v>5</v>
      </c>
      <c r="Q20" s="107">
        <v>-13.700000000000017</v>
      </c>
    </row>
    <row r="21" spans="1:17" x14ac:dyDescent="0.4">
      <c r="A21" s="55" t="s">
        <v>191</v>
      </c>
      <c r="B21" s="47">
        <v>10</v>
      </c>
      <c r="C21" s="135">
        <v>0</v>
      </c>
      <c r="E21" s="63" t="s">
        <v>84</v>
      </c>
      <c r="F21" s="60" t="s">
        <v>39</v>
      </c>
      <c r="G21" s="47">
        <v>15</v>
      </c>
      <c r="H21" s="133">
        <f>IF(B$17=0,0,G21/B$17)</f>
        <v>6.5502183406113537E-2</v>
      </c>
      <c r="I21" s="94">
        <v>3</v>
      </c>
      <c r="K21" s="38">
        <v>19</v>
      </c>
      <c r="L21" s="99">
        <v>29.200000000000003</v>
      </c>
      <c r="N21" s="115" t="s">
        <v>177</v>
      </c>
      <c r="O21" s="125">
        <f t="shared" si="2"/>
        <v>-3.7111111111111117</v>
      </c>
      <c r="P21" s="119">
        <v>18</v>
      </c>
      <c r="Q21" s="107">
        <v>-66.800000000000011</v>
      </c>
    </row>
    <row r="22" spans="1:17" x14ac:dyDescent="0.4">
      <c r="A22" s="55" t="s">
        <v>192</v>
      </c>
      <c r="B22" s="47">
        <v>23</v>
      </c>
      <c r="C22" s="135">
        <v>9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43</v>
      </c>
      <c r="N22" s="115" t="s">
        <v>171</v>
      </c>
      <c r="O22" s="125">
        <f t="shared" si="2"/>
        <v>-4.6450000000000005</v>
      </c>
      <c r="P22" s="119">
        <v>20</v>
      </c>
      <c r="Q22" s="107">
        <v>-92.9</v>
      </c>
    </row>
    <row r="23" spans="1:17" x14ac:dyDescent="0.4">
      <c r="A23" s="55" t="s">
        <v>5</v>
      </c>
      <c r="B23" s="51">
        <f>IF(B$17=0,0,C23/B$17)</f>
        <v>6775.1091703056773</v>
      </c>
      <c r="C23" s="41">
        <v>1551500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89.9</v>
      </c>
      <c r="N23" s="115" t="s">
        <v>127</v>
      </c>
      <c r="O23" s="125">
        <f t="shared" si="2"/>
        <v>-21.160465116279067</v>
      </c>
      <c r="P23" s="119">
        <v>43</v>
      </c>
      <c r="Q23" s="107">
        <v>-909.89999999999986</v>
      </c>
    </row>
    <row r="24" spans="1:17" x14ac:dyDescent="0.4">
      <c r="A24" s="57" t="s">
        <v>14</v>
      </c>
      <c r="B24" s="52">
        <f>IF(B$20=0,0,C24/B$20)</f>
        <v>-8579.347826086956</v>
      </c>
      <c r="C24" s="45">
        <v>-789300</v>
      </c>
      <c r="E24" s="63" t="s">
        <v>87</v>
      </c>
      <c r="F24" s="60" t="s">
        <v>42</v>
      </c>
      <c r="G24" s="47">
        <v>8</v>
      </c>
      <c r="H24" s="133">
        <f>IF(B$17=0,0,G24/B$17)</f>
        <v>3.4934497816593885E-2</v>
      </c>
      <c r="I24" s="94">
        <v>9</v>
      </c>
      <c r="K24" s="38">
        <v>22</v>
      </c>
      <c r="L24" s="99">
        <v>54.7</v>
      </c>
    </row>
    <row r="25" spans="1:17" x14ac:dyDescent="0.4">
      <c r="A25" s="90" t="s">
        <v>142</v>
      </c>
      <c r="B25" s="144">
        <v>7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4.3668122270742356E-3</v>
      </c>
      <c r="I25" s="94">
        <v>4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42">
        <v>97500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1.5015015015015015E-3</v>
      </c>
      <c r="E27" s="63" t="s">
        <v>90</v>
      </c>
      <c r="F27" s="60" t="s">
        <v>45</v>
      </c>
      <c r="G27" s="47">
        <v>18</v>
      </c>
      <c r="H27" s="133">
        <f>IF(B$17=0,0,G27/B$17)</f>
        <v>7.8602620087336247E-2</v>
      </c>
      <c r="I27" s="94">
        <v>12</v>
      </c>
      <c r="K27" s="38">
        <v>25</v>
      </c>
      <c r="L27" s="99">
        <v>30.400000000000006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>IF(B$17=0,0,G28/B$17)</f>
        <v>4.3668122270742356E-3</v>
      </c>
      <c r="I28" s="94">
        <v>3</v>
      </c>
      <c r="K28" s="38">
        <v>26</v>
      </c>
      <c r="L28" s="99">
        <v>32.900000000000006</v>
      </c>
    </row>
    <row r="29" spans="1:17" x14ac:dyDescent="0.4">
      <c r="E29" s="63" t="s">
        <v>92</v>
      </c>
      <c r="F29" s="60" t="s">
        <v>47</v>
      </c>
      <c r="G29" s="47">
        <v>4</v>
      </c>
      <c r="H29" s="133">
        <f>IF(B$17=0,0,G29/B$17)</f>
        <v>1.7467248908296942E-2</v>
      </c>
      <c r="I29" s="94">
        <v>6</v>
      </c>
      <c r="K29" s="38">
        <v>27</v>
      </c>
      <c r="L29" s="99">
        <v>40.400000000000006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  <c r="K30" s="38">
        <v>28</v>
      </c>
      <c r="L30" s="99">
        <v>8.3000000000000043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90.800000000000011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63.300000000000011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114.4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76.900000000000006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42.500000000000007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30.000000000000007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32.100000000000009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  <c r="K50" s="38">
        <v>48</v>
      </c>
      <c r="L50" s="99">
        <v>111.4</v>
      </c>
    </row>
    <row r="51" spans="5:12" x14ac:dyDescent="0.4">
      <c r="E51" s="138" t="s">
        <v>245</v>
      </c>
      <c r="F51" s="139" t="s">
        <v>246</v>
      </c>
      <c r="G51" s="48">
        <v>99</v>
      </c>
      <c r="H51" s="140">
        <f>IF(B$17=0,0,G51/B$17)</f>
        <v>0.43231441048034935</v>
      </c>
      <c r="I51" s="141">
        <v>3</v>
      </c>
      <c r="K51" s="38">
        <v>49</v>
      </c>
      <c r="L51" s="99">
        <v>113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  <row r="58" spans="5:12" x14ac:dyDescent="0.4">
      <c r="K58" s="38">
        <v>56</v>
      </c>
      <c r="L58" s="99">
        <v>-8.0000000000000142</v>
      </c>
    </row>
    <row r="59" spans="5:12" x14ac:dyDescent="0.4">
      <c r="K59" s="38">
        <v>57</v>
      </c>
      <c r="L59" s="99">
        <v>-6.0000000000000142</v>
      </c>
    </row>
    <row r="60" spans="5:12" x14ac:dyDescent="0.4">
      <c r="K60" s="38">
        <v>58</v>
      </c>
      <c r="L60" s="99">
        <v>-0.40000000000001457</v>
      </c>
    </row>
    <row r="61" spans="5:12" x14ac:dyDescent="0.4">
      <c r="K61" s="38">
        <v>59</v>
      </c>
      <c r="L61" s="99">
        <v>21.999999999999986</v>
      </c>
    </row>
    <row r="62" spans="5:12" x14ac:dyDescent="0.4">
      <c r="K62" s="38">
        <v>60</v>
      </c>
      <c r="L62" s="99">
        <v>66.999999999999986</v>
      </c>
    </row>
    <row r="63" spans="5:12" x14ac:dyDescent="0.4">
      <c r="K63" s="38">
        <v>61</v>
      </c>
      <c r="L63" s="99">
        <v>39.799999999999983</v>
      </c>
    </row>
    <row r="64" spans="5:12" x14ac:dyDescent="0.4">
      <c r="K64" s="38">
        <v>62</v>
      </c>
      <c r="L64" s="99">
        <v>7.9999999999999822</v>
      </c>
    </row>
    <row r="65" spans="11:12" x14ac:dyDescent="0.4">
      <c r="K65" s="38">
        <v>63</v>
      </c>
      <c r="L65" s="99">
        <v>45.09999999999998</v>
      </c>
    </row>
    <row r="66" spans="11:12" x14ac:dyDescent="0.4">
      <c r="K66" s="38">
        <v>64</v>
      </c>
      <c r="L66" s="99">
        <v>45.899999999999977</v>
      </c>
    </row>
    <row r="67" spans="11:12" x14ac:dyDescent="0.4">
      <c r="K67" s="38">
        <v>65</v>
      </c>
      <c r="L67" s="99">
        <v>38.199999999999974</v>
      </c>
    </row>
    <row r="68" spans="11:12" x14ac:dyDescent="0.4">
      <c r="K68" s="38">
        <v>66</v>
      </c>
      <c r="L68" s="99">
        <v>-5.400000000000027</v>
      </c>
    </row>
    <row r="69" spans="11:12" x14ac:dyDescent="0.4">
      <c r="K69" s="38">
        <v>67</v>
      </c>
      <c r="L69" s="99">
        <v>1.8999999999999728</v>
      </c>
    </row>
    <row r="70" spans="11:12" x14ac:dyDescent="0.4">
      <c r="K70" s="38">
        <v>68</v>
      </c>
      <c r="L70" s="99">
        <v>-39.500000000000028</v>
      </c>
    </row>
    <row r="71" spans="11:12" x14ac:dyDescent="0.4">
      <c r="K71" s="38">
        <v>69</v>
      </c>
      <c r="L71" s="99">
        <v>-7.6000000000000298</v>
      </c>
    </row>
    <row r="72" spans="11:12" x14ac:dyDescent="0.4">
      <c r="K72" s="38">
        <v>70</v>
      </c>
      <c r="L72" s="99">
        <v>-32.000000000000028</v>
      </c>
    </row>
    <row r="73" spans="11:12" x14ac:dyDescent="0.4">
      <c r="K73" s="38">
        <v>71</v>
      </c>
      <c r="L73" s="99">
        <v>-76.600000000000023</v>
      </c>
    </row>
    <row r="74" spans="11:12" x14ac:dyDescent="0.4">
      <c r="K74" s="38">
        <v>72</v>
      </c>
      <c r="L74" s="99">
        <v>-68.40000000000002</v>
      </c>
    </row>
    <row r="75" spans="11:12" x14ac:dyDescent="0.4">
      <c r="K75" s="38">
        <v>73</v>
      </c>
      <c r="L75" s="99">
        <v>-129.30000000000001</v>
      </c>
    </row>
    <row r="76" spans="11:12" x14ac:dyDescent="0.4">
      <c r="K76" s="38">
        <v>74</v>
      </c>
      <c r="L76" s="99">
        <v>-61.500000000000014</v>
      </c>
    </row>
    <row r="77" spans="11:12" x14ac:dyDescent="0.4">
      <c r="K77" s="38">
        <v>75</v>
      </c>
      <c r="L77" s="99">
        <v>-76.40000000000002</v>
      </c>
    </row>
    <row r="78" spans="11:12" x14ac:dyDescent="0.4">
      <c r="K78" s="38">
        <v>76</v>
      </c>
      <c r="L78" s="99">
        <v>-36.300000000000018</v>
      </c>
    </row>
    <row r="79" spans="11:12" x14ac:dyDescent="0.4">
      <c r="K79" s="38">
        <v>77</v>
      </c>
      <c r="L79" s="99">
        <v>-37.300000000000018</v>
      </c>
    </row>
    <row r="80" spans="11:12" x14ac:dyDescent="0.4">
      <c r="K80" s="38">
        <v>78</v>
      </c>
      <c r="L80" s="99">
        <v>-38.600000000000016</v>
      </c>
    </row>
  </sheetData>
  <sortState ref="E2:I80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4B795-E045-4075-9EFD-3EE7D2F6A0D5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173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46</v>
      </c>
      <c r="C2" s="151"/>
      <c r="E2" s="62" t="s">
        <v>65</v>
      </c>
      <c r="F2" s="59" t="s">
        <v>21</v>
      </c>
      <c r="G2" s="46">
        <v>50</v>
      </c>
      <c r="H2" s="132">
        <f>IF(B$17=0,0,G2/B$17)</f>
        <v>0.43103448275862066</v>
      </c>
      <c r="I2" s="93">
        <v>12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-2791.304347826087</v>
      </c>
      <c r="P2" s="118">
        <v>46</v>
      </c>
      <c r="Q2" s="102">
        <v>-128400</v>
      </c>
    </row>
    <row r="3" spans="1:17" x14ac:dyDescent="0.4">
      <c r="A3" s="55" t="s">
        <v>8</v>
      </c>
      <c r="B3" s="152">
        <v>395</v>
      </c>
      <c r="C3" s="153"/>
      <c r="E3" s="63" t="s">
        <v>66</v>
      </c>
      <c r="F3" s="60" t="s">
        <v>22</v>
      </c>
      <c r="G3" s="47">
        <v>9</v>
      </c>
      <c r="H3" s="133">
        <f>IF(B$17=0,0,G3/B$17)</f>
        <v>7.7586206896551727E-2</v>
      </c>
      <c r="I3" s="94">
        <v>8</v>
      </c>
      <c r="K3" s="38">
        <v>1</v>
      </c>
      <c r="L3" s="99">
        <v>-82.6</v>
      </c>
      <c r="N3" s="115" t="s">
        <v>133</v>
      </c>
      <c r="O3" s="122">
        <f t="shared" si="0"/>
        <v>2121.7391304347825</v>
      </c>
      <c r="P3" s="119">
        <v>46</v>
      </c>
      <c r="Q3" s="103">
        <v>97600</v>
      </c>
    </row>
    <row r="4" spans="1:17" x14ac:dyDescent="0.4">
      <c r="A4" s="55" t="s">
        <v>6</v>
      </c>
      <c r="B4" s="154">
        <v>-377.4</v>
      </c>
      <c r="C4" s="155"/>
      <c r="E4" s="63" t="s">
        <v>67</v>
      </c>
      <c r="F4" s="60" t="s">
        <v>23</v>
      </c>
      <c r="G4" s="47">
        <v>78</v>
      </c>
      <c r="H4" s="133">
        <f>IF(B$17=0,0,G4/B$17)</f>
        <v>0.67241379310344829</v>
      </c>
      <c r="I4" s="94">
        <v>9</v>
      </c>
      <c r="K4" s="38">
        <v>2</v>
      </c>
      <c r="L4" s="99">
        <v>-122.3</v>
      </c>
      <c r="N4" s="115" t="s">
        <v>134</v>
      </c>
      <c r="O4" s="122">
        <f t="shared" si="0"/>
        <v>-865.11627906976742</v>
      </c>
      <c r="P4" s="119">
        <v>43</v>
      </c>
      <c r="Q4" s="103">
        <v>-37200</v>
      </c>
    </row>
    <row r="5" spans="1:17" x14ac:dyDescent="0.4">
      <c r="A5" s="55" t="s">
        <v>7</v>
      </c>
      <c r="B5" s="156">
        <f>IF(B$2=0,0,B$4/B$2)</f>
        <v>-8.2043478260869556</v>
      </c>
      <c r="C5" s="157"/>
      <c r="E5" s="63" t="s">
        <v>68</v>
      </c>
      <c r="F5" s="60" t="s">
        <v>24</v>
      </c>
      <c r="G5" s="47">
        <v>28</v>
      </c>
      <c r="H5" s="133">
        <f>IF(B$17=0,0,G5/B$17)</f>
        <v>0.2413793103448276</v>
      </c>
      <c r="I5" s="94">
        <v>12</v>
      </c>
      <c r="K5" s="38">
        <v>3</v>
      </c>
      <c r="L5" s="99">
        <v>-149</v>
      </c>
      <c r="N5" s="115" t="s">
        <v>135</v>
      </c>
      <c r="O5" s="122">
        <f t="shared" si="0"/>
        <v>-3805</v>
      </c>
      <c r="P5" s="119">
        <v>40</v>
      </c>
      <c r="Q5" s="103">
        <v>-152200</v>
      </c>
    </row>
    <row r="6" spans="1:17" x14ac:dyDescent="0.4">
      <c r="A6" s="55" t="s">
        <v>1</v>
      </c>
      <c r="B6" s="146">
        <f>IF(B$2=0,0,(B$7*1+B$8*2+B$9*3)/B$2)</f>
        <v>2.1086956521739131</v>
      </c>
      <c r="C6" s="147"/>
      <c r="E6" s="63" t="s">
        <v>69</v>
      </c>
      <c r="F6" s="60" t="s">
        <v>12</v>
      </c>
      <c r="G6" s="47">
        <v>45</v>
      </c>
      <c r="H6" s="133">
        <f>IF(B$17=0,0,G6/B$17)</f>
        <v>0.38793103448275862</v>
      </c>
      <c r="I6" s="94">
        <v>3</v>
      </c>
      <c r="K6" s="38">
        <v>4</v>
      </c>
      <c r="L6" s="99">
        <v>-150.6</v>
      </c>
      <c r="N6" s="115" t="s">
        <v>136</v>
      </c>
      <c r="O6" s="122">
        <f t="shared" si="0"/>
        <v>-205.55555555555554</v>
      </c>
      <c r="P6" s="119">
        <v>36</v>
      </c>
      <c r="Q6" s="103">
        <v>-7400</v>
      </c>
    </row>
    <row r="7" spans="1:17" x14ac:dyDescent="0.4">
      <c r="A7" s="55" t="s">
        <v>2</v>
      </c>
      <c r="B7" s="47">
        <v>13</v>
      </c>
      <c r="C7" s="39">
        <f>IF(B$2=0,0,B7/B$2)</f>
        <v>0.28260869565217389</v>
      </c>
      <c r="E7" s="63" t="s">
        <v>70</v>
      </c>
      <c r="F7" s="60" t="s">
        <v>25</v>
      </c>
      <c r="G7" s="47">
        <v>13</v>
      </c>
      <c r="H7" s="133">
        <f>IF(B$17=0,0,G7/B$17)</f>
        <v>0.11206896551724138</v>
      </c>
      <c r="I7" s="94">
        <v>11</v>
      </c>
      <c r="K7" s="38">
        <v>5</v>
      </c>
      <c r="L7" s="99">
        <v>-184.89999999999998</v>
      </c>
      <c r="N7" s="116" t="s">
        <v>137</v>
      </c>
      <c r="O7" s="123">
        <f t="shared" si="0"/>
        <v>520</v>
      </c>
      <c r="P7" s="120">
        <v>35</v>
      </c>
      <c r="Q7" s="104">
        <v>18200</v>
      </c>
    </row>
    <row r="8" spans="1:17" x14ac:dyDescent="0.4">
      <c r="A8" s="55" t="s">
        <v>3</v>
      </c>
      <c r="B8" s="47">
        <v>15</v>
      </c>
      <c r="C8" s="39">
        <f>IF(B$2=0,0,B8/B$2)</f>
        <v>0.32608695652173914</v>
      </c>
      <c r="E8" s="63" t="s">
        <v>71</v>
      </c>
      <c r="F8" s="60" t="s">
        <v>26</v>
      </c>
      <c r="G8" s="47">
        <v>14</v>
      </c>
      <c r="H8" s="133">
        <f>IF(B$17=0,0,G8/B$17)</f>
        <v>0.1206896551724138</v>
      </c>
      <c r="I8" s="94">
        <v>4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18</v>
      </c>
      <c r="C9" s="40">
        <f t="shared" ref="C9" si="1">IF(B$2=0,0,B9/B$2)</f>
        <v>0.39130434782608697</v>
      </c>
      <c r="E9" s="63" t="s">
        <v>72</v>
      </c>
      <c r="F9" s="60" t="s">
        <v>27</v>
      </c>
      <c r="G9" s="47">
        <v>6</v>
      </c>
      <c r="H9" s="133">
        <f>IF(B$17=0,0,G9/B$17)</f>
        <v>5.1724137931034482E-2</v>
      </c>
      <c r="I9" s="94">
        <v>10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6</v>
      </c>
      <c r="C10" s="40">
        <f>IF(B$2=0,0,B10/B$2)</f>
        <v>0.13043478260869565</v>
      </c>
      <c r="E10" s="63" t="s">
        <v>73</v>
      </c>
      <c r="F10" s="60" t="s">
        <v>28</v>
      </c>
      <c r="G10" s="47">
        <v>61</v>
      </c>
      <c r="H10" s="133">
        <f>IF(B$17=0,0,G10/B$17)</f>
        <v>0.52586206896551724</v>
      </c>
      <c r="I10" s="94">
        <v>7</v>
      </c>
      <c r="K10" s="38">
        <v>8</v>
      </c>
      <c r="L10" s="99">
        <v>-219.59999999999997</v>
      </c>
      <c r="N10" s="114" t="s">
        <v>164</v>
      </c>
      <c r="O10" s="124">
        <f>IF(P10=0,0,Q10/P10)</f>
        <v>-10.408333333333333</v>
      </c>
      <c r="P10" s="118">
        <v>12</v>
      </c>
      <c r="Q10" s="106">
        <v>-124.9</v>
      </c>
    </row>
    <row r="11" spans="1:17" x14ac:dyDescent="0.4">
      <c r="A11" s="56" t="s">
        <v>140</v>
      </c>
      <c r="B11" s="48">
        <v>3</v>
      </c>
      <c r="C11" s="40">
        <f>IF(B$2=0,0,B11/B$2)</f>
        <v>6.5217391304347824E-2</v>
      </c>
      <c r="E11" s="63" t="s">
        <v>74</v>
      </c>
      <c r="F11" s="60" t="s">
        <v>29</v>
      </c>
      <c r="G11" s="47">
        <v>2</v>
      </c>
      <c r="H11" s="133">
        <f>IF(B$17=0,0,G11/B$17)</f>
        <v>1.7241379310344827E-2</v>
      </c>
      <c r="I11" s="94">
        <v>2</v>
      </c>
      <c r="K11" s="38">
        <v>9</v>
      </c>
      <c r="L11" s="99">
        <v>-260.59999999999997</v>
      </c>
      <c r="N11" s="115" t="s">
        <v>165</v>
      </c>
      <c r="O11" s="125">
        <f>IF(P11=0,0,Q11/P11)</f>
        <v>-4.9333333333333327</v>
      </c>
      <c r="P11" s="119">
        <v>21</v>
      </c>
      <c r="Q11" s="107">
        <v>-103.6</v>
      </c>
    </row>
    <row r="12" spans="1:17" x14ac:dyDescent="0.4">
      <c r="A12" s="57" t="s">
        <v>160</v>
      </c>
      <c r="B12" s="49">
        <v>2</v>
      </c>
      <c r="C12" s="42">
        <f>IF(B$2=0,0,B12/B$2)</f>
        <v>4.3478260869565216E-2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K12" s="38">
        <v>10</v>
      </c>
      <c r="L12" s="99">
        <v>-318.39999999999998</v>
      </c>
      <c r="N12" s="116" t="s">
        <v>166</v>
      </c>
      <c r="O12" s="126">
        <f>IF(P12=0,0,Q12/P12)</f>
        <v>-11.453846153846152</v>
      </c>
      <c r="P12" s="120">
        <v>13</v>
      </c>
      <c r="Q12" s="108">
        <v>-148.89999999999998</v>
      </c>
    </row>
    <row r="13" spans="1:17" x14ac:dyDescent="0.4">
      <c r="A13" s="58" t="s">
        <v>122</v>
      </c>
      <c r="B13" s="50">
        <v>89</v>
      </c>
      <c r="C13" s="44">
        <f>IF(B$3=0,0,B13/B$3)</f>
        <v>0.22531645569620254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101</v>
      </c>
      <c r="C14" s="39">
        <f>IF(B$3=0,0,B14/B$3)</f>
        <v>0.25569620253164554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52</v>
      </c>
      <c r="C15" s="37">
        <f>IF(B$13=0,0,B15/B$13)</f>
        <v>0.5842696629213483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-302.59999999999997</v>
      </c>
      <c r="N15" s="114" t="s">
        <v>129</v>
      </c>
      <c r="O15" s="124">
        <f t="shared" ref="O15:O23" si="2">IF(P15=0,0,Q15/P15)</f>
        <v>21.862500000000001</v>
      </c>
      <c r="P15" s="118">
        <v>8</v>
      </c>
      <c r="Q15" s="106">
        <v>174.9</v>
      </c>
    </row>
    <row r="16" spans="1:17" x14ac:dyDescent="0.4">
      <c r="A16" s="54" t="s">
        <v>125</v>
      </c>
      <c r="B16" s="46">
        <v>33</v>
      </c>
      <c r="C16" s="37">
        <f>IF(B$14=0,0,B16/B$14)</f>
        <v>0.32673267326732675</v>
      </c>
      <c r="E16" s="63" t="s">
        <v>79</v>
      </c>
      <c r="F16" s="60" t="s">
        <v>34</v>
      </c>
      <c r="G16" s="47">
        <v>2</v>
      </c>
      <c r="H16" s="133">
        <f>IF(B$17=0,0,G16/B$17)</f>
        <v>1.7241379310344827E-2</v>
      </c>
      <c r="I16" s="94">
        <v>9</v>
      </c>
      <c r="K16" s="38">
        <v>14</v>
      </c>
      <c r="L16" s="99">
        <v>-269.99999999999994</v>
      </c>
      <c r="N16" s="115" t="s">
        <v>128</v>
      </c>
      <c r="O16" s="125">
        <f t="shared" si="2"/>
        <v>-5.6727272727272711</v>
      </c>
      <c r="P16" s="119">
        <v>22</v>
      </c>
      <c r="Q16" s="107">
        <v>-124.79999999999997</v>
      </c>
    </row>
    <row r="17" spans="1:17" x14ac:dyDescent="0.4">
      <c r="A17" s="54" t="s">
        <v>10</v>
      </c>
      <c r="B17" s="46">
        <f>B19+B18</f>
        <v>116</v>
      </c>
      <c r="C17" s="37">
        <f>IF(B$3=0,0,B17/B$3)</f>
        <v>0.29367088607594938</v>
      </c>
      <c r="E17" s="63" t="s">
        <v>80</v>
      </c>
      <c r="F17" s="60" t="s">
        <v>35</v>
      </c>
      <c r="G17" s="47">
        <v>2</v>
      </c>
      <c r="H17" s="133">
        <f>IF(B$17=0,0,G17/B$17)</f>
        <v>1.7241379310344827E-2</v>
      </c>
      <c r="I17" s="94">
        <v>4</v>
      </c>
      <c r="K17" s="38">
        <v>15</v>
      </c>
      <c r="L17" s="99">
        <v>-264.59999999999997</v>
      </c>
      <c r="N17" s="115" t="s">
        <v>172</v>
      </c>
      <c r="O17" s="125">
        <f t="shared" si="2"/>
        <v>-6.633333333333332</v>
      </c>
      <c r="P17" s="119">
        <v>12</v>
      </c>
      <c r="Q17" s="107">
        <v>-79.59999999999998</v>
      </c>
    </row>
    <row r="18" spans="1:17" x14ac:dyDescent="0.4">
      <c r="A18" s="55" t="s">
        <v>12</v>
      </c>
      <c r="B18" s="47">
        <v>59</v>
      </c>
      <c r="C18" s="39">
        <f>IF(B$17=0,0,B18/B$17)</f>
        <v>0.50862068965517238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-292.79999999999995</v>
      </c>
      <c r="N18" s="115" t="s">
        <v>171</v>
      </c>
      <c r="O18" s="125">
        <f t="shared" si="2"/>
        <v>-11.647058823529409</v>
      </c>
      <c r="P18" s="119">
        <v>17</v>
      </c>
      <c r="Q18" s="107">
        <v>-197.99999999999997</v>
      </c>
    </row>
    <row r="19" spans="1:17" x14ac:dyDescent="0.4">
      <c r="A19" s="55" t="s">
        <v>11</v>
      </c>
      <c r="B19" s="47">
        <v>57</v>
      </c>
      <c r="C19" s="39">
        <f>IF(B$17=0,0,B19/B$17)</f>
        <v>0.49137931034482757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K19" s="38">
        <v>17</v>
      </c>
      <c r="L19" s="99">
        <v>-248.89999999999995</v>
      </c>
      <c r="N19" s="115" t="s">
        <v>127</v>
      </c>
      <c r="O19" s="125">
        <f t="shared" si="2"/>
        <v>-21.768181818181816</v>
      </c>
      <c r="P19" s="119">
        <v>22</v>
      </c>
      <c r="Q19" s="107">
        <v>-478.9</v>
      </c>
    </row>
    <row r="20" spans="1:17" x14ac:dyDescent="0.4">
      <c r="A20" s="55" t="s">
        <v>13</v>
      </c>
      <c r="B20" s="47">
        <v>75</v>
      </c>
      <c r="C20" s="39">
        <f>IF(B$3=0,0,B20/B$3)</f>
        <v>0.189873417721519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-218.99999999999994</v>
      </c>
      <c r="N20" s="115" t="s">
        <v>177</v>
      </c>
      <c r="O20" s="125">
        <f t="shared" si="2"/>
        <v>-22.274999999999999</v>
      </c>
      <c r="P20" s="119">
        <v>8</v>
      </c>
      <c r="Q20" s="107">
        <v>-178.2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84</v>
      </c>
      <c r="F21" s="60" t="s">
        <v>39</v>
      </c>
      <c r="G21" s="47">
        <v>2</v>
      </c>
      <c r="H21" s="133">
        <f>IF(B$17=0,0,G21/B$17)</f>
        <v>1.7241379310344827E-2</v>
      </c>
      <c r="I21" s="94">
        <v>11</v>
      </c>
      <c r="K21" s="38">
        <v>19</v>
      </c>
      <c r="L21" s="99">
        <v>-188.59999999999994</v>
      </c>
      <c r="N21" s="115" t="s">
        <v>200</v>
      </c>
      <c r="O21" s="125">
        <f t="shared" si="2"/>
        <v>-43.1</v>
      </c>
      <c r="P21" s="119">
        <v>1</v>
      </c>
      <c r="Q21" s="107">
        <v>-43.1</v>
      </c>
    </row>
    <row r="22" spans="1:17" x14ac:dyDescent="0.4">
      <c r="A22" s="55" t="s">
        <v>192</v>
      </c>
      <c r="B22" s="47">
        <v>24</v>
      </c>
      <c r="C22" s="135">
        <v>0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-182.79999999999993</v>
      </c>
      <c r="N22" s="115" t="s">
        <v>183</v>
      </c>
      <c r="O22" s="125">
        <f t="shared" si="2"/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6945.6896551724139</v>
      </c>
      <c r="C23" s="41">
        <v>805700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-203.79999999999993</v>
      </c>
      <c r="N23" s="115" t="s">
        <v>184</v>
      </c>
      <c r="O23" s="125">
        <f t="shared" si="2"/>
        <v>-159</v>
      </c>
      <c r="P23" s="119">
        <v>1</v>
      </c>
      <c r="Q23" s="107">
        <v>-159</v>
      </c>
    </row>
    <row r="24" spans="1:17" x14ac:dyDescent="0.4">
      <c r="A24" s="57" t="s">
        <v>14</v>
      </c>
      <c r="B24" s="52">
        <f>IF(B$20=0,0,C24/B$20)</f>
        <v>-8300</v>
      </c>
      <c r="C24" s="45">
        <v>-622500</v>
      </c>
      <c r="E24" s="63" t="s">
        <v>87</v>
      </c>
      <c r="F24" s="60" t="s">
        <v>42</v>
      </c>
      <c r="G24" s="47">
        <v>4</v>
      </c>
      <c r="H24" s="133">
        <f>IF(B$17=0,0,G24/B$17)</f>
        <v>3.4482758620689655E-2</v>
      </c>
      <c r="I24" s="94">
        <v>10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4">
        <v>6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8.6206896551724137E-3</v>
      </c>
      <c r="I25" s="94">
        <v>2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42">
        <v>85900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5.0632911392405064E-3</v>
      </c>
      <c r="E27" s="63" t="s">
        <v>90</v>
      </c>
      <c r="F27" s="60" t="s">
        <v>45</v>
      </c>
      <c r="G27" s="47">
        <v>14</v>
      </c>
      <c r="H27" s="133">
        <f>IF(B$17=0,0,G27/B$17)</f>
        <v>0.1206896551724138</v>
      </c>
      <c r="I27" s="94">
        <v>7</v>
      </c>
      <c r="K27" s="38">
        <v>25</v>
      </c>
      <c r="L27" s="99">
        <v>-344.29999999999995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-285.09999999999997</v>
      </c>
    </row>
    <row r="29" spans="1:17" x14ac:dyDescent="0.4">
      <c r="E29" s="63" t="s">
        <v>92</v>
      </c>
      <c r="F29" s="60" t="s">
        <v>47</v>
      </c>
      <c r="G29" s="47">
        <v>2</v>
      </c>
      <c r="H29" s="133">
        <f>IF(B$17=0,0,G29/B$17)</f>
        <v>1.7241379310344827E-2</v>
      </c>
      <c r="I29" s="94">
        <v>7</v>
      </c>
      <c r="K29" s="38">
        <v>27</v>
      </c>
      <c r="L29" s="99">
        <v>-257.39999999999998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  <c r="K30" s="38">
        <v>28</v>
      </c>
      <c r="L30" s="99">
        <v>-248.2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-177.29999999999998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-202.79999999999998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-226.29999999999998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-194.1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-234.4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-223.9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-279.89999999999998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-303.59999999999997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-338.7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-289.7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-262.59999999999997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-295.39999999999998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-377.4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2</v>
      </c>
      <c r="H50" s="133">
        <f>IF(B$17=0,0,G50/B$17)</f>
        <v>1.7241379310344827E-2</v>
      </c>
      <c r="I50" s="94">
        <v>4</v>
      </c>
    </row>
    <row r="51" spans="5:9" x14ac:dyDescent="0.4">
      <c r="E51" s="138" t="s">
        <v>245</v>
      </c>
      <c r="F51" s="139" t="s">
        <v>246</v>
      </c>
      <c r="G51" s="48">
        <v>46</v>
      </c>
      <c r="H51" s="140">
        <f>IF(B$17=0,0,G51/B$17)</f>
        <v>0.39655172413793105</v>
      </c>
      <c r="I51" s="141">
        <v>8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CCB12-A25C-4FDC-87E8-7AA31C9561EA}">
  <sheetPr codeName="Sheet19"/>
  <dimension ref="A1:Q6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177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66</v>
      </c>
      <c r="C2" s="151"/>
      <c r="E2" s="62" t="s">
        <v>65</v>
      </c>
      <c r="F2" s="59" t="s">
        <v>21</v>
      </c>
      <c r="G2" s="46">
        <v>100</v>
      </c>
      <c r="H2" s="132">
        <f>IF(B$17=0,0,G2/B$17)</f>
        <v>0.62893081761006286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1484.6153846153845</v>
      </c>
      <c r="P2" s="118">
        <v>65</v>
      </c>
      <c r="Q2" s="102">
        <v>96500</v>
      </c>
    </row>
    <row r="3" spans="1:17" x14ac:dyDescent="0.4">
      <c r="A3" s="55" t="s">
        <v>8</v>
      </c>
      <c r="B3" s="152">
        <v>525</v>
      </c>
      <c r="C3" s="153"/>
      <c r="E3" s="63" t="s">
        <v>66</v>
      </c>
      <c r="F3" s="60" t="s">
        <v>22</v>
      </c>
      <c r="G3" s="47">
        <v>19</v>
      </c>
      <c r="H3" s="133">
        <f>IF(B$17=0,0,G3/B$17)</f>
        <v>0.11949685534591195</v>
      </c>
      <c r="I3" s="94">
        <v>4</v>
      </c>
      <c r="K3" s="38">
        <v>1</v>
      </c>
      <c r="L3" s="99">
        <v>-1.9</v>
      </c>
      <c r="N3" s="115" t="s">
        <v>133</v>
      </c>
      <c r="O3" s="122">
        <f t="shared" si="0"/>
        <v>1085.483870967742</v>
      </c>
      <c r="P3" s="119">
        <v>62</v>
      </c>
      <c r="Q3" s="103">
        <v>67300</v>
      </c>
    </row>
    <row r="4" spans="1:17" x14ac:dyDescent="0.4">
      <c r="A4" s="55" t="s">
        <v>6</v>
      </c>
      <c r="B4" s="154">
        <v>328.6</v>
      </c>
      <c r="C4" s="155"/>
      <c r="E4" s="63" t="s">
        <v>67</v>
      </c>
      <c r="F4" s="60" t="s">
        <v>23</v>
      </c>
      <c r="G4" s="47">
        <v>93</v>
      </c>
      <c r="H4" s="133">
        <f>IF(B$17=0,0,G4/B$17)</f>
        <v>0.58490566037735847</v>
      </c>
      <c r="I4" s="94">
        <v>12</v>
      </c>
      <c r="K4" s="38">
        <v>2</v>
      </c>
      <c r="L4" s="99">
        <v>30</v>
      </c>
      <c r="N4" s="115" t="s">
        <v>134</v>
      </c>
      <c r="O4" s="122">
        <f t="shared" si="0"/>
        <v>-752.72727272727275</v>
      </c>
      <c r="P4" s="119">
        <v>55</v>
      </c>
      <c r="Q4" s="103">
        <v>-41400</v>
      </c>
    </row>
    <row r="5" spans="1:17" x14ac:dyDescent="0.4">
      <c r="A5" s="55" t="s">
        <v>7</v>
      </c>
      <c r="B5" s="156">
        <f>IF(B$2=0,0,B$4/B$2)</f>
        <v>4.9787878787878794</v>
      </c>
      <c r="C5" s="157"/>
      <c r="E5" s="63" t="s">
        <v>68</v>
      </c>
      <c r="F5" s="60" t="s">
        <v>24</v>
      </c>
      <c r="G5" s="47">
        <v>61</v>
      </c>
      <c r="H5" s="133">
        <f>IF(B$17=0,0,G5/B$17)</f>
        <v>0.38364779874213839</v>
      </c>
      <c r="I5" s="94">
        <v>4</v>
      </c>
      <c r="K5" s="38">
        <v>3</v>
      </c>
      <c r="L5" s="99">
        <v>-10</v>
      </c>
      <c r="N5" s="115" t="s">
        <v>135</v>
      </c>
      <c r="O5" s="122">
        <f t="shared" si="0"/>
        <v>2473.5849056603774</v>
      </c>
      <c r="P5" s="119">
        <v>53</v>
      </c>
      <c r="Q5" s="103">
        <v>131100</v>
      </c>
    </row>
    <row r="6" spans="1:17" x14ac:dyDescent="0.4">
      <c r="A6" s="55" t="s">
        <v>1</v>
      </c>
      <c r="B6" s="146">
        <f>IF(B$2=0,0,(B$7*1+B$8*2+B$9*3)/B$2)</f>
        <v>1.8636363636363635</v>
      </c>
      <c r="C6" s="147"/>
      <c r="E6" s="63" t="s">
        <v>69</v>
      </c>
      <c r="F6" s="60" t="s">
        <v>12</v>
      </c>
      <c r="G6" s="47">
        <v>51</v>
      </c>
      <c r="H6" s="133">
        <f>IF(B$17=0,0,G6/B$17)</f>
        <v>0.32075471698113206</v>
      </c>
      <c r="I6" s="94">
        <v>7</v>
      </c>
      <c r="K6" s="38">
        <v>4</v>
      </c>
      <c r="L6" s="99">
        <v>40</v>
      </c>
      <c r="N6" s="115" t="s">
        <v>136</v>
      </c>
      <c r="O6" s="122">
        <f t="shared" si="0"/>
        <v>-1159.5744680851064</v>
      </c>
      <c r="P6" s="119">
        <v>47</v>
      </c>
      <c r="Q6" s="103">
        <v>-54500</v>
      </c>
    </row>
    <row r="7" spans="1:17" x14ac:dyDescent="0.4">
      <c r="A7" s="55" t="s">
        <v>2</v>
      </c>
      <c r="B7" s="47">
        <v>27</v>
      </c>
      <c r="C7" s="39">
        <f>IF(B$2=0,0,B7/B$2)</f>
        <v>0.40909090909090912</v>
      </c>
      <c r="E7" s="63" t="s">
        <v>70</v>
      </c>
      <c r="F7" s="60" t="s">
        <v>25</v>
      </c>
      <c r="G7" s="47">
        <v>28</v>
      </c>
      <c r="H7" s="133">
        <f>IF(B$17=0,0,G7/B$17)</f>
        <v>0.1761006289308176</v>
      </c>
      <c r="I7" s="94">
        <v>6</v>
      </c>
      <c r="K7" s="38">
        <v>5</v>
      </c>
      <c r="L7" s="99">
        <v>35.4</v>
      </c>
      <c r="N7" s="116" t="s">
        <v>137</v>
      </c>
      <c r="O7" s="123">
        <f t="shared" si="0"/>
        <v>276.92307692307691</v>
      </c>
      <c r="P7" s="120">
        <v>39</v>
      </c>
      <c r="Q7" s="104">
        <v>10800</v>
      </c>
    </row>
    <row r="8" spans="1:17" x14ac:dyDescent="0.4">
      <c r="A8" s="55" t="s">
        <v>3</v>
      </c>
      <c r="B8" s="47">
        <v>21</v>
      </c>
      <c r="C8" s="39">
        <f>IF(B$2=0,0,B8/B$2)</f>
        <v>0.31818181818181818</v>
      </c>
      <c r="E8" s="63" t="s">
        <v>71</v>
      </c>
      <c r="F8" s="60" t="s">
        <v>26</v>
      </c>
      <c r="G8" s="47">
        <v>12</v>
      </c>
      <c r="H8" s="133">
        <f>IF(B$17=0,0,G8/B$17)</f>
        <v>7.5471698113207544E-2</v>
      </c>
      <c r="I8" s="94">
        <v>8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18</v>
      </c>
      <c r="C9" s="40">
        <f t="shared" ref="C9" si="1">IF(B$2=0,0,B9/B$2)</f>
        <v>0.27272727272727271</v>
      </c>
      <c r="E9" s="63" t="s">
        <v>72</v>
      </c>
      <c r="F9" s="60" t="s">
        <v>27</v>
      </c>
      <c r="G9" s="47">
        <v>9</v>
      </c>
      <c r="H9" s="133">
        <f>IF(B$17=0,0,G9/B$17)</f>
        <v>5.6603773584905662E-2</v>
      </c>
      <c r="I9" s="94">
        <v>9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10</v>
      </c>
      <c r="C10" s="40">
        <f>IF(B$2=0,0,B10/B$2)</f>
        <v>0.15151515151515152</v>
      </c>
      <c r="E10" s="63" t="s">
        <v>73</v>
      </c>
      <c r="F10" s="60" t="s">
        <v>28</v>
      </c>
      <c r="G10" s="47">
        <v>62</v>
      </c>
      <c r="H10" s="133">
        <f>IF(B$17=0,0,G10/B$17)</f>
        <v>0.38993710691823902</v>
      </c>
      <c r="I10" s="94">
        <v>11</v>
      </c>
      <c r="K10" s="38">
        <v>8</v>
      </c>
      <c r="L10" s="99">
        <v>-87.1</v>
      </c>
      <c r="N10" s="114" t="s">
        <v>164</v>
      </c>
      <c r="O10" s="124">
        <f>IF(P10=0,0,Q10/P10)</f>
        <v>5.723809523809523</v>
      </c>
      <c r="P10" s="118">
        <v>21</v>
      </c>
      <c r="Q10" s="106">
        <v>120.19999999999999</v>
      </c>
    </row>
    <row r="11" spans="1:17" x14ac:dyDescent="0.4">
      <c r="A11" s="56" t="s">
        <v>140</v>
      </c>
      <c r="B11" s="48">
        <v>9</v>
      </c>
      <c r="C11" s="40">
        <f>IF(B$2=0,0,B11/B$2)</f>
        <v>0.13636363636363635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K11" s="38">
        <v>9</v>
      </c>
      <c r="L11" s="99">
        <v>-128.6</v>
      </c>
      <c r="N11" s="115" t="s">
        <v>165</v>
      </c>
      <c r="O11" s="125">
        <f>IF(P11=0,0,Q11/P11)</f>
        <v>11.424000000000001</v>
      </c>
      <c r="P11" s="119">
        <v>25</v>
      </c>
      <c r="Q11" s="107">
        <v>285.60000000000002</v>
      </c>
    </row>
    <row r="12" spans="1:17" x14ac:dyDescent="0.4">
      <c r="A12" s="57" t="s">
        <v>160</v>
      </c>
      <c r="B12" s="49">
        <v>5</v>
      </c>
      <c r="C12" s="42">
        <f>IF(B$2=0,0,B12/B$2)</f>
        <v>7.575757575757576E-2</v>
      </c>
      <c r="E12" s="63" t="s">
        <v>75</v>
      </c>
      <c r="F12" s="60" t="s">
        <v>30</v>
      </c>
      <c r="G12" s="47">
        <v>1</v>
      </c>
      <c r="H12" s="133">
        <f>IF(B$17=0,0,G12/B$17)</f>
        <v>6.2893081761006293E-3</v>
      </c>
      <c r="I12" s="94">
        <v>4</v>
      </c>
      <c r="K12" s="38">
        <v>10</v>
      </c>
      <c r="L12" s="99">
        <v>-183.7</v>
      </c>
      <c r="N12" s="116" t="s">
        <v>166</v>
      </c>
      <c r="O12" s="126">
        <f>IF(P12=0,0,Q12/P12)</f>
        <v>-3.8600000000000003</v>
      </c>
      <c r="P12" s="120">
        <v>20</v>
      </c>
      <c r="Q12" s="108">
        <v>-77.2</v>
      </c>
    </row>
    <row r="13" spans="1:17" x14ac:dyDescent="0.4">
      <c r="A13" s="58" t="s">
        <v>122</v>
      </c>
      <c r="B13" s="50">
        <v>155</v>
      </c>
      <c r="C13" s="44">
        <f>IF(B$3=0,0,B13/B$3)</f>
        <v>0.29523809523809524</v>
      </c>
      <c r="E13" s="63" t="s">
        <v>76</v>
      </c>
      <c r="F13" s="60" t="s">
        <v>31</v>
      </c>
      <c r="G13" s="47">
        <v>1</v>
      </c>
      <c r="H13" s="133">
        <f>IF(B$17=0,0,G13/B$17)</f>
        <v>6.2893081761006293E-3</v>
      </c>
      <c r="I13" s="94">
        <v>4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93</v>
      </c>
      <c r="C14" s="39">
        <f>IF(B$3=0,0,B14/B$3)</f>
        <v>0.17714285714285713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100</v>
      </c>
      <c r="C15" s="37">
        <f>IF(B$13=0,0,B15/B$13)</f>
        <v>0.64516129032258063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-209.59999999999997</v>
      </c>
      <c r="N15" s="114" t="s">
        <v>171</v>
      </c>
      <c r="O15" s="124">
        <f t="shared" ref="O15:O23" si="2">IF(P15=0,0,Q15/P15)</f>
        <v>41.294444444444451</v>
      </c>
      <c r="P15" s="118">
        <v>18</v>
      </c>
      <c r="Q15" s="106">
        <v>743.30000000000007</v>
      </c>
    </row>
    <row r="16" spans="1:17" x14ac:dyDescent="0.4">
      <c r="A16" s="54" t="s">
        <v>125</v>
      </c>
      <c r="B16" s="46">
        <v>33</v>
      </c>
      <c r="C16" s="37">
        <f>IF(B$14=0,0,B16/B$14)</f>
        <v>0.35483870967741937</v>
      </c>
      <c r="E16" s="63" t="s">
        <v>79</v>
      </c>
      <c r="F16" s="60" t="s">
        <v>34</v>
      </c>
      <c r="G16" s="47">
        <v>5</v>
      </c>
      <c r="H16" s="133">
        <f>IF(B$17=0,0,G16/B$17)</f>
        <v>3.1446540880503145E-2</v>
      </c>
      <c r="I16" s="94">
        <v>5</v>
      </c>
      <c r="K16" s="38">
        <v>14</v>
      </c>
      <c r="L16" s="99">
        <v>-178.49999999999997</v>
      </c>
      <c r="N16" s="115" t="s">
        <v>200</v>
      </c>
      <c r="O16" s="125">
        <f t="shared" si="2"/>
        <v>26.1</v>
      </c>
      <c r="P16" s="119">
        <v>5</v>
      </c>
      <c r="Q16" s="107">
        <v>130.5</v>
      </c>
    </row>
    <row r="17" spans="1:17" x14ac:dyDescent="0.4">
      <c r="A17" s="54" t="s">
        <v>10</v>
      </c>
      <c r="B17" s="46">
        <f>B19+B18</f>
        <v>159</v>
      </c>
      <c r="C17" s="37">
        <f>IF(B$3=0,0,B17/B$3)</f>
        <v>0.30285714285714288</v>
      </c>
      <c r="E17" s="63" t="s">
        <v>80</v>
      </c>
      <c r="F17" s="60" t="s">
        <v>35</v>
      </c>
      <c r="G17" s="47">
        <v>2</v>
      </c>
      <c r="H17" s="133">
        <f>IF(B$17=0,0,G17/B$17)</f>
        <v>1.2578616352201259E-2</v>
      </c>
      <c r="I17" s="94">
        <v>8</v>
      </c>
      <c r="K17" s="38">
        <v>15</v>
      </c>
      <c r="L17" s="99">
        <v>-146.19999999999999</v>
      </c>
      <c r="N17" s="115" t="s">
        <v>173</v>
      </c>
      <c r="O17" s="125">
        <f t="shared" si="2"/>
        <v>22.275000000000002</v>
      </c>
      <c r="P17" s="119">
        <v>8</v>
      </c>
      <c r="Q17" s="107">
        <v>178.20000000000002</v>
      </c>
    </row>
    <row r="18" spans="1:17" x14ac:dyDescent="0.4">
      <c r="A18" s="55" t="s">
        <v>12</v>
      </c>
      <c r="B18" s="47">
        <v>71</v>
      </c>
      <c r="C18" s="39">
        <f>IF(B$17=0,0,B18/B$17)</f>
        <v>0.44654088050314467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-153.29999999999998</v>
      </c>
      <c r="N18" s="115" t="s">
        <v>129</v>
      </c>
      <c r="O18" s="125">
        <f t="shared" si="2"/>
        <v>15.755000000000001</v>
      </c>
      <c r="P18" s="119">
        <v>20</v>
      </c>
      <c r="Q18" s="107">
        <v>315.10000000000002</v>
      </c>
    </row>
    <row r="19" spans="1:17" x14ac:dyDescent="0.4">
      <c r="A19" s="55" t="s">
        <v>11</v>
      </c>
      <c r="B19" s="47">
        <v>88</v>
      </c>
      <c r="C19" s="39">
        <f>IF(B$17=0,0,B19/B$17)</f>
        <v>0.55345911949685533</v>
      </c>
      <c r="E19" s="63" t="s">
        <v>82</v>
      </c>
      <c r="F19" s="60" t="s">
        <v>37</v>
      </c>
      <c r="G19" s="47">
        <v>4</v>
      </c>
      <c r="H19" s="133">
        <f>IF(B$17=0,0,G19/B$17)</f>
        <v>2.5157232704402517E-2</v>
      </c>
      <c r="I19" s="94">
        <v>7</v>
      </c>
      <c r="K19" s="38">
        <v>17</v>
      </c>
      <c r="L19" s="99">
        <v>-161.19999999999999</v>
      </c>
      <c r="N19" s="115" t="s">
        <v>128</v>
      </c>
      <c r="O19" s="125">
        <f t="shared" si="2"/>
        <v>11.464</v>
      </c>
      <c r="P19" s="119">
        <v>25</v>
      </c>
      <c r="Q19" s="107">
        <v>286.60000000000002</v>
      </c>
    </row>
    <row r="20" spans="1:17" x14ac:dyDescent="0.4">
      <c r="A20" s="55" t="s">
        <v>13</v>
      </c>
      <c r="B20" s="47">
        <v>79</v>
      </c>
      <c r="C20" s="39">
        <f>IF(B$3=0,0,B20/B$3)</f>
        <v>0.15047619047619049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-159</v>
      </c>
      <c r="N20" s="115" t="s">
        <v>184</v>
      </c>
      <c r="O20" s="125">
        <f t="shared" si="2"/>
        <v>4.8666666666666698</v>
      </c>
      <c r="P20" s="119">
        <v>6</v>
      </c>
      <c r="Q20" s="107">
        <v>29.200000000000017</v>
      </c>
    </row>
    <row r="21" spans="1:17" x14ac:dyDescent="0.4">
      <c r="A21" s="55" t="s">
        <v>191</v>
      </c>
      <c r="B21" s="47">
        <v>4</v>
      </c>
      <c r="C21" s="135">
        <v>1</v>
      </c>
      <c r="E21" s="63" t="s">
        <v>84</v>
      </c>
      <c r="F21" s="60" t="s">
        <v>39</v>
      </c>
      <c r="G21" s="47">
        <v>7</v>
      </c>
      <c r="H21" s="133">
        <f>IF(B$17=0,0,G21/B$17)</f>
        <v>4.40251572327044E-2</v>
      </c>
      <c r="I21" s="94">
        <v>7</v>
      </c>
      <c r="K21" s="38">
        <v>19</v>
      </c>
      <c r="L21" s="99">
        <v>-235.6</v>
      </c>
      <c r="N21" s="115" t="s">
        <v>172</v>
      </c>
      <c r="O21" s="125">
        <f t="shared" si="2"/>
        <v>3.7111111111111086</v>
      </c>
      <c r="P21" s="119">
        <v>18</v>
      </c>
      <c r="Q21" s="107">
        <v>66.799999999999955</v>
      </c>
    </row>
    <row r="22" spans="1:17" x14ac:dyDescent="0.4">
      <c r="A22" s="55" t="s">
        <v>192</v>
      </c>
      <c r="B22" s="47">
        <v>45</v>
      </c>
      <c r="C22" s="135">
        <v>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-200.8</v>
      </c>
      <c r="N22" s="115" t="s">
        <v>127</v>
      </c>
      <c r="O22" s="125">
        <f t="shared" si="2"/>
        <v>-21.61379310344828</v>
      </c>
      <c r="P22" s="119">
        <v>29</v>
      </c>
      <c r="Q22" s="107">
        <v>-626.80000000000018</v>
      </c>
    </row>
    <row r="23" spans="1:17" x14ac:dyDescent="0.4">
      <c r="A23" s="55" t="s">
        <v>5</v>
      </c>
      <c r="B23" s="51">
        <f>IF(B$17=0,0,C23/B$17)</f>
        <v>8937.1069182389929</v>
      </c>
      <c r="C23" s="41">
        <v>1421000</v>
      </c>
      <c r="E23" s="63" t="s">
        <v>86</v>
      </c>
      <c r="F23" s="60" t="s">
        <v>41</v>
      </c>
      <c r="G23" s="47">
        <v>3</v>
      </c>
      <c r="H23" s="133">
        <f>IF(B$17=0,0,G23/B$17)</f>
        <v>1.8867924528301886E-2</v>
      </c>
      <c r="I23" s="94">
        <v>1</v>
      </c>
      <c r="K23" s="38">
        <v>21</v>
      </c>
      <c r="L23" s="99">
        <v>-188.60000000000002</v>
      </c>
      <c r="N23" s="115" t="s">
        <v>183</v>
      </c>
      <c r="O23" s="125">
        <f t="shared" si="2"/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-7539.2405063291135</v>
      </c>
      <c r="C24" s="45">
        <v>-595600</v>
      </c>
      <c r="E24" s="63" t="s">
        <v>87</v>
      </c>
      <c r="F24" s="60" t="s">
        <v>42</v>
      </c>
      <c r="G24" s="47">
        <v>8</v>
      </c>
      <c r="H24" s="133">
        <f>IF(B$17=0,0,G24/B$17)</f>
        <v>5.0314465408805034E-2</v>
      </c>
      <c r="I24" s="94">
        <v>8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4">
        <v>8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42">
        <v>103000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3</v>
      </c>
      <c r="C27" s="42">
        <f>IF(B$3=0,0,B27/B$3)</f>
        <v>5.7142857142857143E-3</v>
      </c>
      <c r="E27" s="63" t="s">
        <v>90</v>
      </c>
      <c r="F27" s="60" t="s">
        <v>45</v>
      </c>
      <c r="G27" s="47">
        <v>17</v>
      </c>
      <c r="H27" s="133">
        <f>IF(B$17=0,0,G27/B$17)</f>
        <v>0.1069182389937107</v>
      </c>
      <c r="I27" s="94">
        <v>10</v>
      </c>
      <c r="K27" s="38">
        <v>25</v>
      </c>
      <c r="L27" s="99">
        <v>-151.5</v>
      </c>
    </row>
    <row r="28" spans="1:17" x14ac:dyDescent="0.4">
      <c r="E28" s="63" t="s">
        <v>91</v>
      </c>
      <c r="F28" s="60" t="s">
        <v>46</v>
      </c>
      <c r="G28" s="47">
        <v>2</v>
      </c>
      <c r="H28" s="133">
        <f>IF(B$17=0,0,G28/B$17)</f>
        <v>1.2578616352201259E-2</v>
      </c>
      <c r="I28" s="94">
        <v>1</v>
      </c>
      <c r="K28" s="38">
        <v>26</v>
      </c>
      <c r="L28" s="99">
        <v>-115.1</v>
      </c>
    </row>
    <row r="29" spans="1:17" x14ac:dyDescent="0.4">
      <c r="E29" s="63" t="s">
        <v>92</v>
      </c>
      <c r="F29" s="60" t="s">
        <v>47</v>
      </c>
      <c r="G29" s="47">
        <v>5</v>
      </c>
      <c r="H29" s="133">
        <f>IF(B$17=0,0,G29/B$17)</f>
        <v>3.1446540880503145E-2</v>
      </c>
      <c r="I29" s="94">
        <v>1</v>
      </c>
      <c r="K29" s="38">
        <v>27</v>
      </c>
      <c r="L29" s="99">
        <v>-27.099999999999994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6.2893081761006293E-3</v>
      </c>
      <c r="I30" s="94">
        <v>2</v>
      </c>
      <c r="K30" s="38">
        <v>28</v>
      </c>
      <c r="L30" s="99">
        <v>7.2000000000000028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6.2893081761006293E-3</v>
      </c>
      <c r="I31" s="94">
        <v>2</v>
      </c>
      <c r="K31" s="38">
        <v>29</v>
      </c>
      <c r="L31" s="99">
        <v>-49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-99.6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-54.199999999999996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-107.4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19.399999999999999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102</v>
      </c>
      <c r="F39" s="60" t="s">
        <v>57</v>
      </c>
      <c r="G39" s="47">
        <v>1</v>
      </c>
      <c r="H39" s="133">
        <f>IF(B$17=0,0,G39/B$17)</f>
        <v>6.2893081761006293E-3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-16.699999999999989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39.300000000000011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96.300000000000011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97.600000000000009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103.10000000000001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96.600000000000009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39.500000000000007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37.300000000000004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71.099999999999994</v>
      </c>
    </row>
    <row r="50" spans="5:12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  <c r="K50" s="38">
        <v>48</v>
      </c>
      <c r="L50" s="99">
        <v>40.899999999999991</v>
      </c>
    </row>
    <row r="51" spans="5:12" x14ac:dyDescent="0.4">
      <c r="E51" s="138" t="s">
        <v>245</v>
      </c>
      <c r="F51" s="139" t="s">
        <v>246</v>
      </c>
      <c r="G51" s="48">
        <v>69</v>
      </c>
      <c r="H51" s="140">
        <f>IF(B$17=0,0,G51/B$17)</f>
        <v>0.43396226415094341</v>
      </c>
      <c r="I51" s="141">
        <v>2</v>
      </c>
      <c r="K51" s="38">
        <v>49</v>
      </c>
      <c r="L51" s="99">
        <v>-29.900000000000006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-26.900000000000006</v>
      </c>
    </row>
    <row r="53" spans="5:12" x14ac:dyDescent="0.4">
      <c r="K53" s="38">
        <v>51</v>
      </c>
      <c r="L53" s="99">
        <v>20.999999999999993</v>
      </c>
    </row>
    <row r="54" spans="5:12" x14ac:dyDescent="0.4">
      <c r="K54" s="38">
        <v>52</v>
      </c>
      <c r="L54" s="99">
        <v>30.699999999999992</v>
      </c>
    </row>
    <row r="55" spans="5:12" x14ac:dyDescent="0.4">
      <c r="K55" s="38">
        <v>53</v>
      </c>
      <c r="L55" s="99">
        <v>76.8</v>
      </c>
    </row>
    <row r="56" spans="5:12" x14ac:dyDescent="0.4">
      <c r="K56" s="38">
        <v>54</v>
      </c>
      <c r="L56" s="99">
        <v>133.30000000000001</v>
      </c>
    </row>
    <row r="57" spans="5:12" x14ac:dyDescent="0.4">
      <c r="K57" s="38">
        <v>55</v>
      </c>
      <c r="L57" s="99">
        <v>181.60000000000002</v>
      </c>
    </row>
    <row r="58" spans="5:12" x14ac:dyDescent="0.4">
      <c r="K58" s="38">
        <v>56</v>
      </c>
      <c r="L58" s="99">
        <v>187.60000000000002</v>
      </c>
    </row>
    <row r="59" spans="5:12" x14ac:dyDescent="0.4">
      <c r="K59" s="38">
        <v>57</v>
      </c>
      <c r="L59" s="99">
        <v>255.50000000000003</v>
      </c>
    </row>
    <row r="60" spans="5:12" x14ac:dyDescent="0.4">
      <c r="K60" s="38">
        <v>58</v>
      </c>
      <c r="L60" s="99">
        <v>244.60000000000002</v>
      </c>
    </row>
    <row r="61" spans="5:12" x14ac:dyDescent="0.4">
      <c r="K61" s="38">
        <v>59</v>
      </c>
      <c r="L61" s="99">
        <v>295</v>
      </c>
    </row>
    <row r="62" spans="5:12" x14ac:dyDescent="0.4">
      <c r="K62" s="38">
        <v>60</v>
      </c>
      <c r="L62" s="99">
        <v>295</v>
      </c>
    </row>
    <row r="63" spans="5:12" x14ac:dyDescent="0.4">
      <c r="K63" s="38">
        <v>61</v>
      </c>
      <c r="L63" s="99">
        <v>359.4</v>
      </c>
    </row>
    <row r="64" spans="5:12" x14ac:dyDescent="0.4">
      <c r="K64" s="38">
        <v>62</v>
      </c>
      <c r="L64" s="99">
        <v>347.5</v>
      </c>
    </row>
    <row r="65" spans="11:12" x14ac:dyDescent="0.4">
      <c r="K65" s="38">
        <v>63</v>
      </c>
      <c r="L65" s="99">
        <v>345.6</v>
      </c>
    </row>
    <row r="66" spans="11:12" x14ac:dyDescent="0.4">
      <c r="K66" s="38">
        <v>64</v>
      </c>
      <c r="L66" s="99">
        <v>287.60000000000002</v>
      </c>
    </row>
    <row r="67" spans="11:12" x14ac:dyDescent="0.4">
      <c r="K67" s="38">
        <v>65</v>
      </c>
      <c r="L67" s="99">
        <v>323.60000000000002</v>
      </c>
    </row>
    <row r="68" spans="11:12" x14ac:dyDescent="0.4">
      <c r="K68" s="38">
        <v>66</v>
      </c>
      <c r="L68" s="99">
        <v>328.6</v>
      </c>
    </row>
  </sheetData>
  <sortState ref="E2:I68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611984-961B-4F6A-9AF9-2C8AAB3A280A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183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3</v>
      </c>
      <c r="C2" s="151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52">
        <v>19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4">
        <v>61</v>
      </c>
      <c r="C4" s="155"/>
      <c r="E4" s="63" t="s">
        <v>67</v>
      </c>
      <c r="F4" s="60" t="s">
        <v>23</v>
      </c>
      <c r="G4" s="47">
        <v>3</v>
      </c>
      <c r="H4" s="133">
        <f>IF(B$17=0,0,G4/B$17)</f>
        <v>0.6</v>
      </c>
      <c r="I4" s="94">
        <v>11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6">
        <f>IF(B$2=0,0,B$4/B$2)</f>
        <v>20.333333333333332</v>
      </c>
      <c r="C5" s="157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3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6">
        <f>IF(B$2=0,0,(B$7*1+B$8*2+B$9*3)/B$2)</f>
        <v>1.3333333333333333</v>
      </c>
      <c r="C6" s="147"/>
      <c r="E6" s="63" t="s">
        <v>69</v>
      </c>
      <c r="F6" s="60" t="s">
        <v>12</v>
      </c>
      <c r="G6" s="47">
        <v>1</v>
      </c>
      <c r="H6" s="133">
        <f>IF(B$17=0,0,G6/B$17)</f>
        <v>0.2</v>
      </c>
      <c r="I6" s="94">
        <v>13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70</v>
      </c>
      <c r="F7" s="60" t="s">
        <v>25</v>
      </c>
      <c r="G7" s="47">
        <v>1</v>
      </c>
      <c r="H7" s="133">
        <f>IF(B$17=0,0,G7/B$17)</f>
        <v>0.2</v>
      </c>
      <c r="I7" s="94">
        <v>4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1</v>
      </c>
      <c r="H9" s="133">
        <f>IF(B$17=0,0,G9/B$17)</f>
        <v>0.2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3</v>
      </c>
      <c r="H10" s="133">
        <f>IF(B$17=0,0,G10/B$17)</f>
        <v>0.6</v>
      </c>
      <c r="I10" s="94">
        <v>4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184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17" x14ac:dyDescent="0.4">
      <c r="A22" s="55" t="s">
        <v>192</v>
      </c>
      <c r="B22" s="47">
        <v>12</v>
      </c>
      <c r="C22" s="135">
        <v>12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87</v>
      </c>
      <c r="F24" s="60" t="s">
        <v>42</v>
      </c>
      <c r="G24" s="47">
        <v>1</v>
      </c>
      <c r="H24" s="133">
        <f>IF(B$17=0,0,G24/B$17)</f>
        <v>0.2</v>
      </c>
      <c r="I24" s="94">
        <v>1</v>
      </c>
    </row>
    <row r="25" spans="1:17" x14ac:dyDescent="0.4">
      <c r="A25" s="90" t="s">
        <v>142</v>
      </c>
      <c r="B25" s="144">
        <v>3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53500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8" t="s">
        <v>245</v>
      </c>
      <c r="F51" s="139" t="s">
        <v>246</v>
      </c>
      <c r="G51" s="48">
        <v>2</v>
      </c>
      <c r="H51" s="140">
        <f>IF(B$17=0,0,G51/B$17)</f>
        <v>0.4</v>
      </c>
      <c r="I51" s="141">
        <v>7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81428-ABAF-4D30-BF60-9737845D026E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184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18</v>
      </c>
      <c r="C2" s="151"/>
      <c r="E2" s="62" t="s">
        <v>65</v>
      </c>
      <c r="F2" s="59" t="s">
        <v>21</v>
      </c>
      <c r="G2" s="46">
        <v>22</v>
      </c>
      <c r="H2" s="132">
        <f>IF(B$17=0,0,G2/B$17)</f>
        <v>0.52380952380952384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-1016.6666666666666</v>
      </c>
      <c r="P2" s="118">
        <v>18</v>
      </c>
      <c r="Q2" s="102">
        <v>-18300</v>
      </c>
    </row>
    <row r="3" spans="1:17" x14ac:dyDescent="0.4">
      <c r="A3" s="55" t="s">
        <v>8</v>
      </c>
      <c r="B3" s="152">
        <v>147</v>
      </c>
      <c r="C3" s="153"/>
      <c r="E3" s="63" t="s">
        <v>66</v>
      </c>
      <c r="F3" s="60" t="s">
        <v>22</v>
      </c>
      <c r="G3" s="47">
        <v>1</v>
      </c>
      <c r="H3" s="133">
        <f>IF(B$17=0,0,G3/B$17)</f>
        <v>2.3809523809523808E-2</v>
      </c>
      <c r="I3" s="94">
        <v>10</v>
      </c>
      <c r="K3" s="38">
        <v>1</v>
      </c>
      <c r="L3" s="99">
        <v>-43.7</v>
      </c>
      <c r="N3" s="115" t="s">
        <v>133</v>
      </c>
      <c r="O3" s="122">
        <f t="shared" si="0"/>
        <v>-1044.4444444444443</v>
      </c>
      <c r="P3" s="119">
        <v>18</v>
      </c>
      <c r="Q3" s="103">
        <v>-18800</v>
      </c>
    </row>
    <row r="4" spans="1:17" x14ac:dyDescent="0.4">
      <c r="A4" s="55" t="s">
        <v>6</v>
      </c>
      <c r="B4" s="154">
        <v>-127.5</v>
      </c>
      <c r="C4" s="155"/>
      <c r="E4" s="63" t="s">
        <v>67</v>
      </c>
      <c r="F4" s="60" t="s">
        <v>23</v>
      </c>
      <c r="G4" s="47">
        <v>39</v>
      </c>
      <c r="H4" s="133">
        <f>IF(B$17=0,0,G4/B$17)</f>
        <v>0.9285714285714286</v>
      </c>
      <c r="I4" s="94">
        <v>2</v>
      </c>
      <c r="K4" s="38">
        <v>2</v>
      </c>
      <c r="L4" s="99">
        <v>-76.2</v>
      </c>
      <c r="N4" s="115" t="s">
        <v>134</v>
      </c>
      <c r="O4" s="122">
        <f t="shared" si="0"/>
        <v>152.94117647058823</v>
      </c>
      <c r="P4" s="119">
        <v>17</v>
      </c>
      <c r="Q4" s="103">
        <v>2600</v>
      </c>
    </row>
    <row r="5" spans="1:17" x14ac:dyDescent="0.4">
      <c r="A5" s="55" t="s">
        <v>7</v>
      </c>
      <c r="B5" s="156">
        <f>IF(B$2=0,0,B$4/B$2)</f>
        <v>-7.083333333333333</v>
      </c>
      <c r="C5" s="157"/>
      <c r="E5" s="63" t="s">
        <v>68</v>
      </c>
      <c r="F5" s="60" t="s">
        <v>24</v>
      </c>
      <c r="G5" s="47">
        <v>11</v>
      </c>
      <c r="H5" s="133">
        <f>IF(B$17=0,0,G5/B$17)</f>
        <v>0.26190476190476192</v>
      </c>
      <c r="I5" s="94">
        <v>11</v>
      </c>
      <c r="K5" s="38">
        <v>3</v>
      </c>
      <c r="L5" s="99">
        <v>-78.400000000000006</v>
      </c>
      <c r="N5" s="115" t="s">
        <v>135</v>
      </c>
      <c r="O5" s="122">
        <f t="shared" si="0"/>
        <v>-4237.5</v>
      </c>
      <c r="P5" s="119">
        <v>16</v>
      </c>
      <c r="Q5" s="103">
        <v>-67800</v>
      </c>
    </row>
    <row r="6" spans="1:17" x14ac:dyDescent="0.4">
      <c r="A6" s="55" t="s">
        <v>1</v>
      </c>
      <c r="B6" s="146">
        <f>IF(B$2=0,0,(B$7*1+B$8*2+B$9*3)/B$2)</f>
        <v>2.1111111111111112</v>
      </c>
      <c r="C6" s="147"/>
      <c r="E6" s="63" t="s">
        <v>69</v>
      </c>
      <c r="F6" s="60" t="s">
        <v>12</v>
      </c>
      <c r="G6" s="47">
        <v>13</v>
      </c>
      <c r="H6" s="133">
        <f>IF(B$17=0,0,G6/B$17)</f>
        <v>0.30952380952380953</v>
      </c>
      <c r="I6" s="94">
        <v>9</v>
      </c>
      <c r="K6" s="38">
        <v>4</v>
      </c>
      <c r="L6" s="99">
        <v>-49.800000000000004</v>
      </c>
      <c r="N6" s="115" t="s">
        <v>136</v>
      </c>
      <c r="O6" s="122">
        <f t="shared" si="0"/>
        <v>-243.75</v>
      </c>
      <c r="P6" s="119">
        <v>16</v>
      </c>
      <c r="Q6" s="103">
        <v>-3900</v>
      </c>
    </row>
    <row r="7" spans="1:17" x14ac:dyDescent="0.4">
      <c r="A7" s="55" t="s">
        <v>2</v>
      </c>
      <c r="B7" s="47">
        <v>7</v>
      </c>
      <c r="C7" s="39">
        <f>IF(B$2=0,0,B7/B$2)</f>
        <v>0.3888888888888889</v>
      </c>
      <c r="E7" s="63" t="s">
        <v>70</v>
      </c>
      <c r="F7" s="60" t="s">
        <v>25</v>
      </c>
      <c r="G7" s="47">
        <v>8</v>
      </c>
      <c r="H7" s="133">
        <f>IF(B$17=0,0,G7/B$17)</f>
        <v>0.19047619047619047</v>
      </c>
      <c r="I7" s="94">
        <v>5</v>
      </c>
      <c r="K7" s="38">
        <v>5</v>
      </c>
      <c r="L7" s="99">
        <v>-121</v>
      </c>
      <c r="N7" s="116" t="s">
        <v>137</v>
      </c>
      <c r="O7" s="123">
        <f t="shared" si="0"/>
        <v>-3407.6923076923076</v>
      </c>
      <c r="P7" s="120">
        <v>13</v>
      </c>
      <c r="Q7" s="104">
        <v>-44300</v>
      </c>
    </row>
    <row r="8" spans="1:17" x14ac:dyDescent="0.4">
      <c r="A8" s="55" t="s">
        <v>3</v>
      </c>
      <c r="B8" s="47">
        <v>2</v>
      </c>
      <c r="C8" s="39">
        <f>IF(B$2=0,0,B8/B$2)</f>
        <v>0.1111111111111111</v>
      </c>
      <c r="E8" s="63" t="s">
        <v>71</v>
      </c>
      <c r="F8" s="60" t="s">
        <v>26</v>
      </c>
      <c r="G8" s="47">
        <v>7</v>
      </c>
      <c r="H8" s="133">
        <f>IF(B$17=0,0,G8/B$17)</f>
        <v>0.16666666666666666</v>
      </c>
      <c r="I8" s="94">
        <v>1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9</v>
      </c>
      <c r="C9" s="40">
        <f t="shared" ref="C9" si="1">IF(B$2=0,0,B9/B$2)</f>
        <v>0.5</v>
      </c>
      <c r="E9" s="63" t="s">
        <v>72</v>
      </c>
      <c r="F9" s="60" t="s">
        <v>27</v>
      </c>
      <c r="G9" s="47">
        <v>3</v>
      </c>
      <c r="H9" s="133">
        <f>IF(B$17=0,0,G9/B$17)</f>
        <v>7.1428571428571425E-2</v>
      </c>
      <c r="I9" s="94">
        <v>4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0.22222222222222221</v>
      </c>
      <c r="E10" s="63" t="s">
        <v>73</v>
      </c>
      <c r="F10" s="60" t="s">
        <v>28</v>
      </c>
      <c r="G10" s="47">
        <v>23</v>
      </c>
      <c r="H10" s="133">
        <f>IF(B$17=0,0,G10/B$17)</f>
        <v>0.54761904761904767</v>
      </c>
      <c r="I10" s="94">
        <v>6</v>
      </c>
      <c r="K10" s="38">
        <v>8</v>
      </c>
      <c r="L10" s="99">
        <v>-170.5</v>
      </c>
      <c r="N10" s="114" t="s">
        <v>164</v>
      </c>
      <c r="O10" s="124">
        <f>IF(P10=0,0,Q10/P10)</f>
        <v>-20.099999999999998</v>
      </c>
      <c r="P10" s="118">
        <v>7</v>
      </c>
      <c r="Q10" s="106">
        <v>-140.69999999999999</v>
      </c>
    </row>
    <row r="11" spans="1:17" x14ac:dyDescent="0.4">
      <c r="A11" s="56" t="s">
        <v>140</v>
      </c>
      <c r="B11" s="48">
        <v>1</v>
      </c>
      <c r="C11" s="40">
        <f>IF(B$2=0,0,B11/B$2)</f>
        <v>5.5555555555555552E-2</v>
      </c>
      <c r="E11" s="63" t="s">
        <v>74</v>
      </c>
      <c r="F11" s="60" t="s">
        <v>29</v>
      </c>
      <c r="G11" s="47">
        <v>1</v>
      </c>
      <c r="H11" s="133">
        <f>IF(B$17=0,0,G11/B$17)</f>
        <v>2.3809523809523808E-2</v>
      </c>
      <c r="I11" s="94">
        <v>1</v>
      </c>
      <c r="K11" s="38">
        <v>9</v>
      </c>
      <c r="L11" s="99">
        <v>-228.1</v>
      </c>
      <c r="N11" s="115" t="s">
        <v>165</v>
      </c>
      <c r="O11" s="125">
        <f>IF(P11=0,0,Q11/P11)</f>
        <v>-11.916666666666666</v>
      </c>
      <c r="P11" s="119">
        <v>6</v>
      </c>
      <c r="Q11" s="107">
        <v>-71.5</v>
      </c>
    </row>
    <row r="12" spans="1:17" x14ac:dyDescent="0.4">
      <c r="A12" s="57" t="s">
        <v>160</v>
      </c>
      <c r="B12" s="49">
        <v>2</v>
      </c>
      <c r="C12" s="42">
        <f>IF(B$2=0,0,B12/B$2)</f>
        <v>0.1111111111111111</v>
      </c>
      <c r="E12" s="63" t="s">
        <v>75</v>
      </c>
      <c r="F12" s="60" t="s">
        <v>30</v>
      </c>
      <c r="G12" s="47">
        <v>1</v>
      </c>
      <c r="H12" s="133">
        <f>IF(B$17=0,0,G12/B$17)</f>
        <v>2.3809523809523808E-2</v>
      </c>
      <c r="I12" s="94">
        <v>1</v>
      </c>
      <c r="K12" s="38">
        <v>10</v>
      </c>
      <c r="L12" s="99">
        <v>-197.5</v>
      </c>
      <c r="N12" s="116" t="s">
        <v>166</v>
      </c>
      <c r="O12" s="126">
        <f>IF(P12=0,0,Q12/P12)</f>
        <v>16.940000000000001</v>
      </c>
      <c r="P12" s="120">
        <v>5</v>
      </c>
      <c r="Q12" s="108">
        <v>84.7</v>
      </c>
    </row>
    <row r="13" spans="1:17" x14ac:dyDescent="0.4">
      <c r="A13" s="58" t="s">
        <v>122</v>
      </c>
      <c r="B13" s="50">
        <v>36</v>
      </c>
      <c r="C13" s="44">
        <f>IF(B$3=0,0,B13/B$3)</f>
        <v>0.24489795918367346</v>
      </c>
      <c r="E13" s="63" t="s">
        <v>76</v>
      </c>
      <c r="F13" s="60" t="s">
        <v>31</v>
      </c>
      <c r="G13" s="47">
        <v>1</v>
      </c>
      <c r="H13" s="133">
        <f>IF(B$17=0,0,G13/B$17)</f>
        <v>2.3809523809523808E-2</v>
      </c>
      <c r="I13" s="94">
        <v>1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33</v>
      </c>
      <c r="C14" s="39">
        <f>IF(B$3=0,0,B14/B$3)</f>
        <v>0.22448979591836735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23</v>
      </c>
      <c r="C15" s="37">
        <f>IF(B$13=0,0,B15/B$13)</f>
        <v>0.63888888888888884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-144.79999999999998</v>
      </c>
      <c r="N15" s="114" t="s">
        <v>173</v>
      </c>
      <c r="O15" s="124">
        <f t="shared" ref="O15:O22" si="2">IF(P15=0,0,Q15/P15)</f>
        <v>159</v>
      </c>
      <c r="P15" s="118">
        <v>1</v>
      </c>
      <c r="Q15" s="106">
        <v>159</v>
      </c>
    </row>
    <row r="16" spans="1:17" x14ac:dyDescent="0.4">
      <c r="A16" s="54" t="s">
        <v>125</v>
      </c>
      <c r="B16" s="46">
        <v>14</v>
      </c>
      <c r="C16" s="37">
        <f>IF(B$14=0,0,B16/B$14)</f>
        <v>0.42424242424242425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K16" s="38">
        <v>14</v>
      </c>
      <c r="L16" s="99">
        <v>-138.69999999999999</v>
      </c>
      <c r="N16" s="115" t="s">
        <v>129</v>
      </c>
      <c r="O16" s="125">
        <f t="shared" si="2"/>
        <v>24.240000000000002</v>
      </c>
      <c r="P16" s="119">
        <v>5</v>
      </c>
      <c r="Q16" s="107">
        <v>121.20000000000002</v>
      </c>
    </row>
    <row r="17" spans="1:17" x14ac:dyDescent="0.4">
      <c r="A17" s="54" t="s">
        <v>10</v>
      </c>
      <c r="B17" s="46">
        <f>B19+B18</f>
        <v>42</v>
      </c>
      <c r="C17" s="37">
        <f>IF(B$3=0,0,B17/B$3)</f>
        <v>0.2857142857142857</v>
      </c>
      <c r="E17" s="63" t="s">
        <v>80</v>
      </c>
      <c r="F17" s="60" t="s">
        <v>35</v>
      </c>
      <c r="G17" s="47">
        <v>2</v>
      </c>
      <c r="H17" s="133">
        <f>IF(B$17=0,0,G17/B$17)</f>
        <v>4.7619047619047616E-2</v>
      </c>
      <c r="I17" s="94">
        <v>1</v>
      </c>
      <c r="K17" s="38">
        <v>15</v>
      </c>
      <c r="L17" s="99">
        <v>-85.399999999999991</v>
      </c>
      <c r="N17" s="115" t="s">
        <v>177</v>
      </c>
      <c r="O17" s="125">
        <f t="shared" si="2"/>
        <v>-4.8666666666666698</v>
      </c>
      <c r="P17" s="119">
        <v>6</v>
      </c>
      <c r="Q17" s="107">
        <v>-29.200000000000017</v>
      </c>
    </row>
    <row r="18" spans="1:17" x14ac:dyDescent="0.4">
      <c r="A18" s="55" t="s">
        <v>12</v>
      </c>
      <c r="B18" s="47">
        <v>20</v>
      </c>
      <c r="C18" s="39">
        <f>IF(B$17=0,0,B18/B$17)</f>
        <v>0.47619047619047616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-140.79999999999998</v>
      </c>
      <c r="N18" s="115" t="s">
        <v>172</v>
      </c>
      <c r="O18" s="125">
        <f t="shared" si="2"/>
        <v>-17.350000000000001</v>
      </c>
      <c r="P18" s="119">
        <v>2</v>
      </c>
      <c r="Q18" s="107">
        <v>-34.700000000000003</v>
      </c>
    </row>
    <row r="19" spans="1:17" x14ac:dyDescent="0.4">
      <c r="A19" s="55" t="s">
        <v>11</v>
      </c>
      <c r="B19" s="47">
        <v>22</v>
      </c>
      <c r="C19" s="39">
        <f>IF(B$17=0,0,B19/B$17)</f>
        <v>0.52380952380952384</v>
      </c>
      <c r="E19" s="63" t="s">
        <v>82</v>
      </c>
      <c r="F19" s="60" t="s">
        <v>37</v>
      </c>
      <c r="G19" s="47">
        <v>1</v>
      </c>
      <c r="H19" s="133">
        <f>IF(B$17=0,0,G19/B$17)</f>
        <v>2.3809523809523808E-2</v>
      </c>
      <c r="I19" s="94">
        <v>8</v>
      </c>
      <c r="K19" s="38">
        <v>17</v>
      </c>
      <c r="L19" s="99">
        <v>-204.5</v>
      </c>
      <c r="N19" s="115" t="s">
        <v>127</v>
      </c>
      <c r="O19" s="125">
        <f t="shared" si="2"/>
        <v>-23.075000000000003</v>
      </c>
      <c r="P19" s="119">
        <v>12</v>
      </c>
      <c r="Q19" s="107">
        <v>-276.90000000000003</v>
      </c>
    </row>
    <row r="20" spans="1:17" x14ac:dyDescent="0.4">
      <c r="A20" s="55" t="s">
        <v>13</v>
      </c>
      <c r="B20" s="47">
        <v>34</v>
      </c>
      <c r="C20" s="39">
        <f>IF(B$3=0,0,B20/B$3)</f>
        <v>0.23129251700680273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-127.5</v>
      </c>
      <c r="N20" s="115" t="s">
        <v>171</v>
      </c>
      <c r="O20" s="125">
        <f t="shared" si="2"/>
        <v>-25.400000000000002</v>
      </c>
      <c r="P20" s="119">
        <v>2</v>
      </c>
      <c r="Q20" s="107">
        <v>-50.800000000000004</v>
      </c>
    </row>
    <row r="21" spans="1:17" x14ac:dyDescent="0.4">
      <c r="A21" s="55" t="s">
        <v>191</v>
      </c>
      <c r="B21" s="47">
        <v>5</v>
      </c>
      <c r="C21" s="135">
        <v>5</v>
      </c>
      <c r="E21" s="63" t="s">
        <v>84</v>
      </c>
      <c r="F21" s="60" t="s">
        <v>39</v>
      </c>
      <c r="G21" s="47">
        <v>5</v>
      </c>
      <c r="H21" s="133">
        <f>IF(B$17=0,0,G21/B$17)</f>
        <v>0.11904761904761904</v>
      </c>
      <c r="I21" s="94">
        <v>2</v>
      </c>
      <c r="N21" s="115" t="s">
        <v>128</v>
      </c>
      <c r="O21" s="125">
        <f t="shared" si="2"/>
        <v>-28.642857142857142</v>
      </c>
      <c r="P21" s="119">
        <v>7</v>
      </c>
      <c r="Q21" s="107">
        <v>-200.5</v>
      </c>
    </row>
    <row r="22" spans="1:17" x14ac:dyDescent="0.4">
      <c r="A22" s="55" t="s">
        <v>192</v>
      </c>
      <c r="B22" s="47">
        <v>17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N22" s="115" t="s">
        <v>183</v>
      </c>
      <c r="O22" s="125">
        <f t="shared" si="2"/>
        <v>-69.599999999999994</v>
      </c>
      <c r="P22" s="119">
        <v>1</v>
      </c>
      <c r="Q22" s="107">
        <v>-69.599999999999994</v>
      </c>
    </row>
    <row r="23" spans="1:17" x14ac:dyDescent="0.4">
      <c r="A23" s="55" t="s">
        <v>5</v>
      </c>
      <c r="B23" s="51">
        <f>IF(B$17=0,0,C23/B$17)</f>
        <v>8642.8571428571431</v>
      </c>
      <c r="C23" s="41">
        <v>363000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-8376.4705882352937</v>
      </c>
      <c r="C24" s="45">
        <v>-284800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4">
        <v>6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92000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5</v>
      </c>
      <c r="H27" s="133">
        <f>IF(B$17=0,0,G27/B$17)</f>
        <v>0.11904761904761904</v>
      </c>
      <c r="I27" s="94">
        <v>8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1</v>
      </c>
      <c r="H35" s="133">
        <f>IF(B$17=0,0,G35/B$17)</f>
        <v>2.3809523809523808E-2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8" t="s">
        <v>245</v>
      </c>
      <c r="F51" s="139" t="s">
        <v>246</v>
      </c>
      <c r="G51" s="48">
        <v>15</v>
      </c>
      <c r="H51" s="140">
        <f>IF(B$17=0,0,G51/B$17)</f>
        <v>0.35714285714285715</v>
      </c>
      <c r="I51" s="141">
        <v>11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7486A-1E85-4CD9-92DE-7E0F88237777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200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10</v>
      </c>
      <c r="C2" s="151"/>
      <c r="E2" s="62" t="s">
        <v>65</v>
      </c>
      <c r="F2" s="59" t="s">
        <v>21</v>
      </c>
      <c r="G2" s="46">
        <v>14</v>
      </c>
      <c r="H2" s="132">
        <f>IF(B$17=0,0,G2/B$17)</f>
        <v>0.48275862068965519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-1966.6666666666667</v>
      </c>
      <c r="P2" s="118">
        <v>9</v>
      </c>
      <c r="Q2" s="102">
        <v>-17700</v>
      </c>
    </row>
    <row r="3" spans="1:17" x14ac:dyDescent="0.4">
      <c r="A3" s="55" t="s">
        <v>8</v>
      </c>
      <c r="B3" s="152">
        <v>85</v>
      </c>
      <c r="C3" s="153"/>
      <c r="E3" s="63" t="s">
        <v>66</v>
      </c>
      <c r="F3" s="60" t="s">
        <v>22</v>
      </c>
      <c r="G3" s="47">
        <v>2</v>
      </c>
      <c r="H3" s="133">
        <f>IF(B$17=0,0,G3/B$17)</f>
        <v>6.8965517241379309E-2</v>
      </c>
      <c r="I3" s="94">
        <v>9</v>
      </c>
      <c r="K3" s="38">
        <v>1</v>
      </c>
      <c r="L3" s="99">
        <v>-12.5</v>
      </c>
      <c r="N3" s="115" t="s">
        <v>133</v>
      </c>
      <c r="O3" s="122">
        <f t="shared" si="0"/>
        <v>4077.7777777777778</v>
      </c>
      <c r="P3" s="119">
        <v>9</v>
      </c>
      <c r="Q3" s="103">
        <v>36700</v>
      </c>
    </row>
    <row r="4" spans="1:17" x14ac:dyDescent="0.4">
      <c r="A4" s="55" t="s">
        <v>6</v>
      </c>
      <c r="B4" s="154">
        <v>18.099999999999994</v>
      </c>
      <c r="C4" s="155"/>
      <c r="E4" s="63" t="s">
        <v>67</v>
      </c>
      <c r="F4" s="60" t="s">
        <v>23</v>
      </c>
      <c r="G4" s="47">
        <v>16</v>
      </c>
      <c r="H4" s="133">
        <f>IF(B$17=0,0,G4/B$17)</f>
        <v>0.55172413793103448</v>
      </c>
      <c r="I4" s="94">
        <v>13</v>
      </c>
      <c r="K4" s="38">
        <v>2</v>
      </c>
      <c r="L4" s="99">
        <v>-28.1</v>
      </c>
      <c r="N4" s="115" t="s">
        <v>134</v>
      </c>
      <c r="O4" s="122">
        <f t="shared" si="0"/>
        <v>-3733.3333333333335</v>
      </c>
      <c r="P4" s="119">
        <v>9</v>
      </c>
      <c r="Q4" s="103">
        <v>-33600</v>
      </c>
    </row>
    <row r="5" spans="1:17" x14ac:dyDescent="0.4">
      <c r="A5" s="55" t="s">
        <v>7</v>
      </c>
      <c r="B5" s="156">
        <f>IF(B$2=0,0,B$4/B$2)</f>
        <v>1.8099999999999994</v>
      </c>
      <c r="C5" s="157"/>
      <c r="E5" s="63" t="s">
        <v>68</v>
      </c>
      <c r="F5" s="60" t="s">
        <v>24</v>
      </c>
      <c r="G5" s="47">
        <v>9</v>
      </c>
      <c r="H5" s="133">
        <f>IF(B$17=0,0,G5/B$17)</f>
        <v>0.31034482758620691</v>
      </c>
      <c r="I5" s="94">
        <v>8</v>
      </c>
      <c r="K5" s="38">
        <v>3</v>
      </c>
      <c r="L5" s="99">
        <v>-20.400000000000002</v>
      </c>
      <c r="N5" s="115" t="s">
        <v>135</v>
      </c>
      <c r="O5" s="122">
        <f t="shared" si="0"/>
        <v>-1666.6666666666667</v>
      </c>
      <c r="P5" s="119">
        <v>9</v>
      </c>
      <c r="Q5" s="103">
        <v>-15000</v>
      </c>
    </row>
    <row r="6" spans="1:17" x14ac:dyDescent="0.4">
      <c r="A6" s="55" t="s">
        <v>1</v>
      </c>
      <c r="B6" s="146">
        <f>IF(B$2=0,0,(B$7*1+B$8*2+B$9*3)/B$2)</f>
        <v>1.8</v>
      </c>
      <c r="C6" s="147"/>
      <c r="E6" s="63" t="s">
        <v>69</v>
      </c>
      <c r="F6" s="60" t="s">
        <v>12</v>
      </c>
      <c r="G6" s="47">
        <v>11</v>
      </c>
      <c r="H6" s="133">
        <f>IF(B$17=0,0,G6/B$17)</f>
        <v>0.37931034482758619</v>
      </c>
      <c r="I6" s="94">
        <v>4</v>
      </c>
      <c r="K6" s="38">
        <v>4</v>
      </c>
      <c r="L6" s="99">
        <v>19.399999999999995</v>
      </c>
      <c r="N6" s="115" t="s">
        <v>136</v>
      </c>
      <c r="O6" s="122">
        <f t="shared" si="0"/>
        <v>1957.1428571428571</v>
      </c>
      <c r="P6" s="119">
        <v>7</v>
      </c>
      <c r="Q6" s="103">
        <v>13700</v>
      </c>
    </row>
    <row r="7" spans="1:17" x14ac:dyDescent="0.4">
      <c r="A7" s="55" t="s">
        <v>2</v>
      </c>
      <c r="B7" s="47">
        <v>3</v>
      </c>
      <c r="C7" s="39">
        <f>IF(B$2=0,0,B7/B$2)</f>
        <v>0.3</v>
      </c>
      <c r="E7" s="63" t="s">
        <v>70</v>
      </c>
      <c r="F7" s="60" t="s">
        <v>25</v>
      </c>
      <c r="G7" s="47">
        <v>5</v>
      </c>
      <c r="H7" s="133">
        <f>IF(B$17=0,0,G7/B$17)</f>
        <v>0.17241379310344829</v>
      </c>
      <c r="I7" s="94">
        <v>8</v>
      </c>
      <c r="K7" s="38">
        <v>5</v>
      </c>
      <c r="L7" s="99">
        <v>-16.100000000000005</v>
      </c>
      <c r="N7" s="116" t="s">
        <v>137</v>
      </c>
      <c r="O7" s="123">
        <f t="shared" si="0"/>
        <v>2000</v>
      </c>
      <c r="P7" s="120">
        <v>7</v>
      </c>
      <c r="Q7" s="104">
        <v>14000</v>
      </c>
    </row>
    <row r="8" spans="1:17" x14ac:dyDescent="0.4">
      <c r="A8" s="55" t="s">
        <v>3</v>
      </c>
      <c r="B8" s="47">
        <v>6</v>
      </c>
      <c r="C8" s="39">
        <f>IF(B$2=0,0,B8/B$2)</f>
        <v>0.6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0.1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19</v>
      </c>
      <c r="H10" s="133">
        <f>IF(B$17=0,0,G10/B$17)</f>
        <v>0.65517241379310343</v>
      </c>
      <c r="I10" s="94">
        <v>2</v>
      </c>
      <c r="K10" s="38">
        <v>8</v>
      </c>
      <c r="L10" s="99">
        <v>9.5999999999999943</v>
      </c>
      <c r="N10" s="114" t="s">
        <v>164</v>
      </c>
      <c r="O10" s="124">
        <f>IF(P10=0,0,Q10/P10)</f>
        <v>2.5749999999999993</v>
      </c>
      <c r="P10" s="118">
        <v>4</v>
      </c>
      <c r="Q10" s="106">
        <v>10.299999999999997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K11" s="38">
        <v>9</v>
      </c>
      <c r="L11" s="99">
        <v>18.099999999999994</v>
      </c>
      <c r="N11" s="115" t="s">
        <v>165</v>
      </c>
      <c r="O11" s="125">
        <f>IF(P11=0,0,Q11/P11)</f>
        <v>8.1</v>
      </c>
      <c r="P11" s="119">
        <v>2</v>
      </c>
      <c r="Q11" s="107">
        <v>16.2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18.099999999999994</v>
      </c>
      <c r="N12" s="116" t="s">
        <v>166</v>
      </c>
      <c r="O12" s="126">
        <f>IF(P12=0,0,Q12/P12)</f>
        <v>-2.1000000000000005</v>
      </c>
      <c r="P12" s="120">
        <v>4</v>
      </c>
      <c r="Q12" s="108">
        <v>-8.4000000000000021</v>
      </c>
    </row>
    <row r="13" spans="1:17" x14ac:dyDescent="0.4">
      <c r="A13" s="58" t="s">
        <v>122</v>
      </c>
      <c r="B13" s="50">
        <v>20</v>
      </c>
      <c r="C13" s="44">
        <f>IF(B$3=0,0,B13/B$3)</f>
        <v>0.23529411764705882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25</v>
      </c>
      <c r="C14" s="39">
        <f>IF(B$3=0,0,B14/B$3)</f>
        <v>0.29411764705882354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14</v>
      </c>
      <c r="C15" s="37">
        <f>IF(B$13=0,0,B15/B$13)</f>
        <v>0.7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173</v>
      </c>
      <c r="O15" s="124">
        <f t="shared" ref="O15:O20" si="2">IF(P15=0,0,Q15/P15)</f>
        <v>43.1</v>
      </c>
      <c r="P15" s="118">
        <v>1</v>
      </c>
      <c r="Q15" s="106">
        <v>43.1</v>
      </c>
    </row>
    <row r="16" spans="1:17" x14ac:dyDescent="0.4">
      <c r="A16" s="54" t="s">
        <v>125</v>
      </c>
      <c r="B16" s="46">
        <v>12</v>
      </c>
      <c r="C16" s="37">
        <f>IF(B$14=0,0,B16/B$14)</f>
        <v>0.48</v>
      </c>
      <c r="E16" s="63" t="s">
        <v>79</v>
      </c>
      <c r="F16" s="60" t="s">
        <v>34</v>
      </c>
      <c r="G16" s="47">
        <v>2</v>
      </c>
      <c r="H16" s="133">
        <f>IF(B$17=0,0,G16/B$17)</f>
        <v>6.8965517241379309E-2</v>
      </c>
      <c r="I16" s="94">
        <v>2</v>
      </c>
      <c r="N16" s="115" t="s">
        <v>171</v>
      </c>
      <c r="O16" s="125">
        <f t="shared" si="2"/>
        <v>22.524999999999999</v>
      </c>
      <c r="P16" s="119">
        <v>4</v>
      </c>
      <c r="Q16" s="107">
        <v>90.1</v>
      </c>
    </row>
    <row r="17" spans="1:17" x14ac:dyDescent="0.4">
      <c r="A17" s="54" t="s">
        <v>10</v>
      </c>
      <c r="B17" s="46">
        <f>B19+B18</f>
        <v>29</v>
      </c>
      <c r="C17" s="37">
        <f>IF(B$3=0,0,B17/B$3)</f>
        <v>0.3411764705882353</v>
      </c>
      <c r="E17" s="63" t="s">
        <v>80</v>
      </c>
      <c r="F17" s="60" t="s">
        <v>35</v>
      </c>
      <c r="G17" s="47">
        <v>1</v>
      </c>
      <c r="H17" s="133">
        <f>IF(B$17=0,0,G17/B$17)</f>
        <v>3.4482758620689655E-2</v>
      </c>
      <c r="I17" s="94">
        <v>2</v>
      </c>
      <c r="N17" s="115" t="s">
        <v>127</v>
      </c>
      <c r="O17" s="125">
        <f t="shared" si="2"/>
        <v>8.9666666666666668</v>
      </c>
      <c r="P17" s="119">
        <v>3</v>
      </c>
      <c r="Q17" s="107">
        <v>26.9</v>
      </c>
    </row>
    <row r="18" spans="1:17" x14ac:dyDescent="0.4">
      <c r="A18" s="55" t="s">
        <v>12</v>
      </c>
      <c r="B18" s="47">
        <v>17</v>
      </c>
      <c r="C18" s="39">
        <f>IF(B$17=0,0,B18/B$17)</f>
        <v>0.58620689655172409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128</v>
      </c>
      <c r="O18" s="125">
        <f t="shared" si="2"/>
        <v>5.5000000000000018</v>
      </c>
      <c r="P18" s="119">
        <v>2</v>
      </c>
      <c r="Q18" s="107">
        <v>11.000000000000004</v>
      </c>
    </row>
    <row r="19" spans="1:17" x14ac:dyDescent="0.4">
      <c r="A19" s="55" t="s">
        <v>11</v>
      </c>
      <c r="B19" s="47">
        <v>12</v>
      </c>
      <c r="C19" s="39">
        <f>IF(B$17=0,0,B19/B$17)</f>
        <v>0.41379310344827586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N19" s="115" t="s">
        <v>172</v>
      </c>
      <c r="O19" s="125">
        <f t="shared" si="2"/>
        <v>2.7399999999999949</v>
      </c>
      <c r="P19" s="119">
        <v>5</v>
      </c>
      <c r="Q19" s="107">
        <v>13.699999999999974</v>
      </c>
    </row>
    <row r="20" spans="1:17" x14ac:dyDescent="0.4">
      <c r="A20" s="55" t="s">
        <v>13</v>
      </c>
      <c r="B20" s="47">
        <v>14</v>
      </c>
      <c r="C20" s="39">
        <f>IF(B$3=0,0,B20/B$3)</f>
        <v>0.16470588235294117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177</v>
      </c>
      <c r="O20" s="125">
        <f t="shared" si="2"/>
        <v>-26.1</v>
      </c>
      <c r="P20" s="119">
        <v>5</v>
      </c>
      <c r="Q20" s="107">
        <v>-130.5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84</v>
      </c>
      <c r="F21" s="60" t="s">
        <v>39</v>
      </c>
      <c r="G21" s="47">
        <v>1</v>
      </c>
      <c r="H21" s="133">
        <f>IF(B$17=0,0,G21/B$17)</f>
        <v>3.4482758620689655E-2</v>
      </c>
      <c r="I21" s="94">
        <v>10</v>
      </c>
    </row>
    <row r="22" spans="1:17" x14ac:dyDescent="0.4">
      <c r="A22" s="55" t="s">
        <v>192</v>
      </c>
      <c r="B22" s="47">
        <v>12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6765.5172413793107</v>
      </c>
      <c r="C23" s="41">
        <v>196200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-6378.5714285714284</v>
      </c>
      <c r="C24" s="45">
        <v>-89300</v>
      </c>
      <c r="E24" s="63" t="s">
        <v>87</v>
      </c>
      <c r="F24" s="60" t="s">
        <v>42</v>
      </c>
      <c r="G24" s="47">
        <v>3</v>
      </c>
      <c r="H24" s="133">
        <f>IF(B$17=0,0,G24/B$17)</f>
        <v>0.10344827586206896</v>
      </c>
      <c r="I24" s="94">
        <v>2</v>
      </c>
    </row>
    <row r="25" spans="1:17" x14ac:dyDescent="0.4">
      <c r="A25" s="90" t="s">
        <v>142</v>
      </c>
      <c r="B25" s="144">
        <v>4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54800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4</v>
      </c>
      <c r="H27" s="133">
        <f>IF(B$17=0,0,G27/B$17)</f>
        <v>0.13793103448275862</v>
      </c>
      <c r="I27" s="94">
        <v>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8" t="s">
        <v>245</v>
      </c>
      <c r="F51" s="139" t="s">
        <v>246</v>
      </c>
      <c r="G51" s="48">
        <v>9</v>
      </c>
      <c r="H51" s="140">
        <f>IF(B$17=0,0,G51/B$17)</f>
        <v>0.31034482758620691</v>
      </c>
      <c r="I51" s="141">
        <v>12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A4053-E633-45EA-BCE3-5F7BEF1CD416}">
  <sheetPr codeName="Sheet2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222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</v>
      </c>
      <c r="C2" s="151"/>
      <c r="E2" s="62" t="s">
        <v>65</v>
      </c>
      <c r="F2" s="59" t="s">
        <v>21</v>
      </c>
      <c r="G2" s="46">
        <v>1</v>
      </c>
      <c r="H2" s="132">
        <f>IF(B$17=0,0,G2/B$17)</f>
        <v>0.5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52">
        <v>13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4">
        <v>13.3</v>
      </c>
      <c r="C4" s="155"/>
      <c r="E4" s="63" t="s">
        <v>67</v>
      </c>
      <c r="F4" s="60" t="s">
        <v>23</v>
      </c>
      <c r="G4" s="47">
        <v>3</v>
      </c>
      <c r="H4" s="133">
        <f>IF(B$17=0,0,G4/B$17)</f>
        <v>1.5</v>
      </c>
      <c r="I4" s="94">
        <v>1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6">
        <f>IF(B$2=0,0,B$4/B$2)</f>
        <v>13.3</v>
      </c>
      <c r="C5" s="157"/>
      <c r="E5" s="63" t="s">
        <v>68</v>
      </c>
      <c r="F5" s="60" t="s">
        <v>24</v>
      </c>
      <c r="G5" s="47">
        <v>1</v>
      </c>
      <c r="H5" s="133">
        <f>IF(B$17=0,0,G5/B$17)</f>
        <v>0.5</v>
      </c>
      <c r="I5" s="94">
        <v>2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1</v>
      </c>
      <c r="H6" s="133">
        <f>IF(B$17=0,0,G6/B$17)</f>
        <v>0.5</v>
      </c>
      <c r="I6" s="94">
        <v>2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0</v>
      </c>
      <c r="H10" s="133">
        <f>IF(B$17=0,0,G10/B$17)</f>
        <v>0</v>
      </c>
      <c r="I10" s="94">
        <v>13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0.5</v>
      </c>
      <c r="I19" s="94">
        <v>1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191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9" x14ac:dyDescent="0.4">
      <c r="A22" s="55" t="s">
        <v>192</v>
      </c>
      <c r="B22" s="47">
        <v>7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4">
        <v>5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9" x14ac:dyDescent="0.4">
      <c r="A26" s="58" t="s">
        <v>152</v>
      </c>
      <c r="B26" s="142">
        <v>48300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13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8" t="s">
        <v>245</v>
      </c>
      <c r="F51" s="139" t="s">
        <v>246</v>
      </c>
      <c r="G51" s="48">
        <v>1</v>
      </c>
      <c r="H51" s="140">
        <f>IF(B$17=0,0,G51/B$17)</f>
        <v>0.5</v>
      </c>
      <c r="I51" s="141">
        <v>1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33E82-91D5-494C-AC3C-82E94060075A}">
  <sheetPr codeName="Sheet2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223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2</v>
      </c>
      <c r="C2" s="151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250</v>
      </c>
      <c r="P2" s="118">
        <v>2</v>
      </c>
      <c r="Q2" s="102">
        <v>500</v>
      </c>
    </row>
    <row r="3" spans="1:17" x14ac:dyDescent="0.4">
      <c r="A3" s="55" t="s">
        <v>8</v>
      </c>
      <c r="B3" s="152">
        <v>17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-37</v>
      </c>
      <c r="N3" s="115" t="s">
        <v>133</v>
      </c>
      <c r="O3" s="122">
        <f t="shared" si="0"/>
        <v>-7000</v>
      </c>
      <c r="P3" s="119">
        <v>2</v>
      </c>
      <c r="Q3" s="103">
        <v>-14000</v>
      </c>
    </row>
    <row r="4" spans="1:17" x14ac:dyDescent="0.4">
      <c r="A4" s="55" t="s">
        <v>6</v>
      </c>
      <c r="B4" s="154">
        <v>-24.7</v>
      </c>
      <c r="C4" s="155"/>
      <c r="E4" s="63" t="s">
        <v>67</v>
      </c>
      <c r="F4" s="60" t="s">
        <v>23</v>
      </c>
      <c r="G4" s="47">
        <v>4</v>
      </c>
      <c r="H4" s="133">
        <f>IF(B$17=0,0,G4/B$17)</f>
        <v>0.8</v>
      </c>
      <c r="I4" s="94">
        <v>5</v>
      </c>
      <c r="K4" s="38">
        <v>2</v>
      </c>
      <c r="L4" s="99">
        <v>-24.7</v>
      </c>
      <c r="N4" s="115" t="s">
        <v>134</v>
      </c>
      <c r="O4" s="122">
        <f t="shared" si="0"/>
        <v>-3000</v>
      </c>
      <c r="P4" s="119">
        <v>2</v>
      </c>
      <c r="Q4" s="103">
        <v>-6000</v>
      </c>
    </row>
    <row r="5" spans="1:17" x14ac:dyDescent="0.4">
      <c r="A5" s="55" t="s">
        <v>7</v>
      </c>
      <c r="B5" s="156">
        <f>IF(B$2=0,0,B$4/B$2)</f>
        <v>-12.35</v>
      </c>
      <c r="C5" s="157"/>
      <c r="E5" s="63" t="s">
        <v>68</v>
      </c>
      <c r="F5" s="60" t="s">
        <v>24</v>
      </c>
      <c r="G5" s="47">
        <v>3</v>
      </c>
      <c r="H5" s="133">
        <f>IF(B$17=0,0,G5/B$17)</f>
        <v>0.6</v>
      </c>
      <c r="I5" s="94">
        <v>1</v>
      </c>
      <c r="N5" s="115" t="s">
        <v>135</v>
      </c>
      <c r="O5" s="122">
        <f t="shared" si="0"/>
        <v>-1000</v>
      </c>
      <c r="P5" s="119">
        <v>2</v>
      </c>
      <c r="Q5" s="103">
        <v>-2000</v>
      </c>
    </row>
    <row r="6" spans="1:17" x14ac:dyDescent="0.4">
      <c r="A6" s="55" t="s">
        <v>1</v>
      </c>
      <c r="B6" s="146">
        <f>IF(B$2=0,0,(B$7*1+B$8*2+B$9*3)/B$2)</f>
        <v>2.5</v>
      </c>
      <c r="C6" s="147"/>
      <c r="E6" s="63" t="s">
        <v>69</v>
      </c>
      <c r="F6" s="60" t="s">
        <v>12</v>
      </c>
      <c r="G6" s="47">
        <v>3</v>
      </c>
      <c r="H6" s="133">
        <f>IF(B$17=0,0,G6/B$17)</f>
        <v>0.6</v>
      </c>
      <c r="I6" s="94">
        <v>1</v>
      </c>
      <c r="N6" s="115" t="s">
        <v>136</v>
      </c>
      <c r="O6" s="122">
        <f t="shared" si="0"/>
        <v>400</v>
      </c>
      <c r="P6" s="119">
        <v>2</v>
      </c>
      <c r="Q6" s="103">
        <v>800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16000</v>
      </c>
      <c r="P7" s="120">
        <v>1</v>
      </c>
      <c r="Q7" s="104">
        <v>16000</v>
      </c>
    </row>
    <row r="8" spans="1:17" x14ac:dyDescent="0.4">
      <c r="A8" s="55" t="s">
        <v>3</v>
      </c>
      <c r="B8" s="47">
        <v>1</v>
      </c>
      <c r="C8" s="39">
        <f>IF(B$2=0,0,B8/B$2)</f>
        <v>0.5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5</v>
      </c>
      <c r="H10" s="133">
        <f>IF(B$17=0,0,G10/B$17)</f>
        <v>1</v>
      </c>
      <c r="I10" s="94">
        <v>1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12.3</v>
      </c>
      <c r="P12" s="120">
        <v>1</v>
      </c>
      <c r="Q12" s="108">
        <v>12.3</v>
      </c>
    </row>
    <row r="13" spans="1:17" x14ac:dyDescent="0.4">
      <c r="A13" s="58" t="s">
        <v>122</v>
      </c>
      <c r="B13" s="50">
        <v>3</v>
      </c>
      <c r="C13" s="44">
        <f>IF(B$3=0,0,B13/B$3)</f>
        <v>0.17647058823529413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0.23529411764705882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127</v>
      </c>
      <c r="O15" s="124">
        <f>IF(P15=0,0,Q15/P15)</f>
        <v>81.8</v>
      </c>
      <c r="P15" s="118">
        <v>1</v>
      </c>
      <c r="Q15" s="106">
        <v>81.8</v>
      </c>
    </row>
    <row r="16" spans="1:17" x14ac:dyDescent="0.4">
      <c r="A16" s="54" t="s">
        <v>125</v>
      </c>
      <c r="B16" s="46">
        <v>1</v>
      </c>
      <c r="C16" s="37">
        <f>IF(B$14=0,0,B16/B$14)</f>
        <v>0.25</v>
      </c>
      <c r="E16" s="63" t="s">
        <v>79</v>
      </c>
      <c r="F16" s="60" t="s">
        <v>34</v>
      </c>
      <c r="G16" s="47">
        <v>1</v>
      </c>
      <c r="H16" s="133">
        <f>IF(B$17=0,0,G16/B$17)</f>
        <v>0.2</v>
      </c>
      <c r="I16" s="94">
        <v>1</v>
      </c>
      <c r="N16" s="115" t="s">
        <v>172</v>
      </c>
      <c r="O16" s="125">
        <f>IF(P16=0,0,Q16/P16)</f>
        <v>-30.3</v>
      </c>
      <c r="P16" s="119">
        <v>1</v>
      </c>
      <c r="Q16" s="107">
        <v>-30.3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0.29411764705882354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129</v>
      </c>
      <c r="O17" s="125">
        <f>IF(P17=0,0,Q17/P17)</f>
        <v>-62.800000000000004</v>
      </c>
      <c r="P17" s="119">
        <v>2</v>
      </c>
      <c r="Q17" s="107">
        <v>-125.60000000000001</v>
      </c>
    </row>
    <row r="18" spans="1:17" x14ac:dyDescent="0.4">
      <c r="A18" s="55" t="s">
        <v>12</v>
      </c>
      <c r="B18" s="47">
        <v>3</v>
      </c>
      <c r="C18" s="39">
        <f>IF(B$17=0,0,B18/B$17)</f>
        <v>0.6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17" x14ac:dyDescent="0.4">
      <c r="A19" s="55" t="s">
        <v>11</v>
      </c>
      <c r="B19" s="47">
        <v>2</v>
      </c>
      <c r="C19" s="39">
        <f>IF(B$17=0,0,B19/B$17)</f>
        <v>0.4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4</v>
      </c>
      <c r="C20" s="39">
        <f>IF(B$3=0,0,B20/B$3)</f>
        <v>0.23529411764705882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1</v>
      </c>
      <c r="C21" s="135">
        <v>1</v>
      </c>
      <c r="E21" s="63" t="s">
        <v>84</v>
      </c>
      <c r="F21" s="60" t="s">
        <v>39</v>
      </c>
      <c r="G21" s="47">
        <v>1</v>
      </c>
      <c r="H21" s="133">
        <f>IF(B$17=0,0,G21/B$17)</f>
        <v>0.2</v>
      </c>
      <c r="I21" s="94">
        <v>1</v>
      </c>
    </row>
    <row r="22" spans="1:17" x14ac:dyDescent="0.4">
      <c r="A22" s="55" t="s">
        <v>192</v>
      </c>
      <c r="B22" s="47">
        <v>7</v>
      </c>
      <c r="C22" s="135">
        <v>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10600</v>
      </c>
      <c r="C23" s="41">
        <v>53000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-12425</v>
      </c>
      <c r="C24" s="45">
        <v>-49700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4">
        <v>3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47300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8" t="s">
        <v>245</v>
      </c>
      <c r="F51" s="139" t="s">
        <v>246</v>
      </c>
      <c r="G51" s="48">
        <v>1</v>
      </c>
      <c r="H51" s="140">
        <f>IF(B$17=0,0,G51/B$17)</f>
        <v>0.2</v>
      </c>
      <c r="I51" s="141">
        <v>13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29A1A-11EB-4D4D-9C13-BFB0CB4A1C02}">
  <sheetPr codeName="Sheet30"/>
  <dimension ref="A1:Q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223</v>
      </c>
      <c r="B1" s="70" t="s">
        <v>223</v>
      </c>
      <c r="C1" s="70" t="s">
        <v>223</v>
      </c>
      <c r="D1" s="71" t="s">
        <v>223</v>
      </c>
      <c r="E1" s="70" t="s">
        <v>223</v>
      </c>
      <c r="F1" s="70" t="s">
        <v>223</v>
      </c>
      <c r="G1" s="70" t="s">
        <v>223</v>
      </c>
      <c r="H1" s="70" t="s">
        <v>223</v>
      </c>
      <c r="I1" s="70" t="s">
        <v>223</v>
      </c>
      <c r="J1" s="70" t="s">
        <v>223</v>
      </c>
      <c r="K1" s="70" t="s">
        <v>223</v>
      </c>
      <c r="L1" s="70" t="s">
        <v>223</v>
      </c>
      <c r="M1" s="70" t="s">
        <v>223</v>
      </c>
      <c r="N1" s="70" t="s">
        <v>223</v>
      </c>
      <c r="O1" s="70" t="s">
        <v>223</v>
      </c>
      <c r="P1" s="70" t="s">
        <v>223</v>
      </c>
      <c r="Q1" s="70" t="s">
        <v>223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  <row r="5" spans="1:17" x14ac:dyDescent="0.4">
      <c r="A5" s="69">
        <v>2</v>
      </c>
      <c r="B5" s="66">
        <v>-24.7</v>
      </c>
      <c r="C5" s="66">
        <v>-12.35</v>
      </c>
      <c r="D5" s="71">
        <v>2.5</v>
      </c>
      <c r="E5" s="67">
        <v>0</v>
      </c>
      <c r="F5" s="67">
        <v>0.5</v>
      </c>
      <c r="G5" s="67">
        <v>0.29411764705882354</v>
      </c>
      <c r="H5" s="67">
        <v>0.23529411764705882</v>
      </c>
      <c r="I5" s="68">
        <v>10600</v>
      </c>
      <c r="J5" s="68">
        <v>-12425</v>
      </c>
      <c r="K5" s="67">
        <v>0</v>
      </c>
      <c r="L5" s="67">
        <v>0</v>
      </c>
      <c r="M5" s="67">
        <v>0.17647058823529413</v>
      </c>
      <c r="N5" s="67">
        <v>0.23529411764705882</v>
      </c>
      <c r="O5" s="67">
        <v>1</v>
      </c>
      <c r="P5" s="67">
        <v>0.25</v>
      </c>
      <c r="Q5" s="67">
        <v>0.6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2C584-75BA-4460-B6D3-3C88ABBA198D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222</v>
      </c>
      <c r="B1" s="70" t="s">
        <v>222</v>
      </c>
      <c r="C1" s="70" t="s">
        <v>222</v>
      </c>
      <c r="D1" s="71" t="s">
        <v>222</v>
      </c>
      <c r="E1" s="70" t="s">
        <v>222</v>
      </c>
      <c r="F1" s="70" t="s">
        <v>222</v>
      </c>
      <c r="G1" s="70" t="s">
        <v>222</v>
      </c>
      <c r="H1" s="70" t="s">
        <v>222</v>
      </c>
      <c r="I1" s="70" t="s">
        <v>222</v>
      </c>
      <c r="J1" s="70" t="s">
        <v>222</v>
      </c>
      <c r="K1" s="70" t="s">
        <v>222</v>
      </c>
      <c r="L1" s="70" t="s">
        <v>222</v>
      </c>
      <c r="M1" s="70" t="s">
        <v>222</v>
      </c>
      <c r="N1" s="70" t="s">
        <v>222</v>
      </c>
      <c r="O1" s="70" t="s">
        <v>222</v>
      </c>
      <c r="P1" s="70" t="s">
        <v>222</v>
      </c>
      <c r="Q1" s="70" t="s">
        <v>222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0421F-71A8-4330-B42A-F7FE309C5BA6}">
  <sheetPr codeName="Sheet26"/>
  <dimension ref="A1:Q1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200</v>
      </c>
      <c r="B1" s="70" t="s">
        <v>200</v>
      </c>
      <c r="C1" s="70" t="s">
        <v>200</v>
      </c>
      <c r="D1" s="71" t="s">
        <v>200</v>
      </c>
      <c r="E1" s="70" t="s">
        <v>200</v>
      </c>
      <c r="F1" s="70" t="s">
        <v>200</v>
      </c>
      <c r="G1" s="70" t="s">
        <v>200</v>
      </c>
      <c r="H1" s="70" t="s">
        <v>200</v>
      </c>
      <c r="I1" s="70" t="s">
        <v>200</v>
      </c>
      <c r="J1" s="70" t="s">
        <v>200</v>
      </c>
      <c r="K1" s="70" t="s">
        <v>200</v>
      </c>
      <c r="L1" s="70" t="s">
        <v>200</v>
      </c>
      <c r="M1" s="70" t="s">
        <v>200</v>
      </c>
      <c r="N1" s="70" t="s">
        <v>200</v>
      </c>
      <c r="O1" s="70" t="s">
        <v>200</v>
      </c>
      <c r="P1" s="70" t="s">
        <v>200</v>
      </c>
      <c r="Q1" s="70" t="s">
        <v>200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  <row r="11" spans="1:17" x14ac:dyDescent="0.4">
      <c r="A11" s="69">
        <v>8</v>
      </c>
      <c r="B11" s="66">
        <v>9.5999999999999943</v>
      </c>
      <c r="C11" s="66">
        <v>1.1999999999999993</v>
      </c>
      <c r="D11" s="71">
        <v>1.875</v>
      </c>
      <c r="E11" s="67">
        <v>0.25</v>
      </c>
      <c r="F11" s="67">
        <v>0.125</v>
      </c>
      <c r="G11" s="67">
        <v>0.33766233766233766</v>
      </c>
      <c r="H11" s="67">
        <v>0.16883116883116883</v>
      </c>
      <c r="I11" s="68">
        <v>6973.0769230769229</v>
      </c>
      <c r="J11" s="68">
        <v>-6569.2307692307695</v>
      </c>
      <c r="K11" s="67">
        <v>0</v>
      </c>
      <c r="L11" s="67">
        <v>0</v>
      </c>
      <c r="M11" s="67">
        <v>0.23376623376623376</v>
      </c>
      <c r="N11" s="67">
        <v>0.31168831168831168</v>
      </c>
      <c r="O11" s="67">
        <v>0.72222222222222221</v>
      </c>
      <c r="P11" s="67">
        <v>0.5</v>
      </c>
      <c r="Q11" s="67">
        <v>0.57692307692307687</v>
      </c>
    </row>
    <row r="12" spans="1:17" x14ac:dyDescent="0.4">
      <c r="A12" s="69">
        <v>9</v>
      </c>
      <c r="B12" s="66">
        <v>18.099999999999994</v>
      </c>
      <c r="C12" s="66">
        <v>2.0111111111111106</v>
      </c>
      <c r="D12" s="71">
        <v>1.8888888888888888</v>
      </c>
      <c r="E12" s="67">
        <v>0.22222222222222221</v>
      </c>
      <c r="F12" s="67">
        <v>0.1111111111111111</v>
      </c>
      <c r="G12" s="67">
        <v>0.3411764705882353</v>
      </c>
      <c r="H12" s="67">
        <v>0.16470588235294117</v>
      </c>
      <c r="I12" s="68">
        <v>6765.5172413793107</v>
      </c>
      <c r="J12" s="68">
        <v>-6378.5714285714284</v>
      </c>
      <c r="K12" s="67">
        <v>0</v>
      </c>
      <c r="L12" s="67">
        <v>0</v>
      </c>
      <c r="M12" s="67">
        <v>0.23529411764705882</v>
      </c>
      <c r="N12" s="67">
        <v>0.29411764705882354</v>
      </c>
      <c r="O12" s="67">
        <v>0.7</v>
      </c>
      <c r="P12" s="67">
        <v>0.48</v>
      </c>
      <c r="Q12" s="67">
        <v>0.58620689655172409</v>
      </c>
    </row>
    <row r="13" spans="1:17" x14ac:dyDescent="0.4">
      <c r="A13" s="69">
        <v>10</v>
      </c>
      <c r="B13" s="66">
        <v>18.099999999999994</v>
      </c>
      <c r="C13" s="66">
        <v>1.8099999999999994</v>
      </c>
      <c r="D13" s="71">
        <v>1.8</v>
      </c>
      <c r="E13" s="67">
        <v>0.3</v>
      </c>
      <c r="F13" s="67">
        <v>0.1</v>
      </c>
      <c r="G13" s="67">
        <v>0.3411764705882353</v>
      </c>
      <c r="H13" s="67">
        <v>0.16470588235294117</v>
      </c>
      <c r="I13" s="68">
        <v>6765.5172413793107</v>
      </c>
      <c r="J13" s="68">
        <v>-6378.5714285714284</v>
      </c>
      <c r="K13" s="67">
        <v>0</v>
      </c>
      <c r="L13" s="67">
        <v>0</v>
      </c>
      <c r="M13" s="67">
        <v>0.23529411764705882</v>
      </c>
      <c r="N13" s="67">
        <v>0.29411764705882354</v>
      </c>
      <c r="O13" s="67">
        <v>0.7</v>
      </c>
      <c r="P13" s="67">
        <v>0.48</v>
      </c>
      <c r="Q13" s="67">
        <v>0.58620689655172409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CD3DE-EAB2-418C-B5AB-C3CC1E224B1A}">
  <sheetPr codeName="Sheet24"/>
  <dimension ref="A1:Q2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184</v>
      </c>
      <c r="B1" s="70" t="s">
        <v>184</v>
      </c>
      <c r="C1" s="70" t="s">
        <v>184</v>
      </c>
      <c r="D1" s="71" t="s">
        <v>184</v>
      </c>
      <c r="E1" s="70" t="s">
        <v>184</v>
      </c>
      <c r="F1" s="70" t="s">
        <v>184</v>
      </c>
      <c r="G1" s="70" t="s">
        <v>184</v>
      </c>
      <c r="H1" s="70" t="s">
        <v>184</v>
      </c>
      <c r="I1" s="70" t="s">
        <v>184</v>
      </c>
      <c r="J1" s="70" t="s">
        <v>184</v>
      </c>
      <c r="K1" s="70" t="s">
        <v>184</v>
      </c>
      <c r="L1" s="70" t="s">
        <v>184</v>
      </c>
      <c r="M1" s="70" t="s">
        <v>184</v>
      </c>
      <c r="N1" s="70" t="s">
        <v>184</v>
      </c>
      <c r="O1" s="70" t="s">
        <v>184</v>
      </c>
      <c r="P1" s="70" t="s">
        <v>184</v>
      </c>
      <c r="Q1" s="70" t="s">
        <v>184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  <row r="16" spans="1:17" x14ac:dyDescent="0.4">
      <c r="A16" s="69">
        <v>13</v>
      </c>
      <c r="B16" s="66">
        <v>-144.79999999999998</v>
      </c>
      <c r="C16" s="66">
        <v>-11.138461538461538</v>
      </c>
      <c r="D16" s="71">
        <v>2.1538461538461537</v>
      </c>
      <c r="E16" s="67">
        <v>0.38461538461538464</v>
      </c>
      <c r="F16" s="67">
        <v>0.53846153846153844</v>
      </c>
      <c r="G16" s="67">
        <v>0.2767857142857143</v>
      </c>
      <c r="H16" s="67">
        <v>0.23214285714285715</v>
      </c>
      <c r="I16" s="68">
        <v>7577.4193548387093</v>
      </c>
      <c r="J16" s="68">
        <v>-8107.6923076923076</v>
      </c>
      <c r="K16" s="67">
        <v>0.15384615384615385</v>
      </c>
      <c r="L16" s="67">
        <v>0</v>
      </c>
      <c r="M16" s="67">
        <v>0.22321428571428573</v>
      </c>
      <c r="N16" s="67">
        <v>0.21428571428571427</v>
      </c>
      <c r="O16" s="67">
        <v>0.64</v>
      </c>
      <c r="P16" s="67">
        <v>0.45833333333333331</v>
      </c>
      <c r="Q16" s="67">
        <v>0.5161290322580645</v>
      </c>
    </row>
    <row r="17" spans="1:17" x14ac:dyDescent="0.4">
      <c r="A17" s="69">
        <v>14</v>
      </c>
      <c r="B17" s="66">
        <v>-138.69999999999999</v>
      </c>
      <c r="C17" s="66">
        <v>-9.9071428571428566</v>
      </c>
      <c r="D17" s="71">
        <v>2.1428571428571428</v>
      </c>
      <c r="E17" s="67">
        <v>0.35714285714285715</v>
      </c>
      <c r="F17" s="67">
        <v>0.5</v>
      </c>
      <c r="G17" s="67">
        <v>0.28813559322033899</v>
      </c>
      <c r="H17" s="67">
        <v>0.22033898305084745</v>
      </c>
      <c r="I17" s="68">
        <v>7494.1176470588234</v>
      </c>
      <c r="J17" s="68">
        <v>-8107.6923076923076</v>
      </c>
      <c r="K17" s="67">
        <v>0.14285714285714285</v>
      </c>
      <c r="L17" s="67">
        <v>0</v>
      </c>
      <c r="M17" s="67">
        <v>0.23728813559322035</v>
      </c>
      <c r="N17" s="67">
        <v>0.21186440677966101</v>
      </c>
      <c r="O17" s="67">
        <v>0.6785714285714286</v>
      </c>
      <c r="P17" s="67">
        <v>0.44</v>
      </c>
      <c r="Q17" s="67">
        <v>0.52941176470588236</v>
      </c>
    </row>
    <row r="18" spans="1:17" x14ac:dyDescent="0.4">
      <c r="A18" s="69">
        <v>15</v>
      </c>
      <c r="B18" s="66">
        <v>-85.399999999999991</v>
      </c>
      <c r="C18" s="66">
        <v>-5.6933333333333325</v>
      </c>
      <c r="D18" s="71">
        <v>2.0666666666666669</v>
      </c>
      <c r="E18" s="67">
        <v>0.4</v>
      </c>
      <c r="F18" s="67">
        <v>0.46666666666666667</v>
      </c>
      <c r="G18" s="67">
        <v>0.2857142857142857</v>
      </c>
      <c r="H18" s="67">
        <v>0.21428571428571427</v>
      </c>
      <c r="I18" s="68">
        <v>8300</v>
      </c>
      <c r="J18" s="68">
        <v>-8092.5925925925922</v>
      </c>
      <c r="K18" s="67">
        <v>0.13333333333333333</v>
      </c>
      <c r="L18" s="67">
        <v>0</v>
      </c>
      <c r="M18" s="67">
        <v>0.23015873015873015</v>
      </c>
      <c r="N18" s="67">
        <v>0.21428571428571427</v>
      </c>
      <c r="O18" s="67">
        <v>0.68965517241379315</v>
      </c>
      <c r="P18" s="67">
        <v>0.44444444444444442</v>
      </c>
      <c r="Q18" s="67">
        <v>0.5</v>
      </c>
    </row>
    <row r="19" spans="1:17" x14ac:dyDescent="0.4">
      <c r="A19" s="69">
        <v>16</v>
      </c>
      <c r="B19" s="66">
        <v>-140.79999999999998</v>
      </c>
      <c r="C19" s="66">
        <v>-8.7999999999999989</v>
      </c>
      <c r="D19" s="71">
        <v>2.125</v>
      </c>
      <c r="E19" s="67">
        <v>0.375</v>
      </c>
      <c r="F19" s="67">
        <v>0.5</v>
      </c>
      <c r="G19" s="67">
        <v>0.27611940298507465</v>
      </c>
      <c r="H19" s="67">
        <v>0.22388059701492538</v>
      </c>
      <c r="I19" s="68">
        <v>8135.135135135135</v>
      </c>
      <c r="J19" s="68">
        <v>-8053.333333333333</v>
      </c>
      <c r="K19" s="67">
        <v>0.1875</v>
      </c>
      <c r="L19" s="67">
        <v>0</v>
      </c>
      <c r="M19" s="67">
        <v>0.23880597014925373</v>
      </c>
      <c r="N19" s="67">
        <v>0.20895522388059701</v>
      </c>
      <c r="O19" s="67">
        <v>0.625</v>
      </c>
      <c r="P19" s="67">
        <v>0.42857142857142855</v>
      </c>
      <c r="Q19" s="67">
        <v>0.51351351351351349</v>
      </c>
    </row>
    <row r="20" spans="1:17" x14ac:dyDescent="0.4">
      <c r="A20" s="69">
        <v>17</v>
      </c>
      <c r="B20" s="66">
        <v>-204.5</v>
      </c>
      <c r="C20" s="66">
        <v>-12.029411764705882</v>
      </c>
      <c r="D20" s="71">
        <v>2.1764705882352939</v>
      </c>
      <c r="E20" s="67">
        <v>0.35294117647058826</v>
      </c>
      <c r="F20" s="67">
        <v>0.52941176470588236</v>
      </c>
      <c r="G20" s="67">
        <v>0.26241134751773049</v>
      </c>
      <c r="H20" s="67">
        <v>0.23404255319148937</v>
      </c>
      <c r="I20" s="68">
        <v>8135.135135135135</v>
      </c>
      <c r="J20" s="68">
        <v>-8387.878787878788</v>
      </c>
      <c r="K20" s="67">
        <v>0.23529411764705882</v>
      </c>
      <c r="L20" s="67">
        <v>0</v>
      </c>
      <c r="M20" s="67">
        <v>0.23404255319148937</v>
      </c>
      <c r="N20" s="67">
        <v>0.21985815602836881</v>
      </c>
      <c r="O20" s="67">
        <v>0.60606060606060608</v>
      </c>
      <c r="P20" s="67">
        <v>0.38709677419354838</v>
      </c>
      <c r="Q20" s="67">
        <v>0.51351351351351349</v>
      </c>
    </row>
    <row r="21" spans="1:17" x14ac:dyDescent="0.4">
      <c r="A21" s="69">
        <v>18</v>
      </c>
      <c r="B21" s="66">
        <v>-127.5</v>
      </c>
      <c r="C21" s="66">
        <v>-7.083333333333333</v>
      </c>
      <c r="D21" s="71">
        <v>2.1111111111111112</v>
      </c>
      <c r="E21" s="67">
        <v>0.3888888888888889</v>
      </c>
      <c r="F21" s="67">
        <v>0.5</v>
      </c>
      <c r="G21" s="67">
        <v>0.2857142857142857</v>
      </c>
      <c r="H21" s="67">
        <v>0.23129251700680273</v>
      </c>
      <c r="I21" s="68">
        <v>8642.8571428571431</v>
      </c>
      <c r="J21" s="68">
        <v>-8376.4705882352937</v>
      </c>
      <c r="K21" s="67">
        <v>0.22222222222222221</v>
      </c>
      <c r="L21" s="67">
        <v>5.5555555555555552E-2</v>
      </c>
      <c r="M21" s="67">
        <v>0.24489795918367346</v>
      </c>
      <c r="N21" s="67">
        <v>0.22448979591836735</v>
      </c>
      <c r="O21" s="67">
        <v>0.63888888888888884</v>
      </c>
      <c r="P21" s="67">
        <v>0.42424242424242425</v>
      </c>
      <c r="Q21" s="67">
        <v>0.47619047619047616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481CA-656B-4ABC-8423-4EFD906EF00F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A96D8-CA80-4D9E-B28F-2A29C742664F}">
  <sheetPr codeName="Sheet20"/>
  <dimension ref="A1:Q6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">
      <c r="A42" s="69">
        <v>39</v>
      </c>
      <c r="B42" s="66">
        <v>-16.699999999999989</v>
      </c>
      <c r="C42" s="66">
        <v>-0.42820512820512791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8621.875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">
      <c r="A43" s="69">
        <v>40</v>
      </c>
      <c r="B43" s="66">
        <v>39.300000000000011</v>
      </c>
      <c r="C43" s="66">
        <v>0.98250000000000026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8683.8383838383834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  <row r="44" spans="1:17" x14ac:dyDescent="0.4">
      <c r="A44" s="69">
        <v>41</v>
      </c>
      <c r="B44" s="66">
        <v>96.300000000000011</v>
      </c>
      <c r="C44" s="66">
        <v>2.3487804878048784</v>
      </c>
      <c r="D44" s="71">
        <v>1.9268292682926829</v>
      </c>
      <c r="E44" s="67">
        <v>0.41463414634146339</v>
      </c>
      <c r="F44" s="67">
        <v>0.34146341463414637</v>
      </c>
      <c r="G44" s="67">
        <v>0.30630630630630629</v>
      </c>
      <c r="H44" s="67">
        <v>0.15915915915915915</v>
      </c>
      <c r="I44" s="68">
        <v>8781.3725490196084</v>
      </c>
      <c r="J44" s="68">
        <v>-7664.1509433962265</v>
      </c>
      <c r="K44" s="67">
        <v>0.17073170731707318</v>
      </c>
      <c r="L44" s="67">
        <v>0.12195121951219512</v>
      </c>
      <c r="M44" s="67">
        <v>0.24324324324324326</v>
      </c>
      <c r="N44" s="67">
        <v>0.2072072072072072</v>
      </c>
      <c r="O44" s="67">
        <v>0.69135802469135799</v>
      </c>
      <c r="P44" s="67">
        <v>0.37681159420289856</v>
      </c>
      <c r="Q44" s="67">
        <v>0.40196078431372551</v>
      </c>
    </row>
    <row r="45" spans="1:17" x14ac:dyDescent="0.4">
      <c r="A45" s="69">
        <v>42</v>
      </c>
      <c r="B45" s="66">
        <v>97.600000000000009</v>
      </c>
      <c r="C45" s="66">
        <v>2.323809523809524</v>
      </c>
      <c r="D45" s="71">
        <v>1.9285714285714286</v>
      </c>
      <c r="E45" s="67">
        <v>0.40476190476190477</v>
      </c>
      <c r="F45" s="67">
        <v>0.33333333333333331</v>
      </c>
      <c r="G45" s="67">
        <v>0.30791788856304986</v>
      </c>
      <c r="H45" s="67">
        <v>0.15835777126099707</v>
      </c>
      <c r="I45" s="68">
        <v>8869.5238095238092</v>
      </c>
      <c r="J45" s="68">
        <v>-7670.3703703703704</v>
      </c>
      <c r="K45" s="67">
        <v>0.16666666666666666</v>
      </c>
      <c r="L45" s="67">
        <v>0.11904761904761904</v>
      </c>
      <c r="M45" s="67">
        <v>0.24926686217008798</v>
      </c>
      <c r="N45" s="67">
        <v>0.20527859237536658</v>
      </c>
      <c r="O45" s="67">
        <v>0.69411764705882351</v>
      </c>
      <c r="P45" s="67">
        <v>0.37142857142857144</v>
      </c>
      <c r="Q45" s="67">
        <v>0.41904761904761906</v>
      </c>
    </row>
    <row r="46" spans="1:17" x14ac:dyDescent="0.4">
      <c r="A46" s="69">
        <v>43</v>
      </c>
      <c r="B46" s="66">
        <v>103.10000000000001</v>
      </c>
      <c r="C46" s="66">
        <v>2.3976744186046512</v>
      </c>
      <c r="D46" s="71">
        <v>1.930232558139535</v>
      </c>
      <c r="E46" s="67">
        <v>0.39534883720930231</v>
      </c>
      <c r="F46" s="67">
        <v>0.32558139534883723</v>
      </c>
      <c r="G46" s="67">
        <v>0.30945558739255014</v>
      </c>
      <c r="H46" s="67">
        <v>0.15759312320916904</v>
      </c>
      <c r="I46" s="68">
        <v>8845.3703703703704</v>
      </c>
      <c r="J46" s="68">
        <v>-7749.090909090909</v>
      </c>
      <c r="K46" s="67">
        <v>0.16279069767441862</v>
      </c>
      <c r="L46" s="67">
        <v>0.11627906976744186</v>
      </c>
      <c r="M46" s="67">
        <v>0.25214899713467048</v>
      </c>
      <c r="N46" s="67">
        <v>0.20057306590257878</v>
      </c>
      <c r="O46" s="67">
        <v>0.70454545454545459</v>
      </c>
      <c r="P46" s="67">
        <v>0.37142857142857144</v>
      </c>
      <c r="Q46" s="67">
        <v>0.41666666666666669</v>
      </c>
    </row>
    <row r="47" spans="1:17" x14ac:dyDescent="0.4">
      <c r="A47" s="69">
        <v>44</v>
      </c>
      <c r="B47" s="66">
        <v>96.600000000000009</v>
      </c>
      <c r="C47" s="66">
        <v>2.1954545454545458</v>
      </c>
      <c r="D47" s="71">
        <v>1.9318181818181819</v>
      </c>
      <c r="E47" s="67">
        <v>0.38636363636363635</v>
      </c>
      <c r="F47" s="67">
        <v>0.31818181818181818</v>
      </c>
      <c r="G47" s="67">
        <v>0.30422535211267604</v>
      </c>
      <c r="H47" s="67">
        <v>0.16056338028169015</v>
      </c>
      <c r="I47" s="68">
        <v>8845.3703703703704</v>
      </c>
      <c r="J47" s="68">
        <v>-7591.2280701754389</v>
      </c>
      <c r="K47" s="67">
        <v>0.15909090909090909</v>
      </c>
      <c r="L47" s="67">
        <v>0.11363636363636363</v>
      </c>
      <c r="M47" s="67">
        <v>0.25352112676056338</v>
      </c>
      <c r="N47" s="67">
        <v>0.19718309859154928</v>
      </c>
      <c r="O47" s="67">
        <v>0.68888888888888888</v>
      </c>
      <c r="P47" s="67">
        <v>0.37142857142857144</v>
      </c>
      <c r="Q47" s="67">
        <v>0.41666666666666669</v>
      </c>
    </row>
    <row r="48" spans="1:17" x14ac:dyDescent="0.4">
      <c r="A48" s="69">
        <v>45</v>
      </c>
      <c r="B48" s="66">
        <v>39.500000000000007</v>
      </c>
      <c r="C48" s="66">
        <v>0.87777777777777799</v>
      </c>
      <c r="D48" s="71">
        <v>1.9555555555555555</v>
      </c>
      <c r="E48" s="67">
        <v>0.37777777777777777</v>
      </c>
      <c r="F48" s="67">
        <v>0.33333333333333331</v>
      </c>
      <c r="G48" s="67">
        <v>0.29700272479564033</v>
      </c>
      <c r="H48" s="67">
        <v>0.16621253405994552</v>
      </c>
      <c r="I48" s="68">
        <v>8874.3119266055037</v>
      </c>
      <c r="J48" s="68">
        <v>-7621.311475409836</v>
      </c>
      <c r="K48" s="67">
        <v>0.17777777777777778</v>
      </c>
      <c r="L48" s="67">
        <v>0.1111111111111111</v>
      </c>
      <c r="M48" s="67">
        <v>0.2561307901907357</v>
      </c>
      <c r="N48" s="67">
        <v>0.1907356948228883</v>
      </c>
      <c r="O48" s="67">
        <v>0.67021276595744683</v>
      </c>
      <c r="P48" s="67">
        <v>0.37142857142857144</v>
      </c>
      <c r="Q48" s="67">
        <v>0.41284403669724773</v>
      </c>
    </row>
    <row r="49" spans="1:17" x14ac:dyDescent="0.4">
      <c r="A49" s="69">
        <v>46</v>
      </c>
      <c r="B49" s="66">
        <v>37.300000000000004</v>
      </c>
      <c r="C49" s="66">
        <v>0.8108695652173914</v>
      </c>
      <c r="D49" s="71">
        <v>1.9565217391304348</v>
      </c>
      <c r="E49" s="67">
        <v>0.36956521739130432</v>
      </c>
      <c r="F49" s="67">
        <v>0.32608695652173914</v>
      </c>
      <c r="G49" s="67">
        <v>0.29333333333333333</v>
      </c>
      <c r="H49" s="67">
        <v>0.16266666666666665</v>
      </c>
      <c r="I49" s="68">
        <v>8805.454545454546</v>
      </c>
      <c r="J49" s="68">
        <v>-7621.311475409836</v>
      </c>
      <c r="K49" s="67">
        <v>0.17391304347826086</v>
      </c>
      <c r="L49" s="67">
        <v>0.10869565217391304</v>
      </c>
      <c r="M49" s="67">
        <v>0.25866666666666666</v>
      </c>
      <c r="N49" s="67">
        <v>0.192</v>
      </c>
      <c r="O49" s="67">
        <v>0.65979381443298968</v>
      </c>
      <c r="P49" s="67">
        <v>0.3611111111111111</v>
      </c>
      <c r="Q49" s="67">
        <v>0.40909090909090912</v>
      </c>
    </row>
    <row r="50" spans="1:17" x14ac:dyDescent="0.4">
      <c r="A50" s="69">
        <v>47</v>
      </c>
      <c r="B50" s="66">
        <v>71.099999999999994</v>
      </c>
      <c r="C50" s="66">
        <v>1.5127659574468084</v>
      </c>
      <c r="D50" s="71">
        <v>1.9361702127659575</v>
      </c>
      <c r="E50" s="67">
        <v>0.38297872340425532</v>
      </c>
      <c r="F50" s="67">
        <v>0.31914893617021278</v>
      </c>
      <c r="G50" s="67">
        <v>0.29396325459317585</v>
      </c>
      <c r="H50" s="67">
        <v>0.16010498687664043</v>
      </c>
      <c r="I50" s="68">
        <v>8838.3928571428569</v>
      </c>
      <c r="J50" s="68">
        <v>-7621.311475409836</v>
      </c>
      <c r="K50" s="67">
        <v>0.1702127659574468</v>
      </c>
      <c r="L50" s="67">
        <v>0.10638297872340426</v>
      </c>
      <c r="M50" s="67">
        <v>0.25984251968503935</v>
      </c>
      <c r="N50" s="67">
        <v>0.19160104986876642</v>
      </c>
      <c r="O50" s="67">
        <v>0.66666666666666663</v>
      </c>
      <c r="P50" s="67">
        <v>0.35616438356164382</v>
      </c>
      <c r="Q50" s="67">
        <v>0.41964285714285715</v>
      </c>
    </row>
    <row r="51" spans="1:17" x14ac:dyDescent="0.4">
      <c r="A51" s="69">
        <v>48</v>
      </c>
      <c r="B51" s="66">
        <v>40.899999999999991</v>
      </c>
      <c r="C51" s="66">
        <v>0.85208333333333319</v>
      </c>
      <c r="D51" s="71">
        <v>1.9583333333333333</v>
      </c>
      <c r="E51" s="67">
        <v>0.375</v>
      </c>
      <c r="F51" s="67">
        <v>0.33333333333333331</v>
      </c>
      <c r="G51" s="67">
        <v>0.29591836734693877</v>
      </c>
      <c r="H51" s="67">
        <v>0.16071428571428573</v>
      </c>
      <c r="I51" s="68">
        <v>8723.2758620689656</v>
      </c>
      <c r="J51" s="68">
        <v>-7787.3015873015875</v>
      </c>
      <c r="K51" s="67">
        <v>0.16666666666666666</v>
      </c>
      <c r="L51" s="67">
        <v>0.10416666666666667</v>
      </c>
      <c r="M51" s="67">
        <v>0.26020408163265307</v>
      </c>
      <c r="N51" s="67">
        <v>0.18877551020408162</v>
      </c>
      <c r="O51" s="67">
        <v>0.67647058823529416</v>
      </c>
      <c r="P51" s="67">
        <v>0.35135135135135137</v>
      </c>
      <c r="Q51" s="67">
        <v>0.42241379310344829</v>
      </c>
    </row>
    <row r="52" spans="1:17" x14ac:dyDescent="0.4">
      <c r="A52" s="69">
        <v>49</v>
      </c>
      <c r="B52" s="66">
        <v>-29.900000000000006</v>
      </c>
      <c r="C52" s="66">
        <v>-0.61020408163265316</v>
      </c>
      <c r="D52" s="71">
        <v>1.9795918367346939</v>
      </c>
      <c r="E52" s="67">
        <v>0.36734693877551022</v>
      </c>
      <c r="F52" s="67">
        <v>0.34693877551020408</v>
      </c>
      <c r="G52" s="67">
        <v>0.29219143576826195</v>
      </c>
      <c r="H52" s="67">
        <v>0.16372795969773299</v>
      </c>
      <c r="I52" s="68">
        <v>8723.2758620689656</v>
      </c>
      <c r="J52" s="68">
        <v>-8036.9230769230771</v>
      </c>
      <c r="K52" s="67">
        <v>0.18367346938775511</v>
      </c>
      <c r="L52" s="67">
        <v>0.10204081632653061</v>
      </c>
      <c r="M52" s="67">
        <v>0.26196473551637278</v>
      </c>
      <c r="N52" s="67">
        <v>0.18639798488664988</v>
      </c>
      <c r="O52" s="67">
        <v>0.66346153846153844</v>
      </c>
      <c r="P52" s="67">
        <v>0.35135135135135137</v>
      </c>
      <c r="Q52" s="67">
        <v>0.42241379310344829</v>
      </c>
    </row>
    <row r="53" spans="1:17" x14ac:dyDescent="0.4">
      <c r="A53" s="69">
        <v>50</v>
      </c>
      <c r="B53" s="66">
        <v>-26.900000000000006</v>
      </c>
      <c r="C53" s="66">
        <v>-0.53800000000000014</v>
      </c>
      <c r="D53" s="71">
        <v>1.98</v>
      </c>
      <c r="E53" s="67">
        <v>0.36</v>
      </c>
      <c r="F53" s="67">
        <v>0.34</v>
      </c>
      <c r="G53" s="67">
        <v>0.29484029484029484</v>
      </c>
      <c r="H53" s="67">
        <v>0.16461916461916462</v>
      </c>
      <c r="I53" s="68">
        <v>8586.6666666666661</v>
      </c>
      <c r="J53" s="68">
        <v>-7931.3432835820895</v>
      </c>
      <c r="K53" s="67">
        <v>0.18</v>
      </c>
      <c r="L53" s="67">
        <v>0.1</v>
      </c>
      <c r="M53" s="67">
        <v>0.26289926289926291</v>
      </c>
      <c r="N53" s="67">
        <v>0.1891891891891892</v>
      </c>
      <c r="O53" s="67">
        <v>0.66355140186915884</v>
      </c>
      <c r="P53" s="67">
        <v>0.36363636363636365</v>
      </c>
      <c r="Q53" s="67">
        <v>0.42499999999999999</v>
      </c>
    </row>
    <row r="54" spans="1:17" x14ac:dyDescent="0.4">
      <c r="A54" s="69">
        <v>51</v>
      </c>
      <c r="B54" s="66">
        <v>20.999999999999993</v>
      </c>
      <c r="C54" s="66">
        <v>0.41176470588235281</v>
      </c>
      <c r="D54" s="71">
        <v>1.9607843137254901</v>
      </c>
      <c r="E54" s="67">
        <v>0.37254901960784315</v>
      </c>
      <c r="F54" s="67">
        <v>0.33333333333333331</v>
      </c>
      <c r="G54" s="67">
        <v>0.29879518072289157</v>
      </c>
      <c r="H54" s="67">
        <v>0.16144578313253011</v>
      </c>
      <c r="I54" s="68">
        <v>8587.0967741935492</v>
      </c>
      <c r="J54" s="68">
        <v>-7931.3432835820895</v>
      </c>
      <c r="K54" s="67">
        <v>0.17647058823529413</v>
      </c>
      <c r="L54" s="67">
        <v>9.8039215686274508E-2</v>
      </c>
      <c r="M54" s="67">
        <v>0.26506024096385544</v>
      </c>
      <c r="N54" s="67">
        <v>0.18795180722891566</v>
      </c>
      <c r="O54" s="67">
        <v>0.66363636363636369</v>
      </c>
      <c r="P54" s="67">
        <v>0.37179487179487181</v>
      </c>
      <c r="Q54" s="67">
        <v>0.43548387096774194</v>
      </c>
    </row>
    <row r="55" spans="1:17" x14ac:dyDescent="0.4">
      <c r="A55" s="69">
        <v>52</v>
      </c>
      <c r="B55" s="66">
        <v>30.699999999999992</v>
      </c>
      <c r="C55" s="66">
        <v>0.59038461538461529</v>
      </c>
      <c r="D55" s="71">
        <v>1.9615384615384615</v>
      </c>
      <c r="E55" s="67">
        <v>0.36538461538461536</v>
      </c>
      <c r="F55" s="67">
        <v>0.32692307692307693</v>
      </c>
      <c r="G55" s="67">
        <v>0.30023640661938533</v>
      </c>
      <c r="H55" s="67">
        <v>0.15839243498817968</v>
      </c>
      <c r="I55" s="68">
        <v>8508.6614173228354</v>
      </c>
      <c r="J55" s="68">
        <v>-7931.3432835820895</v>
      </c>
      <c r="K55" s="67">
        <v>0.17307692307692307</v>
      </c>
      <c r="L55" s="67">
        <v>9.6153846153846159E-2</v>
      </c>
      <c r="M55" s="67">
        <v>0.26477541371158392</v>
      </c>
      <c r="N55" s="67">
        <v>0.1867612293144208</v>
      </c>
      <c r="O55" s="67">
        <v>0.6696428571428571</v>
      </c>
      <c r="P55" s="67">
        <v>0.379746835443038</v>
      </c>
      <c r="Q55" s="67">
        <v>0.43307086614173229</v>
      </c>
    </row>
    <row r="56" spans="1:17" x14ac:dyDescent="0.4">
      <c r="A56" s="69">
        <v>53</v>
      </c>
      <c r="B56" s="66">
        <v>76.8</v>
      </c>
      <c r="C56" s="66">
        <v>1.4490566037735848</v>
      </c>
      <c r="D56" s="71">
        <v>1.9433962264150944</v>
      </c>
      <c r="E56" s="67">
        <v>0.37735849056603776</v>
      </c>
      <c r="F56" s="67">
        <v>0.32075471698113206</v>
      </c>
      <c r="G56" s="67">
        <v>0.30162412993039445</v>
      </c>
      <c r="H56" s="67">
        <v>0.1554524361948956</v>
      </c>
      <c r="I56" s="68">
        <v>8553.0769230769238</v>
      </c>
      <c r="J56" s="68">
        <v>-7931.3432835820895</v>
      </c>
      <c r="K56" s="67">
        <v>0.16981132075471697</v>
      </c>
      <c r="L56" s="67">
        <v>9.4339622641509441E-2</v>
      </c>
      <c r="M56" s="67">
        <v>0.26682134570765659</v>
      </c>
      <c r="N56" s="67">
        <v>0.18793503480278423</v>
      </c>
      <c r="O56" s="67">
        <v>0.67826086956521736</v>
      </c>
      <c r="P56" s="67">
        <v>0.37037037037037035</v>
      </c>
      <c r="Q56" s="67">
        <v>0.43076923076923079</v>
      </c>
    </row>
    <row r="57" spans="1:17" x14ac:dyDescent="0.4">
      <c r="A57" s="69">
        <v>54</v>
      </c>
      <c r="B57" s="66">
        <v>133.30000000000001</v>
      </c>
      <c r="C57" s="66">
        <v>2.4685185185185188</v>
      </c>
      <c r="D57" s="71">
        <v>1.9259259259259258</v>
      </c>
      <c r="E57" s="67">
        <v>0.3888888888888889</v>
      </c>
      <c r="F57" s="67">
        <v>0.31481481481481483</v>
      </c>
      <c r="G57" s="67">
        <v>0.30523917995444189</v>
      </c>
      <c r="H57" s="67">
        <v>0.15261958997722094</v>
      </c>
      <c r="I57" s="68">
        <v>8598.507462686568</v>
      </c>
      <c r="J57" s="68">
        <v>-7931.3432835820895</v>
      </c>
      <c r="K57" s="67">
        <v>0.16666666666666666</v>
      </c>
      <c r="L57" s="67">
        <v>0.1111111111111111</v>
      </c>
      <c r="M57" s="67">
        <v>0.27334851936218679</v>
      </c>
      <c r="N57" s="67">
        <v>0.18906605922551253</v>
      </c>
      <c r="O57" s="67">
        <v>0.66666666666666663</v>
      </c>
      <c r="P57" s="67">
        <v>0.37349397590361444</v>
      </c>
      <c r="Q57" s="67">
        <v>0.42537313432835822</v>
      </c>
    </row>
    <row r="58" spans="1:17" x14ac:dyDescent="0.4">
      <c r="A58" s="69">
        <v>55</v>
      </c>
      <c r="B58" s="66">
        <v>181.60000000000002</v>
      </c>
      <c r="C58" s="66">
        <v>3.3018181818181822</v>
      </c>
      <c r="D58" s="71">
        <v>1.9090909090909092</v>
      </c>
      <c r="E58" s="67">
        <v>0.4</v>
      </c>
      <c r="F58" s="67">
        <v>0.30909090909090908</v>
      </c>
      <c r="G58" s="67">
        <v>0.3087248322147651</v>
      </c>
      <c r="H58" s="67">
        <v>0.14988814317673377</v>
      </c>
      <c r="I58" s="68">
        <v>8637.68115942029</v>
      </c>
      <c r="J58" s="68">
        <v>-7931.3432835820895</v>
      </c>
      <c r="K58" s="67">
        <v>0.16363636363636364</v>
      </c>
      <c r="L58" s="67">
        <v>0.12727272727272726</v>
      </c>
      <c r="M58" s="67">
        <v>0.27516778523489932</v>
      </c>
      <c r="N58" s="67">
        <v>0.18791946308724833</v>
      </c>
      <c r="O58" s="67">
        <v>0.67479674796747968</v>
      </c>
      <c r="P58" s="67">
        <v>0.38095238095238093</v>
      </c>
      <c r="Q58" s="67">
        <v>0.42753623188405798</v>
      </c>
    </row>
    <row r="59" spans="1:17" x14ac:dyDescent="0.4">
      <c r="A59" s="69">
        <v>56</v>
      </c>
      <c r="B59" s="66">
        <v>187.60000000000002</v>
      </c>
      <c r="C59" s="66">
        <v>3.3500000000000005</v>
      </c>
      <c r="D59" s="71">
        <v>1.9107142857142858</v>
      </c>
      <c r="E59" s="67">
        <v>0.39285714285714285</v>
      </c>
      <c r="F59" s="67">
        <v>0.30357142857142855</v>
      </c>
      <c r="G59" s="67">
        <v>0.30905077262693159</v>
      </c>
      <c r="H59" s="67">
        <v>0.15231788079470199</v>
      </c>
      <c r="I59" s="68">
        <v>8685.7142857142862</v>
      </c>
      <c r="J59" s="68">
        <v>-7991.304347826087</v>
      </c>
      <c r="K59" s="67">
        <v>0.16071428571428573</v>
      </c>
      <c r="L59" s="67">
        <v>0.125</v>
      </c>
      <c r="M59" s="67">
        <v>0.27593818984547464</v>
      </c>
      <c r="N59" s="67">
        <v>0.18543046357615894</v>
      </c>
      <c r="O59" s="67">
        <v>0.68</v>
      </c>
      <c r="P59" s="67">
        <v>0.38095238095238093</v>
      </c>
      <c r="Q59" s="67">
        <v>0.42142857142857143</v>
      </c>
    </row>
    <row r="60" spans="1:17" x14ac:dyDescent="0.4">
      <c r="A60" s="69">
        <v>57</v>
      </c>
      <c r="B60" s="66">
        <v>255.50000000000003</v>
      </c>
      <c r="C60" s="66">
        <v>4.4824561403508776</v>
      </c>
      <c r="D60" s="71">
        <v>1.8947368421052631</v>
      </c>
      <c r="E60" s="67">
        <v>0.40350877192982454</v>
      </c>
      <c r="F60" s="67">
        <v>0.2982456140350877</v>
      </c>
      <c r="G60" s="67">
        <v>0.31372549019607843</v>
      </c>
      <c r="H60" s="67">
        <v>0.15032679738562091</v>
      </c>
      <c r="I60" s="68">
        <v>8768.75</v>
      </c>
      <c r="J60" s="68">
        <v>-7991.304347826087</v>
      </c>
      <c r="K60" s="67">
        <v>0.15789473684210525</v>
      </c>
      <c r="L60" s="67">
        <v>0.14035087719298245</v>
      </c>
      <c r="M60" s="67">
        <v>0.27886710239651419</v>
      </c>
      <c r="N60" s="67">
        <v>0.18736383442265794</v>
      </c>
      <c r="O60" s="67">
        <v>0.6875</v>
      </c>
      <c r="P60" s="67">
        <v>0.38372093023255816</v>
      </c>
      <c r="Q60" s="67">
        <v>0.43055555555555558</v>
      </c>
    </row>
    <row r="61" spans="1:17" x14ac:dyDescent="0.4">
      <c r="A61" s="69">
        <v>58</v>
      </c>
      <c r="B61" s="66">
        <v>244.60000000000002</v>
      </c>
      <c r="C61" s="66">
        <v>4.2172413793103454</v>
      </c>
      <c r="D61" s="71">
        <v>1.896551724137931</v>
      </c>
      <c r="E61" s="67">
        <v>0.39655172413793105</v>
      </c>
      <c r="F61" s="67">
        <v>0.29310344827586204</v>
      </c>
      <c r="G61" s="67">
        <v>0.30916844349680173</v>
      </c>
      <c r="H61" s="67">
        <v>0.15351812366737741</v>
      </c>
      <c r="I61" s="68">
        <v>8762.0689655172409</v>
      </c>
      <c r="J61" s="68">
        <v>-7793.0555555555557</v>
      </c>
      <c r="K61" s="67">
        <v>0.15517241379310345</v>
      </c>
      <c r="L61" s="67">
        <v>0.13793103448275862</v>
      </c>
      <c r="M61" s="67">
        <v>0.28358208955223879</v>
      </c>
      <c r="N61" s="67">
        <v>0.18550106609808104</v>
      </c>
      <c r="O61" s="67">
        <v>0.66917293233082709</v>
      </c>
      <c r="P61" s="67">
        <v>0.37931034482758619</v>
      </c>
      <c r="Q61" s="67">
        <v>0.43448275862068964</v>
      </c>
    </row>
    <row r="62" spans="1:17" x14ac:dyDescent="0.4">
      <c r="A62" s="69">
        <v>59</v>
      </c>
      <c r="B62" s="66">
        <v>295</v>
      </c>
      <c r="C62" s="66">
        <v>5</v>
      </c>
      <c r="D62" s="71">
        <v>1.8813559322033899</v>
      </c>
      <c r="E62" s="67">
        <v>0.40677966101694918</v>
      </c>
      <c r="F62" s="67">
        <v>0.28813559322033899</v>
      </c>
      <c r="G62" s="67">
        <v>0.30721649484536084</v>
      </c>
      <c r="H62" s="67">
        <v>0.15257731958762888</v>
      </c>
      <c r="I62" s="68">
        <v>8833.5570469798658</v>
      </c>
      <c r="J62" s="68">
        <v>-7635.135135135135</v>
      </c>
      <c r="K62" s="67">
        <v>0.15254237288135594</v>
      </c>
      <c r="L62" s="67">
        <v>0.13559322033898305</v>
      </c>
      <c r="M62" s="67">
        <v>0.2907216494845361</v>
      </c>
      <c r="N62" s="67">
        <v>0.18144329896907216</v>
      </c>
      <c r="O62" s="67">
        <v>0.65957446808510634</v>
      </c>
      <c r="P62" s="67">
        <v>0.375</v>
      </c>
      <c r="Q62" s="67">
        <v>0.44295302013422821</v>
      </c>
    </row>
    <row r="63" spans="1:17" x14ac:dyDescent="0.4">
      <c r="A63" s="69">
        <v>60</v>
      </c>
      <c r="B63" s="66">
        <v>295</v>
      </c>
      <c r="C63" s="66">
        <v>4.916666666666667</v>
      </c>
      <c r="D63" s="71">
        <v>1.8666666666666667</v>
      </c>
      <c r="E63" s="67">
        <v>0.41666666666666669</v>
      </c>
      <c r="F63" s="67">
        <v>0.28333333333333333</v>
      </c>
      <c r="G63" s="67">
        <v>0.30721649484536084</v>
      </c>
      <c r="H63" s="67">
        <v>0.15257731958762888</v>
      </c>
      <c r="I63" s="68">
        <v>8833.5570469798658</v>
      </c>
      <c r="J63" s="68">
        <v>-7635.135135135135</v>
      </c>
      <c r="K63" s="67">
        <v>0.15</v>
      </c>
      <c r="L63" s="67">
        <v>0.13333333333333333</v>
      </c>
      <c r="M63" s="67">
        <v>0.2907216494845361</v>
      </c>
      <c r="N63" s="67">
        <v>0.18144329896907216</v>
      </c>
      <c r="O63" s="67">
        <v>0.65957446808510634</v>
      </c>
      <c r="P63" s="67">
        <v>0.375</v>
      </c>
      <c r="Q63" s="67">
        <v>0.44295302013422821</v>
      </c>
    </row>
    <row r="64" spans="1:17" x14ac:dyDescent="0.4">
      <c r="A64" s="69">
        <v>61</v>
      </c>
      <c r="B64" s="66">
        <v>359.4</v>
      </c>
      <c r="C64" s="66">
        <v>5.8918032786885242</v>
      </c>
      <c r="D64" s="71">
        <v>1.8524590163934427</v>
      </c>
      <c r="E64" s="67">
        <v>0.42622950819672129</v>
      </c>
      <c r="F64" s="67">
        <v>0.27868852459016391</v>
      </c>
      <c r="G64" s="67">
        <v>0.30894308943089432</v>
      </c>
      <c r="H64" s="67">
        <v>0.15040650406504066</v>
      </c>
      <c r="I64" s="68">
        <v>8948.0263157894733</v>
      </c>
      <c r="J64" s="68">
        <v>-7635.135135135135</v>
      </c>
      <c r="K64" s="67">
        <v>0.14754098360655737</v>
      </c>
      <c r="L64" s="67">
        <v>0.14754098360655737</v>
      </c>
      <c r="M64" s="67">
        <v>0.29065040650406504</v>
      </c>
      <c r="N64" s="67">
        <v>0.17886178861788618</v>
      </c>
      <c r="O64" s="67">
        <v>0.65734265734265729</v>
      </c>
      <c r="P64" s="67">
        <v>0.375</v>
      </c>
      <c r="Q64" s="67">
        <v>0.44736842105263158</v>
      </c>
    </row>
    <row r="65" spans="1:17" x14ac:dyDescent="0.4">
      <c r="A65" s="69">
        <v>62</v>
      </c>
      <c r="B65" s="66">
        <v>347.5</v>
      </c>
      <c r="C65" s="66">
        <v>5.604838709677419</v>
      </c>
      <c r="D65" s="71">
        <v>1.8548387096774193</v>
      </c>
      <c r="E65" s="67">
        <v>0.41935483870967744</v>
      </c>
      <c r="F65" s="67">
        <v>0.27419354838709675</v>
      </c>
      <c r="G65" s="67">
        <v>0.30645161290322581</v>
      </c>
      <c r="H65" s="67">
        <v>0.14919354838709678</v>
      </c>
      <c r="I65" s="68">
        <v>8948.0263157894733</v>
      </c>
      <c r="J65" s="68">
        <v>-7635.135135135135</v>
      </c>
      <c r="K65" s="67">
        <v>0.14516129032258066</v>
      </c>
      <c r="L65" s="67">
        <v>0.14516129032258066</v>
      </c>
      <c r="M65" s="67">
        <v>0.29032258064516131</v>
      </c>
      <c r="N65" s="67">
        <v>0.18145161290322581</v>
      </c>
      <c r="O65" s="67">
        <v>0.65277777777777779</v>
      </c>
      <c r="P65" s="67">
        <v>0.36666666666666664</v>
      </c>
      <c r="Q65" s="67">
        <v>0.44736842105263158</v>
      </c>
    </row>
    <row r="66" spans="1:17" x14ac:dyDescent="0.4">
      <c r="A66" s="69">
        <v>63</v>
      </c>
      <c r="B66" s="66">
        <v>345.6</v>
      </c>
      <c r="C66" s="66">
        <v>5.4857142857142858</v>
      </c>
      <c r="D66" s="71">
        <v>1.8571428571428572</v>
      </c>
      <c r="E66" s="67">
        <v>0.41269841269841268</v>
      </c>
      <c r="F66" s="67">
        <v>0.26984126984126983</v>
      </c>
      <c r="G66" s="67">
        <v>0.3061630218687873</v>
      </c>
      <c r="H66" s="67">
        <v>0.14910536779324055</v>
      </c>
      <c r="I66" s="68">
        <v>8912.9870129870123</v>
      </c>
      <c r="J66" s="68">
        <v>-7568</v>
      </c>
      <c r="K66" s="67">
        <v>0.14285714285714285</v>
      </c>
      <c r="L66" s="67">
        <v>0.14285714285714285</v>
      </c>
      <c r="M66" s="67">
        <v>0.2922465208747515</v>
      </c>
      <c r="N66" s="67">
        <v>0.17892644135188868</v>
      </c>
      <c r="O66" s="67">
        <v>0.65306122448979587</v>
      </c>
      <c r="P66" s="67">
        <v>0.36666666666666664</v>
      </c>
      <c r="Q66" s="67">
        <v>0.44805194805194803</v>
      </c>
    </row>
    <row r="67" spans="1:17" x14ac:dyDescent="0.4">
      <c r="A67" s="69">
        <v>64</v>
      </c>
      <c r="B67" s="66">
        <v>287.60000000000002</v>
      </c>
      <c r="C67" s="66">
        <v>4.4937500000000004</v>
      </c>
      <c r="D67" s="71">
        <v>1.875</v>
      </c>
      <c r="E67" s="67">
        <v>0.40625</v>
      </c>
      <c r="F67" s="67">
        <v>0.28125</v>
      </c>
      <c r="G67" s="67">
        <v>0.30078125</v>
      </c>
      <c r="H67" s="67">
        <v>0.1484375</v>
      </c>
      <c r="I67" s="68">
        <v>8912.9870129870123</v>
      </c>
      <c r="J67" s="68">
        <v>-7626.3157894736842</v>
      </c>
      <c r="K67" s="67">
        <v>0.15625</v>
      </c>
      <c r="L67" s="67">
        <v>0.140625</v>
      </c>
      <c r="M67" s="67">
        <v>0.29296875</v>
      </c>
      <c r="N67" s="67">
        <v>0.177734375</v>
      </c>
      <c r="O67" s="67">
        <v>0.64</v>
      </c>
      <c r="P67" s="67">
        <v>0.36263736263736263</v>
      </c>
      <c r="Q67" s="67">
        <v>0.44805194805194803</v>
      </c>
    </row>
    <row r="68" spans="1:17" x14ac:dyDescent="0.4">
      <c r="A68" s="69">
        <v>65</v>
      </c>
      <c r="B68" s="66">
        <v>323.60000000000002</v>
      </c>
      <c r="C68" s="66">
        <v>4.9784615384615387</v>
      </c>
      <c r="D68" s="71">
        <v>1.8615384615384616</v>
      </c>
      <c r="E68" s="67">
        <v>0.41538461538461541</v>
      </c>
      <c r="F68" s="67">
        <v>0.27692307692307694</v>
      </c>
      <c r="G68" s="67">
        <v>0.30250481695568399</v>
      </c>
      <c r="H68" s="67">
        <v>0.14836223506743737</v>
      </c>
      <c r="I68" s="68">
        <v>8923.5668789808915</v>
      </c>
      <c r="J68" s="68">
        <v>-7553.2467532467535</v>
      </c>
      <c r="K68" s="67">
        <v>0.15384615384615385</v>
      </c>
      <c r="L68" s="67">
        <v>0.13846153846153847</v>
      </c>
      <c r="M68" s="67">
        <v>0.2947976878612717</v>
      </c>
      <c r="N68" s="67">
        <v>0.17533718689788053</v>
      </c>
      <c r="O68" s="67">
        <v>0.64052287581699341</v>
      </c>
      <c r="P68" s="67">
        <v>0.36263736263736263</v>
      </c>
      <c r="Q68" s="67">
        <v>0.45222929936305734</v>
      </c>
    </row>
    <row r="69" spans="1:17" x14ac:dyDescent="0.4">
      <c r="A69" s="69">
        <v>66</v>
      </c>
      <c r="B69" s="66">
        <v>328.6</v>
      </c>
      <c r="C69" s="66">
        <v>4.9787878787878794</v>
      </c>
      <c r="D69" s="71">
        <v>1.8636363636363635</v>
      </c>
      <c r="E69" s="67">
        <v>0.40909090909090912</v>
      </c>
      <c r="F69" s="67">
        <v>0.27272727272727271</v>
      </c>
      <c r="G69" s="67">
        <v>0.30285714285714288</v>
      </c>
      <c r="H69" s="67">
        <v>0.15047619047619049</v>
      </c>
      <c r="I69" s="68">
        <v>8937.1069182389929</v>
      </c>
      <c r="J69" s="68">
        <v>-7539.2405063291135</v>
      </c>
      <c r="K69" s="67">
        <v>0.15151515151515152</v>
      </c>
      <c r="L69" s="67">
        <v>0.13636363636363635</v>
      </c>
      <c r="M69" s="67">
        <v>0.29523809523809524</v>
      </c>
      <c r="N69" s="67">
        <v>0.17714285714285713</v>
      </c>
      <c r="O69" s="67">
        <v>0.64516129032258063</v>
      </c>
      <c r="P69" s="67">
        <v>0.35483870967741937</v>
      </c>
      <c r="Q69" s="67">
        <v>0.44654088050314467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FE3A4-0A6C-44E2-AD8B-3FE3F455F42F}">
  <sheetPr codeName="Sheet18"/>
  <dimension ref="A1:Q4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  <row r="44" spans="1:17" x14ac:dyDescent="0.4">
      <c r="A44" s="69">
        <v>41</v>
      </c>
      <c r="B44" s="66">
        <v>-303.59999999999997</v>
      </c>
      <c r="C44" s="66">
        <v>-7.4048780487804873</v>
      </c>
      <c r="D44" s="71">
        <v>2.0975609756097562</v>
      </c>
      <c r="E44" s="67">
        <v>0.26829268292682928</v>
      </c>
      <c r="F44" s="67">
        <v>0.36585365853658536</v>
      </c>
      <c r="G44" s="67">
        <v>0.29295774647887324</v>
      </c>
      <c r="H44" s="67">
        <v>0.19154929577464788</v>
      </c>
      <c r="I44" s="68">
        <v>7119.2307692307695</v>
      </c>
      <c r="J44" s="68">
        <v>-7689.7058823529414</v>
      </c>
      <c r="K44" s="67">
        <v>0.12195121951219512</v>
      </c>
      <c r="L44" s="67">
        <v>4.878048780487805E-2</v>
      </c>
      <c r="M44" s="67">
        <v>0.23098591549295774</v>
      </c>
      <c r="N44" s="67">
        <v>0.25352112676056338</v>
      </c>
      <c r="O44" s="67">
        <v>0.59756097560975607</v>
      </c>
      <c r="P44" s="67">
        <v>0.32222222222222224</v>
      </c>
      <c r="Q44" s="67">
        <v>0.51923076923076927</v>
      </c>
    </row>
    <row r="45" spans="1:17" x14ac:dyDescent="0.4">
      <c r="A45" s="69">
        <v>42</v>
      </c>
      <c r="B45" s="66">
        <v>-338.7</v>
      </c>
      <c r="C45" s="66">
        <v>-8.0642857142857132</v>
      </c>
      <c r="D45" s="71">
        <v>2.1190476190476191</v>
      </c>
      <c r="E45" s="67">
        <v>0.26190476190476192</v>
      </c>
      <c r="F45" s="67">
        <v>0.38095238095238093</v>
      </c>
      <c r="G45" s="67">
        <v>0.29201101928374656</v>
      </c>
      <c r="H45" s="67">
        <v>0.1928374655647383</v>
      </c>
      <c r="I45" s="68">
        <v>7135.8490566037735</v>
      </c>
      <c r="J45" s="68">
        <v>-7807.1428571428569</v>
      </c>
      <c r="K45" s="67">
        <v>0.11904761904761904</v>
      </c>
      <c r="L45" s="67">
        <v>4.7619047619047616E-2</v>
      </c>
      <c r="M45" s="67">
        <v>0.22865013774104684</v>
      </c>
      <c r="N45" s="67">
        <v>0.25344352617079891</v>
      </c>
      <c r="O45" s="67">
        <v>0.59036144578313254</v>
      </c>
      <c r="P45" s="67">
        <v>0.32608695652173914</v>
      </c>
      <c r="Q45" s="67">
        <v>0.51886792452830188</v>
      </c>
    </row>
    <row r="46" spans="1:17" x14ac:dyDescent="0.4">
      <c r="A46" s="69">
        <v>43</v>
      </c>
      <c r="B46" s="66">
        <v>-289.7</v>
      </c>
      <c r="C46" s="66">
        <v>-6.7372093023255815</v>
      </c>
      <c r="D46" s="71">
        <v>2.0930232558139537</v>
      </c>
      <c r="E46" s="67">
        <v>0.27906976744186046</v>
      </c>
      <c r="F46" s="67">
        <v>0.37209302325581395</v>
      </c>
      <c r="G46" s="67">
        <v>0.29599999999999999</v>
      </c>
      <c r="H46" s="67">
        <v>0.18666666666666668</v>
      </c>
      <c r="I46" s="68">
        <v>6976.5765765765764</v>
      </c>
      <c r="J46" s="68">
        <v>-7807.1428571428569</v>
      </c>
      <c r="K46" s="67">
        <v>0.11627906976744186</v>
      </c>
      <c r="L46" s="67">
        <v>6.9767441860465115E-2</v>
      </c>
      <c r="M46" s="67">
        <v>0.22933333333333333</v>
      </c>
      <c r="N46" s="67">
        <v>0.26133333333333331</v>
      </c>
      <c r="O46" s="67">
        <v>0.59302325581395354</v>
      </c>
      <c r="P46" s="67">
        <v>0.33673469387755101</v>
      </c>
      <c r="Q46" s="67">
        <v>0.50450450450450446</v>
      </c>
    </row>
    <row r="47" spans="1:17" x14ac:dyDescent="0.4">
      <c r="A47" s="69">
        <v>44</v>
      </c>
      <c r="B47" s="66">
        <v>-262.59999999999997</v>
      </c>
      <c r="C47" s="66">
        <v>-5.9681818181818178</v>
      </c>
      <c r="D47" s="71">
        <v>2.0681818181818183</v>
      </c>
      <c r="E47" s="67">
        <v>0.29545454545454547</v>
      </c>
      <c r="F47" s="67">
        <v>0.36363636363636365</v>
      </c>
      <c r="G47" s="67">
        <v>0.29842931937172773</v>
      </c>
      <c r="H47" s="67">
        <v>0.18586387434554974</v>
      </c>
      <c r="I47" s="68">
        <v>6998.2456140350878</v>
      </c>
      <c r="J47" s="68">
        <v>-7866.1971830985913</v>
      </c>
      <c r="K47" s="67">
        <v>0.11363636363636363</v>
      </c>
      <c r="L47" s="67">
        <v>6.8181818181818177E-2</v>
      </c>
      <c r="M47" s="67">
        <v>0.23036649214659685</v>
      </c>
      <c r="N47" s="67">
        <v>0.25654450261780104</v>
      </c>
      <c r="O47" s="67">
        <v>0.59090909090909094</v>
      </c>
      <c r="P47" s="67">
        <v>0.33673469387755101</v>
      </c>
      <c r="Q47" s="67">
        <v>0.50877192982456143</v>
      </c>
    </row>
    <row r="48" spans="1:17" x14ac:dyDescent="0.4">
      <c r="A48" s="69">
        <v>45</v>
      </c>
      <c r="B48" s="66">
        <v>-295.39999999999998</v>
      </c>
      <c r="C48" s="66">
        <v>-6.5644444444444439</v>
      </c>
      <c r="D48" s="71">
        <v>2.088888888888889</v>
      </c>
      <c r="E48" s="67">
        <v>0.28888888888888886</v>
      </c>
      <c r="F48" s="67">
        <v>0.37777777777777777</v>
      </c>
      <c r="G48" s="67">
        <v>0.29820051413881749</v>
      </c>
      <c r="H48" s="67">
        <v>0.18766066838046272</v>
      </c>
      <c r="I48" s="68">
        <v>6945.6896551724139</v>
      </c>
      <c r="J48" s="68">
        <v>-7787.6712328767126</v>
      </c>
      <c r="K48" s="67">
        <v>0.1111111111111111</v>
      </c>
      <c r="L48" s="67">
        <v>6.6666666666666666E-2</v>
      </c>
      <c r="M48" s="67">
        <v>0.22879177377892032</v>
      </c>
      <c r="N48" s="67">
        <v>0.25449871465295631</v>
      </c>
      <c r="O48" s="67">
        <v>0.5842696629213483</v>
      </c>
      <c r="P48" s="67">
        <v>0.33333333333333331</v>
      </c>
      <c r="Q48" s="67">
        <v>0.50862068965517238</v>
      </c>
    </row>
    <row r="49" spans="1:17" x14ac:dyDescent="0.4">
      <c r="A49" s="69">
        <v>46</v>
      </c>
      <c r="B49" s="66">
        <v>-377.4</v>
      </c>
      <c r="C49" s="66">
        <v>-8.2043478260869556</v>
      </c>
      <c r="D49" s="71">
        <v>2.1086956521739131</v>
      </c>
      <c r="E49" s="67">
        <v>0.28260869565217389</v>
      </c>
      <c r="F49" s="67">
        <v>0.39130434782608697</v>
      </c>
      <c r="G49" s="67">
        <v>0.29367088607594938</v>
      </c>
      <c r="H49" s="67">
        <v>0.189873417721519</v>
      </c>
      <c r="I49" s="68">
        <v>6945.6896551724139</v>
      </c>
      <c r="J49" s="68">
        <v>-8300</v>
      </c>
      <c r="K49" s="67">
        <v>0.13043478260869565</v>
      </c>
      <c r="L49" s="67">
        <v>6.5217391304347824E-2</v>
      </c>
      <c r="M49" s="67">
        <v>0.22531645569620254</v>
      </c>
      <c r="N49" s="67">
        <v>0.25569620253164554</v>
      </c>
      <c r="O49" s="67">
        <v>0.5842696629213483</v>
      </c>
      <c r="P49" s="67">
        <v>0.32673267326732675</v>
      </c>
      <c r="Q49" s="67">
        <v>0.50862068965517238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BFE53-43B9-46DF-BA3A-2E05AF4A0C75}">
  <sheetPr codeName="Sheet16"/>
  <dimension ref="A1:Q8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  <row r="61" spans="1:17" x14ac:dyDescent="0.4">
      <c r="A61" s="69">
        <v>58</v>
      </c>
      <c r="B61" s="66">
        <v>-0.40000000000001457</v>
      </c>
      <c r="C61" s="66">
        <v>-6.8965517241381825E-3</v>
      </c>
      <c r="D61" s="71">
        <v>2.0517241379310347</v>
      </c>
      <c r="E61" s="67">
        <v>0.25862068965517243</v>
      </c>
      <c r="F61" s="67">
        <v>0.31034482758620691</v>
      </c>
      <c r="G61" s="67">
        <v>0.36220472440944884</v>
      </c>
      <c r="H61" s="67">
        <v>0.12992125984251968</v>
      </c>
      <c r="I61" s="68">
        <v>6528.260869565217</v>
      </c>
      <c r="J61" s="68">
        <v>-9269.69696969697</v>
      </c>
      <c r="K61" s="67">
        <v>5.1724137931034482E-2</v>
      </c>
      <c r="L61" s="67">
        <v>0.10344827586206896</v>
      </c>
      <c r="M61" s="67">
        <v>0.22244094488188976</v>
      </c>
      <c r="N61" s="67">
        <v>0.2874015748031496</v>
      </c>
      <c r="O61" s="67">
        <v>0.5752212389380531</v>
      </c>
      <c r="P61" s="67">
        <v>0.43835616438356162</v>
      </c>
      <c r="Q61" s="67">
        <v>0.41847826086956524</v>
      </c>
    </row>
    <row r="62" spans="1:17" x14ac:dyDescent="0.4">
      <c r="A62" s="69">
        <v>59</v>
      </c>
      <c r="B62" s="66">
        <v>21.999999999999986</v>
      </c>
      <c r="C62" s="66">
        <v>0.37288135593220317</v>
      </c>
      <c r="D62" s="71">
        <v>2.0338983050847457</v>
      </c>
      <c r="E62" s="67">
        <v>0.2711864406779661</v>
      </c>
      <c r="F62" s="67">
        <v>0.30508474576271188</v>
      </c>
      <c r="G62" s="67">
        <v>0.36434108527131781</v>
      </c>
      <c r="H62" s="67">
        <v>0.12790697674418605</v>
      </c>
      <c r="I62" s="68">
        <v>6579.255319148936</v>
      </c>
      <c r="J62" s="68">
        <v>-9269.69696969697</v>
      </c>
      <c r="K62" s="67">
        <v>5.0847457627118647E-2</v>
      </c>
      <c r="L62" s="67">
        <v>0.10169491525423729</v>
      </c>
      <c r="M62" s="67">
        <v>0.22093023255813954</v>
      </c>
      <c r="N62" s="67">
        <v>0.28875968992248063</v>
      </c>
      <c r="O62" s="67">
        <v>0.57894736842105265</v>
      </c>
      <c r="P62" s="67">
        <v>0.44295302013422821</v>
      </c>
      <c r="Q62" s="67">
        <v>0.42021276595744683</v>
      </c>
    </row>
    <row r="63" spans="1:17" x14ac:dyDescent="0.4">
      <c r="A63" s="69">
        <v>60</v>
      </c>
      <c r="B63" s="66">
        <v>66.999999999999986</v>
      </c>
      <c r="C63" s="66">
        <v>1.1166666666666665</v>
      </c>
      <c r="D63" s="71">
        <v>2.0166666666666666</v>
      </c>
      <c r="E63" s="67">
        <v>0.28333333333333333</v>
      </c>
      <c r="F63" s="67">
        <v>0.3</v>
      </c>
      <c r="G63" s="67">
        <v>0.36608863198458574</v>
      </c>
      <c r="H63" s="67">
        <v>0.12716763005780346</v>
      </c>
      <c r="I63" s="68">
        <v>6636.3157894736842</v>
      </c>
      <c r="J63" s="68">
        <v>-9269.69696969697</v>
      </c>
      <c r="K63" s="67">
        <v>0.05</v>
      </c>
      <c r="L63" s="67">
        <v>0.11666666666666667</v>
      </c>
      <c r="M63" s="67">
        <v>0.21965317919075145</v>
      </c>
      <c r="N63" s="67">
        <v>0.2928709055876686</v>
      </c>
      <c r="O63" s="67">
        <v>0.57894736842105265</v>
      </c>
      <c r="P63" s="67">
        <v>0.44736842105263158</v>
      </c>
      <c r="Q63" s="67">
        <v>0.42105263157894735</v>
      </c>
    </row>
    <row r="64" spans="1:17" x14ac:dyDescent="0.4">
      <c r="A64" s="69">
        <v>61</v>
      </c>
      <c r="B64" s="66">
        <v>39.799999999999983</v>
      </c>
      <c r="C64" s="66">
        <v>0.65245901639344239</v>
      </c>
      <c r="D64" s="71">
        <v>2.0163934426229506</v>
      </c>
      <c r="E64" s="67">
        <v>0.27868852459016391</v>
      </c>
      <c r="F64" s="67">
        <v>0.29508196721311475</v>
      </c>
      <c r="G64" s="67">
        <v>0.36174242424242425</v>
      </c>
      <c r="H64" s="67">
        <v>0.12878787878787878</v>
      </c>
      <c r="I64" s="68">
        <v>6628.7958115183246</v>
      </c>
      <c r="J64" s="68">
        <v>-9379.4117647058829</v>
      </c>
      <c r="K64" s="67">
        <v>4.9180327868852458E-2</v>
      </c>
      <c r="L64" s="67">
        <v>0.11475409836065574</v>
      </c>
      <c r="M64" s="67">
        <v>0.2178030303030303</v>
      </c>
      <c r="N64" s="67">
        <v>0.29545454545454547</v>
      </c>
      <c r="O64" s="67">
        <v>0.57391304347826089</v>
      </c>
      <c r="P64" s="67">
        <v>0.44230769230769229</v>
      </c>
      <c r="Q64" s="67">
        <v>0.41884816753926701</v>
      </c>
    </row>
    <row r="65" spans="1:17" x14ac:dyDescent="0.4">
      <c r="A65" s="69">
        <v>62</v>
      </c>
      <c r="B65" s="66">
        <v>7.9999999999999822</v>
      </c>
      <c r="C65" s="66">
        <v>0.12903225806451585</v>
      </c>
      <c r="D65" s="71">
        <v>2.032258064516129</v>
      </c>
      <c r="E65" s="67">
        <v>0.27419354838709675</v>
      </c>
      <c r="F65" s="67">
        <v>0.30645161290322581</v>
      </c>
      <c r="G65" s="67">
        <v>0.35887850467289717</v>
      </c>
      <c r="H65" s="67">
        <v>0.12897196261682242</v>
      </c>
      <c r="I65" s="68">
        <v>6635.9375</v>
      </c>
      <c r="J65" s="68">
        <v>-9417.391304347826</v>
      </c>
      <c r="K65" s="67">
        <v>4.8387096774193547E-2</v>
      </c>
      <c r="L65" s="67">
        <v>0.11290322580645161</v>
      </c>
      <c r="M65" s="67">
        <v>0.21869158878504674</v>
      </c>
      <c r="N65" s="67">
        <v>0.29532710280373831</v>
      </c>
      <c r="O65" s="67">
        <v>0.5641025641025641</v>
      </c>
      <c r="P65" s="67">
        <v>0.44303797468354428</v>
      </c>
      <c r="Q65" s="67">
        <v>0.421875</v>
      </c>
    </row>
    <row r="66" spans="1:17" x14ac:dyDescent="0.4">
      <c r="A66" s="69">
        <v>63</v>
      </c>
      <c r="B66" s="66">
        <v>45.09999999999998</v>
      </c>
      <c r="C66" s="66">
        <v>0.71587301587301555</v>
      </c>
      <c r="D66" s="71">
        <v>2.0158730158730158</v>
      </c>
      <c r="E66" s="67">
        <v>0.2857142857142857</v>
      </c>
      <c r="F66" s="67">
        <v>0.30158730158730157</v>
      </c>
      <c r="G66" s="67">
        <v>0.3596330275229358</v>
      </c>
      <c r="H66" s="67">
        <v>0.13027522935779817</v>
      </c>
      <c r="I66" s="68">
        <v>6662.2448979591836</v>
      </c>
      <c r="J66" s="68">
        <v>-9350.7042253521122</v>
      </c>
      <c r="K66" s="67">
        <v>4.7619047619047616E-2</v>
      </c>
      <c r="L66" s="67">
        <v>0.1111111111111111</v>
      </c>
      <c r="M66" s="67">
        <v>0.21834862385321102</v>
      </c>
      <c r="N66" s="67">
        <v>0.29541284403669726</v>
      </c>
      <c r="O66" s="67">
        <v>0.56302521008403361</v>
      </c>
      <c r="P66" s="67">
        <v>0.44099378881987578</v>
      </c>
      <c r="Q66" s="67">
        <v>0.42346938775510207</v>
      </c>
    </row>
    <row r="67" spans="1:17" x14ac:dyDescent="0.4">
      <c r="A67" s="69">
        <v>64</v>
      </c>
      <c r="B67" s="66">
        <v>45.899999999999977</v>
      </c>
      <c r="C67" s="66">
        <v>0.71718749999999964</v>
      </c>
      <c r="D67" s="71">
        <v>2.015625</v>
      </c>
      <c r="E67" s="67">
        <v>0.28125</v>
      </c>
      <c r="F67" s="67">
        <v>0.296875</v>
      </c>
      <c r="G67" s="67">
        <v>0.3579136690647482</v>
      </c>
      <c r="H67" s="67">
        <v>0.12949640287769784</v>
      </c>
      <c r="I67" s="68">
        <v>6665.8291457286432</v>
      </c>
      <c r="J67" s="68">
        <v>-9381.9444444444453</v>
      </c>
      <c r="K67" s="67">
        <v>4.6875E-2</v>
      </c>
      <c r="L67" s="67">
        <v>0.109375</v>
      </c>
      <c r="M67" s="67">
        <v>0.21942446043165467</v>
      </c>
      <c r="N67" s="67">
        <v>0.29136690647482016</v>
      </c>
      <c r="O67" s="67">
        <v>0.56557377049180324</v>
      </c>
      <c r="P67" s="67">
        <v>0.43827160493827161</v>
      </c>
      <c r="Q67" s="67">
        <v>0.42211055276381909</v>
      </c>
    </row>
    <row r="68" spans="1:17" x14ac:dyDescent="0.4">
      <c r="A68" s="69">
        <v>65</v>
      </c>
      <c r="B68" s="66">
        <v>38.199999999999974</v>
      </c>
      <c r="C68" s="66">
        <v>0.58769230769230729</v>
      </c>
      <c r="D68" s="71">
        <v>2.0153846153846153</v>
      </c>
      <c r="E68" s="67">
        <v>0.27692307692307694</v>
      </c>
      <c r="F68" s="67">
        <v>0.29230769230769232</v>
      </c>
      <c r="G68" s="67">
        <v>0.35879218472468916</v>
      </c>
      <c r="H68" s="67">
        <v>0.12966252220248667</v>
      </c>
      <c r="I68" s="68">
        <v>6670.7920792079212</v>
      </c>
      <c r="J68" s="68">
        <v>-9324.6575342465749</v>
      </c>
      <c r="K68" s="67">
        <v>4.6153846153846156E-2</v>
      </c>
      <c r="L68" s="67">
        <v>0.1076923076923077</v>
      </c>
      <c r="M68" s="67">
        <v>0.2202486678507993</v>
      </c>
      <c r="N68" s="67">
        <v>0.29129662522202487</v>
      </c>
      <c r="O68" s="67">
        <v>0.55645161290322576</v>
      </c>
      <c r="P68" s="67">
        <v>0.43902439024390244</v>
      </c>
      <c r="Q68" s="67">
        <v>0.43069306930693069</v>
      </c>
    </row>
    <row r="69" spans="1:17" x14ac:dyDescent="0.4">
      <c r="A69" s="69">
        <v>66</v>
      </c>
      <c r="B69" s="66">
        <v>-5.400000000000027</v>
      </c>
      <c r="C69" s="66">
        <v>-8.1818181818182234E-2</v>
      </c>
      <c r="D69" s="71">
        <v>2.0303030303030303</v>
      </c>
      <c r="E69" s="67">
        <v>0.27272727272727271</v>
      </c>
      <c r="F69" s="67">
        <v>0.30303030303030304</v>
      </c>
      <c r="G69" s="67">
        <v>0.35602094240837695</v>
      </c>
      <c r="H69" s="67">
        <v>0.13263525305410123</v>
      </c>
      <c r="I69" s="68">
        <v>6635.7843137254904</v>
      </c>
      <c r="J69" s="68">
        <v>-9127.6315789473683</v>
      </c>
      <c r="K69" s="67">
        <v>4.5454545454545456E-2</v>
      </c>
      <c r="L69" s="67">
        <v>0.10606060606060606</v>
      </c>
      <c r="M69" s="67">
        <v>0.21989528795811519</v>
      </c>
      <c r="N69" s="67">
        <v>0.29319371727748689</v>
      </c>
      <c r="O69" s="67">
        <v>0.54761904761904767</v>
      </c>
      <c r="P69" s="67">
        <v>0.43452380952380953</v>
      </c>
      <c r="Q69" s="67">
        <v>0.4264705882352941</v>
      </c>
    </row>
    <row r="70" spans="1:17" x14ac:dyDescent="0.4">
      <c r="A70" s="69">
        <v>67</v>
      </c>
      <c r="B70" s="66">
        <v>1.8999999999999728</v>
      </c>
      <c r="C70" s="66">
        <v>2.8358208955223476E-2</v>
      </c>
      <c r="D70" s="71">
        <v>2.0298507462686568</v>
      </c>
      <c r="E70" s="67">
        <v>0.26865671641791045</v>
      </c>
      <c r="F70" s="67">
        <v>0.29850746268656714</v>
      </c>
      <c r="G70" s="67">
        <v>0.35689655172413792</v>
      </c>
      <c r="H70" s="67">
        <v>0.13275862068965516</v>
      </c>
      <c r="I70" s="68">
        <v>6609.6618357487923</v>
      </c>
      <c r="J70" s="68">
        <v>-9035.0649350649346</v>
      </c>
      <c r="K70" s="67">
        <v>4.4776119402985072E-2</v>
      </c>
      <c r="L70" s="67">
        <v>0.1044776119402985</v>
      </c>
      <c r="M70" s="67">
        <v>0.2189655172413793</v>
      </c>
      <c r="N70" s="67">
        <v>0.2982758620689655</v>
      </c>
      <c r="O70" s="67">
        <v>0.55118110236220474</v>
      </c>
      <c r="P70" s="67">
        <v>0.43352601156069365</v>
      </c>
      <c r="Q70" s="67">
        <v>0.42028985507246375</v>
      </c>
    </row>
    <row r="71" spans="1:17" x14ac:dyDescent="0.4">
      <c r="A71" s="69">
        <v>68</v>
      </c>
      <c r="B71" s="66">
        <v>-39.500000000000028</v>
      </c>
      <c r="C71" s="66">
        <v>-0.58088235294117685</v>
      </c>
      <c r="D71" s="71">
        <v>2.0441176470588234</v>
      </c>
      <c r="E71" s="67">
        <v>0.26470588235294118</v>
      </c>
      <c r="F71" s="67">
        <v>0.30882352941176472</v>
      </c>
      <c r="G71" s="67">
        <v>0.35204081632653061</v>
      </c>
      <c r="H71" s="67">
        <v>0.1326530612244898</v>
      </c>
      <c r="I71" s="68">
        <v>6609.6618357487923</v>
      </c>
      <c r="J71" s="68">
        <v>-9073.0769230769238</v>
      </c>
      <c r="K71" s="67">
        <v>4.4117647058823532E-2</v>
      </c>
      <c r="L71" s="67">
        <v>0.10294117647058823</v>
      </c>
      <c r="M71" s="67">
        <v>0.21598639455782312</v>
      </c>
      <c r="N71" s="67">
        <v>0.29421768707482993</v>
      </c>
      <c r="O71" s="67">
        <v>0.55118110236220474</v>
      </c>
      <c r="P71" s="67">
        <v>0.43352601156069365</v>
      </c>
      <c r="Q71" s="67">
        <v>0.42028985507246375</v>
      </c>
    </row>
    <row r="72" spans="1:17" x14ac:dyDescent="0.4">
      <c r="A72" s="69">
        <v>69</v>
      </c>
      <c r="B72" s="66">
        <v>-7.6000000000000298</v>
      </c>
      <c r="C72" s="66">
        <v>-0.11014492753623231</v>
      </c>
      <c r="D72" s="71">
        <v>2.0289855072463769</v>
      </c>
      <c r="E72" s="67">
        <v>0.27536231884057971</v>
      </c>
      <c r="F72" s="67">
        <v>0.30434782608695654</v>
      </c>
      <c r="G72" s="67">
        <v>0.35175879396984927</v>
      </c>
      <c r="H72" s="67">
        <v>0.13400335008375208</v>
      </c>
      <c r="I72" s="68">
        <v>6635.7142857142853</v>
      </c>
      <c r="J72" s="68">
        <v>-8927.5</v>
      </c>
      <c r="K72" s="67">
        <v>4.3478260869565216E-2</v>
      </c>
      <c r="L72" s="67">
        <v>0.10144927536231885</v>
      </c>
      <c r="M72" s="67">
        <v>0.21608040201005024</v>
      </c>
      <c r="N72" s="67">
        <v>0.29145728643216079</v>
      </c>
      <c r="O72" s="67">
        <v>0.55813953488372092</v>
      </c>
      <c r="P72" s="67">
        <v>0.43103448275862066</v>
      </c>
      <c r="Q72" s="67">
        <v>0.41904761904761906</v>
      </c>
    </row>
    <row r="73" spans="1:17" x14ac:dyDescent="0.4">
      <c r="A73" s="69">
        <v>70</v>
      </c>
      <c r="B73" s="66">
        <v>-32.000000000000028</v>
      </c>
      <c r="C73" s="66">
        <v>-0.45714285714285757</v>
      </c>
      <c r="D73" s="71">
        <v>2.0428571428571427</v>
      </c>
      <c r="E73" s="67">
        <v>0.27142857142857141</v>
      </c>
      <c r="F73" s="67">
        <v>0.31428571428571428</v>
      </c>
      <c r="G73" s="67">
        <v>0.35041322314049589</v>
      </c>
      <c r="H73" s="67">
        <v>0.13388429752066117</v>
      </c>
      <c r="I73" s="68">
        <v>6620.7547169811323</v>
      </c>
      <c r="J73" s="68">
        <v>-8912.3456790123455</v>
      </c>
      <c r="K73" s="67">
        <v>4.2857142857142858E-2</v>
      </c>
      <c r="L73" s="67">
        <v>0.1</v>
      </c>
      <c r="M73" s="67">
        <v>0.21818181818181817</v>
      </c>
      <c r="N73" s="67">
        <v>0.28760330578512394</v>
      </c>
      <c r="O73" s="67">
        <v>0.55303030303030298</v>
      </c>
      <c r="P73" s="67">
        <v>0.43103448275862066</v>
      </c>
      <c r="Q73" s="67">
        <v>0.419811320754717</v>
      </c>
    </row>
    <row r="74" spans="1:17" x14ac:dyDescent="0.4">
      <c r="A74" s="69">
        <v>71</v>
      </c>
      <c r="B74" s="66">
        <v>-76.600000000000023</v>
      </c>
      <c r="C74" s="66">
        <v>-1.0788732394366201</v>
      </c>
      <c r="D74" s="71">
        <v>2.056338028169014</v>
      </c>
      <c r="E74" s="67">
        <v>0.26760563380281688</v>
      </c>
      <c r="F74" s="67">
        <v>0.323943661971831</v>
      </c>
      <c r="G74" s="67">
        <v>0.34584013050570961</v>
      </c>
      <c r="H74" s="67">
        <v>0.13703099510603589</v>
      </c>
      <c r="I74" s="68">
        <v>6620.7547169811323</v>
      </c>
      <c r="J74" s="68">
        <v>-8695.2380952380954</v>
      </c>
      <c r="K74" s="67">
        <v>4.2253521126760563E-2</v>
      </c>
      <c r="L74" s="67">
        <v>9.8591549295774641E-2</v>
      </c>
      <c r="M74" s="67">
        <v>0.21533442088091354</v>
      </c>
      <c r="N74" s="67">
        <v>0.28711256117455136</v>
      </c>
      <c r="O74" s="67">
        <v>0.55303030303030298</v>
      </c>
      <c r="P74" s="67">
        <v>0.42613636363636365</v>
      </c>
      <c r="Q74" s="67">
        <v>0.419811320754717</v>
      </c>
    </row>
    <row r="75" spans="1:17" x14ac:dyDescent="0.4">
      <c r="A75" s="69">
        <v>72</v>
      </c>
      <c r="B75" s="66">
        <v>-68.40000000000002</v>
      </c>
      <c r="C75" s="66">
        <v>-0.95000000000000029</v>
      </c>
      <c r="D75" s="71">
        <v>2.0555555555555554</v>
      </c>
      <c r="E75" s="67">
        <v>0.2638888888888889</v>
      </c>
      <c r="F75" s="67">
        <v>0.31944444444444442</v>
      </c>
      <c r="G75" s="67">
        <v>0.34460547504025762</v>
      </c>
      <c r="H75" s="67">
        <v>0.13687600644122383</v>
      </c>
      <c r="I75" s="68">
        <v>6643.4579439252338</v>
      </c>
      <c r="J75" s="68">
        <v>-8638.823529411764</v>
      </c>
      <c r="K75" s="67">
        <v>4.1666666666666664E-2</v>
      </c>
      <c r="L75" s="67">
        <v>9.7222222222222224E-2</v>
      </c>
      <c r="M75" s="67">
        <v>0.214170692431562</v>
      </c>
      <c r="N75" s="67">
        <v>0.28824476650563607</v>
      </c>
      <c r="O75" s="67">
        <v>0.55639097744360899</v>
      </c>
      <c r="P75" s="67">
        <v>0.42458100558659218</v>
      </c>
      <c r="Q75" s="67">
        <v>0.42523364485981308</v>
      </c>
    </row>
    <row r="76" spans="1:17" x14ac:dyDescent="0.4">
      <c r="A76" s="69">
        <v>73</v>
      </c>
      <c r="B76" s="66">
        <v>-129.30000000000001</v>
      </c>
      <c r="C76" s="66">
        <v>-1.7712328767123289</v>
      </c>
      <c r="D76" s="71">
        <v>2.0684931506849313</v>
      </c>
      <c r="E76" s="67">
        <v>0.26027397260273971</v>
      </c>
      <c r="F76" s="67">
        <v>0.32876712328767121</v>
      </c>
      <c r="G76" s="67">
        <v>0.34076433121019106</v>
      </c>
      <c r="H76" s="67">
        <v>0.13853503184713375</v>
      </c>
      <c r="I76" s="68">
        <v>6643.4579439252338</v>
      </c>
      <c r="J76" s="68">
        <v>-8577.0114942528744</v>
      </c>
      <c r="K76" s="67">
        <v>5.4794520547945202E-2</v>
      </c>
      <c r="L76" s="67">
        <v>9.5890410958904104E-2</v>
      </c>
      <c r="M76" s="67">
        <v>0.21178343949044587</v>
      </c>
      <c r="N76" s="67">
        <v>0.28980891719745222</v>
      </c>
      <c r="O76" s="67">
        <v>0.55639097744360899</v>
      </c>
      <c r="P76" s="67">
        <v>0.4175824175824176</v>
      </c>
      <c r="Q76" s="67">
        <v>0.42523364485981308</v>
      </c>
    </row>
    <row r="77" spans="1:17" x14ac:dyDescent="0.4">
      <c r="A77" s="69">
        <v>74</v>
      </c>
      <c r="B77" s="66">
        <v>-61.500000000000014</v>
      </c>
      <c r="C77" s="66">
        <v>-0.83108108108108125</v>
      </c>
      <c r="D77" s="71">
        <v>2.0540540540540539</v>
      </c>
      <c r="E77" s="67">
        <v>0.27027027027027029</v>
      </c>
      <c r="F77" s="67">
        <v>0.32432432432432434</v>
      </c>
      <c r="G77" s="67">
        <v>0.3449367088607595</v>
      </c>
      <c r="H77" s="67">
        <v>0.13765822784810128</v>
      </c>
      <c r="I77" s="68">
        <v>6722.4770642201838</v>
      </c>
      <c r="J77" s="68">
        <v>-8577.0114942528744</v>
      </c>
      <c r="K77" s="67">
        <v>5.4054054054054057E-2</v>
      </c>
      <c r="L77" s="67">
        <v>0.10810810810810811</v>
      </c>
      <c r="M77" s="67">
        <v>0.21202531645569619</v>
      </c>
      <c r="N77" s="67">
        <v>0.29113924050632911</v>
      </c>
      <c r="O77" s="67">
        <v>0.55970149253731338</v>
      </c>
      <c r="P77" s="67">
        <v>0.42391304347826086</v>
      </c>
      <c r="Q77" s="67">
        <v>0.42660550458715596</v>
      </c>
    </row>
    <row r="78" spans="1:17" x14ac:dyDescent="0.4">
      <c r="A78" s="69">
        <v>75</v>
      </c>
      <c r="B78" s="66">
        <v>-76.40000000000002</v>
      </c>
      <c r="C78" s="66">
        <v>-1.0186666666666668</v>
      </c>
      <c r="D78" s="71">
        <v>2.0533333333333332</v>
      </c>
      <c r="E78" s="67">
        <v>0.26666666666666666</v>
      </c>
      <c r="F78" s="67">
        <v>0.32</v>
      </c>
      <c r="G78" s="67">
        <v>0.34267912772585668</v>
      </c>
      <c r="H78" s="67">
        <v>0.13862928348909656</v>
      </c>
      <c r="I78" s="68">
        <v>6727.727272727273</v>
      </c>
      <c r="J78" s="68">
        <v>-8564.0449438202249</v>
      </c>
      <c r="K78" s="67">
        <v>5.3333333333333337E-2</v>
      </c>
      <c r="L78" s="67">
        <v>0.10666666666666667</v>
      </c>
      <c r="M78" s="67">
        <v>0.21339563862928349</v>
      </c>
      <c r="N78" s="67">
        <v>0.28971962616822428</v>
      </c>
      <c r="O78" s="67">
        <v>0.56204379562043794</v>
      </c>
      <c r="P78" s="67">
        <v>0.41935483870967744</v>
      </c>
      <c r="Q78" s="67">
        <v>0.42272727272727273</v>
      </c>
    </row>
    <row r="79" spans="1:17" x14ac:dyDescent="0.4">
      <c r="A79" s="69">
        <v>76</v>
      </c>
      <c r="B79" s="66">
        <v>-36.300000000000018</v>
      </c>
      <c r="C79" s="66">
        <v>-0.47763157894736868</v>
      </c>
      <c r="D79" s="71">
        <v>2.0394736842105261</v>
      </c>
      <c r="E79" s="67">
        <v>0.27631578947368424</v>
      </c>
      <c r="F79" s="67">
        <v>0.31578947368421051</v>
      </c>
      <c r="G79" s="67">
        <v>0.3446153846153846</v>
      </c>
      <c r="H79" s="67">
        <v>0.13846153846153847</v>
      </c>
      <c r="I79" s="68">
        <v>6741.5178571428569</v>
      </c>
      <c r="J79" s="68">
        <v>-8512.2222222222226</v>
      </c>
      <c r="K79" s="67">
        <v>5.2631578947368418E-2</v>
      </c>
      <c r="L79" s="67">
        <v>0.11842105263157894</v>
      </c>
      <c r="M79" s="67">
        <v>0.2153846153846154</v>
      </c>
      <c r="N79" s="67">
        <v>0.28769230769230769</v>
      </c>
      <c r="O79" s="67">
        <v>0.5714285714285714</v>
      </c>
      <c r="P79" s="67">
        <v>0.41711229946524064</v>
      </c>
      <c r="Q79" s="67">
        <v>0.42410714285714285</v>
      </c>
    </row>
    <row r="80" spans="1:17" x14ac:dyDescent="0.4">
      <c r="A80" s="69">
        <v>77</v>
      </c>
      <c r="B80" s="66">
        <v>-37.300000000000018</v>
      </c>
      <c r="C80" s="66">
        <v>-0.48441558441558463</v>
      </c>
      <c r="D80" s="71">
        <v>2.0389610389610389</v>
      </c>
      <c r="E80" s="67">
        <v>0.27272727272727271</v>
      </c>
      <c r="F80" s="67">
        <v>0.31168831168831168</v>
      </c>
      <c r="G80" s="67">
        <v>0.34446130500758726</v>
      </c>
      <c r="H80" s="67">
        <v>0.13960546282245828</v>
      </c>
      <c r="I80" s="68">
        <v>6792.070484581498</v>
      </c>
      <c r="J80" s="68">
        <v>-8579.347826086956</v>
      </c>
      <c r="K80" s="67">
        <v>5.1948051948051951E-2</v>
      </c>
      <c r="L80" s="67">
        <v>0.11688311688311688</v>
      </c>
      <c r="M80" s="67">
        <v>0.21396054628224584</v>
      </c>
      <c r="N80" s="67">
        <v>0.2883156297420334</v>
      </c>
      <c r="O80" s="67">
        <v>0.56737588652482274</v>
      </c>
      <c r="P80" s="67">
        <v>0.42105263157894735</v>
      </c>
      <c r="Q80" s="67">
        <v>0.42290748898678415</v>
      </c>
    </row>
    <row r="81" spans="1:17" x14ac:dyDescent="0.4">
      <c r="A81" s="69">
        <v>78</v>
      </c>
      <c r="B81" s="66">
        <v>-38.600000000000016</v>
      </c>
      <c r="C81" s="66">
        <v>-0.49487179487179506</v>
      </c>
      <c r="D81" s="71">
        <v>2.0384615384615383</v>
      </c>
      <c r="E81" s="67">
        <v>0.26923076923076922</v>
      </c>
      <c r="F81" s="67">
        <v>0.30769230769230771</v>
      </c>
      <c r="G81" s="67">
        <v>0.34384384384384387</v>
      </c>
      <c r="H81" s="67">
        <v>0.13813813813813813</v>
      </c>
      <c r="I81" s="68">
        <v>6775.1091703056773</v>
      </c>
      <c r="J81" s="68">
        <v>-8579.347826086956</v>
      </c>
      <c r="K81" s="67">
        <v>5.128205128205128E-2</v>
      </c>
      <c r="L81" s="67">
        <v>0.11538461538461539</v>
      </c>
      <c r="M81" s="67">
        <v>0.21321321321321321</v>
      </c>
      <c r="N81" s="67">
        <v>0.29129129129129128</v>
      </c>
      <c r="O81" s="67">
        <v>0.56338028169014087</v>
      </c>
      <c r="P81" s="67">
        <v>0.42268041237113402</v>
      </c>
      <c r="Q81" s="67">
        <v>0.42358078602620086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E90D4-F851-4055-A23C-61016B8A87CD}">
  <sheetPr codeName="Sheet14"/>
  <dimension ref="A1:Q9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146.79999999999998</v>
      </c>
      <c r="C73" s="66">
        <v>2.097142857142857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0.1624790619765494</v>
      </c>
      <c r="I73" s="68">
        <v>9797.0059880239514</v>
      </c>
      <c r="J73" s="68">
        <v>-7779.3814432989693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">
      <c r="A74" s="69">
        <v>71</v>
      </c>
      <c r="B74" s="66">
        <v>88.799999999999983</v>
      </c>
      <c r="C74" s="66">
        <v>1.2507042253521123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0.16638935108153077</v>
      </c>
      <c r="I74" s="68">
        <v>9797.0059880239514</v>
      </c>
      <c r="J74" s="68">
        <v>-7806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  <row r="75" spans="1:17" x14ac:dyDescent="0.4">
      <c r="A75" s="69">
        <v>72</v>
      </c>
      <c r="B75" s="66">
        <v>98.299999999999983</v>
      </c>
      <c r="C75" s="66">
        <v>1.3652777777777776</v>
      </c>
      <c r="D75" s="71">
        <v>2.0555555555555554</v>
      </c>
      <c r="E75" s="67">
        <v>0.29166666666666669</v>
      </c>
      <c r="F75" s="67">
        <v>0.34722222222222221</v>
      </c>
      <c r="G75" s="67">
        <v>0.27941176470588236</v>
      </c>
      <c r="H75" s="67">
        <v>0.16666666666666666</v>
      </c>
      <c r="I75" s="68">
        <v>9761.9883040935674</v>
      </c>
      <c r="J75" s="68">
        <v>-7748.0392156862745</v>
      </c>
      <c r="K75" s="67">
        <v>5.5555555555555552E-2</v>
      </c>
      <c r="L75" s="67">
        <v>0.125</v>
      </c>
      <c r="M75" s="67">
        <v>0.28431372549019607</v>
      </c>
      <c r="N75" s="67">
        <v>0.184640522875817</v>
      </c>
      <c r="O75" s="67">
        <v>0.58045977011494254</v>
      </c>
      <c r="P75" s="67">
        <v>0.40707964601769914</v>
      </c>
      <c r="Q75" s="67">
        <v>0.43274853801169588</v>
      </c>
    </row>
    <row r="76" spans="1:17" x14ac:dyDescent="0.4">
      <c r="A76" s="69">
        <v>73</v>
      </c>
      <c r="B76" s="66">
        <v>156.29999999999998</v>
      </c>
      <c r="C76" s="66">
        <v>2.1410958904109587</v>
      </c>
      <c r="D76" s="71">
        <v>2.0410958904109591</v>
      </c>
      <c r="E76" s="67">
        <v>0.30136986301369861</v>
      </c>
      <c r="F76" s="67">
        <v>0.34246575342465752</v>
      </c>
      <c r="G76" s="67">
        <v>0.27993527508090615</v>
      </c>
      <c r="H76" s="67">
        <v>0.16828478964401294</v>
      </c>
      <c r="I76" s="68">
        <v>9926.5895953757226</v>
      </c>
      <c r="J76" s="68">
        <v>-7724.0384615384619</v>
      </c>
      <c r="K76" s="67">
        <v>5.4794520547945202E-2</v>
      </c>
      <c r="L76" s="67">
        <v>0.13698630136986301</v>
      </c>
      <c r="M76" s="67">
        <v>0.28478964401294499</v>
      </c>
      <c r="N76" s="67">
        <v>0.18608414239482202</v>
      </c>
      <c r="O76" s="67">
        <v>0.58522727272727271</v>
      </c>
      <c r="P76" s="67">
        <v>0.4</v>
      </c>
      <c r="Q76" s="67">
        <v>0.43352601156069365</v>
      </c>
    </row>
    <row r="77" spans="1:17" x14ac:dyDescent="0.4">
      <c r="A77" s="69">
        <v>74</v>
      </c>
      <c r="B77" s="66">
        <v>99.299999999999983</v>
      </c>
      <c r="C77" s="66">
        <v>1.3418918918918916</v>
      </c>
      <c r="D77" s="71">
        <v>2.0540540540540539</v>
      </c>
      <c r="E77" s="67">
        <v>0.29729729729729731</v>
      </c>
      <c r="F77" s="67">
        <v>0.35135135135135137</v>
      </c>
      <c r="G77" s="67">
        <v>0.27858293075684382</v>
      </c>
      <c r="H77" s="67">
        <v>0.17230273752012881</v>
      </c>
      <c r="I77" s="68">
        <v>9926.5895953757226</v>
      </c>
      <c r="J77" s="68">
        <v>-7843.9252336448599</v>
      </c>
      <c r="K77" s="67">
        <v>6.7567567567567571E-2</v>
      </c>
      <c r="L77" s="67">
        <v>0.13513513513513514</v>
      </c>
      <c r="M77" s="67">
        <v>0.28341384863123992</v>
      </c>
      <c r="N77" s="67">
        <v>0.18840579710144928</v>
      </c>
      <c r="O77" s="67">
        <v>0.58522727272727271</v>
      </c>
      <c r="P77" s="67">
        <v>0.39316239316239315</v>
      </c>
      <c r="Q77" s="67">
        <v>0.43352601156069365</v>
      </c>
    </row>
    <row r="78" spans="1:17" x14ac:dyDescent="0.4">
      <c r="A78" s="69">
        <v>75</v>
      </c>
      <c r="B78" s="66">
        <v>145.29999999999998</v>
      </c>
      <c r="C78" s="66">
        <v>1.9373333333333331</v>
      </c>
      <c r="D78" s="71">
        <v>2.04</v>
      </c>
      <c r="E78" s="67">
        <v>0.30666666666666664</v>
      </c>
      <c r="F78" s="67">
        <v>0.34666666666666668</v>
      </c>
      <c r="G78" s="67">
        <v>0.28298887122416533</v>
      </c>
      <c r="H78" s="67">
        <v>0.17170111287758347</v>
      </c>
      <c r="I78" s="68">
        <v>9939.8876404494385</v>
      </c>
      <c r="J78" s="68">
        <v>-7845.3703703703704</v>
      </c>
      <c r="K78" s="67">
        <v>6.6666666666666666E-2</v>
      </c>
      <c r="L78" s="67">
        <v>0.13333333333333333</v>
      </c>
      <c r="M78" s="67">
        <v>0.2861685214626391</v>
      </c>
      <c r="N78" s="67">
        <v>0.18759936406995231</v>
      </c>
      <c r="O78" s="67">
        <v>0.58888888888888891</v>
      </c>
      <c r="P78" s="67">
        <v>0.39830508474576271</v>
      </c>
      <c r="Q78" s="67">
        <v>0.42696629213483145</v>
      </c>
    </row>
    <row r="79" spans="1:17" x14ac:dyDescent="0.4">
      <c r="A79" s="69">
        <v>76</v>
      </c>
      <c r="B79" s="66">
        <v>163.29999999999998</v>
      </c>
      <c r="C79" s="66">
        <v>2.1486842105263158</v>
      </c>
      <c r="D79" s="71">
        <v>2.0394736842105261</v>
      </c>
      <c r="E79" s="67">
        <v>0.30263157894736842</v>
      </c>
      <c r="F79" s="67">
        <v>0.34210526315789475</v>
      </c>
      <c r="G79" s="67">
        <v>0.28322784810126583</v>
      </c>
      <c r="H79" s="67">
        <v>0.17088607594936708</v>
      </c>
      <c r="I79" s="68">
        <v>10018.435754189944</v>
      </c>
      <c r="J79" s="68">
        <v>-7845.3703703703704</v>
      </c>
      <c r="K79" s="67">
        <v>6.5789473684210523E-2</v>
      </c>
      <c r="L79" s="67">
        <v>0.13157894736842105</v>
      </c>
      <c r="M79" s="67">
        <v>0.2848101265822785</v>
      </c>
      <c r="N79" s="67">
        <v>0.18829113924050633</v>
      </c>
      <c r="O79" s="67">
        <v>0.58888888888888891</v>
      </c>
      <c r="P79" s="67">
        <v>0.40336134453781514</v>
      </c>
      <c r="Q79" s="67">
        <v>0.42458100558659218</v>
      </c>
    </row>
    <row r="80" spans="1:17" x14ac:dyDescent="0.4">
      <c r="A80" s="69">
        <v>77</v>
      </c>
      <c r="B80" s="66">
        <v>89.59999999999998</v>
      </c>
      <c r="C80" s="66">
        <v>1.1636363636363634</v>
      </c>
      <c r="D80" s="71">
        <v>2.051948051948052</v>
      </c>
      <c r="E80" s="67">
        <v>0.29870129870129869</v>
      </c>
      <c r="F80" s="67">
        <v>0.35064935064935066</v>
      </c>
      <c r="G80" s="67">
        <v>0.28081123244929795</v>
      </c>
      <c r="H80" s="67">
        <v>0.17628705148205928</v>
      </c>
      <c r="I80" s="68">
        <v>10062.777777777777</v>
      </c>
      <c r="J80" s="68">
        <v>-8037.1681415929206</v>
      </c>
      <c r="K80" s="67">
        <v>7.792207792207792E-2</v>
      </c>
      <c r="L80" s="67">
        <v>0.12987012987012986</v>
      </c>
      <c r="M80" s="67">
        <v>0.28549141965678626</v>
      </c>
      <c r="N80" s="67">
        <v>0.19188767550702029</v>
      </c>
      <c r="O80" s="67">
        <v>0.57923497267759561</v>
      </c>
      <c r="P80" s="67">
        <v>0.3983739837398374</v>
      </c>
      <c r="Q80" s="67">
        <v>0.42222222222222222</v>
      </c>
    </row>
    <row r="81" spans="1:17" x14ac:dyDescent="0.4">
      <c r="A81" s="69">
        <v>78</v>
      </c>
      <c r="B81" s="66">
        <v>94.299999999999983</v>
      </c>
      <c r="C81" s="66">
        <v>1.2089743589743587</v>
      </c>
      <c r="D81" s="71">
        <v>2.0512820512820511</v>
      </c>
      <c r="E81" s="67">
        <v>0.29487179487179488</v>
      </c>
      <c r="F81" s="67">
        <v>0.34615384615384615</v>
      </c>
      <c r="G81" s="67">
        <v>0.28240740740740738</v>
      </c>
      <c r="H81" s="67">
        <v>0.17592592592592593</v>
      </c>
      <c r="I81" s="68">
        <v>10057.92349726776</v>
      </c>
      <c r="J81" s="68">
        <v>-8107.0175438596489</v>
      </c>
      <c r="K81" s="67">
        <v>7.6923076923076927E-2</v>
      </c>
      <c r="L81" s="67">
        <v>0.12820512820512819</v>
      </c>
      <c r="M81" s="67">
        <v>0.28858024691358025</v>
      </c>
      <c r="N81" s="67">
        <v>0.19135802469135801</v>
      </c>
      <c r="O81" s="67">
        <v>0.58288770053475936</v>
      </c>
      <c r="P81" s="67">
        <v>0.39516129032258063</v>
      </c>
      <c r="Q81" s="67">
        <v>0.42076502732240439</v>
      </c>
    </row>
    <row r="82" spans="1:17" x14ac:dyDescent="0.4">
      <c r="A82" s="69">
        <v>79</v>
      </c>
      <c r="B82" s="66">
        <v>118.49999999999999</v>
      </c>
      <c r="C82" s="66">
        <v>1.4999999999999998</v>
      </c>
      <c r="D82" s="71">
        <v>2.037974683544304</v>
      </c>
      <c r="E82" s="67">
        <v>0.30379746835443039</v>
      </c>
      <c r="F82" s="67">
        <v>0.34177215189873417</v>
      </c>
      <c r="G82" s="67">
        <v>0.28376327769347498</v>
      </c>
      <c r="H82" s="67">
        <v>0.17754172989377845</v>
      </c>
      <c r="I82" s="68">
        <v>9977.5401069518721</v>
      </c>
      <c r="J82" s="68">
        <v>-8087.1794871794873</v>
      </c>
      <c r="K82" s="67">
        <v>7.5949367088607597E-2</v>
      </c>
      <c r="L82" s="67">
        <v>0.12658227848101267</v>
      </c>
      <c r="M82" s="67">
        <v>0.2898330804248862</v>
      </c>
      <c r="N82" s="67">
        <v>0.19423368740515934</v>
      </c>
      <c r="O82" s="67">
        <v>0.5759162303664922</v>
      </c>
      <c r="P82" s="67">
        <v>0.40625</v>
      </c>
      <c r="Q82" s="67">
        <v>0.42245989304812837</v>
      </c>
    </row>
    <row r="83" spans="1:17" x14ac:dyDescent="0.4">
      <c r="A83" s="69">
        <v>80</v>
      </c>
      <c r="B83" s="66">
        <v>109.69999999999999</v>
      </c>
      <c r="C83" s="66">
        <v>1.3712499999999999</v>
      </c>
      <c r="D83" s="71">
        <v>2.0375000000000001</v>
      </c>
      <c r="E83" s="67">
        <v>0.3</v>
      </c>
      <c r="F83" s="67">
        <v>0.33750000000000002</v>
      </c>
      <c r="G83" s="67">
        <v>0.28313253012048195</v>
      </c>
      <c r="H83" s="67">
        <v>0.17771084337349397</v>
      </c>
      <c r="I83" s="68">
        <v>9967.021276595744</v>
      </c>
      <c r="J83" s="68">
        <v>-8059.3220338983047</v>
      </c>
      <c r="K83" s="67">
        <v>7.4999999999999997E-2</v>
      </c>
      <c r="L83" s="67">
        <v>0.125</v>
      </c>
      <c r="M83" s="67">
        <v>0.29066265060240964</v>
      </c>
      <c r="N83" s="67">
        <v>0.19427710843373494</v>
      </c>
      <c r="O83" s="67">
        <v>0.57512953367875652</v>
      </c>
      <c r="P83" s="67">
        <v>0.40310077519379844</v>
      </c>
      <c r="Q83" s="67">
        <v>0.42021276595744683</v>
      </c>
    </row>
    <row r="84" spans="1:17" x14ac:dyDescent="0.4">
      <c r="A84" s="69">
        <v>81</v>
      </c>
      <c r="B84" s="66">
        <v>173.1</v>
      </c>
      <c r="C84" s="66">
        <v>2.1370370370370368</v>
      </c>
      <c r="D84" s="71">
        <v>2.0246913580246915</v>
      </c>
      <c r="E84" s="67">
        <v>0.30864197530864196</v>
      </c>
      <c r="F84" s="67">
        <v>0.33333333333333331</v>
      </c>
      <c r="G84" s="67">
        <v>0.28464977645305511</v>
      </c>
      <c r="H84" s="67">
        <v>0.17585692995529062</v>
      </c>
      <c r="I84" s="68">
        <v>10089.005235602095</v>
      </c>
      <c r="J84" s="68">
        <v>-8059.3220338983047</v>
      </c>
      <c r="K84" s="67">
        <v>7.407407407407407E-2</v>
      </c>
      <c r="L84" s="67">
        <v>0.13580246913580246</v>
      </c>
      <c r="M84" s="67">
        <v>0.29210134128166915</v>
      </c>
      <c r="N84" s="67">
        <v>0.19374068554396423</v>
      </c>
      <c r="O84" s="67">
        <v>0.57653061224489799</v>
      </c>
      <c r="P84" s="67">
        <v>0.40769230769230769</v>
      </c>
      <c r="Q84" s="67">
        <v>0.42408376963350786</v>
      </c>
    </row>
    <row r="85" spans="1:17" x14ac:dyDescent="0.4">
      <c r="A85" s="69">
        <v>82</v>
      </c>
      <c r="B85" s="66">
        <v>214.1</v>
      </c>
      <c r="C85" s="66">
        <v>2.6109756097560974</v>
      </c>
      <c r="D85" s="71">
        <v>2.0121951219512195</v>
      </c>
      <c r="E85" s="67">
        <v>0.31707317073170732</v>
      </c>
      <c r="F85" s="67">
        <v>0.32926829268292684</v>
      </c>
      <c r="G85" s="67">
        <v>0.28592375366568917</v>
      </c>
      <c r="H85" s="67">
        <v>0.1744868035190616</v>
      </c>
      <c r="I85" s="68">
        <v>10080</v>
      </c>
      <c r="J85" s="68">
        <v>-8092.4369747899163</v>
      </c>
      <c r="K85" s="67">
        <v>7.3170731707317069E-2</v>
      </c>
      <c r="L85" s="67">
        <v>0.13414634146341464</v>
      </c>
      <c r="M85" s="67">
        <v>0.29472140762463345</v>
      </c>
      <c r="N85" s="67">
        <v>0.1906158357771261</v>
      </c>
      <c r="O85" s="67">
        <v>0.57213930348258701</v>
      </c>
      <c r="P85" s="67">
        <v>0.40769230769230769</v>
      </c>
      <c r="Q85" s="67">
        <v>0.41538461538461541</v>
      </c>
    </row>
    <row r="86" spans="1:17" x14ac:dyDescent="0.4">
      <c r="A86" s="69">
        <v>83</v>
      </c>
      <c r="B86" s="66">
        <v>210.9</v>
      </c>
      <c r="C86" s="66">
        <v>2.5409638554216869</v>
      </c>
      <c r="D86" s="71">
        <v>2.0120481927710845</v>
      </c>
      <c r="E86" s="67">
        <v>0.31325301204819278</v>
      </c>
      <c r="F86" s="67">
        <v>0.3253012048192771</v>
      </c>
      <c r="G86" s="67">
        <v>0.28592162554426703</v>
      </c>
      <c r="H86" s="67">
        <v>0.17271407837445574</v>
      </c>
      <c r="I86" s="68">
        <v>10031.472081218275</v>
      </c>
      <c r="J86" s="68">
        <v>-8092.4369747899163</v>
      </c>
      <c r="K86" s="67">
        <v>7.2289156626506021E-2</v>
      </c>
      <c r="L86" s="67">
        <v>0.13253012048192772</v>
      </c>
      <c r="M86" s="67">
        <v>0.2960812772133527</v>
      </c>
      <c r="N86" s="67">
        <v>0.19013062409288825</v>
      </c>
      <c r="O86" s="67">
        <v>0.57352941176470584</v>
      </c>
      <c r="P86" s="67">
        <v>0.40458015267175573</v>
      </c>
      <c r="Q86" s="67">
        <v>0.41116751269035534</v>
      </c>
    </row>
    <row r="87" spans="1:17" x14ac:dyDescent="0.4">
      <c r="A87" s="69">
        <v>84</v>
      </c>
      <c r="B87" s="66">
        <v>275.10000000000002</v>
      </c>
      <c r="C87" s="66">
        <v>3.2750000000000004</v>
      </c>
      <c r="D87" s="71">
        <v>2</v>
      </c>
      <c r="E87" s="67">
        <v>0.32142857142857145</v>
      </c>
      <c r="F87" s="67">
        <v>0.32142857142857145</v>
      </c>
      <c r="G87" s="67">
        <v>0.28898426323319026</v>
      </c>
      <c r="H87" s="67">
        <v>0.17024320457796852</v>
      </c>
      <c r="I87" s="68">
        <v>10054.455445544554</v>
      </c>
      <c r="J87" s="68">
        <v>-8092.4369747899163</v>
      </c>
      <c r="K87" s="67">
        <v>7.1428571428571425E-2</v>
      </c>
      <c r="L87" s="67">
        <v>0.14285714285714285</v>
      </c>
      <c r="M87" s="67">
        <v>0.29327610872675253</v>
      </c>
      <c r="N87" s="67">
        <v>0.19170243204577969</v>
      </c>
      <c r="O87" s="67">
        <v>0.57560975609756093</v>
      </c>
      <c r="P87" s="67">
        <v>0.41791044776119401</v>
      </c>
      <c r="Q87" s="67">
        <v>0.40594059405940597</v>
      </c>
    </row>
    <row r="88" spans="1:17" x14ac:dyDescent="0.4">
      <c r="A88" s="69">
        <v>85</v>
      </c>
      <c r="B88" s="66">
        <v>213.10000000000002</v>
      </c>
      <c r="C88" s="66">
        <v>2.507058823529412</v>
      </c>
      <c r="D88" s="71">
        <v>2.0117647058823529</v>
      </c>
      <c r="E88" s="67">
        <v>0.31764705882352939</v>
      </c>
      <c r="F88" s="67">
        <v>0.32941176470588235</v>
      </c>
      <c r="G88" s="67">
        <v>0.2867231638418079</v>
      </c>
      <c r="H88" s="67">
        <v>0.16949152542372881</v>
      </c>
      <c r="I88" s="68">
        <v>10064.039408866995</v>
      </c>
      <c r="J88" s="68">
        <v>-8291.6666666666661</v>
      </c>
      <c r="K88" s="67">
        <v>8.2352941176470587E-2</v>
      </c>
      <c r="L88" s="67">
        <v>0.14117647058823529</v>
      </c>
      <c r="M88" s="67">
        <v>0.2923728813559322</v>
      </c>
      <c r="N88" s="67">
        <v>0.18926553672316385</v>
      </c>
      <c r="O88" s="67">
        <v>0.5748792270531401</v>
      </c>
      <c r="P88" s="67">
        <v>0.41791044776119401</v>
      </c>
      <c r="Q88" s="67">
        <v>0.40886699507389163</v>
      </c>
    </row>
    <row r="89" spans="1:17" x14ac:dyDescent="0.4">
      <c r="A89" s="69">
        <v>86</v>
      </c>
      <c r="B89" s="66">
        <v>158.50000000000003</v>
      </c>
      <c r="C89" s="66">
        <v>1.8430232558139539</v>
      </c>
      <c r="D89" s="71">
        <v>2.0232558139534884</v>
      </c>
      <c r="E89" s="67">
        <v>0.31395348837209303</v>
      </c>
      <c r="F89" s="67">
        <v>0.33720930232558138</v>
      </c>
      <c r="G89" s="67">
        <v>0.28491620111731841</v>
      </c>
      <c r="H89" s="67">
        <v>0.1717877094972067</v>
      </c>
      <c r="I89" s="68">
        <v>10033.823529411764</v>
      </c>
      <c r="J89" s="68">
        <v>-8311.3821138211388</v>
      </c>
      <c r="K89" s="67">
        <v>8.1395348837209308E-2</v>
      </c>
      <c r="L89" s="67">
        <v>0.13953488372093023</v>
      </c>
      <c r="M89" s="67">
        <v>0.29329608938547486</v>
      </c>
      <c r="N89" s="67">
        <v>0.18854748603351956</v>
      </c>
      <c r="O89" s="67">
        <v>0.56666666666666665</v>
      </c>
      <c r="P89" s="67">
        <v>0.42222222222222222</v>
      </c>
      <c r="Q89" s="67">
        <v>0.40686274509803921</v>
      </c>
    </row>
    <row r="90" spans="1:17" x14ac:dyDescent="0.4">
      <c r="A90" s="69">
        <v>87</v>
      </c>
      <c r="B90" s="66">
        <v>102.50000000000003</v>
      </c>
      <c r="C90" s="66">
        <v>1.1781609195402303</v>
      </c>
      <c r="D90" s="71">
        <v>2.0344827586206895</v>
      </c>
      <c r="E90" s="67">
        <v>0.31034482758620691</v>
      </c>
      <c r="F90" s="67">
        <v>0.34482758620689657</v>
      </c>
      <c r="G90" s="67">
        <v>0.28254847645429365</v>
      </c>
      <c r="H90" s="67">
        <v>0.17313019390581719</v>
      </c>
      <c r="I90" s="68">
        <v>10033.823529411764</v>
      </c>
      <c r="J90" s="68">
        <v>-8434.4</v>
      </c>
      <c r="K90" s="67">
        <v>9.1954022988505746E-2</v>
      </c>
      <c r="L90" s="67">
        <v>0.13793103448275862</v>
      </c>
      <c r="M90" s="67">
        <v>0.29224376731301938</v>
      </c>
      <c r="N90" s="67">
        <v>0.18975069252077562</v>
      </c>
      <c r="O90" s="67">
        <v>0.56398104265402849</v>
      </c>
      <c r="P90" s="67">
        <v>0.41605839416058393</v>
      </c>
      <c r="Q90" s="67">
        <v>0.40686274509803921</v>
      </c>
    </row>
    <row r="91" spans="1:17" x14ac:dyDescent="0.4">
      <c r="A91" s="69">
        <v>88</v>
      </c>
      <c r="B91" s="66">
        <v>46.300000000000026</v>
      </c>
      <c r="C91" s="66">
        <v>0.52613636363636396</v>
      </c>
      <c r="D91" s="71">
        <v>2.0454545454545454</v>
      </c>
      <c r="E91" s="67">
        <v>0.30681818181818182</v>
      </c>
      <c r="F91" s="67">
        <v>0.35227272727272729</v>
      </c>
      <c r="G91" s="67">
        <v>0.28159340659340659</v>
      </c>
      <c r="H91" s="67">
        <v>0.17445054945054944</v>
      </c>
      <c r="I91" s="68">
        <v>10010.731707317073</v>
      </c>
      <c r="J91" s="68">
        <v>-8534.645669291338</v>
      </c>
      <c r="K91" s="67">
        <v>0.10227272727272728</v>
      </c>
      <c r="L91" s="67">
        <v>0.13636363636363635</v>
      </c>
      <c r="M91" s="67">
        <v>0.29120879120879123</v>
      </c>
      <c r="N91" s="67">
        <v>0.18818681318681318</v>
      </c>
      <c r="O91" s="67">
        <v>0.56603773584905659</v>
      </c>
      <c r="P91" s="67">
        <v>0.41605839416058393</v>
      </c>
      <c r="Q91" s="67">
        <v>0.40975609756097559</v>
      </c>
    </row>
    <row r="92" spans="1:17" x14ac:dyDescent="0.4">
      <c r="A92" s="69">
        <v>89</v>
      </c>
      <c r="B92" s="66">
        <v>32.000000000000028</v>
      </c>
      <c r="C92" s="66">
        <v>0.35955056179775313</v>
      </c>
      <c r="D92" s="71">
        <v>2.0449438202247192</v>
      </c>
      <c r="E92" s="67">
        <v>0.30337078651685395</v>
      </c>
      <c r="F92" s="67">
        <v>0.34831460674157305</v>
      </c>
      <c r="G92" s="67">
        <v>0.28360215053763443</v>
      </c>
      <c r="H92" s="67">
        <v>0.17473118279569894</v>
      </c>
      <c r="I92" s="68">
        <v>9831.2796208530799</v>
      </c>
      <c r="J92" s="68">
        <v>-8504.6153846153848</v>
      </c>
      <c r="K92" s="67">
        <v>0.10112359550561797</v>
      </c>
      <c r="L92" s="67">
        <v>0.1348314606741573</v>
      </c>
      <c r="M92" s="67">
        <v>0.29166666666666669</v>
      </c>
      <c r="N92" s="67">
        <v>0.18817204301075269</v>
      </c>
      <c r="O92" s="67">
        <v>0.56221198156682028</v>
      </c>
      <c r="P92" s="67">
        <v>0.41428571428571431</v>
      </c>
      <c r="Q92" s="67">
        <v>0.41232227488151657</v>
      </c>
    </row>
    <row r="93" spans="1:17" x14ac:dyDescent="0.4">
      <c r="A93" s="69">
        <v>90</v>
      </c>
      <c r="B93" s="66">
        <v>21.10000000000003</v>
      </c>
      <c r="C93" s="66">
        <v>0.23444444444444479</v>
      </c>
      <c r="D93" s="71">
        <v>2.0444444444444443</v>
      </c>
      <c r="E93" s="67">
        <v>0.3</v>
      </c>
      <c r="F93" s="67">
        <v>0.34444444444444444</v>
      </c>
      <c r="G93" s="67">
        <v>0.28362183754993342</v>
      </c>
      <c r="H93" s="67">
        <v>0.17709720372836218</v>
      </c>
      <c r="I93" s="68">
        <v>9851.6431924882636</v>
      </c>
      <c r="J93" s="68">
        <v>-8481.2030075187977</v>
      </c>
      <c r="K93" s="67">
        <v>0.1</v>
      </c>
      <c r="L93" s="67">
        <v>0.13333333333333333</v>
      </c>
      <c r="M93" s="67">
        <v>0.29161118508655126</v>
      </c>
      <c r="N93" s="67">
        <v>0.1877496671105193</v>
      </c>
      <c r="O93" s="67">
        <v>0.56621004566210043</v>
      </c>
      <c r="P93" s="67">
        <v>0.41134751773049644</v>
      </c>
      <c r="Q93" s="67">
        <v>0.41314553990610331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CFB072-025A-40A9-89CB-D0676B3EF31C}">
  <sheetPr codeName="Sheet12"/>
  <dimension ref="A1:Q9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  <row r="66" spans="1:17" x14ac:dyDescent="0.4">
      <c r="A66" s="69">
        <v>63</v>
      </c>
      <c r="B66" s="66">
        <v>-1013.0999999999997</v>
      </c>
      <c r="C66" s="66">
        <v>-16.080952380952375</v>
      </c>
      <c r="D66" s="71">
        <v>2.253968253968254</v>
      </c>
      <c r="E66" s="67">
        <v>0.23809523809523808</v>
      </c>
      <c r="F66" s="67">
        <v>0.49206349206349204</v>
      </c>
      <c r="G66" s="67">
        <v>0.22605363984674329</v>
      </c>
      <c r="H66" s="67">
        <v>0.19731800766283525</v>
      </c>
      <c r="I66" s="68">
        <v>9178.8135593220341</v>
      </c>
      <c r="J66" s="68">
        <v>-9572.8155339805817</v>
      </c>
      <c r="K66" s="67">
        <v>0.19047619047619047</v>
      </c>
      <c r="L66" s="67">
        <v>0.1111111111111111</v>
      </c>
      <c r="M66" s="67">
        <v>0.26819923371647508</v>
      </c>
      <c r="N66" s="67">
        <v>0.16475095785440613</v>
      </c>
      <c r="O66" s="67">
        <v>0.5</v>
      </c>
      <c r="P66" s="67">
        <v>0.23255813953488372</v>
      </c>
      <c r="Q66" s="67">
        <v>0.5</v>
      </c>
    </row>
    <row r="67" spans="1:17" x14ac:dyDescent="0.4">
      <c r="A67" s="69">
        <v>64</v>
      </c>
      <c r="B67" s="66">
        <v>-1056.0999999999997</v>
      </c>
      <c r="C67" s="66">
        <v>-16.501562499999995</v>
      </c>
      <c r="D67" s="71">
        <v>2.265625</v>
      </c>
      <c r="E67" s="67">
        <v>0.234375</v>
      </c>
      <c r="F67" s="67">
        <v>0.5</v>
      </c>
      <c r="G67" s="67">
        <v>0.22641509433962265</v>
      </c>
      <c r="H67" s="67">
        <v>0.19622641509433963</v>
      </c>
      <c r="I67" s="68">
        <v>9125.8333333333339</v>
      </c>
      <c r="J67" s="68">
        <v>-9557.6923076923085</v>
      </c>
      <c r="K67" s="67">
        <v>0.1875</v>
      </c>
      <c r="L67" s="67">
        <v>0.109375</v>
      </c>
      <c r="M67" s="67">
        <v>0.26981132075471698</v>
      </c>
      <c r="N67" s="67">
        <v>0.16226415094339622</v>
      </c>
      <c r="O67" s="67">
        <v>0.49650349650349651</v>
      </c>
      <c r="P67" s="67">
        <v>0.23255813953488372</v>
      </c>
      <c r="Q67" s="67">
        <v>0.5</v>
      </c>
    </row>
    <row r="68" spans="1:17" x14ac:dyDescent="0.4">
      <c r="A68" s="69">
        <v>65</v>
      </c>
      <c r="B68" s="66">
        <v>-1083.0999999999997</v>
      </c>
      <c r="C68" s="66">
        <v>-16.663076923076918</v>
      </c>
      <c r="D68" s="71">
        <v>2.2769230769230768</v>
      </c>
      <c r="E68" s="67">
        <v>0.23076923076923078</v>
      </c>
      <c r="F68" s="67">
        <v>0.50769230769230766</v>
      </c>
      <c r="G68" s="67">
        <v>0.22574626865671643</v>
      </c>
      <c r="H68" s="67">
        <v>0.19589552238805971</v>
      </c>
      <c r="I68" s="68">
        <v>9066.9421487603304</v>
      </c>
      <c r="J68" s="68">
        <v>-9580.9523809523816</v>
      </c>
      <c r="K68" s="67">
        <v>0.18461538461538463</v>
      </c>
      <c r="L68" s="67">
        <v>0.1076923076923077</v>
      </c>
      <c r="M68" s="67">
        <v>0.26865671641791045</v>
      </c>
      <c r="N68" s="67">
        <v>0.16604477611940299</v>
      </c>
      <c r="O68" s="67">
        <v>0.49305555555555558</v>
      </c>
      <c r="P68" s="67">
        <v>0.23595505617977527</v>
      </c>
      <c r="Q68" s="67">
        <v>0.49586776859504134</v>
      </c>
    </row>
    <row r="69" spans="1:17" x14ac:dyDescent="0.4">
      <c r="A69" s="69">
        <v>66</v>
      </c>
      <c r="B69" s="66">
        <v>-1122.9999999999998</v>
      </c>
      <c r="C69" s="66">
        <v>-17.015151515151512</v>
      </c>
      <c r="D69" s="71">
        <v>2.2878787878787881</v>
      </c>
      <c r="E69" s="67">
        <v>0.22727272727272727</v>
      </c>
      <c r="F69" s="67">
        <v>0.51515151515151514</v>
      </c>
      <c r="G69" s="67">
        <v>0.22324723247232472</v>
      </c>
      <c r="H69" s="67">
        <v>0.19557195571955718</v>
      </c>
      <c r="I69" s="68">
        <v>9066.9421487603304</v>
      </c>
      <c r="J69" s="68">
        <v>-9527.3584905660373</v>
      </c>
      <c r="K69" s="67">
        <v>0.18181818181818182</v>
      </c>
      <c r="L69" s="67">
        <v>0.10606060606060606</v>
      </c>
      <c r="M69" s="67">
        <v>0.26568265682656828</v>
      </c>
      <c r="N69" s="67">
        <v>0.16605166051660517</v>
      </c>
      <c r="O69" s="67">
        <v>0.49305555555555558</v>
      </c>
      <c r="P69" s="67">
        <v>0.23333333333333334</v>
      </c>
      <c r="Q69" s="67">
        <v>0.49586776859504134</v>
      </c>
    </row>
    <row r="70" spans="1:17" x14ac:dyDescent="0.4">
      <c r="A70" s="69">
        <v>67</v>
      </c>
      <c r="B70" s="66">
        <v>-1123.7999999999997</v>
      </c>
      <c r="C70" s="66">
        <v>-16.773134328358204</v>
      </c>
      <c r="D70" s="71">
        <v>2.283582089552239</v>
      </c>
      <c r="E70" s="67">
        <v>0.22388059701492538</v>
      </c>
      <c r="F70" s="67">
        <v>0.5074626865671642</v>
      </c>
      <c r="G70" s="67">
        <v>0.22603978300180833</v>
      </c>
      <c r="H70" s="67">
        <v>0.19349005424954793</v>
      </c>
      <c r="I70" s="68">
        <v>8896.7999999999993</v>
      </c>
      <c r="J70" s="68">
        <v>-9513.0841121495323</v>
      </c>
      <c r="K70" s="67">
        <v>0.17910447761194029</v>
      </c>
      <c r="L70" s="67">
        <v>0.1044776119402985</v>
      </c>
      <c r="M70" s="67">
        <v>0.26763110307414106</v>
      </c>
      <c r="N70" s="67">
        <v>0.16636528028933092</v>
      </c>
      <c r="O70" s="67">
        <v>0.5</v>
      </c>
      <c r="P70" s="67">
        <v>0.22826086956521738</v>
      </c>
      <c r="Q70" s="67">
        <v>0.48799999999999999</v>
      </c>
    </row>
    <row r="71" spans="1:17" x14ac:dyDescent="0.4">
      <c r="A71" s="69">
        <v>68</v>
      </c>
      <c r="B71" s="66">
        <v>-1066.5999999999997</v>
      </c>
      <c r="C71" s="66">
        <v>-15.685294117647054</v>
      </c>
      <c r="D71" s="71">
        <v>2.2647058823529411</v>
      </c>
      <c r="E71" s="67">
        <v>0.23529411764705882</v>
      </c>
      <c r="F71" s="67">
        <v>0.5</v>
      </c>
      <c r="G71" s="67">
        <v>0.23131672597864769</v>
      </c>
      <c r="H71" s="67">
        <v>0.19039145907473309</v>
      </c>
      <c r="I71" s="68">
        <v>8890.7692307692305</v>
      </c>
      <c r="J71" s="68">
        <v>-9513.0841121495323</v>
      </c>
      <c r="K71" s="67">
        <v>0.17647058823529413</v>
      </c>
      <c r="L71" s="67">
        <v>0.11764705882352941</v>
      </c>
      <c r="M71" s="67">
        <v>0.27224199288256229</v>
      </c>
      <c r="N71" s="67">
        <v>0.16370106761565836</v>
      </c>
      <c r="O71" s="67">
        <v>0.5163398692810458</v>
      </c>
      <c r="P71" s="67">
        <v>0.22826086956521738</v>
      </c>
      <c r="Q71" s="67">
        <v>0.47692307692307695</v>
      </c>
    </row>
    <row r="72" spans="1:17" x14ac:dyDescent="0.4">
      <c r="A72" s="69">
        <v>69</v>
      </c>
      <c r="B72" s="66">
        <v>-1115.2999999999997</v>
      </c>
      <c r="C72" s="66">
        <v>-16.163768115942027</v>
      </c>
      <c r="D72" s="71">
        <v>2.2753623188405796</v>
      </c>
      <c r="E72" s="67">
        <v>0.2318840579710145</v>
      </c>
      <c r="F72" s="67">
        <v>0.50724637681159424</v>
      </c>
      <c r="G72" s="67">
        <v>0.22902097902097901</v>
      </c>
      <c r="H72" s="67">
        <v>0.19230769230769232</v>
      </c>
      <c r="I72" s="68">
        <v>8883.9694656488555</v>
      </c>
      <c r="J72" s="68">
        <v>-9505.454545454546</v>
      </c>
      <c r="K72" s="67">
        <v>0.17391304347826086</v>
      </c>
      <c r="L72" s="67">
        <v>0.11594202898550725</v>
      </c>
      <c r="M72" s="67">
        <v>0.27272727272727271</v>
      </c>
      <c r="N72" s="67">
        <v>0.16433566433566432</v>
      </c>
      <c r="O72" s="67">
        <v>0.51282051282051277</v>
      </c>
      <c r="P72" s="67">
        <v>0.22340425531914893</v>
      </c>
      <c r="Q72" s="67">
        <v>0.47328244274809161</v>
      </c>
    </row>
    <row r="73" spans="1:17" x14ac:dyDescent="0.4">
      <c r="A73" s="69">
        <v>70</v>
      </c>
      <c r="B73" s="66">
        <v>-1170.9999999999998</v>
      </c>
      <c r="C73" s="66">
        <v>-16.728571428571424</v>
      </c>
      <c r="D73" s="71">
        <v>2.2857142857142856</v>
      </c>
      <c r="E73" s="67">
        <v>0.22857142857142856</v>
      </c>
      <c r="F73" s="67">
        <v>0.51428571428571423</v>
      </c>
      <c r="G73" s="67">
        <v>0.22797927461139897</v>
      </c>
      <c r="H73" s="67">
        <v>0.19170984455958548</v>
      </c>
      <c r="I73" s="68">
        <v>8856.060606060606</v>
      </c>
      <c r="J73" s="68">
        <v>-9466.6666666666661</v>
      </c>
      <c r="K73" s="67">
        <v>0.18571428571428572</v>
      </c>
      <c r="L73" s="67">
        <v>0.11428571428571428</v>
      </c>
      <c r="M73" s="67">
        <v>0.27461139896373055</v>
      </c>
      <c r="N73" s="67">
        <v>0.16407599309153714</v>
      </c>
      <c r="O73" s="67">
        <v>0.50943396226415094</v>
      </c>
      <c r="P73" s="67">
        <v>0.22105263157894736</v>
      </c>
      <c r="Q73" s="67">
        <v>0.46969696969696972</v>
      </c>
    </row>
    <row r="74" spans="1:17" x14ac:dyDescent="0.4">
      <c r="A74" s="69">
        <v>71</v>
      </c>
      <c r="B74" s="66">
        <v>-1130.3999999999999</v>
      </c>
      <c r="C74" s="66">
        <v>-15.921126760563379</v>
      </c>
      <c r="D74" s="71">
        <v>2.267605633802817</v>
      </c>
      <c r="E74" s="67">
        <v>0.23943661971830985</v>
      </c>
      <c r="F74" s="67">
        <v>0.50704225352112675</v>
      </c>
      <c r="G74" s="67">
        <v>0.22920203735144312</v>
      </c>
      <c r="H74" s="67">
        <v>0.19015280135823429</v>
      </c>
      <c r="I74" s="68">
        <v>8875.5555555555547</v>
      </c>
      <c r="J74" s="68">
        <v>-9428.5714285714294</v>
      </c>
      <c r="K74" s="67">
        <v>0.18309859154929578</v>
      </c>
      <c r="L74" s="67">
        <v>0.11267605633802817</v>
      </c>
      <c r="M74" s="67">
        <v>0.27843803056027167</v>
      </c>
      <c r="N74" s="67">
        <v>0.16298811544991512</v>
      </c>
      <c r="O74" s="67">
        <v>0.51219512195121952</v>
      </c>
      <c r="P74" s="67">
        <v>0.21875</v>
      </c>
      <c r="Q74" s="67">
        <v>0.46666666666666667</v>
      </c>
    </row>
    <row r="75" spans="1:17" x14ac:dyDescent="0.4">
      <c r="A75" s="69">
        <v>72</v>
      </c>
      <c r="B75" s="66">
        <v>-1129.6999999999998</v>
      </c>
      <c r="C75" s="66">
        <v>-15.690277777777775</v>
      </c>
      <c r="D75" s="71">
        <v>2.2638888888888888</v>
      </c>
      <c r="E75" s="67">
        <v>0.2361111111111111</v>
      </c>
      <c r="F75" s="67">
        <v>0.5</v>
      </c>
      <c r="G75" s="67">
        <v>0.23</v>
      </c>
      <c r="H75" s="67">
        <v>0.19</v>
      </c>
      <c r="I75" s="68">
        <v>8834.0579710144921</v>
      </c>
      <c r="J75" s="68">
        <v>-9398.2456140350878</v>
      </c>
      <c r="K75" s="67">
        <v>0.18055555555555555</v>
      </c>
      <c r="L75" s="67">
        <v>0.1111111111111111</v>
      </c>
      <c r="M75" s="67">
        <v>0.27666666666666667</v>
      </c>
      <c r="N75" s="67">
        <v>0.16333333333333333</v>
      </c>
      <c r="O75" s="67">
        <v>0.51807228915662651</v>
      </c>
      <c r="P75" s="67">
        <v>0.22448979591836735</v>
      </c>
      <c r="Q75" s="67">
        <v>0.46376811594202899</v>
      </c>
    </row>
    <row r="76" spans="1:17" x14ac:dyDescent="0.4">
      <c r="A76" s="69">
        <v>73</v>
      </c>
      <c r="B76" s="66">
        <v>-1091.5999999999999</v>
      </c>
      <c r="C76" s="66">
        <v>-14.953424657534246</v>
      </c>
      <c r="D76" s="71">
        <v>2.2465753424657535</v>
      </c>
      <c r="E76" s="67">
        <v>0.24657534246575341</v>
      </c>
      <c r="F76" s="67">
        <v>0.49315068493150682</v>
      </c>
      <c r="G76" s="67">
        <v>0.23393739703459637</v>
      </c>
      <c r="H76" s="67">
        <v>0.19110378912685339</v>
      </c>
      <c r="I76" s="68">
        <v>8873.9436619718308</v>
      </c>
      <c r="J76" s="68">
        <v>-9408.6206896551721</v>
      </c>
      <c r="K76" s="67">
        <v>0.17808219178082191</v>
      </c>
      <c r="L76" s="67">
        <v>0.1095890410958904</v>
      </c>
      <c r="M76" s="67">
        <v>0.28171334431630973</v>
      </c>
      <c r="N76" s="67">
        <v>0.16144975288303129</v>
      </c>
      <c r="O76" s="67">
        <v>0.52631578947368418</v>
      </c>
      <c r="P76" s="67">
        <v>0.22448979591836735</v>
      </c>
      <c r="Q76" s="67">
        <v>0.46478873239436619</v>
      </c>
    </row>
    <row r="77" spans="1:17" x14ac:dyDescent="0.4">
      <c r="A77" s="69">
        <v>74</v>
      </c>
      <c r="B77" s="66">
        <v>-1149.5999999999999</v>
      </c>
      <c r="C77" s="66">
        <v>-15.535135135135134</v>
      </c>
      <c r="D77" s="71">
        <v>2.2567567567567566</v>
      </c>
      <c r="E77" s="67">
        <v>0.24324324324324326</v>
      </c>
      <c r="F77" s="67">
        <v>0.5</v>
      </c>
      <c r="G77" s="67">
        <v>0.233387358184765</v>
      </c>
      <c r="H77" s="67">
        <v>0.19286871961102106</v>
      </c>
      <c r="I77" s="68">
        <v>8872.9166666666661</v>
      </c>
      <c r="J77" s="68">
        <v>-9433.6134453781506</v>
      </c>
      <c r="K77" s="67">
        <v>0.1891891891891892</v>
      </c>
      <c r="L77" s="67">
        <v>0.10810810810810811</v>
      </c>
      <c r="M77" s="67">
        <v>0.28200972447325767</v>
      </c>
      <c r="N77" s="67">
        <v>0.15883306320907617</v>
      </c>
      <c r="O77" s="67">
        <v>0.52298850574712641</v>
      </c>
      <c r="P77" s="67">
        <v>0.22448979591836735</v>
      </c>
      <c r="Q77" s="67">
        <v>0.46527777777777779</v>
      </c>
    </row>
    <row r="78" spans="1:17" x14ac:dyDescent="0.4">
      <c r="A78" s="69">
        <v>75</v>
      </c>
      <c r="B78" s="66">
        <v>-1147.8999999999999</v>
      </c>
      <c r="C78" s="66">
        <v>-15.305333333333332</v>
      </c>
      <c r="D78" s="71">
        <v>2.2533333333333334</v>
      </c>
      <c r="E78" s="67">
        <v>0.24</v>
      </c>
      <c r="F78" s="67">
        <v>0.49333333333333335</v>
      </c>
      <c r="G78" s="67">
        <v>0.23162939297124602</v>
      </c>
      <c r="H78" s="67">
        <v>0.19169329073482427</v>
      </c>
      <c r="I78" s="68">
        <v>9032.4137931034475</v>
      </c>
      <c r="J78" s="68">
        <v>-9365.8333333333339</v>
      </c>
      <c r="K78" s="67">
        <v>0.18666666666666668</v>
      </c>
      <c r="L78" s="67">
        <v>0.10666666666666667</v>
      </c>
      <c r="M78" s="67">
        <v>0.28434504792332266</v>
      </c>
      <c r="N78" s="67">
        <v>0.15654952076677317</v>
      </c>
      <c r="O78" s="67">
        <v>0.5112359550561798</v>
      </c>
      <c r="P78" s="67">
        <v>0.22448979591836735</v>
      </c>
      <c r="Q78" s="67">
        <v>0.46206896551724136</v>
      </c>
    </row>
    <row r="79" spans="1:17" x14ac:dyDescent="0.4">
      <c r="A79" s="69">
        <v>76</v>
      </c>
      <c r="B79" s="66">
        <v>-1183.9999999999998</v>
      </c>
      <c r="C79" s="66">
        <v>-15.57894736842105</v>
      </c>
      <c r="D79" s="71">
        <v>2.263157894736842</v>
      </c>
      <c r="E79" s="67">
        <v>0.23684210526315788</v>
      </c>
      <c r="F79" s="67">
        <v>0.5</v>
      </c>
      <c r="G79" s="67">
        <v>0.23064770932069512</v>
      </c>
      <c r="H79" s="67">
        <v>0.19273301737756715</v>
      </c>
      <c r="I79" s="68">
        <v>8984.2465753424658</v>
      </c>
      <c r="J79" s="68">
        <v>-9299.1803278688531</v>
      </c>
      <c r="K79" s="67">
        <v>0.18421052631578946</v>
      </c>
      <c r="L79" s="67">
        <v>0.10526315789473684</v>
      </c>
      <c r="M79" s="67">
        <v>0.28120063191153238</v>
      </c>
      <c r="N79" s="67">
        <v>0.15797788309636651</v>
      </c>
      <c r="O79" s="67">
        <v>0.5112359550561798</v>
      </c>
      <c r="P79" s="67">
        <v>0.23</v>
      </c>
      <c r="Q79" s="67">
        <v>0.4589041095890411</v>
      </c>
    </row>
    <row r="80" spans="1:17" x14ac:dyDescent="0.4">
      <c r="A80" s="69">
        <v>77</v>
      </c>
      <c r="B80" s="66">
        <v>-1135.9999999999998</v>
      </c>
      <c r="C80" s="66">
        <v>-14.753246753246751</v>
      </c>
      <c r="D80" s="71">
        <v>2.2467532467532467</v>
      </c>
      <c r="E80" s="67">
        <v>0.24675324675324675</v>
      </c>
      <c r="F80" s="67">
        <v>0.4935064935064935</v>
      </c>
      <c r="G80" s="67">
        <v>0.23556942277691106</v>
      </c>
      <c r="H80" s="67">
        <v>0.19188767550702029</v>
      </c>
      <c r="I80" s="68">
        <v>8934.4370860927156</v>
      </c>
      <c r="J80" s="68">
        <v>-9255.2845528455291</v>
      </c>
      <c r="K80" s="67">
        <v>0.18181818181818182</v>
      </c>
      <c r="L80" s="67">
        <v>0.1038961038961039</v>
      </c>
      <c r="M80" s="67">
        <v>0.28237129485179407</v>
      </c>
      <c r="N80" s="67">
        <v>0.15600624024960999</v>
      </c>
      <c r="O80" s="67">
        <v>0.51933701657458564</v>
      </c>
      <c r="P80" s="67">
        <v>0.23</v>
      </c>
      <c r="Q80" s="67">
        <v>0.45695364238410596</v>
      </c>
    </row>
    <row r="81" spans="1:17" x14ac:dyDescent="0.4">
      <c r="A81" s="69">
        <v>78</v>
      </c>
      <c r="B81" s="66">
        <v>-1169.8999999999999</v>
      </c>
      <c r="C81" s="66">
        <v>-14.998717948717948</v>
      </c>
      <c r="D81" s="71">
        <v>2.2564102564102564</v>
      </c>
      <c r="E81" s="67">
        <v>0.24358974358974358</v>
      </c>
      <c r="F81" s="67">
        <v>0.5</v>
      </c>
      <c r="G81" s="67">
        <v>0.23538461538461539</v>
      </c>
      <c r="H81" s="67">
        <v>0.19076923076923077</v>
      </c>
      <c r="I81" s="68">
        <v>8882.3529411764703</v>
      </c>
      <c r="J81" s="68">
        <v>-9277.4193548387102</v>
      </c>
      <c r="K81" s="67">
        <v>0.17948717948717949</v>
      </c>
      <c r="L81" s="67">
        <v>0.10256410256410256</v>
      </c>
      <c r="M81" s="67">
        <v>0.28153846153846152</v>
      </c>
      <c r="N81" s="67">
        <v>0.15538461538461537</v>
      </c>
      <c r="O81" s="67">
        <v>0.51912568306010931</v>
      </c>
      <c r="P81" s="67">
        <v>0.23762376237623761</v>
      </c>
      <c r="Q81" s="67">
        <v>0.45751633986928103</v>
      </c>
    </row>
    <row r="82" spans="1:17" x14ac:dyDescent="0.4">
      <c r="A82" s="69">
        <v>79</v>
      </c>
      <c r="B82" s="66">
        <v>-1226.5999999999999</v>
      </c>
      <c r="C82" s="66">
        <v>-15.526582278481012</v>
      </c>
      <c r="D82" s="71">
        <v>2.2658227848101267</v>
      </c>
      <c r="E82" s="67">
        <v>0.24050632911392406</v>
      </c>
      <c r="F82" s="67">
        <v>0.50632911392405067</v>
      </c>
      <c r="G82" s="67">
        <v>0.23404255319148937</v>
      </c>
      <c r="H82" s="67">
        <v>0.19300911854103345</v>
      </c>
      <c r="I82" s="68">
        <v>8833.1168831168834</v>
      </c>
      <c r="J82" s="68">
        <v>-9254.3307086614168</v>
      </c>
      <c r="K82" s="67">
        <v>0.189873417721519</v>
      </c>
      <c r="L82" s="67">
        <v>0.10126582278481013</v>
      </c>
      <c r="M82" s="67">
        <v>0.27811550151975684</v>
      </c>
      <c r="N82" s="67">
        <v>0.15501519756838905</v>
      </c>
      <c r="O82" s="67">
        <v>0.51912568306010931</v>
      </c>
      <c r="P82" s="67">
        <v>0.23529411764705882</v>
      </c>
      <c r="Q82" s="67">
        <v>0.45454545454545453</v>
      </c>
    </row>
    <row r="83" spans="1:17" x14ac:dyDescent="0.4">
      <c r="A83" s="69">
        <v>80</v>
      </c>
      <c r="B83" s="66">
        <v>-1201</v>
      </c>
      <c r="C83" s="66">
        <v>-15.012499999999999</v>
      </c>
      <c r="D83" s="71">
        <v>2.25</v>
      </c>
      <c r="E83" s="67">
        <v>0.25</v>
      </c>
      <c r="F83" s="67">
        <v>0.5</v>
      </c>
      <c r="G83" s="67">
        <v>0.23423423423423423</v>
      </c>
      <c r="H83" s="67">
        <v>0.19219219219219219</v>
      </c>
      <c r="I83" s="68">
        <v>8818.5897435897441</v>
      </c>
      <c r="J83" s="68">
        <v>-9244.53125</v>
      </c>
      <c r="K83" s="67">
        <v>0.1875</v>
      </c>
      <c r="L83" s="67">
        <v>0.1</v>
      </c>
      <c r="M83" s="67">
        <v>0.27777777777777779</v>
      </c>
      <c r="N83" s="67">
        <v>0.15915915915915915</v>
      </c>
      <c r="O83" s="67">
        <v>0.51891891891891895</v>
      </c>
      <c r="P83" s="67">
        <v>0.23584905660377359</v>
      </c>
      <c r="Q83" s="67">
        <v>0.45512820512820512</v>
      </c>
    </row>
    <row r="84" spans="1:17" x14ac:dyDescent="0.4">
      <c r="A84" s="69">
        <v>81</v>
      </c>
      <c r="B84" s="66">
        <v>-1265.7</v>
      </c>
      <c r="C84" s="66">
        <v>-15.625925925925927</v>
      </c>
      <c r="D84" s="71">
        <v>2.2592592592592591</v>
      </c>
      <c r="E84" s="67">
        <v>0.24691358024691357</v>
      </c>
      <c r="F84" s="67">
        <v>0.50617283950617287</v>
      </c>
      <c r="G84" s="67">
        <v>0.2314540059347181</v>
      </c>
      <c r="H84" s="67">
        <v>0.19287833827893175</v>
      </c>
      <c r="I84" s="68">
        <v>8818.5897435897441</v>
      </c>
      <c r="J84" s="68">
        <v>-9243.8461538461543</v>
      </c>
      <c r="K84" s="67">
        <v>0.19753086419753085</v>
      </c>
      <c r="L84" s="67">
        <v>9.8765432098765427E-2</v>
      </c>
      <c r="M84" s="67">
        <v>0.27448071216617209</v>
      </c>
      <c r="N84" s="67">
        <v>0.16172106824925817</v>
      </c>
      <c r="O84" s="67">
        <v>0.51891891891891895</v>
      </c>
      <c r="P84" s="67">
        <v>0.22935779816513763</v>
      </c>
      <c r="Q84" s="67">
        <v>0.45512820512820512</v>
      </c>
    </row>
    <row r="85" spans="1:17" x14ac:dyDescent="0.4">
      <c r="A85" s="69">
        <v>82</v>
      </c>
      <c r="B85" s="66">
        <v>-1267.2</v>
      </c>
      <c r="C85" s="66">
        <v>-15.453658536585367</v>
      </c>
      <c r="D85" s="71">
        <v>2.2560975609756095</v>
      </c>
      <c r="E85" s="67">
        <v>0.24390243902439024</v>
      </c>
      <c r="F85" s="67">
        <v>0.5</v>
      </c>
      <c r="G85" s="67">
        <v>0.23065693430656933</v>
      </c>
      <c r="H85" s="67">
        <v>0.19270072992700729</v>
      </c>
      <c r="I85" s="68">
        <v>8856.32911392405</v>
      </c>
      <c r="J85" s="68">
        <v>-9184.0909090909099</v>
      </c>
      <c r="K85" s="67">
        <v>0.1951219512195122</v>
      </c>
      <c r="L85" s="67">
        <v>9.7560975609756101E-2</v>
      </c>
      <c r="M85" s="67">
        <v>0.27299270072992698</v>
      </c>
      <c r="N85" s="67">
        <v>0.1635036496350365</v>
      </c>
      <c r="O85" s="67">
        <v>0.52406417112299464</v>
      </c>
      <c r="P85" s="67">
        <v>0.22321428571428573</v>
      </c>
      <c r="Q85" s="67">
        <v>0.45569620253164556</v>
      </c>
    </row>
    <row r="86" spans="1:17" x14ac:dyDescent="0.4">
      <c r="A86" s="69">
        <v>83</v>
      </c>
      <c r="B86" s="66">
        <v>-1270.6000000000001</v>
      </c>
      <c r="C86" s="66">
        <v>-15.308433734939761</v>
      </c>
      <c r="D86" s="71">
        <v>2.2530120481927711</v>
      </c>
      <c r="E86" s="67">
        <v>0.24096385542168675</v>
      </c>
      <c r="F86" s="67">
        <v>0.49397590361445781</v>
      </c>
      <c r="G86" s="67">
        <v>0.23088023088023088</v>
      </c>
      <c r="H86" s="67">
        <v>0.19336219336219337</v>
      </c>
      <c r="I86" s="68">
        <v>8826.25</v>
      </c>
      <c r="J86" s="68">
        <v>-9076.8656716417918</v>
      </c>
      <c r="K86" s="67">
        <v>0.19277108433734941</v>
      </c>
      <c r="L86" s="67">
        <v>9.6385542168674704E-2</v>
      </c>
      <c r="M86" s="67">
        <v>0.27272727272727271</v>
      </c>
      <c r="N86" s="67">
        <v>0.16450216450216451</v>
      </c>
      <c r="O86" s="67">
        <v>0.52380952380952384</v>
      </c>
      <c r="P86" s="67">
        <v>0.22807017543859648</v>
      </c>
      <c r="Q86" s="67">
        <v>0.45624999999999999</v>
      </c>
    </row>
    <row r="87" spans="1:17" x14ac:dyDescent="0.4">
      <c r="A87" s="69">
        <v>84</v>
      </c>
      <c r="B87" s="66">
        <v>-1264.8000000000002</v>
      </c>
      <c r="C87" s="66">
        <v>-15.057142857142859</v>
      </c>
      <c r="D87" s="71">
        <v>2.25</v>
      </c>
      <c r="E87" s="67">
        <v>0.23809523809523808</v>
      </c>
      <c r="F87" s="67">
        <v>0.48809523809523808</v>
      </c>
      <c r="G87" s="67">
        <v>0.23229461756373937</v>
      </c>
      <c r="H87" s="67">
        <v>0.19263456090651557</v>
      </c>
      <c r="I87" s="68">
        <v>8782.3170731707323</v>
      </c>
      <c r="J87" s="68">
        <v>-9042.6470588235297</v>
      </c>
      <c r="K87" s="67">
        <v>0.19047619047619047</v>
      </c>
      <c r="L87" s="67">
        <v>9.5238095238095233E-2</v>
      </c>
      <c r="M87" s="67">
        <v>0.27620396600566571</v>
      </c>
      <c r="N87" s="67">
        <v>0.1643059490084986</v>
      </c>
      <c r="O87" s="67">
        <v>0.52820512820512822</v>
      </c>
      <c r="P87" s="67">
        <v>0.22413793103448276</v>
      </c>
      <c r="Q87" s="67">
        <v>0.45731707317073172</v>
      </c>
    </row>
    <row r="88" spans="1:17" x14ac:dyDescent="0.4">
      <c r="A88" s="69">
        <v>85</v>
      </c>
      <c r="B88" s="66">
        <v>-1322.1000000000001</v>
      </c>
      <c r="C88" s="66">
        <v>-15.554117647058826</v>
      </c>
      <c r="D88" s="71">
        <v>2.2588235294117647</v>
      </c>
      <c r="E88" s="67">
        <v>0.23529411764705882</v>
      </c>
      <c r="F88" s="67">
        <v>0.49411764705882355</v>
      </c>
      <c r="G88" s="67">
        <v>0.23109243697478993</v>
      </c>
      <c r="H88" s="67">
        <v>0.19467787114845939</v>
      </c>
      <c r="I88" s="68">
        <v>8761.2121212121219</v>
      </c>
      <c r="J88" s="68">
        <v>-9028.0575539568345</v>
      </c>
      <c r="K88" s="67">
        <v>0.2</v>
      </c>
      <c r="L88" s="67">
        <v>9.4117647058823528E-2</v>
      </c>
      <c r="M88" s="67">
        <v>0.27591036414565828</v>
      </c>
      <c r="N88" s="67">
        <v>0.1638655462184874</v>
      </c>
      <c r="O88" s="67">
        <v>0.52284263959390864</v>
      </c>
      <c r="P88" s="67">
        <v>0.23076923076923078</v>
      </c>
      <c r="Q88" s="67">
        <v>0.46060606060606063</v>
      </c>
    </row>
    <row r="89" spans="1:17" x14ac:dyDescent="0.4">
      <c r="A89" s="69">
        <v>86</v>
      </c>
      <c r="B89" s="66">
        <v>-1272.1000000000001</v>
      </c>
      <c r="C89" s="66">
        <v>-14.791860465116281</v>
      </c>
      <c r="D89" s="71">
        <v>2.2441860465116279</v>
      </c>
      <c r="E89" s="67">
        <v>0.2441860465116279</v>
      </c>
      <c r="F89" s="67">
        <v>0.48837209302325579</v>
      </c>
      <c r="G89" s="67">
        <v>0.23472222222222222</v>
      </c>
      <c r="H89" s="67">
        <v>0.19583333333333333</v>
      </c>
      <c r="I89" s="68">
        <v>8861.538461538461</v>
      </c>
      <c r="J89" s="68">
        <v>-9070.2127659574471</v>
      </c>
      <c r="K89" s="67">
        <v>0.19767441860465115</v>
      </c>
      <c r="L89" s="67">
        <v>0.10465116279069768</v>
      </c>
      <c r="M89" s="67">
        <v>0.27638888888888891</v>
      </c>
      <c r="N89" s="67">
        <v>0.16666666666666666</v>
      </c>
      <c r="O89" s="67">
        <v>0.52763819095477382</v>
      </c>
      <c r="P89" s="67">
        <v>0.24166666666666667</v>
      </c>
      <c r="Q89" s="67">
        <v>0.44970414201183434</v>
      </c>
    </row>
    <row r="90" spans="1:17" x14ac:dyDescent="0.4">
      <c r="A90" s="69">
        <v>87</v>
      </c>
      <c r="B90" s="66">
        <v>-1283.8000000000002</v>
      </c>
      <c r="C90" s="66">
        <v>-14.756321839080462</v>
      </c>
      <c r="D90" s="71">
        <v>2.2413793103448274</v>
      </c>
      <c r="E90" s="67">
        <v>0.2413793103448276</v>
      </c>
      <c r="F90" s="67">
        <v>0.48275862068965519</v>
      </c>
      <c r="G90" s="67">
        <v>0.23415977961432508</v>
      </c>
      <c r="H90" s="67">
        <v>0.19421487603305784</v>
      </c>
      <c r="I90" s="68">
        <v>8877.6470588235297</v>
      </c>
      <c r="J90" s="68">
        <v>-9070.2127659574471</v>
      </c>
      <c r="K90" s="67">
        <v>0.19540229885057472</v>
      </c>
      <c r="L90" s="67">
        <v>0.10344827586206896</v>
      </c>
      <c r="M90" s="67">
        <v>0.27961432506887052</v>
      </c>
      <c r="N90" s="67">
        <v>0.16528925619834711</v>
      </c>
      <c r="O90" s="67">
        <v>0.52216748768472909</v>
      </c>
      <c r="P90" s="67">
        <v>0.24166666666666667</v>
      </c>
      <c r="Q90" s="67">
        <v>0.44705882352941179</v>
      </c>
    </row>
    <row r="91" spans="1:17" x14ac:dyDescent="0.4">
      <c r="A91" s="69">
        <v>88</v>
      </c>
      <c r="B91" s="66">
        <v>-1241.1000000000001</v>
      </c>
      <c r="C91" s="66">
        <v>-14.103409090909093</v>
      </c>
      <c r="D91" s="71">
        <v>2.2272727272727271</v>
      </c>
      <c r="E91" s="67">
        <v>0.25</v>
      </c>
      <c r="F91" s="67">
        <v>0.47727272727272729</v>
      </c>
      <c r="G91" s="67">
        <v>0.23777173913043478</v>
      </c>
      <c r="H91" s="67">
        <v>0.19429347826086957</v>
      </c>
      <c r="I91" s="68">
        <v>8818.2857142857138</v>
      </c>
      <c r="J91" s="68">
        <v>-9054.545454545454</v>
      </c>
      <c r="K91" s="67">
        <v>0.19318181818181818</v>
      </c>
      <c r="L91" s="67">
        <v>0.10227272727272728</v>
      </c>
      <c r="M91" s="67">
        <v>0.28396739130434784</v>
      </c>
      <c r="N91" s="67">
        <v>0.16440217391304349</v>
      </c>
      <c r="O91" s="67">
        <v>0.52153110047846885</v>
      </c>
      <c r="P91" s="67">
        <v>0.24793388429752067</v>
      </c>
      <c r="Q91" s="67">
        <v>0.43428571428571427</v>
      </c>
    </row>
    <row r="92" spans="1:17" x14ac:dyDescent="0.4">
      <c r="A92" s="69">
        <v>89</v>
      </c>
      <c r="B92" s="66">
        <v>-1288.1000000000001</v>
      </c>
      <c r="C92" s="66">
        <v>-14.47303370786517</v>
      </c>
      <c r="D92" s="71">
        <v>2.2359550561797752</v>
      </c>
      <c r="E92" s="67">
        <v>0.24719101123595505</v>
      </c>
      <c r="F92" s="67">
        <v>0.48314606741573035</v>
      </c>
      <c r="G92" s="67">
        <v>0.23790322580645162</v>
      </c>
      <c r="H92" s="67">
        <v>0.19489247311827956</v>
      </c>
      <c r="I92" s="68">
        <v>8809.0395480225998</v>
      </c>
      <c r="J92" s="68">
        <v>-9233.1034482758623</v>
      </c>
      <c r="K92" s="67">
        <v>0.19101123595505617</v>
      </c>
      <c r="L92" s="67">
        <v>0.10112359550561797</v>
      </c>
      <c r="M92" s="67">
        <v>0.28629032258064518</v>
      </c>
      <c r="N92" s="67">
        <v>0.16263440860215053</v>
      </c>
      <c r="O92" s="67">
        <v>0.52112676056338025</v>
      </c>
      <c r="P92" s="67">
        <v>0.24793388429752067</v>
      </c>
      <c r="Q92" s="67">
        <v>0.42937853107344631</v>
      </c>
    </row>
    <row r="93" spans="1:17" x14ac:dyDescent="0.4">
      <c r="A93" s="69">
        <v>90</v>
      </c>
      <c r="B93" s="66">
        <v>-1324.2</v>
      </c>
      <c r="C93" s="66">
        <v>-14.713333333333335</v>
      </c>
      <c r="D93" s="71">
        <v>2.2444444444444445</v>
      </c>
      <c r="E93" s="67">
        <v>0.24444444444444444</v>
      </c>
      <c r="F93" s="67">
        <v>0.48888888888888887</v>
      </c>
      <c r="G93" s="67">
        <v>0.2381578947368421</v>
      </c>
      <c r="H93" s="67">
        <v>0.19210526315789472</v>
      </c>
      <c r="I93" s="68">
        <v>8701.1049723756914</v>
      </c>
      <c r="J93" s="68">
        <v>-9189.7260273972606</v>
      </c>
      <c r="K93" s="67">
        <v>0.18888888888888888</v>
      </c>
      <c r="L93" s="67">
        <v>0.1</v>
      </c>
      <c r="M93" s="67">
        <v>0.28026315789473683</v>
      </c>
      <c r="N93" s="67">
        <v>0.16052631578947368</v>
      </c>
      <c r="O93" s="67">
        <v>0.52112676056338025</v>
      </c>
      <c r="P93" s="67">
        <v>0.25409836065573771</v>
      </c>
      <c r="Q93" s="67">
        <v>0.43093922651933703</v>
      </c>
    </row>
    <row r="94" spans="1:17" x14ac:dyDescent="0.4">
      <c r="A94" s="69">
        <v>91</v>
      </c>
      <c r="B94" s="66">
        <v>-1253.1000000000001</v>
      </c>
      <c r="C94" s="66">
        <v>-13.770329670329671</v>
      </c>
      <c r="D94" s="71">
        <v>2.2307692307692308</v>
      </c>
      <c r="E94" s="67">
        <v>0.25274725274725274</v>
      </c>
      <c r="F94" s="67">
        <v>0.48351648351648352</v>
      </c>
      <c r="G94" s="67">
        <v>0.24119947848761408</v>
      </c>
      <c r="H94" s="67">
        <v>0.19035202086049544</v>
      </c>
      <c r="I94" s="68">
        <v>8782.7027027027034</v>
      </c>
      <c r="J94" s="68">
        <v>-9189.7260273972606</v>
      </c>
      <c r="K94" s="67">
        <v>0.18681318681318682</v>
      </c>
      <c r="L94" s="67">
        <v>0.10989010989010989</v>
      </c>
      <c r="M94" s="67">
        <v>0.28031290743155152</v>
      </c>
      <c r="N94" s="67">
        <v>0.16166883963494133</v>
      </c>
      <c r="O94" s="67">
        <v>0.52093023255813953</v>
      </c>
      <c r="P94" s="67">
        <v>0.25</v>
      </c>
      <c r="Q94" s="67">
        <v>0.42702702702702705</v>
      </c>
    </row>
    <row r="95" spans="1:17" x14ac:dyDescent="0.4">
      <c r="A95" s="69">
        <v>92</v>
      </c>
      <c r="B95" s="66">
        <v>-1291.9000000000001</v>
      </c>
      <c r="C95" s="66">
        <v>-14.042391304347827</v>
      </c>
      <c r="D95" s="71">
        <v>2.2391304347826089</v>
      </c>
      <c r="E95" s="67">
        <v>0.25</v>
      </c>
      <c r="F95" s="67">
        <v>0.4891304347826087</v>
      </c>
      <c r="G95" s="67">
        <v>0.24289405684754523</v>
      </c>
      <c r="H95" s="67">
        <v>0.18992248062015504</v>
      </c>
      <c r="I95" s="68">
        <v>8755.3191489361707</v>
      </c>
      <c r="J95" s="68">
        <v>-9236.0544217687075</v>
      </c>
      <c r="K95" s="67">
        <v>0.18478260869565216</v>
      </c>
      <c r="L95" s="67">
        <v>0.10869565217391304</v>
      </c>
      <c r="M95" s="67">
        <v>0.27777777777777779</v>
      </c>
      <c r="N95" s="67">
        <v>0.16020671834625322</v>
      </c>
      <c r="O95" s="67">
        <v>0.52093023255813953</v>
      </c>
      <c r="P95" s="67">
        <v>0.25</v>
      </c>
      <c r="Q95" s="67">
        <v>0.42553191489361702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ABBFD-DEFF-4D3D-87BB-17440BF2CCB3}">
  <sheetPr codeName="Sheet10"/>
  <dimension ref="A1:Q12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  <row r="118" spans="1:17" x14ac:dyDescent="0.4">
      <c r="A118" s="69">
        <v>115</v>
      </c>
      <c r="B118" s="66">
        <v>-327.60000000000008</v>
      </c>
      <c r="C118" s="66">
        <v>-2.8486956521739137</v>
      </c>
      <c r="D118" s="71">
        <v>2.0782608695652174</v>
      </c>
      <c r="E118" s="67">
        <v>0.26956521739130435</v>
      </c>
      <c r="F118" s="67">
        <v>0.34782608695652173</v>
      </c>
      <c r="G118" s="67">
        <v>0.27243928194297784</v>
      </c>
      <c r="H118" s="67">
        <v>0.17212249208025343</v>
      </c>
      <c r="I118" s="68">
        <v>9304.2635658914733</v>
      </c>
      <c r="J118" s="68">
        <v>-7741.1042944785277</v>
      </c>
      <c r="K118" s="67">
        <v>0.13043478260869565</v>
      </c>
      <c r="L118" s="67">
        <v>9.5652173913043481E-2</v>
      </c>
      <c r="M118" s="67">
        <v>0.29778247096092925</v>
      </c>
      <c r="N118" s="67">
        <v>0.18057022175290391</v>
      </c>
      <c r="O118" s="67">
        <v>0.58510638297872342</v>
      </c>
      <c r="P118" s="67">
        <v>0.2982456140350877</v>
      </c>
      <c r="Q118" s="67">
        <v>0.4263565891472868</v>
      </c>
    </row>
    <row r="119" spans="1:17" x14ac:dyDescent="0.4">
      <c r="A119" s="69">
        <v>116</v>
      </c>
      <c r="B119" s="66">
        <v>-316.00000000000006</v>
      </c>
      <c r="C119" s="66">
        <v>-2.7241379310344831</v>
      </c>
      <c r="D119" s="71">
        <v>2.0775862068965516</v>
      </c>
      <c r="E119" s="67">
        <v>0.26724137931034481</v>
      </c>
      <c r="F119" s="67">
        <v>0.34482758620689657</v>
      </c>
      <c r="G119" s="67">
        <v>0.27272727272727271</v>
      </c>
      <c r="H119" s="67">
        <v>0.17136886102403343</v>
      </c>
      <c r="I119" s="68">
        <v>9297.318007662836</v>
      </c>
      <c r="J119" s="68">
        <v>-7742.6829268292686</v>
      </c>
      <c r="K119" s="67">
        <v>0.12931034482758622</v>
      </c>
      <c r="L119" s="67">
        <v>9.4827586206896547E-2</v>
      </c>
      <c r="M119" s="67">
        <v>0.2988505747126437</v>
      </c>
      <c r="N119" s="67">
        <v>0.18077324973876699</v>
      </c>
      <c r="O119" s="67">
        <v>0.58391608391608396</v>
      </c>
      <c r="P119" s="67">
        <v>0.30057803468208094</v>
      </c>
      <c r="Q119" s="67">
        <v>0.42145593869731801</v>
      </c>
    </row>
    <row r="120" spans="1:17" x14ac:dyDescent="0.4">
      <c r="A120" s="69">
        <v>117</v>
      </c>
      <c r="B120" s="66">
        <v>-313.40000000000003</v>
      </c>
      <c r="C120" s="66">
        <v>-2.6786324786324789</v>
      </c>
      <c r="D120" s="71">
        <v>2.0769230769230771</v>
      </c>
      <c r="E120" s="67">
        <v>0.26495726495726496</v>
      </c>
      <c r="F120" s="67">
        <v>0.34188034188034189</v>
      </c>
      <c r="G120" s="67">
        <v>0.27253886010362693</v>
      </c>
      <c r="H120" s="67">
        <v>0.16994818652849741</v>
      </c>
      <c r="I120" s="68">
        <v>9302.6615969581744</v>
      </c>
      <c r="J120" s="68">
        <v>-7742.6829268292686</v>
      </c>
      <c r="K120" s="67">
        <v>0.12820512820512819</v>
      </c>
      <c r="L120" s="67">
        <v>9.4017094017094016E-2</v>
      </c>
      <c r="M120" s="67">
        <v>0.30051813471502592</v>
      </c>
      <c r="N120" s="67">
        <v>0.18031088082901556</v>
      </c>
      <c r="O120" s="67">
        <v>0.58275862068965523</v>
      </c>
      <c r="P120" s="67">
        <v>0.2988505747126437</v>
      </c>
      <c r="Q120" s="67">
        <v>0.4220532319391635</v>
      </c>
    </row>
    <row r="121" spans="1:17" x14ac:dyDescent="0.4">
      <c r="A121" s="69">
        <v>118</v>
      </c>
      <c r="B121" s="66">
        <v>-324.50000000000006</v>
      </c>
      <c r="C121" s="66">
        <v>-2.7500000000000004</v>
      </c>
      <c r="D121" s="71">
        <v>2.0762711864406778</v>
      </c>
      <c r="E121" s="67">
        <v>0.26271186440677968</v>
      </c>
      <c r="F121" s="67">
        <v>0.33898305084745761</v>
      </c>
      <c r="G121" s="67">
        <v>0.27132579650565264</v>
      </c>
      <c r="H121" s="67">
        <v>0.16957862281603289</v>
      </c>
      <c r="I121" s="68">
        <v>9312.878787878788</v>
      </c>
      <c r="J121" s="68">
        <v>-7744.242424242424</v>
      </c>
      <c r="K121" s="67">
        <v>0.1271186440677966</v>
      </c>
      <c r="L121" s="67">
        <v>9.3220338983050849E-2</v>
      </c>
      <c r="M121" s="67">
        <v>0.30010277492291881</v>
      </c>
      <c r="N121" s="67">
        <v>0.17985611510791366</v>
      </c>
      <c r="O121" s="67">
        <v>0.57876712328767121</v>
      </c>
      <c r="P121" s="67">
        <v>0.29714285714285715</v>
      </c>
      <c r="Q121" s="67">
        <v>0.42045454545454547</v>
      </c>
    </row>
    <row r="122" spans="1:17" x14ac:dyDescent="0.4">
      <c r="A122" s="69">
        <v>119</v>
      </c>
      <c r="B122" s="66">
        <v>-346.70000000000005</v>
      </c>
      <c r="C122" s="66">
        <v>-2.9134453781512608</v>
      </c>
      <c r="D122" s="71">
        <v>2.0840336134453783</v>
      </c>
      <c r="E122" s="67">
        <v>0.26050420168067229</v>
      </c>
      <c r="F122" s="67">
        <v>0.34453781512605042</v>
      </c>
      <c r="G122" s="67">
        <v>0.27235772357723576</v>
      </c>
      <c r="H122" s="67">
        <v>0.16971544715447154</v>
      </c>
      <c r="I122" s="68">
        <v>9262.686567164179</v>
      </c>
      <c r="J122" s="68">
        <v>-7754.4910179640719</v>
      </c>
      <c r="K122" s="67">
        <v>0.12605042016806722</v>
      </c>
      <c r="L122" s="67">
        <v>9.2436974789915971E-2</v>
      </c>
      <c r="M122" s="67">
        <v>0.30081300813008133</v>
      </c>
      <c r="N122" s="67">
        <v>0.18292682926829268</v>
      </c>
      <c r="O122" s="67">
        <v>0.58108108108108103</v>
      </c>
      <c r="P122" s="67">
        <v>0.28888888888888886</v>
      </c>
      <c r="Q122" s="67">
        <v>0.42164179104477612</v>
      </c>
    </row>
    <row r="123" spans="1:17" x14ac:dyDescent="0.4">
      <c r="A123" s="69">
        <v>120</v>
      </c>
      <c r="B123" s="66">
        <v>-371.00000000000006</v>
      </c>
      <c r="C123" s="66">
        <v>-3.0916666666666672</v>
      </c>
      <c r="D123" s="71">
        <v>2.0916666666666668</v>
      </c>
      <c r="E123" s="67">
        <v>0.25833333333333336</v>
      </c>
      <c r="F123" s="67">
        <v>0.35</v>
      </c>
      <c r="G123" s="67">
        <v>0.27116935483870969</v>
      </c>
      <c r="H123" s="67">
        <v>0.16935483870967741</v>
      </c>
      <c r="I123" s="68">
        <v>9272.8624535315994</v>
      </c>
      <c r="J123" s="68">
        <v>-7739.2857142857147</v>
      </c>
      <c r="K123" s="67">
        <v>0.125</v>
      </c>
      <c r="L123" s="67">
        <v>9.166666666666666E-2</v>
      </c>
      <c r="M123" s="67">
        <v>0.30141129032258063</v>
      </c>
      <c r="N123" s="67">
        <v>0.18245967741935484</v>
      </c>
      <c r="O123" s="67">
        <v>0.57859531772575246</v>
      </c>
      <c r="P123" s="67">
        <v>0.287292817679558</v>
      </c>
      <c r="Q123" s="67">
        <v>0.42379182156133827</v>
      </c>
    </row>
    <row r="124" spans="1:17" x14ac:dyDescent="0.4">
      <c r="A124" s="69">
        <v>121</v>
      </c>
      <c r="B124" s="66">
        <v>-422.10000000000008</v>
      </c>
      <c r="C124" s="66">
        <v>-3.4884297520661165</v>
      </c>
      <c r="D124" s="71">
        <v>2.0991735537190084</v>
      </c>
      <c r="E124" s="67">
        <v>0.256198347107438</v>
      </c>
      <c r="F124" s="67">
        <v>0.35537190082644626</v>
      </c>
      <c r="G124" s="67">
        <v>0.26965174129353237</v>
      </c>
      <c r="H124" s="67">
        <v>0.17014925373134329</v>
      </c>
      <c r="I124" s="68">
        <v>9253.1365313653132</v>
      </c>
      <c r="J124" s="68">
        <v>-7776.6081871345032</v>
      </c>
      <c r="K124" s="67">
        <v>0.12396694214876033</v>
      </c>
      <c r="L124" s="67">
        <v>9.0909090909090912E-2</v>
      </c>
      <c r="M124" s="67">
        <v>0.30149253731343284</v>
      </c>
      <c r="N124" s="67">
        <v>0.18009950248756218</v>
      </c>
      <c r="O124" s="67">
        <v>0.57755775577557755</v>
      </c>
      <c r="P124" s="67">
        <v>0.287292817679558</v>
      </c>
      <c r="Q124" s="67">
        <v>0.42435424354243545</v>
      </c>
    </row>
    <row r="125" spans="1:17" x14ac:dyDescent="0.4">
      <c r="A125" s="69">
        <v>122</v>
      </c>
      <c r="B125" s="66">
        <v>-478.00000000000006</v>
      </c>
      <c r="C125" s="66">
        <v>-3.9180327868852465</v>
      </c>
      <c r="D125" s="71">
        <v>2.1065573770491803</v>
      </c>
      <c r="E125" s="67">
        <v>0.25409836065573771</v>
      </c>
      <c r="F125" s="67">
        <v>0.36065573770491804</v>
      </c>
      <c r="G125" s="67">
        <v>0.26858275520317143</v>
      </c>
      <c r="H125" s="67">
        <v>0.17145688800792863</v>
      </c>
      <c r="I125" s="68">
        <v>9253.1365313653132</v>
      </c>
      <c r="J125" s="68">
        <v>-7825.4335260115604</v>
      </c>
      <c r="K125" s="67">
        <v>0.13114754098360656</v>
      </c>
      <c r="L125" s="67">
        <v>9.0163934426229511E-2</v>
      </c>
      <c r="M125" s="67">
        <v>0.30029732408325072</v>
      </c>
      <c r="N125" s="67">
        <v>0.17938553022794845</v>
      </c>
      <c r="O125" s="67">
        <v>0.57755775577557755</v>
      </c>
      <c r="P125" s="67">
        <v>0.287292817679558</v>
      </c>
      <c r="Q125" s="67">
        <v>0.42435424354243545</v>
      </c>
    </row>
    <row r="126" spans="1:17" x14ac:dyDescent="0.4">
      <c r="A126" s="69">
        <v>123</v>
      </c>
      <c r="B126" s="66">
        <v>-426.70000000000005</v>
      </c>
      <c r="C126" s="66">
        <v>-3.4691056910569111</v>
      </c>
      <c r="D126" s="71">
        <v>2.0975609756097562</v>
      </c>
      <c r="E126" s="67">
        <v>0.26016260162601629</v>
      </c>
      <c r="F126" s="67">
        <v>0.35772357723577236</v>
      </c>
      <c r="G126" s="67">
        <v>0.26987242394504418</v>
      </c>
      <c r="H126" s="67">
        <v>0.1717369970559372</v>
      </c>
      <c r="I126" s="68">
        <v>9285.454545454546</v>
      </c>
      <c r="J126" s="68">
        <v>-7819.4285714285716</v>
      </c>
      <c r="K126" s="67">
        <v>0.13008130081300814</v>
      </c>
      <c r="L126" s="67">
        <v>8.943089430894309E-2</v>
      </c>
      <c r="M126" s="67">
        <v>0.3012757605495584</v>
      </c>
      <c r="N126" s="67">
        <v>0.17958783120706576</v>
      </c>
      <c r="O126" s="67">
        <v>0.57654723127035834</v>
      </c>
      <c r="P126" s="67">
        <v>0.2896174863387978</v>
      </c>
      <c r="Q126" s="67">
        <v>0.42181818181818181</v>
      </c>
    </row>
    <row r="127" spans="1:17" x14ac:dyDescent="0.4">
      <c r="A127" s="69">
        <v>124</v>
      </c>
      <c r="B127" s="66">
        <v>-484.40000000000003</v>
      </c>
      <c r="C127" s="66">
        <v>-3.9064516129032261</v>
      </c>
      <c r="D127" s="71">
        <v>2.1048387096774195</v>
      </c>
      <c r="E127" s="67">
        <v>0.25806451612903225</v>
      </c>
      <c r="F127" s="67">
        <v>0.36290322580645162</v>
      </c>
      <c r="G127" s="67">
        <v>0.26777020447906524</v>
      </c>
      <c r="H127" s="67">
        <v>0.1733203505355404</v>
      </c>
      <c r="I127" s="68">
        <v>9285.454545454546</v>
      </c>
      <c r="J127" s="68">
        <v>-7806.7415730337079</v>
      </c>
      <c r="K127" s="67">
        <v>0.13709677419354838</v>
      </c>
      <c r="L127" s="67">
        <v>8.8709677419354843E-2</v>
      </c>
      <c r="M127" s="67">
        <v>0.29892891918208375</v>
      </c>
      <c r="N127" s="67">
        <v>0.17818889970788704</v>
      </c>
      <c r="O127" s="67">
        <v>0.57654723127035834</v>
      </c>
      <c r="P127" s="67">
        <v>0.2896174863387978</v>
      </c>
      <c r="Q127" s="67">
        <v>0.42181818181818181</v>
      </c>
    </row>
    <row r="128" spans="1:17" x14ac:dyDescent="0.4">
      <c r="A128" s="69">
        <v>125</v>
      </c>
      <c r="B128" s="66">
        <v>-449.70000000000005</v>
      </c>
      <c r="C128" s="66">
        <v>-3.5976000000000004</v>
      </c>
      <c r="D128" s="71">
        <v>2.0960000000000001</v>
      </c>
      <c r="E128" s="67">
        <v>0.26400000000000001</v>
      </c>
      <c r="F128" s="67">
        <v>0.36</v>
      </c>
      <c r="G128" s="67">
        <v>0.2688588007736944</v>
      </c>
      <c r="H128" s="67">
        <v>0.17214700193423599</v>
      </c>
      <c r="I128" s="68">
        <v>9251.7985611510794</v>
      </c>
      <c r="J128" s="68">
        <v>-7806.7415730337079</v>
      </c>
      <c r="K128" s="67">
        <v>0.13600000000000001</v>
      </c>
      <c r="L128" s="67">
        <v>8.7999999999999995E-2</v>
      </c>
      <c r="M128" s="67">
        <v>0.29980657640232106</v>
      </c>
      <c r="N128" s="67">
        <v>0.17794970986460348</v>
      </c>
      <c r="O128" s="67">
        <v>0.58064516129032262</v>
      </c>
      <c r="P128" s="67">
        <v>0.28804347826086957</v>
      </c>
      <c r="Q128" s="67">
        <v>0.42446043165467628</v>
      </c>
    </row>
    <row r="129" spans="1:17" x14ac:dyDescent="0.4">
      <c r="A129" s="69">
        <v>126</v>
      </c>
      <c r="B129" s="66">
        <v>-438.1</v>
      </c>
      <c r="C129" s="66">
        <v>-3.4769841269841271</v>
      </c>
      <c r="D129" s="71">
        <v>2.0952380952380953</v>
      </c>
      <c r="E129" s="67">
        <v>0.26190476190476192</v>
      </c>
      <c r="F129" s="67">
        <v>0.35714285714285715</v>
      </c>
      <c r="G129" s="67">
        <v>0.2687140115163148</v>
      </c>
      <c r="H129" s="67">
        <v>0.17082533589251439</v>
      </c>
      <c r="I129" s="68">
        <v>9241.7857142857138</v>
      </c>
      <c r="J129" s="68">
        <v>-7806.7415730337079</v>
      </c>
      <c r="K129" s="67">
        <v>0.13492063492063491</v>
      </c>
      <c r="L129" s="67">
        <v>8.7301587301587297E-2</v>
      </c>
      <c r="M129" s="67">
        <v>0.29942418426103645</v>
      </c>
      <c r="N129" s="67">
        <v>0.1765834932821497</v>
      </c>
      <c r="O129" s="67">
        <v>0.58333333333333337</v>
      </c>
      <c r="P129" s="67">
        <v>0.28804347826086957</v>
      </c>
      <c r="Q129" s="67">
        <v>0.42499999999999999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8177C-30AE-496B-863A-4FC58CDF78AC}">
  <sheetPr codeName="Sheet8"/>
  <dimension ref="A1:Q15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  <row r="119" spans="1:17" x14ac:dyDescent="0.4">
      <c r="A119" s="69">
        <v>116</v>
      </c>
      <c r="B119" s="66">
        <v>1471.900000000001</v>
      </c>
      <c r="C119" s="66">
        <v>12.688793103448285</v>
      </c>
      <c r="D119" s="71">
        <v>1.7327586206896552</v>
      </c>
      <c r="E119" s="67">
        <v>0.5</v>
      </c>
      <c r="F119" s="67">
        <v>0.23275862068965517</v>
      </c>
      <c r="G119" s="67">
        <v>0.35456475583864117</v>
      </c>
      <c r="H119" s="67">
        <v>0.14968152866242038</v>
      </c>
      <c r="I119" s="68">
        <v>9014.3712574850306</v>
      </c>
      <c r="J119" s="68">
        <v>-8415.6028368794323</v>
      </c>
      <c r="K119" s="67">
        <v>0.11206896551724138</v>
      </c>
      <c r="L119" s="67">
        <v>0.18103448275862069</v>
      </c>
      <c r="M119" s="67">
        <v>0.32908704883227174</v>
      </c>
      <c r="N119" s="67">
        <v>0.2208067940552017</v>
      </c>
      <c r="O119" s="67">
        <v>0.58387096774193548</v>
      </c>
      <c r="P119" s="67">
        <v>0.51923076923076927</v>
      </c>
      <c r="Q119" s="67">
        <v>0.41916167664670656</v>
      </c>
    </row>
    <row r="120" spans="1:17" x14ac:dyDescent="0.4">
      <c r="A120" s="69">
        <v>117</v>
      </c>
      <c r="B120" s="66">
        <v>1492.600000000001</v>
      </c>
      <c r="C120" s="66">
        <v>12.757264957264967</v>
      </c>
      <c r="D120" s="71">
        <v>1.7350427350427351</v>
      </c>
      <c r="E120" s="67">
        <v>0.49572649572649574</v>
      </c>
      <c r="F120" s="67">
        <v>0.23076923076923078</v>
      </c>
      <c r="G120" s="67">
        <v>0.35654008438818563</v>
      </c>
      <c r="H120" s="67">
        <v>0.14873417721518986</v>
      </c>
      <c r="I120" s="68">
        <v>8992.6035502958584</v>
      </c>
      <c r="J120" s="68">
        <v>-8415.6028368794323</v>
      </c>
      <c r="K120" s="67">
        <v>0.1111111111111111</v>
      </c>
      <c r="L120" s="67">
        <v>0.17948717948717949</v>
      </c>
      <c r="M120" s="67">
        <v>0.32911392405063289</v>
      </c>
      <c r="N120" s="67">
        <v>0.22151898734177214</v>
      </c>
      <c r="O120" s="67">
        <v>0.58653846153846156</v>
      </c>
      <c r="P120" s="67">
        <v>0.52380952380952384</v>
      </c>
      <c r="Q120" s="67">
        <v>0.41420118343195267</v>
      </c>
    </row>
    <row r="121" spans="1:17" x14ac:dyDescent="0.4">
      <c r="A121" s="69">
        <v>118</v>
      </c>
      <c r="B121" s="66">
        <v>1530.0000000000011</v>
      </c>
      <c r="C121" s="66">
        <v>12.966101694915263</v>
      </c>
      <c r="D121" s="71">
        <v>1.728813559322034</v>
      </c>
      <c r="E121" s="67">
        <v>0.5</v>
      </c>
      <c r="F121" s="67">
        <v>0.2288135593220339</v>
      </c>
      <c r="G121" s="67">
        <v>0.35379812695109258</v>
      </c>
      <c r="H121" s="67">
        <v>0.14880332986472425</v>
      </c>
      <c r="I121" s="68">
        <v>9041.4705882352937</v>
      </c>
      <c r="J121" s="68">
        <v>-8335.6643356643362</v>
      </c>
      <c r="K121" s="67">
        <v>0.11016949152542373</v>
      </c>
      <c r="L121" s="67">
        <v>0.17796610169491525</v>
      </c>
      <c r="M121" s="67">
        <v>0.32778355879292403</v>
      </c>
      <c r="N121" s="67">
        <v>0.22164412070759626</v>
      </c>
      <c r="O121" s="67">
        <v>0.58412698412698416</v>
      </c>
      <c r="P121" s="67">
        <v>0.51643192488262912</v>
      </c>
      <c r="Q121" s="67">
        <v>0.41176470588235292</v>
      </c>
    </row>
    <row r="122" spans="1:17" x14ac:dyDescent="0.4">
      <c r="A122" s="69">
        <v>119</v>
      </c>
      <c r="B122" s="66">
        <v>1530.0000000000011</v>
      </c>
      <c r="C122" s="66">
        <v>12.857142857142867</v>
      </c>
      <c r="D122" s="71">
        <v>1.73109243697479</v>
      </c>
      <c r="E122" s="67">
        <v>0.49579831932773111</v>
      </c>
      <c r="F122" s="67">
        <v>0.22689075630252101</v>
      </c>
      <c r="G122" s="67">
        <v>0.35269709543568467</v>
      </c>
      <c r="H122" s="67">
        <v>0.1483402489626556</v>
      </c>
      <c r="I122" s="68">
        <v>9041.4705882352937</v>
      </c>
      <c r="J122" s="68">
        <v>-8335.6643356643362</v>
      </c>
      <c r="K122" s="67">
        <v>0.1092436974789916</v>
      </c>
      <c r="L122" s="67">
        <v>0.17647058823529413</v>
      </c>
      <c r="M122" s="67">
        <v>0.32676348547717843</v>
      </c>
      <c r="N122" s="67">
        <v>0.22095435684647302</v>
      </c>
      <c r="O122" s="67">
        <v>0.58412698412698416</v>
      </c>
      <c r="P122" s="67">
        <v>0.51643192488262912</v>
      </c>
      <c r="Q122" s="67">
        <v>0.41176470588235292</v>
      </c>
    </row>
    <row r="123" spans="1:17" x14ac:dyDescent="0.4">
      <c r="A123" s="69">
        <v>120</v>
      </c>
      <c r="B123" s="66">
        <v>1527.0000000000011</v>
      </c>
      <c r="C123" s="66">
        <v>12.72500000000001</v>
      </c>
      <c r="D123" s="71">
        <v>1.7333333333333334</v>
      </c>
      <c r="E123" s="67">
        <v>0.49166666666666664</v>
      </c>
      <c r="F123" s="67">
        <v>0.22500000000000001</v>
      </c>
      <c r="G123" s="67">
        <v>0.3508230452674897</v>
      </c>
      <c r="H123" s="67">
        <v>0.15020576131687244</v>
      </c>
      <c r="I123" s="68">
        <v>9120.5278592375362</v>
      </c>
      <c r="J123" s="68">
        <v>-8356.1643835616433</v>
      </c>
      <c r="K123" s="67">
        <v>0.10833333333333334</v>
      </c>
      <c r="L123" s="67">
        <v>0.17499999999999999</v>
      </c>
      <c r="M123" s="67">
        <v>0.32818930041152261</v>
      </c>
      <c r="N123" s="67">
        <v>0.22119341563786007</v>
      </c>
      <c r="O123" s="67">
        <v>0.57993730407523514</v>
      </c>
      <c r="P123" s="67">
        <v>0.51162790697674421</v>
      </c>
      <c r="Q123" s="67">
        <v>0.41348973607038125</v>
      </c>
    </row>
    <row r="124" spans="1:17" x14ac:dyDescent="0.4">
      <c r="A124" s="69">
        <v>121</v>
      </c>
      <c r="B124" s="66">
        <v>1556.600000000001</v>
      </c>
      <c r="C124" s="66">
        <v>12.864462809917365</v>
      </c>
      <c r="D124" s="71">
        <v>1.7272727272727273</v>
      </c>
      <c r="E124" s="67">
        <v>0.49586776859504134</v>
      </c>
      <c r="F124" s="67">
        <v>0.2231404958677686</v>
      </c>
      <c r="G124" s="67">
        <v>0.3510204081632653</v>
      </c>
      <c r="H124" s="67">
        <v>0.15102040816326531</v>
      </c>
      <c r="I124" s="68">
        <v>9132.8488372093016</v>
      </c>
      <c r="J124" s="68">
        <v>-8351.3513513513517</v>
      </c>
      <c r="K124" s="67">
        <v>0.10743801652892562</v>
      </c>
      <c r="L124" s="67">
        <v>0.17355371900826447</v>
      </c>
      <c r="M124" s="67">
        <v>0.32857142857142857</v>
      </c>
      <c r="N124" s="67">
        <v>0.22244897959183674</v>
      </c>
      <c r="O124" s="67">
        <v>0.57763975155279501</v>
      </c>
      <c r="P124" s="67">
        <v>0.51376146788990829</v>
      </c>
      <c r="Q124" s="67">
        <v>0.41279069767441862</v>
      </c>
    </row>
    <row r="125" spans="1:17" x14ac:dyDescent="0.4">
      <c r="A125" s="69">
        <v>122</v>
      </c>
      <c r="B125" s="66">
        <v>1590.100000000001</v>
      </c>
      <c r="C125" s="66">
        <v>13.033606557377057</v>
      </c>
      <c r="D125" s="71">
        <v>1.721311475409836</v>
      </c>
      <c r="E125" s="67">
        <v>0.5</v>
      </c>
      <c r="F125" s="67">
        <v>0.22131147540983606</v>
      </c>
      <c r="G125" s="67">
        <v>0.35192697768762676</v>
      </c>
      <c r="H125" s="67">
        <v>0.15111561866125761</v>
      </c>
      <c r="I125" s="68">
        <v>9107.2046109510084</v>
      </c>
      <c r="J125" s="68">
        <v>-8308.7248322147643</v>
      </c>
      <c r="K125" s="67">
        <v>0.10655737704918032</v>
      </c>
      <c r="L125" s="67">
        <v>0.1721311475409836</v>
      </c>
      <c r="M125" s="67">
        <v>0.32860040567951321</v>
      </c>
      <c r="N125" s="67">
        <v>0.22109533468559839</v>
      </c>
      <c r="O125" s="67">
        <v>0.5771604938271605</v>
      </c>
      <c r="P125" s="67">
        <v>0.51376146788990829</v>
      </c>
      <c r="Q125" s="67">
        <v>0.40922190201729108</v>
      </c>
    </row>
    <row r="126" spans="1:17" x14ac:dyDescent="0.4">
      <c r="A126" s="69">
        <v>123</v>
      </c>
      <c r="B126" s="66">
        <v>1598.200000000001</v>
      </c>
      <c r="C126" s="66">
        <v>12.993495934959357</v>
      </c>
      <c r="D126" s="71">
        <v>1.7235772357723578</v>
      </c>
      <c r="E126" s="67">
        <v>0.49593495934959347</v>
      </c>
      <c r="F126" s="67">
        <v>0.21951219512195122</v>
      </c>
      <c r="G126" s="67">
        <v>0.35170340681362727</v>
      </c>
      <c r="H126" s="67">
        <v>0.15330661322645289</v>
      </c>
      <c r="I126" s="68">
        <v>9112.2507122507122</v>
      </c>
      <c r="J126" s="68">
        <v>-8224.1830065359482</v>
      </c>
      <c r="K126" s="67">
        <v>0.10569105691056911</v>
      </c>
      <c r="L126" s="67">
        <v>0.17073170731707318</v>
      </c>
      <c r="M126" s="67">
        <v>0.32865731462925851</v>
      </c>
      <c r="N126" s="67">
        <v>0.21943887775551102</v>
      </c>
      <c r="O126" s="67">
        <v>0.57621951219512191</v>
      </c>
      <c r="P126" s="67">
        <v>0.51598173515981738</v>
      </c>
      <c r="Q126" s="67">
        <v>0.40740740740740738</v>
      </c>
    </row>
    <row r="127" spans="1:17" x14ac:dyDescent="0.4">
      <c r="A127" s="69">
        <v>124</v>
      </c>
      <c r="B127" s="66">
        <v>1628.600000000001</v>
      </c>
      <c r="C127" s="66">
        <v>13.133870967741943</v>
      </c>
      <c r="D127" s="71">
        <v>1.717741935483871</v>
      </c>
      <c r="E127" s="67">
        <v>0.5</v>
      </c>
      <c r="F127" s="67">
        <v>0.21774193548387097</v>
      </c>
      <c r="G127" s="67">
        <v>0.35089463220675943</v>
      </c>
      <c r="H127" s="67">
        <v>0.15407554671968191</v>
      </c>
      <c r="I127" s="68">
        <v>9134.2776203966005</v>
      </c>
      <c r="J127" s="68">
        <v>-8178.0645161290322</v>
      </c>
      <c r="K127" s="67">
        <v>0.10483870967741936</v>
      </c>
      <c r="L127" s="67">
        <v>0.16935483870967741</v>
      </c>
      <c r="M127" s="67">
        <v>0.32703777335984097</v>
      </c>
      <c r="N127" s="67">
        <v>0.21968190854870775</v>
      </c>
      <c r="O127" s="67">
        <v>0.57750759878419455</v>
      </c>
      <c r="P127" s="67">
        <v>0.51583710407239824</v>
      </c>
      <c r="Q127" s="67">
        <v>0.40509915014164305</v>
      </c>
    </row>
    <row r="128" spans="1:17" x14ac:dyDescent="0.4">
      <c r="A128" s="69">
        <v>125</v>
      </c>
      <c r="B128" s="66">
        <v>1565.600000000001</v>
      </c>
      <c r="C128" s="66">
        <v>12.524800000000008</v>
      </c>
      <c r="D128" s="71">
        <v>1.728</v>
      </c>
      <c r="E128" s="67">
        <v>0.496</v>
      </c>
      <c r="F128" s="67">
        <v>0.224</v>
      </c>
      <c r="G128" s="67">
        <v>0.34985133795837464</v>
      </c>
      <c r="H128" s="67">
        <v>0.15559960356788899</v>
      </c>
      <c r="I128" s="68">
        <v>9134.2776203966005</v>
      </c>
      <c r="J128" s="68">
        <v>-8277.7070063694264</v>
      </c>
      <c r="K128" s="67">
        <v>0.112</v>
      </c>
      <c r="L128" s="67">
        <v>0.16800000000000001</v>
      </c>
      <c r="M128" s="67">
        <v>0.32606541129831518</v>
      </c>
      <c r="N128" s="67">
        <v>0.22101090188305253</v>
      </c>
      <c r="O128" s="67">
        <v>0.57750759878419455</v>
      </c>
      <c r="P128" s="67">
        <v>0.5112107623318386</v>
      </c>
      <c r="Q128" s="67">
        <v>0.40509915014164305</v>
      </c>
    </row>
    <row r="129" spans="1:17" x14ac:dyDescent="0.4">
      <c r="A129" s="69">
        <v>126</v>
      </c>
      <c r="B129" s="66">
        <v>1666.5000000000011</v>
      </c>
      <c r="C129" s="66">
        <v>13.226190476190485</v>
      </c>
      <c r="D129" s="71">
        <v>1.7222222222222223</v>
      </c>
      <c r="E129" s="67">
        <v>0.5</v>
      </c>
      <c r="F129" s="67">
        <v>0.22222222222222221</v>
      </c>
      <c r="G129" s="67">
        <v>0.3526522593320236</v>
      </c>
      <c r="H129" s="67">
        <v>0.15422396856581533</v>
      </c>
      <c r="I129" s="68">
        <v>9180.5013927576601</v>
      </c>
      <c r="J129" s="68">
        <v>-8277.7070063694264</v>
      </c>
      <c r="K129" s="67">
        <v>0.1111111111111111</v>
      </c>
      <c r="L129" s="67">
        <v>0.17460317460317459</v>
      </c>
      <c r="M129" s="67">
        <v>0.32612966601178783</v>
      </c>
      <c r="N129" s="67">
        <v>0.22298624754420432</v>
      </c>
      <c r="O129" s="67">
        <v>0.58132530120481929</v>
      </c>
      <c r="P129" s="67">
        <v>0.51541850220264318</v>
      </c>
      <c r="Q129" s="67">
        <v>0.4011142061281337</v>
      </c>
    </row>
    <row r="130" spans="1:17" x14ac:dyDescent="0.4">
      <c r="A130" s="69">
        <v>127</v>
      </c>
      <c r="B130" s="66">
        <v>1643.100000000001</v>
      </c>
      <c r="C130" s="66">
        <v>12.93779527559056</v>
      </c>
      <c r="D130" s="71">
        <v>1.7322834645669292</v>
      </c>
      <c r="E130" s="67">
        <v>0.49606299212598426</v>
      </c>
      <c r="F130" s="67">
        <v>0.2283464566929134</v>
      </c>
      <c r="G130" s="67">
        <v>0.3498542274052478</v>
      </c>
      <c r="H130" s="67">
        <v>0.15451895043731778</v>
      </c>
      <c r="I130" s="68">
        <v>9205</v>
      </c>
      <c r="J130" s="68">
        <v>-8233.3333333333339</v>
      </c>
      <c r="K130" s="67">
        <v>0.11023622047244094</v>
      </c>
      <c r="L130" s="67">
        <v>0.17322834645669291</v>
      </c>
      <c r="M130" s="67">
        <v>0.32847424684159376</v>
      </c>
      <c r="N130" s="67">
        <v>0.22157434402332363</v>
      </c>
      <c r="O130" s="67">
        <v>0.57396449704142016</v>
      </c>
      <c r="P130" s="67">
        <v>0.51315789473684215</v>
      </c>
      <c r="Q130" s="67">
        <v>0.4</v>
      </c>
    </row>
    <row r="131" spans="1:17" x14ac:dyDescent="0.4">
      <c r="A131" s="69">
        <v>128</v>
      </c>
      <c r="B131" s="66">
        <v>1573.600000000001</v>
      </c>
      <c r="C131" s="66">
        <v>12.293750000000008</v>
      </c>
      <c r="D131" s="71">
        <v>1.7421875</v>
      </c>
      <c r="E131" s="67">
        <v>0.4921875</v>
      </c>
      <c r="F131" s="67">
        <v>0.234375</v>
      </c>
      <c r="G131" s="67">
        <v>0.34778420038535646</v>
      </c>
      <c r="H131" s="67">
        <v>0.15703275529865124</v>
      </c>
      <c r="I131" s="68">
        <v>9223.8227146814406</v>
      </c>
      <c r="J131" s="68">
        <v>-8374.8466257668715</v>
      </c>
      <c r="K131" s="67">
        <v>0.1171875</v>
      </c>
      <c r="L131" s="67">
        <v>0.171875</v>
      </c>
      <c r="M131" s="67">
        <v>0.32562620423892102</v>
      </c>
      <c r="N131" s="67">
        <v>0.21965317919075145</v>
      </c>
      <c r="O131" s="67">
        <v>0.57396449704142016</v>
      </c>
      <c r="P131" s="67">
        <v>0.51315789473684215</v>
      </c>
      <c r="Q131" s="67">
        <v>0.40166204986149584</v>
      </c>
    </row>
    <row r="132" spans="1:17" x14ac:dyDescent="0.4">
      <c r="A132" s="69">
        <v>129</v>
      </c>
      <c r="B132" s="66">
        <v>1603.0000000000011</v>
      </c>
      <c r="C132" s="66">
        <v>12.426356589147296</v>
      </c>
      <c r="D132" s="71">
        <v>1.7364341085271318</v>
      </c>
      <c r="E132" s="67">
        <v>0.49612403100775193</v>
      </c>
      <c r="F132" s="67">
        <v>0.23255813953488372</v>
      </c>
      <c r="G132" s="67">
        <v>0.34699714013346045</v>
      </c>
      <c r="H132" s="67">
        <v>0.15824594852240229</v>
      </c>
      <c r="I132" s="68">
        <v>9240.1098901098903</v>
      </c>
      <c r="J132" s="68">
        <v>-8291.5662650602408</v>
      </c>
      <c r="K132" s="67">
        <v>0.11627906976744186</v>
      </c>
      <c r="L132" s="67">
        <v>0.17054263565891473</v>
      </c>
      <c r="M132" s="67">
        <v>0.32316491897044802</v>
      </c>
      <c r="N132" s="67">
        <v>0.2202097235462345</v>
      </c>
      <c r="O132" s="67">
        <v>0.57227138643067843</v>
      </c>
      <c r="P132" s="67">
        <v>0.51515151515151514</v>
      </c>
      <c r="Q132" s="67">
        <v>0.40109890109890112</v>
      </c>
    </row>
    <row r="133" spans="1:17" x14ac:dyDescent="0.4">
      <c r="A133" s="69">
        <v>130</v>
      </c>
      <c r="B133" s="66">
        <v>1682.600000000001</v>
      </c>
      <c r="C133" s="66">
        <v>12.943076923076932</v>
      </c>
      <c r="D133" s="71">
        <v>1.7307692307692308</v>
      </c>
      <c r="E133" s="67">
        <v>0.5</v>
      </c>
      <c r="F133" s="67">
        <v>0.23076923076923078</v>
      </c>
      <c r="G133" s="67">
        <v>0.35009487666034156</v>
      </c>
      <c r="H133" s="67">
        <v>0.15749525616698293</v>
      </c>
      <c r="I133" s="68">
        <v>9241.1924119241194</v>
      </c>
      <c r="J133" s="68">
        <v>-8291.5662650602408</v>
      </c>
      <c r="K133" s="67">
        <v>0.11538461538461539</v>
      </c>
      <c r="L133" s="67">
        <v>0.17692307692307693</v>
      </c>
      <c r="M133" s="67">
        <v>0.3235294117647059</v>
      </c>
      <c r="N133" s="67">
        <v>0.22011385199240988</v>
      </c>
      <c r="O133" s="67">
        <v>0.57478005865102644</v>
      </c>
      <c r="P133" s="67">
        <v>0.51724137931034486</v>
      </c>
      <c r="Q133" s="67">
        <v>0.40108401084010842</v>
      </c>
    </row>
    <row r="134" spans="1:17" x14ac:dyDescent="0.4">
      <c r="A134" s="69">
        <v>131</v>
      </c>
      <c r="B134" s="66">
        <v>1632.100000000001</v>
      </c>
      <c r="C134" s="66">
        <v>12.458778625954206</v>
      </c>
      <c r="D134" s="71">
        <v>1.7404580152671756</v>
      </c>
      <c r="E134" s="67">
        <v>0.49618320610687022</v>
      </c>
      <c r="F134" s="67">
        <v>0.23664122137404581</v>
      </c>
      <c r="G134" s="67">
        <v>0.34839924670433148</v>
      </c>
      <c r="H134" s="67">
        <v>0.15819209039548024</v>
      </c>
      <c r="I134" s="68">
        <v>9227.0270270270266</v>
      </c>
      <c r="J134" s="68">
        <v>-8288.0952380952385</v>
      </c>
      <c r="K134" s="67">
        <v>0.11450381679389313</v>
      </c>
      <c r="L134" s="67">
        <v>0.17557251908396945</v>
      </c>
      <c r="M134" s="67">
        <v>0.32297551789077211</v>
      </c>
      <c r="N134" s="67">
        <v>0.22033898305084745</v>
      </c>
      <c r="O134" s="67">
        <v>0.57434402332361512</v>
      </c>
      <c r="P134" s="67">
        <v>0.51282051282051277</v>
      </c>
      <c r="Q134" s="67">
        <v>0.4027027027027027</v>
      </c>
    </row>
    <row r="135" spans="1:17" x14ac:dyDescent="0.4">
      <c r="A135" s="69">
        <v>132</v>
      </c>
      <c r="B135" s="66">
        <v>1590.400000000001</v>
      </c>
      <c r="C135" s="66">
        <v>12.048484848484856</v>
      </c>
      <c r="D135" s="71">
        <v>1.75</v>
      </c>
      <c r="E135" s="67">
        <v>0.49242424242424243</v>
      </c>
      <c r="F135" s="67">
        <v>0.24242424242424243</v>
      </c>
      <c r="G135" s="67">
        <v>0.34669151910531221</v>
      </c>
      <c r="H135" s="67">
        <v>0.16029822926374651</v>
      </c>
      <c r="I135" s="68">
        <v>9215.322580645161</v>
      </c>
      <c r="J135" s="68">
        <v>-8284.3023255813951</v>
      </c>
      <c r="K135" s="67">
        <v>0.11363636363636363</v>
      </c>
      <c r="L135" s="67">
        <v>0.17424242424242425</v>
      </c>
      <c r="M135" s="67">
        <v>0.32152842497670087</v>
      </c>
      <c r="N135" s="67">
        <v>0.22087604846225536</v>
      </c>
      <c r="O135" s="67">
        <v>0.57101449275362315</v>
      </c>
      <c r="P135" s="67">
        <v>0.51476793248945152</v>
      </c>
      <c r="Q135" s="67">
        <v>0.40322580645161288</v>
      </c>
    </row>
    <row r="136" spans="1:17" x14ac:dyDescent="0.4">
      <c r="A136" s="69">
        <v>133</v>
      </c>
      <c r="B136" s="66">
        <v>1555.5000000000009</v>
      </c>
      <c r="C136" s="66">
        <v>11.695488721804518</v>
      </c>
      <c r="D136" s="71">
        <v>1.7593984962406015</v>
      </c>
      <c r="E136" s="67">
        <v>0.48872180451127817</v>
      </c>
      <c r="F136" s="67">
        <v>0.24812030075187969</v>
      </c>
      <c r="G136" s="67">
        <v>0.34629629629629627</v>
      </c>
      <c r="H136" s="67">
        <v>0.16111111111111112</v>
      </c>
      <c r="I136" s="68">
        <v>9218.7165775401063</v>
      </c>
      <c r="J136" s="68">
        <v>-8353.4482758620688</v>
      </c>
      <c r="K136" s="67">
        <v>0.11278195488721804</v>
      </c>
      <c r="L136" s="67">
        <v>0.17293233082706766</v>
      </c>
      <c r="M136" s="67">
        <v>0.32314814814814813</v>
      </c>
      <c r="N136" s="67">
        <v>0.21944444444444444</v>
      </c>
      <c r="O136" s="67">
        <v>0.56733524355300857</v>
      </c>
      <c r="P136" s="67">
        <v>0.51476793248945152</v>
      </c>
      <c r="Q136" s="67">
        <v>0.40374331550802139</v>
      </c>
    </row>
    <row r="137" spans="1:17" x14ac:dyDescent="0.4">
      <c r="A137" s="69">
        <v>134</v>
      </c>
      <c r="B137" s="66">
        <v>1549.3000000000009</v>
      </c>
      <c r="C137" s="66">
        <v>11.561940298507469</v>
      </c>
      <c r="D137" s="71">
        <v>1.7611940298507462</v>
      </c>
      <c r="E137" s="67">
        <v>0.48507462686567165</v>
      </c>
      <c r="F137" s="67">
        <v>0.2462686567164179</v>
      </c>
      <c r="G137" s="67">
        <v>0.34587155963302751</v>
      </c>
      <c r="H137" s="67">
        <v>0.16238532110091744</v>
      </c>
      <c r="I137" s="68">
        <v>9218.8328912466841</v>
      </c>
      <c r="J137" s="68">
        <v>-8345.1977401129952</v>
      </c>
      <c r="K137" s="67">
        <v>0.11194029850746269</v>
      </c>
      <c r="L137" s="67">
        <v>0.17164179104477612</v>
      </c>
      <c r="M137" s="67">
        <v>0.3220183486238532</v>
      </c>
      <c r="N137" s="67">
        <v>0.22110091743119267</v>
      </c>
      <c r="O137" s="67">
        <v>0.56980056980056981</v>
      </c>
      <c r="P137" s="67">
        <v>0.51037344398340245</v>
      </c>
      <c r="Q137" s="67">
        <v>0.40583554376657827</v>
      </c>
    </row>
    <row r="138" spans="1:17" x14ac:dyDescent="0.4">
      <c r="A138" s="69">
        <v>135</v>
      </c>
      <c r="B138" s="66">
        <v>1609.6000000000008</v>
      </c>
      <c r="C138" s="66">
        <v>11.92296296296297</v>
      </c>
      <c r="D138" s="71">
        <v>1.7555555555555555</v>
      </c>
      <c r="E138" s="67">
        <v>0.48888888888888887</v>
      </c>
      <c r="F138" s="67">
        <v>0.24444444444444444</v>
      </c>
      <c r="G138" s="67">
        <v>0.34667879890809827</v>
      </c>
      <c r="H138" s="67">
        <v>0.1610555050045496</v>
      </c>
      <c r="I138" s="68">
        <v>9225.1968503937005</v>
      </c>
      <c r="J138" s="68">
        <v>-8345.1977401129952</v>
      </c>
      <c r="K138" s="67">
        <v>0.1111111111111111</v>
      </c>
      <c r="L138" s="67">
        <v>0.17777777777777778</v>
      </c>
      <c r="M138" s="67">
        <v>0.32393084622383983</v>
      </c>
      <c r="N138" s="67">
        <v>0.21929026387625114</v>
      </c>
      <c r="O138" s="67">
        <v>0.5730337078651685</v>
      </c>
      <c r="P138" s="67">
        <v>0.51037344398340245</v>
      </c>
      <c r="Q138" s="67">
        <v>0.40944881889763779</v>
      </c>
    </row>
    <row r="139" spans="1:17" x14ac:dyDescent="0.4">
      <c r="A139" s="69">
        <v>136</v>
      </c>
      <c r="B139" s="66">
        <v>1638.4000000000008</v>
      </c>
      <c r="C139" s="66">
        <v>12.047058823529417</v>
      </c>
      <c r="D139" s="71">
        <v>1.75</v>
      </c>
      <c r="E139" s="67">
        <v>0.49264705882352944</v>
      </c>
      <c r="F139" s="67">
        <v>0.24264705882352941</v>
      </c>
      <c r="G139" s="67">
        <v>0.34629294755877033</v>
      </c>
      <c r="H139" s="67">
        <v>0.16094032549728751</v>
      </c>
      <c r="I139" s="68">
        <v>9211.488250652741</v>
      </c>
      <c r="J139" s="68">
        <v>-8320.2247191011229</v>
      </c>
      <c r="K139" s="67">
        <v>0.11029411764705882</v>
      </c>
      <c r="L139" s="67">
        <v>0.17647058823529413</v>
      </c>
      <c r="M139" s="67">
        <v>0.32368896925858953</v>
      </c>
      <c r="N139" s="67">
        <v>0.21971066907775769</v>
      </c>
      <c r="O139" s="67">
        <v>0.57262569832402233</v>
      </c>
      <c r="P139" s="67">
        <v>0.51028806584362141</v>
      </c>
      <c r="Q139" s="67">
        <v>0.41253263707571802</v>
      </c>
    </row>
    <row r="140" spans="1:17" x14ac:dyDescent="0.4">
      <c r="A140" s="69">
        <v>137</v>
      </c>
      <c r="B140" s="66">
        <v>1631.8000000000009</v>
      </c>
      <c r="C140" s="66">
        <v>11.910948905109496</v>
      </c>
      <c r="D140" s="71">
        <v>1.7518248175182483</v>
      </c>
      <c r="E140" s="67">
        <v>0.48905109489051096</v>
      </c>
      <c r="F140" s="67">
        <v>0.24087591240875914</v>
      </c>
      <c r="G140" s="67">
        <v>0.34560143626570916</v>
      </c>
      <c r="H140" s="67">
        <v>0.1615798922800718</v>
      </c>
      <c r="I140" s="68">
        <v>9190.3896103896095</v>
      </c>
      <c r="J140" s="68">
        <v>-8250.5555555555547</v>
      </c>
      <c r="K140" s="67">
        <v>0.10948905109489052</v>
      </c>
      <c r="L140" s="67">
        <v>0.17518248175182483</v>
      </c>
      <c r="M140" s="67">
        <v>0.32226211849192099</v>
      </c>
      <c r="N140" s="67">
        <v>0.2199281867145422</v>
      </c>
      <c r="O140" s="67">
        <v>0.57381615598885793</v>
      </c>
      <c r="P140" s="67">
        <v>0.51020408163265307</v>
      </c>
      <c r="Q140" s="67">
        <v>0.41298701298701301</v>
      </c>
    </row>
    <row r="141" spans="1:17" x14ac:dyDescent="0.4">
      <c r="A141" s="69">
        <v>138</v>
      </c>
      <c r="B141" s="66">
        <v>1633.8000000000009</v>
      </c>
      <c r="C141" s="66">
        <v>11.839130434782614</v>
      </c>
      <c r="D141" s="71">
        <v>1.7536231884057971</v>
      </c>
      <c r="E141" s="67">
        <v>0.48550724637681159</v>
      </c>
      <c r="F141" s="67">
        <v>0.2391304347826087</v>
      </c>
      <c r="G141" s="67">
        <v>0.34550311665182548</v>
      </c>
      <c r="H141" s="67">
        <v>0.16206589492430989</v>
      </c>
      <c r="I141" s="68">
        <v>9176.8041237113393</v>
      </c>
      <c r="J141" s="68">
        <v>-8232.9670329670334</v>
      </c>
      <c r="K141" s="67">
        <v>0.10869565217391304</v>
      </c>
      <c r="L141" s="67">
        <v>0.17391304347826086</v>
      </c>
      <c r="M141" s="67">
        <v>0.32146037399821903</v>
      </c>
      <c r="N141" s="67">
        <v>0.21905609973285842</v>
      </c>
      <c r="O141" s="67">
        <v>0.57617728531855961</v>
      </c>
      <c r="P141" s="67">
        <v>0.50813008130081305</v>
      </c>
      <c r="Q141" s="67">
        <v>0.41237113402061853</v>
      </c>
    </row>
    <row r="142" spans="1:17" x14ac:dyDescent="0.4">
      <c r="A142" s="69">
        <v>139</v>
      </c>
      <c r="B142" s="66">
        <v>1701.6000000000008</v>
      </c>
      <c r="C142" s="66">
        <v>12.241726618705043</v>
      </c>
      <c r="D142" s="71">
        <v>1.7482014388489209</v>
      </c>
      <c r="E142" s="67">
        <v>0.48920863309352519</v>
      </c>
      <c r="F142" s="67">
        <v>0.23741007194244604</v>
      </c>
      <c r="G142" s="67">
        <v>0.34836427939876213</v>
      </c>
      <c r="H142" s="67">
        <v>0.16180371352785147</v>
      </c>
      <c r="I142" s="68">
        <v>9148.9847715736032</v>
      </c>
      <c r="J142" s="68">
        <v>-8195.0819672131147</v>
      </c>
      <c r="K142" s="67">
        <v>0.1079136690647482</v>
      </c>
      <c r="L142" s="67">
        <v>0.17985611510791366</v>
      </c>
      <c r="M142" s="67">
        <v>0.32183908045977011</v>
      </c>
      <c r="N142" s="67">
        <v>0.21927497789566755</v>
      </c>
      <c r="O142" s="67">
        <v>0.57967032967032972</v>
      </c>
      <c r="P142" s="67">
        <v>0.51209677419354838</v>
      </c>
      <c r="Q142" s="67">
        <v>0.4137055837563452</v>
      </c>
    </row>
    <row r="143" spans="1:17" x14ac:dyDescent="0.4">
      <c r="A143" s="69">
        <v>140</v>
      </c>
      <c r="B143" s="66">
        <v>1700.4000000000008</v>
      </c>
      <c r="C143" s="66">
        <v>12.145714285714291</v>
      </c>
      <c r="D143" s="71">
        <v>1.75</v>
      </c>
      <c r="E143" s="67">
        <v>0.48571428571428571</v>
      </c>
      <c r="F143" s="67">
        <v>0.23571428571428571</v>
      </c>
      <c r="G143" s="67">
        <v>0.34679543459174716</v>
      </c>
      <c r="H143" s="67">
        <v>0.16066725197541704</v>
      </c>
      <c r="I143" s="68">
        <v>9146.0759493670885</v>
      </c>
      <c r="J143" s="68">
        <v>-8195.0819672131147</v>
      </c>
      <c r="K143" s="67">
        <v>0.10714285714285714</v>
      </c>
      <c r="L143" s="67">
        <v>0.17857142857142858</v>
      </c>
      <c r="M143" s="67">
        <v>0.31957857769973663</v>
      </c>
      <c r="N143" s="67">
        <v>0.21861281826163301</v>
      </c>
      <c r="O143" s="67">
        <v>0.57967032967032972</v>
      </c>
      <c r="P143" s="67">
        <v>0.51405622489959835</v>
      </c>
      <c r="Q143" s="67">
        <v>0.41518987341772151</v>
      </c>
    </row>
    <row r="144" spans="1:17" x14ac:dyDescent="0.4">
      <c r="A144" s="69">
        <v>141</v>
      </c>
      <c r="B144" s="66">
        <v>1724.1000000000008</v>
      </c>
      <c r="C144" s="66">
        <v>12.22765957446809</v>
      </c>
      <c r="D144" s="71">
        <v>1.7446808510638299</v>
      </c>
      <c r="E144" s="67">
        <v>0.48936170212765956</v>
      </c>
      <c r="F144" s="67">
        <v>0.23404255319148937</v>
      </c>
      <c r="G144" s="67">
        <v>0.34695652173913044</v>
      </c>
      <c r="H144" s="67">
        <v>0.16086956521739129</v>
      </c>
      <c r="I144" s="68">
        <v>9147.6190476190477</v>
      </c>
      <c r="J144" s="68">
        <v>-8199.45945945946</v>
      </c>
      <c r="K144" s="67">
        <v>0.10638297872340426</v>
      </c>
      <c r="L144" s="67">
        <v>0.1773049645390071</v>
      </c>
      <c r="M144" s="67">
        <v>0.31826086956521737</v>
      </c>
      <c r="N144" s="67">
        <v>0.22086956521739132</v>
      </c>
      <c r="O144" s="67">
        <v>0.57650273224043713</v>
      </c>
      <c r="P144" s="67">
        <v>0.51968503937007871</v>
      </c>
      <c r="Q144" s="67">
        <v>0.41353383458646614</v>
      </c>
    </row>
    <row r="145" spans="1:17" x14ac:dyDescent="0.4">
      <c r="A145" s="69">
        <v>142</v>
      </c>
      <c r="B145" s="66">
        <v>1751.8000000000009</v>
      </c>
      <c r="C145" s="66">
        <v>12.336619718309866</v>
      </c>
      <c r="D145" s="71">
        <v>1.7394366197183098</v>
      </c>
      <c r="E145" s="67">
        <v>0.49295774647887325</v>
      </c>
      <c r="F145" s="67">
        <v>0.23239436619718309</v>
      </c>
      <c r="G145" s="67">
        <v>0.34801381692573402</v>
      </c>
      <c r="H145" s="67">
        <v>0.15975820379965458</v>
      </c>
      <c r="I145" s="68">
        <v>9101.7369727047153</v>
      </c>
      <c r="J145" s="68">
        <v>-8199.45945945946</v>
      </c>
      <c r="K145" s="67">
        <v>0.10563380281690141</v>
      </c>
      <c r="L145" s="67">
        <v>0.176056338028169</v>
      </c>
      <c r="M145" s="67">
        <v>0.31692573402417962</v>
      </c>
      <c r="N145" s="67">
        <v>0.21934369602763384</v>
      </c>
      <c r="O145" s="67">
        <v>0.57765667574931878</v>
      </c>
      <c r="P145" s="67">
        <v>0.51968503937007871</v>
      </c>
      <c r="Q145" s="67">
        <v>0.4143920595533499</v>
      </c>
    </row>
    <row r="146" spans="1:17" x14ac:dyDescent="0.4">
      <c r="A146" s="69">
        <v>143</v>
      </c>
      <c r="B146" s="66">
        <v>1797.1000000000008</v>
      </c>
      <c r="C146" s="66">
        <v>12.567132867132873</v>
      </c>
      <c r="D146" s="71">
        <v>1.7342657342657342</v>
      </c>
      <c r="E146" s="67">
        <v>0.49650349650349651</v>
      </c>
      <c r="F146" s="67">
        <v>0.23076923076923078</v>
      </c>
      <c r="G146" s="67">
        <v>0.34842015371477369</v>
      </c>
      <c r="H146" s="67">
        <v>0.15883859948761742</v>
      </c>
      <c r="I146" s="68">
        <v>9089.9509803921574</v>
      </c>
      <c r="J146" s="68">
        <v>-8183.333333333333</v>
      </c>
      <c r="K146" s="67">
        <v>0.1048951048951049</v>
      </c>
      <c r="L146" s="67">
        <v>0.17482517482517482</v>
      </c>
      <c r="M146" s="67">
        <v>0.3142613151152861</v>
      </c>
      <c r="N146" s="67">
        <v>0.22117847993168233</v>
      </c>
      <c r="O146" s="67">
        <v>0.57880434782608692</v>
      </c>
      <c r="P146" s="67">
        <v>0.51737451737451734</v>
      </c>
      <c r="Q146" s="67">
        <v>0.41421568627450983</v>
      </c>
    </row>
    <row r="147" spans="1:17" x14ac:dyDescent="0.4">
      <c r="A147" s="69">
        <v>144</v>
      </c>
      <c r="B147" s="66">
        <v>1806.1000000000008</v>
      </c>
      <c r="C147" s="66">
        <v>12.542361111111116</v>
      </c>
      <c r="D147" s="71">
        <v>1.7361111111111112</v>
      </c>
      <c r="E147" s="67">
        <v>0.49305555555555558</v>
      </c>
      <c r="F147" s="67">
        <v>0.22916666666666666</v>
      </c>
      <c r="G147" s="67">
        <v>0.34860050890585242</v>
      </c>
      <c r="H147" s="67">
        <v>0.15860899067005937</v>
      </c>
      <c r="I147" s="68">
        <v>9114.3552311435524</v>
      </c>
      <c r="J147" s="68">
        <v>-8235.8288770053477</v>
      </c>
      <c r="K147" s="67">
        <v>0.10416666666666667</v>
      </c>
      <c r="L147" s="67">
        <v>0.1736111111111111</v>
      </c>
      <c r="M147" s="67">
        <v>0.31297709923664124</v>
      </c>
      <c r="N147" s="67">
        <v>0.22222222222222221</v>
      </c>
      <c r="O147" s="67">
        <v>0.57723577235772361</v>
      </c>
      <c r="P147" s="67">
        <v>0.51908396946564883</v>
      </c>
      <c r="Q147" s="67">
        <v>0.41362530413625304</v>
      </c>
    </row>
    <row r="148" spans="1:17" x14ac:dyDescent="0.4">
      <c r="A148" s="69">
        <v>145</v>
      </c>
      <c r="B148" s="66">
        <v>1774.3000000000009</v>
      </c>
      <c r="C148" s="66">
        <v>12.236551724137938</v>
      </c>
      <c r="D148" s="71">
        <v>1.7448275862068965</v>
      </c>
      <c r="E148" s="67">
        <v>0.48965517241379308</v>
      </c>
      <c r="F148" s="67">
        <v>0.23448275862068965</v>
      </c>
      <c r="G148" s="67">
        <v>0.34819175777964678</v>
      </c>
      <c r="H148" s="67">
        <v>0.159798149705635</v>
      </c>
      <c r="I148" s="68">
        <v>9094.4444444444453</v>
      </c>
      <c r="J148" s="68">
        <v>-8250.5263157894733</v>
      </c>
      <c r="K148" s="67">
        <v>0.10344827586206896</v>
      </c>
      <c r="L148" s="67">
        <v>0.17241379310344829</v>
      </c>
      <c r="M148" s="67">
        <v>0.31286795626576958</v>
      </c>
      <c r="N148" s="67">
        <v>0.22035323801513879</v>
      </c>
      <c r="O148" s="67">
        <v>0.57795698924731187</v>
      </c>
      <c r="P148" s="67">
        <v>0.51908396946564883</v>
      </c>
      <c r="Q148" s="67">
        <v>0.41062801932367149</v>
      </c>
    </row>
    <row r="149" spans="1:17" x14ac:dyDescent="0.4">
      <c r="A149" s="69">
        <v>146</v>
      </c>
      <c r="B149" s="66">
        <v>1767.0000000000009</v>
      </c>
      <c r="C149" s="66">
        <v>12.102739726027403</v>
      </c>
      <c r="D149" s="71">
        <v>1.7465753424657535</v>
      </c>
      <c r="E149" s="67">
        <v>0.4863013698630137</v>
      </c>
      <c r="F149" s="67">
        <v>0.23287671232876711</v>
      </c>
      <c r="G149" s="67">
        <v>0.34670008354218879</v>
      </c>
      <c r="H149" s="67">
        <v>0.16040100250626566</v>
      </c>
      <c r="I149" s="68">
        <v>9091.0843373493972</v>
      </c>
      <c r="J149" s="68">
        <v>-8247.9166666666661</v>
      </c>
      <c r="K149" s="67">
        <v>0.10273972602739725</v>
      </c>
      <c r="L149" s="67">
        <v>0.17123287671232876</v>
      </c>
      <c r="M149" s="67">
        <v>0.31244778613199664</v>
      </c>
      <c r="N149" s="67">
        <v>0.21888053467000834</v>
      </c>
      <c r="O149" s="67">
        <v>0.57486631016042777</v>
      </c>
      <c r="P149" s="67">
        <v>0.51908396946564883</v>
      </c>
      <c r="Q149" s="67">
        <v>0.40963855421686746</v>
      </c>
    </row>
    <row r="150" spans="1:17" x14ac:dyDescent="0.4">
      <c r="A150" s="69">
        <v>147</v>
      </c>
      <c r="B150" s="66">
        <v>1767.0000000000009</v>
      </c>
      <c r="C150" s="66">
        <v>12.020408163265312</v>
      </c>
      <c r="D150" s="71">
        <v>1.7414965986394557</v>
      </c>
      <c r="E150" s="67">
        <v>0.48979591836734693</v>
      </c>
      <c r="F150" s="67">
        <v>0.23129251700680273</v>
      </c>
      <c r="G150" s="67">
        <v>0.34670008354218879</v>
      </c>
      <c r="H150" s="67">
        <v>0.16040100250626566</v>
      </c>
      <c r="I150" s="68">
        <v>9091.0843373493972</v>
      </c>
      <c r="J150" s="68">
        <v>-8247.9166666666661</v>
      </c>
      <c r="K150" s="67">
        <v>0.10204081632653061</v>
      </c>
      <c r="L150" s="67">
        <v>0.17006802721088435</v>
      </c>
      <c r="M150" s="67">
        <v>0.31244778613199664</v>
      </c>
      <c r="N150" s="67">
        <v>0.21888053467000834</v>
      </c>
      <c r="O150" s="67">
        <v>0.57486631016042777</v>
      </c>
      <c r="P150" s="67">
        <v>0.51908396946564883</v>
      </c>
      <c r="Q150" s="67">
        <v>0.40963855421686746</v>
      </c>
    </row>
    <row r="151" spans="1:17" x14ac:dyDescent="0.4">
      <c r="A151" s="69">
        <v>148</v>
      </c>
      <c r="B151" s="66">
        <v>1763.5000000000009</v>
      </c>
      <c r="C151" s="66">
        <v>11.915540540540547</v>
      </c>
      <c r="D151" s="71">
        <v>1.7432432432432432</v>
      </c>
      <c r="E151" s="67">
        <v>0.48648648648648651</v>
      </c>
      <c r="F151" s="67">
        <v>0.22972972972972974</v>
      </c>
      <c r="G151" s="67">
        <v>0.34551495016611294</v>
      </c>
      <c r="H151" s="67">
        <v>0.15946843853820597</v>
      </c>
      <c r="I151" s="68">
        <v>9088.461538461539</v>
      </c>
      <c r="J151" s="68">
        <v>-8247.9166666666661</v>
      </c>
      <c r="K151" s="67">
        <v>0.10135135135135136</v>
      </c>
      <c r="L151" s="67">
        <v>0.16891891891891891</v>
      </c>
      <c r="M151" s="67">
        <v>0.31146179401993357</v>
      </c>
      <c r="N151" s="67">
        <v>0.22009966777408638</v>
      </c>
      <c r="O151" s="67">
        <v>0.57333333333333336</v>
      </c>
      <c r="P151" s="67">
        <v>0.51698113207547169</v>
      </c>
      <c r="Q151" s="67">
        <v>0.40865384615384615</v>
      </c>
    </row>
    <row r="152" spans="1:17" x14ac:dyDescent="0.4">
      <c r="A152" s="69">
        <v>149</v>
      </c>
      <c r="B152" s="66">
        <v>1727.1000000000008</v>
      </c>
      <c r="C152" s="66">
        <v>11.591275167785241</v>
      </c>
      <c r="D152" s="71">
        <v>1.7516778523489933</v>
      </c>
      <c r="E152" s="67">
        <v>0.48322147651006714</v>
      </c>
      <c r="F152" s="67">
        <v>0.2348993288590604</v>
      </c>
      <c r="G152" s="67">
        <v>0.34349258649093906</v>
      </c>
      <c r="H152" s="67">
        <v>0.15980230642504117</v>
      </c>
      <c r="I152" s="68">
        <v>9085.851318944844</v>
      </c>
      <c r="J152" s="68">
        <v>-8265.4639175257726</v>
      </c>
      <c r="K152" s="67">
        <v>0.10067114093959731</v>
      </c>
      <c r="L152" s="67">
        <v>0.16778523489932887</v>
      </c>
      <c r="M152" s="67">
        <v>0.30971993410214166</v>
      </c>
      <c r="N152" s="67">
        <v>0.21993410214168038</v>
      </c>
      <c r="O152" s="67">
        <v>0.57180851063829785</v>
      </c>
      <c r="P152" s="67">
        <v>0.5168539325842697</v>
      </c>
      <c r="Q152" s="67">
        <v>0.407673860911271</v>
      </c>
    </row>
    <row r="153" spans="1:17" x14ac:dyDescent="0.4">
      <c r="A153" s="69">
        <v>150</v>
      </c>
      <c r="B153" s="66">
        <v>1744.7000000000007</v>
      </c>
      <c r="C153" s="66">
        <v>11.631333333333338</v>
      </c>
      <c r="D153" s="71">
        <v>1.7533333333333334</v>
      </c>
      <c r="E153" s="67">
        <v>0.48</v>
      </c>
      <c r="F153" s="67">
        <v>0.23333333333333334</v>
      </c>
      <c r="G153" s="67">
        <v>0.34369885433715219</v>
      </c>
      <c r="H153" s="67">
        <v>0.15875613747954173</v>
      </c>
      <c r="I153" s="68">
        <v>9075.9523809523816</v>
      </c>
      <c r="J153" s="68">
        <v>-8265.4639175257726</v>
      </c>
      <c r="K153" s="67">
        <v>0.1</v>
      </c>
      <c r="L153" s="67">
        <v>0.16666666666666666</v>
      </c>
      <c r="M153" s="67">
        <v>0.31014729950900166</v>
      </c>
      <c r="N153" s="67">
        <v>0.21931260229132571</v>
      </c>
      <c r="O153" s="67">
        <v>0.57519788918205805</v>
      </c>
      <c r="P153" s="67">
        <v>0.5149253731343284</v>
      </c>
      <c r="Q153" s="67">
        <v>0.40714285714285714</v>
      </c>
    </row>
    <row r="154" spans="1:17" x14ac:dyDescent="0.4">
      <c r="A154" s="69">
        <v>151</v>
      </c>
      <c r="B154" s="66">
        <v>1788.5000000000007</v>
      </c>
      <c r="C154" s="66">
        <v>11.844370860927157</v>
      </c>
      <c r="D154" s="71">
        <v>1.7483443708609272</v>
      </c>
      <c r="E154" s="67">
        <v>0.48344370860927155</v>
      </c>
      <c r="F154" s="67">
        <v>0.23178807947019867</v>
      </c>
      <c r="G154" s="67">
        <v>0.34471544715447155</v>
      </c>
      <c r="H154" s="67">
        <v>0.15772357723577235</v>
      </c>
      <c r="I154" s="68">
        <v>9064.3867924528295</v>
      </c>
      <c r="J154" s="68">
        <v>-8265.4639175257726</v>
      </c>
      <c r="K154" s="67">
        <v>9.9337748344370855E-2</v>
      </c>
      <c r="L154" s="67">
        <v>0.17218543046357615</v>
      </c>
      <c r="M154" s="67">
        <v>0.31056910569105689</v>
      </c>
      <c r="N154" s="67">
        <v>0.21951219512195122</v>
      </c>
      <c r="O154" s="67">
        <v>0.5759162303664922</v>
      </c>
      <c r="P154" s="67">
        <v>0.51851851851851849</v>
      </c>
      <c r="Q154" s="67">
        <v>0.40801886792452829</v>
      </c>
    </row>
    <row r="155" spans="1:17" x14ac:dyDescent="0.4">
      <c r="A155" s="69">
        <v>152</v>
      </c>
      <c r="B155" s="66">
        <v>1847.5000000000007</v>
      </c>
      <c r="C155" s="66">
        <v>12.154605263157899</v>
      </c>
      <c r="D155" s="71">
        <v>1.743421052631579</v>
      </c>
      <c r="E155" s="67">
        <v>0.48684210526315791</v>
      </c>
      <c r="F155" s="67">
        <v>0.23026315789473684</v>
      </c>
      <c r="G155" s="67">
        <v>0.34543987086359967</v>
      </c>
      <c r="H155" s="67">
        <v>0.15738498789346247</v>
      </c>
      <c r="I155" s="68">
        <v>9089.9532710280382</v>
      </c>
      <c r="J155" s="68">
        <v>-8262.5641025641035</v>
      </c>
      <c r="K155" s="67">
        <v>9.8684210526315791E-2</v>
      </c>
      <c r="L155" s="67">
        <v>0.17763157894736842</v>
      </c>
      <c r="M155" s="67">
        <v>0.31234866828087166</v>
      </c>
      <c r="N155" s="67">
        <v>0.21791767554479419</v>
      </c>
      <c r="O155" s="67">
        <v>0.57622739018087854</v>
      </c>
      <c r="P155" s="67">
        <v>0.51851851851851849</v>
      </c>
      <c r="Q155" s="67">
        <v>0.40887850467289721</v>
      </c>
    </row>
    <row r="156" spans="1:17" x14ac:dyDescent="0.4">
      <c r="A156" s="69">
        <v>153</v>
      </c>
      <c r="B156" s="66">
        <v>1812.8000000000006</v>
      </c>
      <c r="C156" s="66">
        <v>11.8483660130719</v>
      </c>
      <c r="D156" s="71">
        <v>1.7516339869281046</v>
      </c>
      <c r="E156" s="67">
        <v>0.48366013071895425</v>
      </c>
      <c r="F156" s="67">
        <v>0.23529411764705882</v>
      </c>
      <c r="G156" s="67">
        <v>0.34430176565008025</v>
      </c>
      <c r="H156" s="67">
        <v>0.15730337078651685</v>
      </c>
      <c r="I156" s="68">
        <v>9096.7365967365968</v>
      </c>
      <c r="J156" s="68">
        <v>-8253.0612244897966</v>
      </c>
      <c r="K156" s="67">
        <v>9.8039215686274508E-2</v>
      </c>
      <c r="L156" s="67">
        <v>0.17647058823529413</v>
      </c>
      <c r="M156" s="67">
        <v>0.3130016051364366</v>
      </c>
      <c r="N156" s="67">
        <v>0.21669341894060995</v>
      </c>
      <c r="O156" s="67">
        <v>0.57435897435897432</v>
      </c>
      <c r="P156" s="67">
        <v>0.51851851851851849</v>
      </c>
      <c r="Q156" s="67">
        <v>0.41025641025641024</v>
      </c>
    </row>
    <row r="157" spans="1:17" x14ac:dyDescent="0.4">
      <c r="A157" s="69">
        <v>154</v>
      </c>
      <c r="B157" s="66">
        <v>1805.4000000000005</v>
      </c>
      <c r="C157" s="66">
        <v>11.723376623376627</v>
      </c>
      <c r="D157" s="71">
        <v>1.7532467532467533</v>
      </c>
      <c r="E157" s="67">
        <v>0.48051948051948051</v>
      </c>
      <c r="F157" s="67">
        <v>0.23376623376623376</v>
      </c>
      <c r="G157" s="67">
        <v>0.34397446129289705</v>
      </c>
      <c r="H157" s="67">
        <v>0.15722266560255388</v>
      </c>
      <c r="I157" s="68">
        <v>9078.8863109048725</v>
      </c>
      <c r="J157" s="68">
        <v>-8230.9644670050766</v>
      </c>
      <c r="K157" s="67">
        <v>9.7402597402597407E-2</v>
      </c>
      <c r="L157" s="67">
        <v>0.17532467532467533</v>
      </c>
      <c r="M157" s="67">
        <v>0.31364724660814047</v>
      </c>
      <c r="N157" s="67">
        <v>0.2154828411811652</v>
      </c>
      <c r="O157" s="67">
        <v>0.5750636132315522</v>
      </c>
      <c r="P157" s="67">
        <v>0.51851851851851849</v>
      </c>
      <c r="Q157" s="67">
        <v>0.41067285382830626</v>
      </c>
    </row>
    <row r="158" spans="1:17" x14ac:dyDescent="0.4">
      <c r="A158" s="69">
        <v>155</v>
      </c>
      <c r="B158" s="66">
        <v>1855.1000000000006</v>
      </c>
      <c r="C158" s="66">
        <v>11.968387096774197</v>
      </c>
      <c r="D158" s="71">
        <v>1.7483870967741935</v>
      </c>
      <c r="E158" s="67">
        <v>0.4838709677419355</v>
      </c>
      <c r="F158" s="67">
        <v>0.23225806451612904</v>
      </c>
      <c r="G158" s="67">
        <v>0.34365079365079365</v>
      </c>
      <c r="H158" s="67">
        <v>0.15634920634920635</v>
      </c>
      <c r="I158" s="68">
        <v>9122.8637413394918</v>
      </c>
      <c r="J158" s="68">
        <v>-8230.9644670050766</v>
      </c>
      <c r="K158" s="67">
        <v>9.6774193548387094E-2</v>
      </c>
      <c r="L158" s="67">
        <v>0.17419354838709677</v>
      </c>
      <c r="M158" s="67">
        <v>0.31349206349206349</v>
      </c>
      <c r="N158" s="67">
        <v>0.21587301587301588</v>
      </c>
      <c r="O158" s="67">
        <v>0.57721518987341769</v>
      </c>
      <c r="P158" s="67">
        <v>0.51470588235294112</v>
      </c>
      <c r="Q158" s="67">
        <v>0.4110854503464203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25B43-A7D3-4905-9FA2-B6BE087D125A}">
  <sheetPr codeName="Sheet6"/>
  <dimension ref="A1:Q23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">
      <c r="A176" s="69">
        <v>173</v>
      </c>
      <c r="B176" s="66">
        <v>7.1054273576010019E-15</v>
      </c>
      <c r="C176" s="66">
        <v>1.3690611479000003E-17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0.16574585635359115</v>
      </c>
      <c r="I176" s="68">
        <v>8605.1380368098162</v>
      </c>
      <c r="J176" s="68">
        <v>-8209.0277777777774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">
      <c r="A177" s="69">
        <v>174</v>
      </c>
      <c r="B177" s="66">
        <v>7.1054273576010019E-15</v>
      </c>
      <c r="C177" s="66">
        <v>1.3611929803833336E-17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0.1659779614325069</v>
      </c>
      <c r="I177" s="68">
        <v>8604.8165137614687</v>
      </c>
      <c r="J177" s="68">
        <v>-8210.9266943291841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  <row r="178" spans="1:17" x14ac:dyDescent="0.4">
      <c r="A178" s="69">
        <v>175</v>
      </c>
      <c r="B178" s="66">
        <v>7.1054273576010019E-15</v>
      </c>
      <c r="C178" s="66">
        <v>1.3534147347811432E-17</v>
      </c>
      <c r="D178" s="71">
        <v>2</v>
      </c>
      <c r="E178" s="67">
        <v>0.33333333333333331</v>
      </c>
      <c r="F178" s="67">
        <v>0.33333333333333331</v>
      </c>
      <c r="G178" s="67">
        <v>0.30052403736614264</v>
      </c>
      <c r="H178" s="67">
        <v>0.16632490316700843</v>
      </c>
      <c r="I178" s="68">
        <v>8594.5413191811986</v>
      </c>
      <c r="J178" s="68">
        <v>-8187.1232876712329</v>
      </c>
      <c r="K178" s="67">
        <v>0.11428571428571428</v>
      </c>
      <c r="L178" s="67">
        <v>0.11428571428571428</v>
      </c>
      <c r="M178" s="67">
        <v>0.27705627705627706</v>
      </c>
      <c r="N178" s="67">
        <v>0.21007063112326271</v>
      </c>
      <c r="O178" s="67">
        <v>0.58717105263157898</v>
      </c>
      <c r="P178" s="67">
        <v>0.3926247288503254</v>
      </c>
      <c r="Q178" s="67">
        <v>0.4404852160727824</v>
      </c>
    </row>
    <row r="179" spans="1:17" x14ac:dyDescent="0.4">
      <c r="A179" s="69">
        <v>176</v>
      </c>
      <c r="B179" s="66">
        <v>1.0658141036401503E-14</v>
      </c>
      <c r="C179" s="66">
        <v>2.0185873175002847E-17</v>
      </c>
      <c r="D179" s="71">
        <v>2</v>
      </c>
      <c r="E179" s="67">
        <v>0.33333333333333331</v>
      </c>
      <c r="F179" s="67">
        <v>0.33333333333333331</v>
      </c>
      <c r="G179" s="67">
        <v>0.30065804402087587</v>
      </c>
      <c r="H179" s="67">
        <v>0.16678012253233493</v>
      </c>
      <c r="I179" s="68">
        <v>8613.5094339622647</v>
      </c>
      <c r="J179" s="68">
        <v>-8219.4557823129253</v>
      </c>
      <c r="K179" s="67">
        <v>0.11553030303030302</v>
      </c>
      <c r="L179" s="67">
        <v>0.11553030303030302</v>
      </c>
      <c r="M179" s="67">
        <v>0.27728613569321536</v>
      </c>
      <c r="N179" s="67">
        <v>0.21012026321760835</v>
      </c>
      <c r="O179" s="67">
        <v>0.58756137479541737</v>
      </c>
      <c r="P179" s="67">
        <v>0.39308855291576672</v>
      </c>
      <c r="Q179" s="67">
        <v>0.43924528301886795</v>
      </c>
    </row>
    <row r="180" spans="1:17" x14ac:dyDescent="0.4">
      <c r="A180" s="69">
        <v>177</v>
      </c>
      <c r="B180" s="66">
        <v>5.3290705182007514E-15</v>
      </c>
      <c r="C180" s="66">
        <v>1.003591434689407E-17</v>
      </c>
      <c r="D180" s="71">
        <v>2</v>
      </c>
      <c r="E180" s="67">
        <v>0.33333333333333331</v>
      </c>
      <c r="F180" s="67">
        <v>0.33333333333333331</v>
      </c>
      <c r="G180" s="67">
        <v>0.30004498425551057</v>
      </c>
      <c r="H180" s="67">
        <v>0.16666666666666666</v>
      </c>
      <c r="I180" s="68">
        <v>8624.4377811094455</v>
      </c>
      <c r="J180" s="68">
        <v>-8233.8731443994602</v>
      </c>
      <c r="K180" s="67">
        <v>0.11487758945386065</v>
      </c>
      <c r="L180" s="67">
        <v>0.11487758945386065</v>
      </c>
      <c r="M180" s="67">
        <v>0.27800269905533065</v>
      </c>
      <c r="N180" s="67">
        <v>0.20985155195681512</v>
      </c>
      <c r="O180" s="67">
        <v>0.58414239482200647</v>
      </c>
      <c r="P180" s="67">
        <v>0.3912111468381565</v>
      </c>
      <c r="Q180" s="67">
        <v>0.43853073463268366</v>
      </c>
    </row>
    <row r="181" spans="1:17" x14ac:dyDescent="0.4">
      <c r="A181" s="69">
        <v>178</v>
      </c>
      <c r="B181" s="66">
        <v>7.1054273576010019E-15</v>
      </c>
      <c r="C181" s="66">
        <v>1.3306043740825846E-17</v>
      </c>
      <c r="D181" s="71">
        <v>2</v>
      </c>
      <c r="E181" s="67">
        <v>0.33333333333333331</v>
      </c>
      <c r="F181" s="67">
        <v>0.33333333333333331</v>
      </c>
      <c r="G181" s="67">
        <v>0.30011223344556676</v>
      </c>
      <c r="H181" s="67">
        <v>0.16700336700336701</v>
      </c>
      <c r="I181" s="68">
        <v>8632.0119670905005</v>
      </c>
      <c r="J181" s="68">
        <v>-8249.0591397849457</v>
      </c>
      <c r="K181" s="67">
        <v>0.11610486891385768</v>
      </c>
      <c r="L181" s="67">
        <v>0.11610486891385768</v>
      </c>
      <c r="M181" s="67">
        <v>0.27811447811447809</v>
      </c>
      <c r="N181" s="67">
        <v>0.20987654320987653</v>
      </c>
      <c r="O181" s="67">
        <v>0.58514931396287329</v>
      </c>
      <c r="P181" s="67">
        <v>0.39037433155080214</v>
      </c>
      <c r="Q181" s="67">
        <v>0.43754674644726999</v>
      </c>
    </row>
    <row r="182" spans="1:17" x14ac:dyDescent="0.4">
      <c r="A182" s="69">
        <v>179</v>
      </c>
      <c r="B182" s="66">
        <v>6.4392935428259079E-15</v>
      </c>
      <c r="C182" s="66">
        <v>1.1991235647720499E-17</v>
      </c>
      <c r="D182" s="71">
        <v>2</v>
      </c>
      <c r="E182" s="67">
        <v>0.33333333333333331</v>
      </c>
      <c r="F182" s="67">
        <v>0.33333333333333331</v>
      </c>
      <c r="G182" s="67">
        <v>0.30029024335789239</v>
      </c>
      <c r="H182" s="67">
        <v>0.16655503460593882</v>
      </c>
      <c r="I182" s="68">
        <v>8660.4460966542756</v>
      </c>
      <c r="J182" s="68">
        <v>-8253.7533512064347</v>
      </c>
      <c r="K182" s="67">
        <v>0.1154562383612663</v>
      </c>
      <c r="L182" s="67">
        <v>0.1154562383612663</v>
      </c>
      <c r="M182" s="67">
        <v>0.27818709533377989</v>
      </c>
      <c r="N182" s="67">
        <v>0.21009153828979682</v>
      </c>
      <c r="O182" s="67">
        <v>0.5858747993579454</v>
      </c>
      <c r="P182" s="67">
        <v>0.39001062699256112</v>
      </c>
      <c r="Q182" s="67">
        <v>0.43940520446096654</v>
      </c>
    </row>
    <row r="183" spans="1:17" x14ac:dyDescent="0.4">
      <c r="A183" s="69">
        <v>180</v>
      </c>
      <c r="B183" s="66">
        <v>7.1054273576010019E-15</v>
      </c>
      <c r="C183" s="66">
        <v>1.3158198810372226E-17</v>
      </c>
      <c r="D183" s="71">
        <v>2</v>
      </c>
      <c r="E183" s="67">
        <v>0.33333333333333331</v>
      </c>
      <c r="F183" s="67">
        <v>0.33333333333333331</v>
      </c>
      <c r="G183" s="67">
        <v>0.30046635576282477</v>
      </c>
      <c r="H183" s="67">
        <v>0.16677770375305351</v>
      </c>
      <c r="I183" s="68">
        <v>8683.1485587583156</v>
      </c>
      <c r="J183" s="68">
        <v>-8257.3901464713708</v>
      </c>
      <c r="K183" s="67">
        <v>0.11481481481481481</v>
      </c>
      <c r="L183" s="67">
        <v>0.11481481481481481</v>
      </c>
      <c r="M183" s="67">
        <v>0.27914723517654899</v>
      </c>
      <c r="N183" s="67">
        <v>0.20963801909837887</v>
      </c>
      <c r="O183" s="67">
        <v>0.58472553699284013</v>
      </c>
      <c r="P183" s="67">
        <v>0.38983050847457629</v>
      </c>
      <c r="Q183" s="67">
        <v>0.43902439024390244</v>
      </c>
    </row>
    <row r="184" spans="1:17" x14ac:dyDescent="0.4">
      <c r="A184" s="69">
        <v>181</v>
      </c>
      <c r="B184" s="66">
        <v>7.1054273576010019E-15</v>
      </c>
      <c r="C184" s="66">
        <v>1.3085501579375695E-17</v>
      </c>
      <c r="D184" s="71">
        <v>2</v>
      </c>
      <c r="E184" s="67">
        <v>0.33333333333333331</v>
      </c>
      <c r="F184" s="67">
        <v>0.33333333333333331</v>
      </c>
      <c r="G184" s="67">
        <v>0.30064060083940802</v>
      </c>
      <c r="H184" s="67">
        <v>0.16699801192842942</v>
      </c>
      <c r="I184" s="68">
        <v>8684.7171197648786</v>
      </c>
      <c r="J184" s="68">
        <v>-8271.0317460317456</v>
      </c>
      <c r="K184" s="67">
        <v>0.1141804788213628</v>
      </c>
      <c r="L184" s="67">
        <v>0.1141804788213628</v>
      </c>
      <c r="M184" s="67">
        <v>0.27921360724541638</v>
      </c>
      <c r="N184" s="67">
        <v>0.20963110227523746</v>
      </c>
      <c r="O184" s="67">
        <v>0.58465189873417722</v>
      </c>
      <c r="P184" s="67">
        <v>0.39093782929399368</v>
      </c>
      <c r="Q184" s="67">
        <v>0.43864805290227776</v>
      </c>
    </row>
    <row r="185" spans="1:17" x14ac:dyDescent="0.4">
      <c r="A185" s="69">
        <v>182</v>
      </c>
      <c r="B185" s="66">
        <v>7.1054273576010019E-15</v>
      </c>
      <c r="C185" s="66">
        <v>1.3013603219049454E-17</v>
      </c>
      <c r="D185" s="71">
        <v>2</v>
      </c>
      <c r="E185" s="67">
        <v>0.33333333333333331</v>
      </c>
      <c r="F185" s="67">
        <v>0.33333333333333331</v>
      </c>
      <c r="G185" s="67">
        <v>0.30033003300330036</v>
      </c>
      <c r="H185" s="67">
        <v>0.16721672167216722</v>
      </c>
      <c r="I185" s="68">
        <v>8674.2857142857138</v>
      </c>
      <c r="J185" s="68">
        <v>-8254.4736842105267</v>
      </c>
      <c r="K185" s="67">
        <v>0.11355311355311355</v>
      </c>
      <c r="L185" s="67">
        <v>0.11355311355311355</v>
      </c>
      <c r="M185" s="67">
        <v>0.27920792079207923</v>
      </c>
      <c r="N185" s="67">
        <v>0.20946094609460947</v>
      </c>
      <c r="O185" s="67">
        <v>0.58313632781717883</v>
      </c>
      <c r="P185" s="67">
        <v>0.3907563025210084</v>
      </c>
      <c r="Q185" s="67">
        <v>0.43736263736263736</v>
      </c>
    </row>
    <row r="186" spans="1:17" x14ac:dyDescent="0.4">
      <c r="A186" s="69">
        <v>183</v>
      </c>
      <c r="B186" s="66">
        <v>7.1054273576010019E-15</v>
      </c>
      <c r="C186" s="66">
        <v>1.2942490633153009E-17</v>
      </c>
      <c r="D186" s="71">
        <v>2</v>
      </c>
      <c r="E186" s="67">
        <v>0.33333333333333331</v>
      </c>
      <c r="F186" s="67">
        <v>0.33333333333333331</v>
      </c>
      <c r="G186" s="67">
        <v>0.3001528050643964</v>
      </c>
      <c r="H186" s="67">
        <v>0.16764898493778652</v>
      </c>
      <c r="I186" s="68">
        <v>8660.7999999999993</v>
      </c>
      <c r="J186" s="68">
        <v>-8236.8489583333339</v>
      </c>
      <c r="K186" s="67">
        <v>0.11475409836065574</v>
      </c>
      <c r="L186" s="67">
        <v>0.11475409836065574</v>
      </c>
      <c r="M186" s="67">
        <v>0.27941497489631084</v>
      </c>
      <c r="N186" s="67">
        <v>0.20934293822309538</v>
      </c>
      <c r="O186" s="67">
        <v>0.58203125</v>
      </c>
      <c r="P186" s="67">
        <v>0.39207507820646509</v>
      </c>
      <c r="Q186" s="67">
        <v>0.43563636363636365</v>
      </c>
    </row>
    <row r="187" spans="1:17" x14ac:dyDescent="0.4">
      <c r="A187" s="69">
        <v>184</v>
      </c>
      <c r="B187" s="66">
        <v>6.2172489379008766E-15</v>
      </c>
      <c r="C187" s="66">
        <v>1.12631321338784E-17</v>
      </c>
      <c r="D187" s="71">
        <v>2</v>
      </c>
      <c r="E187" s="67">
        <v>0.33333333333333331</v>
      </c>
      <c r="F187" s="67">
        <v>0.33333333333333331</v>
      </c>
      <c r="G187" s="67">
        <v>0.2998914223669924</v>
      </c>
      <c r="H187" s="67">
        <v>0.16764386536373507</v>
      </c>
      <c r="I187" s="68">
        <v>8656.9152787834901</v>
      </c>
      <c r="J187" s="68">
        <v>-8239.896373056994</v>
      </c>
      <c r="K187" s="67">
        <v>0.11413043478260869</v>
      </c>
      <c r="L187" s="67">
        <v>0.11413043478260869</v>
      </c>
      <c r="M187" s="67">
        <v>0.27904451682953313</v>
      </c>
      <c r="N187" s="67">
        <v>0.20998914223669923</v>
      </c>
      <c r="O187" s="67">
        <v>0.58210116731517514</v>
      </c>
      <c r="P187" s="67">
        <v>0.39193381592554294</v>
      </c>
      <c r="Q187" s="67">
        <v>0.43519188993482982</v>
      </c>
    </row>
    <row r="188" spans="1:17" x14ac:dyDescent="0.4">
      <c r="A188" s="69">
        <v>185</v>
      </c>
      <c r="B188" s="66">
        <v>7.1054273576010019E-15</v>
      </c>
      <c r="C188" s="66">
        <v>1.2802571815497301E-17</v>
      </c>
      <c r="D188" s="71">
        <v>2</v>
      </c>
      <c r="E188" s="67">
        <v>0.33333333333333331</v>
      </c>
      <c r="F188" s="67">
        <v>0.33333333333333331</v>
      </c>
      <c r="G188" s="67">
        <v>0.29980532121998704</v>
      </c>
      <c r="H188" s="67">
        <v>0.1672074410555916</v>
      </c>
      <c r="I188" s="68">
        <v>8655.4112554112562</v>
      </c>
      <c r="J188" s="68">
        <v>-8234.2820181112547</v>
      </c>
      <c r="K188" s="67">
        <v>0.11351351351351352</v>
      </c>
      <c r="L188" s="67">
        <v>0.11351351351351352</v>
      </c>
      <c r="M188" s="67">
        <v>0.27903958468526929</v>
      </c>
      <c r="N188" s="67">
        <v>0.20982046290287693</v>
      </c>
      <c r="O188" s="67">
        <v>0.58372093023255811</v>
      </c>
      <c r="P188" s="67">
        <v>0.39072164948453608</v>
      </c>
      <c r="Q188" s="67">
        <v>0.43650793650793651</v>
      </c>
    </row>
    <row r="189" spans="1:17" x14ac:dyDescent="0.4">
      <c r="A189" s="69">
        <v>186</v>
      </c>
      <c r="B189" s="66">
        <v>7.1054273576010019E-15</v>
      </c>
      <c r="C189" s="66">
        <v>1.2733740784231186E-17</v>
      </c>
      <c r="D189" s="71">
        <v>2</v>
      </c>
      <c r="E189" s="67">
        <v>0.33333333333333331</v>
      </c>
      <c r="F189" s="67">
        <v>0.33333333333333331</v>
      </c>
      <c r="G189" s="67">
        <v>0.29987046632124353</v>
      </c>
      <c r="H189" s="67">
        <v>0.16731433506044904</v>
      </c>
      <c r="I189" s="68">
        <v>8671.2742980561561</v>
      </c>
      <c r="J189" s="68">
        <v>-8254.322580645161</v>
      </c>
      <c r="K189" s="67">
        <v>0.11469534050179211</v>
      </c>
      <c r="L189" s="67">
        <v>0.11469534050179211</v>
      </c>
      <c r="M189" s="67">
        <v>0.27849740932642486</v>
      </c>
      <c r="N189" s="67">
        <v>0.21070811744386875</v>
      </c>
      <c r="O189" s="67">
        <v>0.58372093023255811</v>
      </c>
      <c r="P189" s="67">
        <v>0.39139344262295084</v>
      </c>
      <c r="Q189" s="67">
        <v>0.43628509719222464</v>
      </c>
    </row>
    <row r="190" spans="1:17" x14ac:dyDescent="0.4">
      <c r="A190" s="69">
        <v>187</v>
      </c>
      <c r="B190" s="66">
        <v>3.5527136788005009E-15</v>
      </c>
      <c r="C190" s="66">
        <v>6.3328229568636377E-18</v>
      </c>
      <c r="D190" s="71">
        <v>2</v>
      </c>
      <c r="E190" s="67">
        <v>0.33333333333333331</v>
      </c>
      <c r="F190" s="67">
        <v>0.33333333333333331</v>
      </c>
      <c r="G190" s="67">
        <v>0.29984975316591544</v>
      </c>
      <c r="H190" s="67">
        <v>0.16784717750590256</v>
      </c>
      <c r="I190" s="68">
        <v>8689.3342877594841</v>
      </c>
      <c r="J190" s="68">
        <v>-8291.5601023017898</v>
      </c>
      <c r="K190" s="67">
        <v>0.11586452762923351</v>
      </c>
      <c r="L190" s="67">
        <v>0.11586452762923351</v>
      </c>
      <c r="M190" s="67">
        <v>0.27838591972526294</v>
      </c>
      <c r="N190" s="67">
        <v>0.21206267439364671</v>
      </c>
      <c r="O190" s="67">
        <v>0.58288357748650732</v>
      </c>
      <c r="P190" s="67">
        <v>0.3917004048582996</v>
      </c>
      <c r="Q190" s="67">
        <v>0.4345025053686471</v>
      </c>
    </row>
    <row r="191" spans="1:17" x14ac:dyDescent="0.4">
      <c r="A191" s="69">
        <v>188</v>
      </c>
      <c r="B191" s="66">
        <v>3.5527136788005009E-15</v>
      </c>
      <c r="C191" s="66">
        <v>6.2991377283696823E-18</v>
      </c>
      <c r="D191" s="71">
        <v>2</v>
      </c>
      <c r="E191" s="67">
        <v>0.33333333333333331</v>
      </c>
      <c r="F191" s="67">
        <v>0.33333333333333331</v>
      </c>
      <c r="G191" s="67">
        <v>0.3</v>
      </c>
      <c r="H191" s="67">
        <v>0.16773504273504272</v>
      </c>
      <c r="I191" s="68">
        <v>8689.2450142450143</v>
      </c>
      <c r="J191" s="68">
        <v>-8310.8280254777073</v>
      </c>
      <c r="K191" s="67">
        <v>0.11524822695035461</v>
      </c>
      <c r="L191" s="67">
        <v>0.11524822695035461</v>
      </c>
      <c r="M191" s="67">
        <v>0.27884615384615385</v>
      </c>
      <c r="N191" s="67">
        <v>0.21175213675213675</v>
      </c>
      <c r="O191" s="67">
        <v>0.58237547892720309</v>
      </c>
      <c r="P191" s="67">
        <v>0.39152371342078707</v>
      </c>
      <c r="Q191" s="67">
        <v>0.43518518518518517</v>
      </c>
    </row>
    <row r="192" spans="1:17" x14ac:dyDescent="0.4">
      <c r="A192" s="69">
        <v>189</v>
      </c>
      <c r="B192" s="66">
        <v>3.5527136788005009E-15</v>
      </c>
      <c r="C192" s="66">
        <v>6.2658089573201071E-18</v>
      </c>
      <c r="D192" s="71">
        <v>2</v>
      </c>
      <c r="E192" s="67">
        <v>0.33333333333333331</v>
      </c>
      <c r="F192" s="67">
        <v>0.33333333333333331</v>
      </c>
      <c r="G192" s="67">
        <v>0.29980903882877147</v>
      </c>
      <c r="H192" s="67">
        <v>0.16783365160195204</v>
      </c>
      <c r="I192" s="68">
        <v>8675.0884642604397</v>
      </c>
      <c r="J192" s="68">
        <v>-8297.724399494311</v>
      </c>
      <c r="K192" s="67">
        <v>0.1146384479717813</v>
      </c>
      <c r="L192" s="67">
        <v>0.1146384479717813</v>
      </c>
      <c r="M192" s="67">
        <v>0.27986420538934859</v>
      </c>
      <c r="N192" s="67">
        <v>0.21175472098451092</v>
      </c>
      <c r="O192" s="67">
        <v>0.57998483699772552</v>
      </c>
      <c r="P192" s="67">
        <v>0.39178356713426854</v>
      </c>
      <c r="Q192" s="67">
        <v>0.43453644727530077</v>
      </c>
    </row>
    <row r="193" spans="1:17" x14ac:dyDescent="0.4">
      <c r="A193" s="69">
        <v>190</v>
      </c>
      <c r="B193" s="66">
        <v>0</v>
      </c>
      <c r="C193" s="66">
        <v>0</v>
      </c>
      <c r="D193" s="71">
        <v>2</v>
      </c>
      <c r="E193" s="67">
        <v>0.33333333333333331</v>
      </c>
      <c r="F193" s="67">
        <v>0.33333333333333331</v>
      </c>
      <c r="G193" s="67">
        <v>0.299789029535865</v>
      </c>
      <c r="H193" s="67">
        <v>0.16793248945147679</v>
      </c>
      <c r="I193" s="68">
        <v>8687.2624912033771</v>
      </c>
      <c r="J193" s="68">
        <v>-8325.6281407035167</v>
      </c>
      <c r="K193" s="67">
        <v>0.11578947368421053</v>
      </c>
      <c r="L193" s="67">
        <v>0.11578947368421053</v>
      </c>
      <c r="M193" s="67">
        <v>0.27932489451476794</v>
      </c>
      <c r="N193" s="67">
        <v>0.21118143459915611</v>
      </c>
      <c r="O193" s="67">
        <v>0.58157099697885195</v>
      </c>
      <c r="P193" s="67">
        <v>0.39160839160839161</v>
      </c>
      <c r="Q193" s="67">
        <v>0.434201266713582</v>
      </c>
    </row>
    <row r="194" spans="1:17" x14ac:dyDescent="0.4">
      <c r="A194" s="69">
        <v>191</v>
      </c>
      <c r="B194" s="66">
        <v>0</v>
      </c>
      <c r="C194" s="66">
        <v>0</v>
      </c>
      <c r="D194" s="71">
        <v>2</v>
      </c>
      <c r="E194" s="67">
        <v>0.33333333333333331</v>
      </c>
      <c r="F194" s="67">
        <v>0.33333333333333331</v>
      </c>
      <c r="G194" s="67">
        <v>0.29958071278825998</v>
      </c>
      <c r="H194" s="67">
        <v>0.16813417190775681</v>
      </c>
      <c r="I194" s="68">
        <v>8684.674597620713</v>
      </c>
      <c r="J194" s="68">
        <v>-8325.4364089775554</v>
      </c>
      <c r="K194" s="67">
        <v>0.11518324607329843</v>
      </c>
      <c r="L194" s="67">
        <v>0.11518324607329843</v>
      </c>
      <c r="M194" s="67">
        <v>0.27945492662473792</v>
      </c>
      <c r="N194" s="67">
        <v>0.21132075471698114</v>
      </c>
      <c r="O194" s="67">
        <v>0.58064516129032262</v>
      </c>
      <c r="P194" s="67">
        <v>0.39087301587301587</v>
      </c>
      <c r="Q194" s="67">
        <v>0.43317004898530442</v>
      </c>
    </row>
    <row r="195" spans="1:17" x14ac:dyDescent="0.4">
      <c r="A195" s="69">
        <v>192</v>
      </c>
      <c r="B195" s="66">
        <v>-6.6613381477509392E-16</v>
      </c>
      <c r="C195" s="66">
        <v>-1.1564823173178713E-18</v>
      </c>
      <c r="D195" s="71">
        <v>2</v>
      </c>
      <c r="E195" s="67">
        <v>0.33333333333333331</v>
      </c>
      <c r="F195" s="67">
        <v>0.33333333333333331</v>
      </c>
      <c r="G195" s="67">
        <v>0.29960441390797421</v>
      </c>
      <c r="H195" s="67">
        <v>0.168228190714137</v>
      </c>
      <c r="I195" s="68">
        <v>8677.3453787352337</v>
      </c>
      <c r="J195" s="68">
        <v>-8323.7623762376243</v>
      </c>
      <c r="K195" s="67">
        <v>0.11458333333333333</v>
      </c>
      <c r="L195" s="67">
        <v>0.11458333333333333</v>
      </c>
      <c r="M195" s="67">
        <v>0.27899229648136581</v>
      </c>
      <c r="N195" s="67">
        <v>0.21090984801165938</v>
      </c>
      <c r="O195" s="67">
        <v>0.58134328358208953</v>
      </c>
      <c r="P195" s="67">
        <v>0.39091806515301086</v>
      </c>
      <c r="Q195" s="67">
        <v>0.43293954134815843</v>
      </c>
    </row>
    <row r="196" spans="1:17" x14ac:dyDescent="0.4">
      <c r="A196" s="69">
        <v>193</v>
      </c>
      <c r="B196" s="66">
        <v>0</v>
      </c>
      <c r="C196" s="66">
        <v>0</v>
      </c>
      <c r="D196" s="71">
        <v>2</v>
      </c>
      <c r="E196" s="67">
        <v>0.33333333333333331</v>
      </c>
      <c r="F196" s="67">
        <v>0.33333333333333331</v>
      </c>
      <c r="G196" s="67">
        <v>0.29991697799916978</v>
      </c>
      <c r="H196" s="67">
        <v>0.16832710668327105</v>
      </c>
      <c r="I196" s="68">
        <v>8679.1003460207612</v>
      </c>
      <c r="J196" s="68">
        <v>-8338.101109741061</v>
      </c>
      <c r="K196" s="67">
        <v>0.1157167530224525</v>
      </c>
      <c r="L196" s="67">
        <v>0.1157167530224525</v>
      </c>
      <c r="M196" s="67">
        <v>0.27936903279369035</v>
      </c>
      <c r="N196" s="67">
        <v>0.21066832710668326</v>
      </c>
      <c r="O196" s="67">
        <v>0.58098068350668652</v>
      </c>
      <c r="P196" s="67">
        <v>0.39113300492610836</v>
      </c>
      <c r="Q196" s="67">
        <v>0.43252595155709345</v>
      </c>
    </row>
    <row r="197" spans="1:17" x14ac:dyDescent="0.4">
      <c r="A197" s="69">
        <v>194</v>
      </c>
      <c r="B197" s="66">
        <v>-4.4408920985006262E-15</v>
      </c>
      <c r="C197" s="66">
        <v>-7.630398794674616E-18</v>
      </c>
      <c r="D197" s="71">
        <v>2</v>
      </c>
      <c r="E197" s="67">
        <v>0.33333333333333331</v>
      </c>
      <c r="F197" s="67">
        <v>0.33333333333333331</v>
      </c>
      <c r="G197" s="67">
        <v>0.30006199628022318</v>
      </c>
      <c r="H197" s="67">
        <v>0.1680099194048357</v>
      </c>
      <c r="I197" s="68">
        <v>8691.9421487603304</v>
      </c>
      <c r="J197" s="68">
        <v>-8330.3813038130374</v>
      </c>
      <c r="K197" s="67">
        <v>0.11683848797250859</v>
      </c>
      <c r="L197" s="67">
        <v>0.11683848797250859</v>
      </c>
      <c r="M197" s="67">
        <v>0.27980987807398222</v>
      </c>
      <c r="N197" s="67">
        <v>0.21058069849142386</v>
      </c>
      <c r="O197" s="67">
        <v>0.57976366322008865</v>
      </c>
      <c r="P197" s="67">
        <v>0.3915603532875368</v>
      </c>
      <c r="Q197" s="67">
        <v>0.43388429752066116</v>
      </c>
    </row>
    <row r="198" spans="1:17" x14ac:dyDescent="0.4">
      <c r="A198" s="69">
        <v>195</v>
      </c>
      <c r="B198" s="66">
        <v>-7.1054273576010019E-15</v>
      </c>
      <c r="C198" s="66">
        <v>-1.2146029671112824E-17</v>
      </c>
      <c r="D198" s="71">
        <v>2</v>
      </c>
      <c r="E198" s="67">
        <v>0.33333333333333331</v>
      </c>
      <c r="F198" s="67">
        <v>0.33333333333333331</v>
      </c>
      <c r="G198" s="67">
        <v>0.30006161429451633</v>
      </c>
      <c r="H198" s="67">
        <v>0.16820702402957485</v>
      </c>
      <c r="I198" s="68">
        <v>8675.2908966461328</v>
      </c>
      <c r="J198" s="68">
        <v>-8302.5641025641035</v>
      </c>
      <c r="K198" s="67">
        <v>0.11623931623931624</v>
      </c>
      <c r="L198" s="67">
        <v>0.11623931623931624</v>
      </c>
      <c r="M198" s="67">
        <v>0.28013965906757032</v>
      </c>
      <c r="N198" s="67">
        <v>0.21092626822756214</v>
      </c>
      <c r="O198" s="67">
        <v>0.57917888563049857</v>
      </c>
      <c r="P198" s="67">
        <v>0.39143135345666991</v>
      </c>
      <c r="Q198" s="67">
        <v>0.43326488706365501</v>
      </c>
    </row>
    <row r="199" spans="1:17" x14ac:dyDescent="0.4">
      <c r="A199" s="69">
        <v>196</v>
      </c>
      <c r="B199" s="66">
        <v>-7.1054273576010019E-15</v>
      </c>
      <c r="C199" s="66">
        <v>-1.2084060131974493E-17</v>
      </c>
      <c r="D199" s="71">
        <v>2</v>
      </c>
      <c r="E199" s="67">
        <v>0.33333333333333331</v>
      </c>
      <c r="F199" s="67">
        <v>0.33333333333333331</v>
      </c>
      <c r="G199" s="67">
        <v>0.30002043735949313</v>
      </c>
      <c r="H199" s="67">
        <v>0.16779072143879012</v>
      </c>
      <c r="I199" s="68">
        <v>8673.7057220708448</v>
      </c>
      <c r="J199" s="68">
        <v>-8301.8270401948848</v>
      </c>
      <c r="K199" s="67">
        <v>0.11564625850340136</v>
      </c>
      <c r="L199" s="67">
        <v>0.11564625850340136</v>
      </c>
      <c r="M199" s="67">
        <v>0.28060494584099732</v>
      </c>
      <c r="N199" s="67">
        <v>0.21070917637441242</v>
      </c>
      <c r="O199" s="67">
        <v>0.5790240349599417</v>
      </c>
      <c r="P199" s="67">
        <v>0.39088263821532493</v>
      </c>
      <c r="Q199" s="67">
        <v>0.43460490463215257</v>
      </c>
    </row>
    <row r="200" spans="1:17" x14ac:dyDescent="0.4">
      <c r="A200" s="69">
        <v>197</v>
      </c>
      <c r="B200" s="66">
        <v>-9.9920072216264089E-15</v>
      </c>
      <c r="C200" s="66">
        <v>-1.6906949613581065E-17</v>
      </c>
      <c r="D200" s="71">
        <v>2</v>
      </c>
      <c r="E200" s="67">
        <v>0.33333333333333331</v>
      </c>
      <c r="F200" s="67">
        <v>0.33333333333333331</v>
      </c>
      <c r="G200" s="67">
        <v>0.29983759642712138</v>
      </c>
      <c r="H200" s="67">
        <v>0.16808769792935443</v>
      </c>
      <c r="I200" s="68">
        <v>8670.6838185511169</v>
      </c>
      <c r="J200" s="68">
        <v>-8303.9855072463761</v>
      </c>
      <c r="K200" s="67">
        <v>0.11505922165820642</v>
      </c>
      <c r="L200" s="67">
        <v>0.11505922165820642</v>
      </c>
      <c r="M200" s="67">
        <v>0.28055217214778727</v>
      </c>
      <c r="N200" s="67">
        <v>0.21031262687779131</v>
      </c>
      <c r="O200" s="67">
        <v>0.57814761215629518</v>
      </c>
      <c r="P200" s="67">
        <v>0.39189189189189189</v>
      </c>
      <c r="Q200" s="67">
        <v>0.43331076506431959</v>
      </c>
    </row>
    <row r="201" spans="1:17" x14ac:dyDescent="0.4">
      <c r="A201" s="69">
        <v>198</v>
      </c>
      <c r="B201" s="66">
        <v>-7.1054273576010019E-15</v>
      </c>
      <c r="C201" s="66">
        <v>-1.1961998918520205E-17</v>
      </c>
      <c r="D201" s="71">
        <v>2</v>
      </c>
      <c r="E201" s="67">
        <v>0.33333333333333331</v>
      </c>
      <c r="F201" s="67">
        <v>0.33333333333333331</v>
      </c>
      <c r="G201" s="67">
        <v>0.30018192844147967</v>
      </c>
      <c r="H201" s="67">
        <v>0.16818273701233072</v>
      </c>
      <c r="I201" s="68">
        <v>8671.9865319865312</v>
      </c>
      <c r="J201" s="68">
        <v>-8322.475961538461</v>
      </c>
      <c r="K201" s="67">
        <v>0.11447811447811448</v>
      </c>
      <c r="L201" s="67">
        <v>0.11447811447811448</v>
      </c>
      <c r="M201" s="67">
        <v>0.28178694158075601</v>
      </c>
      <c r="N201" s="67">
        <v>0.20962199312714777</v>
      </c>
      <c r="O201" s="67">
        <v>0.57819225251076045</v>
      </c>
      <c r="P201" s="67">
        <v>0.39151398264223725</v>
      </c>
      <c r="Q201" s="67">
        <v>0.43299663299663299</v>
      </c>
    </row>
    <row r="202" spans="1:17" x14ac:dyDescent="0.4">
      <c r="A202" s="69">
        <v>199</v>
      </c>
      <c r="B202" s="66">
        <v>-1.4210854715202004E-14</v>
      </c>
      <c r="C202" s="66">
        <v>-2.3803776742381916E-17</v>
      </c>
      <c r="D202" s="71">
        <v>2</v>
      </c>
      <c r="E202" s="67">
        <v>0.33333333333333331</v>
      </c>
      <c r="F202" s="67">
        <v>0.33333333333333331</v>
      </c>
      <c r="G202" s="67">
        <v>0.30038175607795858</v>
      </c>
      <c r="H202" s="67">
        <v>0.16837452280490256</v>
      </c>
      <c r="I202" s="68">
        <v>8680.9364548494977</v>
      </c>
      <c r="J202" s="68">
        <v>-8328.2816229116943</v>
      </c>
      <c r="K202" s="67">
        <v>0.11557788944723618</v>
      </c>
      <c r="L202" s="67">
        <v>0.11557788944723618</v>
      </c>
      <c r="M202" s="67">
        <v>0.28129395218002812</v>
      </c>
      <c r="N202" s="67">
        <v>0.20976491862567812</v>
      </c>
      <c r="O202" s="67">
        <v>0.57857142857142863</v>
      </c>
      <c r="P202" s="67">
        <v>0.39272030651340994</v>
      </c>
      <c r="Q202" s="67">
        <v>0.43277591973244145</v>
      </c>
    </row>
    <row r="203" spans="1:17" x14ac:dyDescent="0.4">
      <c r="A203" s="69">
        <v>200</v>
      </c>
      <c r="B203" s="66">
        <v>-1.7097434579227411E-14</v>
      </c>
      <c r="C203" s="66">
        <v>-2.849572429871235E-17</v>
      </c>
      <c r="D203" s="71">
        <v>2</v>
      </c>
      <c r="E203" s="67">
        <v>0.33333333333333331</v>
      </c>
      <c r="F203" s="67">
        <v>0.33333333333333331</v>
      </c>
      <c r="G203" s="67">
        <v>0.29996003197442045</v>
      </c>
      <c r="H203" s="67">
        <v>0.16786570743405277</v>
      </c>
      <c r="I203" s="68">
        <v>8701.7321785476342</v>
      </c>
      <c r="J203" s="68">
        <v>-8348.0952380952385</v>
      </c>
      <c r="K203" s="67">
        <v>0.11666666666666667</v>
      </c>
      <c r="L203" s="67">
        <v>0.11666666666666667</v>
      </c>
      <c r="M203" s="67">
        <v>0.28197442046362908</v>
      </c>
      <c r="N203" s="67">
        <v>0.20863309352517986</v>
      </c>
      <c r="O203" s="67">
        <v>0.57760453579021975</v>
      </c>
      <c r="P203" s="67">
        <v>0.39272030651340994</v>
      </c>
      <c r="Q203" s="67">
        <v>0.43371085942704862</v>
      </c>
    </row>
    <row r="204" spans="1:17" x14ac:dyDescent="0.4">
      <c r="A204" s="69">
        <v>201</v>
      </c>
      <c r="B204" s="66">
        <v>-2.1316282072803006E-14</v>
      </c>
      <c r="C204" s="66">
        <v>-3.5350384863686576E-17</v>
      </c>
      <c r="D204" s="71">
        <v>2</v>
      </c>
      <c r="E204" s="67">
        <v>0.33333333333333331</v>
      </c>
      <c r="F204" s="67">
        <v>0.33333333333333331</v>
      </c>
      <c r="G204" s="67">
        <v>0.2999004975124378</v>
      </c>
      <c r="H204" s="67">
        <v>0.16796019900497514</v>
      </c>
      <c r="I204" s="68">
        <v>8686.7949568679487</v>
      </c>
      <c r="J204" s="68">
        <v>-8328.0805687203792</v>
      </c>
      <c r="K204" s="67">
        <v>0.11608623548922056</v>
      </c>
      <c r="L204" s="67">
        <v>0.11608623548922056</v>
      </c>
      <c r="M204" s="67">
        <v>0.28139303482587064</v>
      </c>
      <c r="N204" s="67">
        <v>0.20955223880597015</v>
      </c>
      <c r="O204" s="67">
        <v>0.57779349363507782</v>
      </c>
      <c r="P204" s="67">
        <v>0.39316239316239315</v>
      </c>
      <c r="Q204" s="67">
        <v>0.43331121433311215</v>
      </c>
    </row>
    <row r="205" spans="1:17" x14ac:dyDescent="0.4">
      <c r="A205" s="69">
        <v>202</v>
      </c>
      <c r="B205" s="66">
        <v>-2.1316282072803006E-14</v>
      </c>
      <c r="C205" s="66">
        <v>-3.5175382958420802E-17</v>
      </c>
      <c r="D205" s="71">
        <v>2</v>
      </c>
      <c r="E205" s="67">
        <v>0.33333333333333331</v>
      </c>
      <c r="F205" s="67">
        <v>0.33333333333333331</v>
      </c>
      <c r="G205" s="67">
        <v>0.29986135868488811</v>
      </c>
      <c r="H205" s="67">
        <v>0.16795405030699148</v>
      </c>
      <c r="I205" s="68">
        <v>8678.1373844121536</v>
      </c>
      <c r="J205" s="68">
        <v>-8312.382075471698</v>
      </c>
      <c r="K205" s="67">
        <v>0.11551155115511551</v>
      </c>
      <c r="L205" s="67">
        <v>0.11551155115511551</v>
      </c>
      <c r="M205" s="67">
        <v>0.2808476926123985</v>
      </c>
      <c r="N205" s="67">
        <v>0.2089522677757972</v>
      </c>
      <c r="O205" s="67">
        <v>0.57898448519040902</v>
      </c>
      <c r="P205" s="67">
        <v>0.39336492890995262</v>
      </c>
      <c r="Q205" s="67">
        <v>0.4332892998678996</v>
      </c>
    </row>
    <row r="206" spans="1:17" x14ac:dyDescent="0.4">
      <c r="A206" s="69">
        <v>203</v>
      </c>
      <c r="B206" s="66">
        <v>-2.1316282072803006E-14</v>
      </c>
      <c r="C206" s="66">
        <v>-3.5002105209857152E-17</v>
      </c>
      <c r="D206" s="71">
        <v>2</v>
      </c>
      <c r="E206" s="67">
        <v>0.33333333333333331</v>
      </c>
      <c r="F206" s="67">
        <v>0.33333333333333331</v>
      </c>
      <c r="G206" s="67">
        <v>0.29984239558707643</v>
      </c>
      <c r="H206" s="67">
        <v>0.16804570527974783</v>
      </c>
      <c r="I206" s="68">
        <v>8670.3022339027593</v>
      </c>
      <c r="J206" s="68">
        <v>-8300.9378663540447</v>
      </c>
      <c r="K206" s="67">
        <v>0.11494252873563218</v>
      </c>
      <c r="L206" s="67">
        <v>0.11494252873563218</v>
      </c>
      <c r="M206" s="67">
        <v>0.28053585500394013</v>
      </c>
      <c r="N206" s="67">
        <v>0.20843183609141056</v>
      </c>
      <c r="O206" s="67">
        <v>0.5800561797752809</v>
      </c>
      <c r="P206" s="67">
        <v>0.3931947069943289</v>
      </c>
      <c r="Q206" s="67">
        <v>0.43298291721419185</v>
      </c>
    </row>
    <row r="207" spans="1:17" x14ac:dyDescent="0.4">
      <c r="A207" s="69">
        <v>204</v>
      </c>
      <c r="B207" s="66">
        <v>-2.8421709430404007E-14</v>
      </c>
      <c r="C207" s="66">
        <v>-4.644070168366668E-17</v>
      </c>
      <c r="D207" s="71">
        <v>2</v>
      </c>
      <c r="E207" s="67">
        <v>0.33333333333333331</v>
      </c>
      <c r="F207" s="67">
        <v>0.33333333333333331</v>
      </c>
      <c r="G207" s="67">
        <v>0.3</v>
      </c>
      <c r="H207" s="67">
        <v>0.16823529411764707</v>
      </c>
      <c r="I207" s="68">
        <v>8662.4836601307197</v>
      </c>
      <c r="J207" s="68">
        <v>-8292.424242424242</v>
      </c>
      <c r="K207" s="67">
        <v>0.11601307189542484</v>
      </c>
      <c r="L207" s="67">
        <v>0.11601307189542484</v>
      </c>
      <c r="M207" s="67">
        <v>0.28019607843137256</v>
      </c>
      <c r="N207" s="67">
        <v>0.20823529411764705</v>
      </c>
      <c r="O207" s="67">
        <v>0.58012596221133661</v>
      </c>
      <c r="P207" s="67">
        <v>0.3935969868173258</v>
      </c>
      <c r="Q207" s="67">
        <v>0.43267973856209152</v>
      </c>
    </row>
    <row r="208" spans="1:17" x14ac:dyDescent="0.4">
      <c r="A208" s="69">
        <v>205</v>
      </c>
      <c r="B208" s="66">
        <v>-2.4868995751603507E-14</v>
      </c>
      <c r="C208" s="66">
        <v>-4.0437391466021965E-17</v>
      </c>
      <c r="D208" s="71">
        <v>2</v>
      </c>
      <c r="E208" s="67">
        <v>0.33333333333333331</v>
      </c>
      <c r="F208" s="67">
        <v>0.33333333333333331</v>
      </c>
      <c r="G208" s="67">
        <v>0.29957064793130367</v>
      </c>
      <c r="H208" s="67">
        <v>0.16783762685402029</v>
      </c>
      <c r="I208" s="68">
        <v>8656.0912052117255</v>
      </c>
      <c r="J208" s="68">
        <v>-8291.3953488372099</v>
      </c>
      <c r="K208" s="67">
        <v>0.11544715447154472</v>
      </c>
      <c r="L208" s="67">
        <v>0.11544715447154472</v>
      </c>
      <c r="M208" s="67">
        <v>0.27985948477751754</v>
      </c>
      <c r="N208" s="67">
        <v>0.20823575331772054</v>
      </c>
      <c r="O208" s="67">
        <v>0.57949790794979084</v>
      </c>
      <c r="P208" s="67">
        <v>0.39362699156513592</v>
      </c>
      <c r="Q208" s="67">
        <v>0.43322475570032576</v>
      </c>
    </row>
    <row r="209" spans="1:17" x14ac:dyDescent="0.4">
      <c r="A209" s="69">
        <v>206</v>
      </c>
      <c r="B209" s="66">
        <v>-2.1316282072803006E-14</v>
      </c>
      <c r="C209" s="66">
        <v>-3.4492365813597093E-17</v>
      </c>
      <c r="D209" s="71">
        <v>2</v>
      </c>
      <c r="E209" s="67">
        <v>0.33333333333333331</v>
      </c>
      <c r="F209" s="67">
        <v>0.33333333333333331</v>
      </c>
      <c r="G209" s="67">
        <v>0.29972804972804973</v>
      </c>
      <c r="H209" s="67">
        <v>0.16783216783216784</v>
      </c>
      <c r="I209" s="68">
        <v>8637.7187297472465</v>
      </c>
      <c r="J209" s="68">
        <v>-8268.8657407407409</v>
      </c>
      <c r="K209" s="67">
        <v>0.11488673139158576</v>
      </c>
      <c r="L209" s="67">
        <v>0.11488673139158576</v>
      </c>
      <c r="M209" s="67">
        <v>0.27913752913752915</v>
      </c>
      <c r="N209" s="67">
        <v>0.20881895881895882</v>
      </c>
      <c r="O209" s="67">
        <v>0.58037578288100211</v>
      </c>
      <c r="P209" s="67">
        <v>0.39534883720930231</v>
      </c>
      <c r="Q209" s="67">
        <v>0.43357096565132858</v>
      </c>
    </row>
    <row r="210" spans="1:17" x14ac:dyDescent="0.4">
      <c r="A210" s="69">
        <v>207</v>
      </c>
      <c r="B210" s="66">
        <v>-2.1316282072803006E-14</v>
      </c>
      <c r="C210" s="66">
        <v>-3.4325736027057978E-17</v>
      </c>
      <c r="D210" s="71">
        <v>2</v>
      </c>
      <c r="E210" s="67">
        <v>0.33333333333333331</v>
      </c>
      <c r="F210" s="67">
        <v>0.33333333333333331</v>
      </c>
      <c r="G210" s="67">
        <v>0.29969064191802008</v>
      </c>
      <c r="H210" s="67">
        <v>0.16782675947409126</v>
      </c>
      <c r="I210" s="68">
        <v>8631.032258064517</v>
      </c>
      <c r="J210" s="68">
        <v>-8266.705069124424</v>
      </c>
      <c r="K210" s="67">
        <v>0.1143317230273752</v>
      </c>
      <c r="L210" s="67">
        <v>0.1143317230273752</v>
      </c>
      <c r="M210" s="67">
        <v>0.27938901778808972</v>
      </c>
      <c r="N210" s="67">
        <v>0.20862335653518949</v>
      </c>
      <c r="O210" s="67">
        <v>0.57993079584775087</v>
      </c>
      <c r="P210" s="67">
        <v>0.3948100092678406</v>
      </c>
      <c r="Q210" s="67">
        <v>0.43354838709677418</v>
      </c>
    </row>
    <row r="211" spans="1:17" x14ac:dyDescent="0.4">
      <c r="A211" s="69">
        <v>208</v>
      </c>
      <c r="B211" s="66">
        <v>-2.8421709430404007E-14</v>
      </c>
      <c r="C211" s="66">
        <v>-4.5547611266673087E-17</v>
      </c>
      <c r="D211" s="71">
        <v>2</v>
      </c>
      <c r="E211" s="67">
        <v>0.33333333333333331</v>
      </c>
      <c r="F211" s="67">
        <v>0.33333333333333331</v>
      </c>
      <c r="G211" s="67">
        <v>0.29946112394149343</v>
      </c>
      <c r="H211" s="67">
        <v>0.1676289453425712</v>
      </c>
      <c r="I211" s="68">
        <v>8635.2827763496152</v>
      </c>
      <c r="J211" s="68">
        <v>-8263.834672789897</v>
      </c>
      <c r="K211" s="67">
        <v>0.11538461538461539</v>
      </c>
      <c r="L211" s="67">
        <v>0.11538461538461539</v>
      </c>
      <c r="M211" s="67">
        <v>0.27925327174749809</v>
      </c>
      <c r="N211" s="67">
        <v>0.20919938414164743</v>
      </c>
      <c r="O211" s="67">
        <v>0.57960027567195038</v>
      </c>
      <c r="P211" s="67">
        <v>0.39374425022999082</v>
      </c>
      <c r="Q211" s="67">
        <v>0.43380462724935731</v>
      </c>
    </row>
    <row r="212" spans="1:17" x14ac:dyDescent="0.4">
      <c r="A212" s="69">
        <v>209</v>
      </c>
      <c r="B212" s="66">
        <v>-2.8421709430404007E-14</v>
      </c>
      <c r="C212" s="66">
        <v>-4.5329680112287093E-17</v>
      </c>
      <c r="D212" s="71">
        <v>2</v>
      </c>
      <c r="E212" s="67">
        <v>0.33333333333333331</v>
      </c>
      <c r="F212" s="67">
        <v>0.33333333333333331</v>
      </c>
      <c r="G212" s="67">
        <v>0.29948364888123924</v>
      </c>
      <c r="H212" s="67">
        <v>0.16771849301969785</v>
      </c>
      <c r="I212" s="68">
        <v>8634.1634738186458</v>
      </c>
      <c r="J212" s="68">
        <v>-8258.6088939566707</v>
      </c>
      <c r="K212" s="67">
        <v>0.11483253588516747</v>
      </c>
      <c r="L212" s="67">
        <v>0.11483253588516747</v>
      </c>
      <c r="M212" s="67">
        <v>0.27902084528590554</v>
      </c>
      <c r="N212" s="67">
        <v>0.21036527060623447</v>
      </c>
      <c r="O212" s="67">
        <v>0.57984921178889648</v>
      </c>
      <c r="P212" s="67">
        <v>0.3927272727272727</v>
      </c>
      <c r="Q212" s="67">
        <v>0.43358876117496808</v>
      </c>
    </row>
    <row r="213" spans="1:17" x14ac:dyDescent="0.4">
      <c r="A213" s="69">
        <v>210</v>
      </c>
      <c r="B213" s="66">
        <v>-2.9753977059954195E-14</v>
      </c>
      <c r="C213" s="66">
        <v>-4.7228535015800309E-17</v>
      </c>
      <c r="D213" s="71">
        <v>2</v>
      </c>
      <c r="E213" s="67">
        <v>0.33333333333333331</v>
      </c>
      <c r="F213" s="67">
        <v>0.33333333333333331</v>
      </c>
      <c r="G213" s="67">
        <v>0.29944793451361129</v>
      </c>
      <c r="H213" s="67">
        <v>0.16752332000761469</v>
      </c>
      <c r="I213" s="68">
        <v>8623.0769230769238</v>
      </c>
      <c r="J213" s="68">
        <v>-8240.9090909090901</v>
      </c>
      <c r="K213" s="67">
        <v>0.11428571428571428</v>
      </c>
      <c r="L213" s="67">
        <v>0.11428571428571428</v>
      </c>
      <c r="M213" s="67">
        <v>0.27888825433085856</v>
      </c>
      <c r="N213" s="67">
        <v>0.20997525223681707</v>
      </c>
      <c r="O213" s="67">
        <v>0.5795221843003413</v>
      </c>
      <c r="P213" s="67">
        <v>0.39256572982774252</v>
      </c>
      <c r="Q213" s="67">
        <v>0.43420216147488877</v>
      </c>
    </row>
    <row r="214" spans="1:17" x14ac:dyDescent="0.4">
      <c r="A214" s="69">
        <v>211</v>
      </c>
      <c r="B214" s="66">
        <v>-3.2862601528904634E-14</v>
      </c>
      <c r="C214" s="66">
        <v>-5.1915642225757717E-17</v>
      </c>
      <c r="D214" s="71">
        <v>2</v>
      </c>
      <c r="E214" s="67">
        <v>0.33333333333333331</v>
      </c>
      <c r="F214" s="67">
        <v>0.33333333333333331</v>
      </c>
      <c r="G214" s="67">
        <v>0.29931972789115646</v>
      </c>
      <c r="H214" s="67">
        <v>0.1674225245653817</v>
      </c>
      <c r="I214" s="68">
        <v>8614.9621212121219</v>
      </c>
      <c r="J214" s="68">
        <v>-8239.6162528216701</v>
      </c>
      <c r="K214" s="67">
        <v>0.11374407582938388</v>
      </c>
      <c r="L214" s="67">
        <v>0.11374407582938388</v>
      </c>
      <c r="M214" s="67">
        <v>0.27891156462585032</v>
      </c>
      <c r="N214" s="67">
        <v>0.20975056689342403</v>
      </c>
      <c r="O214" s="67">
        <v>0.57994579945799463</v>
      </c>
      <c r="P214" s="67">
        <v>0.39189189189189189</v>
      </c>
      <c r="Q214" s="67">
        <v>0.43434343434343436</v>
      </c>
    </row>
    <row r="215" spans="1:17" x14ac:dyDescent="0.4">
      <c r="A215" s="69">
        <v>212</v>
      </c>
      <c r="B215" s="66">
        <v>-2.8421709430404007E-14</v>
      </c>
      <c r="C215" s="66">
        <v>-4.4688222374849071E-17</v>
      </c>
      <c r="D215" s="71">
        <v>2</v>
      </c>
      <c r="E215" s="67">
        <v>0.33333333333333331</v>
      </c>
      <c r="F215" s="67">
        <v>0.33333333333333331</v>
      </c>
      <c r="G215" s="67">
        <v>0.29947328818660646</v>
      </c>
      <c r="H215" s="67">
        <v>0.16741911211437172</v>
      </c>
      <c r="I215" s="68">
        <v>8623.4296482412065</v>
      </c>
      <c r="J215" s="68">
        <v>-8251.0112359550567</v>
      </c>
      <c r="K215" s="67">
        <v>0.11477987421383648</v>
      </c>
      <c r="L215" s="67">
        <v>0.11477987421383648</v>
      </c>
      <c r="M215" s="67">
        <v>0.27878103837471785</v>
      </c>
      <c r="N215" s="67">
        <v>0.20974416854778027</v>
      </c>
      <c r="O215" s="67">
        <v>0.57962213225371118</v>
      </c>
      <c r="P215" s="67">
        <v>0.3937219730941704</v>
      </c>
      <c r="Q215" s="67">
        <v>0.43467336683417085</v>
      </c>
    </row>
    <row r="216" spans="1:17" x14ac:dyDescent="0.4">
      <c r="A216" s="69">
        <v>213</v>
      </c>
      <c r="B216" s="66">
        <v>-2.8421709430404007E-14</v>
      </c>
      <c r="C216" s="66">
        <v>-4.4478418513934285E-17</v>
      </c>
      <c r="D216" s="71">
        <v>2</v>
      </c>
      <c r="E216" s="67">
        <v>0.33333333333333331</v>
      </c>
      <c r="F216" s="67">
        <v>0.33333333333333331</v>
      </c>
      <c r="G216" s="67">
        <v>0.29958755155605549</v>
      </c>
      <c r="H216" s="67">
        <v>0.16797900262467191</v>
      </c>
      <c r="I216" s="68">
        <v>8638.6107634543187</v>
      </c>
      <c r="J216" s="68">
        <v>-8280.5803571428569</v>
      </c>
      <c r="K216" s="67">
        <v>0.11580594679186229</v>
      </c>
      <c r="L216" s="67">
        <v>0.11580594679186229</v>
      </c>
      <c r="M216" s="67">
        <v>0.27877765279340083</v>
      </c>
      <c r="N216" s="67">
        <v>0.20997375328083989</v>
      </c>
      <c r="O216" s="67">
        <v>0.58036314727639537</v>
      </c>
      <c r="P216" s="67">
        <v>0.39374999999999999</v>
      </c>
      <c r="Q216" s="67">
        <v>0.4330413016270338</v>
      </c>
    </row>
    <row r="217" spans="1:17" x14ac:dyDescent="0.4">
      <c r="A217" s="69">
        <v>214</v>
      </c>
      <c r="B217" s="66">
        <v>-2.4868995751603507E-14</v>
      </c>
      <c r="C217" s="66">
        <v>-3.8736753507170569E-17</v>
      </c>
      <c r="D217" s="71">
        <v>2</v>
      </c>
      <c r="E217" s="67">
        <v>0.33333333333333331</v>
      </c>
      <c r="F217" s="67">
        <v>0.33333333333333331</v>
      </c>
      <c r="G217" s="67">
        <v>0.29970104633781763</v>
      </c>
      <c r="H217" s="67">
        <v>0.16778774289985052</v>
      </c>
      <c r="I217" s="68">
        <v>8645.9476309226939</v>
      </c>
      <c r="J217" s="68">
        <v>-8295.1002227171484</v>
      </c>
      <c r="K217" s="67">
        <v>0.11682242990654206</v>
      </c>
      <c r="L217" s="67">
        <v>0.11682242990654206</v>
      </c>
      <c r="M217" s="67">
        <v>0.27933482810164423</v>
      </c>
      <c r="N217" s="67">
        <v>0.20964125560538116</v>
      </c>
      <c r="O217" s="67">
        <v>0.58060200668896322</v>
      </c>
      <c r="P217" s="67">
        <v>0.39393939393939392</v>
      </c>
      <c r="Q217" s="67">
        <v>0.43391521197007482</v>
      </c>
    </row>
    <row r="218" spans="1:17" x14ac:dyDescent="0.4">
      <c r="A218" s="69">
        <v>215</v>
      </c>
      <c r="B218" s="66">
        <v>-2.1316282072803006E-14</v>
      </c>
      <c r="C218" s="66">
        <v>-3.3048499337679078E-17</v>
      </c>
      <c r="D218" s="71">
        <v>2</v>
      </c>
      <c r="E218" s="67">
        <v>0.33333333333333331</v>
      </c>
      <c r="F218" s="67">
        <v>0.33333333333333331</v>
      </c>
      <c r="G218" s="67">
        <v>0.29970271274619098</v>
      </c>
      <c r="H218" s="67">
        <v>0.16833890746934224</v>
      </c>
      <c r="I218" s="68">
        <v>8635.4618722876621</v>
      </c>
      <c r="J218" s="68">
        <v>-8280.4635761589398</v>
      </c>
      <c r="K218" s="67">
        <v>0.11627906976744186</v>
      </c>
      <c r="L218" s="67">
        <v>0.11627906976744186</v>
      </c>
      <c r="M218" s="67">
        <v>0.28037904124860646</v>
      </c>
      <c r="N218" s="67">
        <v>0.20884429580081754</v>
      </c>
      <c r="O218" s="67">
        <v>0.57919151756129883</v>
      </c>
      <c r="P218" s="67">
        <v>0.39412811387900354</v>
      </c>
      <c r="Q218" s="67">
        <v>0.43211407315561068</v>
      </c>
    </row>
    <row r="219" spans="1:17" x14ac:dyDescent="0.4">
      <c r="A219" s="69">
        <v>216</v>
      </c>
      <c r="B219" s="66">
        <v>-1.0000000000000213</v>
      </c>
      <c r="C219" s="66">
        <v>-1.5432098765432428E-3</v>
      </c>
      <c r="D219" s="71">
        <v>2</v>
      </c>
      <c r="E219" s="67">
        <v>0.33333333333333331</v>
      </c>
      <c r="F219" s="67">
        <v>0.33333333333333331</v>
      </c>
      <c r="G219" s="67">
        <v>0.29929707732149463</v>
      </c>
      <c r="H219" s="67">
        <v>0.1685164631890492</v>
      </c>
      <c r="I219" s="68">
        <v>8650.6180469715691</v>
      </c>
      <c r="J219" s="68">
        <v>-8309.3304061470917</v>
      </c>
      <c r="K219" s="67">
        <v>0.11574074074074074</v>
      </c>
      <c r="L219" s="67">
        <v>0.11574074074074074</v>
      </c>
      <c r="M219" s="67">
        <v>0.28042915279319275</v>
      </c>
      <c r="N219" s="67">
        <v>0.20828708842027377</v>
      </c>
      <c r="O219" s="67">
        <v>0.57849604221635886</v>
      </c>
      <c r="P219" s="67">
        <v>0.39431616341030196</v>
      </c>
      <c r="Q219" s="67">
        <v>0.43077873918417797</v>
      </c>
    </row>
    <row r="220" spans="1:17" x14ac:dyDescent="0.4">
      <c r="A220" s="69">
        <v>217</v>
      </c>
      <c r="B220" s="66">
        <v>-1.0000000000000213</v>
      </c>
      <c r="C220" s="66">
        <v>-1.5360983102918914E-3</v>
      </c>
      <c r="D220" s="71">
        <v>2</v>
      </c>
      <c r="E220" s="67">
        <v>0.33333333333333331</v>
      </c>
      <c r="F220" s="67">
        <v>0.33333333333333331</v>
      </c>
      <c r="G220" s="67">
        <v>0.29922992299229922</v>
      </c>
      <c r="H220" s="67">
        <v>0.16813348001466813</v>
      </c>
      <c r="I220" s="68">
        <v>8627.6348039215682</v>
      </c>
      <c r="J220" s="68">
        <v>-8286.0414394765539</v>
      </c>
      <c r="K220" s="67">
        <v>0.1152073732718894</v>
      </c>
      <c r="L220" s="67">
        <v>0.1152073732718894</v>
      </c>
      <c r="M220" s="67">
        <v>0.28034470113678034</v>
      </c>
      <c r="N220" s="67">
        <v>0.20737073707370737</v>
      </c>
      <c r="O220" s="67">
        <v>0.57750163505559193</v>
      </c>
      <c r="P220" s="67">
        <v>0.39434129089301501</v>
      </c>
      <c r="Q220" s="67">
        <v>0.43198529411764708</v>
      </c>
    </row>
    <row r="221" spans="1:17" x14ac:dyDescent="0.4">
      <c r="A221" s="69">
        <v>218</v>
      </c>
      <c r="B221" s="66">
        <v>-1.0000000000000213</v>
      </c>
      <c r="C221" s="66">
        <v>-1.5290519877676166E-3</v>
      </c>
      <c r="D221" s="71">
        <v>1.9954128440366972</v>
      </c>
      <c r="E221" s="67">
        <v>0.3363914373088685</v>
      </c>
      <c r="F221" s="67">
        <v>0.33180428134556578</v>
      </c>
      <c r="G221" s="67">
        <v>0.29922992299229922</v>
      </c>
      <c r="H221" s="67">
        <v>0.16813348001466813</v>
      </c>
      <c r="I221" s="68">
        <v>8627.6348039215682</v>
      </c>
      <c r="J221" s="68">
        <v>-8286.0414394765539</v>
      </c>
      <c r="K221" s="67">
        <v>0.11467889908256881</v>
      </c>
      <c r="L221" s="67">
        <v>0.11467889908256881</v>
      </c>
      <c r="M221" s="67">
        <v>0.28034470113678034</v>
      </c>
      <c r="N221" s="67">
        <v>0.20737073707370737</v>
      </c>
      <c r="O221" s="67">
        <v>0.57750163505559193</v>
      </c>
      <c r="P221" s="67">
        <v>0.39434129089301501</v>
      </c>
      <c r="Q221" s="67">
        <v>0.43198529411764708</v>
      </c>
    </row>
    <row r="222" spans="1:17" x14ac:dyDescent="0.4">
      <c r="A222" s="69">
        <v>219</v>
      </c>
      <c r="B222" s="66">
        <v>-1.0000000000000142</v>
      </c>
      <c r="C222" s="66">
        <v>-1.5220700152207218E-3</v>
      </c>
      <c r="D222" s="71">
        <v>1.995433789954338</v>
      </c>
      <c r="E222" s="67">
        <v>0.33637747336377471</v>
      </c>
      <c r="F222" s="67">
        <v>0.33181126331811261</v>
      </c>
      <c r="G222" s="67">
        <v>0.29881278538812783</v>
      </c>
      <c r="H222" s="67">
        <v>0.16785388127853881</v>
      </c>
      <c r="I222" s="68">
        <v>8638.2640586797061</v>
      </c>
      <c r="J222" s="68">
        <v>-8280.9575625680081</v>
      </c>
      <c r="K222" s="67">
        <v>0.11567732115677321</v>
      </c>
      <c r="L222" s="67">
        <v>0.11567732115677321</v>
      </c>
      <c r="M222" s="67">
        <v>0.2798173515981735</v>
      </c>
      <c r="N222" s="67">
        <v>0.20767123287671233</v>
      </c>
      <c r="O222" s="67">
        <v>0.57702349869451697</v>
      </c>
      <c r="P222" s="67">
        <v>0.39313984168865435</v>
      </c>
      <c r="Q222" s="67">
        <v>0.43215158924205377</v>
      </c>
    </row>
    <row r="223" spans="1:17" x14ac:dyDescent="0.4">
      <c r="A223" s="69">
        <v>220</v>
      </c>
      <c r="B223" s="66">
        <v>-1.0000000000000142</v>
      </c>
      <c r="C223" s="66">
        <v>-1.5151515151515366E-3</v>
      </c>
      <c r="D223" s="71">
        <v>1.9954545454545454</v>
      </c>
      <c r="E223" s="67">
        <v>0.33636363636363636</v>
      </c>
      <c r="F223" s="67">
        <v>0.33181818181818185</v>
      </c>
      <c r="G223" s="67">
        <v>0.29888828139238199</v>
      </c>
      <c r="H223" s="67">
        <v>0.16785128485511208</v>
      </c>
      <c r="I223" s="68">
        <v>8643.9024390243903</v>
      </c>
      <c r="J223" s="68">
        <v>-8289.0336590662318</v>
      </c>
      <c r="K223" s="67">
        <v>0.11666666666666667</v>
      </c>
      <c r="L223" s="67">
        <v>0.11666666666666667</v>
      </c>
      <c r="M223" s="67">
        <v>0.27956989247311825</v>
      </c>
      <c r="N223" s="67">
        <v>0.20794605431018773</v>
      </c>
      <c r="O223" s="67">
        <v>0.57692307692307687</v>
      </c>
      <c r="P223" s="67">
        <v>0.39351446099912357</v>
      </c>
      <c r="Q223" s="67">
        <v>0.4323170731707317</v>
      </c>
    </row>
    <row r="224" spans="1:17" x14ac:dyDescent="0.4">
      <c r="A224" s="69">
        <v>221</v>
      </c>
      <c r="B224" s="66">
        <v>-1.0000000000000142</v>
      </c>
      <c r="C224" s="66">
        <v>-1.5082956259427063E-3</v>
      </c>
      <c r="D224" s="71">
        <v>1.995475113122172</v>
      </c>
      <c r="E224" s="67">
        <v>0.33634992458521873</v>
      </c>
      <c r="F224" s="67">
        <v>0.33182503770739064</v>
      </c>
      <c r="G224" s="67">
        <v>0.29853181076672103</v>
      </c>
      <c r="H224" s="67">
        <v>0.16802610114192496</v>
      </c>
      <c r="I224" s="68">
        <v>8648.7553126897383</v>
      </c>
      <c r="J224" s="68">
        <v>-8289.8597626752962</v>
      </c>
      <c r="K224" s="67">
        <v>0.11613876319758673</v>
      </c>
      <c r="L224" s="67">
        <v>0.11613876319758673</v>
      </c>
      <c r="M224" s="67">
        <v>0.27949972811310497</v>
      </c>
      <c r="N224" s="67">
        <v>0.20790284574950155</v>
      </c>
      <c r="O224" s="67">
        <v>0.57652399481193251</v>
      </c>
      <c r="P224" s="67">
        <v>0.39319965126416739</v>
      </c>
      <c r="Q224" s="67">
        <v>0.43108682452944747</v>
      </c>
    </row>
    <row r="225" spans="1:17" x14ac:dyDescent="0.4">
      <c r="A225" s="69">
        <v>222</v>
      </c>
      <c r="B225" s="66">
        <v>-1.0000000000000142</v>
      </c>
      <c r="C225" s="66">
        <v>-1.5015015015015227E-3</v>
      </c>
      <c r="D225" s="71">
        <v>1.9954954954954955</v>
      </c>
      <c r="E225" s="67">
        <v>0.33633633633633636</v>
      </c>
      <c r="F225" s="67">
        <v>0.33183183183183185</v>
      </c>
      <c r="G225" s="67">
        <v>0.29850207543764662</v>
      </c>
      <c r="H225" s="67">
        <v>0.16802021295794983</v>
      </c>
      <c r="I225" s="68">
        <v>8644.256348246674</v>
      </c>
      <c r="J225" s="68">
        <v>-8281.2030075187977</v>
      </c>
      <c r="K225" s="67">
        <v>0.11711711711711711</v>
      </c>
      <c r="L225" s="67">
        <v>0.11711711711711711</v>
      </c>
      <c r="M225" s="67">
        <v>0.27937195452084462</v>
      </c>
      <c r="N225" s="67">
        <v>0.20736329182458041</v>
      </c>
      <c r="O225" s="67">
        <v>0.57816537467700257</v>
      </c>
      <c r="P225" s="67">
        <v>0.39251523063533506</v>
      </c>
      <c r="Q225" s="67">
        <v>0.43107617896009676</v>
      </c>
    </row>
    <row r="226" spans="1:17" x14ac:dyDescent="0.4">
      <c r="A226" s="69">
        <v>223</v>
      </c>
      <c r="B226" s="66">
        <v>-1.0000000000000071</v>
      </c>
      <c r="C226" s="66">
        <v>-1.4947683109118193E-3</v>
      </c>
      <c r="D226" s="71">
        <v>1.9955156950672646</v>
      </c>
      <c r="E226" s="67">
        <v>0.33632286995515698</v>
      </c>
      <c r="F226" s="67">
        <v>0.33183856502242154</v>
      </c>
      <c r="G226" s="67">
        <v>0.29863358504135201</v>
      </c>
      <c r="H226" s="67">
        <v>0.16792520676015821</v>
      </c>
      <c r="I226" s="68">
        <v>8631.246237206502</v>
      </c>
      <c r="J226" s="68">
        <v>-8268.0942184154173</v>
      </c>
      <c r="K226" s="67">
        <v>0.11659192825112108</v>
      </c>
      <c r="L226" s="67">
        <v>0.11659192825112108</v>
      </c>
      <c r="M226" s="67">
        <v>0.27957569219705142</v>
      </c>
      <c r="N226" s="67">
        <v>0.20693994965839627</v>
      </c>
      <c r="O226" s="67">
        <v>0.5787781350482315</v>
      </c>
      <c r="P226" s="67">
        <v>0.39183318853171156</v>
      </c>
      <c r="Q226" s="67">
        <v>0.43166767007826612</v>
      </c>
    </row>
    <row r="227" spans="1:17" x14ac:dyDescent="0.4">
      <c r="A227" s="69">
        <v>224</v>
      </c>
      <c r="B227" s="66">
        <v>-1.0000000000000071</v>
      </c>
      <c r="C227" s="66">
        <v>-1.4880952380952486E-3</v>
      </c>
      <c r="D227" s="71">
        <v>1.9955357142857142</v>
      </c>
      <c r="E227" s="67">
        <v>0.33630952380952384</v>
      </c>
      <c r="F227" s="67">
        <v>0.33184523809523808</v>
      </c>
      <c r="G227" s="67">
        <v>0.29860365198711064</v>
      </c>
      <c r="H227" s="67">
        <v>0.16774078052273542</v>
      </c>
      <c r="I227" s="68">
        <v>8624.5803357314144</v>
      </c>
      <c r="J227" s="68">
        <v>-8266.2753468516548</v>
      </c>
      <c r="K227" s="67">
        <v>0.11755952380952381</v>
      </c>
      <c r="L227" s="67">
        <v>0.11755952380952381</v>
      </c>
      <c r="M227" s="67">
        <v>0.27980665950590761</v>
      </c>
      <c r="N227" s="67">
        <v>0.20658789831722163</v>
      </c>
      <c r="O227" s="67">
        <v>0.57837492002559177</v>
      </c>
      <c r="P227" s="67">
        <v>0.39254766031195842</v>
      </c>
      <c r="Q227" s="67">
        <v>0.43225419664268583</v>
      </c>
    </row>
    <row r="228" spans="1:17" x14ac:dyDescent="0.4">
      <c r="A228" s="69">
        <v>225</v>
      </c>
      <c r="B228" s="66">
        <v>-1.0000000000000071</v>
      </c>
      <c r="C228" s="66">
        <v>-1.481481481481492E-3</v>
      </c>
      <c r="D228" s="71">
        <v>1.9955555555555555</v>
      </c>
      <c r="E228" s="67">
        <v>0.33629629629629632</v>
      </c>
      <c r="F228" s="67">
        <v>0.33185185185185184</v>
      </c>
      <c r="G228" s="67">
        <v>0.29841439515410656</v>
      </c>
      <c r="H228" s="67">
        <v>0.16764653482985925</v>
      </c>
      <c r="I228" s="68">
        <v>8635.6417910447763</v>
      </c>
      <c r="J228" s="68">
        <v>-8276.7268862911787</v>
      </c>
      <c r="K228" s="67">
        <v>0.11851851851851852</v>
      </c>
      <c r="L228" s="67">
        <v>0.11851851851851852</v>
      </c>
      <c r="M228" s="67">
        <v>0.28006413682522713</v>
      </c>
      <c r="N228" s="67">
        <v>0.20630678781400322</v>
      </c>
      <c r="O228" s="67">
        <v>0.57697201017811706</v>
      </c>
      <c r="P228" s="67">
        <v>0.39291882556131263</v>
      </c>
      <c r="Q228" s="67">
        <v>0.43223880597014924</v>
      </c>
    </row>
    <row r="229" spans="1:17" x14ac:dyDescent="0.4">
      <c r="A229" s="69">
        <v>226</v>
      </c>
      <c r="B229" s="66">
        <v>-1.0000000000000071</v>
      </c>
      <c r="C229" s="66">
        <v>-1.474926253687326E-3</v>
      </c>
      <c r="D229" s="71">
        <v>1.9955752212389382</v>
      </c>
      <c r="E229" s="67">
        <v>0.33628318584070799</v>
      </c>
      <c r="F229" s="67">
        <v>0.33185840707964603</v>
      </c>
      <c r="G229" s="67">
        <v>0.29836705715299966</v>
      </c>
      <c r="H229" s="67">
        <v>0.16737664181753639</v>
      </c>
      <c r="I229" s="68">
        <v>8634.6222486615115</v>
      </c>
      <c r="J229" s="68">
        <v>-8268.0805938494159</v>
      </c>
      <c r="K229" s="67">
        <v>0.11799410029498525</v>
      </c>
      <c r="L229" s="67">
        <v>0.11799410029498525</v>
      </c>
      <c r="M229" s="67">
        <v>0.28026269080582178</v>
      </c>
      <c r="N229" s="67">
        <v>0.20624778132765353</v>
      </c>
      <c r="O229" s="67">
        <v>0.57631412286257122</v>
      </c>
      <c r="P229" s="67">
        <v>0.39328743545611017</v>
      </c>
      <c r="Q229" s="67">
        <v>0.43307555026769778</v>
      </c>
    </row>
    <row r="230" spans="1:17" x14ac:dyDescent="0.4">
      <c r="A230" s="69">
        <v>227</v>
      </c>
      <c r="B230" s="66">
        <v>-1.0000000000000142</v>
      </c>
      <c r="C230" s="66">
        <v>-1.4684287812041326E-3</v>
      </c>
      <c r="D230" s="71">
        <v>1.9955947136563876</v>
      </c>
      <c r="E230" s="67">
        <v>0.33627019089574156</v>
      </c>
      <c r="F230" s="67">
        <v>0.33186490455212925</v>
      </c>
      <c r="G230" s="67">
        <v>0.29832007073386385</v>
      </c>
      <c r="H230" s="67">
        <v>0.16746242263483643</v>
      </c>
      <c r="I230" s="68">
        <v>8639.7154712507418</v>
      </c>
      <c r="J230" s="68">
        <v>-8274.4456177402317</v>
      </c>
      <c r="K230" s="67">
        <v>0.11894273127753303</v>
      </c>
      <c r="L230" s="67">
        <v>0.11894273127753303</v>
      </c>
      <c r="M230" s="67">
        <v>0.28028293545534927</v>
      </c>
      <c r="N230" s="67">
        <v>0.20636604774535808</v>
      </c>
      <c r="O230" s="67">
        <v>0.57602523659305993</v>
      </c>
      <c r="P230" s="67">
        <v>0.3916023993144816</v>
      </c>
      <c r="Q230" s="67">
        <v>0.43272080616478958</v>
      </c>
    </row>
    <row r="231" spans="1:17" x14ac:dyDescent="0.4">
      <c r="A231" s="69">
        <v>228</v>
      </c>
      <c r="B231" s="66">
        <v>-1.0000000000000142</v>
      </c>
      <c r="C231" s="66">
        <v>-1.461988304093588E-3</v>
      </c>
      <c r="D231" s="71">
        <v>1.9956140350877194</v>
      </c>
      <c r="E231" s="67">
        <v>0.33625730994152048</v>
      </c>
      <c r="F231" s="67">
        <v>0.33187134502923976</v>
      </c>
      <c r="G231" s="67">
        <v>0.29860743874493212</v>
      </c>
      <c r="H231" s="67">
        <v>0.16781244491450731</v>
      </c>
      <c r="I231" s="68">
        <v>8652.4203069657615</v>
      </c>
      <c r="J231" s="68">
        <v>-8310.8193277310929</v>
      </c>
      <c r="K231" s="67">
        <v>0.11988304093567251</v>
      </c>
      <c r="L231" s="67">
        <v>0.11988304093567251</v>
      </c>
      <c r="M231" s="67">
        <v>0.28027498677948176</v>
      </c>
      <c r="N231" s="67">
        <v>0.20676890534108938</v>
      </c>
      <c r="O231" s="67">
        <v>0.57735849056603772</v>
      </c>
      <c r="P231" s="67">
        <v>0.39130434782608697</v>
      </c>
      <c r="Q231" s="67">
        <v>0.43152302243211332</v>
      </c>
    </row>
    <row r="232" spans="1:17" x14ac:dyDescent="0.4">
      <c r="A232" s="69">
        <v>229</v>
      </c>
      <c r="B232" s="66">
        <v>-1.0000000000000071</v>
      </c>
      <c r="C232" s="66">
        <v>-1.4556040756914222E-3</v>
      </c>
      <c r="D232" s="71">
        <v>1.9956331877729259</v>
      </c>
      <c r="E232" s="67">
        <v>0.33624454148471616</v>
      </c>
      <c r="F232" s="67">
        <v>0.33187772925764192</v>
      </c>
      <c r="G232" s="67">
        <v>0.2987355110642782</v>
      </c>
      <c r="H232" s="67">
        <v>0.16789603090972954</v>
      </c>
      <c r="I232" s="68">
        <v>8665.2557319223979</v>
      </c>
      <c r="J232" s="68">
        <v>-8316.2133891213398</v>
      </c>
      <c r="K232" s="67">
        <v>0.11935953420669577</v>
      </c>
      <c r="L232" s="67">
        <v>0.11935953420669577</v>
      </c>
      <c r="M232" s="67">
        <v>0.27994380049174572</v>
      </c>
      <c r="N232" s="67">
        <v>0.2065331928345627</v>
      </c>
      <c r="O232" s="67">
        <v>0.57841907151819327</v>
      </c>
      <c r="P232" s="67">
        <v>0.39030612244897961</v>
      </c>
      <c r="Q232" s="67">
        <v>0.43151087595532039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546</vt:i4>
      </vt:variant>
    </vt:vector>
  </HeadingPairs>
  <TitlesOfParts>
    <vt:vector size="59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2018-11-18T09:24:12Z</dcterms:created>
  <dcterms:modified xsi:type="dcterms:W3CDTF">2019-06-18T11:11:20Z</dcterms:modified>
</cp:coreProperties>
</file>