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"/>
    </mc:Choice>
  </mc:AlternateContent>
  <xr:revisionPtr revIDLastSave="0" documentId="13_ncr:1_{81B9244C-A40C-4F87-8212-107F81E351DB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53" r:id="rId6"/>
    <sheet name="だいち" sheetId="5455" r:id="rId7"/>
    <sheet name="りくと" sheetId="5457" r:id="rId8"/>
    <sheet name="ただ" sheetId="5459" r:id="rId9"/>
    <sheet name="れんたろう" sheetId="5461" r:id="rId10"/>
    <sheet name="たかの" sheetId="5463" r:id="rId11"/>
    <sheet name="ぱぱ" sheetId="5465" r:id="rId12"/>
    <sheet name="まっつん" sheetId="5467" r:id="rId13"/>
    <sheet name="あさひ" sheetId="5469" r:id="rId14"/>
    <sheet name="いっしー" sheetId="5471" r:id="rId15"/>
    <sheet name="ほたに" sheetId="5473" r:id="rId16"/>
    <sheet name="かわたつ" sheetId="5475" r:id="rId17"/>
    <sheet name="やがさき" sheetId="5477" r:id="rId18"/>
    <sheet name="やがさき2" sheetId="5478" state="hidden" r:id="rId19"/>
    <sheet name="かわたつ2" sheetId="5476" state="hidden" r:id="rId20"/>
    <sheet name="ほたに2" sheetId="5474" state="hidden" r:id="rId21"/>
    <sheet name="いっしー2" sheetId="5472" state="hidden" r:id="rId22"/>
    <sheet name="あさひ2" sheetId="5470" state="hidden" r:id="rId23"/>
    <sheet name="まっつん2" sheetId="5468" state="hidden" r:id="rId24"/>
    <sheet name="ぱぱ2" sheetId="5466" state="hidden" r:id="rId25"/>
    <sheet name="たかの2" sheetId="5464" state="hidden" r:id="rId26"/>
    <sheet name="れんたろう2" sheetId="5462" state="hidden" r:id="rId27"/>
    <sheet name="ただ2" sheetId="5460" state="hidden" r:id="rId28"/>
    <sheet name="りくと2" sheetId="5458" state="hidden" r:id="rId29"/>
    <sheet name="だいち2" sheetId="5456" state="hidden" r:id="rId30"/>
    <sheet name="全体2" sheetId="5454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3" i="5465" l="1"/>
  <c r="O15" i="5471"/>
  <c r="O25" i="5455" l="1"/>
  <c r="O15" i="5477"/>
  <c r="O15" i="5459" l="1"/>
  <c r="O16" i="5463"/>
  <c r="O16" i="5453"/>
  <c r="O17" i="5477"/>
  <c r="O16" i="5477"/>
  <c r="C27" i="5477"/>
  <c r="B24" i="5477"/>
  <c r="C20" i="5477"/>
  <c r="B17" i="5477"/>
  <c r="H51" i="5477" s="1"/>
  <c r="C16" i="5477"/>
  <c r="C15" i="5477"/>
  <c r="C14" i="5477"/>
  <c r="C13" i="5477"/>
  <c r="O12" i="5477"/>
  <c r="C12" i="5477"/>
  <c r="O11" i="5477"/>
  <c r="C11" i="5477"/>
  <c r="O10" i="5477"/>
  <c r="C10" i="5477"/>
  <c r="C9" i="5477"/>
  <c r="C8" i="5477"/>
  <c r="O7" i="5477"/>
  <c r="C7" i="5477"/>
  <c r="O6" i="5477"/>
  <c r="B6" i="5477"/>
  <c r="O5" i="5477"/>
  <c r="B5" i="5477"/>
  <c r="O4" i="5477"/>
  <c r="O3" i="5477"/>
  <c r="O2" i="5477"/>
  <c r="O15" i="5475"/>
  <c r="O16" i="5475"/>
  <c r="C27" i="5475"/>
  <c r="B24" i="5475"/>
  <c r="C20" i="5475"/>
  <c r="B17" i="5475"/>
  <c r="H52" i="5475" s="1"/>
  <c r="C16" i="5475"/>
  <c r="C15" i="5475"/>
  <c r="C14" i="5475"/>
  <c r="C13" i="5475"/>
  <c r="O12" i="5475"/>
  <c r="C12" i="5475"/>
  <c r="O11" i="5475"/>
  <c r="C11" i="5475"/>
  <c r="O10" i="5475"/>
  <c r="C10" i="5475"/>
  <c r="C9" i="5475"/>
  <c r="C8" i="5475"/>
  <c r="O7" i="5475"/>
  <c r="C7" i="5475"/>
  <c r="O6" i="5475"/>
  <c r="B6" i="5475"/>
  <c r="O5" i="5475"/>
  <c r="B5" i="5475"/>
  <c r="O4" i="5475"/>
  <c r="O3" i="5475"/>
  <c r="O2" i="5475"/>
  <c r="O23" i="5461"/>
  <c r="O16" i="5455"/>
  <c r="O25" i="5453"/>
  <c r="H14" i="5477" l="1"/>
  <c r="H4" i="5477"/>
  <c r="H2" i="5477"/>
  <c r="H8" i="5477"/>
  <c r="H7" i="5477"/>
  <c r="H16" i="5477"/>
  <c r="H40" i="5477"/>
  <c r="B23" i="5477"/>
  <c r="H28" i="5477"/>
  <c r="H44" i="5477"/>
  <c r="H3" i="5477"/>
  <c r="H6" i="5477"/>
  <c r="H11" i="5477"/>
  <c r="C17" i="5477"/>
  <c r="H32" i="5477"/>
  <c r="H48" i="5477"/>
  <c r="H5" i="5477"/>
  <c r="H10" i="5477"/>
  <c r="H13" i="5477"/>
  <c r="C18" i="5477"/>
  <c r="H25" i="5477"/>
  <c r="H36" i="5477"/>
  <c r="H52" i="5477"/>
  <c r="H18" i="5477"/>
  <c r="H20" i="5477"/>
  <c r="H23" i="5477"/>
  <c r="H26" i="5477"/>
  <c r="H29" i="5477"/>
  <c r="H33" i="5477"/>
  <c r="H37" i="5477"/>
  <c r="H41" i="5477"/>
  <c r="H45" i="5477"/>
  <c r="H49" i="5477"/>
  <c r="H15" i="5477"/>
  <c r="C19" i="5477"/>
  <c r="H21" i="5477"/>
  <c r="H30" i="5477"/>
  <c r="H34" i="5477"/>
  <c r="H38" i="5477"/>
  <c r="H42" i="5477"/>
  <c r="H46" i="5477"/>
  <c r="H50" i="5477"/>
  <c r="H9" i="5477"/>
  <c r="H12" i="5477"/>
  <c r="H17" i="5477"/>
  <c r="H19" i="5477"/>
  <c r="H22" i="5477"/>
  <c r="H24" i="5477"/>
  <c r="H27" i="5477"/>
  <c r="H31" i="5477"/>
  <c r="H35" i="5477"/>
  <c r="H39" i="5477"/>
  <c r="H43" i="5477"/>
  <c r="H47" i="5477"/>
  <c r="H14" i="5475"/>
  <c r="H8" i="5475"/>
  <c r="B23" i="5475"/>
  <c r="H25" i="5475"/>
  <c r="H5" i="5475"/>
  <c r="C17" i="5475"/>
  <c r="H4" i="5475"/>
  <c r="H11" i="5475"/>
  <c r="C18" i="5475"/>
  <c r="H2" i="5475"/>
  <c r="H10" i="5475"/>
  <c r="H16" i="5475"/>
  <c r="H20" i="5475"/>
  <c r="H26" i="5475"/>
  <c r="H33" i="5475"/>
  <c r="H45" i="5475"/>
  <c r="H13" i="5475"/>
  <c r="H15" i="5475"/>
  <c r="C19" i="5475"/>
  <c r="H21" i="5475"/>
  <c r="H30" i="5475"/>
  <c r="H34" i="5475"/>
  <c r="H38" i="5475"/>
  <c r="H42" i="5475"/>
  <c r="H46" i="5475"/>
  <c r="H50" i="5475"/>
  <c r="H18" i="5475"/>
  <c r="H23" i="5475"/>
  <c r="H29" i="5475"/>
  <c r="H37" i="5475"/>
  <c r="H41" i="5475"/>
  <c r="H49" i="5475"/>
  <c r="H7" i="5475"/>
  <c r="H3" i="5475"/>
  <c r="H6" i="5475"/>
  <c r="H9" i="5475"/>
  <c r="H12" i="5475"/>
  <c r="H17" i="5475"/>
  <c r="H19" i="5475"/>
  <c r="H22" i="5475"/>
  <c r="H24" i="5475"/>
  <c r="H27" i="5475"/>
  <c r="H31" i="5475"/>
  <c r="H35" i="5475"/>
  <c r="H39" i="5475"/>
  <c r="H43" i="5475"/>
  <c r="H47" i="5475"/>
  <c r="H51" i="5475"/>
  <c r="H28" i="5475"/>
  <c r="H32" i="5475"/>
  <c r="H36" i="5475"/>
  <c r="H40" i="5475"/>
  <c r="H44" i="5475"/>
  <c r="H48" i="5475"/>
  <c r="O17" i="5463" l="1"/>
  <c r="O18" i="5471"/>
  <c r="O20" i="5473" l="1"/>
  <c r="O18" i="5473"/>
  <c r="O16" i="5467"/>
  <c r="O20" i="5457"/>
  <c r="O24" i="5455" l="1"/>
  <c r="O17" i="5473"/>
  <c r="O21" i="5465"/>
  <c r="O15" i="5473"/>
  <c r="O16" i="5473" l="1"/>
  <c r="O19" i="5473"/>
  <c r="C27" i="5473"/>
  <c r="B24" i="5473"/>
  <c r="C20" i="5473"/>
  <c r="B17" i="5473"/>
  <c r="H51" i="5473" s="1"/>
  <c r="C16" i="5473"/>
  <c r="C15" i="5473"/>
  <c r="C14" i="5473"/>
  <c r="C13" i="5473"/>
  <c r="O12" i="5473"/>
  <c r="C12" i="5473"/>
  <c r="O11" i="5473"/>
  <c r="C11" i="5473"/>
  <c r="O10" i="5473"/>
  <c r="C10" i="5473"/>
  <c r="C9" i="5473"/>
  <c r="C8" i="5473"/>
  <c r="O7" i="5473"/>
  <c r="C7" i="5473"/>
  <c r="O6" i="5473"/>
  <c r="B6" i="5473"/>
  <c r="O5" i="5473"/>
  <c r="B5" i="5473"/>
  <c r="O4" i="5473"/>
  <c r="O3" i="5473"/>
  <c r="O2" i="5473"/>
  <c r="O21" i="5461"/>
  <c r="O20" i="5463"/>
  <c r="O22" i="5453"/>
  <c r="H2" i="5473" l="1"/>
  <c r="H11" i="5473"/>
  <c r="H4" i="5473"/>
  <c r="H10" i="5473"/>
  <c r="H16" i="5473"/>
  <c r="H8" i="5473"/>
  <c r="H14" i="5473"/>
  <c r="H5" i="5473"/>
  <c r="C19" i="5473"/>
  <c r="H30" i="5473"/>
  <c r="H38" i="5473"/>
  <c r="H46" i="5473"/>
  <c r="H25" i="5473"/>
  <c r="H48" i="5473"/>
  <c r="H32" i="5473"/>
  <c r="H7" i="5473"/>
  <c r="H15" i="5473"/>
  <c r="H42" i="5473"/>
  <c r="H50" i="5473"/>
  <c r="H40" i="5473"/>
  <c r="H13" i="5473"/>
  <c r="C17" i="5473"/>
  <c r="H21" i="5473"/>
  <c r="H34" i="5473"/>
  <c r="H3" i="5473"/>
  <c r="H6" i="5473"/>
  <c r="H9" i="5473"/>
  <c r="H12" i="5473"/>
  <c r="C18" i="5473"/>
  <c r="B23" i="5473"/>
  <c r="H28" i="5473"/>
  <c r="H36" i="5473"/>
  <c r="H44" i="5473"/>
  <c r="H52" i="5473"/>
  <c r="H18" i="5473"/>
  <c r="H20" i="5473"/>
  <c r="H23" i="5473"/>
  <c r="H26" i="5473"/>
  <c r="H29" i="5473"/>
  <c r="H33" i="5473"/>
  <c r="H37" i="5473"/>
  <c r="H41" i="5473"/>
  <c r="H45" i="5473"/>
  <c r="H49" i="5473"/>
  <c r="H17" i="5473"/>
  <c r="H19" i="5473"/>
  <c r="H22" i="5473"/>
  <c r="H24" i="5473"/>
  <c r="H27" i="5473"/>
  <c r="H31" i="5473"/>
  <c r="H35" i="5473"/>
  <c r="H39" i="5473"/>
  <c r="H43" i="5473"/>
  <c r="H47" i="5473"/>
  <c r="O21" i="5463" l="1"/>
  <c r="O17" i="5459"/>
  <c r="O21" i="5467"/>
  <c r="O18" i="5467"/>
  <c r="O19" i="5455" l="1"/>
  <c r="O19" i="5471"/>
  <c r="O20" i="5471" l="1"/>
  <c r="O16" i="5471"/>
  <c r="O15" i="5461"/>
  <c r="O20" i="5459"/>
  <c r="O17" i="5469" l="1"/>
  <c r="O22" i="5465"/>
  <c r="O15" i="5469"/>
  <c r="O22" i="5471"/>
  <c r="O15" i="5457"/>
  <c r="O20" i="5467"/>
  <c r="O18" i="5453"/>
  <c r="O21" i="5471"/>
  <c r="O17" i="5471"/>
  <c r="C27" i="5471"/>
  <c r="B24" i="5471"/>
  <c r="C20" i="5471"/>
  <c r="B17" i="5471"/>
  <c r="H52" i="5471" s="1"/>
  <c r="C16" i="5471"/>
  <c r="C15" i="5471"/>
  <c r="C14" i="5471"/>
  <c r="C13" i="5471"/>
  <c r="O12" i="5471"/>
  <c r="C12" i="5471"/>
  <c r="O11" i="5471"/>
  <c r="C11" i="5471"/>
  <c r="O10" i="5471"/>
  <c r="C10" i="5471"/>
  <c r="C9" i="5471"/>
  <c r="C8" i="5471"/>
  <c r="O7" i="5471"/>
  <c r="C7" i="5471"/>
  <c r="O6" i="5471"/>
  <c r="B6" i="5471"/>
  <c r="O5" i="5471"/>
  <c r="B5" i="5471"/>
  <c r="O4" i="5471"/>
  <c r="O3" i="5471"/>
  <c r="O2" i="5471"/>
  <c r="O16" i="5469"/>
  <c r="O18" i="5469"/>
  <c r="C27" i="5469"/>
  <c r="B24" i="5469"/>
  <c r="C20" i="5469"/>
  <c r="B17" i="5469"/>
  <c r="H51" i="5469" s="1"/>
  <c r="C16" i="5469"/>
  <c r="C15" i="5469"/>
  <c r="C14" i="5469"/>
  <c r="C13" i="5469"/>
  <c r="O12" i="5469"/>
  <c r="C12" i="5469"/>
  <c r="O11" i="5469"/>
  <c r="C11" i="5469"/>
  <c r="O10" i="5469"/>
  <c r="C10" i="5469"/>
  <c r="C9" i="5469"/>
  <c r="C8" i="5469"/>
  <c r="O7" i="5469"/>
  <c r="C7" i="5469"/>
  <c r="O6" i="5469"/>
  <c r="B6" i="5469"/>
  <c r="O5" i="5469"/>
  <c r="B5" i="5469"/>
  <c r="O4" i="5469"/>
  <c r="O3" i="5469"/>
  <c r="O2" i="5469"/>
  <c r="O22" i="5467"/>
  <c r="O23" i="5467"/>
  <c r="O15" i="5455"/>
  <c r="O21" i="5455"/>
  <c r="O26" i="5453"/>
  <c r="H6" i="5469" l="1"/>
  <c r="H16" i="5469"/>
  <c r="H28" i="5469"/>
  <c r="H3" i="5469"/>
  <c r="B23" i="5469"/>
  <c r="H44" i="5469"/>
  <c r="H5" i="5469"/>
  <c r="H12" i="5469"/>
  <c r="H14" i="5469"/>
  <c r="H32" i="5469"/>
  <c r="H9" i="5469"/>
  <c r="H11" i="5469"/>
  <c r="C18" i="5469"/>
  <c r="H2" i="5469"/>
  <c r="C19" i="5469"/>
  <c r="H48" i="5469"/>
  <c r="H25" i="5469"/>
  <c r="H36" i="5469"/>
  <c r="H52" i="5469"/>
  <c r="H4" i="5469"/>
  <c r="H8" i="5469"/>
  <c r="H10" i="5469"/>
  <c r="H7" i="5469"/>
  <c r="H13" i="5469"/>
  <c r="H15" i="5469"/>
  <c r="C17" i="5469"/>
  <c r="H21" i="5469"/>
  <c r="H40" i="5469"/>
  <c r="H2" i="5471"/>
  <c r="H13" i="5471"/>
  <c r="C17" i="5471"/>
  <c r="H21" i="5471"/>
  <c r="H4" i="5471"/>
  <c r="H8" i="5471"/>
  <c r="H10" i="5471"/>
  <c r="H3" i="5471"/>
  <c r="C18" i="5471"/>
  <c r="H7" i="5471"/>
  <c r="H15" i="5471"/>
  <c r="H6" i="5471"/>
  <c r="H9" i="5471"/>
  <c r="H12" i="5471"/>
  <c r="H5" i="5471"/>
  <c r="H11" i="5471"/>
  <c r="H14" i="5471"/>
  <c r="H16" i="5471"/>
  <c r="C19" i="5471"/>
  <c r="H18" i="5471"/>
  <c r="H20" i="5471"/>
  <c r="H23" i="5471"/>
  <c r="H26" i="5471"/>
  <c r="H29" i="5471"/>
  <c r="H33" i="5471"/>
  <c r="H37" i="5471"/>
  <c r="H41" i="5471"/>
  <c r="H45" i="5471"/>
  <c r="H49" i="5471"/>
  <c r="H30" i="5471"/>
  <c r="H34" i="5471"/>
  <c r="H38" i="5471"/>
  <c r="H42" i="5471"/>
  <c r="H46" i="5471"/>
  <c r="H50" i="5471"/>
  <c r="H17" i="5471"/>
  <c r="H19" i="5471"/>
  <c r="H22" i="5471"/>
  <c r="H24" i="5471"/>
  <c r="H27" i="5471"/>
  <c r="H31" i="5471"/>
  <c r="H35" i="5471"/>
  <c r="H39" i="5471"/>
  <c r="H43" i="5471"/>
  <c r="H47" i="5471"/>
  <c r="H51" i="5471"/>
  <c r="B23" i="5471"/>
  <c r="H25" i="5471"/>
  <c r="H28" i="5471"/>
  <c r="H32" i="5471"/>
  <c r="H36" i="5471"/>
  <c r="H40" i="5471"/>
  <c r="H44" i="5471"/>
  <c r="H48" i="5471"/>
  <c r="H18" i="5469"/>
  <c r="H20" i="5469"/>
  <c r="H23" i="5469"/>
  <c r="H26" i="5469"/>
  <c r="H29" i="5469"/>
  <c r="H33" i="5469"/>
  <c r="H37" i="5469"/>
  <c r="H41" i="5469"/>
  <c r="H45" i="5469"/>
  <c r="H49" i="5469"/>
  <c r="H30" i="5469"/>
  <c r="H34" i="5469"/>
  <c r="H38" i="5469"/>
  <c r="H42" i="5469"/>
  <c r="H46" i="5469"/>
  <c r="H50" i="5469"/>
  <c r="H17" i="5469"/>
  <c r="H19" i="5469"/>
  <c r="H22" i="5469"/>
  <c r="H24" i="5469"/>
  <c r="H27" i="5469"/>
  <c r="H31" i="5469"/>
  <c r="H35" i="5469"/>
  <c r="H39" i="5469"/>
  <c r="H43" i="5469"/>
  <c r="H47" i="5469"/>
  <c r="O17" i="5467" l="1"/>
  <c r="O20" i="5465"/>
  <c r="O17" i="5465"/>
  <c r="O17" i="5457"/>
  <c r="O18" i="5463" l="1"/>
  <c r="O17" i="5461"/>
  <c r="O16" i="5465"/>
  <c r="O18" i="5465"/>
  <c r="O15" i="5463" l="1"/>
  <c r="O16" i="5461"/>
  <c r="O22" i="5459"/>
  <c r="O18" i="5459"/>
  <c r="O15" i="5467"/>
  <c r="O19" i="5467"/>
  <c r="C27" i="5467"/>
  <c r="B24" i="5467"/>
  <c r="C20" i="5467"/>
  <c r="B17" i="5467"/>
  <c r="H52" i="5467" s="1"/>
  <c r="C16" i="5467"/>
  <c r="C15" i="5467"/>
  <c r="C14" i="5467"/>
  <c r="C13" i="5467"/>
  <c r="O12" i="5467"/>
  <c r="C12" i="5467"/>
  <c r="O11" i="5467"/>
  <c r="C11" i="5467"/>
  <c r="O10" i="5467"/>
  <c r="C10" i="5467"/>
  <c r="C9" i="5467"/>
  <c r="C8" i="5467"/>
  <c r="O7" i="5467"/>
  <c r="C7" i="5467"/>
  <c r="O6" i="5467"/>
  <c r="B6" i="5467"/>
  <c r="O5" i="5467"/>
  <c r="B5" i="5467"/>
  <c r="O4" i="5467"/>
  <c r="O3" i="5467"/>
  <c r="O2" i="5467"/>
  <c r="O22" i="5461"/>
  <c r="O21" i="5457"/>
  <c r="O23" i="5453"/>
  <c r="H8" i="5467" l="1"/>
  <c r="H2" i="5467"/>
  <c r="C17" i="5467"/>
  <c r="H4" i="5467"/>
  <c r="H10" i="5467"/>
  <c r="H18" i="5467"/>
  <c r="H20" i="5467"/>
  <c r="H23" i="5467"/>
  <c r="H26" i="5467"/>
  <c r="H29" i="5467"/>
  <c r="H33" i="5467"/>
  <c r="H37" i="5467"/>
  <c r="H41" i="5467"/>
  <c r="H45" i="5467"/>
  <c r="H49" i="5467"/>
  <c r="H7" i="5467"/>
  <c r="H13" i="5467"/>
  <c r="H15" i="5467"/>
  <c r="C19" i="5467"/>
  <c r="H21" i="5467"/>
  <c r="H30" i="5467"/>
  <c r="H34" i="5467"/>
  <c r="H38" i="5467"/>
  <c r="H42" i="5467"/>
  <c r="H46" i="5467"/>
  <c r="H50" i="5467"/>
  <c r="H3" i="5467"/>
  <c r="H6" i="5467"/>
  <c r="H9" i="5467"/>
  <c r="H12" i="5467"/>
  <c r="H17" i="5467"/>
  <c r="H19" i="5467"/>
  <c r="H22" i="5467"/>
  <c r="H24" i="5467"/>
  <c r="H27" i="5467"/>
  <c r="H31" i="5467"/>
  <c r="H35" i="5467"/>
  <c r="H39" i="5467"/>
  <c r="H43" i="5467"/>
  <c r="H47" i="5467"/>
  <c r="H51" i="5467"/>
  <c r="H5" i="5467"/>
  <c r="H11" i="5467"/>
  <c r="H14" i="5467"/>
  <c r="H16" i="5467"/>
  <c r="C18" i="5467"/>
  <c r="B23" i="5467"/>
  <c r="H25" i="5467"/>
  <c r="H28" i="5467"/>
  <c r="H32" i="5467"/>
  <c r="H36" i="5467"/>
  <c r="H40" i="5467"/>
  <c r="H44" i="5467"/>
  <c r="H48" i="5467"/>
  <c r="O19" i="5459" l="1"/>
  <c r="O19" i="5465"/>
  <c r="O15" i="5465"/>
  <c r="C27" i="5465"/>
  <c r="B24" i="5465"/>
  <c r="C20" i="5465"/>
  <c r="B17" i="5465"/>
  <c r="H52" i="5465" s="1"/>
  <c r="C16" i="5465"/>
  <c r="C15" i="5465"/>
  <c r="C14" i="5465"/>
  <c r="C13" i="5465"/>
  <c r="O12" i="5465"/>
  <c r="C12" i="5465"/>
  <c r="O11" i="5465"/>
  <c r="C11" i="5465"/>
  <c r="O10" i="5465"/>
  <c r="C10" i="5465"/>
  <c r="C9" i="5465"/>
  <c r="C8" i="5465"/>
  <c r="O7" i="5465"/>
  <c r="C7" i="5465"/>
  <c r="O6" i="5465"/>
  <c r="B6" i="5465"/>
  <c r="O5" i="5465"/>
  <c r="B5" i="5465"/>
  <c r="O4" i="5465"/>
  <c r="O3" i="5465"/>
  <c r="O2" i="5465"/>
  <c r="O20" i="5455"/>
  <c r="O17" i="5453"/>
  <c r="O19" i="5463"/>
  <c r="O18" i="5457"/>
  <c r="O19" i="5457"/>
  <c r="O19" i="5461"/>
  <c r="O22" i="5463"/>
  <c r="O23" i="5463"/>
  <c r="C27" i="5463"/>
  <c r="B24" i="5463"/>
  <c r="C20" i="5463"/>
  <c r="B17" i="5463"/>
  <c r="H51" i="5463" s="1"/>
  <c r="C16" i="5463"/>
  <c r="C15" i="5463"/>
  <c r="C14" i="5463"/>
  <c r="C13" i="5463"/>
  <c r="O12" i="5463"/>
  <c r="C12" i="5463"/>
  <c r="O11" i="5463"/>
  <c r="C11" i="5463"/>
  <c r="O10" i="5463"/>
  <c r="C10" i="5463"/>
  <c r="C9" i="5463"/>
  <c r="C8" i="5463"/>
  <c r="O7" i="5463"/>
  <c r="C7" i="5463"/>
  <c r="O6" i="5463"/>
  <c r="B6" i="5463"/>
  <c r="O5" i="5463"/>
  <c r="B5" i="5463"/>
  <c r="O4" i="5463"/>
  <c r="O3" i="5463"/>
  <c r="O2" i="5463"/>
  <c r="O20" i="5461"/>
  <c r="O18" i="5461"/>
  <c r="C27" i="5461"/>
  <c r="B24" i="5461"/>
  <c r="C20" i="5461"/>
  <c r="B17" i="5461"/>
  <c r="H19" i="5461" s="1"/>
  <c r="C16" i="5461"/>
  <c r="C15" i="5461"/>
  <c r="C14" i="5461"/>
  <c r="C13" i="5461"/>
  <c r="O12" i="5461"/>
  <c r="C12" i="5461"/>
  <c r="O11" i="5461"/>
  <c r="C11" i="5461"/>
  <c r="O10" i="5461"/>
  <c r="C10" i="5461"/>
  <c r="C9" i="5461"/>
  <c r="C8" i="5461"/>
  <c r="O7" i="5461"/>
  <c r="C7" i="5461"/>
  <c r="O6" i="5461"/>
  <c r="B6" i="5461"/>
  <c r="O5" i="5461"/>
  <c r="B5" i="5461"/>
  <c r="O4" i="5461"/>
  <c r="O3" i="5461"/>
  <c r="O2" i="5461"/>
  <c r="O18" i="5455"/>
  <c r="O23" i="5455"/>
  <c r="O20" i="5453"/>
  <c r="O21" i="5453"/>
  <c r="C17" i="5465" l="1"/>
  <c r="H2" i="5465"/>
  <c r="H3" i="5465"/>
  <c r="H4" i="5465"/>
  <c r="H8" i="5465"/>
  <c r="H2" i="5463"/>
  <c r="H5" i="5463"/>
  <c r="H2" i="5461"/>
  <c r="H3" i="5461"/>
  <c r="H30" i="5465"/>
  <c r="H43" i="5465"/>
  <c r="H22" i="5465"/>
  <c r="H24" i="5465"/>
  <c r="C19" i="5465"/>
  <c r="H17" i="5465"/>
  <c r="H32" i="5465"/>
  <c r="H36" i="5465"/>
  <c r="H40" i="5465"/>
  <c r="H44" i="5465"/>
  <c r="H48" i="5465"/>
  <c r="H19" i="5465"/>
  <c r="H27" i="5465"/>
  <c r="H35" i="5465"/>
  <c r="H51" i="5465"/>
  <c r="H11" i="5465"/>
  <c r="H5" i="5465"/>
  <c r="H12" i="5465"/>
  <c r="H21" i="5465"/>
  <c r="H16" i="5465"/>
  <c r="H26" i="5465"/>
  <c r="H28" i="5465"/>
  <c r="H13" i="5465"/>
  <c r="H9" i="5465"/>
  <c r="H33" i="5465"/>
  <c r="H37" i="5465"/>
  <c r="H41" i="5465"/>
  <c r="H45" i="5465"/>
  <c r="H49" i="5465"/>
  <c r="H6" i="5465"/>
  <c r="H25" i="5465"/>
  <c r="H29" i="5465"/>
  <c r="H18" i="5465"/>
  <c r="H39" i="5465"/>
  <c r="H47" i="5465"/>
  <c r="H10" i="5465"/>
  <c r="H7" i="5465"/>
  <c r="H14" i="5465"/>
  <c r="H23" i="5465"/>
  <c r="H15" i="5465"/>
  <c r="C18" i="5465"/>
  <c r="B23" i="5465"/>
  <c r="H20" i="5465"/>
  <c r="H31" i="5465"/>
  <c r="H34" i="5465"/>
  <c r="H38" i="5465"/>
  <c r="H42" i="5465"/>
  <c r="H46" i="5465"/>
  <c r="H50" i="5465"/>
  <c r="H28" i="5463"/>
  <c r="C17" i="5463"/>
  <c r="H40" i="5463"/>
  <c r="H32" i="5463"/>
  <c r="H22" i="5463"/>
  <c r="H10" i="5463"/>
  <c r="H20" i="5463"/>
  <c r="H24" i="5463"/>
  <c r="H9" i="5463"/>
  <c r="H6" i="5463"/>
  <c r="H19" i="5463"/>
  <c r="H18" i="5463"/>
  <c r="H48" i="5463"/>
  <c r="H7" i="5463"/>
  <c r="H12" i="5463"/>
  <c r="H3" i="5463"/>
  <c r="H4" i="5461"/>
  <c r="H17" i="5463"/>
  <c r="C18" i="5463"/>
  <c r="B23" i="5463"/>
  <c r="H33" i="5463"/>
  <c r="H41" i="5463"/>
  <c r="H49" i="5463"/>
  <c r="H15" i="5463"/>
  <c r="H11" i="5463"/>
  <c r="H36" i="5463"/>
  <c r="H44" i="5463"/>
  <c r="H4" i="5463"/>
  <c r="H14" i="5463"/>
  <c r="H23" i="5463"/>
  <c r="H37" i="5463"/>
  <c r="H45" i="5463"/>
  <c r="H52" i="5463"/>
  <c r="H26" i="5463"/>
  <c r="H27" i="5463"/>
  <c r="H29" i="5463"/>
  <c r="H30" i="5463"/>
  <c r="H16" i="5463"/>
  <c r="H34" i="5463"/>
  <c r="H38" i="5463"/>
  <c r="H42" i="5463"/>
  <c r="H46" i="5463"/>
  <c r="H50" i="5463"/>
  <c r="H8" i="5463"/>
  <c r="H21" i="5463"/>
  <c r="H25" i="5463"/>
  <c r="C19" i="5463"/>
  <c r="H13" i="5463"/>
  <c r="H31" i="5463"/>
  <c r="H35" i="5463"/>
  <c r="H39" i="5463"/>
  <c r="H43" i="5463"/>
  <c r="H47" i="5463"/>
  <c r="H11" i="5461"/>
  <c r="H22" i="5461"/>
  <c r="H24" i="5461"/>
  <c r="H25" i="5461"/>
  <c r="H41" i="5461"/>
  <c r="H49" i="5461"/>
  <c r="H28" i="5461"/>
  <c r="H50" i="5461"/>
  <c r="C17" i="5461"/>
  <c r="H16" i="5461"/>
  <c r="H34" i="5461"/>
  <c r="H10" i="5461"/>
  <c r="H13" i="5461"/>
  <c r="H37" i="5461"/>
  <c r="H45" i="5461"/>
  <c r="H5" i="5461"/>
  <c r="C19" i="5461"/>
  <c r="H8" i="5461"/>
  <c r="H20" i="5461"/>
  <c r="B23" i="5461"/>
  <c r="H42" i="5461"/>
  <c r="H7" i="5461"/>
  <c r="H26" i="5461"/>
  <c r="H18" i="5461"/>
  <c r="H9" i="5461"/>
  <c r="H6" i="5461"/>
  <c r="H21" i="5461"/>
  <c r="H27" i="5461"/>
  <c r="H15" i="5461"/>
  <c r="C18" i="5461"/>
  <c r="H14" i="5461"/>
  <c r="H12" i="5461"/>
  <c r="H33" i="5461"/>
  <c r="H38" i="5461"/>
  <c r="H46" i="5461"/>
  <c r="H52" i="5461"/>
  <c r="H29" i="5461"/>
  <c r="H30" i="5461"/>
  <c r="H31" i="5461"/>
  <c r="H32" i="5461"/>
  <c r="H17" i="5461"/>
  <c r="H35" i="5461"/>
  <c r="H39" i="5461"/>
  <c r="H43" i="5461"/>
  <c r="H47" i="5461"/>
  <c r="H51" i="5461"/>
  <c r="H23" i="5461"/>
  <c r="H36" i="5461"/>
  <c r="H40" i="5461"/>
  <c r="H44" i="5461"/>
  <c r="H48" i="5461"/>
  <c r="O16" i="5459" l="1"/>
  <c r="O21" i="5459"/>
  <c r="C27" i="5459"/>
  <c r="B24" i="5459"/>
  <c r="C20" i="5459"/>
  <c r="B17" i="5459"/>
  <c r="H52" i="5459" s="1"/>
  <c r="C16" i="5459"/>
  <c r="C15" i="5459"/>
  <c r="C14" i="5459"/>
  <c r="C13" i="5459"/>
  <c r="O12" i="5459"/>
  <c r="C12" i="5459"/>
  <c r="O11" i="5459"/>
  <c r="C11" i="5459"/>
  <c r="O10" i="5459"/>
  <c r="C10" i="5459"/>
  <c r="C9" i="5459"/>
  <c r="C8" i="5459"/>
  <c r="O7" i="5459"/>
  <c r="C7" i="5459"/>
  <c r="O6" i="5459"/>
  <c r="B6" i="5459"/>
  <c r="O5" i="5459"/>
  <c r="B5" i="5459"/>
  <c r="O4" i="5459"/>
  <c r="O3" i="5459"/>
  <c r="O2" i="5459"/>
  <c r="O22" i="5457"/>
  <c r="O16" i="5457"/>
  <c r="C27" i="5457"/>
  <c r="B24" i="5457"/>
  <c r="C20" i="5457"/>
  <c r="B17" i="5457"/>
  <c r="H52" i="5457" s="1"/>
  <c r="C16" i="5457"/>
  <c r="C15" i="5457"/>
  <c r="C14" i="5457"/>
  <c r="C13" i="5457"/>
  <c r="O12" i="5457"/>
  <c r="C12" i="5457"/>
  <c r="O11" i="5457"/>
  <c r="C11" i="5457"/>
  <c r="O10" i="5457"/>
  <c r="C10" i="5457"/>
  <c r="C9" i="5457"/>
  <c r="C8" i="5457"/>
  <c r="O7" i="5457"/>
  <c r="C7" i="5457"/>
  <c r="O6" i="5457"/>
  <c r="B6" i="5457"/>
  <c r="O5" i="5457"/>
  <c r="B5" i="5457"/>
  <c r="O4" i="5457"/>
  <c r="O3" i="5457"/>
  <c r="O2" i="5457"/>
  <c r="O24" i="5453"/>
  <c r="O17" i="5455"/>
  <c r="O22" i="5455"/>
  <c r="C27" i="5455"/>
  <c r="B24" i="5455"/>
  <c r="C20" i="5455"/>
  <c r="B17" i="5455"/>
  <c r="H5" i="5455" s="1"/>
  <c r="C16" i="5455"/>
  <c r="C15" i="5455"/>
  <c r="C14" i="5455"/>
  <c r="C13" i="5455"/>
  <c r="O12" i="5455"/>
  <c r="C12" i="5455"/>
  <c r="O11" i="5455"/>
  <c r="C11" i="5455"/>
  <c r="O10" i="5455"/>
  <c r="C10" i="5455"/>
  <c r="C9" i="5455"/>
  <c r="C8" i="5455"/>
  <c r="O7" i="5455"/>
  <c r="C7" i="5455"/>
  <c r="O6" i="5455"/>
  <c r="B6" i="5455"/>
  <c r="O5" i="5455"/>
  <c r="B5" i="5455"/>
  <c r="O4" i="5455"/>
  <c r="O3" i="5455"/>
  <c r="O2" i="5455"/>
  <c r="O15" i="5453"/>
  <c r="O19" i="5453"/>
  <c r="C27" i="5453"/>
  <c r="B24" i="5453"/>
  <c r="C20" i="5453"/>
  <c r="B17" i="5453"/>
  <c r="H19" i="5453" s="1"/>
  <c r="C16" i="5453"/>
  <c r="C15" i="5453"/>
  <c r="C14" i="5453"/>
  <c r="C13" i="5453"/>
  <c r="O12" i="5453"/>
  <c r="C12" i="5453"/>
  <c r="O11" i="5453"/>
  <c r="C11" i="5453"/>
  <c r="O10" i="5453"/>
  <c r="C10" i="5453"/>
  <c r="C9" i="5453"/>
  <c r="C8" i="5453"/>
  <c r="O7" i="5453"/>
  <c r="C7" i="5453"/>
  <c r="O6" i="5453"/>
  <c r="B6" i="5453"/>
  <c r="O5" i="5453"/>
  <c r="B5" i="5453"/>
  <c r="O4" i="5453"/>
  <c r="O3" i="5453"/>
  <c r="O2" i="5453"/>
  <c r="H18" i="5457" l="1"/>
  <c r="H2" i="5457"/>
  <c r="H14" i="5457"/>
  <c r="H3" i="5457"/>
  <c r="H12" i="5459"/>
  <c r="H6" i="5459"/>
  <c r="H44" i="5459"/>
  <c r="H11" i="5459"/>
  <c r="H5" i="5459"/>
  <c r="H30" i="5459"/>
  <c r="H9" i="5459"/>
  <c r="C17" i="5459"/>
  <c r="H24" i="5455"/>
  <c r="H13" i="5455"/>
  <c r="H38" i="5455"/>
  <c r="H4" i="5455"/>
  <c r="H2" i="5455"/>
  <c r="H7" i="5455"/>
  <c r="H30" i="5455"/>
  <c r="B23" i="5455"/>
  <c r="H10" i="5455"/>
  <c r="H40" i="5459"/>
  <c r="H17" i="5459"/>
  <c r="H22" i="5459"/>
  <c r="H19" i="5459"/>
  <c r="H48" i="5459"/>
  <c r="H3" i="5459"/>
  <c r="H2" i="5459"/>
  <c r="H10" i="5459"/>
  <c r="H16" i="5459"/>
  <c r="H13" i="5459"/>
  <c r="H36" i="5459"/>
  <c r="H4" i="5459"/>
  <c r="H28" i="5459"/>
  <c r="H29" i="5459"/>
  <c r="H31" i="5459"/>
  <c r="H23" i="5459"/>
  <c r="H24" i="5459"/>
  <c r="H34" i="5459"/>
  <c r="H38" i="5459"/>
  <c r="H42" i="5459"/>
  <c r="H46" i="5459"/>
  <c r="H50" i="5459"/>
  <c r="H8" i="5459"/>
  <c r="H20" i="5459"/>
  <c r="H21" i="5459"/>
  <c r="C19" i="5459"/>
  <c r="H15" i="5459"/>
  <c r="H25" i="5459"/>
  <c r="H35" i="5459"/>
  <c r="H39" i="5459"/>
  <c r="H43" i="5459"/>
  <c r="H47" i="5459"/>
  <c r="H51" i="5459"/>
  <c r="H7" i="5459"/>
  <c r="H26" i="5459"/>
  <c r="H27" i="5459"/>
  <c r="H14" i="5459"/>
  <c r="C18" i="5459"/>
  <c r="B23" i="5459"/>
  <c r="H18" i="5459"/>
  <c r="H32" i="5459"/>
  <c r="H33" i="5459"/>
  <c r="H37" i="5459"/>
  <c r="H41" i="5459"/>
  <c r="H45" i="5459"/>
  <c r="H49" i="5459"/>
  <c r="H10" i="5457"/>
  <c r="C18" i="5457"/>
  <c r="H29" i="5457"/>
  <c r="H6" i="5457"/>
  <c r="H20" i="5457"/>
  <c r="H41" i="5457"/>
  <c r="H24" i="5457"/>
  <c r="H11" i="5457"/>
  <c r="H23" i="5457"/>
  <c r="H49" i="5457"/>
  <c r="H4" i="5457"/>
  <c r="C19" i="5457"/>
  <c r="H45" i="5457"/>
  <c r="H8" i="5457"/>
  <c r="H22" i="5457"/>
  <c r="C17" i="5457"/>
  <c r="H15" i="5457"/>
  <c r="H27" i="5457"/>
  <c r="H9" i="5457"/>
  <c r="H7" i="5457"/>
  <c r="H12" i="5457"/>
  <c r="H21" i="5457"/>
  <c r="H16" i="5457"/>
  <c r="H13" i="5457"/>
  <c r="H37" i="5457"/>
  <c r="H5" i="5457"/>
  <c r="H30" i="5457"/>
  <c r="H31" i="5457"/>
  <c r="H32" i="5457"/>
  <c r="H25" i="5457"/>
  <c r="H17" i="5457"/>
  <c r="H28" i="5457"/>
  <c r="H39" i="5457"/>
  <c r="H43" i="5457"/>
  <c r="H47" i="5457"/>
  <c r="H51" i="5457"/>
  <c r="H26" i="5457"/>
  <c r="H36" i="5457"/>
  <c r="H40" i="5457"/>
  <c r="H44" i="5457"/>
  <c r="H48" i="5457"/>
  <c r="H19" i="5457"/>
  <c r="B23" i="5457"/>
  <c r="H33" i="5457"/>
  <c r="H34" i="5457"/>
  <c r="H35" i="5457"/>
  <c r="H38" i="5457"/>
  <c r="H42" i="5457"/>
  <c r="H46" i="5457"/>
  <c r="H50" i="5457"/>
  <c r="H2" i="5453"/>
  <c r="H3" i="5453"/>
  <c r="H4" i="5453"/>
  <c r="H37" i="5453"/>
  <c r="H11" i="5453"/>
  <c r="H33" i="5453"/>
  <c r="H12" i="5453"/>
  <c r="H15" i="5453"/>
  <c r="H25" i="5453"/>
  <c r="H7" i="5453"/>
  <c r="H22" i="5453"/>
  <c r="C18" i="5453"/>
  <c r="H46" i="5455"/>
  <c r="H6" i="5455"/>
  <c r="H11" i="5455"/>
  <c r="H3" i="5455"/>
  <c r="C18" i="5455"/>
  <c r="H52" i="5455"/>
  <c r="H21" i="5455"/>
  <c r="H31" i="5455"/>
  <c r="H16" i="5455"/>
  <c r="C19" i="5455"/>
  <c r="H22" i="5455"/>
  <c r="H40" i="5455"/>
  <c r="H48" i="5455"/>
  <c r="H27" i="5455"/>
  <c r="H35" i="5455"/>
  <c r="H42" i="5455"/>
  <c r="H50" i="5455"/>
  <c r="H8" i="5455"/>
  <c r="H25" i="5455"/>
  <c r="H23" i="5455"/>
  <c r="C17" i="5455"/>
  <c r="H14" i="5455"/>
  <c r="H36" i="5455"/>
  <c r="H44" i="5455"/>
  <c r="H15" i="5455"/>
  <c r="H32" i="5455"/>
  <c r="H33" i="5455"/>
  <c r="H20" i="5455"/>
  <c r="H34" i="5455"/>
  <c r="H18" i="5455"/>
  <c r="H29" i="5455"/>
  <c r="H39" i="5455"/>
  <c r="H43" i="5455"/>
  <c r="H47" i="5455"/>
  <c r="H51" i="5455"/>
  <c r="H19" i="5455"/>
  <c r="H17" i="5455"/>
  <c r="H26" i="5455"/>
  <c r="H12" i="5455"/>
  <c r="H9" i="5455"/>
  <c r="H28" i="5455"/>
  <c r="H37" i="5455"/>
  <c r="H41" i="5455"/>
  <c r="H45" i="5455"/>
  <c r="H49" i="5455"/>
  <c r="H34" i="5453"/>
  <c r="H29" i="5453"/>
  <c r="H42" i="5453"/>
  <c r="H10" i="5453"/>
  <c r="H6" i="5453"/>
  <c r="H20" i="5453"/>
  <c r="H18" i="5453"/>
  <c r="B23" i="5453"/>
  <c r="H26" i="5453"/>
  <c r="H49" i="5453"/>
  <c r="H50" i="5453"/>
  <c r="H16" i="5453"/>
  <c r="H9" i="5453"/>
  <c r="H32" i="5453"/>
  <c r="H45" i="5453"/>
  <c r="H5" i="5453"/>
  <c r="C17" i="5453"/>
  <c r="H13" i="5453"/>
  <c r="H27" i="5453"/>
  <c r="H39" i="5453"/>
  <c r="H46" i="5453"/>
  <c r="H52" i="5453"/>
  <c r="H35" i="5453"/>
  <c r="H36" i="5453"/>
  <c r="H24" i="5453"/>
  <c r="H30" i="5453"/>
  <c r="H17" i="5453"/>
  <c r="H31" i="5453"/>
  <c r="H40" i="5453"/>
  <c r="H43" i="5453"/>
  <c r="H47" i="5453"/>
  <c r="H51" i="5453"/>
  <c r="H8" i="5453"/>
  <c r="H21" i="5453"/>
  <c r="H28" i="5453"/>
  <c r="C19" i="5453"/>
  <c r="H14" i="5453"/>
  <c r="H23" i="5453"/>
  <c r="H38" i="5453"/>
  <c r="H41" i="5453"/>
  <c r="H44" i="5453"/>
  <c r="H48" i="545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<sst xmlns="http://schemas.openxmlformats.org/spreadsheetml/2006/main" count="3320" uniqueCount="261">
  <si>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</si>
  <si>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</si>
  <si>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</si>
  <si>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</si>
  <si>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</si>
  <si>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</si>
  <si>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</si>
  <si>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</si>
  <si>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</si>
  <si>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</si>
  <si>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</si>
  <si>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</si>
  <si>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</si>
  <si>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</si>
  <si>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</si>
  <si>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</si>
  <si>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</si>
  <si>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</si>
  <si>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</si>
  <si>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</si>
  <si>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</si>
  <si>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</si>
  <si>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</si>
  <si>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</si>
  <si>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</si>
  <si>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</si>
  <si>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</si>
  <si>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</si>
  <si>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</si>
  <si>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</si>
  <si>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</si>
  <si>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</si>
  <si>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</si>
  <si>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</si>
  <si>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</si>
  <si>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</si>
  <si>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</si>
  <si>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</si>
  <si>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</si>
  <si>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</si>
  <si>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</si>
  <si>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</si>
  <si>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</si>
  <si>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</si>
  <si>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</si>
  <si>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</si>
  <si>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</si>
  <si>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</si>
  <si>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</si>
  <si>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</si>
  <si>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</si>
  <si>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</si>
  <si>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</si>
  <si>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</si>
  <si>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</si>
  <si>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</si>
  <si>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</si>
  <si>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</si>
  <si>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</si>
  <si>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</si>
  <si>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</si>
  <si>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</si>
  <si>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</si>
  <si>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</si>
  <si>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</si>
  <si>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</si>
  <si>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</si>
  <si>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</si>
  <si>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</si>
  <si>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</si>
  <si>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</si>
  <si>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</si>
  <si>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</si>
  <si>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</si>
  <si>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</si>
  <si>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</si>
  <si>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</si>
  <si>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</si>
  <si>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</si>
  <si>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</si>
  <si>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</si>
  <si>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</si>
  <si>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</si>
  <si>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</si>
  <si>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</si>
  <si>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</si>
  <si>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</si>
  <si>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</si>
  <si>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</si>
  <si>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</si>
  <si>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</si>
  <si>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</si>
  <si>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</si>
  <si>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</si>
  <si>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</si>
  <si>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</si>
  <si>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</si>
  <si>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</si>
  <si>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</si>
  <si>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</si>
  <si>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</si>
  <si>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</si>
  <si>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</si>
  <si>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</si>
  <si>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</si>
  <si>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</si>
  <si>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</si>
  <si>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</si>
  <si>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</si>
  <si>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</si>
  <si>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</si>
  <si>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</si>
  <si>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</si>
  <si>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</si>
  <si>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</si>
  <si>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</si>
  <si>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</si>
  <si>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</si>
  <si>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</si>
  <si>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</si>
  <si>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</si>
  <si>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</si>
  <si>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</si>
  <si>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</si>
  <si>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</si>
  <si>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</si>
  <si>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</si>
  <si>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</si>
  <si>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</si>
  <si>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</si>
  <si>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</si>
  <si>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</si>
  <si>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</si>
  <si>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</si>
  <si>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</si>
  <si>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</si>
  <si>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</si>
  <si>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</si>
  <si>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</si>
  <si>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</si>
  <si>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</si>
  <si>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</si>
  <si>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</si>
  <si>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</si>
  <si>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</si>
  <si>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</si>
  <si>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</si>
  <si>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</si>
  <si>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</si>
  <si>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</si>
  <si>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</si>
  <si>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</si>
  <si>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</si>
  <si>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</si>
  <si>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</si>
  <si>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</si>
  <si>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</si>
  <si>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</si>
  <si>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</si>
  <si>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</si>
  <si>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</si>
  <si>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</si>
  <si>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</si>
  <si>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</si>
  <si>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</si>
  <si>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</si>
  <si>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</si>
  <si>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</si>
  <si>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</si>
  <si>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</si>
  <si>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</si>
  <si>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</si>
  <si>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</si>
  <si>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</si>
  <si>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</si>
  <si>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</si>
  <si>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</si>
  <si>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</si>
  <si>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</si>
  <si>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</si>
  <si>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</si>
  <si>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</si>
  <si>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</si>
  <si>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</si>
  <si>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</si>
  <si>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</si>
  <si>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</si>
  <si>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</si>
  <si>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</si>
  <si>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</si>
  <si>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</si>
  <si>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</si>
  <si>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</si>
  <si>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</si>
  <si>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</si>
  <si>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</si>
  <si>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</si>
  <si>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</si>
  <si>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</si>
  <si>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</si>
  <si>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</si>
  <si>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</si>
  <si>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</si>
  <si>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</si>
  <si>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</si>
  <si>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</si>
  <si>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</si>
  <si>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</si>
  <si>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</si>
  <si>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</si>
  <si>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</si>
  <si>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</si>
  <si>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</si>
  <si>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</si>
  <si>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</si>
  <si>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</si>
  <si>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</si>
  <si>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</si>
  <si>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</si>
  <si>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</si>
  <si>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</si>
  <si>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</si>
  <si>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</si>
  <si>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</si>
  <si>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</si>
  <si>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</si>
  <si>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</si>
  <si>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</si>
  <si>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</si>
  <si>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</si>
  <si>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</si>
  <si>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</si>
  <si>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</si>
  <si>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</si>
  <si>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</si>
  <si>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</si>
  <si>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</si>
  <si>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</si>
  <si>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</si>
  <si>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</si>
  <si>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</si>
  <si>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</si>
  <si>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</si>
  <si>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</si>
  <si>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</si>
  <si>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</si>
  <si>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</si>
  <si>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</si>
  <si>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</si>
  <si>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</si>
  <si>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</si>
  <si>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</si>
  <si>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</si>
  <si>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</si>
  <si>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</si>
  <si>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</si>
  <si>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</si>
  <si>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</si>
  <si>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</si>
  <si>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2019-06-18@2.xlsm</t>
  </si>
  <si>
    <t>2019-06-18@1.xlsm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</si>
</sst>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0" Type="http://schemas.openxmlformats.org/officeDocument/2006/relationships/worksheet" Target="worksheets/sheet20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全体!$K$2:$K$695</c:f>
              <c:numCache>
                <c:formatCode>General</c:formatCode>
                <c:ptCount val="6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</c:numCache>
            </c:numRef>
          </c:xVal>
          <c:yVal>
            <c:numRef>
              <c:f>全体!$L$2:$L$695</c:f>
              <c:numCache>
                <c:formatCode>\+0.0;\-0.0;\±0</c:formatCode>
                <c:ptCount val="694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45.999999999999979</c:v>
                </c:pt>
                <c:pt idx="648">
                  <c:v>-1.0000000000000213</c:v>
                </c:pt>
                <c:pt idx="649">
                  <c:v>-15.300000000000022</c:v>
                </c:pt>
                <c:pt idx="650">
                  <c:v>35.09999999999998</c:v>
                </c:pt>
                <c:pt idx="651">
                  <c:v>-1.0000000000000213</c:v>
                </c:pt>
                <c:pt idx="652">
                  <c:v>-1.0000000000000213</c:v>
                </c:pt>
                <c:pt idx="653">
                  <c:v>-1.0000000000000213</c:v>
                </c:pt>
                <c:pt idx="654">
                  <c:v>-1.0000000000000213</c:v>
                </c:pt>
                <c:pt idx="655">
                  <c:v>-61.90000000000002</c:v>
                </c:pt>
                <c:pt idx="656">
                  <c:v>2.4999999999999858</c:v>
                </c:pt>
                <c:pt idx="657">
                  <c:v>-1.0000000000000142</c:v>
                </c:pt>
                <c:pt idx="658">
                  <c:v>66.799999999999983</c:v>
                </c:pt>
                <c:pt idx="659">
                  <c:v>54.899999999999984</c:v>
                </c:pt>
                <c:pt idx="660">
                  <c:v>-1.0000000000000142</c:v>
                </c:pt>
                <c:pt idx="661">
                  <c:v>-15.900000000000015</c:v>
                </c:pt>
                <c:pt idx="662">
                  <c:v>-52.300000000000011</c:v>
                </c:pt>
                <c:pt idx="663">
                  <c:v>-1.0000000000000142</c:v>
                </c:pt>
                <c:pt idx="664">
                  <c:v>-58.700000000000017</c:v>
                </c:pt>
                <c:pt idx="665">
                  <c:v>-41.100000000000016</c:v>
                </c:pt>
                <c:pt idx="666">
                  <c:v>-1.0000000000000142</c:v>
                </c:pt>
                <c:pt idx="667">
                  <c:v>-2.9000000000000141</c:v>
                </c:pt>
                <c:pt idx="668">
                  <c:v>31.79999999999999</c:v>
                </c:pt>
                <c:pt idx="669">
                  <c:v>-1.0000000000000071</c:v>
                </c:pt>
                <c:pt idx="670">
                  <c:v>10.599999999999993</c:v>
                </c:pt>
                <c:pt idx="671">
                  <c:v>-44.800000000000004</c:v>
                </c:pt>
                <c:pt idx="672">
                  <c:v>-1.0000000000000071</c:v>
                </c:pt>
                <c:pt idx="673">
                  <c:v>-2.0000000000000071</c:v>
                </c:pt>
                <c:pt idx="674">
                  <c:v>-60.000000000000007</c:v>
                </c:pt>
                <c:pt idx="675">
                  <c:v>-1.0000000000000071</c:v>
                </c:pt>
                <c:pt idx="676">
                  <c:v>-2.3000000000000069</c:v>
                </c:pt>
                <c:pt idx="677">
                  <c:v>33.699999999999996</c:v>
                </c:pt>
                <c:pt idx="678">
                  <c:v>-1.0000000000000071</c:v>
                </c:pt>
                <c:pt idx="679">
                  <c:v>-8.4000000000000075</c:v>
                </c:pt>
                <c:pt idx="680">
                  <c:v>-72.100000000000009</c:v>
                </c:pt>
                <c:pt idx="681">
                  <c:v>-1.0000000000000142</c:v>
                </c:pt>
                <c:pt idx="682">
                  <c:v>75.999999999999986</c:v>
                </c:pt>
                <c:pt idx="683">
                  <c:v>-6.0000000000000142</c:v>
                </c:pt>
                <c:pt idx="684">
                  <c:v>-1.0000000000000142</c:v>
                </c:pt>
                <c:pt idx="685">
                  <c:v>48.699999999999989</c:v>
                </c:pt>
                <c:pt idx="686">
                  <c:v>37.79999999999999</c:v>
                </c:pt>
                <c:pt idx="687">
                  <c:v>-1.0000000000000071</c:v>
                </c:pt>
                <c:pt idx="688">
                  <c:v>91.6</c:v>
                </c:pt>
                <c:pt idx="689">
                  <c:v>61.3</c:v>
                </c:pt>
                <c:pt idx="690">
                  <c:v>-1</c:v>
                </c:pt>
                <c:pt idx="691">
                  <c:v>-29.4</c:v>
                </c:pt>
                <c:pt idx="692">
                  <c:v>56.000000000000007</c:v>
                </c:pt>
                <c:pt idx="693">
                  <c:v>-0.99999999999999289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8-4FA7-9C9E-6BFE43DB3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-17.391304347826086</c:v>
                </c:pt>
                <c:pt idx="1">
                  <c:v>-4.4444444444444446</c:v>
                </c:pt>
                <c:pt idx="2">
                  <c:v>9.5238095238095237</c:v>
                </c:pt>
                <c:pt idx="3">
                  <c:v>6.9808027923211169</c:v>
                </c:pt>
                <c:pt idx="4">
                  <c:v>-11.695906432748538</c:v>
                </c:pt>
                <c:pt idx="5">
                  <c:v>21.92982456140351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1-49E6-96EB-1BD1AB52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だいち!$L$2:$L$158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1767.0000000000009</c:v>
                </c:pt>
                <c:pt idx="148">
                  <c:v>1763.5000000000009</c:v>
                </c:pt>
                <c:pt idx="149">
                  <c:v>1727.1000000000008</c:v>
                </c:pt>
                <c:pt idx="150">
                  <c:v>1744.7000000000007</c:v>
                </c:pt>
                <c:pt idx="151">
                  <c:v>1788.5000000000007</c:v>
                </c:pt>
                <c:pt idx="152">
                  <c:v>1847.5000000000007</c:v>
                </c:pt>
                <c:pt idx="153">
                  <c:v>1812.8000000000006</c:v>
                </c:pt>
                <c:pt idx="154">
                  <c:v>1805.4000000000005</c:v>
                </c:pt>
                <c:pt idx="155">
                  <c:v>1855.1000000000006</c:v>
                </c:pt>
                <c:pt idx="156">
                  <c:v>1940.5000000000007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F6-47A7-995F-485567487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2050.9677419354839</c:v>
                </c:pt>
                <c:pt idx="1">
                  <c:v>1959.6026490066224</c:v>
                </c:pt>
                <c:pt idx="2">
                  <c:v>919.58041958041963</c:v>
                </c:pt>
                <c:pt idx="3">
                  <c:v>2293.8931297709923</c:v>
                </c:pt>
                <c:pt idx="4">
                  <c:v>186.20689655172413</c:v>
                </c:pt>
                <c:pt idx="5">
                  <c:v>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77-4C41-84BE-1658D0BD7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りくと!$K$2:$K$129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りくと!$L$2:$L$129</c:f>
              <c:numCache>
                <c:formatCode>\+0.0;\-0.0;\±0</c:formatCode>
                <c:ptCount val="128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A-4D67-BAE0-E9023756A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135.43307086614172</c:v>
                </c:pt>
                <c:pt idx="1">
                  <c:v>-2125.2032520325201</c:v>
                </c:pt>
                <c:pt idx="2">
                  <c:v>375.63025210084032</c:v>
                </c:pt>
                <c:pt idx="3">
                  <c:v>135.23809523809524</c:v>
                </c:pt>
                <c:pt idx="4">
                  <c:v>187.09677419354838</c:v>
                </c:pt>
                <c:pt idx="5">
                  <c:v>330.23255813953489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444E-968D-ED398A468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ただ!$L$2:$L$95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8-4F16-A322-E6E13D045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-3084.9462365591398</c:v>
                </c:pt>
                <c:pt idx="1">
                  <c:v>-1496.7032967032967</c:v>
                </c:pt>
                <c:pt idx="2">
                  <c:v>-307.05882352941177</c:v>
                </c:pt>
                <c:pt idx="3">
                  <c:v>-4301.333333333333</c:v>
                </c:pt>
                <c:pt idx="4">
                  <c:v>-467.64705882352939</c:v>
                </c:pt>
                <c:pt idx="5">
                  <c:v>-1285.2459016393443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2-420C-A01D-66F69D168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れんたろう!$L$2:$L$93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21.10000000000003</c:v>
                </c:pt>
                <c:pt idx="91">
                  <c:v>-9.1999999999999709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3E-4E69-8ABF-3C800B4A3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-665.93406593406598</c:v>
                </c:pt>
                <c:pt idx="1">
                  <c:v>202.24719101123594</c:v>
                </c:pt>
                <c:pt idx="2">
                  <c:v>1231.7073170731708</c:v>
                </c:pt>
                <c:pt idx="3">
                  <c:v>838.02816901408448</c:v>
                </c:pt>
                <c:pt idx="4">
                  <c:v>-550</c:v>
                </c:pt>
                <c:pt idx="5">
                  <c:v>-192.98245614035088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B-49D7-920E-B810809B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たかの!$L$2:$L$81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9-4A4B-ABC1-290E04928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725.31645569620252</c:v>
                </c:pt>
                <c:pt idx="1">
                  <c:v>-1348.1012658227849</c:v>
                </c:pt>
                <c:pt idx="2">
                  <c:v>-1478.5714285714287</c:v>
                </c:pt>
                <c:pt idx="3">
                  <c:v>740.90909090909088</c:v>
                </c:pt>
                <c:pt idx="4">
                  <c:v>900</c:v>
                </c:pt>
                <c:pt idx="5">
                  <c:v>-372.22222222222223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D-4546-A65B-3A3DAC73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63-4489-83E3-39C922D66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-2731.9148936170213</c:v>
                </c:pt>
                <c:pt idx="1">
                  <c:v>2059.5744680851062</c:v>
                </c:pt>
                <c:pt idx="2">
                  <c:v>-1050</c:v>
                </c:pt>
                <c:pt idx="3">
                  <c:v>-3870.731707317073</c:v>
                </c:pt>
                <c:pt idx="4">
                  <c:v>-205.55555555555554</c:v>
                </c:pt>
                <c:pt idx="5">
                  <c:v>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5-4A4C-9C4B-05DAEDA89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295</c:v>
                </c:pt>
                <c:pt idx="61">
                  <c:v>359.4</c:v>
                </c:pt>
                <c:pt idx="62">
                  <c:v>347.5</c:v>
                </c:pt>
                <c:pt idx="63">
                  <c:v>345.6</c:v>
                </c:pt>
                <c:pt idx="64">
                  <c:v>287.60000000000002</c:v>
                </c:pt>
                <c:pt idx="65">
                  <c:v>323.60000000000002</c:v>
                </c:pt>
                <c:pt idx="66">
                  <c:v>328.6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D-4579-B4FF-D538A6DE0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1484.6153846153845</c:v>
                </c:pt>
                <c:pt idx="1">
                  <c:v>1085.483870967742</c:v>
                </c:pt>
                <c:pt idx="2">
                  <c:v>-752.72727272727275</c:v>
                </c:pt>
                <c:pt idx="3">
                  <c:v>2473.5849056603774</c:v>
                </c:pt>
                <c:pt idx="4">
                  <c:v>-1159.5744680851064</c:v>
                </c:pt>
                <c:pt idx="5">
                  <c:v>276.92307692307691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4-4510-BEEC-F38F14FA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1-4DE5-8648-D77EB3D29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2-46B1-AA1E-6C3FC82B3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-85.399999999999991</c:v>
                </c:pt>
                <c:pt idx="16">
                  <c:v>-140.79999999999998</c:v>
                </c:pt>
                <c:pt idx="17">
                  <c:v>-204.5</c:v>
                </c:pt>
                <c:pt idx="18">
                  <c:v>-127.5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8E-4A7B-AA1A-808F43580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-1016.6666666666666</c:v>
                </c:pt>
                <c:pt idx="1">
                  <c:v>-1044.4444444444443</c:v>
                </c:pt>
                <c:pt idx="2">
                  <c:v>152.94117647058823</c:v>
                </c:pt>
                <c:pt idx="3">
                  <c:v>-4237.5</c:v>
                </c:pt>
                <c:pt idx="4">
                  <c:v>-243.75</c:v>
                </c:pt>
                <c:pt idx="5">
                  <c:v>-3407.6923076923076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7-44CF-9095-A2D82ED2D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C-479A-827B-2592B18A8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B-40F5-97CA-315E1DB31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D-4389-BE6B-29FC7C26E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E-4355-B038-5F30E1DA2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4-424F-8847-EC0E1B17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1-4C14-BE93-6A5B6F329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ぱぱ2!$B$3:$B$50</c:f>
              <c:numCache>
                <c:formatCode>\+0.0;\-0.0;\±0</c:formatCode>
                <c:ptCount val="4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0.99999999999999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ぱぱ2!$C$3:$C$50</c:f>
              <c:numCache>
                <c:formatCode>\+0.0;\-0.0;\±0</c:formatCode>
                <c:ptCount val="48"/>
                <c:pt idx="1">
                  <c:v>-82.6</c:v>
                </c:pt>
                <c:pt idx="2">
                  <c:v>-61.15</c:v>
                </c:pt>
                <c:pt idx="3">
                  <c:v>-49.666666666666664</c:v>
                </c:pt>
                <c:pt idx="4">
                  <c:v>-37.65</c:v>
                </c:pt>
                <c:pt idx="5">
                  <c:v>-36.979999999999997</c:v>
                </c:pt>
                <c:pt idx="6">
                  <c:v>-31.266666666666662</c:v>
                </c:pt>
                <c:pt idx="7">
                  <c:v>-30.871428571428567</c:v>
                </c:pt>
                <c:pt idx="8">
                  <c:v>-27.449999999999996</c:v>
                </c:pt>
                <c:pt idx="9">
                  <c:v>-28.955555555555552</c:v>
                </c:pt>
                <c:pt idx="10">
                  <c:v>-31.839999999999996</c:v>
                </c:pt>
                <c:pt idx="11">
                  <c:v>-29.581818181818178</c:v>
                </c:pt>
                <c:pt idx="12">
                  <c:v>-24.133333333333329</c:v>
                </c:pt>
                <c:pt idx="13">
                  <c:v>-23.276923076923076</c:v>
                </c:pt>
                <c:pt idx="14">
                  <c:v>-19.285714285714281</c:v>
                </c:pt>
                <c:pt idx="15">
                  <c:v>-17.639999999999997</c:v>
                </c:pt>
                <c:pt idx="16">
                  <c:v>-18.299999999999997</c:v>
                </c:pt>
                <c:pt idx="17">
                  <c:v>-14.641176470588233</c:v>
                </c:pt>
                <c:pt idx="18">
                  <c:v>-12.166666666666664</c:v>
                </c:pt>
                <c:pt idx="19">
                  <c:v>-9.9263157894736818</c:v>
                </c:pt>
                <c:pt idx="20">
                  <c:v>-9.139999999999997</c:v>
                </c:pt>
                <c:pt idx="21">
                  <c:v>-9.7047619047619005</c:v>
                </c:pt>
                <c:pt idx="22">
                  <c:v>-11.93181818181818</c:v>
                </c:pt>
                <c:pt idx="23">
                  <c:v>-11.265217391304347</c:v>
                </c:pt>
                <c:pt idx="24">
                  <c:v>-11.995833333333332</c:v>
                </c:pt>
                <c:pt idx="25">
                  <c:v>-13.771999999999998</c:v>
                </c:pt>
                <c:pt idx="26">
                  <c:v>-10.965384615384615</c:v>
                </c:pt>
                <c:pt idx="27">
                  <c:v>-9.5333333333333332</c:v>
                </c:pt>
                <c:pt idx="28">
                  <c:v>-8.8642857142857139</c:v>
                </c:pt>
                <c:pt idx="29">
                  <c:v>-6.1137931034482751</c:v>
                </c:pt>
                <c:pt idx="30">
                  <c:v>-6.76</c:v>
                </c:pt>
                <c:pt idx="31">
                  <c:v>-7.3</c:v>
                </c:pt>
                <c:pt idx="32">
                  <c:v>-6.0562499999999995</c:v>
                </c:pt>
                <c:pt idx="33">
                  <c:v>-5.8818181818181818</c:v>
                </c:pt>
                <c:pt idx="34">
                  <c:v>-6.6058823529411761</c:v>
                </c:pt>
                <c:pt idx="35">
                  <c:v>-6.4257142857142862</c:v>
                </c:pt>
                <c:pt idx="36">
                  <c:v>-5.291666666666667</c:v>
                </c:pt>
                <c:pt idx="37">
                  <c:v>-6.3351351351351353</c:v>
                </c:pt>
                <c:pt idx="38">
                  <c:v>-5.5657894736842106</c:v>
                </c:pt>
                <c:pt idx="39">
                  <c:v>-5.7410256410256411</c:v>
                </c:pt>
                <c:pt idx="40">
                  <c:v>-6.9974999999999996</c:v>
                </c:pt>
                <c:pt idx="41">
                  <c:v>-7.4048780487804873</c:v>
                </c:pt>
                <c:pt idx="42">
                  <c:v>-8.0642857142857132</c:v>
                </c:pt>
                <c:pt idx="43">
                  <c:v>-6.7372093023255815</c:v>
                </c:pt>
                <c:pt idx="44">
                  <c:v>-5.9681818181818178</c:v>
                </c:pt>
                <c:pt idx="45">
                  <c:v>-6.5644444444444439</c:v>
                </c:pt>
                <c:pt idx="46">
                  <c:v>-8.2043478260869556</c:v>
                </c:pt>
                <c:pt idx="47">
                  <c:v>-9.3553191489361698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430014430014328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ぱぱ2!$D$3:$D$50</c:f>
              <c:numCache>
                <c:formatCode>0.00\ "位"</c:formatCode>
                <c:ptCount val="48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2.5</c:v>
                </c:pt>
                <c:pt idx="5">
                  <c:v>2.6</c:v>
                </c:pt>
                <c:pt idx="6">
                  <c:v>2.5</c:v>
                </c:pt>
                <c:pt idx="7">
                  <c:v>2.5714285714285716</c:v>
                </c:pt>
                <c:pt idx="8">
                  <c:v>2.5</c:v>
                </c:pt>
                <c:pt idx="9">
                  <c:v>2.5555555555555554</c:v>
                </c:pt>
                <c:pt idx="10">
                  <c:v>2.6</c:v>
                </c:pt>
                <c:pt idx="11">
                  <c:v>2.5454545454545454</c:v>
                </c:pt>
                <c:pt idx="12">
                  <c:v>2.4166666666666665</c:v>
                </c:pt>
                <c:pt idx="13">
                  <c:v>2.3846153846153846</c:v>
                </c:pt>
                <c:pt idx="14">
                  <c:v>2.2857142857142856</c:v>
                </c:pt>
                <c:pt idx="15">
                  <c:v>2.2666666666666666</c:v>
                </c:pt>
                <c:pt idx="16">
                  <c:v>2.3125</c:v>
                </c:pt>
                <c:pt idx="17">
                  <c:v>2.2352941176470589</c:v>
                </c:pt>
                <c:pt idx="18">
                  <c:v>2.1666666666666665</c:v>
                </c:pt>
                <c:pt idx="19">
                  <c:v>2.1052631578947367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2.2000000000000002</c:v>
                </c:pt>
                <c:pt idx="26">
                  <c:v>2.1538461538461537</c:v>
                </c:pt>
                <c:pt idx="27">
                  <c:v>2.1111111111111112</c:v>
                </c:pt>
                <c:pt idx="28">
                  <c:v>2.1071428571428572</c:v>
                </c:pt>
                <c:pt idx="29">
                  <c:v>2.0689655172413794</c:v>
                </c:pt>
                <c:pt idx="30">
                  <c:v>2.0666666666666669</c:v>
                </c:pt>
                <c:pt idx="31">
                  <c:v>2.096774193548387</c:v>
                </c:pt>
                <c:pt idx="32">
                  <c:v>2.0625</c:v>
                </c:pt>
                <c:pt idx="33">
                  <c:v>2.0606060606060606</c:v>
                </c:pt>
                <c:pt idx="34">
                  <c:v>2.0882352941176472</c:v>
                </c:pt>
                <c:pt idx="35">
                  <c:v>2.0857142857142859</c:v>
                </c:pt>
                <c:pt idx="36">
                  <c:v>2.0555555555555554</c:v>
                </c:pt>
                <c:pt idx="37">
                  <c:v>2.0810810810810811</c:v>
                </c:pt>
                <c:pt idx="38">
                  <c:v>2.0526315789473686</c:v>
                </c:pt>
                <c:pt idx="39">
                  <c:v>2.0512820512820511</c:v>
                </c:pt>
                <c:pt idx="40">
                  <c:v>2.0750000000000002</c:v>
                </c:pt>
                <c:pt idx="41">
                  <c:v>2.0975609756097562</c:v>
                </c:pt>
                <c:pt idx="42">
                  <c:v>2.1190476190476191</c:v>
                </c:pt>
                <c:pt idx="43">
                  <c:v>2.0930232558139537</c:v>
                </c:pt>
                <c:pt idx="44">
                  <c:v>2.0681818181818183</c:v>
                </c:pt>
                <c:pt idx="45">
                  <c:v>2.088888888888889</c:v>
                </c:pt>
                <c:pt idx="46">
                  <c:v>2.1086956521739131</c:v>
                </c:pt>
                <c:pt idx="47">
                  <c:v>2.1276595744680851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6709956709957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ぱぱ2!$E$3:$E$50</c:f>
              <c:numCache>
                <c:formatCode>0.0%</c:formatCode>
                <c:ptCount val="4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0.17647058823529413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0.23076923076923078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0.27586206896551724</c:v>
                </c:pt>
                <c:pt idx="30">
                  <c:v>0.26666666666666666</c:v>
                </c:pt>
                <c:pt idx="31">
                  <c:v>0.25806451612903225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0.28205128205128205</c:v>
                </c:pt>
                <c:pt idx="40">
                  <c:v>0.27500000000000002</c:v>
                </c:pt>
                <c:pt idx="41">
                  <c:v>0.26829268292682928</c:v>
                </c:pt>
                <c:pt idx="42">
                  <c:v>0.26190476190476192</c:v>
                </c:pt>
                <c:pt idx="43">
                  <c:v>0.27906976744186046</c:v>
                </c:pt>
                <c:pt idx="44">
                  <c:v>0.29545454545454547</c:v>
                </c:pt>
                <c:pt idx="45">
                  <c:v>0.28888888888888886</c:v>
                </c:pt>
                <c:pt idx="46">
                  <c:v>0.28260869565217389</c:v>
                </c:pt>
                <c:pt idx="47">
                  <c:v>0.27659574468085107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21933621933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ぱぱ2!$F$3:$F$50</c:f>
              <c:numCache>
                <c:formatCode>0.0%</c:formatCode>
                <c:ptCount val="48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0.5714285714285714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0.33333333333333331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0.38095238095238093</c:v>
                </c:pt>
                <c:pt idx="43">
                  <c:v>0.37209302325581395</c:v>
                </c:pt>
                <c:pt idx="44">
                  <c:v>0.36363636363636365</c:v>
                </c:pt>
                <c:pt idx="45">
                  <c:v>0.37777777777777777</c:v>
                </c:pt>
                <c:pt idx="46">
                  <c:v>0.39130434782608697</c:v>
                </c:pt>
                <c:pt idx="47">
                  <c:v>0.40425531914893614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89033189033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ぱぱ2!$G$3:$G$50</c:f>
              <c:numCache>
                <c:formatCode>0.0%</c:formatCode>
                <c:ptCount val="48"/>
                <c:pt idx="1">
                  <c:v>0.14285714285714285</c:v>
                </c:pt>
                <c:pt idx="2">
                  <c:v>0.26315789473684209</c:v>
                </c:pt>
                <c:pt idx="3">
                  <c:v>0.18518518518518517</c:v>
                </c:pt>
                <c:pt idx="4">
                  <c:v>0.23076923076923078</c:v>
                </c:pt>
                <c:pt idx="5">
                  <c:v>0.19148936170212766</c:v>
                </c:pt>
                <c:pt idx="6">
                  <c:v>0.18518518518518517</c:v>
                </c:pt>
                <c:pt idx="7">
                  <c:v>0.203125</c:v>
                </c:pt>
                <c:pt idx="8">
                  <c:v>0.24324324324324326</c:v>
                </c:pt>
                <c:pt idx="9">
                  <c:v>0.23809523809523808</c:v>
                </c:pt>
                <c:pt idx="10">
                  <c:v>0.25773195876288657</c:v>
                </c:pt>
                <c:pt idx="11">
                  <c:v>0.27184466019417475</c:v>
                </c:pt>
                <c:pt idx="12">
                  <c:v>0.2831858407079646</c:v>
                </c:pt>
                <c:pt idx="13">
                  <c:v>0.27350427350427353</c:v>
                </c:pt>
                <c:pt idx="14">
                  <c:v>0.27777777777777779</c:v>
                </c:pt>
                <c:pt idx="15">
                  <c:v>0.28358208955223879</c:v>
                </c:pt>
                <c:pt idx="16">
                  <c:v>0.2857142857142857</c:v>
                </c:pt>
                <c:pt idx="17">
                  <c:v>0.28387096774193549</c:v>
                </c:pt>
                <c:pt idx="18">
                  <c:v>0.29518072289156627</c:v>
                </c:pt>
                <c:pt idx="19">
                  <c:v>0.29142857142857143</c:v>
                </c:pt>
                <c:pt idx="20">
                  <c:v>0.29411764705882354</c:v>
                </c:pt>
                <c:pt idx="21">
                  <c:v>0.28865979381443296</c:v>
                </c:pt>
                <c:pt idx="22">
                  <c:v>0.28499999999999998</c:v>
                </c:pt>
                <c:pt idx="23">
                  <c:v>0.28640776699029125</c:v>
                </c:pt>
                <c:pt idx="24">
                  <c:v>0.28837209302325584</c:v>
                </c:pt>
                <c:pt idx="25">
                  <c:v>0.28378378378378377</c:v>
                </c:pt>
                <c:pt idx="26">
                  <c:v>0.29310344827586204</c:v>
                </c:pt>
                <c:pt idx="27">
                  <c:v>0.29875518672199169</c:v>
                </c:pt>
                <c:pt idx="28">
                  <c:v>0.30399999999999999</c:v>
                </c:pt>
                <c:pt idx="29">
                  <c:v>0.31395348837209303</c:v>
                </c:pt>
                <c:pt idx="30">
                  <c:v>0.30566037735849055</c:v>
                </c:pt>
                <c:pt idx="31">
                  <c:v>0.30656934306569344</c:v>
                </c:pt>
                <c:pt idx="32">
                  <c:v>0.30960854092526691</c:v>
                </c:pt>
                <c:pt idx="33">
                  <c:v>0.31506849315068491</c:v>
                </c:pt>
                <c:pt idx="34">
                  <c:v>0.30592105263157893</c:v>
                </c:pt>
                <c:pt idx="35">
                  <c:v>0.30769230769230771</c:v>
                </c:pt>
                <c:pt idx="36">
                  <c:v>0.30721003134796238</c:v>
                </c:pt>
                <c:pt idx="37">
                  <c:v>0.30182926829268292</c:v>
                </c:pt>
                <c:pt idx="38">
                  <c:v>0.30357142857142855</c:v>
                </c:pt>
                <c:pt idx="39">
                  <c:v>0.30116959064327486</c:v>
                </c:pt>
                <c:pt idx="40">
                  <c:v>0.29682997118155618</c:v>
                </c:pt>
                <c:pt idx="41">
                  <c:v>0.29295774647887324</c:v>
                </c:pt>
                <c:pt idx="42">
                  <c:v>0.29201101928374656</c:v>
                </c:pt>
                <c:pt idx="43">
                  <c:v>0.29599999999999999</c:v>
                </c:pt>
                <c:pt idx="44">
                  <c:v>0.29842931937172773</c:v>
                </c:pt>
                <c:pt idx="45">
                  <c:v>0.29820051413881749</c:v>
                </c:pt>
                <c:pt idx="46">
                  <c:v>0.29367088607594938</c:v>
                </c:pt>
                <c:pt idx="47">
                  <c:v>0.28888888888888886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640167364016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ぱぱ2!$H$3:$H$50</c:f>
              <c:numCache>
                <c:formatCode>0.0%</c:formatCode>
                <c:ptCount val="48"/>
                <c:pt idx="1">
                  <c:v>0.2857142857142857</c:v>
                </c:pt>
                <c:pt idx="2">
                  <c:v>0.26315789473684209</c:v>
                </c:pt>
                <c:pt idx="3">
                  <c:v>0.25925925925925924</c:v>
                </c:pt>
                <c:pt idx="4">
                  <c:v>0.23076923076923078</c:v>
                </c:pt>
                <c:pt idx="5">
                  <c:v>0.23404255319148937</c:v>
                </c:pt>
                <c:pt idx="6">
                  <c:v>0.22222222222222221</c:v>
                </c:pt>
                <c:pt idx="7">
                  <c:v>0.203125</c:v>
                </c:pt>
                <c:pt idx="8">
                  <c:v>0.1891891891891892</c:v>
                </c:pt>
                <c:pt idx="9">
                  <c:v>0.21428571428571427</c:v>
                </c:pt>
                <c:pt idx="10">
                  <c:v>0.23711340206185566</c:v>
                </c:pt>
                <c:pt idx="11">
                  <c:v>0.24271844660194175</c:v>
                </c:pt>
                <c:pt idx="12">
                  <c:v>0.24778761061946902</c:v>
                </c:pt>
                <c:pt idx="13">
                  <c:v>0.23931623931623933</c:v>
                </c:pt>
                <c:pt idx="14">
                  <c:v>0.23809523809523808</c:v>
                </c:pt>
                <c:pt idx="15">
                  <c:v>0.2462686567164179</c:v>
                </c:pt>
                <c:pt idx="16">
                  <c:v>0.24285714285714285</c:v>
                </c:pt>
                <c:pt idx="17">
                  <c:v>0.23870967741935484</c:v>
                </c:pt>
                <c:pt idx="18">
                  <c:v>0.2289156626506024</c:v>
                </c:pt>
                <c:pt idx="19">
                  <c:v>0.21714285714285714</c:v>
                </c:pt>
                <c:pt idx="20">
                  <c:v>0.21390374331550802</c:v>
                </c:pt>
                <c:pt idx="21">
                  <c:v>0.21134020618556701</c:v>
                </c:pt>
                <c:pt idx="22">
                  <c:v>0.215</c:v>
                </c:pt>
                <c:pt idx="23">
                  <c:v>0.21359223300970873</c:v>
                </c:pt>
                <c:pt idx="24">
                  <c:v>0.21860465116279071</c:v>
                </c:pt>
                <c:pt idx="25">
                  <c:v>0.22072072072072071</c:v>
                </c:pt>
                <c:pt idx="26">
                  <c:v>0.21120689655172414</c:v>
                </c:pt>
                <c:pt idx="27">
                  <c:v>0.2074688796680498</c:v>
                </c:pt>
                <c:pt idx="28">
                  <c:v>0.2</c:v>
                </c:pt>
                <c:pt idx="29">
                  <c:v>0.19379844961240311</c:v>
                </c:pt>
                <c:pt idx="30">
                  <c:v>0.18867924528301888</c:v>
                </c:pt>
                <c:pt idx="31">
                  <c:v>0.18978102189781021</c:v>
                </c:pt>
                <c:pt idx="32">
                  <c:v>0.19217081850533807</c:v>
                </c:pt>
                <c:pt idx="33">
                  <c:v>0.18493150684931506</c:v>
                </c:pt>
                <c:pt idx="34">
                  <c:v>0.18421052631578946</c:v>
                </c:pt>
                <c:pt idx="35">
                  <c:v>0.1858974358974359</c:v>
                </c:pt>
                <c:pt idx="36">
                  <c:v>0.18495297805642633</c:v>
                </c:pt>
                <c:pt idx="37">
                  <c:v>0.18902439024390244</c:v>
                </c:pt>
                <c:pt idx="38">
                  <c:v>0.19047619047619047</c:v>
                </c:pt>
                <c:pt idx="39">
                  <c:v>0.19005847953216373</c:v>
                </c:pt>
                <c:pt idx="40">
                  <c:v>0.1930835734870317</c:v>
                </c:pt>
                <c:pt idx="41">
                  <c:v>0.19154929577464788</c:v>
                </c:pt>
                <c:pt idx="42">
                  <c:v>0.1928374655647383</c:v>
                </c:pt>
                <c:pt idx="43">
                  <c:v>0.18666666666666668</c:v>
                </c:pt>
                <c:pt idx="44">
                  <c:v>0.18586387434554974</c:v>
                </c:pt>
                <c:pt idx="45">
                  <c:v>0.18766066838046272</c:v>
                </c:pt>
                <c:pt idx="46">
                  <c:v>0.189873417721519</c:v>
                </c:pt>
                <c:pt idx="47">
                  <c:v>0.19012345679012346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712691771269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ぱぱ2!$I$3:$I$50</c:f>
              <c:numCache>
                <c:formatCode>0</c:formatCode>
                <c:ptCount val="48"/>
                <c:pt idx="1">
                  <c:v>4000</c:v>
                </c:pt>
                <c:pt idx="2">
                  <c:v>4220</c:v>
                </c:pt>
                <c:pt idx="3">
                  <c:v>4220</c:v>
                </c:pt>
                <c:pt idx="4">
                  <c:v>3633.3333333333335</c:v>
                </c:pt>
                <c:pt idx="5">
                  <c:v>3633.3333333333335</c:v>
                </c:pt>
                <c:pt idx="6">
                  <c:v>3850</c:v>
                </c:pt>
                <c:pt idx="7">
                  <c:v>4323.0769230769229</c:v>
                </c:pt>
                <c:pt idx="8">
                  <c:v>4200</c:v>
                </c:pt>
                <c:pt idx="9">
                  <c:v>4085</c:v>
                </c:pt>
                <c:pt idx="10">
                  <c:v>4756</c:v>
                </c:pt>
                <c:pt idx="11">
                  <c:v>4528.5714285714284</c:v>
                </c:pt>
                <c:pt idx="12">
                  <c:v>5150</c:v>
                </c:pt>
                <c:pt idx="13">
                  <c:v>5150</c:v>
                </c:pt>
                <c:pt idx="14">
                  <c:v>5451.4285714285716</c:v>
                </c:pt>
                <c:pt idx="15">
                  <c:v>5676.3157894736842</c:v>
                </c:pt>
                <c:pt idx="16">
                  <c:v>5682.5</c:v>
                </c:pt>
                <c:pt idx="17">
                  <c:v>6311.363636363636</c:v>
                </c:pt>
                <c:pt idx="18">
                  <c:v>6236.7346938775509</c:v>
                </c:pt>
                <c:pt idx="19">
                  <c:v>6084.3137254901958</c:v>
                </c:pt>
                <c:pt idx="20">
                  <c:v>6392.727272727273</c:v>
                </c:pt>
                <c:pt idx="21">
                  <c:v>6416.0714285714284</c:v>
                </c:pt>
                <c:pt idx="22">
                  <c:v>6438.5964912280706</c:v>
                </c:pt>
                <c:pt idx="23">
                  <c:v>6422.0338983050851</c:v>
                </c:pt>
                <c:pt idx="24">
                  <c:v>6398.3870967741932</c:v>
                </c:pt>
                <c:pt idx="25">
                  <c:v>6344.4444444444443</c:v>
                </c:pt>
                <c:pt idx="26">
                  <c:v>6410.2941176470586</c:v>
                </c:pt>
                <c:pt idx="27">
                  <c:v>6411.1111111111113</c:v>
                </c:pt>
                <c:pt idx="28">
                  <c:v>6494.7368421052633</c:v>
                </c:pt>
                <c:pt idx="29">
                  <c:v>6746.9135802469136</c:v>
                </c:pt>
                <c:pt idx="30">
                  <c:v>6746.9135802469136</c:v>
                </c:pt>
                <c:pt idx="31">
                  <c:v>6801.1904761904761</c:v>
                </c:pt>
                <c:pt idx="32">
                  <c:v>6758.6206896551721</c:v>
                </c:pt>
                <c:pt idx="33">
                  <c:v>6772.826086956522</c:v>
                </c:pt>
                <c:pt idx="34">
                  <c:v>6829.0322580645161</c:v>
                </c:pt>
                <c:pt idx="35">
                  <c:v>6813.541666666667</c:v>
                </c:pt>
                <c:pt idx="36">
                  <c:v>6919.3877551020405</c:v>
                </c:pt>
                <c:pt idx="37">
                  <c:v>6966.666666666667</c:v>
                </c:pt>
                <c:pt idx="38">
                  <c:v>6886.2745098039213</c:v>
                </c:pt>
                <c:pt idx="39">
                  <c:v>6838.8349514563106</c:v>
                </c:pt>
                <c:pt idx="40">
                  <c:v>6838.8349514563106</c:v>
                </c:pt>
                <c:pt idx="41">
                  <c:v>7119.2307692307695</c:v>
                </c:pt>
                <c:pt idx="42">
                  <c:v>7135.8490566037735</c:v>
                </c:pt>
                <c:pt idx="43">
                  <c:v>6976.5765765765764</c:v>
                </c:pt>
                <c:pt idx="44">
                  <c:v>6998.2456140350878</c:v>
                </c:pt>
                <c:pt idx="45">
                  <c:v>6945.6896551724139</c:v>
                </c:pt>
                <c:pt idx="46">
                  <c:v>6945.6896551724139</c:v>
                </c:pt>
                <c:pt idx="47">
                  <c:v>6904.2735042735039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06.47985989492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ぱぱ2!$J$3:$J$50</c:f>
              <c:numCache>
                <c:formatCode>0</c:formatCode>
                <c:ptCount val="48"/>
                <c:pt idx="1">
                  <c:v>-20800</c:v>
                </c:pt>
                <c:pt idx="2">
                  <c:v>-14080</c:v>
                </c:pt>
                <c:pt idx="3">
                  <c:v>-12600</c:v>
                </c:pt>
                <c:pt idx="4">
                  <c:v>-11011.111111111111</c:v>
                </c:pt>
                <c:pt idx="5">
                  <c:v>-9836.363636363636</c:v>
                </c:pt>
                <c:pt idx="6">
                  <c:v>-9183.3333333333339</c:v>
                </c:pt>
                <c:pt idx="7">
                  <c:v>-9069.2307692307695</c:v>
                </c:pt>
                <c:pt idx="8">
                  <c:v>-9250</c:v>
                </c:pt>
                <c:pt idx="9">
                  <c:v>-8144.4444444444443</c:v>
                </c:pt>
                <c:pt idx="10">
                  <c:v>-9313.04347826087</c:v>
                </c:pt>
                <c:pt idx="11">
                  <c:v>-9204</c:v>
                </c:pt>
                <c:pt idx="12">
                  <c:v>-8521.4285714285706</c:v>
                </c:pt>
                <c:pt idx="13">
                  <c:v>-8521.4285714285706</c:v>
                </c:pt>
                <c:pt idx="14">
                  <c:v>-8170</c:v>
                </c:pt>
                <c:pt idx="15">
                  <c:v>-7996.969696969697</c:v>
                </c:pt>
                <c:pt idx="16">
                  <c:v>-8114.7058823529414</c:v>
                </c:pt>
                <c:pt idx="17">
                  <c:v>-8067.5675675675675</c:v>
                </c:pt>
                <c:pt idx="18">
                  <c:v>-7992.105263157895</c:v>
                </c:pt>
                <c:pt idx="19">
                  <c:v>-7992.105263157895</c:v>
                </c:pt>
                <c:pt idx="20">
                  <c:v>-7957.5</c:v>
                </c:pt>
                <c:pt idx="21">
                  <c:v>-7951.2195121951218</c:v>
                </c:pt>
                <c:pt idx="22">
                  <c:v>-8441.8604651162786</c:v>
                </c:pt>
                <c:pt idx="23">
                  <c:v>-8295.454545454546</c:v>
                </c:pt>
                <c:pt idx="24">
                  <c:v>-8182.9787234042551</c:v>
                </c:pt>
                <c:pt idx="25">
                  <c:v>-8295.9183673469379</c:v>
                </c:pt>
                <c:pt idx="26">
                  <c:v>-8295.9183673469379</c:v>
                </c:pt>
                <c:pt idx="27">
                  <c:v>-8208</c:v>
                </c:pt>
                <c:pt idx="28">
                  <c:v>-8208</c:v>
                </c:pt>
                <c:pt idx="29">
                  <c:v>-8208</c:v>
                </c:pt>
                <c:pt idx="30">
                  <c:v>-8208</c:v>
                </c:pt>
                <c:pt idx="31">
                  <c:v>-8353.8461538461543</c:v>
                </c:pt>
                <c:pt idx="32">
                  <c:v>-8177.7777777777774</c:v>
                </c:pt>
                <c:pt idx="33">
                  <c:v>-8177.7777777777774</c:v>
                </c:pt>
                <c:pt idx="34">
                  <c:v>-7957.1428571428569</c:v>
                </c:pt>
                <c:pt idx="35">
                  <c:v>-7934.4827586206893</c:v>
                </c:pt>
                <c:pt idx="36">
                  <c:v>-7866.1016949152545</c:v>
                </c:pt>
                <c:pt idx="37">
                  <c:v>-7904.8387096774195</c:v>
                </c:pt>
                <c:pt idx="38">
                  <c:v>-7779.6875</c:v>
                </c:pt>
                <c:pt idx="39">
                  <c:v>-7690.7692307692305</c:v>
                </c:pt>
                <c:pt idx="40">
                  <c:v>-7625.373134328358</c:v>
                </c:pt>
                <c:pt idx="41">
                  <c:v>-7689.7058823529414</c:v>
                </c:pt>
                <c:pt idx="42">
                  <c:v>-7807.1428571428569</c:v>
                </c:pt>
                <c:pt idx="43">
                  <c:v>-7807.1428571428569</c:v>
                </c:pt>
                <c:pt idx="44">
                  <c:v>-7866.1971830985913</c:v>
                </c:pt>
                <c:pt idx="45">
                  <c:v>-7787.6712328767126</c:v>
                </c:pt>
                <c:pt idx="46">
                  <c:v>-8300</c:v>
                </c:pt>
                <c:pt idx="47">
                  <c:v>-8290.9090909090901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18.91891891891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ぱぱ2!$K$3:$K$50</c:f>
              <c:numCache>
                <c:formatCode>0.0%</c:formatCode>
                <c:ptCount val="48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0.13043478260869565</c:v>
                </c:pt>
                <c:pt idx="47">
                  <c:v>0.14893617021276595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1212121212121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ぱぱ2!$L$3:$L$50</c:f>
              <c:numCache>
                <c:formatCode>0.0%</c:formatCode>
                <c:ptCount val="4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6.9767441860465115E-2</c:v>
                </c:pt>
                <c:pt idx="44">
                  <c:v>6.8181818181818177E-2</c:v>
                </c:pt>
                <c:pt idx="45">
                  <c:v>6.6666666666666666E-2</c:v>
                </c:pt>
                <c:pt idx="46">
                  <c:v>6.5217391304347824E-2</c:v>
                </c:pt>
                <c:pt idx="47">
                  <c:v>6.3829787234042548E-2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1212121212121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ぱぱ2!$M$3:$M$50</c:f>
              <c:numCache>
                <c:formatCode>0.0%</c:formatCode>
                <c:ptCount val="48"/>
                <c:pt idx="1">
                  <c:v>0.14285714285714285</c:v>
                </c:pt>
                <c:pt idx="2">
                  <c:v>0.15789473684210525</c:v>
                </c:pt>
                <c:pt idx="3">
                  <c:v>0.14814814814814814</c:v>
                </c:pt>
                <c:pt idx="4">
                  <c:v>0.17948717948717949</c:v>
                </c:pt>
                <c:pt idx="5">
                  <c:v>0.19148936170212766</c:v>
                </c:pt>
                <c:pt idx="6">
                  <c:v>0.16666666666666666</c:v>
                </c:pt>
                <c:pt idx="7">
                  <c:v>0.140625</c:v>
                </c:pt>
                <c:pt idx="8">
                  <c:v>0.14864864864864866</c:v>
                </c:pt>
                <c:pt idx="9">
                  <c:v>0.14285714285714285</c:v>
                </c:pt>
                <c:pt idx="10">
                  <c:v>0.14432989690721648</c:v>
                </c:pt>
                <c:pt idx="11">
                  <c:v>0.13592233009708737</c:v>
                </c:pt>
                <c:pt idx="12">
                  <c:v>0.15929203539823009</c:v>
                </c:pt>
                <c:pt idx="13">
                  <c:v>0.17094017094017094</c:v>
                </c:pt>
                <c:pt idx="14">
                  <c:v>0.18253968253968253</c:v>
                </c:pt>
                <c:pt idx="15">
                  <c:v>0.19402985074626866</c:v>
                </c:pt>
                <c:pt idx="16">
                  <c:v>0.18571428571428572</c:v>
                </c:pt>
                <c:pt idx="17">
                  <c:v>0.18709677419354839</c:v>
                </c:pt>
                <c:pt idx="18">
                  <c:v>0.19277108433734941</c:v>
                </c:pt>
                <c:pt idx="19">
                  <c:v>0.2</c:v>
                </c:pt>
                <c:pt idx="20">
                  <c:v>0.20855614973262032</c:v>
                </c:pt>
                <c:pt idx="21">
                  <c:v>0.21134020618556701</c:v>
                </c:pt>
                <c:pt idx="22">
                  <c:v>0.215</c:v>
                </c:pt>
                <c:pt idx="23">
                  <c:v>0.20873786407766989</c:v>
                </c:pt>
                <c:pt idx="24">
                  <c:v>0.21860465116279071</c:v>
                </c:pt>
                <c:pt idx="25">
                  <c:v>0.21621621621621623</c:v>
                </c:pt>
                <c:pt idx="26">
                  <c:v>0.22413793103448276</c:v>
                </c:pt>
                <c:pt idx="27">
                  <c:v>0.23236514522821577</c:v>
                </c:pt>
                <c:pt idx="28">
                  <c:v>0.24</c:v>
                </c:pt>
                <c:pt idx="29">
                  <c:v>0.24031007751937986</c:v>
                </c:pt>
                <c:pt idx="30">
                  <c:v>0.2339622641509434</c:v>
                </c:pt>
                <c:pt idx="31">
                  <c:v>0.24087591240875914</c:v>
                </c:pt>
                <c:pt idx="32">
                  <c:v>0.23843416370106763</c:v>
                </c:pt>
                <c:pt idx="33">
                  <c:v>0.23287671232876711</c:v>
                </c:pt>
                <c:pt idx="34">
                  <c:v>0.22697368421052633</c:v>
                </c:pt>
                <c:pt idx="35">
                  <c:v>0.22756410256410256</c:v>
                </c:pt>
                <c:pt idx="36">
                  <c:v>0.23197492163009403</c:v>
                </c:pt>
                <c:pt idx="37">
                  <c:v>0.22865853658536586</c:v>
                </c:pt>
                <c:pt idx="38">
                  <c:v>0.23511904761904762</c:v>
                </c:pt>
                <c:pt idx="39">
                  <c:v>0.23391812865497075</c:v>
                </c:pt>
                <c:pt idx="40">
                  <c:v>0.23054755043227665</c:v>
                </c:pt>
                <c:pt idx="41">
                  <c:v>0.23098591549295774</c:v>
                </c:pt>
                <c:pt idx="42">
                  <c:v>0.22865013774104684</c:v>
                </c:pt>
                <c:pt idx="43">
                  <c:v>0.22933333333333333</c:v>
                </c:pt>
                <c:pt idx="44">
                  <c:v>0.23036649214659685</c:v>
                </c:pt>
                <c:pt idx="45">
                  <c:v>0.22879177377892032</c:v>
                </c:pt>
                <c:pt idx="46">
                  <c:v>0.22531645569620254</c:v>
                </c:pt>
                <c:pt idx="47">
                  <c:v>0.21975308641975308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9463040446304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ぱぱ2!$N$3:$N$50</c:f>
              <c:numCache>
                <c:formatCode>0.0%</c:formatCode>
                <c:ptCount val="48"/>
                <c:pt idx="1">
                  <c:v>0.14285714285714285</c:v>
                </c:pt>
                <c:pt idx="2">
                  <c:v>0.10526315789473684</c:v>
                </c:pt>
                <c:pt idx="3">
                  <c:v>0.1111111111111111</c:v>
                </c:pt>
                <c:pt idx="4">
                  <c:v>0.10256410256410256</c:v>
                </c:pt>
                <c:pt idx="5">
                  <c:v>0.1276595744680851</c:v>
                </c:pt>
                <c:pt idx="6">
                  <c:v>0.14814814814814814</c:v>
                </c:pt>
                <c:pt idx="7">
                  <c:v>0.1875</c:v>
                </c:pt>
                <c:pt idx="8">
                  <c:v>0.21621621621621623</c:v>
                </c:pt>
                <c:pt idx="9">
                  <c:v>0.23809523809523808</c:v>
                </c:pt>
                <c:pt idx="10">
                  <c:v>0.25773195876288657</c:v>
                </c:pt>
                <c:pt idx="11">
                  <c:v>0.25242718446601942</c:v>
                </c:pt>
                <c:pt idx="12">
                  <c:v>0.23008849557522124</c:v>
                </c:pt>
                <c:pt idx="13">
                  <c:v>0.23076923076923078</c:v>
                </c:pt>
                <c:pt idx="14">
                  <c:v>0.23809523809523808</c:v>
                </c:pt>
                <c:pt idx="15">
                  <c:v>0.23134328358208955</c:v>
                </c:pt>
                <c:pt idx="16">
                  <c:v>0.22857142857142856</c:v>
                </c:pt>
                <c:pt idx="17">
                  <c:v>0.22580645161290322</c:v>
                </c:pt>
                <c:pt idx="18">
                  <c:v>0.2289156626506024</c:v>
                </c:pt>
                <c:pt idx="19">
                  <c:v>0.22857142857142856</c:v>
                </c:pt>
                <c:pt idx="20">
                  <c:v>0.22994652406417113</c:v>
                </c:pt>
                <c:pt idx="21">
                  <c:v>0.22164948453608246</c:v>
                </c:pt>
                <c:pt idx="22">
                  <c:v>0.22500000000000001</c:v>
                </c:pt>
                <c:pt idx="23">
                  <c:v>0.23786407766990292</c:v>
                </c:pt>
                <c:pt idx="24">
                  <c:v>0.22790697674418606</c:v>
                </c:pt>
                <c:pt idx="25">
                  <c:v>0.22972972972972974</c:v>
                </c:pt>
                <c:pt idx="26">
                  <c:v>0.22413793103448276</c:v>
                </c:pt>
                <c:pt idx="27">
                  <c:v>0.21991701244813278</c:v>
                </c:pt>
                <c:pt idx="28">
                  <c:v>0.224</c:v>
                </c:pt>
                <c:pt idx="29">
                  <c:v>0.22480620155038761</c:v>
                </c:pt>
                <c:pt idx="30">
                  <c:v>0.23018867924528302</c:v>
                </c:pt>
                <c:pt idx="31">
                  <c:v>0.22992700729927007</c:v>
                </c:pt>
                <c:pt idx="32">
                  <c:v>0.23487544483985764</c:v>
                </c:pt>
                <c:pt idx="33">
                  <c:v>0.25</c:v>
                </c:pt>
                <c:pt idx="34">
                  <c:v>0.25</c:v>
                </c:pt>
                <c:pt idx="35">
                  <c:v>0.25320512820512819</c:v>
                </c:pt>
                <c:pt idx="36">
                  <c:v>0.25391849529780564</c:v>
                </c:pt>
                <c:pt idx="37">
                  <c:v>0.25</c:v>
                </c:pt>
                <c:pt idx="38">
                  <c:v>0.25</c:v>
                </c:pt>
                <c:pt idx="39">
                  <c:v>0.24853801169590642</c:v>
                </c:pt>
                <c:pt idx="40">
                  <c:v>0.25360230547550433</c:v>
                </c:pt>
                <c:pt idx="41">
                  <c:v>0.25352112676056338</c:v>
                </c:pt>
                <c:pt idx="42">
                  <c:v>0.25344352617079891</c:v>
                </c:pt>
                <c:pt idx="43">
                  <c:v>0.26133333333333331</c:v>
                </c:pt>
                <c:pt idx="44">
                  <c:v>0.25654450261780104</c:v>
                </c:pt>
                <c:pt idx="45">
                  <c:v>0.25449871465295631</c:v>
                </c:pt>
                <c:pt idx="46">
                  <c:v>0.25569620253164554</c:v>
                </c:pt>
                <c:pt idx="47">
                  <c:v>0.25185185185185183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6415620641562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ぱぱ2!$O$3:$O$50</c:f>
              <c:numCache>
                <c:formatCode>0.0%</c:formatCode>
                <c:ptCount val="48"/>
                <c:pt idx="1">
                  <c:v>0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0.5714285714285714</c:v>
                </c:pt>
                <c:pt idx="5">
                  <c:v>0.44444444444444442</c:v>
                </c:pt>
                <c:pt idx="6">
                  <c:v>0.44444444444444442</c:v>
                </c:pt>
                <c:pt idx="7">
                  <c:v>0.44444444444444442</c:v>
                </c:pt>
                <c:pt idx="8">
                  <c:v>0.45454545454545453</c:v>
                </c:pt>
                <c:pt idx="9">
                  <c:v>0.41666666666666669</c:v>
                </c:pt>
                <c:pt idx="10">
                  <c:v>0.42857142857142855</c:v>
                </c:pt>
                <c:pt idx="11">
                  <c:v>0.42857142857142855</c:v>
                </c:pt>
                <c:pt idx="12">
                  <c:v>0.5</c:v>
                </c:pt>
                <c:pt idx="13">
                  <c:v>0.45</c:v>
                </c:pt>
                <c:pt idx="14">
                  <c:v>0.47826086956521741</c:v>
                </c:pt>
                <c:pt idx="15">
                  <c:v>0.53846153846153844</c:v>
                </c:pt>
                <c:pt idx="16">
                  <c:v>0.53846153846153844</c:v>
                </c:pt>
                <c:pt idx="17">
                  <c:v>0.55172413793103448</c:v>
                </c:pt>
                <c:pt idx="18">
                  <c:v>0.5625</c:v>
                </c:pt>
                <c:pt idx="19">
                  <c:v>0.54285714285714282</c:v>
                </c:pt>
                <c:pt idx="20">
                  <c:v>0.53846153846153844</c:v>
                </c:pt>
                <c:pt idx="21">
                  <c:v>0.53658536585365857</c:v>
                </c:pt>
                <c:pt idx="22">
                  <c:v>0.53488372093023251</c:v>
                </c:pt>
                <c:pt idx="23">
                  <c:v>0.53488372093023251</c:v>
                </c:pt>
                <c:pt idx="24">
                  <c:v>0.55319148936170215</c:v>
                </c:pt>
                <c:pt idx="25">
                  <c:v>0.54166666666666663</c:v>
                </c:pt>
                <c:pt idx="26">
                  <c:v>0.57692307692307687</c:v>
                </c:pt>
                <c:pt idx="27">
                  <c:v>0.5892857142857143</c:v>
                </c:pt>
                <c:pt idx="28">
                  <c:v>0.58333333333333337</c:v>
                </c:pt>
                <c:pt idx="29">
                  <c:v>0.59677419354838712</c:v>
                </c:pt>
                <c:pt idx="30">
                  <c:v>0.59677419354838712</c:v>
                </c:pt>
                <c:pt idx="31">
                  <c:v>0.60606060606060608</c:v>
                </c:pt>
                <c:pt idx="32">
                  <c:v>0.59701492537313428</c:v>
                </c:pt>
                <c:pt idx="33">
                  <c:v>0.6029411764705882</c:v>
                </c:pt>
                <c:pt idx="34">
                  <c:v>0.59420289855072461</c:v>
                </c:pt>
                <c:pt idx="35">
                  <c:v>0.60563380281690138</c:v>
                </c:pt>
                <c:pt idx="36">
                  <c:v>0.60810810810810811</c:v>
                </c:pt>
                <c:pt idx="37">
                  <c:v>0.61333333333333329</c:v>
                </c:pt>
                <c:pt idx="38">
                  <c:v>0.60759493670886078</c:v>
                </c:pt>
                <c:pt idx="39">
                  <c:v>0.6</c:v>
                </c:pt>
                <c:pt idx="40">
                  <c:v>0.6</c:v>
                </c:pt>
                <c:pt idx="41">
                  <c:v>0.59756097560975607</c:v>
                </c:pt>
                <c:pt idx="42">
                  <c:v>0.59036144578313254</c:v>
                </c:pt>
                <c:pt idx="43">
                  <c:v>0.59302325581395354</c:v>
                </c:pt>
                <c:pt idx="44">
                  <c:v>0.59090909090909094</c:v>
                </c:pt>
                <c:pt idx="45">
                  <c:v>0.5842696629213483</c:v>
                </c:pt>
                <c:pt idx="46">
                  <c:v>0.5842696629213483</c:v>
                </c:pt>
                <c:pt idx="47">
                  <c:v>0.5842696629213483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8290704928259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ぱぱ2!$P$3:$P$50</c:f>
              <c:numCache>
                <c:formatCode>0.0%</c:formatCode>
                <c:ptCount val="4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0.16666666666666666</c:v>
                </c:pt>
                <c:pt idx="6">
                  <c:v>0.25</c:v>
                </c:pt>
                <c:pt idx="7">
                  <c:v>0.33333333333333331</c:v>
                </c:pt>
                <c:pt idx="8">
                  <c:v>0.375</c:v>
                </c:pt>
                <c:pt idx="9">
                  <c:v>0.3</c:v>
                </c:pt>
                <c:pt idx="10">
                  <c:v>0.36</c:v>
                </c:pt>
                <c:pt idx="11">
                  <c:v>0.38461538461538464</c:v>
                </c:pt>
                <c:pt idx="12">
                  <c:v>0.38461538461538464</c:v>
                </c:pt>
                <c:pt idx="13">
                  <c:v>0.37037037037037035</c:v>
                </c:pt>
                <c:pt idx="14">
                  <c:v>0.33333333333333331</c:v>
                </c:pt>
                <c:pt idx="15">
                  <c:v>0.32258064516129031</c:v>
                </c:pt>
                <c:pt idx="16">
                  <c:v>0.3125</c:v>
                </c:pt>
                <c:pt idx="17">
                  <c:v>0.31428571428571428</c:v>
                </c:pt>
                <c:pt idx="18">
                  <c:v>0.34210526315789475</c:v>
                </c:pt>
                <c:pt idx="19">
                  <c:v>0.32500000000000001</c:v>
                </c:pt>
                <c:pt idx="20">
                  <c:v>0.34883720930232559</c:v>
                </c:pt>
                <c:pt idx="21">
                  <c:v>0.34883720930232559</c:v>
                </c:pt>
                <c:pt idx="22">
                  <c:v>0.33333333333333331</c:v>
                </c:pt>
                <c:pt idx="23">
                  <c:v>0.32653061224489793</c:v>
                </c:pt>
                <c:pt idx="24">
                  <c:v>0.32653061224489793</c:v>
                </c:pt>
                <c:pt idx="25">
                  <c:v>0.33333333333333331</c:v>
                </c:pt>
                <c:pt idx="26">
                  <c:v>0.34615384615384615</c:v>
                </c:pt>
                <c:pt idx="27">
                  <c:v>0.33962264150943394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0.32786885245901637</c:v>
                </c:pt>
                <c:pt idx="31">
                  <c:v>0.31746031746031744</c:v>
                </c:pt>
                <c:pt idx="32">
                  <c:v>0.33333333333333331</c:v>
                </c:pt>
                <c:pt idx="33">
                  <c:v>0.34246575342465752</c:v>
                </c:pt>
                <c:pt idx="34">
                  <c:v>0.34210526315789475</c:v>
                </c:pt>
                <c:pt idx="35">
                  <c:v>0.34177215189873417</c:v>
                </c:pt>
                <c:pt idx="36">
                  <c:v>0.33333333333333331</c:v>
                </c:pt>
                <c:pt idx="37">
                  <c:v>0.32926829268292684</c:v>
                </c:pt>
                <c:pt idx="38">
                  <c:v>0.33333333333333331</c:v>
                </c:pt>
                <c:pt idx="39">
                  <c:v>0.3411764705882353</c:v>
                </c:pt>
                <c:pt idx="40">
                  <c:v>0.32954545454545453</c:v>
                </c:pt>
                <c:pt idx="41">
                  <c:v>0.32222222222222224</c:v>
                </c:pt>
                <c:pt idx="42">
                  <c:v>0.32608695652173914</c:v>
                </c:pt>
                <c:pt idx="43">
                  <c:v>0.33673469387755101</c:v>
                </c:pt>
                <c:pt idx="44">
                  <c:v>0.33673469387755101</c:v>
                </c:pt>
                <c:pt idx="45">
                  <c:v>0.33333333333333331</c:v>
                </c:pt>
                <c:pt idx="46">
                  <c:v>0.32673267326732675</c:v>
                </c:pt>
                <c:pt idx="47">
                  <c:v>0.3235294117647059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1047297297297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ぱぱ2!$A$3:$A$50</c:f>
              <c:numCache>
                <c:formatCode>0\ "回"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ぱぱ2!$Q$3:$Q$50</c:f>
              <c:numCache>
                <c:formatCode>0.0%</c:formatCode>
                <c:ptCount val="48"/>
                <c:pt idx="1">
                  <c:v>1</c:v>
                </c:pt>
                <c:pt idx="2">
                  <c:v>0.8</c:v>
                </c:pt>
                <c:pt idx="3">
                  <c:v>0.8</c:v>
                </c:pt>
                <c:pt idx="4">
                  <c:v>0.77777777777777779</c:v>
                </c:pt>
                <c:pt idx="5">
                  <c:v>0.77777777777777779</c:v>
                </c:pt>
                <c:pt idx="6">
                  <c:v>0.7</c:v>
                </c:pt>
                <c:pt idx="7">
                  <c:v>0.61538461538461542</c:v>
                </c:pt>
                <c:pt idx="8">
                  <c:v>0.55555555555555558</c:v>
                </c:pt>
                <c:pt idx="9">
                  <c:v>0.6</c:v>
                </c:pt>
                <c:pt idx="10">
                  <c:v>0.52</c:v>
                </c:pt>
                <c:pt idx="11">
                  <c:v>0.5</c:v>
                </c:pt>
                <c:pt idx="12">
                  <c:v>0.53125</c:v>
                </c:pt>
                <c:pt idx="13">
                  <c:v>0.53125</c:v>
                </c:pt>
                <c:pt idx="14">
                  <c:v>0.51428571428571423</c:v>
                </c:pt>
                <c:pt idx="15">
                  <c:v>0.52631578947368418</c:v>
                </c:pt>
                <c:pt idx="16">
                  <c:v>0.5</c:v>
                </c:pt>
                <c:pt idx="17">
                  <c:v>0.5</c:v>
                </c:pt>
                <c:pt idx="18">
                  <c:v>0.48979591836734693</c:v>
                </c:pt>
                <c:pt idx="19">
                  <c:v>0.49019607843137253</c:v>
                </c:pt>
                <c:pt idx="20">
                  <c:v>0.49090909090909091</c:v>
                </c:pt>
                <c:pt idx="21">
                  <c:v>0.5</c:v>
                </c:pt>
                <c:pt idx="22">
                  <c:v>0.50877192982456143</c:v>
                </c:pt>
                <c:pt idx="23">
                  <c:v>0.50847457627118642</c:v>
                </c:pt>
                <c:pt idx="24">
                  <c:v>0.5</c:v>
                </c:pt>
                <c:pt idx="25">
                  <c:v>0.50793650793650791</c:v>
                </c:pt>
                <c:pt idx="26">
                  <c:v>0.51470588235294112</c:v>
                </c:pt>
                <c:pt idx="27">
                  <c:v>0.51388888888888884</c:v>
                </c:pt>
                <c:pt idx="28">
                  <c:v>0.51315789473684215</c:v>
                </c:pt>
                <c:pt idx="29">
                  <c:v>0.51851851851851849</c:v>
                </c:pt>
                <c:pt idx="30">
                  <c:v>0.51851851851851849</c:v>
                </c:pt>
                <c:pt idx="31">
                  <c:v>0.51190476190476186</c:v>
                </c:pt>
                <c:pt idx="32">
                  <c:v>0.51724137931034486</c:v>
                </c:pt>
                <c:pt idx="33">
                  <c:v>0.53260869565217395</c:v>
                </c:pt>
                <c:pt idx="34">
                  <c:v>0.5268817204301075</c:v>
                </c:pt>
                <c:pt idx="35">
                  <c:v>0.52083333333333337</c:v>
                </c:pt>
                <c:pt idx="36">
                  <c:v>0.52040816326530615</c:v>
                </c:pt>
                <c:pt idx="37">
                  <c:v>0.51515151515151514</c:v>
                </c:pt>
                <c:pt idx="38">
                  <c:v>0.51960784313725494</c:v>
                </c:pt>
                <c:pt idx="39">
                  <c:v>0.5145631067961165</c:v>
                </c:pt>
                <c:pt idx="40">
                  <c:v>0.5145631067961165</c:v>
                </c:pt>
                <c:pt idx="41">
                  <c:v>0.51923076923076927</c:v>
                </c:pt>
                <c:pt idx="42">
                  <c:v>0.51886792452830188</c:v>
                </c:pt>
                <c:pt idx="43">
                  <c:v>0.50450450450450446</c:v>
                </c:pt>
                <c:pt idx="44">
                  <c:v>0.50877192982456143</c:v>
                </c:pt>
                <c:pt idx="45">
                  <c:v>0.50862068965517238</c:v>
                </c:pt>
                <c:pt idx="46">
                  <c:v>0.50862068965517238</c:v>
                </c:pt>
                <c:pt idx="47">
                  <c:v>0.51282051282051277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199065966141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8" t="s">
        <v>245</v>
      </c>
      <c r="F51" s="139" t="s">
        <v>246</v>
      </c>
      <c r="G51" s="48">
        <v>0</v>
      </c>
      <c r="H51" s="140">
        <f t="shared" ref="H51" si="3">IF(B$17=0,0,G51/B$17)</f>
        <v>0</v>
      </c>
      <c r="I51" s="141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70"/>
  <sheetViews>
    <sheetView topLeftCell="A56"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43561.52239583333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43561.52239583333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43561.52239583333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43561.52239583333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43561.52239583333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43584.414884259262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43584.414884259262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43584.414884259262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43584.414884259262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43584.414884259262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43584.414884259262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43584.414884259262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43584.414884259262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43584.414884259262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43584.414884259262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43584.414884259262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43584.414884259262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43584.414884259262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43584.414884259262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43584.414895833332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43584.414895833332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43584.414895833332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43584.414895833332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43584.414895833332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43584.414895833332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43596.837326388886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43596.837326388886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43596.837326388886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43596.837326388886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43596.837326388886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43596.837326388886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43596.837326388886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43600.996724537035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43600.996724537035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43600.996724537035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43600.996724537035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43602.951064814813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43602.951064814813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43606.954548611109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43606.954548611109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43608.947511574072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43606.954548611109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43606.985821759263</v>
      </c>
      <c r="C44" s="30" t="s">
        <v>130</v>
      </c>
    </row>
    <row r="45" spans="1:11" x14ac:dyDescent="0.4">
      <c r="A45" s="30" t="s">
        <v>230</v>
      </c>
      <c r="B45" s="31">
        <v>43606.954548611109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43608.947511574072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43608.947511574072</v>
      </c>
      <c r="C47" s="30" t="s">
        <v>130</v>
      </c>
    </row>
    <row r="48" spans="1:11" x14ac:dyDescent="0.4">
      <c r="A48" s="30" t="s">
        <v>235</v>
      </c>
      <c r="B48" s="31">
        <v>43608.972986111112</v>
      </c>
      <c r="C48" s="30" t="s">
        <v>130</v>
      </c>
    </row>
    <row r="49" spans="1:7" x14ac:dyDescent="0.4">
      <c r="A49" s="30" t="s">
        <v>234</v>
      </c>
      <c r="B49" s="31">
        <v>43634.974826388891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43634.974826388891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43634.974826388891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43634.974826388891</v>
      </c>
      <c r="C52" s="30" t="s">
        <v>130</v>
      </c>
    </row>
    <row r="53" spans="1:7" x14ac:dyDescent="0.4">
      <c r="A53" s="30" t="s">
        <v>239</v>
      </c>
      <c r="B53" s="31">
        <v>43634.974826388891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43634.974826388891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43634.974826388891</v>
      </c>
      <c r="C55" s="30" t="s">
        <v>130</v>
      </c>
    </row>
    <row r="56" spans="1:7" x14ac:dyDescent="0.4">
      <c r="A56" s="30" t="s">
        <v>242</v>
      </c>
      <c r="B56" s="31">
        <v>43634.974826388891</v>
      </c>
      <c r="C56" s="30" t="s">
        <v>130</v>
      </c>
    </row>
    <row r="57" spans="1:7" x14ac:dyDescent="0.4">
      <c r="A57" s="30" t="s">
        <v>243</v>
      </c>
      <c r="B57" s="31">
        <v>43634.974826388891</v>
      </c>
      <c r="C57" s="30" t="s">
        <v>130</v>
      </c>
    </row>
    <row r="58" spans="1:7" x14ac:dyDescent="0.4">
      <c r="A58" s="30" t="s">
        <v>244</v>
      </c>
      <c r="B58" s="31">
        <v>43634.974826388891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43634.974826388891</v>
      </c>
      <c r="C59" s="30" t="s">
        <v>130</v>
      </c>
    </row>
    <row r="60" spans="1:7" x14ac:dyDescent="0.4">
      <c r="A60" s="30" t="s">
        <v>250</v>
      </c>
      <c r="B60" s="31">
        <v>43634.974826388891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43634.974826388891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43634.974826388891</v>
      </c>
      <c r="C62" s="30" t="s">
        <v>130</v>
      </c>
    </row>
    <row r="63" spans="1:7" x14ac:dyDescent="0.4">
      <c r="A63" s="30" t="s">
        <v>253</v>
      </c>
      <c r="B63" s="31">
        <v>43634.974826388891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43634.97483796296</v>
      </c>
      <c r="C64" s="30" t="s">
        <v>130</v>
      </c>
      <c r="D64" s="30" t="s">
        <v>131</v>
      </c>
      <c r="E64" s="30" t="s">
        <v>169</v>
      </c>
    </row>
    <row r="65" spans="1:5" x14ac:dyDescent="0.4">
      <c r="A65" s="30" t="s">
        <v>255</v>
      </c>
      <c r="B65" s="31">
        <v>43634.97483796296</v>
      </c>
      <c r="C65" s="30" t="s">
        <v>130</v>
      </c>
      <c r="D65" s="30" t="s">
        <v>131</v>
      </c>
      <c r="E65" s="30" t="s">
        <v>169</v>
      </c>
    </row>
    <row r="66" spans="1:5" x14ac:dyDescent="0.4">
      <c r="A66" s="30" t="s">
        <v>256</v>
      </c>
      <c r="B66" s="31">
        <v>43634.97483796296</v>
      </c>
      <c r="C66" s="30" t="s">
        <v>130</v>
      </c>
      <c r="D66" s="30" t="s">
        <v>131</v>
      </c>
    </row>
    <row r="67" spans="1:5" x14ac:dyDescent="0.4">
      <c r="A67" s="30" t="s">
        <v>257</v>
      </c>
      <c r="B67" s="31">
        <v>43634.97483796296</v>
      </c>
      <c r="C67" s="30" t="s">
        <v>130</v>
      </c>
      <c r="D67" s="30" t="s">
        <v>131</v>
      </c>
      <c r="E67" s="30" t="s">
        <v>169</v>
      </c>
    </row>
    <row r="68" spans="1:5" x14ac:dyDescent="0.4">
      <c r="A68" s="30" t="s">
        <v>258</v>
      </c>
      <c r="B68" s="31">
        <v>43634.97483796296</v>
      </c>
      <c r="C68" s="30" t="s">
        <v>130</v>
      </c>
      <c r="D68" s="30" t="s">
        <v>131</v>
      </c>
    </row>
    <row r="69" spans="1:5" x14ac:dyDescent="0.4">
      <c r="A69" s="30" t="s">
        <v>259</v>
      </c>
      <c r="B69" s="31">
        <v>43634.97483796296</v>
      </c>
      <c r="C69" s="30" t="s">
        <v>130</v>
      </c>
      <c r="D69" s="30" t="s">
        <v>131</v>
      </c>
    </row>
    <row r="70" spans="1:5" x14ac:dyDescent="0.4">
      <c r="A70" s="30" t="s">
        <v>260</v>
      </c>
      <c r="B70" s="31">
        <v>43635.022164351853</v>
      </c>
      <c r="C70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693</v>
      </c>
    </row>
    <row r="2" spans="1:2" x14ac:dyDescent="0.4">
      <c r="A2" t="s">
        <v>127</v>
      </c>
      <c r="B2">
        <v>156</v>
      </c>
    </row>
    <row r="3" spans="1:2" x14ac:dyDescent="0.4">
      <c r="A3" t="s">
        <v>128</v>
      </c>
      <c r="B3">
        <v>127</v>
      </c>
    </row>
    <row r="4" spans="1:2" x14ac:dyDescent="0.4">
      <c r="A4" t="s">
        <v>129</v>
      </c>
      <c r="B4">
        <v>93</v>
      </c>
    </row>
    <row r="5" spans="1:2" x14ac:dyDescent="0.4">
      <c r="A5" t="s">
        <v>171</v>
      </c>
      <c r="B5">
        <v>91</v>
      </c>
    </row>
    <row r="6" spans="1:2" x14ac:dyDescent="0.4">
      <c r="A6" t="s">
        <v>172</v>
      </c>
      <c r="B6">
        <v>79</v>
      </c>
    </row>
    <row r="7" spans="1:2" x14ac:dyDescent="0.4">
      <c r="A7" t="s">
        <v>173</v>
      </c>
      <c r="B7">
        <v>47</v>
      </c>
    </row>
    <row r="8" spans="1:2" x14ac:dyDescent="0.4">
      <c r="A8" t="s">
        <v>177</v>
      </c>
      <c r="B8">
        <v>66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18</v>
      </c>
    </row>
    <row r="11" spans="1:2" x14ac:dyDescent="0.4">
      <c r="A11" t="s">
        <v>200</v>
      </c>
      <c r="B11">
        <v>10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0.92866958520178577</v>
      </c>
      <c r="G2" s="159"/>
      <c r="H2" s="158">
        <v>0.71279883105124298</v>
      </c>
      <c r="I2" s="159"/>
      <c r="J2" s="158">
        <v>0.76462848737157918</v>
      </c>
      <c r="K2" s="159"/>
      <c r="L2" s="158">
        <v>0.75281245901025562</v>
      </c>
      <c r="M2" s="159"/>
      <c r="N2" s="158">
        <v>0.61188708616497756</v>
      </c>
      <c r="O2" s="159"/>
      <c r="P2" s="158">
        <v>0.19727592815860889</v>
      </c>
      <c r="Q2" s="159"/>
      <c r="R2" s="158">
        <v>0.46052690550232189</v>
      </c>
      <c r="S2" s="159"/>
      <c r="T2" s="158">
        <v>0.53598492226326611</v>
      </c>
      <c r="U2" s="159"/>
      <c r="V2" s="158">
        <v>0.44585540697662424</v>
      </c>
      <c r="W2" s="159"/>
      <c r="X2" s="158">
        <v>0.43539767563676379</v>
      </c>
      <c r="Y2" s="159"/>
      <c r="Z2" s="158">
        <v>0.15435423540951235</v>
      </c>
      <c r="AA2" s="159"/>
      <c r="AB2" s="158">
        <v>0.33277741901440128</v>
      </c>
      <c r="AC2" s="159"/>
      <c r="AD2" s="158">
        <v>0.74031107935132257</v>
      </c>
      <c r="AE2" s="159"/>
      <c r="AF2" s="158">
        <v>-0.11185370520637924</v>
      </c>
      <c r="AG2" s="159"/>
      <c r="AH2" s="158">
        <v>0.23041655818522694</v>
      </c>
      <c r="AI2" s="159"/>
    </row>
    <row r="3" spans="1:35" x14ac:dyDescent="0.4">
      <c r="A3" s="74">
        <v>1</v>
      </c>
      <c r="B3" s="75" t="s">
        <v>127</v>
      </c>
      <c r="C3" s="76">
        <v>1940.5000000000007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127</v>
      </c>
      <c r="M3" s="80">
        <v>0.34414556962025317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200</v>
      </c>
      <c r="U3" s="79">
        <v>0</v>
      </c>
      <c r="V3" s="77" t="s">
        <v>127</v>
      </c>
      <c r="W3" s="79">
        <v>0.17948717948717949</v>
      </c>
      <c r="X3" s="77" t="s">
        <v>127</v>
      </c>
      <c r="Y3" s="80">
        <v>0.31329113924050633</v>
      </c>
      <c r="Z3" s="77" t="s">
        <v>200</v>
      </c>
      <c r="AA3" s="80">
        <v>0.29411764705882354</v>
      </c>
      <c r="AB3" s="77" t="s">
        <v>223</v>
      </c>
      <c r="AC3" s="80">
        <v>1</v>
      </c>
      <c r="AD3" s="77" t="s">
        <v>127</v>
      </c>
      <c r="AE3" s="80">
        <v>0.51459854014598538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328.6</v>
      </c>
      <c r="D4" s="85" t="s">
        <v>222</v>
      </c>
      <c r="E4" s="97">
        <v>13.3</v>
      </c>
      <c r="F4" s="85" t="s">
        <v>127</v>
      </c>
      <c r="G4" s="86">
        <v>1.7435897435897436</v>
      </c>
      <c r="H4" s="85" t="s">
        <v>127</v>
      </c>
      <c r="I4" s="87">
        <v>0.48717948717948717</v>
      </c>
      <c r="J4" s="85" t="s">
        <v>222</v>
      </c>
      <c r="K4" s="87">
        <v>0</v>
      </c>
      <c r="L4" s="85" t="s">
        <v>172</v>
      </c>
      <c r="M4" s="88">
        <v>0.34328358208955223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183</v>
      </c>
      <c r="U4" s="87">
        <v>0</v>
      </c>
      <c r="V4" s="85" t="s">
        <v>177</v>
      </c>
      <c r="W4" s="87">
        <v>0.13636363636363635</v>
      </c>
      <c r="X4" s="85" t="s">
        <v>128</v>
      </c>
      <c r="Y4" s="88">
        <v>0.30133079847908745</v>
      </c>
      <c r="Z4" s="85" t="s">
        <v>172</v>
      </c>
      <c r="AA4" s="88">
        <v>0.28955223880597014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12.439102564102569</v>
      </c>
      <c r="F5" s="85" t="s">
        <v>200</v>
      </c>
      <c r="G5" s="86">
        <v>1.8</v>
      </c>
      <c r="H5" s="85" t="s">
        <v>177</v>
      </c>
      <c r="I5" s="87">
        <v>0.40909090909090912</v>
      </c>
      <c r="J5" s="85" t="s">
        <v>200</v>
      </c>
      <c r="K5" s="87">
        <v>0.1</v>
      </c>
      <c r="L5" s="85" t="s">
        <v>200</v>
      </c>
      <c r="M5" s="88">
        <v>0.3411764705882353</v>
      </c>
      <c r="N5" s="85" t="s">
        <v>172</v>
      </c>
      <c r="O5" s="88">
        <v>0.1373134328358209</v>
      </c>
      <c r="P5" s="85" t="s">
        <v>171</v>
      </c>
      <c r="Q5" s="89">
        <v>9848.3720930232557</v>
      </c>
      <c r="R5" s="85" t="s">
        <v>177</v>
      </c>
      <c r="S5" s="89">
        <v>-7539.2405063291135</v>
      </c>
      <c r="T5" s="85" t="s">
        <v>222</v>
      </c>
      <c r="U5" s="87">
        <v>0</v>
      </c>
      <c r="V5" s="85" t="s">
        <v>171</v>
      </c>
      <c r="W5" s="87">
        <v>0.13186813186813187</v>
      </c>
      <c r="X5" s="85" t="s">
        <v>177</v>
      </c>
      <c r="Y5" s="88">
        <v>0.29523809523809524</v>
      </c>
      <c r="Z5" s="85" t="s">
        <v>173</v>
      </c>
      <c r="AA5" s="88">
        <v>0.25185185185185183</v>
      </c>
      <c r="AB5" s="85" t="s">
        <v>177</v>
      </c>
      <c r="AC5" s="88">
        <v>0.64516129032258063</v>
      </c>
      <c r="AD5" s="85" t="s">
        <v>200</v>
      </c>
      <c r="AE5" s="88">
        <v>0.48</v>
      </c>
      <c r="AF5" s="85" t="s">
        <v>173</v>
      </c>
      <c r="AG5" s="88">
        <v>0.51282051282051277</v>
      </c>
      <c r="AH5" s="85" t="s">
        <v>128</v>
      </c>
      <c r="AI5" s="92">
        <v>107600</v>
      </c>
    </row>
    <row r="6" spans="1:35" x14ac:dyDescent="0.4">
      <c r="A6" s="82">
        <v>4</v>
      </c>
      <c r="B6" s="83" t="s">
        <v>200</v>
      </c>
      <c r="C6" s="84">
        <v>18.099999999999994</v>
      </c>
      <c r="D6" s="85" t="s">
        <v>177</v>
      </c>
      <c r="E6" s="97">
        <v>4.9787878787878794</v>
      </c>
      <c r="F6" s="85" t="s">
        <v>177</v>
      </c>
      <c r="G6" s="86">
        <v>1.8636363636363635</v>
      </c>
      <c r="H6" s="85" t="s">
        <v>184</v>
      </c>
      <c r="I6" s="87">
        <v>0.3888888888888889</v>
      </c>
      <c r="J6" s="85" t="s">
        <v>127</v>
      </c>
      <c r="K6" s="87">
        <v>0.23076923076923078</v>
      </c>
      <c r="L6" s="85" t="s">
        <v>177</v>
      </c>
      <c r="M6" s="88">
        <v>0.30285714285714288</v>
      </c>
      <c r="N6" s="85" t="s">
        <v>177</v>
      </c>
      <c r="O6" s="88">
        <v>0.15047619047619049</v>
      </c>
      <c r="P6" s="85" t="s">
        <v>128</v>
      </c>
      <c r="Q6" s="89">
        <v>9320.279720279721</v>
      </c>
      <c r="R6" s="85" t="s">
        <v>128</v>
      </c>
      <c r="S6" s="89">
        <v>-7768.7150837988829</v>
      </c>
      <c r="T6" s="85" t="s">
        <v>223</v>
      </c>
      <c r="U6" s="87">
        <v>0</v>
      </c>
      <c r="V6" s="85" t="s">
        <v>145</v>
      </c>
      <c r="W6" s="87">
        <v>0.12121212121212122</v>
      </c>
      <c r="X6" s="85" t="s">
        <v>171</v>
      </c>
      <c r="Y6" s="88">
        <v>0.29040735873850199</v>
      </c>
      <c r="Z6" s="85" t="s">
        <v>223</v>
      </c>
      <c r="AA6" s="88">
        <v>0.23529411764705882</v>
      </c>
      <c r="AB6" s="85" t="s">
        <v>184</v>
      </c>
      <c r="AC6" s="88">
        <v>0.63888888888888884</v>
      </c>
      <c r="AD6" s="85" t="s">
        <v>184</v>
      </c>
      <c r="AE6" s="88">
        <v>0.42424242424242425</v>
      </c>
      <c r="AF6" s="85" t="s">
        <v>222</v>
      </c>
      <c r="AG6" s="88">
        <v>0.5</v>
      </c>
      <c r="AH6" s="85" t="s">
        <v>177</v>
      </c>
      <c r="AI6" s="92">
        <v>103000</v>
      </c>
    </row>
    <row r="7" spans="1:35" x14ac:dyDescent="0.4">
      <c r="A7" s="82">
        <v>5</v>
      </c>
      <c r="B7" s="83" t="s">
        <v>222</v>
      </c>
      <c r="C7" s="84">
        <v>13.3</v>
      </c>
      <c r="D7" s="85" t="s">
        <v>200</v>
      </c>
      <c r="E7" s="97">
        <v>1.8099999999999994</v>
      </c>
      <c r="F7" s="85" t="s">
        <v>145</v>
      </c>
      <c r="G7" s="86">
        <v>1.9956709956709957</v>
      </c>
      <c r="H7" s="85" t="s">
        <v>145</v>
      </c>
      <c r="I7" s="87">
        <v>0.3362193362193362</v>
      </c>
      <c r="J7" s="85" t="s">
        <v>177</v>
      </c>
      <c r="K7" s="87">
        <v>0.27272727272727271</v>
      </c>
      <c r="L7" s="85" t="s">
        <v>145</v>
      </c>
      <c r="M7" s="88">
        <v>0.29864016736401672</v>
      </c>
      <c r="N7" s="85" t="s">
        <v>127</v>
      </c>
      <c r="O7" s="88">
        <v>0.15664556962025317</v>
      </c>
      <c r="P7" s="85" t="s">
        <v>127</v>
      </c>
      <c r="Q7" s="89">
        <v>9232.6436781609191</v>
      </c>
      <c r="R7" s="85" t="s">
        <v>127</v>
      </c>
      <c r="S7" s="89">
        <v>-8237.878787878788</v>
      </c>
      <c r="T7" s="85" t="s">
        <v>172</v>
      </c>
      <c r="U7" s="87">
        <v>5.0632911392405063E-2</v>
      </c>
      <c r="V7" s="85" t="s">
        <v>172</v>
      </c>
      <c r="W7" s="87">
        <v>0.11392405063291139</v>
      </c>
      <c r="X7" s="85" t="s">
        <v>145</v>
      </c>
      <c r="Y7" s="88">
        <v>0.27946304044630405</v>
      </c>
      <c r="Z7" s="85" t="s">
        <v>184</v>
      </c>
      <c r="AA7" s="88">
        <v>0.22448979591836735</v>
      </c>
      <c r="AB7" s="85" t="s">
        <v>183</v>
      </c>
      <c r="AC7" s="88">
        <v>0.6</v>
      </c>
      <c r="AD7" s="85" t="s">
        <v>172</v>
      </c>
      <c r="AE7" s="88">
        <v>0.42268041237113402</v>
      </c>
      <c r="AF7" s="85" t="s">
        <v>184</v>
      </c>
      <c r="AG7" s="88">
        <v>0.47619047619047616</v>
      </c>
      <c r="AH7" s="85" t="s">
        <v>172</v>
      </c>
      <c r="AI7" s="92">
        <v>97500</v>
      </c>
    </row>
    <row r="8" spans="1:35" x14ac:dyDescent="0.4">
      <c r="A8" s="82">
        <v>6</v>
      </c>
      <c r="B8" s="83" t="s">
        <v>145</v>
      </c>
      <c r="C8" s="84">
        <v>-0.99999999999999289</v>
      </c>
      <c r="D8" s="85" t="s">
        <v>145</v>
      </c>
      <c r="E8" s="97">
        <v>-1.4430014430014328E-3</v>
      </c>
      <c r="F8" s="85" t="s">
        <v>222</v>
      </c>
      <c r="G8" s="86">
        <v>2</v>
      </c>
      <c r="H8" s="85" t="s">
        <v>200</v>
      </c>
      <c r="I8" s="87">
        <v>0.3</v>
      </c>
      <c r="J8" s="85" t="s">
        <v>172</v>
      </c>
      <c r="K8" s="87">
        <v>0.30379746835443039</v>
      </c>
      <c r="L8" s="85" t="s">
        <v>223</v>
      </c>
      <c r="M8" s="88">
        <v>0.29411764705882354</v>
      </c>
      <c r="N8" s="85" t="s">
        <v>200</v>
      </c>
      <c r="O8" s="88">
        <v>0.16470588235294117</v>
      </c>
      <c r="P8" s="85" t="s">
        <v>177</v>
      </c>
      <c r="Q8" s="89">
        <v>8937.1069182389929</v>
      </c>
      <c r="R8" s="85" t="s">
        <v>173</v>
      </c>
      <c r="S8" s="89">
        <v>-8290.9090909090901</v>
      </c>
      <c r="T8" s="85" t="s">
        <v>127</v>
      </c>
      <c r="U8" s="87">
        <v>9.6153846153846159E-2</v>
      </c>
      <c r="V8" s="85" t="s">
        <v>129</v>
      </c>
      <c r="W8" s="87">
        <v>0.10752688172043011</v>
      </c>
      <c r="X8" s="85" t="s">
        <v>129</v>
      </c>
      <c r="Y8" s="88">
        <v>0.2763496143958869</v>
      </c>
      <c r="Z8" s="85" t="s">
        <v>127</v>
      </c>
      <c r="AA8" s="88">
        <v>0.21677215189873417</v>
      </c>
      <c r="AB8" s="85" t="s">
        <v>128</v>
      </c>
      <c r="AC8" s="88">
        <v>0.58675078864353314</v>
      </c>
      <c r="AD8" s="85" t="s">
        <v>171</v>
      </c>
      <c r="AE8" s="88">
        <v>0.40972222222222221</v>
      </c>
      <c r="AF8" s="85" t="s">
        <v>177</v>
      </c>
      <c r="AG8" s="88">
        <v>0.44654088050314467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171</v>
      </c>
      <c r="C9" s="84">
        <v>-9.1999999999999709</v>
      </c>
      <c r="D9" s="85" t="s">
        <v>171</v>
      </c>
      <c r="E9" s="97">
        <v>-0.10109890109890078</v>
      </c>
      <c r="F9" s="85" t="s">
        <v>172</v>
      </c>
      <c r="G9" s="86">
        <v>2.037974683544304</v>
      </c>
      <c r="H9" s="85" t="s">
        <v>171</v>
      </c>
      <c r="I9" s="87">
        <v>0.2967032967032967</v>
      </c>
      <c r="J9" s="85" t="s">
        <v>145</v>
      </c>
      <c r="K9" s="87">
        <v>0.3318903318903319</v>
      </c>
      <c r="L9" s="85" t="s">
        <v>173</v>
      </c>
      <c r="M9" s="88">
        <v>0.28888888888888886</v>
      </c>
      <c r="N9" s="85" t="s">
        <v>145</v>
      </c>
      <c r="O9" s="88">
        <v>0.16771269177126918</v>
      </c>
      <c r="P9" s="85" t="s">
        <v>129</v>
      </c>
      <c r="Q9" s="89">
        <v>8755.3191489361707</v>
      </c>
      <c r="R9" s="85" t="s">
        <v>145</v>
      </c>
      <c r="S9" s="89">
        <v>-8318.9189189189183</v>
      </c>
      <c r="T9" s="85" t="s">
        <v>171</v>
      </c>
      <c r="U9" s="87">
        <v>9.8901098901098897E-2</v>
      </c>
      <c r="V9" s="85" t="s">
        <v>128</v>
      </c>
      <c r="W9" s="87">
        <v>9.4488188976377951E-2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173</v>
      </c>
      <c r="AC9" s="88">
        <v>0.5842696629213483</v>
      </c>
      <c r="AD9" s="85" t="s">
        <v>145</v>
      </c>
      <c r="AE9" s="88">
        <v>0.39104729729729731</v>
      </c>
      <c r="AF9" s="85" t="s">
        <v>145</v>
      </c>
      <c r="AG9" s="88">
        <v>0.4319906596614127</v>
      </c>
      <c r="AH9" s="85" t="s">
        <v>184</v>
      </c>
      <c r="AI9" s="92">
        <v>92000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172</v>
      </c>
      <c r="E10" s="97">
        <v>-0.848101265822785</v>
      </c>
      <c r="F10" s="85" t="s">
        <v>171</v>
      </c>
      <c r="G10" s="86">
        <v>2.0439560439560438</v>
      </c>
      <c r="H10" s="85" t="s">
        <v>173</v>
      </c>
      <c r="I10" s="87">
        <v>0.27659574468085107</v>
      </c>
      <c r="J10" s="85" t="s">
        <v>171</v>
      </c>
      <c r="K10" s="87">
        <v>0.34065934065934067</v>
      </c>
      <c r="L10" s="85" t="s">
        <v>184</v>
      </c>
      <c r="M10" s="88">
        <v>0.2857142857142857</v>
      </c>
      <c r="N10" s="85" t="s">
        <v>128</v>
      </c>
      <c r="O10" s="88">
        <v>0.17015209125475286</v>
      </c>
      <c r="P10" s="85" t="s">
        <v>145</v>
      </c>
      <c r="Q10" s="89">
        <v>8706.4798598949219</v>
      </c>
      <c r="R10" s="85" t="s">
        <v>184</v>
      </c>
      <c r="S10" s="89">
        <v>-8376.4705882352937</v>
      </c>
      <c r="T10" s="85" t="s">
        <v>145</v>
      </c>
      <c r="U10" s="87">
        <v>0.12121212121212122</v>
      </c>
      <c r="V10" s="85" t="s">
        <v>173</v>
      </c>
      <c r="W10" s="87">
        <v>6.3829787234042548E-2</v>
      </c>
      <c r="X10" s="85" t="s">
        <v>184</v>
      </c>
      <c r="Y10" s="88">
        <v>0.24489795918367346</v>
      </c>
      <c r="Z10" s="85" t="s">
        <v>145</v>
      </c>
      <c r="AA10" s="88">
        <v>0.20641562064156208</v>
      </c>
      <c r="AB10" s="85" t="s">
        <v>145</v>
      </c>
      <c r="AC10" s="88">
        <v>0.57829070492825951</v>
      </c>
      <c r="AD10" s="85" t="s">
        <v>177</v>
      </c>
      <c r="AE10" s="88">
        <v>0.35483870967741937</v>
      </c>
      <c r="AF10" s="85" t="s">
        <v>129</v>
      </c>
      <c r="AG10" s="88">
        <v>0.42553191489361702</v>
      </c>
      <c r="AH10" s="85" t="s">
        <v>171</v>
      </c>
      <c r="AI10" s="92">
        <v>91700</v>
      </c>
    </row>
    <row r="11" spans="1:35" x14ac:dyDescent="0.4">
      <c r="A11" s="82">
        <v>9</v>
      </c>
      <c r="B11" s="83" t="s">
        <v>172</v>
      </c>
      <c r="C11" s="84">
        <v>-67.000000000000014</v>
      </c>
      <c r="D11" s="85" t="s">
        <v>128</v>
      </c>
      <c r="E11" s="97">
        <v>-2.7204724409448819</v>
      </c>
      <c r="F11" s="85" t="s">
        <v>128</v>
      </c>
      <c r="G11" s="86">
        <v>2.0866141732283463</v>
      </c>
      <c r="H11" s="85" t="s">
        <v>128</v>
      </c>
      <c r="I11" s="87">
        <v>0.26771653543307089</v>
      </c>
      <c r="J11" s="85" t="s">
        <v>128</v>
      </c>
      <c r="K11" s="87">
        <v>0.3543307086614173</v>
      </c>
      <c r="L11" s="85" t="s">
        <v>171</v>
      </c>
      <c r="M11" s="88">
        <v>0.28252299605781866</v>
      </c>
      <c r="N11" s="85" t="s">
        <v>171</v>
      </c>
      <c r="O11" s="88">
        <v>0.1773981603153745</v>
      </c>
      <c r="P11" s="85" t="s">
        <v>184</v>
      </c>
      <c r="Q11" s="89">
        <v>8642.8571428571431</v>
      </c>
      <c r="R11" s="85" t="s">
        <v>171</v>
      </c>
      <c r="S11" s="89">
        <v>-8548.1481481481478</v>
      </c>
      <c r="T11" s="85" t="s">
        <v>128</v>
      </c>
      <c r="U11" s="87">
        <v>0.13385826771653545</v>
      </c>
      <c r="V11" s="85" t="s">
        <v>184</v>
      </c>
      <c r="W11" s="87">
        <v>5.5555555555555552E-2</v>
      </c>
      <c r="X11" s="85" t="s">
        <v>200</v>
      </c>
      <c r="Y11" s="88">
        <v>0.23529411764705882</v>
      </c>
      <c r="Z11" s="85" t="s">
        <v>171</v>
      </c>
      <c r="AA11" s="88">
        <v>0.18922470433639949</v>
      </c>
      <c r="AB11" s="85" t="s">
        <v>127</v>
      </c>
      <c r="AC11" s="88">
        <v>0.5757575757575758</v>
      </c>
      <c r="AD11" s="85" t="s">
        <v>173</v>
      </c>
      <c r="AE11" s="88">
        <v>0.3235294117647059</v>
      </c>
      <c r="AF11" s="85" t="s">
        <v>128</v>
      </c>
      <c r="AG11" s="88">
        <v>0.42307692307692307</v>
      </c>
      <c r="AH11" s="85" t="s">
        <v>173</v>
      </c>
      <c r="AI11" s="92">
        <v>85900</v>
      </c>
    </row>
    <row r="12" spans="1:35" x14ac:dyDescent="0.4">
      <c r="A12" s="82">
        <v>10</v>
      </c>
      <c r="B12" s="83" t="s">
        <v>184</v>
      </c>
      <c r="C12" s="84">
        <v>-127.5</v>
      </c>
      <c r="D12" s="85" t="s">
        <v>184</v>
      </c>
      <c r="E12" s="97">
        <v>-7.083333333333333</v>
      </c>
      <c r="F12" s="85" t="s">
        <v>184</v>
      </c>
      <c r="G12" s="86">
        <v>2.1111111111111112</v>
      </c>
      <c r="H12" s="85" t="s">
        <v>172</v>
      </c>
      <c r="I12" s="87">
        <v>0.26582278481012656</v>
      </c>
      <c r="J12" s="85" t="s">
        <v>173</v>
      </c>
      <c r="K12" s="87">
        <v>0.40425531914893614</v>
      </c>
      <c r="L12" s="85" t="s">
        <v>128</v>
      </c>
      <c r="M12" s="88">
        <v>0.27186311787072243</v>
      </c>
      <c r="N12" s="85" t="s">
        <v>129</v>
      </c>
      <c r="O12" s="88">
        <v>0.18894601542416453</v>
      </c>
      <c r="P12" s="85" t="s">
        <v>183</v>
      </c>
      <c r="Q12" s="89">
        <v>7860</v>
      </c>
      <c r="R12" s="85" t="s">
        <v>172</v>
      </c>
      <c r="S12" s="89">
        <v>-8579.347826086956</v>
      </c>
      <c r="T12" s="85" t="s">
        <v>173</v>
      </c>
      <c r="U12" s="87">
        <v>0.14893617021276595</v>
      </c>
      <c r="V12" s="85" t="s">
        <v>200</v>
      </c>
      <c r="W12" s="87">
        <v>0</v>
      </c>
      <c r="X12" s="85" t="s">
        <v>222</v>
      </c>
      <c r="Y12" s="88">
        <v>0.23076923076923078</v>
      </c>
      <c r="Z12" s="85" t="s">
        <v>177</v>
      </c>
      <c r="AA12" s="88">
        <v>0.17714285714285713</v>
      </c>
      <c r="AB12" s="85" t="s">
        <v>171</v>
      </c>
      <c r="AC12" s="88">
        <v>0.56561085972850678</v>
      </c>
      <c r="AD12" s="85" t="s">
        <v>128</v>
      </c>
      <c r="AE12" s="88">
        <v>0.29569892473118281</v>
      </c>
      <c r="AF12" s="85" t="s">
        <v>172</v>
      </c>
      <c r="AG12" s="88">
        <v>0.42173913043478262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128</v>
      </c>
      <c r="C13" s="84">
        <v>-345.5</v>
      </c>
      <c r="D13" s="85" t="s">
        <v>173</v>
      </c>
      <c r="E13" s="97">
        <v>-9.3553191489361698</v>
      </c>
      <c r="F13" s="85" t="s">
        <v>173</v>
      </c>
      <c r="G13" s="86">
        <v>2.1276595744680851</v>
      </c>
      <c r="H13" s="85" t="s">
        <v>129</v>
      </c>
      <c r="I13" s="87">
        <v>0.24731182795698925</v>
      </c>
      <c r="J13" s="85" t="s">
        <v>129</v>
      </c>
      <c r="K13" s="87">
        <v>0.4946236559139785</v>
      </c>
      <c r="L13" s="85" t="s">
        <v>183</v>
      </c>
      <c r="M13" s="88">
        <v>0.26315789473684209</v>
      </c>
      <c r="N13" s="85" t="s">
        <v>173</v>
      </c>
      <c r="O13" s="88">
        <v>0.19012345679012346</v>
      </c>
      <c r="P13" s="85" t="s">
        <v>173</v>
      </c>
      <c r="Q13" s="89">
        <v>6904.2735042735039</v>
      </c>
      <c r="R13" s="85" t="s">
        <v>129</v>
      </c>
      <c r="S13" s="89">
        <v>-9236.0544217687075</v>
      </c>
      <c r="T13" s="85" t="s">
        <v>177</v>
      </c>
      <c r="U13" s="87">
        <v>0.15151515151515152</v>
      </c>
      <c r="V13" s="85" t="s">
        <v>183</v>
      </c>
      <c r="W13" s="87">
        <v>0</v>
      </c>
      <c r="X13" s="85" t="s">
        <v>173</v>
      </c>
      <c r="Y13" s="88">
        <v>0.21975308641975308</v>
      </c>
      <c r="Z13" s="85" t="s">
        <v>128</v>
      </c>
      <c r="AA13" s="88">
        <v>0.17680608365019013</v>
      </c>
      <c r="AB13" s="85" t="s">
        <v>172</v>
      </c>
      <c r="AC13" s="88">
        <v>0.55944055944055948</v>
      </c>
      <c r="AD13" s="85" t="s">
        <v>129</v>
      </c>
      <c r="AE13" s="88">
        <v>0.25</v>
      </c>
      <c r="AF13" s="85" t="s">
        <v>171</v>
      </c>
      <c r="AG13" s="88">
        <v>0.413953488372093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173</v>
      </c>
      <c r="C14" s="84">
        <v>-439.7</v>
      </c>
      <c r="D14" s="85" t="s">
        <v>223</v>
      </c>
      <c r="E14" s="97">
        <v>-12.35</v>
      </c>
      <c r="F14" s="85" t="s">
        <v>129</v>
      </c>
      <c r="G14" s="86">
        <v>2.247311827956989</v>
      </c>
      <c r="H14" s="85" t="s">
        <v>222</v>
      </c>
      <c r="I14" s="87">
        <v>0</v>
      </c>
      <c r="J14" s="85" t="s">
        <v>184</v>
      </c>
      <c r="K14" s="87">
        <v>0.5</v>
      </c>
      <c r="L14" s="85" t="s">
        <v>129</v>
      </c>
      <c r="M14" s="88">
        <v>0.2416452442159383</v>
      </c>
      <c r="N14" s="85" t="s">
        <v>184</v>
      </c>
      <c r="O14" s="88">
        <v>0.23129251700680273</v>
      </c>
      <c r="P14" s="85" t="s">
        <v>172</v>
      </c>
      <c r="Q14" s="89">
        <v>6787.391304347826</v>
      </c>
      <c r="R14" s="85" t="s">
        <v>222</v>
      </c>
      <c r="S14" s="89">
        <v>-12000</v>
      </c>
      <c r="T14" s="85" t="s">
        <v>129</v>
      </c>
      <c r="U14" s="87">
        <v>0.19354838709677419</v>
      </c>
      <c r="V14" s="85" t="s">
        <v>222</v>
      </c>
      <c r="W14" s="87">
        <v>0</v>
      </c>
      <c r="X14" s="85" t="s">
        <v>172</v>
      </c>
      <c r="Y14" s="88">
        <v>0.21343283582089553</v>
      </c>
      <c r="Z14" s="85" t="s">
        <v>129</v>
      </c>
      <c r="AA14" s="88">
        <v>0.15938303341902313</v>
      </c>
      <c r="AB14" s="85" t="s">
        <v>129</v>
      </c>
      <c r="AC14" s="88">
        <v>0.52093023255813953</v>
      </c>
      <c r="AD14" s="85" t="s">
        <v>223</v>
      </c>
      <c r="AE14" s="88">
        <v>0.25</v>
      </c>
      <c r="AF14" s="85" t="s">
        <v>127</v>
      </c>
      <c r="AG14" s="88">
        <v>0.41379310344827586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-1348.9</v>
      </c>
      <c r="D15" s="85" t="s">
        <v>129</v>
      </c>
      <c r="E15" s="97">
        <v>-14.504301075268819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200</v>
      </c>
      <c r="Q15" s="89">
        <v>6765.5172413793107</v>
      </c>
      <c r="R15" s="85" t="s">
        <v>223</v>
      </c>
      <c r="S15" s="89">
        <v>-12425</v>
      </c>
      <c r="T15" s="85" t="s">
        <v>184</v>
      </c>
      <c r="U15" s="87">
        <v>0.22222222222222221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8DE6-F449-4380-B816-B263642B4AAF}">
  <sheetPr codeName="Sheet4"/>
  <dimension ref="A1:Q69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693</v>
      </c>
      <c r="C2" s="151"/>
      <c r="E2" s="62" t="s">
        <v>67</v>
      </c>
      <c r="F2" s="59" t="s">
        <v>23</v>
      </c>
      <c r="G2" s="46">
        <v>1252</v>
      </c>
      <c r="H2" s="132">
        <f>IF(B$17=0,0,G2/B$17)</f>
        <v>0.73088149445417394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-17.391304347826086</v>
      </c>
      <c r="P2" s="118">
        <v>690</v>
      </c>
      <c r="Q2" s="102">
        <v>-12000</v>
      </c>
    </row>
    <row r="3" spans="1:17" x14ac:dyDescent="0.4">
      <c r="A3" s="55" t="s">
        <v>8</v>
      </c>
      <c r="B3" s="152">
        <v>5736</v>
      </c>
      <c r="C3" s="153"/>
      <c r="E3" s="63" t="s">
        <v>65</v>
      </c>
      <c r="F3" s="60" t="s">
        <v>21</v>
      </c>
      <c r="G3" s="47">
        <v>885</v>
      </c>
      <c r="H3" s="133">
        <f>IF(B$17=0,0,G3/B$17)</f>
        <v>0.5166374781085814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-4.4444444444444446</v>
      </c>
      <c r="P3" s="119">
        <v>675</v>
      </c>
      <c r="Q3" s="103">
        <v>-3000</v>
      </c>
    </row>
    <row r="4" spans="1:17" x14ac:dyDescent="0.4">
      <c r="A4" s="55" t="s">
        <v>6</v>
      </c>
      <c r="B4" s="154">
        <v>-0.99999999999999289</v>
      </c>
      <c r="C4" s="155"/>
      <c r="E4" s="63" t="s">
        <v>73</v>
      </c>
      <c r="F4" s="60" t="s">
        <v>28</v>
      </c>
      <c r="G4" s="47">
        <v>866</v>
      </c>
      <c r="H4" s="133">
        <f>IF(B$17=0,0,G4/B$17)</f>
        <v>0.5055458260361938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9.5238095238095237</v>
      </c>
      <c r="P4" s="119">
        <v>630</v>
      </c>
      <c r="Q4" s="103">
        <v>6000</v>
      </c>
    </row>
    <row r="5" spans="1:17" x14ac:dyDescent="0.4">
      <c r="A5" s="55" t="s">
        <v>7</v>
      </c>
      <c r="B5" s="156">
        <f>IF(B$2=0,0,B$4/B$2)</f>
        <v>-1.4430014430014328E-3</v>
      </c>
      <c r="C5" s="157"/>
      <c r="E5" s="63" t="s">
        <v>245</v>
      </c>
      <c r="F5" s="60" t="s">
        <v>246</v>
      </c>
      <c r="G5" s="47">
        <v>699</v>
      </c>
      <c r="H5" s="133">
        <f>IF(B$17=0,0,G5/B$17)</f>
        <v>0.40805604203152362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6.9808027923211169</v>
      </c>
      <c r="P5" s="119">
        <v>573</v>
      </c>
      <c r="Q5" s="103">
        <v>4000</v>
      </c>
    </row>
    <row r="6" spans="1:17" x14ac:dyDescent="0.4">
      <c r="A6" s="55" t="s">
        <v>1</v>
      </c>
      <c r="B6" s="146">
        <f>IF(B$2=0,0,(B$7*1+B$8*2+B$9*3)/B$2)</f>
        <v>1.9956709956709957</v>
      </c>
      <c r="C6" s="147"/>
      <c r="E6" s="63" t="s">
        <v>69</v>
      </c>
      <c r="F6" s="60" t="s">
        <v>12</v>
      </c>
      <c r="G6" s="47">
        <v>535</v>
      </c>
      <c r="H6" s="133">
        <f>IF(B$17=0,0,G6/B$17)</f>
        <v>0.31231757151196732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-11.695906432748538</v>
      </c>
      <c r="P6" s="119">
        <v>513</v>
      </c>
      <c r="Q6" s="103">
        <v>-6000</v>
      </c>
    </row>
    <row r="7" spans="1:17" x14ac:dyDescent="0.4">
      <c r="A7" s="55" t="s">
        <v>2</v>
      </c>
      <c r="B7" s="47">
        <v>233</v>
      </c>
      <c r="C7" s="39">
        <f>IF(B$2=0,0,B7/B$2)</f>
        <v>0.3362193362193362</v>
      </c>
      <c r="E7" s="63" t="s">
        <v>68</v>
      </c>
      <c r="F7" s="60" t="s">
        <v>24</v>
      </c>
      <c r="G7" s="47">
        <v>525</v>
      </c>
      <c r="H7" s="133">
        <f>IF(B$17=0,0,G7/B$17)</f>
        <v>0.30647985989492121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21.92982456140351</v>
      </c>
      <c r="P7" s="120">
        <v>456</v>
      </c>
      <c r="Q7" s="104">
        <v>10000</v>
      </c>
    </row>
    <row r="8" spans="1:17" x14ac:dyDescent="0.4">
      <c r="A8" s="55" t="s">
        <v>3</v>
      </c>
      <c r="B8" s="47">
        <v>230</v>
      </c>
      <c r="C8" s="39">
        <f>IF(B$2=0,0,B8/B$2)</f>
        <v>0.3318903318903319</v>
      </c>
      <c r="E8" s="63" t="s">
        <v>70</v>
      </c>
      <c r="F8" s="60" t="s">
        <v>25</v>
      </c>
      <c r="G8" s="47">
        <v>302</v>
      </c>
      <c r="H8" s="133">
        <f>IF(B$17=0,0,G8/B$17)</f>
        <v>0.17629889083479275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230</v>
      </c>
      <c r="C9" s="40">
        <f t="shared" ref="C9" si="1">IF(B$2=0,0,B9/B$2)</f>
        <v>0.3318903318903319</v>
      </c>
      <c r="E9" s="63" t="s">
        <v>90</v>
      </c>
      <c r="F9" s="60" t="s">
        <v>45</v>
      </c>
      <c r="G9" s="47">
        <v>215</v>
      </c>
      <c r="H9" s="133">
        <f>IF(B$17=0,0,G9/B$17)</f>
        <v>0.12551079976649154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84</v>
      </c>
      <c r="C10" s="40">
        <f>IF(B$2=0,0,B10/B$2)</f>
        <v>0.12121212121212122</v>
      </c>
      <c r="E10" s="63" t="s">
        <v>66</v>
      </c>
      <c r="F10" s="60" t="s">
        <v>22</v>
      </c>
      <c r="G10" s="47">
        <v>204</v>
      </c>
      <c r="H10" s="133">
        <f>IF(B$17=0,0,G10/B$17)</f>
        <v>0.11908931698774081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-2.3614718614718604</v>
      </c>
      <c r="P10" s="118">
        <v>231</v>
      </c>
      <c r="Q10" s="106">
        <v>-545.49999999999977</v>
      </c>
    </row>
    <row r="11" spans="1:17" x14ac:dyDescent="0.4">
      <c r="A11" s="56" t="s">
        <v>140</v>
      </c>
      <c r="B11" s="48">
        <v>84</v>
      </c>
      <c r="C11" s="40">
        <f>IF(B$2=0,0,B11/B$2)</f>
        <v>0.12121212121212122</v>
      </c>
      <c r="E11" s="63" t="s">
        <v>71</v>
      </c>
      <c r="F11" s="60" t="s">
        <v>26</v>
      </c>
      <c r="G11" s="47">
        <v>174</v>
      </c>
      <c r="H11" s="133">
        <f>IF(B$17=0,0,G11/B$17)</f>
        <v>0.10157618213660245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1.4090909090909092</v>
      </c>
      <c r="P11" s="119">
        <v>231</v>
      </c>
      <c r="Q11" s="107">
        <v>325.5</v>
      </c>
    </row>
    <row r="12" spans="1:17" x14ac:dyDescent="0.4">
      <c r="A12" s="57" t="s">
        <v>160</v>
      </c>
      <c r="B12" s="49">
        <v>58</v>
      </c>
      <c r="C12" s="42">
        <f>IF(B$2=0,0,B12/B$2)</f>
        <v>8.3694083694083696E-2</v>
      </c>
      <c r="E12" s="63" t="s">
        <v>72</v>
      </c>
      <c r="F12" s="60" t="s">
        <v>27</v>
      </c>
      <c r="G12" s="47">
        <v>119</v>
      </c>
      <c r="H12" s="133">
        <f>IF(B$17=0,0,G12/B$17)</f>
        <v>6.9468768242848797E-2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0.94805194805194781</v>
      </c>
      <c r="P12" s="120">
        <v>231</v>
      </c>
      <c r="Q12" s="108">
        <v>218.99999999999994</v>
      </c>
    </row>
    <row r="13" spans="1:17" x14ac:dyDescent="0.4">
      <c r="A13" s="58" t="s">
        <v>122</v>
      </c>
      <c r="B13" s="50">
        <v>1603</v>
      </c>
      <c r="C13" s="44">
        <f>IF(B$3=0,0,B13/B$3)</f>
        <v>0.27946304044630405</v>
      </c>
      <c r="E13" s="63" t="s">
        <v>87</v>
      </c>
      <c r="F13" s="60" t="s">
        <v>42</v>
      </c>
      <c r="G13" s="47">
        <v>98</v>
      </c>
      <c r="H13" s="133">
        <f>IF(B$17=0,0,G13/B$17)</f>
        <v>5.7209573847051956E-2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1184</v>
      </c>
      <c r="C14" s="39">
        <f>IF(B$3=0,0,B14/B$3)</f>
        <v>0.20641562064156208</v>
      </c>
      <c r="E14" s="63" t="s">
        <v>84</v>
      </c>
      <c r="F14" s="60" t="s">
        <v>39</v>
      </c>
      <c r="G14" s="47">
        <v>84</v>
      </c>
      <c r="H14" s="133">
        <f>IF(B$17=0,0,G14/B$17)</f>
        <v>4.9036777583187391E-2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927</v>
      </c>
      <c r="C15" s="37">
        <f>IF(B$13=0,0,B15/B$13)</f>
        <v>0.57829070492825951</v>
      </c>
      <c r="E15" s="63" t="s">
        <v>79</v>
      </c>
      <c r="F15" s="60" t="s">
        <v>34</v>
      </c>
      <c r="G15" s="47">
        <v>47</v>
      </c>
      <c r="H15" s="133">
        <f>IF(B$17=0,0,G15/B$17)</f>
        <v>2.7437244600116754E-2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21.751075268817232</v>
      </c>
      <c r="P15" s="118">
        <v>186</v>
      </c>
      <c r="Q15" s="106">
        <v>4045.7000000000048</v>
      </c>
    </row>
    <row r="16" spans="1:17" x14ac:dyDescent="0.4">
      <c r="A16" s="54" t="s">
        <v>125</v>
      </c>
      <c r="B16" s="46">
        <v>463</v>
      </c>
      <c r="C16" s="37">
        <f>IF(B$14=0,0,B16/B$14)</f>
        <v>0.39104729729729731</v>
      </c>
      <c r="E16" s="63" t="s">
        <v>82</v>
      </c>
      <c r="F16" s="60" t="s">
        <v>37</v>
      </c>
      <c r="G16" s="47">
        <v>46</v>
      </c>
      <c r="H16" s="133">
        <f>IF(B$17=0,0,G16/B$17)</f>
        <v>2.6853473438412143E-2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1713</v>
      </c>
      <c r="C17" s="37">
        <f>IF(B$3=0,0,B17/B$3)</f>
        <v>0.29864016736401672</v>
      </c>
      <c r="E17" s="63" t="s">
        <v>92</v>
      </c>
      <c r="F17" s="60" t="s">
        <v>47</v>
      </c>
      <c r="G17" s="47">
        <v>34</v>
      </c>
      <c r="H17" s="133">
        <f>IF(B$17=0,0,G17/B$17)</f>
        <v>1.9848219497956801E-2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14.032978723404252</v>
      </c>
      <c r="P17" s="119">
        <v>94</v>
      </c>
      <c r="Q17" s="107">
        <v>1319.0999999999997</v>
      </c>
    </row>
    <row r="18" spans="1:17" x14ac:dyDescent="0.4">
      <c r="A18" s="55" t="s">
        <v>12</v>
      </c>
      <c r="B18" s="47">
        <v>740</v>
      </c>
      <c r="C18" s="39">
        <f>IF(B$17=0,0,B18/B$17)</f>
        <v>0.4319906596614127</v>
      </c>
      <c r="E18" s="63" t="s">
        <v>80</v>
      </c>
      <c r="F18" s="60" t="s">
        <v>35</v>
      </c>
      <c r="G18" s="47">
        <v>27</v>
      </c>
      <c r="H18" s="133">
        <f>IF(B$17=0,0,G18/B$17)</f>
        <v>1.5761821366024518E-2</v>
      </c>
      <c r="I18" s="94">
        <v>6</v>
      </c>
      <c r="K18" s="38">
        <v>16</v>
      </c>
      <c r="L18" s="99">
        <v>90.899999999999991</v>
      </c>
      <c r="N18" s="115" t="s">
        <v>184</v>
      </c>
      <c r="O18" s="125">
        <f>IF(P18=0,0,Q18/P18)</f>
        <v>10.597222222222221</v>
      </c>
      <c r="P18" s="119">
        <v>36</v>
      </c>
      <c r="Q18" s="107">
        <v>381.5</v>
      </c>
    </row>
    <row r="19" spans="1:17" x14ac:dyDescent="0.4">
      <c r="A19" s="55" t="s">
        <v>11</v>
      </c>
      <c r="B19" s="47">
        <v>973</v>
      </c>
      <c r="C19" s="39">
        <f>IF(B$17=0,0,B19/B$17)</f>
        <v>0.5680093403385873</v>
      </c>
      <c r="E19" s="63" t="s">
        <v>180</v>
      </c>
      <c r="F19" s="60" t="s">
        <v>181</v>
      </c>
      <c r="G19" s="47">
        <v>26</v>
      </c>
      <c r="H19" s="133">
        <f>IF(B$17=0,0,G19/B$17)</f>
        <v>1.5178050204319907E-2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4.0807086614173231</v>
      </c>
      <c r="P19" s="119">
        <v>254</v>
      </c>
      <c r="Q19" s="107">
        <v>1036.5</v>
      </c>
    </row>
    <row r="20" spans="1:17" x14ac:dyDescent="0.4">
      <c r="A20" s="55" t="s">
        <v>13</v>
      </c>
      <c r="B20" s="47">
        <v>962</v>
      </c>
      <c r="C20" s="39">
        <f>IF(B$3=0,0,B20/B$3)</f>
        <v>0.16771269177126918</v>
      </c>
      <c r="E20" s="63" t="s">
        <v>74</v>
      </c>
      <c r="F20" s="60" t="s">
        <v>29</v>
      </c>
      <c r="G20" s="47">
        <v>11</v>
      </c>
      <c r="H20" s="133">
        <f>IF(B$17=0,0,G20/B$17)</f>
        <v>6.4214827787507298E-3</v>
      </c>
      <c r="I20" s="94">
        <v>6</v>
      </c>
      <c r="K20" s="38">
        <v>18</v>
      </c>
      <c r="L20" s="99">
        <v>-3.5527136788005009E-15</v>
      </c>
      <c r="N20" s="115" t="s">
        <v>172</v>
      </c>
      <c r="O20" s="125">
        <f>IF(P20=0,0,Q20/P20)</f>
        <v>1.2721518987341767</v>
      </c>
      <c r="P20" s="119">
        <v>158</v>
      </c>
      <c r="Q20" s="107">
        <v>200.99999999999991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10</v>
      </c>
      <c r="H21" s="133">
        <f>IF(B$17=0,0,G21/B$17)</f>
        <v>5.837711617046118E-3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0.15164835164835422</v>
      </c>
      <c r="P21" s="119">
        <v>182</v>
      </c>
      <c r="Q21" s="107">
        <v>27.600000000000467</v>
      </c>
    </row>
    <row r="22" spans="1:17" x14ac:dyDescent="0.4">
      <c r="A22" s="55" t="s">
        <v>192</v>
      </c>
      <c r="B22" s="47">
        <v>31</v>
      </c>
      <c r="C22" s="135">
        <v>7</v>
      </c>
      <c r="E22" s="63" t="s">
        <v>75</v>
      </c>
      <c r="F22" s="60" t="s">
        <v>30</v>
      </c>
      <c r="G22" s="47">
        <v>8</v>
      </c>
      <c r="H22" s="133">
        <f>IF(B$17=0,0,G22/B$17)</f>
        <v>4.6701692936368944E-3</v>
      </c>
      <c r="I22" s="94">
        <v>5</v>
      </c>
      <c r="K22" s="38">
        <v>20</v>
      </c>
      <c r="L22" s="99">
        <v>0.79999999999999716</v>
      </c>
      <c r="N22" s="115" t="s">
        <v>200</v>
      </c>
      <c r="O22" s="125">
        <f>IF(P22=0,0,Q22/P22)</f>
        <v>-2.7150000000000012</v>
      </c>
      <c r="P22" s="119">
        <v>20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8706.4798598949219</v>
      </c>
      <c r="C23" s="41">
        <v>14914200</v>
      </c>
      <c r="E23" s="63" t="s">
        <v>93</v>
      </c>
      <c r="F23" s="60" t="s">
        <v>48</v>
      </c>
      <c r="G23" s="47">
        <v>8</v>
      </c>
      <c r="H23" s="133">
        <f>IF(B$17=0,0,G23/B$17)</f>
        <v>4.6701692936368944E-3</v>
      </c>
      <c r="I23" s="94">
        <v>5</v>
      </c>
      <c r="K23" s="38">
        <v>21</v>
      </c>
      <c r="L23" s="99">
        <v>-2.886579864025407E-15</v>
      </c>
      <c r="N23" s="115" t="s">
        <v>177</v>
      </c>
      <c r="O23" s="125">
        <f>IF(P23=0,0,Q23/P23)</f>
        <v>-7.4681818181818178</v>
      </c>
      <c r="P23" s="119">
        <v>132</v>
      </c>
      <c r="Q23" s="107">
        <v>-985.8</v>
      </c>
    </row>
    <row r="24" spans="1:17" x14ac:dyDescent="0.4">
      <c r="A24" s="57" t="s">
        <v>14</v>
      </c>
      <c r="B24" s="52">
        <f>IF(B$20=0,0,C24/B$20)</f>
        <v>-8318.9189189189183</v>
      </c>
      <c r="C24" s="45">
        <v>-8002800</v>
      </c>
      <c r="E24" s="63" t="s">
        <v>86</v>
      </c>
      <c r="F24" s="60" t="s">
        <v>41</v>
      </c>
      <c r="G24" s="47">
        <v>7</v>
      </c>
      <c r="H24" s="133">
        <f>IF(B$17=0,0,G24/B$17)</f>
        <v>4.0863981319322826E-3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-18.66185897435895</v>
      </c>
      <c r="P24" s="119">
        <v>312</v>
      </c>
      <c r="Q24" s="107">
        <v>-5822.4999999999918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6</v>
      </c>
      <c r="H25" s="133">
        <f>IF(B$17=0,0,G25/B$17)</f>
        <v>3.5026269702276708E-3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6</v>
      </c>
      <c r="H26" s="133">
        <f>IF(B$17=0,0,G26/B$17)</f>
        <v>3.5026269702276708E-3</v>
      </c>
      <c r="I26" s="94">
        <v>4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2.4407252440725243E-3</v>
      </c>
      <c r="E27" s="63" t="s">
        <v>91</v>
      </c>
      <c r="F27" s="60" t="s">
        <v>46</v>
      </c>
      <c r="G27" s="47">
        <v>5</v>
      </c>
      <c r="H27" s="133">
        <f>IF(B$17=0,0,G27/B$17)</f>
        <v>2.918855808523059E-3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78</v>
      </c>
      <c r="F28" s="60" t="s">
        <v>33</v>
      </c>
      <c r="G28" s="47">
        <v>4</v>
      </c>
      <c r="H28" s="133">
        <f>IF(B$17=0,0,G28/B$17)</f>
        <v>2.3350846468184472E-3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4</v>
      </c>
      <c r="H29" s="133">
        <f>IF(B$17=0,0,G29/B$17)</f>
        <v>2.3350846468184472E-3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1.1675423234092236E-3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1.1675423234092236E-3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5.837711617046118E-4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5.837711617046118E-4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45.999999999999979</v>
      </c>
    </row>
    <row r="650" spans="11:12" x14ac:dyDescent="0.4">
      <c r="K650" s="38">
        <v>648</v>
      </c>
      <c r="L650" s="99">
        <v>-1.0000000000000213</v>
      </c>
    </row>
    <row r="651" spans="11:12" x14ac:dyDescent="0.4">
      <c r="K651" s="38">
        <v>649</v>
      </c>
      <c r="L651" s="99">
        <v>-15.300000000000022</v>
      </c>
    </row>
    <row r="652" spans="11:12" x14ac:dyDescent="0.4">
      <c r="K652" s="38">
        <v>650</v>
      </c>
      <c r="L652" s="99">
        <v>35.09999999999998</v>
      </c>
    </row>
    <row r="653" spans="11:12" x14ac:dyDescent="0.4">
      <c r="K653" s="38">
        <v>651</v>
      </c>
      <c r="L653" s="99">
        <v>-1.0000000000000213</v>
      </c>
    </row>
    <row r="654" spans="11:12" x14ac:dyDescent="0.4">
      <c r="K654" s="38">
        <v>652</v>
      </c>
      <c r="L654" s="99">
        <v>-1.0000000000000213</v>
      </c>
    </row>
    <row r="655" spans="11:12" x14ac:dyDescent="0.4">
      <c r="K655" s="38">
        <v>653</v>
      </c>
      <c r="L655" s="99">
        <v>-1.0000000000000213</v>
      </c>
    </row>
    <row r="656" spans="11:12" x14ac:dyDescent="0.4">
      <c r="K656" s="38">
        <v>654</v>
      </c>
      <c r="L656" s="99">
        <v>-1.0000000000000213</v>
      </c>
    </row>
    <row r="657" spans="11:12" x14ac:dyDescent="0.4">
      <c r="K657" s="38">
        <v>655</v>
      </c>
      <c r="L657" s="99">
        <v>-61.90000000000002</v>
      </c>
    </row>
    <row r="658" spans="11:12" x14ac:dyDescent="0.4">
      <c r="K658" s="38">
        <v>656</v>
      </c>
      <c r="L658" s="99">
        <v>2.4999999999999858</v>
      </c>
    </row>
    <row r="659" spans="11:12" x14ac:dyDescent="0.4">
      <c r="K659" s="38">
        <v>657</v>
      </c>
      <c r="L659" s="99">
        <v>-1.0000000000000142</v>
      </c>
    </row>
    <row r="660" spans="11:12" x14ac:dyDescent="0.4">
      <c r="K660" s="38">
        <v>658</v>
      </c>
      <c r="L660" s="99">
        <v>66.799999999999983</v>
      </c>
    </row>
    <row r="661" spans="11:12" x14ac:dyDescent="0.4">
      <c r="K661" s="38">
        <v>659</v>
      </c>
      <c r="L661" s="99">
        <v>54.899999999999984</v>
      </c>
    </row>
    <row r="662" spans="11:12" x14ac:dyDescent="0.4">
      <c r="K662" s="38">
        <v>660</v>
      </c>
      <c r="L662" s="99">
        <v>-1.0000000000000142</v>
      </c>
    </row>
    <row r="663" spans="11:12" x14ac:dyDescent="0.4">
      <c r="K663" s="38">
        <v>661</v>
      </c>
      <c r="L663" s="99">
        <v>-15.900000000000015</v>
      </c>
    </row>
    <row r="664" spans="11:12" x14ac:dyDescent="0.4">
      <c r="K664" s="38">
        <v>662</v>
      </c>
      <c r="L664" s="99">
        <v>-52.300000000000011</v>
      </c>
    </row>
    <row r="665" spans="11:12" x14ac:dyDescent="0.4">
      <c r="K665" s="38">
        <v>663</v>
      </c>
      <c r="L665" s="99">
        <v>-1.0000000000000142</v>
      </c>
    </row>
    <row r="666" spans="11:12" x14ac:dyDescent="0.4">
      <c r="K666" s="38">
        <v>664</v>
      </c>
      <c r="L666" s="99">
        <v>-58.700000000000017</v>
      </c>
    </row>
    <row r="667" spans="11:12" x14ac:dyDescent="0.4">
      <c r="K667" s="38">
        <v>665</v>
      </c>
      <c r="L667" s="99">
        <v>-41.100000000000016</v>
      </c>
    </row>
    <row r="668" spans="11:12" x14ac:dyDescent="0.4">
      <c r="K668" s="38">
        <v>666</v>
      </c>
      <c r="L668" s="99">
        <v>-1.0000000000000142</v>
      </c>
    </row>
    <row r="669" spans="11:12" x14ac:dyDescent="0.4">
      <c r="K669" s="38">
        <v>667</v>
      </c>
      <c r="L669" s="99">
        <v>-2.9000000000000141</v>
      </c>
    </row>
    <row r="670" spans="11:12" x14ac:dyDescent="0.4">
      <c r="K670" s="38">
        <v>668</v>
      </c>
      <c r="L670" s="99">
        <v>31.79999999999999</v>
      </c>
    </row>
    <row r="671" spans="11:12" x14ac:dyDescent="0.4">
      <c r="K671" s="38">
        <v>669</v>
      </c>
      <c r="L671" s="99">
        <v>-1.0000000000000071</v>
      </c>
    </row>
    <row r="672" spans="11:12" x14ac:dyDescent="0.4">
      <c r="K672" s="38">
        <v>670</v>
      </c>
      <c r="L672" s="99">
        <v>10.599999999999993</v>
      </c>
    </row>
    <row r="673" spans="11:12" x14ac:dyDescent="0.4">
      <c r="K673" s="38">
        <v>671</v>
      </c>
      <c r="L673" s="99">
        <v>-44.800000000000004</v>
      </c>
    </row>
    <row r="674" spans="11:12" x14ac:dyDescent="0.4">
      <c r="K674" s="38">
        <v>672</v>
      </c>
      <c r="L674" s="99">
        <v>-1.0000000000000071</v>
      </c>
    </row>
    <row r="675" spans="11:12" x14ac:dyDescent="0.4">
      <c r="K675" s="38">
        <v>673</v>
      </c>
      <c r="L675" s="99">
        <v>-2.0000000000000071</v>
      </c>
    </row>
    <row r="676" spans="11:12" x14ac:dyDescent="0.4">
      <c r="K676" s="38">
        <v>674</v>
      </c>
      <c r="L676" s="99">
        <v>-60.000000000000007</v>
      </c>
    </row>
    <row r="677" spans="11:12" x14ac:dyDescent="0.4">
      <c r="K677" s="38">
        <v>675</v>
      </c>
      <c r="L677" s="99">
        <v>-1.0000000000000071</v>
      </c>
    </row>
    <row r="678" spans="11:12" x14ac:dyDescent="0.4">
      <c r="K678" s="38">
        <v>676</v>
      </c>
      <c r="L678" s="99">
        <v>-2.3000000000000069</v>
      </c>
    </row>
    <row r="679" spans="11:12" x14ac:dyDescent="0.4">
      <c r="K679" s="38">
        <v>677</v>
      </c>
      <c r="L679" s="99">
        <v>33.699999999999996</v>
      </c>
    </row>
    <row r="680" spans="11:12" x14ac:dyDescent="0.4">
      <c r="K680" s="38">
        <v>678</v>
      </c>
      <c r="L680" s="99">
        <v>-1.0000000000000071</v>
      </c>
    </row>
    <row r="681" spans="11:12" x14ac:dyDescent="0.4">
      <c r="K681" s="38">
        <v>679</v>
      </c>
      <c r="L681" s="99">
        <v>-8.4000000000000075</v>
      </c>
    </row>
    <row r="682" spans="11:12" x14ac:dyDescent="0.4">
      <c r="K682" s="38">
        <v>680</v>
      </c>
      <c r="L682" s="99">
        <v>-72.100000000000009</v>
      </c>
    </row>
    <row r="683" spans="11:12" x14ac:dyDescent="0.4">
      <c r="K683" s="38">
        <v>681</v>
      </c>
      <c r="L683" s="99">
        <v>-1.0000000000000142</v>
      </c>
    </row>
    <row r="684" spans="11:12" x14ac:dyDescent="0.4">
      <c r="K684" s="38">
        <v>682</v>
      </c>
      <c r="L684" s="99">
        <v>75.999999999999986</v>
      </c>
    </row>
    <row r="685" spans="11:12" x14ac:dyDescent="0.4">
      <c r="K685" s="38">
        <v>683</v>
      </c>
      <c r="L685" s="99">
        <v>-6.0000000000000142</v>
      </c>
    </row>
    <row r="686" spans="11:12" x14ac:dyDescent="0.4">
      <c r="K686" s="38">
        <v>684</v>
      </c>
      <c r="L686" s="99">
        <v>-1.0000000000000142</v>
      </c>
    </row>
    <row r="687" spans="11:12" x14ac:dyDescent="0.4">
      <c r="K687" s="38">
        <v>685</v>
      </c>
      <c r="L687" s="99">
        <v>48.699999999999989</v>
      </c>
    </row>
    <row r="688" spans="11:12" x14ac:dyDescent="0.4">
      <c r="K688" s="38">
        <v>686</v>
      </c>
      <c r="L688" s="99">
        <v>37.79999999999999</v>
      </c>
    </row>
    <row r="689" spans="11:12" x14ac:dyDescent="0.4">
      <c r="K689" s="38">
        <v>687</v>
      </c>
      <c r="L689" s="99">
        <v>-1.0000000000000071</v>
      </c>
    </row>
    <row r="690" spans="11:12" x14ac:dyDescent="0.4">
      <c r="K690" s="38">
        <v>688</v>
      </c>
      <c r="L690" s="99">
        <v>91.6</v>
      </c>
    </row>
    <row r="691" spans="11:12" x14ac:dyDescent="0.4">
      <c r="K691" s="38">
        <v>689</v>
      </c>
      <c r="L691" s="99">
        <v>61.3</v>
      </c>
    </row>
    <row r="692" spans="11:12" x14ac:dyDescent="0.4">
      <c r="K692" s="38">
        <v>690</v>
      </c>
      <c r="L692" s="99">
        <v>-1</v>
      </c>
    </row>
    <row r="693" spans="11:12" x14ac:dyDescent="0.4">
      <c r="K693" s="38">
        <v>691</v>
      </c>
      <c r="L693" s="99">
        <v>-29.4</v>
      </c>
    </row>
    <row r="694" spans="11:12" x14ac:dyDescent="0.4">
      <c r="K694" s="38">
        <v>692</v>
      </c>
      <c r="L694" s="99">
        <v>56.000000000000007</v>
      </c>
    </row>
    <row r="695" spans="11:12" x14ac:dyDescent="0.4">
      <c r="K695" s="38">
        <v>693</v>
      </c>
      <c r="L695" s="99">
        <v>-0.99999999999999289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5C4CE-7006-4F46-8BD2-4265ACD7CDB1}">
  <sheetPr codeName="Sheet7"/>
  <dimension ref="A1:Q15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156</v>
      </c>
      <c r="C2" s="151"/>
      <c r="E2" s="62" t="s">
        <v>67</v>
      </c>
      <c r="F2" s="59" t="s">
        <v>23</v>
      </c>
      <c r="G2" s="46">
        <v>312</v>
      </c>
      <c r="H2" s="132">
        <f>IF(B$17=0,0,G2/B$17)</f>
        <v>0.71724137931034482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2050.9677419354839</v>
      </c>
      <c r="P2" s="118">
        <v>155</v>
      </c>
      <c r="Q2" s="102">
        <v>317900</v>
      </c>
    </row>
    <row r="3" spans="1:17" x14ac:dyDescent="0.4">
      <c r="A3" s="55" t="s">
        <v>8</v>
      </c>
      <c r="B3" s="152">
        <v>1264</v>
      </c>
      <c r="C3" s="153"/>
      <c r="E3" s="63" t="s">
        <v>73</v>
      </c>
      <c r="F3" s="60" t="s">
        <v>28</v>
      </c>
      <c r="G3" s="47">
        <v>248</v>
      </c>
      <c r="H3" s="133">
        <f>IF(B$17=0,0,G3/B$17)</f>
        <v>0.57011494252873562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1959.6026490066224</v>
      </c>
      <c r="P3" s="119">
        <v>151</v>
      </c>
      <c r="Q3" s="103">
        <v>295900</v>
      </c>
    </row>
    <row r="4" spans="1:17" x14ac:dyDescent="0.4">
      <c r="A4" s="55" t="s">
        <v>6</v>
      </c>
      <c r="B4" s="154">
        <v>1940.5000000000007</v>
      </c>
      <c r="C4" s="155"/>
      <c r="E4" s="63" t="s">
        <v>65</v>
      </c>
      <c r="F4" s="60" t="s">
        <v>21</v>
      </c>
      <c r="G4" s="47">
        <v>209</v>
      </c>
      <c r="H4" s="133">
        <f>IF(B$17=0,0,G4/B$17)</f>
        <v>0.48045977011494251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919.58041958041963</v>
      </c>
      <c r="P4" s="119">
        <v>143</v>
      </c>
      <c r="Q4" s="103">
        <v>131500</v>
      </c>
    </row>
    <row r="5" spans="1:17" x14ac:dyDescent="0.4">
      <c r="A5" s="55" t="s">
        <v>7</v>
      </c>
      <c r="B5" s="156">
        <f>IF(B$2=0,0,B$4/B$2)</f>
        <v>12.439102564102569</v>
      </c>
      <c r="C5" s="157"/>
      <c r="E5" s="63" t="s">
        <v>245</v>
      </c>
      <c r="F5" s="60" t="s">
        <v>246</v>
      </c>
      <c r="G5" s="47">
        <v>181</v>
      </c>
      <c r="H5" s="133">
        <f>IF(B$17=0,0,G5/B$17)</f>
        <v>0.41609195402298849</v>
      </c>
      <c r="I5" s="94">
        <v>5</v>
      </c>
      <c r="K5" s="38">
        <v>3</v>
      </c>
      <c r="L5" s="99">
        <v>70.399999999999991</v>
      </c>
      <c r="N5" s="115" t="s">
        <v>135</v>
      </c>
      <c r="O5" s="122">
        <f t="shared" si="0"/>
        <v>2293.8931297709923</v>
      </c>
      <c r="P5" s="119">
        <v>131</v>
      </c>
      <c r="Q5" s="103">
        <v>300500</v>
      </c>
    </row>
    <row r="6" spans="1:17" x14ac:dyDescent="0.4">
      <c r="A6" s="55" t="s">
        <v>1</v>
      </c>
      <c r="B6" s="146">
        <f>IF(B$2=0,0,(B$7*1+B$8*2+B$9*3)/B$2)</f>
        <v>1.7435897435897436</v>
      </c>
      <c r="C6" s="147"/>
      <c r="E6" s="63" t="s">
        <v>68</v>
      </c>
      <c r="F6" s="60" t="s">
        <v>24</v>
      </c>
      <c r="G6" s="47">
        <v>122</v>
      </c>
      <c r="H6" s="133">
        <f>IF(B$17=0,0,G6/B$17)</f>
        <v>0.28045977011494255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186.20689655172413</v>
      </c>
      <c r="P6" s="119">
        <v>116</v>
      </c>
      <c r="Q6" s="103">
        <v>21600</v>
      </c>
    </row>
    <row r="7" spans="1:17" x14ac:dyDescent="0.4">
      <c r="A7" s="55" t="s">
        <v>2</v>
      </c>
      <c r="B7" s="47">
        <v>76</v>
      </c>
      <c r="C7" s="39">
        <f>IF(B$2=0,0,B7/B$2)</f>
        <v>0.48717948717948717</v>
      </c>
      <c r="E7" s="63" t="s">
        <v>69</v>
      </c>
      <c r="F7" s="60" t="s">
        <v>12</v>
      </c>
      <c r="G7" s="47">
        <v>117</v>
      </c>
      <c r="H7" s="133">
        <f>IF(B$17=0,0,G7/B$17)</f>
        <v>0.26896551724137929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871</v>
      </c>
      <c r="P7" s="120">
        <v>100</v>
      </c>
      <c r="Q7" s="104">
        <v>87100</v>
      </c>
    </row>
    <row r="8" spans="1:17" x14ac:dyDescent="0.4">
      <c r="A8" s="55" t="s">
        <v>3</v>
      </c>
      <c r="B8" s="47">
        <v>44</v>
      </c>
      <c r="C8" s="39">
        <f>IF(B$2=0,0,B8/B$2)</f>
        <v>0.28205128205128205</v>
      </c>
      <c r="E8" s="63" t="s">
        <v>70</v>
      </c>
      <c r="F8" s="60" t="s">
        <v>25</v>
      </c>
      <c r="G8" s="47">
        <v>70</v>
      </c>
      <c r="H8" s="133">
        <f>IF(B$17=0,0,G8/B$17)</f>
        <v>0.16091954022988506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0.23076923076923078</v>
      </c>
      <c r="E9" s="63" t="s">
        <v>90</v>
      </c>
      <c r="F9" s="60" t="s">
        <v>45</v>
      </c>
      <c r="G9" s="47">
        <v>68</v>
      </c>
      <c r="H9" s="133">
        <f>IF(B$17=0,0,G9/B$17)</f>
        <v>0.15632183908045977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9.6153846153846159E-2</v>
      </c>
      <c r="E10" s="63" t="s">
        <v>66</v>
      </c>
      <c r="F10" s="60" t="s">
        <v>22</v>
      </c>
      <c r="G10" s="47">
        <v>55</v>
      </c>
      <c r="H10" s="133">
        <f>IF(B$17=0,0,G10/B$17)</f>
        <v>0.12643678160919541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14.018367346938778</v>
      </c>
      <c r="P10" s="118">
        <v>49</v>
      </c>
      <c r="Q10" s="106">
        <v>686.90000000000009</v>
      </c>
    </row>
    <row r="11" spans="1:17" x14ac:dyDescent="0.4">
      <c r="A11" s="56" t="s">
        <v>140</v>
      </c>
      <c r="B11" s="48">
        <v>28</v>
      </c>
      <c r="C11" s="40">
        <f>IF(B$2=0,0,B11/B$2)</f>
        <v>0.17948717948717949</v>
      </c>
      <c r="E11" s="63" t="s">
        <v>71</v>
      </c>
      <c r="F11" s="60" t="s">
        <v>26</v>
      </c>
      <c r="G11" s="47">
        <v>38</v>
      </c>
      <c r="H11" s="133">
        <f>IF(B$17=0,0,G11/B$17)</f>
        <v>8.7356321839080459E-2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11.904347826086957</v>
      </c>
      <c r="P11" s="119">
        <v>46</v>
      </c>
      <c r="Q11" s="107">
        <v>547.6</v>
      </c>
    </row>
    <row r="12" spans="1:17" x14ac:dyDescent="0.4">
      <c r="A12" s="57" t="s">
        <v>160</v>
      </c>
      <c r="B12" s="49">
        <v>22</v>
      </c>
      <c r="C12" s="42">
        <f>IF(B$2=0,0,B12/B$2)</f>
        <v>0.14102564102564102</v>
      </c>
      <c r="E12" s="63" t="s">
        <v>87</v>
      </c>
      <c r="F12" s="60" t="s">
        <v>42</v>
      </c>
      <c r="G12" s="47">
        <v>32</v>
      </c>
      <c r="H12" s="133">
        <f>IF(B$17=0,0,G12/B$17)</f>
        <v>7.3563218390804597E-2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11.57377049180328</v>
      </c>
      <c r="P12" s="120">
        <v>61</v>
      </c>
      <c r="Q12" s="108">
        <v>706.00000000000011</v>
      </c>
    </row>
    <row r="13" spans="1:17" x14ac:dyDescent="0.4">
      <c r="A13" s="58" t="s">
        <v>122</v>
      </c>
      <c r="B13" s="50">
        <v>396</v>
      </c>
      <c r="C13" s="44">
        <f>IF(B$3=0,0,B13/B$3)</f>
        <v>0.31329113924050633</v>
      </c>
      <c r="E13" s="63" t="s">
        <v>72</v>
      </c>
      <c r="F13" s="60" t="s">
        <v>27</v>
      </c>
      <c r="G13" s="47">
        <v>30</v>
      </c>
      <c r="H13" s="133">
        <f>IF(B$17=0,0,G13/B$17)</f>
        <v>6.8965517241379309E-2</v>
      </c>
      <c r="I13" s="94">
        <v>6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274</v>
      </c>
      <c r="C14" s="39">
        <f>IF(B$3=0,0,B14/B$3)</f>
        <v>0.21677215189873417</v>
      </c>
      <c r="E14" s="63" t="s">
        <v>84</v>
      </c>
      <c r="F14" s="60" t="s">
        <v>39</v>
      </c>
      <c r="G14" s="47">
        <v>25</v>
      </c>
      <c r="H14" s="133">
        <f>IF(B$17=0,0,G14/B$17)</f>
        <v>5.7471264367816091E-2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228</v>
      </c>
      <c r="C15" s="37">
        <f>IF(B$13=0,0,B15/B$13)</f>
        <v>0.5757575757575758</v>
      </c>
      <c r="E15" s="63" t="s">
        <v>180</v>
      </c>
      <c r="F15" s="60" t="s">
        <v>181</v>
      </c>
      <c r="G15" s="47">
        <v>15</v>
      </c>
      <c r="H15" s="133">
        <f>IF(B$17=0,0,G15/B$17)</f>
        <v>3.4482758620689655E-2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141</v>
      </c>
      <c r="C16" s="37">
        <f>IF(B$14=0,0,B16/B$14)</f>
        <v>0.51459854014598538</v>
      </c>
      <c r="E16" s="63" t="s">
        <v>79</v>
      </c>
      <c r="F16" s="60" t="s">
        <v>34</v>
      </c>
      <c r="G16" s="47">
        <v>12</v>
      </c>
      <c r="H16" s="133">
        <f>IF(B$17=0,0,G16/B$17)</f>
        <v>2.7586206896551724E-2</v>
      </c>
      <c r="I16" s="94">
        <v>6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435</v>
      </c>
      <c r="C17" s="37">
        <f>IF(B$3=0,0,B17/B$3)</f>
        <v>0.34414556962025317</v>
      </c>
      <c r="E17" s="63" t="s">
        <v>82</v>
      </c>
      <c r="F17" s="60" t="s">
        <v>37</v>
      </c>
      <c r="G17" s="47">
        <v>12</v>
      </c>
      <c r="H17" s="133">
        <f>IF(B$17=0,0,G17/B$17)</f>
        <v>2.7586206896551724E-2</v>
      </c>
      <c r="I17" s="94">
        <v>5</v>
      </c>
      <c r="K17" s="38">
        <v>15</v>
      </c>
      <c r="L17" s="99">
        <v>481.50000000000006</v>
      </c>
      <c r="N17" s="115" t="s">
        <v>129</v>
      </c>
      <c r="O17" s="125">
        <f>IF(P17=0,0,Q17/P17)</f>
        <v>28.908474576271193</v>
      </c>
      <c r="P17" s="119">
        <v>59</v>
      </c>
      <c r="Q17" s="107">
        <v>1705.6000000000004</v>
      </c>
    </row>
    <row r="18" spans="1:17" x14ac:dyDescent="0.4">
      <c r="A18" s="55" t="s">
        <v>12</v>
      </c>
      <c r="B18" s="47">
        <v>180</v>
      </c>
      <c r="C18" s="39">
        <f>IF(B$17=0,0,B18/B$17)</f>
        <v>0.41379310344827586</v>
      </c>
      <c r="E18" s="63" t="s">
        <v>92</v>
      </c>
      <c r="F18" s="60" t="s">
        <v>47</v>
      </c>
      <c r="G18" s="47">
        <v>10</v>
      </c>
      <c r="H18" s="133">
        <f>IF(B$17=0,0,G18/B$17)</f>
        <v>2.2988505747126436E-2</v>
      </c>
      <c r="I18" s="94">
        <v>3</v>
      </c>
      <c r="K18" s="38">
        <v>16</v>
      </c>
      <c r="L18" s="99">
        <v>425.50000000000006</v>
      </c>
      <c r="N18" s="115" t="s">
        <v>172</v>
      </c>
      <c r="O18" s="125">
        <f>IF(P18=0,0,Q18/P18)</f>
        <v>23.265909090909087</v>
      </c>
      <c r="P18" s="119">
        <v>44</v>
      </c>
      <c r="Q18" s="107">
        <v>1023.6999999999998</v>
      </c>
    </row>
    <row r="19" spans="1:17" x14ac:dyDescent="0.4">
      <c r="A19" s="55" t="s">
        <v>11</v>
      </c>
      <c r="B19" s="47">
        <v>255</v>
      </c>
      <c r="C19" s="39">
        <f>IF(B$17=0,0,B19/B$17)</f>
        <v>0.58620689655172409</v>
      </c>
      <c r="E19" s="63" t="s">
        <v>80</v>
      </c>
      <c r="F19" s="60" t="s">
        <v>35</v>
      </c>
      <c r="G19" s="47">
        <v>5</v>
      </c>
      <c r="H19" s="133">
        <f>IF(B$17=0,0,G19/B$17)</f>
        <v>1.1494252873563218E-2</v>
      </c>
      <c r="I19" s="94">
        <v>9</v>
      </c>
      <c r="K19" s="38">
        <v>17</v>
      </c>
      <c r="L19" s="99">
        <v>427.40000000000003</v>
      </c>
      <c r="N19" s="115" t="s">
        <v>184</v>
      </c>
      <c r="O19" s="125">
        <f>IF(P19=0,0,Q19/P19)</f>
        <v>23.074999999999992</v>
      </c>
      <c r="P19" s="119">
        <v>12</v>
      </c>
      <c r="Q19" s="107">
        <v>276.89999999999992</v>
      </c>
    </row>
    <row r="20" spans="1:17" x14ac:dyDescent="0.4">
      <c r="A20" s="55" t="s">
        <v>13</v>
      </c>
      <c r="B20" s="47">
        <v>198</v>
      </c>
      <c r="C20" s="39">
        <f>IF(B$3=0,0,B20/B$3)</f>
        <v>0.15664556962025317</v>
      </c>
      <c r="E20" s="63" t="s">
        <v>86</v>
      </c>
      <c r="F20" s="60" t="s">
        <v>41</v>
      </c>
      <c r="G20" s="47">
        <v>4</v>
      </c>
      <c r="H20" s="133">
        <f>IF(B$17=0,0,G20/B$17)</f>
        <v>9.1954022988505746E-3</v>
      </c>
      <c r="I20" s="94">
        <v>2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191</v>
      </c>
      <c r="B21" s="47">
        <v>7</v>
      </c>
      <c r="C21" s="135">
        <v>2</v>
      </c>
      <c r="E21" s="63" t="s">
        <v>74</v>
      </c>
      <c r="F21" s="60" t="s">
        <v>29</v>
      </c>
      <c r="G21" s="47">
        <v>3</v>
      </c>
      <c r="H21" s="133">
        <f>IF(B$17=0,0,G21/B$17)</f>
        <v>6.8965517241379309E-3</v>
      </c>
      <c r="I21" s="94">
        <v>5</v>
      </c>
      <c r="K21" s="38">
        <v>19</v>
      </c>
      <c r="L21" s="99">
        <v>405.40000000000003</v>
      </c>
      <c r="N21" s="115" t="s">
        <v>177</v>
      </c>
      <c r="O21" s="125">
        <f>IF(P21=0,0,Q21/P21)</f>
        <v>21.61379310344828</v>
      </c>
      <c r="P21" s="119">
        <v>29</v>
      </c>
      <c r="Q21" s="107">
        <v>626.80000000000018</v>
      </c>
    </row>
    <row r="22" spans="1:17" x14ac:dyDescent="0.4">
      <c r="A22" s="55" t="s">
        <v>192</v>
      </c>
      <c r="B22" s="47">
        <v>39</v>
      </c>
      <c r="C22" s="135">
        <v>3</v>
      </c>
      <c r="E22" s="63" t="s">
        <v>93</v>
      </c>
      <c r="F22" s="60" t="s">
        <v>48</v>
      </c>
      <c r="G22" s="47">
        <v>3</v>
      </c>
      <c r="H22" s="133">
        <f>IF(B$17=0,0,G22/B$17)</f>
        <v>6.8965517241379309E-3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18.795402298850576</v>
      </c>
      <c r="P22" s="119">
        <v>87</v>
      </c>
      <c r="Q22" s="107">
        <v>1635.2</v>
      </c>
    </row>
    <row r="23" spans="1:17" x14ac:dyDescent="0.4">
      <c r="A23" s="55" t="s">
        <v>5</v>
      </c>
      <c r="B23" s="51">
        <f>IF(B$17=0,0,C23/B$17)</f>
        <v>9232.6436781609191</v>
      </c>
      <c r="C23" s="41">
        <v>4016200</v>
      </c>
      <c r="E23" s="63" t="s">
        <v>78</v>
      </c>
      <c r="F23" s="60" t="s">
        <v>33</v>
      </c>
      <c r="G23" s="47">
        <v>2</v>
      </c>
      <c r="H23" s="133">
        <f>IF(B$17=0,0,G23/B$17)</f>
        <v>4.5977011494252873E-3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1.6094339622641485</v>
      </c>
      <c r="P23" s="119">
        <v>53</v>
      </c>
      <c r="Q23" s="107">
        <v>85.299999999999869</v>
      </c>
    </row>
    <row r="24" spans="1:17" x14ac:dyDescent="0.4">
      <c r="A24" s="57" t="s">
        <v>14</v>
      </c>
      <c r="B24" s="52">
        <f>IF(B$20=0,0,C24/B$20)</f>
        <v>-8237.878787878788</v>
      </c>
      <c r="C24" s="45">
        <v>-1631100</v>
      </c>
      <c r="E24" s="63" t="s">
        <v>91</v>
      </c>
      <c r="F24" s="60" t="s">
        <v>46</v>
      </c>
      <c r="G24" s="47">
        <v>2</v>
      </c>
      <c r="H24" s="133">
        <f>IF(B$17=0,0,G24/B$17)</f>
        <v>4.5977011494252873E-3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-8.9666666666666668</v>
      </c>
      <c r="P24" s="119">
        <v>3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76</v>
      </c>
      <c r="F25" s="60" t="s">
        <v>31</v>
      </c>
      <c r="G25" s="47">
        <v>1</v>
      </c>
      <c r="H25" s="133">
        <f>IF(B$17=0,0,G25/B$17)</f>
        <v>2.2988505747126436E-3</v>
      </c>
      <c r="I25" s="94">
        <v>8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85</v>
      </c>
      <c r="F26" s="60" t="s">
        <v>40</v>
      </c>
      <c r="G26" s="47">
        <v>1</v>
      </c>
      <c r="H26" s="133">
        <f>IF(B$17=0,0,G26/B$17)</f>
        <v>2.2988505747126436E-3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7.911392405063291E-4</v>
      </c>
      <c r="E27" s="63" t="s">
        <v>88</v>
      </c>
      <c r="F27" s="60" t="s">
        <v>43</v>
      </c>
      <c r="G27" s="47">
        <v>1</v>
      </c>
      <c r="H27" s="133">
        <f>IF(B$17=0,0,G27/B$17)</f>
        <v>2.2988505747126436E-3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2.2988505747126436E-3</v>
      </c>
      <c r="I28" s="94">
        <v>6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2.2988505747126436E-3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1767.0000000000009</v>
      </c>
    </row>
    <row r="150" spans="11:12" x14ac:dyDescent="0.4">
      <c r="K150" s="38">
        <v>148</v>
      </c>
      <c r="L150" s="99">
        <v>1763.5000000000009</v>
      </c>
    </row>
    <row r="151" spans="11:12" x14ac:dyDescent="0.4">
      <c r="K151" s="38">
        <v>149</v>
      </c>
      <c r="L151" s="99">
        <v>1727.1000000000008</v>
      </c>
    </row>
    <row r="152" spans="11:12" x14ac:dyDescent="0.4">
      <c r="K152" s="38">
        <v>150</v>
      </c>
      <c r="L152" s="99">
        <v>1744.7000000000007</v>
      </c>
    </row>
    <row r="153" spans="11:12" x14ac:dyDescent="0.4">
      <c r="K153" s="38">
        <v>151</v>
      </c>
      <c r="L153" s="99">
        <v>1788.5000000000007</v>
      </c>
    </row>
    <row r="154" spans="11:12" x14ac:dyDescent="0.4">
      <c r="K154" s="38">
        <v>152</v>
      </c>
      <c r="L154" s="99">
        <v>1847.5000000000007</v>
      </c>
    </row>
    <row r="155" spans="11:12" x14ac:dyDescent="0.4">
      <c r="K155" s="38">
        <v>153</v>
      </c>
      <c r="L155" s="99">
        <v>1812.8000000000006</v>
      </c>
    </row>
    <row r="156" spans="11:12" x14ac:dyDescent="0.4">
      <c r="K156" s="38">
        <v>154</v>
      </c>
      <c r="L156" s="99">
        <v>1805.4000000000005</v>
      </c>
    </row>
    <row r="157" spans="11:12" x14ac:dyDescent="0.4">
      <c r="K157" s="38">
        <v>155</v>
      </c>
      <c r="L157" s="99">
        <v>1855.1000000000006</v>
      </c>
    </row>
    <row r="158" spans="11:12" x14ac:dyDescent="0.4">
      <c r="K158" s="38">
        <v>156</v>
      </c>
      <c r="L158" s="99">
        <v>1940.5000000000007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48DE-6B7B-4B76-A516-189DEE0B8C7B}">
  <sheetPr codeName="Sheet9"/>
  <dimension ref="A1:Q12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127</v>
      </c>
      <c r="C2" s="151"/>
      <c r="E2" s="62" t="s">
        <v>67</v>
      </c>
      <c r="F2" s="59" t="s">
        <v>23</v>
      </c>
      <c r="G2" s="46">
        <v>219</v>
      </c>
      <c r="H2" s="132">
        <f>IF(B$17=0,0,G2/B$17)</f>
        <v>0.76573426573426573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135.43307086614172</v>
      </c>
      <c r="P2" s="118">
        <v>127</v>
      </c>
      <c r="Q2" s="102">
        <v>17200</v>
      </c>
    </row>
    <row r="3" spans="1:17" x14ac:dyDescent="0.4">
      <c r="A3" s="55" t="s">
        <v>8</v>
      </c>
      <c r="B3" s="152">
        <v>1052</v>
      </c>
      <c r="C3" s="153"/>
      <c r="E3" s="63" t="s">
        <v>65</v>
      </c>
      <c r="F3" s="60" t="s">
        <v>21</v>
      </c>
      <c r="G3" s="47">
        <v>177</v>
      </c>
      <c r="H3" s="133">
        <f>IF(B$17=0,0,G3/B$17)</f>
        <v>0.61888111888111885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-2125.2032520325201</v>
      </c>
      <c r="P3" s="119">
        <v>123</v>
      </c>
      <c r="Q3" s="103">
        <v>-261400</v>
      </c>
    </row>
    <row r="4" spans="1:17" x14ac:dyDescent="0.4">
      <c r="A4" s="55" t="s">
        <v>6</v>
      </c>
      <c r="B4" s="154">
        <v>-345.5</v>
      </c>
      <c r="C4" s="155"/>
      <c r="E4" s="63" t="s">
        <v>73</v>
      </c>
      <c r="F4" s="60" t="s">
        <v>28</v>
      </c>
      <c r="G4" s="47">
        <v>131</v>
      </c>
      <c r="H4" s="133">
        <f>IF(B$17=0,0,G4/B$17)</f>
        <v>0.45804195804195802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375.63025210084032</v>
      </c>
      <c r="P4" s="119">
        <v>119</v>
      </c>
      <c r="Q4" s="103">
        <v>44700</v>
      </c>
    </row>
    <row r="5" spans="1:17" x14ac:dyDescent="0.4">
      <c r="A5" s="55" t="s">
        <v>7</v>
      </c>
      <c r="B5" s="156">
        <f>IF(B$2=0,0,B$4/B$2)</f>
        <v>-2.7204724409448819</v>
      </c>
      <c r="C5" s="157"/>
      <c r="E5" s="63" t="s">
        <v>245</v>
      </c>
      <c r="F5" s="60" t="s">
        <v>246</v>
      </c>
      <c r="G5" s="47">
        <v>122</v>
      </c>
      <c r="H5" s="133">
        <f>IF(B$17=0,0,G5/B$17)</f>
        <v>0.42657342657342656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135.23809523809524</v>
      </c>
      <c r="P5" s="119">
        <v>105</v>
      </c>
      <c r="Q5" s="103">
        <v>14200</v>
      </c>
    </row>
    <row r="6" spans="1:17" x14ac:dyDescent="0.4">
      <c r="A6" s="55" t="s">
        <v>1</v>
      </c>
      <c r="B6" s="146">
        <f>IF(B$2=0,0,(B$7*1+B$8*2+B$9*3)/B$2)</f>
        <v>2.0866141732283463</v>
      </c>
      <c r="C6" s="147"/>
      <c r="E6" s="63" t="s">
        <v>68</v>
      </c>
      <c r="F6" s="60" t="s">
        <v>24</v>
      </c>
      <c r="G6" s="47">
        <v>115</v>
      </c>
      <c r="H6" s="133">
        <f>IF(B$17=0,0,G6/B$17)</f>
        <v>0.40209790209790208</v>
      </c>
      <c r="I6" s="94">
        <v>3</v>
      </c>
      <c r="K6" s="38">
        <v>4</v>
      </c>
      <c r="L6" s="99">
        <v>13.599999999999994</v>
      </c>
      <c r="N6" s="115" t="s">
        <v>136</v>
      </c>
      <c r="O6" s="122">
        <f t="shared" si="0"/>
        <v>187.09677419354838</v>
      </c>
      <c r="P6" s="119">
        <v>93</v>
      </c>
      <c r="Q6" s="103">
        <v>17400</v>
      </c>
    </row>
    <row r="7" spans="1:17" x14ac:dyDescent="0.4">
      <c r="A7" s="55" t="s">
        <v>2</v>
      </c>
      <c r="B7" s="47">
        <v>34</v>
      </c>
      <c r="C7" s="39">
        <f>IF(B$2=0,0,B7/B$2)</f>
        <v>0.26771653543307089</v>
      </c>
      <c r="E7" s="63" t="s">
        <v>69</v>
      </c>
      <c r="F7" s="60" t="s">
        <v>12</v>
      </c>
      <c r="G7" s="47">
        <v>98</v>
      </c>
      <c r="H7" s="133">
        <f>IF(B$17=0,0,G7/B$17)</f>
        <v>0.34265734265734266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330.23255813953489</v>
      </c>
      <c r="P7" s="120">
        <v>86</v>
      </c>
      <c r="Q7" s="104">
        <v>28400</v>
      </c>
    </row>
    <row r="8" spans="1:17" x14ac:dyDescent="0.4">
      <c r="A8" s="55" t="s">
        <v>3</v>
      </c>
      <c r="B8" s="47">
        <v>48</v>
      </c>
      <c r="C8" s="39">
        <f>IF(B$2=0,0,B8/B$2)</f>
        <v>0.37795275590551181</v>
      </c>
      <c r="E8" s="63" t="s">
        <v>70</v>
      </c>
      <c r="F8" s="60" t="s">
        <v>25</v>
      </c>
      <c r="G8" s="47">
        <v>64</v>
      </c>
      <c r="H8" s="133">
        <f>IF(B$17=0,0,G8/B$17)</f>
        <v>0.22377622377622378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45</v>
      </c>
      <c r="C9" s="40">
        <f t="shared" ref="C9" si="1">IF(B$2=0,0,B9/B$2)</f>
        <v>0.3543307086614173</v>
      </c>
      <c r="E9" s="63" t="s">
        <v>66</v>
      </c>
      <c r="F9" s="60" t="s">
        <v>22</v>
      </c>
      <c r="G9" s="47">
        <v>46</v>
      </c>
      <c r="H9" s="133">
        <f>IF(B$17=0,0,G9/B$17)</f>
        <v>0.16083916083916083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0.13385826771653545</v>
      </c>
      <c r="E10" s="63" t="s">
        <v>71</v>
      </c>
      <c r="F10" s="60" t="s">
        <v>26</v>
      </c>
      <c r="G10" s="47">
        <v>36</v>
      </c>
      <c r="H10" s="133">
        <f>IF(B$17=0,0,G10/B$17)</f>
        <v>0.12587412587412589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-7.3666666666666671</v>
      </c>
      <c r="P10" s="118">
        <v>63</v>
      </c>
      <c r="Q10" s="106">
        <v>-464.1</v>
      </c>
    </row>
    <row r="11" spans="1:17" x14ac:dyDescent="0.4">
      <c r="A11" s="56" t="s">
        <v>140</v>
      </c>
      <c r="B11" s="48">
        <v>12</v>
      </c>
      <c r="C11" s="40">
        <f>IF(B$2=0,0,B11/B$2)</f>
        <v>9.4488188976377951E-2</v>
      </c>
      <c r="E11" s="63" t="s">
        <v>90</v>
      </c>
      <c r="F11" s="60" t="s">
        <v>45</v>
      </c>
      <c r="G11" s="47">
        <v>32</v>
      </c>
      <c r="H11" s="133">
        <f>IF(B$17=0,0,G11/B$17)</f>
        <v>0.11188811188811189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-0.3575757575757566</v>
      </c>
      <c r="P11" s="119">
        <v>33</v>
      </c>
      <c r="Q11" s="107">
        <v>-11.799999999999969</v>
      </c>
    </row>
    <row r="12" spans="1:17" x14ac:dyDescent="0.4">
      <c r="A12" s="57" t="s">
        <v>160</v>
      </c>
      <c r="B12" s="49">
        <v>8</v>
      </c>
      <c r="C12" s="42">
        <f>IF(B$2=0,0,B12/B$2)</f>
        <v>6.2992125984251968E-2</v>
      </c>
      <c r="E12" s="63" t="s">
        <v>72</v>
      </c>
      <c r="F12" s="60" t="s">
        <v>27</v>
      </c>
      <c r="G12" s="47">
        <v>17</v>
      </c>
      <c r="H12" s="133">
        <f>IF(B$17=0,0,G12/B$17)</f>
        <v>5.944055944055944E-2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4.2064516129032254</v>
      </c>
      <c r="P12" s="120">
        <v>31</v>
      </c>
      <c r="Q12" s="108">
        <v>130.39999999999998</v>
      </c>
    </row>
    <row r="13" spans="1:17" x14ac:dyDescent="0.4">
      <c r="A13" s="58" t="s">
        <v>122</v>
      </c>
      <c r="B13" s="50">
        <v>317</v>
      </c>
      <c r="C13" s="44">
        <f>IF(B$3=0,0,B13/B$3)</f>
        <v>0.30133079847908745</v>
      </c>
      <c r="E13" s="63" t="s">
        <v>87</v>
      </c>
      <c r="F13" s="60" t="s">
        <v>42</v>
      </c>
      <c r="G13" s="47">
        <v>15</v>
      </c>
      <c r="H13" s="133">
        <f>IF(B$17=0,0,G13/B$17)</f>
        <v>5.2447552447552448E-2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186</v>
      </c>
      <c r="C14" s="39">
        <f>IF(B$3=0,0,B14/B$3)</f>
        <v>0.17680608365019013</v>
      </c>
      <c r="E14" s="63" t="s">
        <v>84</v>
      </c>
      <c r="F14" s="60" t="s">
        <v>39</v>
      </c>
      <c r="G14" s="47">
        <v>10</v>
      </c>
      <c r="H14" s="133">
        <f>IF(B$17=0,0,G14/B$17)</f>
        <v>3.4965034965034968E-2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186</v>
      </c>
      <c r="C15" s="37">
        <f>IF(B$13=0,0,B15/B$13)</f>
        <v>0.58675078864353314</v>
      </c>
      <c r="E15" s="63" t="s">
        <v>82</v>
      </c>
      <c r="F15" s="60" t="s">
        <v>37</v>
      </c>
      <c r="G15" s="47">
        <v>8</v>
      </c>
      <c r="H15" s="133">
        <f>IF(B$17=0,0,G15/B$17)</f>
        <v>2.7972027972027972E-2</v>
      </c>
      <c r="I15" s="94">
        <v>4</v>
      </c>
      <c r="K15" s="38">
        <v>13</v>
      </c>
      <c r="L15" s="99">
        <v>-81.900000000000006</v>
      </c>
      <c r="N15" s="114" t="s">
        <v>184</v>
      </c>
      <c r="O15" s="124">
        <f>IF(P15=0,0,Q15/P15)</f>
        <v>28.642857142857146</v>
      </c>
      <c r="P15" s="118">
        <v>7</v>
      </c>
      <c r="Q15" s="106">
        <v>200.50000000000003</v>
      </c>
    </row>
    <row r="16" spans="1:17" x14ac:dyDescent="0.4">
      <c r="A16" s="54" t="s">
        <v>125</v>
      </c>
      <c r="B16" s="46">
        <v>55</v>
      </c>
      <c r="C16" s="37">
        <f>IF(B$14=0,0,B16/B$14)</f>
        <v>0.29569892473118281</v>
      </c>
      <c r="E16" s="63" t="s">
        <v>80</v>
      </c>
      <c r="F16" s="60" t="s">
        <v>35</v>
      </c>
      <c r="G16" s="47">
        <v>7</v>
      </c>
      <c r="H16" s="133">
        <f>IF(B$17=0,0,G16/B$17)</f>
        <v>2.4475524475524476E-2</v>
      </c>
      <c r="I16" s="94">
        <v>3</v>
      </c>
      <c r="K16" s="38">
        <v>14</v>
      </c>
      <c r="L16" s="99">
        <v>-25.600000000000009</v>
      </c>
      <c r="N16" s="115" t="s">
        <v>129</v>
      </c>
      <c r="O16" s="125">
        <f>IF(P16=0,0,Q16/P16)</f>
        <v>13.074999999999999</v>
      </c>
      <c r="P16" s="119">
        <v>40</v>
      </c>
      <c r="Q16" s="107">
        <v>523</v>
      </c>
    </row>
    <row r="17" spans="1:17" x14ac:dyDescent="0.4">
      <c r="A17" s="54" t="s">
        <v>10</v>
      </c>
      <c r="B17" s="46">
        <f>B19+B18</f>
        <v>286</v>
      </c>
      <c r="C17" s="37">
        <f>IF(B$3=0,0,B17/B$3)</f>
        <v>0.27186311787072243</v>
      </c>
      <c r="E17" s="63" t="s">
        <v>92</v>
      </c>
      <c r="F17" s="60" t="s">
        <v>47</v>
      </c>
      <c r="G17" s="47">
        <v>6</v>
      </c>
      <c r="H17" s="133">
        <f>IF(B$17=0,0,G17/B$17)</f>
        <v>2.097902097902098E-2</v>
      </c>
      <c r="I17" s="94">
        <v>4</v>
      </c>
      <c r="K17" s="38">
        <v>15</v>
      </c>
      <c r="L17" s="99">
        <v>47.999999999999986</v>
      </c>
      <c r="N17" s="115" t="s">
        <v>173</v>
      </c>
      <c r="O17" s="125">
        <f>IF(P17=0,0,Q17/P17)</f>
        <v>12.160869565217391</v>
      </c>
      <c r="P17" s="119">
        <v>23</v>
      </c>
      <c r="Q17" s="107">
        <v>279.7</v>
      </c>
    </row>
    <row r="18" spans="1:17" x14ac:dyDescent="0.4">
      <c r="A18" s="55" t="s">
        <v>12</v>
      </c>
      <c r="B18" s="47">
        <v>121</v>
      </c>
      <c r="C18" s="39">
        <f>IF(B$17=0,0,B18/B$17)</f>
        <v>0.42307692307692307</v>
      </c>
      <c r="E18" s="63" t="s">
        <v>79</v>
      </c>
      <c r="F18" s="60" t="s">
        <v>34</v>
      </c>
      <c r="G18" s="47">
        <v>5</v>
      </c>
      <c r="H18" s="133">
        <f>IF(B$17=0,0,G18/B$17)</f>
        <v>1.7482517482517484E-2</v>
      </c>
      <c r="I18" s="94">
        <v>8</v>
      </c>
      <c r="K18" s="38">
        <v>16</v>
      </c>
      <c r="L18" s="99">
        <v>41.699999999999989</v>
      </c>
      <c r="N18" s="115" t="s">
        <v>171</v>
      </c>
      <c r="O18" s="125">
        <f>IF(P18=0,0,Q18/P18)</f>
        <v>1.1611111111111161</v>
      </c>
      <c r="P18" s="119">
        <v>36</v>
      </c>
      <c r="Q18" s="107">
        <v>41.800000000000182</v>
      </c>
    </row>
    <row r="19" spans="1:17" x14ac:dyDescent="0.4">
      <c r="A19" s="55" t="s">
        <v>11</v>
      </c>
      <c r="B19" s="47">
        <v>165</v>
      </c>
      <c r="C19" s="39">
        <f>IF(B$17=0,0,B19/B$17)</f>
        <v>0.57692307692307687</v>
      </c>
      <c r="E19" s="63" t="s">
        <v>180</v>
      </c>
      <c r="F19" s="60" t="s">
        <v>181</v>
      </c>
      <c r="G19" s="47">
        <v>5</v>
      </c>
      <c r="H19" s="133">
        <f>IF(B$17=0,0,G19/B$17)</f>
        <v>1.7482517482517484E-2</v>
      </c>
      <c r="I19" s="94">
        <v>3</v>
      </c>
      <c r="K19" s="38">
        <v>17</v>
      </c>
      <c r="L19" s="99">
        <v>94.6</v>
      </c>
      <c r="N19" s="115" t="s">
        <v>172</v>
      </c>
      <c r="O19" s="125">
        <f>IF(P19=0,0,Q19/P19)</f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179</v>
      </c>
      <c r="C20" s="39">
        <f>IF(B$3=0,0,B20/B$3)</f>
        <v>0.17015209125475286</v>
      </c>
      <c r="E20" s="63" t="s">
        <v>74</v>
      </c>
      <c r="F20" s="60" t="s">
        <v>29</v>
      </c>
      <c r="G20" s="47">
        <v>2</v>
      </c>
      <c r="H20" s="133">
        <f>IF(B$17=0,0,G20/B$17)</f>
        <v>6.993006993006993E-3</v>
      </c>
      <c r="I20" s="94">
        <v>4</v>
      </c>
      <c r="K20" s="38">
        <v>18</v>
      </c>
      <c r="L20" s="99">
        <v>116.69999999999999</v>
      </c>
      <c r="N20" s="115" t="s">
        <v>200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4</v>
      </c>
      <c r="E21" s="63" t="s">
        <v>75</v>
      </c>
      <c r="F21" s="60" t="s">
        <v>30</v>
      </c>
      <c r="G21" s="47">
        <v>2</v>
      </c>
      <c r="H21" s="133">
        <f>IF(B$17=0,0,G21/B$17)</f>
        <v>6.993006993006993E-3</v>
      </c>
      <c r="I21" s="94">
        <v>3</v>
      </c>
      <c r="K21" s="38">
        <v>19</v>
      </c>
      <c r="L21" s="99">
        <v>138.79999999999998</v>
      </c>
      <c r="N21" s="115" t="s">
        <v>177</v>
      </c>
      <c r="O21" s="125">
        <f>IF(P21=0,0,Q21/P21)</f>
        <v>-11.464</v>
      </c>
      <c r="P21" s="119">
        <v>25</v>
      </c>
      <c r="Q21" s="107">
        <v>-286.60000000000002</v>
      </c>
    </row>
    <row r="22" spans="1:17" x14ac:dyDescent="0.4">
      <c r="A22" s="55" t="s">
        <v>192</v>
      </c>
      <c r="B22" s="47">
        <v>24</v>
      </c>
      <c r="C22" s="135">
        <v>9</v>
      </c>
      <c r="E22" s="63" t="s">
        <v>76</v>
      </c>
      <c r="F22" s="60" t="s">
        <v>31</v>
      </c>
      <c r="G22" s="47">
        <v>2</v>
      </c>
      <c r="H22" s="133">
        <f>IF(B$17=0,0,G22/B$17)</f>
        <v>6.993006993006993E-3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>IF(P22=0,0,Q22/P22)</f>
        <v>-18.795402298850576</v>
      </c>
      <c r="P22" s="119">
        <v>87</v>
      </c>
      <c r="Q22" s="107">
        <v>-1635.2</v>
      </c>
    </row>
    <row r="23" spans="1:17" x14ac:dyDescent="0.4">
      <c r="A23" s="55" t="s">
        <v>5</v>
      </c>
      <c r="B23" s="51">
        <f>IF(B$17=0,0,C23/B$17)</f>
        <v>9320.279720279721</v>
      </c>
      <c r="C23" s="41">
        <v>2665600</v>
      </c>
      <c r="E23" s="63" t="s">
        <v>78</v>
      </c>
      <c r="F23" s="60" t="s">
        <v>33</v>
      </c>
      <c r="G23" s="47">
        <v>1</v>
      </c>
      <c r="H23" s="133">
        <f>IF(B$17=0,0,G23/B$17)</f>
        <v>3.4965034965034965E-3</v>
      </c>
      <c r="I23" s="94">
        <v>3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-7768.7150837988829</v>
      </c>
      <c r="C24" s="45">
        <v>-1390600</v>
      </c>
      <c r="E24" s="63" t="s">
        <v>85</v>
      </c>
      <c r="F24" s="60" t="s">
        <v>40</v>
      </c>
      <c r="G24" s="47">
        <v>1</v>
      </c>
      <c r="H24" s="133">
        <f>IF(B$17=0,0,G24/B$17)</f>
        <v>3.4965034965034965E-3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3.4965034965034965E-3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3.4965034965034965E-3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4.7528517110266158E-3</v>
      </c>
      <c r="E27" s="63" t="s">
        <v>94</v>
      </c>
      <c r="F27" s="60" t="s">
        <v>49</v>
      </c>
      <c r="G27" s="47">
        <v>1</v>
      </c>
      <c r="H27" s="133">
        <f>IF(B$17=0,0,G27/B$17)</f>
        <v>3.4965034965034965E-3</v>
      </c>
      <c r="I27" s="94">
        <v>5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3.4965034965034965E-3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BFEB-6F0B-46F1-9C81-59F07D552E48}">
  <sheetPr codeName="Sheet11"/>
  <dimension ref="A1:Q9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93</v>
      </c>
      <c r="C2" s="151"/>
      <c r="E2" s="62" t="s">
        <v>67</v>
      </c>
      <c r="F2" s="59" t="s">
        <v>23</v>
      </c>
      <c r="G2" s="46">
        <v>156</v>
      </c>
      <c r="H2" s="132">
        <f>IF(B$17=0,0,G2/B$17)</f>
        <v>0.82978723404255317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-3084.9462365591398</v>
      </c>
      <c r="P2" s="118">
        <v>93</v>
      </c>
      <c r="Q2" s="102">
        <v>-286900</v>
      </c>
    </row>
    <row r="3" spans="1:17" x14ac:dyDescent="0.4">
      <c r="A3" s="55" t="s">
        <v>8</v>
      </c>
      <c r="B3" s="152">
        <v>778</v>
      </c>
      <c r="C3" s="153"/>
      <c r="E3" s="63" t="s">
        <v>65</v>
      </c>
      <c r="F3" s="60" t="s">
        <v>21</v>
      </c>
      <c r="G3" s="47">
        <v>109</v>
      </c>
      <c r="H3" s="133">
        <f>IF(B$17=0,0,G3/B$17)</f>
        <v>0.57978723404255317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-1496.7032967032967</v>
      </c>
      <c r="P3" s="119">
        <v>91</v>
      </c>
      <c r="Q3" s="103">
        <v>-136200</v>
      </c>
    </row>
    <row r="4" spans="1:17" x14ac:dyDescent="0.4">
      <c r="A4" s="55" t="s">
        <v>6</v>
      </c>
      <c r="B4" s="154">
        <v>-1348.9</v>
      </c>
      <c r="C4" s="155"/>
      <c r="E4" s="63" t="s">
        <v>245</v>
      </c>
      <c r="F4" s="60" t="s">
        <v>246</v>
      </c>
      <c r="G4" s="47">
        <v>73</v>
      </c>
      <c r="H4" s="133">
        <f>IF(B$17=0,0,G4/B$17)</f>
        <v>0.38829787234042551</v>
      </c>
      <c r="I4" s="94">
        <v>9</v>
      </c>
      <c r="K4" s="38">
        <v>2</v>
      </c>
      <c r="L4" s="99">
        <v>-3.3999999999999986</v>
      </c>
      <c r="N4" s="115" t="s">
        <v>134</v>
      </c>
      <c r="O4" s="122">
        <f t="shared" si="0"/>
        <v>-307.05882352941177</v>
      </c>
      <c r="P4" s="119">
        <v>85</v>
      </c>
      <c r="Q4" s="103">
        <v>-26100</v>
      </c>
    </row>
    <row r="5" spans="1:17" x14ac:dyDescent="0.4">
      <c r="A5" s="55" t="s">
        <v>7</v>
      </c>
      <c r="B5" s="156">
        <f>IF(B$2=0,0,B$4/B$2)</f>
        <v>-14.504301075268819</v>
      </c>
      <c r="C5" s="157"/>
      <c r="E5" s="63" t="s">
        <v>69</v>
      </c>
      <c r="F5" s="60" t="s">
        <v>12</v>
      </c>
      <c r="G5" s="47">
        <v>70</v>
      </c>
      <c r="H5" s="133">
        <f>IF(B$17=0,0,G5/B$17)</f>
        <v>0.37234042553191488</v>
      </c>
      <c r="I5" s="94">
        <v>5</v>
      </c>
      <c r="K5" s="38">
        <v>3</v>
      </c>
      <c r="L5" s="99">
        <v>-23.099999999999998</v>
      </c>
      <c r="N5" s="115" t="s">
        <v>135</v>
      </c>
      <c r="O5" s="122">
        <f t="shared" si="0"/>
        <v>-4301.333333333333</v>
      </c>
      <c r="P5" s="119">
        <v>75</v>
      </c>
      <c r="Q5" s="103">
        <v>-322600</v>
      </c>
    </row>
    <row r="6" spans="1:17" x14ac:dyDescent="0.4">
      <c r="A6" s="55" t="s">
        <v>1</v>
      </c>
      <c r="B6" s="146">
        <f>IF(B$2=0,0,(B$7*1+B$8*2+B$9*3)/B$2)</f>
        <v>2.247311827956989</v>
      </c>
      <c r="C6" s="147"/>
      <c r="E6" s="63" t="s">
        <v>73</v>
      </c>
      <c r="F6" s="60" t="s">
        <v>28</v>
      </c>
      <c r="G6" s="47">
        <v>69</v>
      </c>
      <c r="H6" s="133">
        <f>IF(B$17=0,0,G6/B$17)</f>
        <v>0.36702127659574468</v>
      </c>
      <c r="I6" s="94">
        <v>12</v>
      </c>
      <c r="K6" s="38">
        <v>4</v>
      </c>
      <c r="L6" s="99">
        <v>-31.4</v>
      </c>
      <c r="N6" s="115" t="s">
        <v>136</v>
      </c>
      <c r="O6" s="122">
        <f t="shared" si="0"/>
        <v>-467.64705882352939</v>
      </c>
      <c r="P6" s="119">
        <v>68</v>
      </c>
      <c r="Q6" s="103">
        <v>-31800</v>
      </c>
    </row>
    <row r="7" spans="1:17" x14ac:dyDescent="0.4">
      <c r="A7" s="55" t="s">
        <v>2</v>
      </c>
      <c r="B7" s="47">
        <v>23</v>
      </c>
      <c r="C7" s="39">
        <f>IF(B$2=0,0,B7/B$2)</f>
        <v>0.24731182795698925</v>
      </c>
      <c r="E7" s="63" t="s">
        <v>68</v>
      </c>
      <c r="F7" s="60" t="s">
        <v>24</v>
      </c>
      <c r="G7" s="47">
        <v>63</v>
      </c>
      <c r="H7" s="133">
        <f>IF(B$17=0,0,G7/B$17)</f>
        <v>0.33510638297872342</v>
      </c>
      <c r="I7" s="94">
        <v>6</v>
      </c>
      <c r="K7" s="38">
        <v>5</v>
      </c>
      <c r="L7" s="99">
        <v>-32.199999999999996</v>
      </c>
      <c r="N7" s="116" t="s">
        <v>137</v>
      </c>
      <c r="O7" s="123">
        <f t="shared" si="0"/>
        <v>-1285.2459016393443</v>
      </c>
      <c r="P7" s="120">
        <v>61</v>
      </c>
      <c r="Q7" s="104">
        <v>-78400</v>
      </c>
    </row>
    <row r="8" spans="1:17" x14ac:dyDescent="0.4">
      <c r="A8" s="55" t="s">
        <v>3</v>
      </c>
      <c r="B8" s="47">
        <v>24</v>
      </c>
      <c r="C8" s="39">
        <f>IF(B$2=0,0,B8/B$2)</f>
        <v>0.25806451612903225</v>
      </c>
      <c r="E8" s="63" t="s">
        <v>70</v>
      </c>
      <c r="F8" s="60" t="s">
        <v>25</v>
      </c>
      <c r="G8" s="47">
        <v>37</v>
      </c>
      <c r="H8" s="133">
        <f>IF(B$17=0,0,G8/B$17)</f>
        <v>0.19680851063829788</v>
      </c>
      <c r="I8" s="94">
        <v>4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46</v>
      </c>
      <c r="C9" s="40">
        <f t="shared" ref="C9" si="1">IF(B$2=0,0,B9/B$2)</f>
        <v>0.4946236559139785</v>
      </c>
      <c r="E9" s="63" t="s">
        <v>71</v>
      </c>
      <c r="F9" s="60" t="s">
        <v>26</v>
      </c>
      <c r="G9" s="47">
        <v>29</v>
      </c>
      <c r="H9" s="133">
        <f>IF(B$17=0,0,G9/B$17)</f>
        <v>0.15425531914893617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>IF(B$2=0,0,B10/B$2)</f>
        <v>0.19354838709677419</v>
      </c>
      <c r="E10" s="63" t="s">
        <v>72</v>
      </c>
      <c r="F10" s="60" t="s">
        <v>27</v>
      </c>
      <c r="G10" s="47">
        <v>20</v>
      </c>
      <c r="H10" s="133">
        <f>IF(B$17=0,0,G10/B$17)</f>
        <v>0.10638297872340426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-17.74444444444444</v>
      </c>
      <c r="P10" s="118">
        <v>27</v>
      </c>
      <c r="Q10" s="106">
        <v>-479.09999999999985</v>
      </c>
    </row>
    <row r="11" spans="1:17" x14ac:dyDescent="0.4">
      <c r="A11" s="56" t="s">
        <v>140</v>
      </c>
      <c r="B11" s="48">
        <v>10</v>
      </c>
      <c r="C11" s="40">
        <f>IF(B$2=0,0,B11/B$2)</f>
        <v>0.10752688172043011</v>
      </c>
      <c r="E11" s="63" t="s">
        <v>66</v>
      </c>
      <c r="F11" s="60" t="s">
        <v>22</v>
      </c>
      <c r="G11" s="47">
        <v>18</v>
      </c>
      <c r="H11" s="133">
        <f>IF(B$17=0,0,G11/B$17)</f>
        <v>9.5744680851063829E-2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-10.55675675675676</v>
      </c>
      <c r="P11" s="119">
        <v>37</v>
      </c>
      <c r="Q11" s="107">
        <v>-390.60000000000014</v>
      </c>
    </row>
    <row r="12" spans="1:17" x14ac:dyDescent="0.4">
      <c r="A12" s="57" t="s">
        <v>160</v>
      </c>
      <c r="B12" s="49">
        <v>7</v>
      </c>
      <c r="C12" s="42">
        <f>IF(B$2=0,0,B12/B$2)</f>
        <v>7.5268817204301078E-2</v>
      </c>
      <c r="E12" s="63" t="s">
        <v>90</v>
      </c>
      <c r="F12" s="60" t="s">
        <v>45</v>
      </c>
      <c r="G12" s="47">
        <v>16</v>
      </c>
      <c r="H12" s="133">
        <f>IF(B$17=0,0,G12/B$17)</f>
        <v>8.5106382978723402E-2</v>
      </c>
      <c r="I12" s="94">
        <v>11</v>
      </c>
      <c r="K12" s="38">
        <v>10</v>
      </c>
      <c r="L12" s="99">
        <v>-231.39999999999998</v>
      </c>
      <c r="N12" s="116" t="s">
        <v>166</v>
      </c>
      <c r="O12" s="126">
        <f>IF(P12=0,0,Q12/P12)</f>
        <v>-16.524137931034481</v>
      </c>
      <c r="P12" s="120">
        <v>29</v>
      </c>
      <c r="Q12" s="108">
        <v>-479.19999999999993</v>
      </c>
    </row>
    <row r="13" spans="1:17" x14ac:dyDescent="0.4">
      <c r="A13" s="58" t="s">
        <v>122</v>
      </c>
      <c r="B13" s="50">
        <v>215</v>
      </c>
      <c r="C13" s="44">
        <f>IF(B$3=0,0,B13/B$3)</f>
        <v>0.2763496143958869</v>
      </c>
      <c r="E13" s="63" t="s">
        <v>87</v>
      </c>
      <c r="F13" s="60" t="s">
        <v>42</v>
      </c>
      <c r="G13" s="47">
        <v>10</v>
      </c>
      <c r="H13" s="133">
        <f>IF(B$17=0,0,G13/B$17)</f>
        <v>5.3191489361702128E-2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124</v>
      </c>
      <c r="C14" s="39">
        <f>IF(B$3=0,0,B14/B$3)</f>
        <v>0.15938303341902313</v>
      </c>
      <c r="E14" s="63" t="s">
        <v>79</v>
      </c>
      <c r="F14" s="60" t="s">
        <v>34</v>
      </c>
      <c r="G14" s="47">
        <v>8</v>
      </c>
      <c r="H14" s="133">
        <f>IF(B$17=0,0,G14/B$17)</f>
        <v>4.2553191489361701E-2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112</v>
      </c>
      <c r="C15" s="37">
        <f>IF(B$13=0,0,B15/B$13)</f>
        <v>0.52093023255813953</v>
      </c>
      <c r="E15" s="63" t="s">
        <v>84</v>
      </c>
      <c r="F15" s="60" t="s">
        <v>39</v>
      </c>
      <c r="G15" s="47">
        <v>7</v>
      </c>
      <c r="H15" s="133">
        <f>IF(B$17=0,0,G15/B$17)</f>
        <v>3.7234042553191488E-2</v>
      </c>
      <c r="I15" s="94">
        <v>8</v>
      </c>
      <c r="K15" s="38">
        <v>13</v>
      </c>
      <c r="L15" s="99">
        <v>-369.1</v>
      </c>
      <c r="N15" s="114" t="s">
        <v>223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31</v>
      </c>
      <c r="C16" s="37">
        <f>IF(B$14=0,0,B16/B$14)</f>
        <v>0.25</v>
      </c>
      <c r="E16" s="63" t="s">
        <v>82</v>
      </c>
      <c r="F16" s="60" t="s">
        <v>37</v>
      </c>
      <c r="G16" s="47">
        <v>4</v>
      </c>
      <c r="H16" s="133">
        <f>IF(B$17=0,0,G16/B$17)</f>
        <v>2.1276595744680851E-2</v>
      </c>
      <c r="I16" s="94">
        <v>9</v>
      </c>
      <c r="K16" s="38">
        <v>14</v>
      </c>
      <c r="L16" s="99">
        <v>-394.6</v>
      </c>
      <c r="N16" s="115" t="s">
        <v>128</v>
      </c>
      <c r="O16" s="125">
        <f>IF(P16=0,0,Q16/P16)</f>
        <v>-13.074999999999998</v>
      </c>
      <c r="P16" s="119">
        <v>40</v>
      </c>
      <c r="Q16" s="107">
        <v>-522.99999999999989</v>
      </c>
    </row>
    <row r="17" spans="1:17" x14ac:dyDescent="0.4">
      <c r="A17" s="54" t="s">
        <v>10</v>
      </c>
      <c r="B17" s="46">
        <f>B19+B18</f>
        <v>188</v>
      </c>
      <c r="C17" s="37">
        <f>IF(B$3=0,0,B17/B$3)</f>
        <v>0.2416452442159383</v>
      </c>
      <c r="E17" s="63" t="s">
        <v>75</v>
      </c>
      <c r="F17" s="60" t="s">
        <v>30</v>
      </c>
      <c r="G17" s="47">
        <v>3</v>
      </c>
      <c r="H17" s="133">
        <f>IF(B$17=0,0,G17/B$17)</f>
        <v>1.5957446808510637E-2</v>
      </c>
      <c r="I17" s="94">
        <v>2</v>
      </c>
      <c r="K17" s="38">
        <v>15</v>
      </c>
      <c r="L17" s="99">
        <v>-424.5</v>
      </c>
      <c r="N17" s="115" t="s">
        <v>177</v>
      </c>
      <c r="O17" s="125">
        <f>IF(P17=0,0,Q17/P17)</f>
        <v>-15.755000000000001</v>
      </c>
      <c r="P17" s="119">
        <v>20</v>
      </c>
      <c r="Q17" s="107">
        <v>-315.10000000000002</v>
      </c>
    </row>
    <row r="18" spans="1:17" x14ac:dyDescent="0.4">
      <c r="A18" s="55" t="s">
        <v>12</v>
      </c>
      <c r="B18" s="47">
        <v>80</v>
      </c>
      <c r="C18" s="39">
        <f>IF(B$17=0,0,B18/B$17)</f>
        <v>0.42553191489361702</v>
      </c>
      <c r="E18" s="63" t="s">
        <v>88</v>
      </c>
      <c r="F18" s="60" t="s">
        <v>43</v>
      </c>
      <c r="G18" s="47">
        <v>2</v>
      </c>
      <c r="H18" s="133">
        <f>IF(B$17=0,0,G18/B$17)</f>
        <v>1.0638297872340425E-2</v>
      </c>
      <c r="I18" s="94">
        <v>1</v>
      </c>
      <c r="K18" s="38">
        <v>16</v>
      </c>
      <c r="L18" s="99">
        <v>-472</v>
      </c>
      <c r="N18" s="115" t="s">
        <v>171</v>
      </c>
      <c r="O18" s="125">
        <f>IF(P18=0,0,Q18/P18)</f>
        <v>-20.956666666666663</v>
      </c>
      <c r="P18" s="119">
        <v>30</v>
      </c>
      <c r="Q18" s="107">
        <v>-628.69999999999993</v>
      </c>
    </row>
    <row r="19" spans="1:17" x14ac:dyDescent="0.4">
      <c r="A19" s="55" t="s">
        <v>11</v>
      </c>
      <c r="B19" s="47">
        <v>108</v>
      </c>
      <c r="C19" s="39">
        <f>IF(B$17=0,0,B19/B$17)</f>
        <v>0.57446808510638303</v>
      </c>
      <c r="E19" s="63" t="s">
        <v>94</v>
      </c>
      <c r="F19" s="60" t="s">
        <v>49</v>
      </c>
      <c r="G19" s="47">
        <v>2</v>
      </c>
      <c r="H19" s="133">
        <f>IF(B$17=0,0,G19/B$17)</f>
        <v>1.0638297872340425E-2</v>
      </c>
      <c r="I19" s="94">
        <v>1</v>
      </c>
      <c r="K19" s="38">
        <v>17</v>
      </c>
      <c r="L19" s="99">
        <v>-538.29999999999995</v>
      </c>
      <c r="N19" s="115" t="s">
        <v>173</v>
      </c>
      <c r="O19" s="125">
        <f>IF(P19=0,0,Q19/P19)</f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147</v>
      </c>
      <c r="C20" s="39">
        <f>IF(B$3=0,0,B20/B$3)</f>
        <v>0.18894601542416453</v>
      </c>
      <c r="E20" s="63" t="s">
        <v>76</v>
      </c>
      <c r="F20" s="60" t="s">
        <v>31</v>
      </c>
      <c r="G20" s="47">
        <v>1</v>
      </c>
      <c r="H20" s="133">
        <f>IF(B$17=0,0,G20/B$17)</f>
        <v>5.3191489361702126E-3</v>
      </c>
      <c r="I20" s="94">
        <v>6</v>
      </c>
      <c r="K20" s="38">
        <v>18</v>
      </c>
      <c r="L20" s="99">
        <v>-537.19999999999993</v>
      </c>
      <c r="N20" s="115" t="s">
        <v>184</v>
      </c>
      <c r="O20" s="125">
        <f>IF(P20=0,0,Q20/P20)</f>
        <v>-24.240000000000002</v>
      </c>
      <c r="P20" s="119">
        <v>5</v>
      </c>
      <c r="Q20" s="107">
        <v>-121.2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1</v>
      </c>
      <c r="H21" s="133">
        <f>IF(B$17=0,0,G21/B$17)</f>
        <v>5.3191489361702126E-3</v>
      </c>
      <c r="I21" s="94">
        <v>1</v>
      </c>
      <c r="K21" s="38">
        <v>19</v>
      </c>
      <c r="L21" s="99">
        <v>-569.49999999999989</v>
      </c>
      <c r="N21" s="115" t="s">
        <v>127</v>
      </c>
      <c r="O21" s="125">
        <f>IF(P21=0,0,Q21/P21)</f>
        <v>-28.908474576271196</v>
      </c>
      <c r="P21" s="119">
        <v>59</v>
      </c>
      <c r="Q21" s="107">
        <v>-1705.6000000000006</v>
      </c>
    </row>
    <row r="22" spans="1:17" x14ac:dyDescent="0.4">
      <c r="A22" s="55" t="s">
        <v>192</v>
      </c>
      <c r="B22" s="47">
        <v>31</v>
      </c>
      <c r="C22" s="135">
        <v>4</v>
      </c>
      <c r="E22" s="63" t="s">
        <v>80</v>
      </c>
      <c r="F22" s="60" t="s">
        <v>35</v>
      </c>
      <c r="G22" s="47">
        <v>1</v>
      </c>
      <c r="H22" s="133">
        <f>IF(B$17=0,0,G22/B$17)</f>
        <v>5.3191489361702126E-3</v>
      </c>
      <c r="I22" s="94">
        <v>10</v>
      </c>
      <c r="K22" s="38">
        <v>20</v>
      </c>
      <c r="L22" s="99">
        <v>-632.99999999999989</v>
      </c>
      <c r="N22" s="115" t="s">
        <v>172</v>
      </c>
      <c r="O22" s="125">
        <f>IF(P22=0,0,Q22/P22)</f>
        <v>-31.945454545454542</v>
      </c>
      <c r="P22" s="119">
        <v>22</v>
      </c>
      <c r="Q22" s="107">
        <v>-702.8</v>
      </c>
    </row>
    <row r="23" spans="1:17" x14ac:dyDescent="0.4">
      <c r="A23" s="55" t="s">
        <v>5</v>
      </c>
      <c r="B23" s="51">
        <f>IF(B$17=0,0,C23/B$17)</f>
        <v>8755.3191489361707</v>
      </c>
      <c r="C23" s="41">
        <v>1646000</v>
      </c>
      <c r="E23" s="63" t="s">
        <v>89</v>
      </c>
      <c r="F23" s="60" t="s">
        <v>44</v>
      </c>
      <c r="G23" s="47">
        <v>1</v>
      </c>
      <c r="H23" s="133">
        <f>IF(B$17=0,0,G23/B$17)</f>
        <v>5.3191489361702126E-3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-9236.0544217687075</v>
      </c>
      <c r="C24" s="45">
        <v>-1357700</v>
      </c>
      <c r="E24" s="63" t="s">
        <v>92</v>
      </c>
      <c r="F24" s="60" t="s">
        <v>47</v>
      </c>
      <c r="G24" s="47">
        <v>1</v>
      </c>
      <c r="H24" s="133">
        <f>IF(B$17=0,0,G24/B$17)</f>
        <v>5.3191489361702126E-3</v>
      </c>
      <c r="I24" s="94">
        <v>8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93</v>
      </c>
      <c r="F25" s="60" t="s">
        <v>48</v>
      </c>
      <c r="G25" s="47">
        <v>1</v>
      </c>
      <c r="H25" s="133">
        <f>IF(B$17=0,0,G25/B$17)</f>
        <v>5.3191489361702126E-3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1.2853470437017994E-3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C5D5-C5FD-421F-AC31-06D742AD5C35}">
  <sheetPr codeName="Sheet13"/>
  <dimension ref="A1:Q9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91</v>
      </c>
      <c r="C2" s="151"/>
      <c r="E2" s="62" t="s">
        <v>67</v>
      </c>
      <c r="F2" s="59" t="s">
        <v>23</v>
      </c>
      <c r="G2" s="46">
        <v>176</v>
      </c>
      <c r="H2" s="132">
        <f>IF(B$17=0,0,G2/B$17)</f>
        <v>0.81860465116279069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-665.93406593406598</v>
      </c>
      <c r="P2" s="118">
        <v>91</v>
      </c>
      <c r="Q2" s="102">
        <v>-60600</v>
      </c>
    </row>
    <row r="3" spans="1:17" x14ac:dyDescent="0.4">
      <c r="A3" s="55" t="s">
        <v>8</v>
      </c>
      <c r="B3" s="152">
        <v>761</v>
      </c>
      <c r="C3" s="153"/>
      <c r="E3" s="63" t="s">
        <v>65</v>
      </c>
      <c r="F3" s="60" t="s">
        <v>21</v>
      </c>
      <c r="G3" s="47">
        <v>117</v>
      </c>
      <c r="H3" s="133">
        <f>IF(B$17=0,0,G3/B$17)</f>
        <v>0.54418604651162794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202.24719101123594</v>
      </c>
      <c r="P3" s="119">
        <v>89</v>
      </c>
      <c r="Q3" s="103">
        <v>18000</v>
      </c>
    </row>
    <row r="4" spans="1:17" x14ac:dyDescent="0.4">
      <c r="A4" s="55" t="s">
        <v>6</v>
      </c>
      <c r="B4" s="154">
        <v>-9.1999999999999709</v>
      </c>
      <c r="C4" s="155"/>
      <c r="E4" s="63" t="s">
        <v>73</v>
      </c>
      <c r="F4" s="60" t="s">
        <v>28</v>
      </c>
      <c r="G4" s="47">
        <v>112</v>
      </c>
      <c r="H4" s="133">
        <f>IF(B$17=0,0,G4/B$17)</f>
        <v>0.52093023255813953</v>
      </c>
      <c r="I4" s="94">
        <v>8</v>
      </c>
      <c r="K4" s="38">
        <v>2</v>
      </c>
      <c r="L4" s="99">
        <v>-93.300000000000011</v>
      </c>
      <c r="N4" s="115" t="s">
        <v>134</v>
      </c>
      <c r="O4" s="122">
        <f t="shared" si="0"/>
        <v>1231.7073170731708</v>
      </c>
      <c r="P4" s="119">
        <v>82</v>
      </c>
      <c r="Q4" s="103">
        <v>101000</v>
      </c>
    </row>
    <row r="5" spans="1:17" x14ac:dyDescent="0.4">
      <c r="A5" s="55" t="s">
        <v>7</v>
      </c>
      <c r="B5" s="156">
        <f>IF(B$2=0,0,B$4/B$2)</f>
        <v>-0.10109890109890078</v>
      </c>
      <c r="C5" s="157"/>
      <c r="E5" s="63" t="s">
        <v>245</v>
      </c>
      <c r="F5" s="60" t="s">
        <v>246</v>
      </c>
      <c r="G5" s="47">
        <v>81</v>
      </c>
      <c r="H5" s="133">
        <f>IF(B$17=0,0,G5/B$17)</f>
        <v>0.37674418604651161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838.02816901408448</v>
      </c>
      <c r="P5" s="119">
        <v>71</v>
      </c>
      <c r="Q5" s="103">
        <v>59500</v>
      </c>
    </row>
    <row r="6" spans="1:17" x14ac:dyDescent="0.4">
      <c r="A6" s="55" t="s">
        <v>1</v>
      </c>
      <c r="B6" s="146">
        <f>IF(B$2=0,0,(B$7*1+B$8*2+B$9*3)/B$2)</f>
        <v>2.0439560439560438</v>
      </c>
      <c r="C6" s="147"/>
      <c r="E6" s="63" t="s">
        <v>68</v>
      </c>
      <c r="F6" s="60" t="s">
        <v>24</v>
      </c>
      <c r="G6" s="47">
        <v>70</v>
      </c>
      <c r="H6" s="133">
        <f>IF(B$17=0,0,G6/B$17)</f>
        <v>0.32558139534883723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-550</v>
      </c>
      <c r="P6" s="119">
        <v>62</v>
      </c>
      <c r="Q6" s="103">
        <v>-34100</v>
      </c>
    </row>
    <row r="7" spans="1:17" x14ac:dyDescent="0.4">
      <c r="A7" s="55" t="s">
        <v>2</v>
      </c>
      <c r="B7" s="47">
        <v>27</v>
      </c>
      <c r="C7" s="39">
        <f>IF(B$2=0,0,B7/B$2)</f>
        <v>0.2967032967032967</v>
      </c>
      <c r="E7" s="63" t="s">
        <v>69</v>
      </c>
      <c r="F7" s="60" t="s">
        <v>12</v>
      </c>
      <c r="G7" s="47">
        <v>64</v>
      </c>
      <c r="H7" s="133">
        <f>IF(B$17=0,0,G7/B$17)</f>
        <v>0.29767441860465116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-192.98245614035088</v>
      </c>
      <c r="P7" s="120">
        <v>57</v>
      </c>
      <c r="Q7" s="104">
        <v>-11000</v>
      </c>
    </row>
    <row r="8" spans="1:17" x14ac:dyDescent="0.4">
      <c r="A8" s="55" t="s">
        <v>3</v>
      </c>
      <c r="B8" s="47">
        <v>33</v>
      </c>
      <c r="C8" s="39">
        <f>IF(B$2=0,0,B8/B$2)</f>
        <v>0.36263736263736263</v>
      </c>
      <c r="E8" s="63" t="s">
        <v>70</v>
      </c>
      <c r="F8" s="60" t="s">
        <v>25</v>
      </c>
      <c r="G8" s="47">
        <v>43</v>
      </c>
      <c r="H8" s="133">
        <f>IF(B$17=0,0,G8/B$17)</f>
        <v>0.2</v>
      </c>
      <c r="I8" s="94">
        <v>2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0.34065934065934067</v>
      </c>
      <c r="E9" s="63" t="s">
        <v>90</v>
      </c>
      <c r="F9" s="60" t="s">
        <v>45</v>
      </c>
      <c r="G9" s="47">
        <v>37</v>
      </c>
      <c r="H9" s="133">
        <f>IF(B$17=0,0,G9/B$17)</f>
        <v>0.17209302325581396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9.8901098901098897E-2</v>
      </c>
      <c r="E10" s="63" t="s">
        <v>66</v>
      </c>
      <c r="F10" s="60" t="s">
        <v>22</v>
      </c>
      <c r="G10" s="47">
        <v>28</v>
      </c>
      <c r="H10" s="133">
        <f>IF(B$17=0,0,G10/B$17)</f>
        <v>0.13023255813953488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6.1739130434782608</v>
      </c>
      <c r="P10" s="118">
        <v>23</v>
      </c>
      <c r="Q10" s="106">
        <v>142</v>
      </c>
    </row>
    <row r="11" spans="1:17" x14ac:dyDescent="0.4">
      <c r="A11" s="56" t="s">
        <v>140</v>
      </c>
      <c r="B11" s="48">
        <v>12</v>
      </c>
      <c r="C11" s="40">
        <f>IF(B$2=0,0,B11/B$2)</f>
        <v>0.13186813186813187</v>
      </c>
      <c r="E11" s="63" t="s">
        <v>71</v>
      </c>
      <c r="F11" s="60" t="s">
        <v>26</v>
      </c>
      <c r="G11" s="47">
        <v>23</v>
      </c>
      <c r="H11" s="133">
        <f>IF(B$17=0,0,G11/B$17)</f>
        <v>0.10697674418604651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-2.465714285714284</v>
      </c>
      <c r="P11" s="119">
        <v>35</v>
      </c>
      <c r="Q11" s="107">
        <v>-86.29999999999994</v>
      </c>
    </row>
    <row r="12" spans="1:17" x14ac:dyDescent="0.4">
      <c r="A12" s="57" t="s">
        <v>160</v>
      </c>
      <c r="B12" s="49">
        <v>6</v>
      </c>
      <c r="C12" s="42">
        <f>IF(B$2=0,0,B12/B$2)</f>
        <v>6.5934065934065936E-2</v>
      </c>
      <c r="E12" s="63" t="s">
        <v>87</v>
      </c>
      <c r="F12" s="60" t="s">
        <v>42</v>
      </c>
      <c r="G12" s="47">
        <v>16</v>
      </c>
      <c r="H12" s="133">
        <f>IF(B$17=0,0,G12/B$17)</f>
        <v>7.441860465116279E-2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-1.9666666666666668</v>
      </c>
      <c r="P12" s="120">
        <v>33</v>
      </c>
      <c r="Q12" s="108">
        <v>-64.900000000000006</v>
      </c>
    </row>
    <row r="13" spans="1:17" x14ac:dyDescent="0.4">
      <c r="A13" s="58" t="s">
        <v>122</v>
      </c>
      <c r="B13" s="50">
        <v>221</v>
      </c>
      <c r="C13" s="44">
        <f>IF(B$3=0,0,B13/B$3)</f>
        <v>0.29040735873850199</v>
      </c>
      <c r="E13" s="63" t="s">
        <v>72</v>
      </c>
      <c r="F13" s="60" t="s">
        <v>27</v>
      </c>
      <c r="G13" s="47">
        <v>14</v>
      </c>
      <c r="H13" s="133">
        <f>IF(B$17=0,0,G13/B$17)</f>
        <v>6.5116279069767441E-2</v>
      </c>
      <c r="I13" s="94">
        <v>7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144</v>
      </c>
      <c r="C14" s="39">
        <f>IF(B$3=0,0,B14/B$3)</f>
        <v>0.18922470433639949</v>
      </c>
      <c r="E14" s="63" t="s">
        <v>84</v>
      </c>
      <c r="F14" s="60" t="s">
        <v>39</v>
      </c>
      <c r="G14" s="47">
        <v>11</v>
      </c>
      <c r="H14" s="133">
        <f>IF(B$17=0,0,G14/B$17)</f>
        <v>5.1162790697674418E-2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125</v>
      </c>
      <c r="C15" s="37">
        <f>IF(B$13=0,0,B15/B$13)</f>
        <v>0.56561085972850678</v>
      </c>
      <c r="E15" s="63" t="s">
        <v>79</v>
      </c>
      <c r="F15" s="60" t="s">
        <v>34</v>
      </c>
      <c r="G15" s="47">
        <v>9</v>
      </c>
      <c r="H15" s="133">
        <f>IF(B$17=0,0,G15/B$17)</f>
        <v>4.1860465116279069E-2</v>
      </c>
      <c r="I15" s="94">
        <v>4</v>
      </c>
      <c r="K15" s="38">
        <v>13</v>
      </c>
      <c r="L15" s="99">
        <v>-58.7</v>
      </c>
      <c r="N15" s="114" t="s">
        <v>184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59</v>
      </c>
      <c r="C16" s="37">
        <f>IF(B$14=0,0,B16/B$14)</f>
        <v>0.40972222222222221</v>
      </c>
      <c r="E16" s="63" t="s">
        <v>82</v>
      </c>
      <c r="F16" s="60" t="s">
        <v>37</v>
      </c>
      <c r="G16" s="47">
        <v>8</v>
      </c>
      <c r="H16" s="133">
        <f>IF(B$17=0,0,G16/B$17)</f>
        <v>3.7209302325581395E-2</v>
      </c>
      <c r="I16" s="94">
        <v>2</v>
      </c>
      <c r="K16" s="38">
        <v>14</v>
      </c>
      <c r="L16" s="99">
        <v>-29.400000000000002</v>
      </c>
      <c r="N16" s="115" t="s">
        <v>129</v>
      </c>
      <c r="O16" s="125">
        <f>IF(P16=0,0,Q16/P16)</f>
        <v>20.95666666666666</v>
      </c>
      <c r="P16" s="119">
        <v>30</v>
      </c>
      <c r="Q16" s="107">
        <v>628.69999999999982</v>
      </c>
    </row>
    <row r="17" spans="1:17" x14ac:dyDescent="0.4">
      <c r="A17" s="54" t="s">
        <v>10</v>
      </c>
      <c r="B17" s="46">
        <f>B19+B18</f>
        <v>215</v>
      </c>
      <c r="C17" s="37">
        <f>IF(B$3=0,0,B17/B$3)</f>
        <v>0.28252299605781866</v>
      </c>
      <c r="E17" s="63" t="s">
        <v>92</v>
      </c>
      <c r="F17" s="60" t="s">
        <v>47</v>
      </c>
      <c r="G17" s="47">
        <v>6</v>
      </c>
      <c r="H17" s="133">
        <f>IF(B$17=0,0,G17/B$17)</f>
        <v>2.7906976744186046E-2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89</v>
      </c>
      <c r="C18" s="39">
        <f>IF(B$17=0,0,B18/B$17)</f>
        <v>0.413953488372093</v>
      </c>
      <c r="E18" s="63" t="s">
        <v>80</v>
      </c>
      <c r="F18" s="60" t="s">
        <v>35</v>
      </c>
      <c r="G18" s="47">
        <v>4</v>
      </c>
      <c r="H18" s="133">
        <f>IF(B$17=0,0,G18/B$17)</f>
        <v>1.8604651162790697E-2</v>
      </c>
      <c r="I18" s="94">
        <v>4</v>
      </c>
      <c r="K18" s="38">
        <v>16</v>
      </c>
      <c r="L18" s="99">
        <v>-50.3</v>
      </c>
      <c r="N18" s="115" t="s">
        <v>172</v>
      </c>
      <c r="O18" s="125">
        <f>IF(P18=0,0,Q18/P18)</f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126</v>
      </c>
      <c r="C19" s="39">
        <f>IF(B$17=0,0,B19/B$17)</f>
        <v>0.586046511627907</v>
      </c>
      <c r="E19" s="63" t="s">
        <v>180</v>
      </c>
      <c r="F19" s="60" t="s">
        <v>181</v>
      </c>
      <c r="G19" s="47">
        <v>4</v>
      </c>
      <c r="H19" s="133">
        <f>IF(B$17=0,0,G19/B$17)</f>
        <v>1.8604651162790697E-2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>IF(P19=0,0,Q19/P19)</f>
        <v>-1.1611111111111159</v>
      </c>
      <c r="P19" s="119">
        <v>36</v>
      </c>
      <c r="Q19" s="107">
        <v>-41.800000000000168</v>
      </c>
    </row>
    <row r="20" spans="1:17" x14ac:dyDescent="0.4">
      <c r="A20" s="55" t="s">
        <v>13</v>
      </c>
      <c r="B20" s="47">
        <v>135</v>
      </c>
      <c r="C20" s="39">
        <f>IF(B$3=0,0,B20/B$3)</f>
        <v>0.1773981603153745</v>
      </c>
      <c r="E20" s="63" t="s">
        <v>76</v>
      </c>
      <c r="F20" s="60" t="s">
        <v>31</v>
      </c>
      <c r="G20" s="47">
        <v>3</v>
      </c>
      <c r="H20" s="133">
        <f>IF(B$17=0,0,G20/B$17)</f>
        <v>1.3953488372093023E-2</v>
      </c>
      <c r="I20" s="94">
        <v>2</v>
      </c>
      <c r="K20" s="38">
        <v>18</v>
      </c>
      <c r="L20" s="99">
        <v>-76.099999999999994</v>
      </c>
      <c r="N20" s="115" t="s">
        <v>127</v>
      </c>
      <c r="O20" s="125">
        <f>IF(P20=0,0,Q20/P20)</f>
        <v>-1.6094339622641469</v>
      </c>
      <c r="P20" s="119">
        <v>53</v>
      </c>
      <c r="Q20" s="107">
        <v>-85.299999999999784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74</v>
      </c>
      <c r="F21" s="60" t="s">
        <v>29</v>
      </c>
      <c r="G21" s="47">
        <v>2</v>
      </c>
      <c r="H21" s="133">
        <f>IF(B$17=0,0,G21/B$17)</f>
        <v>9.3023255813953487E-3</v>
      </c>
      <c r="I21" s="94">
        <v>3</v>
      </c>
      <c r="K21" s="38">
        <v>19</v>
      </c>
      <c r="L21" s="99">
        <v>0.60000000000000853</v>
      </c>
      <c r="N21" s="115" t="s">
        <v>200</v>
      </c>
      <c r="O21" s="125">
        <f>IF(P21=0,0,Q21/P21)</f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2</v>
      </c>
      <c r="E22" s="63" t="s">
        <v>85</v>
      </c>
      <c r="F22" s="60" t="s">
        <v>40</v>
      </c>
      <c r="G22" s="47">
        <v>2</v>
      </c>
      <c r="H22" s="133">
        <f>IF(B$17=0,0,G22/B$17)</f>
        <v>9.3023255813953487E-3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>IF(P22=0,0,Q22/P22)</f>
        <v>-41.294444444444444</v>
      </c>
      <c r="P22" s="119">
        <v>18</v>
      </c>
      <c r="Q22" s="107">
        <v>-743.3</v>
      </c>
    </row>
    <row r="23" spans="1:17" x14ac:dyDescent="0.4">
      <c r="A23" s="55" t="s">
        <v>5</v>
      </c>
      <c r="B23" s="51">
        <f>IF(B$17=0,0,C23/B$17)</f>
        <v>9848.3720930232557</v>
      </c>
      <c r="C23" s="41">
        <v>2117400</v>
      </c>
      <c r="E23" s="63" t="s">
        <v>93</v>
      </c>
      <c r="F23" s="60" t="s">
        <v>48</v>
      </c>
      <c r="G23" s="47">
        <v>2</v>
      </c>
      <c r="H23" s="133">
        <f>IF(B$17=0,0,G23/B$17)</f>
        <v>9.3023255813953487E-3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-8548.1481481481478</v>
      </c>
      <c r="C24" s="45">
        <v>-1154000</v>
      </c>
      <c r="E24" s="63" t="s">
        <v>88</v>
      </c>
      <c r="F24" s="60" t="s">
        <v>43</v>
      </c>
      <c r="G24" s="47">
        <v>1</v>
      </c>
      <c r="H24" s="133">
        <f>IF(B$17=0,0,G24/B$17)</f>
        <v>4.6511627906976744E-3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4.6511627906976744E-3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7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1.3140604467805519E-3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21.10000000000003</v>
      </c>
    </row>
    <row r="93" spans="11:12" x14ac:dyDescent="0.4">
      <c r="K93" s="38">
        <v>91</v>
      </c>
      <c r="L93" s="99">
        <v>-9.1999999999999709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AE4C-70AF-46BB-AA1E-6CF3427BCB07}">
  <sheetPr codeName="Sheet15"/>
  <dimension ref="A1:Q8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79</v>
      </c>
      <c r="C2" s="151"/>
      <c r="E2" s="62" t="s">
        <v>67</v>
      </c>
      <c r="F2" s="59" t="s">
        <v>23</v>
      </c>
      <c r="G2" s="46">
        <v>153</v>
      </c>
      <c r="H2" s="132">
        <f>IF(B$17=0,0,G2/B$17)</f>
        <v>0.66521739130434787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725.31645569620252</v>
      </c>
      <c r="P2" s="118">
        <v>79</v>
      </c>
      <c r="Q2" s="102">
        <v>57300</v>
      </c>
    </row>
    <row r="3" spans="1:17" x14ac:dyDescent="0.4">
      <c r="A3" s="55" t="s">
        <v>8</v>
      </c>
      <c r="B3" s="152">
        <v>670</v>
      </c>
      <c r="C3" s="153"/>
      <c r="E3" s="63" t="s">
        <v>73</v>
      </c>
      <c r="F3" s="60" t="s">
        <v>28</v>
      </c>
      <c r="G3" s="47">
        <v>133</v>
      </c>
      <c r="H3" s="133">
        <f>IF(B$17=0,0,G3/B$17)</f>
        <v>0.57826086956521738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-1348.1012658227849</v>
      </c>
      <c r="P3" s="119">
        <v>79</v>
      </c>
      <c r="Q3" s="103">
        <v>-106500</v>
      </c>
    </row>
    <row r="4" spans="1:17" x14ac:dyDescent="0.4">
      <c r="A4" s="55" t="s">
        <v>6</v>
      </c>
      <c r="B4" s="154">
        <v>-67.000000000000014</v>
      </c>
      <c r="C4" s="155"/>
      <c r="E4" s="63" t="s">
        <v>245</v>
      </c>
      <c r="F4" s="60" t="s">
        <v>246</v>
      </c>
      <c r="G4" s="47">
        <v>99</v>
      </c>
      <c r="H4" s="133">
        <f>IF(B$17=0,0,G4/B$17)</f>
        <v>0.43043478260869567</v>
      </c>
      <c r="I4" s="94">
        <v>3</v>
      </c>
      <c r="K4" s="38">
        <v>2</v>
      </c>
      <c r="L4" s="99">
        <v>-7.7000000000000011</v>
      </c>
      <c r="N4" s="115" t="s">
        <v>134</v>
      </c>
      <c r="O4" s="122">
        <f t="shared" si="0"/>
        <v>-1478.5714285714287</v>
      </c>
      <c r="P4" s="119">
        <v>70</v>
      </c>
      <c r="Q4" s="103">
        <v>-103500</v>
      </c>
    </row>
    <row r="5" spans="1:17" x14ac:dyDescent="0.4">
      <c r="A5" s="55" t="s">
        <v>7</v>
      </c>
      <c r="B5" s="156">
        <f>IF(B$2=0,0,B$4/B$2)</f>
        <v>-0.848101265822785</v>
      </c>
      <c r="C5" s="157"/>
      <c r="E5" s="63" t="s">
        <v>65</v>
      </c>
      <c r="F5" s="60" t="s">
        <v>21</v>
      </c>
      <c r="G5" s="47">
        <v>79</v>
      </c>
      <c r="H5" s="133">
        <f>IF(B$17=0,0,G5/B$17)</f>
        <v>0.34347826086956523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740.90909090909088</v>
      </c>
      <c r="P5" s="119">
        <v>66</v>
      </c>
      <c r="Q5" s="103">
        <v>48900</v>
      </c>
    </row>
    <row r="6" spans="1:17" x14ac:dyDescent="0.4">
      <c r="A6" s="55" t="s">
        <v>1</v>
      </c>
      <c r="B6" s="146">
        <f>IF(B$2=0,0,(B$7*1+B$8*2+B$9*3)/B$2)</f>
        <v>2.037974683544304</v>
      </c>
      <c r="C6" s="147"/>
      <c r="E6" s="63" t="s">
        <v>69</v>
      </c>
      <c r="F6" s="60" t="s">
        <v>12</v>
      </c>
      <c r="G6" s="47">
        <v>60</v>
      </c>
      <c r="H6" s="133">
        <f>IF(B$17=0,0,G6/B$17)</f>
        <v>0.2608695652173913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900</v>
      </c>
      <c r="P6" s="119">
        <v>62</v>
      </c>
      <c r="Q6" s="103">
        <v>55800</v>
      </c>
    </row>
    <row r="7" spans="1:17" x14ac:dyDescent="0.4">
      <c r="A7" s="55" t="s">
        <v>2</v>
      </c>
      <c r="B7" s="47">
        <v>21</v>
      </c>
      <c r="C7" s="39">
        <f>IF(B$2=0,0,B7/B$2)</f>
        <v>0.26582278481012656</v>
      </c>
      <c r="E7" s="63" t="s">
        <v>68</v>
      </c>
      <c r="F7" s="60" t="s">
        <v>24</v>
      </c>
      <c r="G7" s="47">
        <v>40</v>
      </c>
      <c r="H7" s="133">
        <f>IF(B$17=0,0,G7/B$17)</f>
        <v>0.17391304347826086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-372.22222222222223</v>
      </c>
      <c r="P7" s="120">
        <v>54</v>
      </c>
      <c r="Q7" s="104">
        <v>-20100</v>
      </c>
    </row>
    <row r="8" spans="1:17" x14ac:dyDescent="0.4">
      <c r="A8" s="55" t="s">
        <v>3</v>
      </c>
      <c r="B8" s="47">
        <v>34</v>
      </c>
      <c r="C8" s="39">
        <f>IF(B$2=0,0,B8/B$2)</f>
        <v>0.43037974683544306</v>
      </c>
      <c r="E8" s="63" t="s">
        <v>70</v>
      </c>
      <c r="F8" s="60" t="s">
        <v>25</v>
      </c>
      <c r="G8" s="47">
        <v>33</v>
      </c>
      <c r="H8" s="133">
        <f>IF(B$17=0,0,G8/B$17)</f>
        <v>0.14347826086956522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ref="C9" si="1">IF(B$2=0,0,B9/B$2)</f>
        <v>0.30379746835443039</v>
      </c>
      <c r="E9" s="63" t="s">
        <v>66</v>
      </c>
      <c r="F9" s="60" t="s">
        <v>22</v>
      </c>
      <c r="G9" s="47">
        <v>26</v>
      </c>
      <c r="H9" s="133">
        <f>IF(B$17=0,0,G9/B$17)</f>
        <v>0.11304347826086956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5.0632911392405063E-2</v>
      </c>
      <c r="E10" s="63" t="s">
        <v>72</v>
      </c>
      <c r="F10" s="60" t="s">
        <v>27</v>
      </c>
      <c r="G10" s="47">
        <v>19</v>
      </c>
      <c r="H10" s="133">
        <f>IF(B$17=0,0,G10/B$17)</f>
        <v>8.2608695652173908E-2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-8.5565217391304369</v>
      </c>
      <c r="P10" s="118">
        <v>23</v>
      </c>
      <c r="Q10" s="106">
        <v>-196.80000000000007</v>
      </c>
    </row>
    <row r="11" spans="1:17" x14ac:dyDescent="0.4">
      <c r="A11" s="56" t="s">
        <v>140</v>
      </c>
      <c r="B11" s="48">
        <v>9</v>
      </c>
      <c r="C11" s="40">
        <f>IF(B$2=0,0,B11/B$2)</f>
        <v>0.11392405063291139</v>
      </c>
      <c r="E11" s="63" t="s">
        <v>90</v>
      </c>
      <c r="F11" s="60" t="s">
        <v>45</v>
      </c>
      <c r="G11" s="47">
        <v>18</v>
      </c>
      <c r="H11" s="133">
        <f>IF(B$17=0,0,G11/B$17)</f>
        <v>7.8260869565217397E-2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5.0640000000000001</v>
      </c>
      <c r="P11" s="119">
        <v>25</v>
      </c>
      <c r="Q11" s="107">
        <v>126.6</v>
      </c>
    </row>
    <row r="12" spans="1:17" x14ac:dyDescent="0.4">
      <c r="A12" s="57" t="s">
        <v>160</v>
      </c>
      <c r="B12" s="49">
        <v>6</v>
      </c>
      <c r="C12" s="42">
        <f>IF(B$2=0,0,B12/B$2)</f>
        <v>7.5949367088607597E-2</v>
      </c>
      <c r="E12" s="63" t="s">
        <v>71</v>
      </c>
      <c r="F12" s="60" t="s">
        <v>26</v>
      </c>
      <c r="G12" s="47">
        <v>15</v>
      </c>
      <c r="H12" s="133">
        <f>IF(B$17=0,0,G12/B$17)</f>
        <v>6.5217391304347824E-2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0.10322580645161285</v>
      </c>
      <c r="P12" s="120">
        <v>31</v>
      </c>
      <c r="Q12" s="108">
        <v>3.1999999999999984</v>
      </c>
    </row>
    <row r="13" spans="1:17" x14ac:dyDescent="0.4">
      <c r="A13" s="58" t="s">
        <v>122</v>
      </c>
      <c r="B13" s="50">
        <v>143</v>
      </c>
      <c r="C13" s="44">
        <f>IF(B$3=0,0,B13/B$3)</f>
        <v>0.21343283582089553</v>
      </c>
      <c r="E13" s="63" t="s">
        <v>84</v>
      </c>
      <c r="F13" s="60" t="s">
        <v>39</v>
      </c>
      <c r="G13" s="47">
        <v>15</v>
      </c>
      <c r="H13" s="133">
        <f>IF(B$17=0,0,G13/B$17)</f>
        <v>6.5217391304347824E-2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194</v>
      </c>
      <c r="C14" s="39">
        <f>IF(B$3=0,0,B14/B$3)</f>
        <v>0.28955223880597014</v>
      </c>
      <c r="E14" s="63" t="s">
        <v>87</v>
      </c>
      <c r="F14" s="60" t="s">
        <v>42</v>
      </c>
      <c r="G14" s="47">
        <v>9</v>
      </c>
      <c r="H14" s="133">
        <f>IF(B$17=0,0,G14/B$17)</f>
        <v>3.9130434782608699E-2</v>
      </c>
      <c r="I14" s="94">
        <v>9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80</v>
      </c>
      <c r="C15" s="37">
        <f>IF(B$13=0,0,B15/B$13)</f>
        <v>0.55944055944055948</v>
      </c>
      <c r="E15" s="63" t="s">
        <v>82</v>
      </c>
      <c r="F15" s="60" t="s">
        <v>37</v>
      </c>
      <c r="G15" s="47">
        <v>8</v>
      </c>
      <c r="H15" s="133">
        <f>IF(B$17=0,0,G15/B$17)</f>
        <v>3.4782608695652174E-2</v>
      </c>
      <c r="I15" s="94">
        <v>3</v>
      </c>
      <c r="K15" s="38">
        <v>13</v>
      </c>
      <c r="L15" s="99">
        <v>-3</v>
      </c>
      <c r="N15" s="114" t="s">
        <v>129</v>
      </c>
      <c r="O15" s="124">
        <f>IF(P15=0,0,Q15/P15)</f>
        <v>31.945454545454538</v>
      </c>
      <c r="P15" s="118">
        <v>22</v>
      </c>
      <c r="Q15" s="106">
        <v>702.79999999999984</v>
      </c>
    </row>
    <row r="16" spans="1:17" x14ac:dyDescent="0.4">
      <c r="A16" s="54" t="s">
        <v>125</v>
      </c>
      <c r="B16" s="46">
        <v>82</v>
      </c>
      <c r="C16" s="37">
        <f>IF(B$14=0,0,B16/B$14)</f>
        <v>0.42268041237113402</v>
      </c>
      <c r="E16" s="63" t="s">
        <v>92</v>
      </c>
      <c r="F16" s="60" t="s">
        <v>47</v>
      </c>
      <c r="G16" s="47">
        <v>4</v>
      </c>
      <c r="H16" s="133">
        <f>IF(B$17=0,0,G16/B$17)</f>
        <v>1.7391304347826087E-2</v>
      </c>
      <c r="I16" s="94">
        <v>6</v>
      </c>
      <c r="K16" s="38">
        <v>14</v>
      </c>
      <c r="L16" s="99">
        <v>-12.3</v>
      </c>
      <c r="N16" s="115" t="s">
        <v>223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230</v>
      </c>
      <c r="C17" s="37">
        <f>IF(B$3=0,0,B17/B$3)</f>
        <v>0.34328358208955223</v>
      </c>
      <c r="E17" s="63" t="s">
        <v>79</v>
      </c>
      <c r="F17" s="60" t="s">
        <v>34</v>
      </c>
      <c r="G17" s="47">
        <v>3</v>
      </c>
      <c r="H17" s="133">
        <f>IF(B$17=0,0,G17/B$17)</f>
        <v>1.3043478260869565E-2</v>
      </c>
      <c r="I17" s="94">
        <v>10</v>
      </c>
      <c r="K17" s="38">
        <v>15</v>
      </c>
      <c r="L17" s="99">
        <v>-80.3</v>
      </c>
      <c r="N17" s="115" t="s">
        <v>184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97</v>
      </c>
      <c r="C18" s="39">
        <f>IF(B$17=0,0,B18/B$17)</f>
        <v>0.42173913043478262</v>
      </c>
      <c r="E18" s="63" t="s">
        <v>80</v>
      </c>
      <c r="F18" s="60" t="s">
        <v>35</v>
      </c>
      <c r="G18" s="47">
        <v>3</v>
      </c>
      <c r="H18" s="133">
        <f>IF(B$17=0,0,G18/B$17)</f>
        <v>1.3043478260869565E-2</v>
      </c>
      <c r="I18" s="94">
        <v>7</v>
      </c>
      <c r="K18" s="38">
        <v>16</v>
      </c>
      <c r="L18" s="99">
        <v>-87.6</v>
      </c>
      <c r="N18" s="115" t="s">
        <v>173</v>
      </c>
      <c r="O18" s="125">
        <f>IF(P18=0,0,Q18/P18)</f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133</v>
      </c>
      <c r="C19" s="39">
        <f>IF(B$17=0,0,B19/B$17)</f>
        <v>0.57826086956521738</v>
      </c>
      <c r="E19" s="63" t="s">
        <v>74</v>
      </c>
      <c r="F19" s="60" t="s">
        <v>29</v>
      </c>
      <c r="G19" s="47">
        <v>1</v>
      </c>
      <c r="H19" s="133">
        <f>IF(B$17=0,0,G19/B$17)</f>
        <v>4.3478260869565218E-3</v>
      </c>
      <c r="I19" s="94">
        <v>7</v>
      </c>
      <c r="K19" s="38">
        <v>17</v>
      </c>
      <c r="L19" s="99">
        <v>-55.099999999999994</v>
      </c>
      <c r="N19" s="115" t="s">
        <v>128</v>
      </c>
      <c r="O19" s="125">
        <f>IF(P19=0,0,Q19/P19)</f>
        <v>4.3735294117647054</v>
      </c>
      <c r="P19" s="119">
        <v>34</v>
      </c>
      <c r="Q19" s="107">
        <v>148.69999999999999</v>
      </c>
    </row>
    <row r="20" spans="1:17" x14ac:dyDescent="0.4">
      <c r="A20" s="55" t="s">
        <v>13</v>
      </c>
      <c r="B20" s="47">
        <v>92</v>
      </c>
      <c r="C20" s="39">
        <f>IF(B$3=0,0,B20/B$3)</f>
        <v>0.1373134328358209</v>
      </c>
      <c r="E20" s="63" t="s">
        <v>75</v>
      </c>
      <c r="F20" s="60" t="s">
        <v>30</v>
      </c>
      <c r="G20" s="47">
        <v>1</v>
      </c>
      <c r="H20" s="133">
        <f>IF(B$17=0,0,G20/B$17)</f>
        <v>4.3478260869565218E-3</v>
      </c>
      <c r="I20" s="94">
        <v>6</v>
      </c>
      <c r="K20" s="38">
        <v>18</v>
      </c>
      <c r="L20" s="99">
        <v>-28.199999999999996</v>
      </c>
      <c r="N20" s="115" t="s">
        <v>200</v>
      </c>
      <c r="O20" s="125">
        <f>IF(P20=0,0,Q20/P20)</f>
        <v>-2.7400000000000033</v>
      </c>
      <c r="P20" s="119">
        <v>5</v>
      </c>
      <c r="Q20" s="107">
        <v>-13.700000000000017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4.3478260869565218E-3</v>
      </c>
      <c r="I21" s="94">
        <v>7</v>
      </c>
      <c r="K21" s="38">
        <v>19</v>
      </c>
      <c r="L21" s="99">
        <v>29.200000000000003</v>
      </c>
      <c r="N21" s="115" t="s">
        <v>177</v>
      </c>
      <c r="O21" s="125">
        <f>IF(P21=0,0,Q21/P21)</f>
        <v>-3.7111111111111117</v>
      </c>
      <c r="P21" s="119">
        <v>18</v>
      </c>
      <c r="Q21" s="107">
        <v>-66.800000000000011</v>
      </c>
    </row>
    <row r="22" spans="1:17" x14ac:dyDescent="0.4">
      <c r="A22" s="55" t="s">
        <v>192</v>
      </c>
      <c r="B22" s="47">
        <v>23</v>
      </c>
      <c r="C22" s="135">
        <v>13</v>
      </c>
      <c r="E22" s="63" t="s">
        <v>88</v>
      </c>
      <c r="F22" s="60" t="s">
        <v>43</v>
      </c>
      <c r="G22" s="47">
        <v>1</v>
      </c>
      <c r="H22" s="133">
        <f>IF(B$17=0,0,G22/B$17)</f>
        <v>4.3478260869565218E-3</v>
      </c>
      <c r="I22" s="94">
        <v>4</v>
      </c>
      <c r="K22" s="38">
        <v>20</v>
      </c>
      <c r="L22" s="99">
        <v>43</v>
      </c>
      <c r="N22" s="115" t="s">
        <v>171</v>
      </c>
      <c r="O22" s="125">
        <f>IF(P22=0,0,Q22/P22)</f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6787.391304347826</v>
      </c>
      <c r="C23" s="41">
        <v>1561100</v>
      </c>
      <c r="E23" s="63" t="s">
        <v>91</v>
      </c>
      <c r="F23" s="60" t="s">
        <v>46</v>
      </c>
      <c r="G23" s="47">
        <v>1</v>
      </c>
      <c r="H23" s="133">
        <f>IF(B$17=0,0,G23/B$17)</f>
        <v>4.3478260869565218E-3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-23.265909090909087</v>
      </c>
      <c r="P23" s="119">
        <v>44</v>
      </c>
      <c r="Q23" s="107">
        <v>-1023.6999999999998</v>
      </c>
    </row>
    <row r="24" spans="1:17" x14ac:dyDescent="0.4">
      <c r="A24" s="57" t="s">
        <v>14</v>
      </c>
      <c r="B24" s="52">
        <f>IF(B$20=0,0,C24/B$20)</f>
        <v>-8579.347826086956</v>
      </c>
      <c r="C24" s="45">
        <v>-789300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1.4925373134328358E-3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B795-E045-4075-9EFD-3EE7D2F6A0D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47</v>
      </c>
      <c r="C2" s="151"/>
      <c r="E2" s="62" t="s">
        <v>67</v>
      </c>
      <c r="F2" s="59" t="s">
        <v>23</v>
      </c>
      <c r="G2" s="46">
        <v>78</v>
      </c>
      <c r="H2" s="132">
        <f>IF(B$17=0,0,G2/B$17)</f>
        <v>0.66666666666666663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-2731.9148936170213</v>
      </c>
      <c r="P2" s="118">
        <v>47</v>
      </c>
      <c r="Q2" s="102">
        <v>-128400</v>
      </c>
    </row>
    <row r="3" spans="1:17" x14ac:dyDescent="0.4">
      <c r="A3" s="55" t="s">
        <v>8</v>
      </c>
      <c r="B3" s="152">
        <v>405</v>
      </c>
      <c r="C3" s="153"/>
      <c r="E3" s="63" t="s">
        <v>73</v>
      </c>
      <c r="F3" s="60" t="s">
        <v>28</v>
      </c>
      <c r="G3" s="47">
        <v>62</v>
      </c>
      <c r="H3" s="133">
        <f>IF(B$17=0,0,G3/B$17)</f>
        <v>0.52991452991452992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2059.5744680851062</v>
      </c>
      <c r="P3" s="119">
        <v>47</v>
      </c>
      <c r="Q3" s="103">
        <v>96800</v>
      </c>
    </row>
    <row r="4" spans="1:17" x14ac:dyDescent="0.4">
      <c r="A4" s="55" t="s">
        <v>6</v>
      </c>
      <c r="B4" s="154">
        <v>-439.7</v>
      </c>
      <c r="C4" s="155"/>
      <c r="E4" s="63" t="s">
        <v>65</v>
      </c>
      <c r="F4" s="60" t="s">
        <v>21</v>
      </c>
      <c r="G4" s="47">
        <v>50</v>
      </c>
      <c r="H4" s="133">
        <f>IF(B$17=0,0,G4/B$17)</f>
        <v>0.42735042735042733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-1050</v>
      </c>
      <c r="P4" s="119">
        <v>44</v>
      </c>
      <c r="Q4" s="103">
        <v>-46200</v>
      </c>
    </row>
    <row r="5" spans="1:17" x14ac:dyDescent="0.4">
      <c r="A5" s="55" t="s">
        <v>7</v>
      </c>
      <c r="B5" s="156">
        <f>IF(B$2=0,0,B$4/B$2)</f>
        <v>-9.3553191489361698</v>
      </c>
      <c r="C5" s="157"/>
      <c r="E5" s="63" t="s">
        <v>69</v>
      </c>
      <c r="F5" s="60" t="s">
        <v>12</v>
      </c>
      <c r="G5" s="47">
        <v>46</v>
      </c>
      <c r="H5" s="133">
        <f>IF(B$17=0,0,G5/B$17)</f>
        <v>0.39316239316239315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-3870.731707317073</v>
      </c>
      <c r="P5" s="119">
        <v>41</v>
      </c>
      <c r="Q5" s="103">
        <v>-158700</v>
      </c>
    </row>
    <row r="6" spans="1:17" x14ac:dyDescent="0.4">
      <c r="A6" s="55" t="s">
        <v>1</v>
      </c>
      <c r="B6" s="146">
        <f>IF(B$2=0,0,(B$7*1+B$8*2+B$9*3)/B$2)</f>
        <v>2.1276595744680851</v>
      </c>
      <c r="C6" s="147"/>
      <c r="E6" s="63" t="s">
        <v>245</v>
      </c>
      <c r="F6" s="60" t="s">
        <v>246</v>
      </c>
      <c r="G6" s="47">
        <v>46</v>
      </c>
      <c r="H6" s="133">
        <f>IF(B$17=0,0,G6/B$17)</f>
        <v>0.39316239316239315</v>
      </c>
      <c r="I6" s="94">
        <v>8</v>
      </c>
      <c r="K6" s="38">
        <v>4</v>
      </c>
      <c r="L6" s="99">
        <v>-150.6</v>
      </c>
      <c r="N6" s="115" t="s">
        <v>136</v>
      </c>
      <c r="O6" s="122">
        <f t="shared" si="0"/>
        <v>-205.55555555555554</v>
      </c>
      <c r="P6" s="119">
        <v>36</v>
      </c>
      <c r="Q6" s="103">
        <v>-7400</v>
      </c>
    </row>
    <row r="7" spans="1:17" x14ac:dyDescent="0.4">
      <c r="A7" s="55" t="s">
        <v>2</v>
      </c>
      <c r="B7" s="47">
        <v>13</v>
      </c>
      <c r="C7" s="39">
        <f>IF(B$2=0,0,B7/B$2)</f>
        <v>0.27659574468085107</v>
      </c>
      <c r="E7" s="63" t="s">
        <v>68</v>
      </c>
      <c r="F7" s="60" t="s">
        <v>24</v>
      </c>
      <c r="G7" s="47">
        <v>28</v>
      </c>
      <c r="H7" s="133">
        <f>IF(B$17=0,0,G7/B$17)</f>
        <v>0.23931623931623933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0"/>
        <v>520</v>
      </c>
      <c r="P7" s="120">
        <v>35</v>
      </c>
      <c r="Q7" s="104">
        <v>18200</v>
      </c>
    </row>
    <row r="8" spans="1:17" x14ac:dyDescent="0.4">
      <c r="A8" s="55" t="s">
        <v>3</v>
      </c>
      <c r="B8" s="47">
        <v>15</v>
      </c>
      <c r="C8" s="39">
        <f>IF(B$2=0,0,B8/B$2)</f>
        <v>0.31914893617021278</v>
      </c>
      <c r="E8" s="63" t="s">
        <v>71</v>
      </c>
      <c r="F8" s="60" t="s">
        <v>26</v>
      </c>
      <c r="G8" s="47">
        <v>14</v>
      </c>
      <c r="H8" s="133">
        <f>IF(B$17=0,0,G8/B$17)</f>
        <v>0.11965811965811966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0.40425531914893614</v>
      </c>
      <c r="E9" s="63" t="s">
        <v>90</v>
      </c>
      <c r="F9" s="60" t="s">
        <v>45</v>
      </c>
      <c r="G9" s="47">
        <v>14</v>
      </c>
      <c r="H9" s="133">
        <f>IF(B$17=0,0,G9/B$17)</f>
        <v>0.11965811965811966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0.14893617021276595</v>
      </c>
      <c r="E10" s="63" t="s">
        <v>70</v>
      </c>
      <c r="F10" s="60" t="s">
        <v>25</v>
      </c>
      <c r="G10" s="47">
        <v>13</v>
      </c>
      <c r="H10" s="133">
        <f>IF(B$17=0,0,G10/B$17)</f>
        <v>0.1111111111111111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-14.399999999999999</v>
      </c>
      <c r="P10" s="118">
        <v>13</v>
      </c>
      <c r="Q10" s="106">
        <v>-187.2</v>
      </c>
    </row>
    <row r="11" spans="1:17" x14ac:dyDescent="0.4">
      <c r="A11" s="56" t="s">
        <v>140</v>
      </c>
      <c r="B11" s="48">
        <v>3</v>
      </c>
      <c r="C11" s="40">
        <f>IF(B$2=0,0,B11/B$2)</f>
        <v>6.3829787234042548E-2</v>
      </c>
      <c r="E11" s="63" t="s">
        <v>66</v>
      </c>
      <c r="F11" s="60" t="s">
        <v>22</v>
      </c>
      <c r="G11" s="47">
        <v>9</v>
      </c>
      <c r="H11" s="133">
        <f>IF(B$17=0,0,G11/B$17)</f>
        <v>7.6923076923076927E-2</v>
      </c>
      <c r="I11" s="94">
        <v>8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4.2553191489361701E-2</v>
      </c>
      <c r="E12" s="63" t="s">
        <v>72</v>
      </c>
      <c r="F12" s="60" t="s">
        <v>27</v>
      </c>
      <c r="G12" s="47">
        <v>6</v>
      </c>
      <c r="H12" s="133">
        <f>IF(B$17=0,0,G12/B$17)</f>
        <v>5.128205128205128E-2</v>
      </c>
      <c r="I12" s="94">
        <v>10</v>
      </c>
      <c r="K12" s="38">
        <v>10</v>
      </c>
      <c r="L12" s="99">
        <v>-318.39999999999998</v>
      </c>
      <c r="N12" s="116" t="s">
        <v>166</v>
      </c>
      <c r="O12" s="126">
        <f>IF(P12=0,0,Q12/P12)</f>
        <v>-11.453846153846152</v>
      </c>
      <c r="P12" s="120">
        <v>13</v>
      </c>
      <c r="Q12" s="108">
        <v>-148.89999999999998</v>
      </c>
    </row>
    <row r="13" spans="1:17" x14ac:dyDescent="0.4">
      <c r="A13" s="58" t="s">
        <v>122</v>
      </c>
      <c r="B13" s="50">
        <v>89</v>
      </c>
      <c r="C13" s="44">
        <f>IF(B$3=0,0,B13/B$3)</f>
        <v>0.21975308641975308</v>
      </c>
      <c r="E13" s="63" t="s">
        <v>87</v>
      </c>
      <c r="F13" s="60" t="s">
        <v>42</v>
      </c>
      <c r="G13" s="47">
        <v>4</v>
      </c>
      <c r="H13" s="133">
        <f>IF(B$17=0,0,G13/B$17)</f>
        <v>3.4188034188034191E-2</v>
      </c>
      <c r="I13" s="94">
        <v>10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102</v>
      </c>
      <c r="C14" s="39">
        <f>IF(B$3=0,0,B14/B$3)</f>
        <v>0.25185185185185183</v>
      </c>
      <c r="E14" s="63" t="s">
        <v>74</v>
      </c>
      <c r="F14" s="60" t="s">
        <v>29</v>
      </c>
      <c r="G14" s="47">
        <v>2</v>
      </c>
      <c r="H14" s="133">
        <f>IF(B$17=0,0,G14/B$17)</f>
        <v>1.7094017094017096E-2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0.5842696629213483</v>
      </c>
      <c r="E15" s="63" t="s">
        <v>79</v>
      </c>
      <c r="F15" s="60" t="s">
        <v>34</v>
      </c>
      <c r="G15" s="47">
        <v>2</v>
      </c>
      <c r="H15" s="133">
        <f>IF(B$17=0,0,G15/B$17)</f>
        <v>1.7094017094017096E-2</v>
      </c>
      <c r="I15" s="94">
        <v>9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0.3235294117647059</v>
      </c>
      <c r="E16" s="63" t="s">
        <v>80</v>
      </c>
      <c r="F16" s="60" t="s">
        <v>35</v>
      </c>
      <c r="G16" s="47">
        <v>2</v>
      </c>
      <c r="H16" s="133">
        <f>IF(B$17=0,0,G16/B$17)</f>
        <v>1.7094017094017096E-2</v>
      </c>
      <c r="I16" s="94">
        <v>5</v>
      </c>
      <c r="K16" s="38">
        <v>14</v>
      </c>
      <c r="L16" s="99">
        <v>-269.99999999999994</v>
      </c>
      <c r="N16" s="115" t="s">
        <v>172</v>
      </c>
      <c r="O16" s="125">
        <f>IF(P16=0,0,Q16/P16)</f>
        <v>-6.633333333333332</v>
      </c>
      <c r="P16" s="119">
        <v>12</v>
      </c>
      <c r="Q16" s="107">
        <v>-79.59999999999998</v>
      </c>
    </row>
    <row r="17" spans="1:17" x14ac:dyDescent="0.4">
      <c r="A17" s="54" t="s">
        <v>10</v>
      </c>
      <c r="B17" s="46">
        <f>B19+B18</f>
        <v>117</v>
      </c>
      <c r="C17" s="37">
        <f>IF(B$3=0,0,B17/B$3)</f>
        <v>0.28888888888888886</v>
      </c>
      <c r="E17" s="63" t="s">
        <v>84</v>
      </c>
      <c r="F17" s="60" t="s">
        <v>39</v>
      </c>
      <c r="G17" s="47">
        <v>2</v>
      </c>
      <c r="H17" s="133">
        <f>IF(B$17=0,0,G17/B$17)</f>
        <v>1.7094017094017096E-2</v>
      </c>
      <c r="I17" s="94">
        <v>11</v>
      </c>
      <c r="K17" s="38">
        <v>15</v>
      </c>
      <c r="L17" s="99">
        <v>-264.59999999999997</v>
      </c>
      <c r="N17" s="115" t="s">
        <v>128</v>
      </c>
      <c r="O17" s="125">
        <f>IF(P17=0,0,Q17/P17)</f>
        <v>-12.160869565217387</v>
      </c>
      <c r="P17" s="119">
        <v>23</v>
      </c>
      <c r="Q17" s="107">
        <v>-279.69999999999993</v>
      </c>
    </row>
    <row r="18" spans="1:17" x14ac:dyDescent="0.4">
      <c r="A18" s="55" t="s">
        <v>12</v>
      </c>
      <c r="B18" s="47">
        <v>60</v>
      </c>
      <c r="C18" s="39">
        <f>IF(B$17=0,0,B18/B$17)</f>
        <v>0.51282051282051277</v>
      </c>
      <c r="E18" s="63" t="s">
        <v>92</v>
      </c>
      <c r="F18" s="60" t="s">
        <v>47</v>
      </c>
      <c r="G18" s="47">
        <v>2</v>
      </c>
      <c r="H18" s="133">
        <f>IF(B$17=0,0,G18/B$17)</f>
        <v>1.7094017094017096E-2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-12.777777777777775</v>
      </c>
      <c r="P18" s="119">
        <v>18</v>
      </c>
      <c r="Q18" s="107">
        <v>-229.99999999999994</v>
      </c>
    </row>
    <row r="19" spans="1:17" x14ac:dyDescent="0.4">
      <c r="A19" s="55" t="s">
        <v>11</v>
      </c>
      <c r="B19" s="47">
        <v>57</v>
      </c>
      <c r="C19" s="39">
        <f>IF(B$17=0,0,B19/B$17)</f>
        <v>0.48717948717948717</v>
      </c>
      <c r="E19" s="63" t="s">
        <v>180</v>
      </c>
      <c r="F19" s="60" t="s">
        <v>181</v>
      </c>
      <c r="G19" s="47">
        <v>2</v>
      </c>
      <c r="H19" s="133">
        <f>IF(B$17=0,0,G19/B$17)</f>
        <v>1.7094017094017096E-2</v>
      </c>
      <c r="I19" s="94">
        <v>4</v>
      </c>
      <c r="K19" s="38">
        <v>17</v>
      </c>
      <c r="L19" s="99">
        <v>-248.89999999999995</v>
      </c>
      <c r="N19" s="115" t="s">
        <v>127</v>
      </c>
      <c r="O19" s="125">
        <f>IF(P19=0,0,Q19/P19)</f>
        <v>-21.768181818181816</v>
      </c>
      <c r="P19" s="119">
        <v>22</v>
      </c>
      <c r="Q19" s="107">
        <v>-478.9</v>
      </c>
    </row>
    <row r="20" spans="1:17" x14ac:dyDescent="0.4">
      <c r="A20" s="55" t="s">
        <v>13</v>
      </c>
      <c r="B20" s="47">
        <v>77</v>
      </c>
      <c r="C20" s="39">
        <f>IF(B$3=0,0,B20/B$3)</f>
        <v>0.19012345679012346</v>
      </c>
      <c r="E20" s="63" t="s">
        <v>88</v>
      </c>
      <c r="F20" s="60" t="s">
        <v>43</v>
      </c>
      <c r="G20" s="47">
        <v>1</v>
      </c>
      <c r="H20" s="133">
        <f>IF(B$17=0,0,G20/B$17)</f>
        <v>8.5470085470085479E-3</v>
      </c>
      <c r="I20" s="94">
        <v>2</v>
      </c>
      <c r="K20" s="38">
        <v>18</v>
      </c>
      <c r="L20" s="99">
        <v>-218.99999999999994</v>
      </c>
      <c r="N20" s="115" t="s">
        <v>177</v>
      </c>
      <c r="O20" s="125">
        <f>IF(P20=0,0,Q20/P20)</f>
        <v>-22.274999999999999</v>
      </c>
      <c r="P20" s="119">
        <v>8</v>
      </c>
      <c r="Q20" s="107">
        <v>-178.2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200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1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9</v>
      </c>
      <c r="K22" s="38">
        <v>20</v>
      </c>
      <c r="L22" s="99">
        <v>-182.79999999999993</v>
      </c>
      <c r="N22" s="115" t="s">
        <v>183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6904.2735042735039</v>
      </c>
      <c r="C23" s="41">
        <v>807800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  <c r="N23" s="115" t="s">
        <v>184</v>
      </c>
      <c r="O23" s="125">
        <f>IF(P23=0,0,Q23/P23)</f>
        <v>-159</v>
      </c>
      <c r="P23" s="119">
        <v>1</v>
      </c>
      <c r="Q23" s="107">
        <v>-159</v>
      </c>
    </row>
    <row r="24" spans="1:17" x14ac:dyDescent="0.4">
      <c r="A24" s="57" t="s">
        <v>14</v>
      </c>
      <c r="B24" s="52">
        <f>IF(B$20=0,0,C24/B$20)</f>
        <v>-8290.9090909090901</v>
      </c>
      <c r="C24" s="45">
        <v>-638400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10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4.9382716049382715E-3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CB12-A25C-4FDC-87E8-7AA31C9561EA}">
  <sheetPr codeName="Sheet19"/>
  <dimension ref="A1:Q6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66</v>
      </c>
      <c r="C2" s="151"/>
      <c r="E2" s="62" t="s">
        <v>65</v>
      </c>
      <c r="F2" s="59" t="s">
        <v>21</v>
      </c>
      <c r="G2" s="46">
        <v>100</v>
      </c>
      <c r="H2" s="132">
        <f>IF(B$17=0,0,G2/B$17)</f>
        <v>0.62893081761006286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1484.6153846153845</v>
      </c>
      <c r="P2" s="118">
        <v>65</v>
      </c>
      <c r="Q2" s="102">
        <v>96500</v>
      </c>
    </row>
    <row r="3" spans="1:17" x14ac:dyDescent="0.4">
      <c r="A3" s="55" t="s">
        <v>8</v>
      </c>
      <c r="B3" s="152">
        <v>525</v>
      </c>
      <c r="C3" s="153"/>
      <c r="E3" s="63" t="s">
        <v>66</v>
      </c>
      <c r="F3" s="60" t="s">
        <v>22</v>
      </c>
      <c r="G3" s="47">
        <v>19</v>
      </c>
      <c r="H3" s="133">
        <f>IF(B$17=0,0,G3/B$17)</f>
        <v>0.11949685534591195</v>
      </c>
      <c r="I3" s="94">
        <v>4</v>
      </c>
      <c r="K3" s="38">
        <v>1</v>
      </c>
      <c r="L3" s="99">
        <v>-1.9</v>
      </c>
      <c r="N3" s="115" t="s">
        <v>133</v>
      </c>
      <c r="O3" s="122">
        <f t="shared" si="0"/>
        <v>1085.483870967742</v>
      </c>
      <c r="P3" s="119">
        <v>62</v>
      </c>
      <c r="Q3" s="103">
        <v>67300</v>
      </c>
    </row>
    <row r="4" spans="1:17" x14ac:dyDescent="0.4">
      <c r="A4" s="55" t="s">
        <v>6</v>
      </c>
      <c r="B4" s="154">
        <v>328.6</v>
      </c>
      <c r="C4" s="155"/>
      <c r="E4" s="63" t="s">
        <v>67</v>
      </c>
      <c r="F4" s="60" t="s">
        <v>23</v>
      </c>
      <c r="G4" s="47">
        <v>93</v>
      </c>
      <c r="H4" s="133">
        <f>IF(B$17=0,0,G4/B$17)</f>
        <v>0.58490566037735847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-752.72727272727275</v>
      </c>
      <c r="P4" s="119">
        <v>55</v>
      </c>
      <c r="Q4" s="103">
        <v>-41400</v>
      </c>
    </row>
    <row r="5" spans="1:17" x14ac:dyDescent="0.4">
      <c r="A5" s="55" t="s">
        <v>7</v>
      </c>
      <c r="B5" s="156">
        <f>IF(B$2=0,0,B$4/B$2)</f>
        <v>4.9787878787878794</v>
      </c>
      <c r="C5" s="157"/>
      <c r="E5" s="63" t="s">
        <v>68</v>
      </c>
      <c r="F5" s="60" t="s">
        <v>24</v>
      </c>
      <c r="G5" s="47">
        <v>61</v>
      </c>
      <c r="H5" s="133">
        <f>IF(B$17=0,0,G5/B$17)</f>
        <v>0.38364779874213839</v>
      </c>
      <c r="I5" s="94">
        <v>4</v>
      </c>
      <c r="K5" s="38">
        <v>3</v>
      </c>
      <c r="L5" s="99">
        <v>-10</v>
      </c>
      <c r="N5" s="115" t="s">
        <v>135</v>
      </c>
      <c r="O5" s="122">
        <f t="shared" si="0"/>
        <v>2473.5849056603774</v>
      </c>
      <c r="P5" s="119">
        <v>53</v>
      </c>
      <c r="Q5" s="103">
        <v>131100</v>
      </c>
    </row>
    <row r="6" spans="1:17" x14ac:dyDescent="0.4">
      <c r="A6" s="55" t="s">
        <v>1</v>
      </c>
      <c r="B6" s="146">
        <f>IF(B$2=0,0,(B$7*1+B$8*2+B$9*3)/B$2)</f>
        <v>1.8636363636363635</v>
      </c>
      <c r="C6" s="147"/>
      <c r="E6" s="63" t="s">
        <v>69</v>
      </c>
      <c r="F6" s="60" t="s">
        <v>12</v>
      </c>
      <c r="G6" s="47">
        <v>51</v>
      </c>
      <c r="H6" s="133">
        <f>IF(B$17=0,0,G6/B$17)</f>
        <v>0.32075471698113206</v>
      </c>
      <c r="I6" s="94">
        <v>7</v>
      </c>
      <c r="K6" s="38">
        <v>4</v>
      </c>
      <c r="L6" s="99">
        <v>40</v>
      </c>
      <c r="N6" s="115" t="s">
        <v>136</v>
      </c>
      <c r="O6" s="122">
        <f t="shared" si="0"/>
        <v>-1159.5744680851064</v>
      </c>
      <c r="P6" s="119">
        <v>47</v>
      </c>
      <c r="Q6" s="103">
        <v>-54500</v>
      </c>
    </row>
    <row r="7" spans="1:17" x14ac:dyDescent="0.4">
      <c r="A7" s="55" t="s">
        <v>2</v>
      </c>
      <c r="B7" s="47">
        <v>27</v>
      </c>
      <c r="C7" s="39">
        <f>IF(B$2=0,0,B7/B$2)</f>
        <v>0.40909090909090912</v>
      </c>
      <c r="E7" s="63" t="s">
        <v>70</v>
      </c>
      <c r="F7" s="60" t="s">
        <v>25</v>
      </c>
      <c r="G7" s="47">
        <v>28</v>
      </c>
      <c r="H7" s="133">
        <f>IF(B$17=0,0,G7/B$17)</f>
        <v>0.1761006289308176</v>
      </c>
      <c r="I7" s="94">
        <v>6</v>
      </c>
      <c r="K7" s="38">
        <v>5</v>
      </c>
      <c r="L7" s="99">
        <v>35.4</v>
      </c>
      <c r="N7" s="116" t="s">
        <v>137</v>
      </c>
      <c r="O7" s="123">
        <f t="shared" si="0"/>
        <v>276.92307692307691</v>
      </c>
      <c r="P7" s="120">
        <v>39</v>
      </c>
      <c r="Q7" s="104">
        <v>10800</v>
      </c>
    </row>
    <row r="8" spans="1:17" x14ac:dyDescent="0.4">
      <c r="A8" s="55" t="s">
        <v>3</v>
      </c>
      <c r="B8" s="47">
        <v>21</v>
      </c>
      <c r="C8" s="39">
        <f>IF(B$2=0,0,B8/B$2)</f>
        <v>0.31818181818181818</v>
      </c>
      <c r="E8" s="63" t="s">
        <v>71</v>
      </c>
      <c r="F8" s="60" t="s">
        <v>26</v>
      </c>
      <c r="G8" s="47">
        <v>12</v>
      </c>
      <c r="H8" s="133">
        <f>IF(B$17=0,0,G8/B$17)</f>
        <v>7.5471698113207544E-2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0.27272727272727271</v>
      </c>
      <c r="E9" s="63" t="s">
        <v>72</v>
      </c>
      <c r="F9" s="60" t="s">
        <v>27</v>
      </c>
      <c r="G9" s="47">
        <v>9</v>
      </c>
      <c r="H9" s="133">
        <f>IF(B$17=0,0,G9/B$17)</f>
        <v>5.6603773584905662E-2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>IF(B$2=0,0,B10/B$2)</f>
        <v>0.15151515151515152</v>
      </c>
      <c r="E10" s="63" t="s">
        <v>73</v>
      </c>
      <c r="F10" s="60" t="s">
        <v>28</v>
      </c>
      <c r="G10" s="47">
        <v>62</v>
      </c>
      <c r="H10" s="133">
        <f>IF(B$17=0,0,G10/B$17)</f>
        <v>0.38993710691823902</v>
      </c>
      <c r="I10" s="94">
        <v>11</v>
      </c>
      <c r="K10" s="38">
        <v>8</v>
      </c>
      <c r="L10" s="99">
        <v>-87.1</v>
      </c>
      <c r="N10" s="114" t="s">
        <v>164</v>
      </c>
      <c r="O10" s="124">
        <f>IF(P10=0,0,Q10/P10)</f>
        <v>5.723809523809523</v>
      </c>
      <c r="P10" s="118">
        <v>21</v>
      </c>
      <c r="Q10" s="106">
        <v>120.19999999999999</v>
      </c>
    </row>
    <row r="11" spans="1:17" x14ac:dyDescent="0.4">
      <c r="A11" s="56" t="s">
        <v>140</v>
      </c>
      <c r="B11" s="48">
        <v>9</v>
      </c>
      <c r="C11" s="40">
        <f>IF(B$2=0,0,B11/B$2)</f>
        <v>0.13636363636363635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11.424000000000001</v>
      </c>
      <c r="P11" s="119">
        <v>25</v>
      </c>
      <c r="Q11" s="107">
        <v>285.60000000000002</v>
      </c>
    </row>
    <row r="12" spans="1:17" x14ac:dyDescent="0.4">
      <c r="A12" s="57" t="s">
        <v>160</v>
      </c>
      <c r="B12" s="49">
        <v>5</v>
      </c>
      <c r="C12" s="42">
        <f>IF(B$2=0,0,B12/B$2)</f>
        <v>7.575757575757576E-2</v>
      </c>
      <c r="E12" s="63" t="s">
        <v>75</v>
      </c>
      <c r="F12" s="60" t="s">
        <v>30</v>
      </c>
      <c r="G12" s="47">
        <v>1</v>
      </c>
      <c r="H12" s="133">
        <f>IF(B$17=0,0,G12/B$17)</f>
        <v>6.2893081761006293E-3</v>
      </c>
      <c r="I12" s="94">
        <v>4</v>
      </c>
      <c r="K12" s="38">
        <v>10</v>
      </c>
      <c r="L12" s="99">
        <v>-183.7</v>
      </c>
      <c r="N12" s="116" t="s">
        <v>166</v>
      </c>
      <c r="O12" s="126">
        <f>IF(P12=0,0,Q12/P12)</f>
        <v>-3.8600000000000003</v>
      </c>
      <c r="P12" s="120">
        <v>20</v>
      </c>
      <c r="Q12" s="108">
        <v>-77.2</v>
      </c>
    </row>
    <row r="13" spans="1:17" x14ac:dyDescent="0.4">
      <c r="A13" s="58" t="s">
        <v>122</v>
      </c>
      <c r="B13" s="50">
        <v>155</v>
      </c>
      <c r="C13" s="44">
        <f>IF(B$3=0,0,B13/B$3)</f>
        <v>0.29523809523809524</v>
      </c>
      <c r="E13" s="63" t="s">
        <v>76</v>
      </c>
      <c r="F13" s="60" t="s">
        <v>31</v>
      </c>
      <c r="G13" s="47">
        <v>1</v>
      </c>
      <c r="H13" s="133">
        <f>IF(B$17=0,0,G13/B$17)</f>
        <v>6.2893081761006293E-3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93</v>
      </c>
      <c r="C14" s="39">
        <f>IF(B$3=0,0,B14/B$3)</f>
        <v>0.17714285714285713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100</v>
      </c>
      <c r="C15" s="37">
        <f>IF(B$13=0,0,B15/B$13)</f>
        <v>0.64516129032258063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171</v>
      </c>
      <c r="O15" s="124">
        <f t="shared" ref="O15:O23" si="2">IF(P15=0,0,Q15/P15)</f>
        <v>41.294444444444451</v>
      </c>
      <c r="P15" s="118">
        <v>18</v>
      </c>
      <c r="Q15" s="106">
        <v>743.30000000000007</v>
      </c>
    </row>
    <row r="16" spans="1:17" x14ac:dyDescent="0.4">
      <c r="A16" s="54" t="s">
        <v>125</v>
      </c>
      <c r="B16" s="46">
        <v>33</v>
      </c>
      <c r="C16" s="37">
        <f>IF(B$14=0,0,B16/B$14)</f>
        <v>0.35483870967741937</v>
      </c>
      <c r="E16" s="63" t="s">
        <v>79</v>
      </c>
      <c r="F16" s="60" t="s">
        <v>34</v>
      </c>
      <c r="G16" s="47">
        <v>5</v>
      </c>
      <c r="H16" s="133">
        <f>IF(B$17=0,0,G16/B$17)</f>
        <v>3.1446540880503145E-2</v>
      </c>
      <c r="I16" s="94">
        <v>5</v>
      </c>
      <c r="K16" s="38">
        <v>14</v>
      </c>
      <c r="L16" s="99">
        <v>-178.49999999999997</v>
      </c>
      <c r="N16" s="115" t="s">
        <v>200</v>
      </c>
      <c r="O16" s="125">
        <f t="shared" si="2"/>
        <v>26.1</v>
      </c>
      <c r="P16" s="119">
        <v>5</v>
      </c>
      <c r="Q16" s="107">
        <v>130.5</v>
      </c>
    </row>
    <row r="17" spans="1:17" x14ac:dyDescent="0.4">
      <c r="A17" s="54" t="s">
        <v>10</v>
      </c>
      <c r="B17" s="46">
        <f>B19+B18</f>
        <v>159</v>
      </c>
      <c r="C17" s="37">
        <f>IF(B$3=0,0,B17/B$3)</f>
        <v>0.30285714285714288</v>
      </c>
      <c r="E17" s="63" t="s">
        <v>80</v>
      </c>
      <c r="F17" s="60" t="s">
        <v>35</v>
      </c>
      <c r="G17" s="47">
        <v>2</v>
      </c>
      <c r="H17" s="133">
        <f>IF(B$17=0,0,G17/B$17)</f>
        <v>1.2578616352201259E-2</v>
      </c>
      <c r="I17" s="94">
        <v>8</v>
      </c>
      <c r="K17" s="38">
        <v>15</v>
      </c>
      <c r="L17" s="99">
        <v>-146.19999999999999</v>
      </c>
      <c r="N17" s="115" t="s">
        <v>173</v>
      </c>
      <c r="O17" s="125">
        <f t="shared" si="2"/>
        <v>22.275000000000002</v>
      </c>
      <c r="P17" s="119">
        <v>8</v>
      </c>
      <c r="Q17" s="107">
        <v>178.20000000000002</v>
      </c>
    </row>
    <row r="18" spans="1:17" x14ac:dyDescent="0.4">
      <c r="A18" s="55" t="s">
        <v>12</v>
      </c>
      <c r="B18" s="47">
        <v>71</v>
      </c>
      <c r="C18" s="39">
        <f>IF(B$17=0,0,B18/B$17)</f>
        <v>0.44654088050314467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129</v>
      </c>
      <c r="O18" s="125">
        <f t="shared" si="2"/>
        <v>15.755000000000001</v>
      </c>
      <c r="P18" s="119">
        <v>20</v>
      </c>
      <c r="Q18" s="107">
        <v>315.10000000000002</v>
      </c>
    </row>
    <row r="19" spans="1:17" x14ac:dyDescent="0.4">
      <c r="A19" s="55" t="s">
        <v>11</v>
      </c>
      <c r="B19" s="47">
        <v>88</v>
      </c>
      <c r="C19" s="39">
        <f>IF(B$17=0,0,B19/B$17)</f>
        <v>0.55345911949685533</v>
      </c>
      <c r="E19" s="63" t="s">
        <v>82</v>
      </c>
      <c r="F19" s="60" t="s">
        <v>37</v>
      </c>
      <c r="G19" s="47">
        <v>4</v>
      </c>
      <c r="H19" s="133">
        <f>IF(B$17=0,0,G19/B$17)</f>
        <v>2.5157232704402517E-2</v>
      </c>
      <c r="I19" s="94">
        <v>7</v>
      </c>
      <c r="K19" s="38">
        <v>17</v>
      </c>
      <c r="L19" s="99">
        <v>-161.19999999999999</v>
      </c>
      <c r="N19" s="115" t="s">
        <v>128</v>
      </c>
      <c r="O19" s="125">
        <f t="shared" si="2"/>
        <v>11.464</v>
      </c>
      <c r="P19" s="119">
        <v>25</v>
      </c>
      <c r="Q19" s="107">
        <v>286.60000000000002</v>
      </c>
    </row>
    <row r="20" spans="1:17" x14ac:dyDescent="0.4">
      <c r="A20" s="55" t="s">
        <v>13</v>
      </c>
      <c r="B20" s="47">
        <v>79</v>
      </c>
      <c r="C20" s="39">
        <f>IF(B$3=0,0,B20/B$3)</f>
        <v>0.15047619047619049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184</v>
      </c>
      <c r="O20" s="125">
        <f t="shared" si="2"/>
        <v>4.8666666666666698</v>
      </c>
      <c r="P20" s="119">
        <v>6</v>
      </c>
      <c r="Q20" s="107">
        <v>29.200000000000017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7</v>
      </c>
      <c r="H21" s="133">
        <f>IF(B$17=0,0,G21/B$17)</f>
        <v>4.40251572327044E-2</v>
      </c>
      <c r="I21" s="94">
        <v>7</v>
      </c>
      <c r="K21" s="38">
        <v>19</v>
      </c>
      <c r="L21" s="99">
        <v>-235.6</v>
      </c>
      <c r="N21" s="115" t="s">
        <v>172</v>
      </c>
      <c r="O21" s="125">
        <f t="shared" si="2"/>
        <v>3.7111111111111086</v>
      </c>
      <c r="P21" s="119">
        <v>18</v>
      </c>
      <c r="Q21" s="107">
        <v>66.799999999999955</v>
      </c>
    </row>
    <row r="22" spans="1:17" x14ac:dyDescent="0.4">
      <c r="A22" s="55" t="s">
        <v>192</v>
      </c>
      <c r="B22" s="47">
        <v>45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 t="shared" si="2"/>
        <v>-21.61379310344828</v>
      </c>
      <c r="P22" s="119">
        <v>29</v>
      </c>
      <c r="Q22" s="107">
        <v>-626.80000000000018</v>
      </c>
    </row>
    <row r="23" spans="1:17" x14ac:dyDescent="0.4">
      <c r="A23" s="55" t="s">
        <v>5</v>
      </c>
      <c r="B23" s="51">
        <f>IF(B$17=0,0,C23/B$17)</f>
        <v>8937.1069182389929</v>
      </c>
      <c r="C23" s="41">
        <v>1421000</v>
      </c>
      <c r="E23" s="63" t="s">
        <v>86</v>
      </c>
      <c r="F23" s="60" t="s">
        <v>41</v>
      </c>
      <c r="G23" s="47">
        <v>3</v>
      </c>
      <c r="H23" s="133">
        <f>IF(B$17=0,0,G23/B$17)</f>
        <v>1.8867924528301886E-2</v>
      </c>
      <c r="I23" s="94">
        <v>1</v>
      </c>
      <c r="K23" s="38">
        <v>21</v>
      </c>
      <c r="L23" s="99">
        <v>-188.60000000000002</v>
      </c>
      <c r="N23" s="115" t="s">
        <v>183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-7539.2405063291135</v>
      </c>
      <c r="C24" s="45">
        <v>-595600</v>
      </c>
      <c r="E24" s="63" t="s">
        <v>87</v>
      </c>
      <c r="F24" s="60" t="s">
        <v>42</v>
      </c>
      <c r="G24" s="47">
        <v>8</v>
      </c>
      <c r="H24" s="133">
        <f>IF(B$17=0,0,G24/B$17)</f>
        <v>5.0314465408805034E-2</v>
      </c>
      <c r="I24" s="94">
        <v>8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5.7142857142857143E-3</v>
      </c>
      <c r="E27" s="63" t="s">
        <v>90</v>
      </c>
      <c r="F27" s="60" t="s">
        <v>45</v>
      </c>
      <c r="G27" s="47">
        <v>17</v>
      </c>
      <c r="H27" s="133">
        <f>IF(B$17=0,0,G27/B$17)</f>
        <v>0.1069182389937107</v>
      </c>
      <c r="I27" s="94">
        <v>10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1.2578616352201259E-2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3.1446540880503145E-2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6.2893081761006293E-3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6.2893081761006293E-3</v>
      </c>
      <c r="I31" s="94">
        <v>2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6.2893081761006293E-3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40.899999999999991</v>
      </c>
    </row>
    <row r="51" spans="5:12" x14ac:dyDescent="0.4">
      <c r="E51" s="138" t="s">
        <v>245</v>
      </c>
      <c r="F51" s="139" t="s">
        <v>246</v>
      </c>
      <c r="G51" s="48">
        <v>69</v>
      </c>
      <c r="H51" s="140">
        <f>IF(B$17=0,0,G51/B$17)</f>
        <v>0.43396226415094341</v>
      </c>
      <c r="I51" s="141">
        <v>2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295</v>
      </c>
    </row>
    <row r="63" spans="5:12" x14ac:dyDescent="0.4">
      <c r="K63" s="38">
        <v>61</v>
      </c>
      <c r="L63" s="99">
        <v>359.4</v>
      </c>
    </row>
    <row r="64" spans="5:12" x14ac:dyDescent="0.4">
      <c r="K64" s="38">
        <v>62</v>
      </c>
      <c r="L64" s="99">
        <v>347.5</v>
      </c>
    </row>
    <row r="65" spans="11:12" x14ac:dyDescent="0.4">
      <c r="K65" s="38">
        <v>63</v>
      </c>
      <c r="L65" s="99">
        <v>345.6</v>
      </c>
    </row>
    <row r="66" spans="11:12" x14ac:dyDescent="0.4">
      <c r="K66" s="38">
        <v>64</v>
      </c>
      <c r="L66" s="99">
        <v>287.60000000000002</v>
      </c>
    </row>
    <row r="67" spans="11:12" x14ac:dyDescent="0.4">
      <c r="K67" s="38">
        <v>65</v>
      </c>
      <c r="L67" s="99">
        <v>323.60000000000002</v>
      </c>
    </row>
    <row r="68" spans="11:12" x14ac:dyDescent="0.4">
      <c r="K68" s="38">
        <v>66</v>
      </c>
      <c r="L68" s="99">
        <v>328.6</v>
      </c>
    </row>
  </sheetData>
  <sortState ref="E2:I6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11984-961B-4F6A-9AF9-2C8AAB3A280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2</v>
      </c>
      <c r="H51" s="140">
        <f>IF(B$17=0,0,G51/B$17)</f>
        <v>0.4</v>
      </c>
      <c r="I51" s="141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81428-ABAF-4D30-BF60-9737845D026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18</v>
      </c>
      <c r="C2" s="151"/>
      <c r="E2" s="62" t="s">
        <v>65</v>
      </c>
      <c r="F2" s="59" t="s">
        <v>21</v>
      </c>
      <c r="G2" s="46">
        <v>22</v>
      </c>
      <c r="H2" s="132">
        <f>IF(B$17=0,0,G2/B$17)</f>
        <v>0.52380952380952384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-1016.6666666666666</v>
      </c>
      <c r="P2" s="118">
        <v>18</v>
      </c>
      <c r="Q2" s="102">
        <v>-18300</v>
      </c>
    </row>
    <row r="3" spans="1:17" x14ac:dyDescent="0.4">
      <c r="A3" s="55" t="s">
        <v>8</v>
      </c>
      <c r="B3" s="152">
        <v>147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2.3809523809523808E-2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-1044.4444444444443</v>
      </c>
      <c r="P3" s="119">
        <v>18</v>
      </c>
      <c r="Q3" s="103">
        <v>-18800</v>
      </c>
    </row>
    <row r="4" spans="1:17" x14ac:dyDescent="0.4">
      <c r="A4" s="55" t="s">
        <v>6</v>
      </c>
      <c r="B4" s="154">
        <v>-127.5</v>
      </c>
      <c r="C4" s="155"/>
      <c r="E4" s="63" t="s">
        <v>67</v>
      </c>
      <c r="F4" s="60" t="s">
        <v>23</v>
      </c>
      <c r="G4" s="47">
        <v>39</v>
      </c>
      <c r="H4" s="133">
        <f>IF(B$17=0,0,G4/B$17)</f>
        <v>0.9285714285714286</v>
      </c>
      <c r="I4" s="94">
        <v>2</v>
      </c>
      <c r="K4" s="38">
        <v>2</v>
      </c>
      <c r="L4" s="99">
        <v>-76.2</v>
      </c>
      <c r="N4" s="115" t="s">
        <v>134</v>
      </c>
      <c r="O4" s="122">
        <f t="shared" si="0"/>
        <v>152.94117647058823</v>
      </c>
      <c r="P4" s="119">
        <v>17</v>
      </c>
      <c r="Q4" s="103">
        <v>2600</v>
      </c>
    </row>
    <row r="5" spans="1:17" x14ac:dyDescent="0.4">
      <c r="A5" s="55" t="s">
        <v>7</v>
      </c>
      <c r="B5" s="156">
        <f>IF(B$2=0,0,B$4/B$2)</f>
        <v>-7.083333333333333</v>
      </c>
      <c r="C5" s="157"/>
      <c r="E5" s="63" t="s">
        <v>68</v>
      </c>
      <c r="F5" s="60" t="s">
        <v>24</v>
      </c>
      <c r="G5" s="47">
        <v>11</v>
      </c>
      <c r="H5" s="133">
        <f>IF(B$17=0,0,G5/B$17)</f>
        <v>0.26190476190476192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-4237.5</v>
      </c>
      <c r="P5" s="119">
        <v>16</v>
      </c>
      <c r="Q5" s="103">
        <v>-67800</v>
      </c>
    </row>
    <row r="6" spans="1:17" x14ac:dyDescent="0.4">
      <c r="A6" s="55" t="s">
        <v>1</v>
      </c>
      <c r="B6" s="146">
        <f>IF(B$2=0,0,(B$7*1+B$8*2+B$9*3)/B$2)</f>
        <v>2.1111111111111112</v>
      </c>
      <c r="C6" s="147"/>
      <c r="E6" s="63" t="s">
        <v>69</v>
      </c>
      <c r="F6" s="60" t="s">
        <v>12</v>
      </c>
      <c r="G6" s="47">
        <v>13</v>
      </c>
      <c r="H6" s="133">
        <f>IF(B$17=0,0,G6/B$17)</f>
        <v>0.30952380952380953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-243.75</v>
      </c>
      <c r="P6" s="119">
        <v>16</v>
      </c>
      <c r="Q6" s="103">
        <v>-3900</v>
      </c>
    </row>
    <row r="7" spans="1:17" x14ac:dyDescent="0.4">
      <c r="A7" s="55" t="s">
        <v>2</v>
      </c>
      <c r="B7" s="47">
        <v>7</v>
      </c>
      <c r="C7" s="39">
        <f>IF(B$2=0,0,B7/B$2)</f>
        <v>0.3888888888888889</v>
      </c>
      <c r="E7" s="63" t="s">
        <v>70</v>
      </c>
      <c r="F7" s="60" t="s">
        <v>25</v>
      </c>
      <c r="G7" s="47">
        <v>8</v>
      </c>
      <c r="H7" s="133">
        <f>IF(B$17=0,0,G7/B$17)</f>
        <v>0.19047619047619047</v>
      </c>
      <c r="I7" s="94">
        <v>5</v>
      </c>
      <c r="K7" s="38">
        <v>5</v>
      </c>
      <c r="L7" s="99">
        <v>-121</v>
      </c>
      <c r="N7" s="116" t="s">
        <v>137</v>
      </c>
      <c r="O7" s="123">
        <f t="shared" si="0"/>
        <v>-3407.6923076923076</v>
      </c>
      <c r="P7" s="120">
        <v>13</v>
      </c>
      <c r="Q7" s="104">
        <v>-44300</v>
      </c>
    </row>
    <row r="8" spans="1:17" x14ac:dyDescent="0.4">
      <c r="A8" s="55" t="s">
        <v>3</v>
      </c>
      <c r="B8" s="47">
        <v>2</v>
      </c>
      <c r="C8" s="39">
        <f>IF(B$2=0,0,B8/B$2)</f>
        <v>0.1111111111111111</v>
      </c>
      <c r="E8" s="63" t="s">
        <v>71</v>
      </c>
      <c r="F8" s="60" t="s">
        <v>26</v>
      </c>
      <c r="G8" s="47">
        <v>7</v>
      </c>
      <c r="H8" s="133">
        <f>IF(B$17=0,0,G8/B$17)</f>
        <v>0.16666666666666666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3</v>
      </c>
      <c r="H9" s="133">
        <f>IF(B$17=0,0,G9/B$17)</f>
        <v>7.1428571428571425E-2</v>
      </c>
      <c r="I9" s="94">
        <v>4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0.22222222222222221</v>
      </c>
      <c r="E10" s="63" t="s">
        <v>73</v>
      </c>
      <c r="F10" s="60" t="s">
        <v>28</v>
      </c>
      <c r="G10" s="47">
        <v>23</v>
      </c>
      <c r="H10" s="133">
        <f>IF(B$17=0,0,G10/B$17)</f>
        <v>0.54761904761904767</v>
      </c>
      <c r="I10" s="94">
        <v>6</v>
      </c>
      <c r="K10" s="38">
        <v>8</v>
      </c>
      <c r="L10" s="99">
        <v>-170.5</v>
      </c>
      <c r="N10" s="114" t="s">
        <v>164</v>
      </c>
      <c r="O10" s="124">
        <f>IF(P10=0,0,Q10/P10)</f>
        <v>-20.099999999999998</v>
      </c>
      <c r="P10" s="118">
        <v>7</v>
      </c>
      <c r="Q10" s="106">
        <v>-140.69999999999999</v>
      </c>
    </row>
    <row r="11" spans="1:17" x14ac:dyDescent="0.4">
      <c r="A11" s="56" t="s">
        <v>140</v>
      </c>
      <c r="B11" s="48">
        <v>1</v>
      </c>
      <c r="C11" s="40">
        <f>IF(B$2=0,0,B11/B$2)</f>
        <v>5.5555555555555552E-2</v>
      </c>
      <c r="E11" s="63" t="s">
        <v>74</v>
      </c>
      <c r="F11" s="60" t="s">
        <v>29</v>
      </c>
      <c r="G11" s="47">
        <v>1</v>
      </c>
      <c r="H11" s="133">
        <f>IF(B$17=0,0,G11/B$17)</f>
        <v>2.3809523809523808E-2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-11.916666666666666</v>
      </c>
      <c r="P11" s="119">
        <v>6</v>
      </c>
      <c r="Q11" s="107">
        <v>-71.5</v>
      </c>
    </row>
    <row r="12" spans="1:17" x14ac:dyDescent="0.4">
      <c r="A12" s="57" t="s">
        <v>160</v>
      </c>
      <c r="B12" s="49">
        <v>2</v>
      </c>
      <c r="C12" s="42">
        <f>IF(B$2=0,0,B12/B$2)</f>
        <v>0.1111111111111111</v>
      </c>
      <c r="E12" s="63" t="s">
        <v>75</v>
      </c>
      <c r="F12" s="60" t="s">
        <v>30</v>
      </c>
      <c r="G12" s="47">
        <v>1</v>
      </c>
      <c r="H12" s="133">
        <f>IF(B$17=0,0,G12/B$17)</f>
        <v>2.3809523809523808E-2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16.940000000000001</v>
      </c>
      <c r="P12" s="120">
        <v>5</v>
      </c>
      <c r="Q12" s="108">
        <v>84.7</v>
      </c>
    </row>
    <row r="13" spans="1:17" x14ac:dyDescent="0.4">
      <c r="A13" s="58" t="s">
        <v>122</v>
      </c>
      <c r="B13" s="50">
        <v>36</v>
      </c>
      <c r="C13" s="44">
        <f>IF(B$3=0,0,B13/B$3)</f>
        <v>0.24489795918367346</v>
      </c>
      <c r="E13" s="63" t="s">
        <v>76</v>
      </c>
      <c r="F13" s="60" t="s">
        <v>31</v>
      </c>
      <c r="G13" s="47">
        <v>1</v>
      </c>
      <c r="H13" s="133">
        <f>IF(B$17=0,0,G13/B$17)</f>
        <v>2.3809523809523808E-2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33</v>
      </c>
      <c r="C14" s="39">
        <f>IF(B$3=0,0,B14/B$3)</f>
        <v>0.22448979591836735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</v>
      </c>
      <c r="C15" s="37">
        <f>IF(B$13=0,0,B15/B$13)</f>
        <v>0.63888888888888884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173</v>
      </c>
      <c r="O15" s="124">
        <f t="shared" ref="O15:O22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14</v>
      </c>
      <c r="C16" s="37">
        <f>IF(B$14=0,0,B16/B$14)</f>
        <v>0.42424242424242425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129</v>
      </c>
      <c r="O16" s="125">
        <f t="shared" si="2"/>
        <v>24.240000000000002</v>
      </c>
      <c r="P16" s="119">
        <v>5</v>
      </c>
      <c r="Q16" s="107">
        <v>121.20000000000002</v>
      </c>
    </row>
    <row r="17" spans="1:17" x14ac:dyDescent="0.4">
      <c r="A17" s="54" t="s">
        <v>10</v>
      </c>
      <c r="B17" s="46">
        <f>B19+B18</f>
        <v>42</v>
      </c>
      <c r="C17" s="37">
        <f>IF(B$3=0,0,B17/B$3)</f>
        <v>0.2857142857142857</v>
      </c>
      <c r="E17" s="63" t="s">
        <v>80</v>
      </c>
      <c r="F17" s="60" t="s">
        <v>35</v>
      </c>
      <c r="G17" s="47">
        <v>2</v>
      </c>
      <c r="H17" s="133">
        <f>IF(B$17=0,0,G17/B$17)</f>
        <v>4.7619047619047616E-2</v>
      </c>
      <c r="I17" s="94">
        <v>1</v>
      </c>
      <c r="K17" s="38">
        <v>15</v>
      </c>
      <c r="L17" s="99">
        <v>-85.399999999999991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20</v>
      </c>
      <c r="C18" s="39">
        <f>IF(B$17=0,0,B18/B$17)</f>
        <v>0.47619047619047616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-140.79999999999998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22</v>
      </c>
      <c r="C19" s="39">
        <f>IF(B$17=0,0,B19/B$17)</f>
        <v>0.52380952380952384</v>
      </c>
      <c r="E19" s="63" t="s">
        <v>82</v>
      </c>
      <c r="F19" s="60" t="s">
        <v>37</v>
      </c>
      <c r="G19" s="47">
        <v>1</v>
      </c>
      <c r="H19" s="133">
        <f>IF(B$17=0,0,G19/B$17)</f>
        <v>2.3809523809523808E-2</v>
      </c>
      <c r="I19" s="94">
        <v>8</v>
      </c>
      <c r="K19" s="38">
        <v>17</v>
      </c>
      <c r="L19" s="99">
        <v>-204.5</v>
      </c>
      <c r="N19" s="115" t="s">
        <v>127</v>
      </c>
      <c r="O19" s="125">
        <f t="shared" si="2"/>
        <v>-23.075000000000003</v>
      </c>
      <c r="P19" s="119">
        <v>12</v>
      </c>
      <c r="Q19" s="107">
        <v>-276.90000000000003</v>
      </c>
    </row>
    <row r="20" spans="1:17" x14ac:dyDescent="0.4">
      <c r="A20" s="55" t="s">
        <v>13</v>
      </c>
      <c r="B20" s="47">
        <v>34</v>
      </c>
      <c r="C20" s="39">
        <f>IF(B$3=0,0,B20/B$3)</f>
        <v>0.23129251700680273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-127.5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5</v>
      </c>
      <c r="C21" s="135">
        <v>5</v>
      </c>
      <c r="E21" s="63" t="s">
        <v>84</v>
      </c>
      <c r="F21" s="60" t="s">
        <v>39</v>
      </c>
      <c r="G21" s="47">
        <v>5</v>
      </c>
      <c r="H21" s="133">
        <f>IF(B$17=0,0,G21/B$17)</f>
        <v>0.11904761904761904</v>
      </c>
      <c r="I21" s="94">
        <v>2</v>
      </c>
      <c r="N21" s="115" t="s">
        <v>128</v>
      </c>
      <c r="O21" s="125">
        <f t="shared" si="2"/>
        <v>-28.642857142857142</v>
      </c>
      <c r="P21" s="119">
        <v>7</v>
      </c>
      <c r="Q21" s="107">
        <v>-200.5</v>
      </c>
    </row>
    <row r="22" spans="1:17" x14ac:dyDescent="0.4">
      <c r="A22" s="55" t="s">
        <v>192</v>
      </c>
      <c r="B22" s="47">
        <v>17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8642.8571428571431</v>
      </c>
      <c r="C23" s="41">
        <v>363000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-8376.4705882352937</v>
      </c>
      <c r="C24" s="45">
        <v>-284800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0.11904761904761904</v>
      </c>
      <c r="I27" s="94">
        <v>8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2.3809523809523808E-2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15</v>
      </c>
      <c r="H51" s="140">
        <f>IF(B$17=0,0,G51/B$17)</f>
        <v>0.35714285714285715</v>
      </c>
      <c r="I51" s="141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486A-1E85-4CD9-92DE-7E0F8823777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</v>
      </c>
      <c r="C2" s="151"/>
      <c r="E2" s="62" t="s">
        <v>65</v>
      </c>
      <c r="F2" s="59" t="s">
        <v>21</v>
      </c>
      <c r="G2" s="46">
        <v>14</v>
      </c>
      <c r="H2" s="132">
        <f>IF(B$17=0,0,G2/B$17)</f>
        <v>0.48275862068965519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6.8965517241379309E-2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0.55172413793103448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1.8099999999999994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0.31034482758620691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</v>
      </c>
      <c r="C6" s="147"/>
      <c r="E6" s="63" t="s">
        <v>69</v>
      </c>
      <c r="F6" s="60" t="s">
        <v>12</v>
      </c>
      <c r="G6" s="47">
        <v>11</v>
      </c>
      <c r="H6" s="133">
        <f>IF(B$17=0,0,G6/B$17)</f>
        <v>0.37931034482758619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8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19</v>
      </c>
      <c r="H10" s="133">
        <f>IF(B$17=0,0,G10/B$17)</f>
        <v>0.65517241379310343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2.5749999999999993</v>
      </c>
      <c r="P10" s="118">
        <v>4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18.099999999999994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2</v>
      </c>
      <c r="H16" s="133">
        <f>IF(B$17=0,0,G16/B$17)</f>
        <v>6.8965517241379309E-2</v>
      </c>
      <c r="I16" s="94">
        <v>2</v>
      </c>
      <c r="N16" s="115" t="s">
        <v>171</v>
      </c>
      <c r="O16" s="125">
        <f t="shared" si="2"/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80</v>
      </c>
      <c r="F17" s="60" t="s">
        <v>35</v>
      </c>
      <c r="G17" s="47">
        <v>1</v>
      </c>
      <c r="H17" s="133">
        <f>IF(B$17=0,0,G17/B$17)</f>
        <v>3.4482758620689655E-2</v>
      </c>
      <c r="I17" s="94">
        <v>2</v>
      </c>
      <c r="N17" s="115" t="s">
        <v>127</v>
      </c>
      <c r="O17" s="125">
        <f t="shared" si="2"/>
        <v>8.9666666666666668</v>
      </c>
      <c r="P17" s="119">
        <v>3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-26.1</v>
      </c>
      <c r="P20" s="119">
        <v>5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3.4482758620689655E-2</v>
      </c>
      <c r="I21" s="94">
        <v>10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87</v>
      </c>
      <c r="F24" s="60" t="s">
        <v>42</v>
      </c>
      <c r="G24" s="47">
        <v>3</v>
      </c>
      <c r="H24" s="133">
        <f>IF(B$17=0,0,G24/B$17)</f>
        <v>0.10344827586206896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54800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0.13793103448275862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9</v>
      </c>
      <c r="H51" s="140">
        <f>IF(B$17=0,0,G51/B$17)</f>
        <v>0.31034482758620691</v>
      </c>
      <c r="I51" s="141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4053-E633-45EA-BCE3-5F7BEF1CD416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0.5</v>
      </c>
      <c r="I51" s="141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3E82-91D5-494C-AC3C-82E94060075A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47300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0.2</v>
      </c>
      <c r="I51" s="141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9A1A-11EB-4D4D-9C13-BFB0CB4A1C02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C584-75BA-4460-B6D3-3C88ABBA198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421F-71A8-4330-B42A-F7FE309C5BA6}">
  <sheetPr codeName="Sheet26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18.099999999999994</v>
      </c>
      <c r="C13" s="66">
        <v>1.8099999999999994</v>
      </c>
      <c r="D13" s="71">
        <v>1.8</v>
      </c>
      <c r="E13" s="67">
        <v>0.3</v>
      </c>
      <c r="F13" s="67">
        <v>0.1</v>
      </c>
      <c r="G13" s="67">
        <v>0.3411764705882353</v>
      </c>
      <c r="H13" s="67">
        <v>0.16470588235294117</v>
      </c>
      <c r="I13" s="68">
        <v>6765.5172413793107</v>
      </c>
      <c r="J13" s="68">
        <v>-6378.5714285714284</v>
      </c>
      <c r="K13" s="67">
        <v>0</v>
      </c>
      <c r="L13" s="67">
        <v>0</v>
      </c>
      <c r="M13" s="67">
        <v>0.23529411764705882</v>
      </c>
      <c r="N13" s="67">
        <v>0.29411764705882354</v>
      </c>
      <c r="O13" s="67">
        <v>0.7</v>
      </c>
      <c r="P13" s="67">
        <v>0.48</v>
      </c>
      <c r="Q13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D3DE-EAB2-418C-B5AB-C3CC1E224B1A}">
  <sheetPr codeName="Sheet24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-85.399999999999991</v>
      </c>
      <c r="C18" s="66">
        <v>-5.6933333333333325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-140.79999999999998</v>
      </c>
      <c r="C19" s="66">
        <v>-8.7999999999999989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-204.5</v>
      </c>
      <c r="C20" s="66">
        <v>-12.029411764705882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-127.5</v>
      </c>
      <c r="C21" s="66">
        <v>-7.083333333333333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481CA-656B-4ABC-8423-4EFD906EF00F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A96D8-CA80-4D9E-B28F-2A29C742664F}">
  <sheetPr codeName="Sheet20"/>
  <dimension ref="A1:Q6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295</v>
      </c>
      <c r="C63" s="66">
        <v>4.916666666666667</v>
      </c>
      <c r="D63" s="71">
        <v>1.8666666666666667</v>
      </c>
      <c r="E63" s="67">
        <v>0.41666666666666669</v>
      </c>
      <c r="F63" s="67">
        <v>0.28333333333333333</v>
      </c>
      <c r="G63" s="67">
        <v>0.30721649484536084</v>
      </c>
      <c r="H63" s="67">
        <v>0.15257731958762888</v>
      </c>
      <c r="I63" s="68">
        <v>8833.5570469798658</v>
      </c>
      <c r="J63" s="68">
        <v>-7635.135135135135</v>
      </c>
      <c r="K63" s="67">
        <v>0.15</v>
      </c>
      <c r="L63" s="67">
        <v>0.13333333333333333</v>
      </c>
      <c r="M63" s="67">
        <v>0.2907216494845361</v>
      </c>
      <c r="N63" s="67">
        <v>0.18144329896907216</v>
      </c>
      <c r="O63" s="67">
        <v>0.65957446808510634</v>
      </c>
      <c r="P63" s="67">
        <v>0.375</v>
      </c>
      <c r="Q63" s="67">
        <v>0.44295302013422821</v>
      </c>
    </row>
    <row r="64" spans="1:17" x14ac:dyDescent="0.4">
      <c r="A64" s="69">
        <v>61</v>
      </c>
      <c r="B64" s="66">
        <v>359.4</v>
      </c>
      <c r="C64" s="66">
        <v>5.8918032786885242</v>
      </c>
      <c r="D64" s="71">
        <v>1.8524590163934427</v>
      </c>
      <c r="E64" s="67">
        <v>0.42622950819672129</v>
      </c>
      <c r="F64" s="67">
        <v>0.27868852459016391</v>
      </c>
      <c r="G64" s="67">
        <v>0.30894308943089432</v>
      </c>
      <c r="H64" s="67">
        <v>0.15040650406504066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0.29065040650406504</v>
      </c>
      <c r="N64" s="67">
        <v>0.17886178861788618</v>
      </c>
      <c r="O64" s="67">
        <v>0.65734265734265729</v>
      </c>
      <c r="P64" s="67">
        <v>0.375</v>
      </c>
      <c r="Q64" s="67">
        <v>0.44736842105263158</v>
      </c>
    </row>
    <row r="65" spans="1:17" x14ac:dyDescent="0.4">
      <c r="A65" s="69">
        <v>62</v>
      </c>
      <c r="B65" s="66">
        <v>347.5</v>
      </c>
      <c r="C65" s="66">
        <v>5.604838709677419</v>
      </c>
      <c r="D65" s="71">
        <v>1.8548387096774193</v>
      </c>
      <c r="E65" s="67">
        <v>0.41935483870967744</v>
      </c>
      <c r="F65" s="67">
        <v>0.27419354838709675</v>
      </c>
      <c r="G65" s="67">
        <v>0.30645161290322581</v>
      </c>
      <c r="H65" s="67">
        <v>0.14919354838709678</v>
      </c>
      <c r="I65" s="68">
        <v>8948.0263157894733</v>
      </c>
      <c r="J65" s="68">
        <v>-7635.135135135135</v>
      </c>
      <c r="K65" s="67">
        <v>0.14516129032258066</v>
      </c>
      <c r="L65" s="67">
        <v>0.14516129032258066</v>
      </c>
      <c r="M65" s="67">
        <v>0.29032258064516131</v>
      </c>
      <c r="N65" s="67">
        <v>0.18145161290322581</v>
      </c>
      <c r="O65" s="67">
        <v>0.65277777777777779</v>
      </c>
      <c r="P65" s="67">
        <v>0.36666666666666664</v>
      </c>
      <c r="Q65" s="67">
        <v>0.44736842105263158</v>
      </c>
    </row>
    <row r="66" spans="1:17" x14ac:dyDescent="0.4">
      <c r="A66" s="69">
        <v>63</v>
      </c>
      <c r="B66" s="66">
        <v>345.6</v>
      </c>
      <c r="C66" s="66">
        <v>5.4857142857142858</v>
      </c>
      <c r="D66" s="71">
        <v>1.8571428571428572</v>
      </c>
      <c r="E66" s="67">
        <v>0.41269841269841268</v>
      </c>
      <c r="F66" s="67">
        <v>0.26984126984126983</v>
      </c>
      <c r="G66" s="67">
        <v>0.3061630218687873</v>
      </c>
      <c r="H66" s="67">
        <v>0.14910536779324055</v>
      </c>
      <c r="I66" s="68">
        <v>8912.9870129870123</v>
      </c>
      <c r="J66" s="68">
        <v>-7568</v>
      </c>
      <c r="K66" s="67">
        <v>0.14285714285714285</v>
      </c>
      <c r="L66" s="67">
        <v>0.14285714285714285</v>
      </c>
      <c r="M66" s="67">
        <v>0.2922465208747515</v>
      </c>
      <c r="N66" s="67">
        <v>0.17892644135188868</v>
      </c>
      <c r="O66" s="67">
        <v>0.65306122448979587</v>
      </c>
      <c r="P66" s="67">
        <v>0.36666666666666664</v>
      </c>
      <c r="Q66" s="67">
        <v>0.44805194805194803</v>
      </c>
    </row>
    <row r="67" spans="1:17" x14ac:dyDescent="0.4">
      <c r="A67" s="69">
        <v>64</v>
      </c>
      <c r="B67" s="66">
        <v>287.60000000000002</v>
      </c>
      <c r="C67" s="66">
        <v>4.4937500000000004</v>
      </c>
      <c r="D67" s="71">
        <v>1.875</v>
      </c>
      <c r="E67" s="67">
        <v>0.40625</v>
      </c>
      <c r="F67" s="67">
        <v>0.28125</v>
      </c>
      <c r="G67" s="67">
        <v>0.30078125</v>
      </c>
      <c r="H67" s="67">
        <v>0.1484375</v>
      </c>
      <c r="I67" s="68">
        <v>8912.9870129870123</v>
      </c>
      <c r="J67" s="68">
        <v>-7626.3157894736842</v>
      </c>
      <c r="K67" s="67">
        <v>0.15625</v>
      </c>
      <c r="L67" s="67">
        <v>0.140625</v>
      </c>
      <c r="M67" s="67">
        <v>0.29296875</v>
      </c>
      <c r="N67" s="67">
        <v>0.177734375</v>
      </c>
      <c r="O67" s="67">
        <v>0.64</v>
      </c>
      <c r="P67" s="67">
        <v>0.36263736263736263</v>
      </c>
      <c r="Q67" s="67">
        <v>0.44805194805194803</v>
      </c>
    </row>
    <row r="68" spans="1:17" x14ac:dyDescent="0.4">
      <c r="A68" s="69">
        <v>65</v>
      </c>
      <c r="B68" s="66">
        <v>323.60000000000002</v>
      </c>
      <c r="C68" s="66">
        <v>4.9784615384615387</v>
      </c>
      <c r="D68" s="71">
        <v>1.8615384615384616</v>
      </c>
      <c r="E68" s="67">
        <v>0.41538461538461541</v>
      </c>
      <c r="F68" s="67">
        <v>0.27692307692307694</v>
      </c>
      <c r="G68" s="67">
        <v>0.30250481695568399</v>
      </c>
      <c r="H68" s="67">
        <v>0.14836223506743737</v>
      </c>
      <c r="I68" s="68">
        <v>8923.5668789808915</v>
      </c>
      <c r="J68" s="68">
        <v>-7553.2467532467535</v>
      </c>
      <c r="K68" s="67">
        <v>0.15384615384615385</v>
      </c>
      <c r="L68" s="67">
        <v>0.13846153846153847</v>
      </c>
      <c r="M68" s="67">
        <v>0.2947976878612717</v>
      </c>
      <c r="N68" s="67">
        <v>0.17533718689788053</v>
      </c>
      <c r="O68" s="67">
        <v>0.64052287581699341</v>
      </c>
      <c r="P68" s="67">
        <v>0.36263736263736263</v>
      </c>
      <c r="Q68" s="67">
        <v>0.45222929936305734</v>
      </c>
    </row>
    <row r="69" spans="1:17" x14ac:dyDescent="0.4">
      <c r="A69" s="69">
        <v>66</v>
      </c>
      <c r="B69" s="66">
        <v>328.6</v>
      </c>
      <c r="C69" s="66">
        <v>4.9787878787878794</v>
      </c>
      <c r="D69" s="71">
        <v>1.8636363636363635</v>
      </c>
      <c r="E69" s="67">
        <v>0.40909090909090912</v>
      </c>
      <c r="F69" s="67">
        <v>0.27272727272727271</v>
      </c>
      <c r="G69" s="67">
        <v>0.30285714285714288</v>
      </c>
      <c r="H69" s="67">
        <v>0.15047619047619049</v>
      </c>
      <c r="I69" s="68">
        <v>8937.1069182389929</v>
      </c>
      <c r="J69" s="68">
        <v>-7539.2405063291135</v>
      </c>
      <c r="K69" s="67">
        <v>0.15151515151515152</v>
      </c>
      <c r="L69" s="67">
        <v>0.13636363636363635</v>
      </c>
      <c r="M69" s="67">
        <v>0.29523809523809524</v>
      </c>
      <c r="N69" s="67">
        <v>0.17714285714285713</v>
      </c>
      <c r="O69" s="67">
        <v>0.64516129032258063</v>
      </c>
      <c r="P69" s="67">
        <v>0.35483870967741937</v>
      </c>
      <c r="Q69" s="67">
        <v>0.44654088050314467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E3A4-0A6C-44E2-AD8B-3FE3F455F42F}">
  <sheetPr codeName="Sheet18"/>
  <dimension ref="A1:Q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FE53-43B9-46DF-BA3A-2E05AF4A0C75}">
  <sheetPr codeName="Sheet16"/>
  <dimension ref="A1:Q8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90D4-F851-4055-A23C-61016B8A87CD}">
  <sheetPr codeName="Sheet14"/>
  <dimension ref="A1:Q9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21.10000000000003</v>
      </c>
      <c r="C93" s="66">
        <v>0.23444444444444479</v>
      </c>
      <c r="D93" s="71">
        <v>2.0444444444444443</v>
      </c>
      <c r="E93" s="67">
        <v>0.3</v>
      </c>
      <c r="F93" s="67">
        <v>0.34444444444444444</v>
      </c>
      <c r="G93" s="67">
        <v>0.28362183754993342</v>
      </c>
      <c r="H93" s="67">
        <v>0.17709720372836218</v>
      </c>
      <c r="I93" s="68">
        <v>9851.6431924882636</v>
      </c>
      <c r="J93" s="68">
        <v>-8481.2030075187977</v>
      </c>
      <c r="K93" s="67">
        <v>0.1</v>
      </c>
      <c r="L93" s="67">
        <v>0.13333333333333333</v>
      </c>
      <c r="M93" s="67">
        <v>0.29161118508655126</v>
      </c>
      <c r="N93" s="67">
        <v>0.1877496671105193</v>
      </c>
      <c r="O93" s="67">
        <v>0.56621004566210043</v>
      </c>
      <c r="P93" s="67">
        <v>0.41134751773049644</v>
      </c>
      <c r="Q93" s="67">
        <v>0.41314553990610331</v>
      </c>
    </row>
    <row r="94" spans="1:17" x14ac:dyDescent="0.4">
      <c r="A94" s="69">
        <v>91</v>
      </c>
      <c r="B94" s="66">
        <v>-9.1999999999999709</v>
      </c>
      <c r="C94" s="66">
        <v>-0.10109890109890078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FB072-025A-40A9-89CB-D0676B3EF31C}">
  <sheetPr codeName="Sheet12"/>
  <dimension ref="A1:Q9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ABBFD-DEFF-4D3D-87BB-17440BF2CCB3}">
  <sheetPr codeName="Sheet10"/>
  <dimension ref="A1:Q1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177C-30AE-496B-863A-4FC58CDF78AC}">
  <sheetPr codeName="Sheet8"/>
  <dimension ref="A1:Q15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1767.0000000000009</v>
      </c>
      <c r="C150" s="66">
        <v>12.020408163265312</v>
      </c>
      <c r="D150" s="71">
        <v>1.7414965986394557</v>
      </c>
      <c r="E150" s="67">
        <v>0.48979591836734693</v>
      </c>
      <c r="F150" s="67">
        <v>0.23129251700680273</v>
      </c>
      <c r="G150" s="67">
        <v>0.34670008354218879</v>
      </c>
      <c r="H150" s="67">
        <v>0.16040100250626566</v>
      </c>
      <c r="I150" s="68">
        <v>9091.0843373493972</v>
      </c>
      <c r="J150" s="68">
        <v>-8247.9166666666661</v>
      </c>
      <c r="K150" s="67">
        <v>0.10204081632653061</v>
      </c>
      <c r="L150" s="67">
        <v>0.17006802721088435</v>
      </c>
      <c r="M150" s="67">
        <v>0.31244778613199664</v>
      </c>
      <c r="N150" s="67">
        <v>0.21888053467000834</v>
      </c>
      <c r="O150" s="67">
        <v>0.57486631016042777</v>
      </c>
      <c r="P150" s="67">
        <v>0.51908396946564883</v>
      </c>
      <c r="Q150" s="67">
        <v>0.40963855421686746</v>
      </c>
    </row>
    <row r="151" spans="1:17" x14ac:dyDescent="0.4">
      <c r="A151" s="69">
        <v>148</v>
      </c>
      <c r="B151" s="66">
        <v>1763.5000000000009</v>
      </c>
      <c r="C151" s="66">
        <v>11.915540540540547</v>
      </c>
      <c r="D151" s="71">
        <v>1.7432432432432432</v>
      </c>
      <c r="E151" s="67">
        <v>0.48648648648648651</v>
      </c>
      <c r="F151" s="67">
        <v>0.22972972972972974</v>
      </c>
      <c r="G151" s="67">
        <v>0.34551495016611294</v>
      </c>
      <c r="H151" s="67">
        <v>0.15946843853820597</v>
      </c>
      <c r="I151" s="68">
        <v>9088.461538461539</v>
      </c>
      <c r="J151" s="68">
        <v>-8247.9166666666661</v>
      </c>
      <c r="K151" s="67">
        <v>0.10135135135135136</v>
      </c>
      <c r="L151" s="67">
        <v>0.16891891891891891</v>
      </c>
      <c r="M151" s="67">
        <v>0.31146179401993357</v>
      </c>
      <c r="N151" s="67">
        <v>0.22009966777408638</v>
      </c>
      <c r="O151" s="67">
        <v>0.57333333333333336</v>
      </c>
      <c r="P151" s="67">
        <v>0.51698113207547169</v>
      </c>
      <c r="Q151" s="67">
        <v>0.40865384615384615</v>
      </c>
    </row>
    <row r="152" spans="1:17" x14ac:dyDescent="0.4">
      <c r="A152" s="69">
        <v>149</v>
      </c>
      <c r="B152" s="66">
        <v>1727.1000000000008</v>
      </c>
      <c r="C152" s="66">
        <v>11.591275167785241</v>
      </c>
      <c r="D152" s="71">
        <v>1.7516778523489933</v>
      </c>
      <c r="E152" s="67">
        <v>0.48322147651006714</v>
      </c>
      <c r="F152" s="67">
        <v>0.2348993288590604</v>
      </c>
      <c r="G152" s="67">
        <v>0.34349258649093906</v>
      </c>
      <c r="H152" s="67">
        <v>0.15980230642504117</v>
      </c>
      <c r="I152" s="68">
        <v>9085.851318944844</v>
      </c>
      <c r="J152" s="68">
        <v>-8265.4639175257726</v>
      </c>
      <c r="K152" s="67">
        <v>0.10067114093959731</v>
      </c>
      <c r="L152" s="67">
        <v>0.16778523489932887</v>
      </c>
      <c r="M152" s="67">
        <v>0.30971993410214166</v>
      </c>
      <c r="N152" s="67">
        <v>0.21993410214168038</v>
      </c>
      <c r="O152" s="67">
        <v>0.57180851063829785</v>
      </c>
      <c r="P152" s="67">
        <v>0.5168539325842697</v>
      </c>
      <c r="Q152" s="67">
        <v>0.407673860911271</v>
      </c>
    </row>
    <row r="153" spans="1:17" x14ac:dyDescent="0.4">
      <c r="A153" s="69">
        <v>150</v>
      </c>
      <c r="B153" s="66">
        <v>1744.7000000000007</v>
      </c>
      <c r="C153" s="66">
        <v>11.631333333333338</v>
      </c>
      <c r="D153" s="71">
        <v>1.7533333333333334</v>
      </c>
      <c r="E153" s="67">
        <v>0.48</v>
      </c>
      <c r="F153" s="67">
        <v>0.23333333333333334</v>
      </c>
      <c r="G153" s="67">
        <v>0.34369885433715219</v>
      </c>
      <c r="H153" s="67">
        <v>0.15875613747954173</v>
      </c>
      <c r="I153" s="68">
        <v>9075.9523809523816</v>
      </c>
      <c r="J153" s="68">
        <v>-8265.4639175257726</v>
      </c>
      <c r="K153" s="67">
        <v>0.1</v>
      </c>
      <c r="L153" s="67">
        <v>0.16666666666666666</v>
      </c>
      <c r="M153" s="67">
        <v>0.31014729950900166</v>
      </c>
      <c r="N153" s="67">
        <v>0.21931260229132571</v>
      </c>
      <c r="O153" s="67">
        <v>0.57519788918205805</v>
      </c>
      <c r="P153" s="67">
        <v>0.5149253731343284</v>
      </c>
      <c r="Q153" s="67">
        <v>0.40714285714285714</v>
      </c>
    </row>
    <row r="154" spans="1:17" x14ac:dyDescent="0.4">
      <c r="A154" s="69">
        <v>151</v>
      </c>
      <c r="B154" s="66">
        <v>1788.5000000000007</v>
      </c>
      <c r="C154" s="66">
        <v>11.844370860927157</v>
      </c>
      <c r="D154" s="71">
        <v>1.7483443708609272</v>
      </c>
      <c r="E154" s="67">
        <v>0.48344370860927155</v>
      </c>
      <c r="F154" s="67">
        <v>0.23178807947019867</v>
      </c>
      <c r="G154" s="67">
        <v>0.34471544715447155</v>
      </c>
      <c r="H154" s="67">
        <v>0.15772357723577235</v>
      </c>
      <c r="I154" s="68">
        <v>9064.3867924528295</v>
      </c>
      <c r="J154" s="68">
        <v>-8265.4639175257726</v>
      </c>
      <c r="K154" s="67">
        <v>9.9337748344370855E-2</v>
      </c>
      <c r="L154" s="67">
        <v>0.17218543046357615</v>
      </c>
      <c r="M154" s="67">
        <v>0.31056910569105689</v>
      </c>
      <c r="N154" s="67">
        <v>0.21951219512195122</v>
      </c>
      <c r="O154" s="67">
        <v>0.5759162303664922</v>
      </c>
      <c r="P154" s="67">
        <v>0.51851851851851849</v>
      </c>
      <c r="Q154" s="67">
        <v>0.40801886792452829</v>
      </c>
    </row>
    <row r="155" spans="1:17" x14ac:dyDescent="0.4">
      <c r="A155" s="69">
        <v>152</v>
      </c>
      <c r="B155" s="66">
        <v>1847.5000000000007</v>
      </c>
      <c r="C155" s="66">
        <v>12.154605263157899</v>
      </c>
      <c r="D155" s="71">
        <v>1.743421052631579</v>
      </c>
      <c r="E155" s="67">
        <v>0.48684210526315791</v>
      </c>
      <c r="F155" s="67">
        <v>0.23026315789473684</v>
      </c>
      <c r="G155" s="67">
        <v>0.34543987086359967</v>
      </c>
      <c r="H155" s="67">
        <v>0.15738498789346247</v>
      </c>
      <c r="I155" s="68">
        <v>9089.9532710280382</v>
      </c>
      <c r="J155" s="68">
        <v>-8262.5641025641035</v>
      </c>
      <c r="K155" s="67">
        <v>9.8684210526315791E-2</v>
      </c>
      <c r="L155" s="67">
        <v>0.17763157894736842</v>
      </c>
      <c r="M155" s="67">
        <v>0.31234866828087166</v>
      </c>
      <c r="N155" s="67">
        <v>0.21791767554479419</v>
      </c>
      <c r="O155" s="67">
        <v>0.57622739018087854</v>
      </c>
      <c r="P155" s="67">
        <v>0.51851851851851849</v>
      </c>
      <c r="Q155" s="67">
        <v>0.40887850467289721</v>
      </c>
    </row>
    <row r="156" spans="1:17" x14ac:dyDescent="0.4">
      <c r="A156" s="69">
        <v>153</v>
      </c>
      <c r="B156" s="66">
        <v>1812.8000000000006</v>
      </c>
      <c r="C156" s="66">
        <v>11.8483660130719</v>
      </c>
      <c r="D156" s="71">
        <v>1.7516339869281046</v>
      </c>
      <c r="E156" s="67">
        <v>0.48366013071895425</v>
      </c>
      <c r="F156" s="67">
        <v>0.23529411764705882</v>
      </c>
      <c r="G156" s="67">
        <v>0.34430176565008025</v>
      </c>
      <c r="H156" s="67">
        <v>0.15730337078651685</v>
      </c>
      <c r="I156" s="68">
        <v>9096.7365967365968</v>
      </c>
      <c r="J156" s="68">
        <v>-8253.0612244897966</v>
      </c>
      <c r="K156" s="67">
        <v>9.8039215686274508E-2</v>
      </c>
      <c r="L156" s="67">
        <v>0.17647058823529413</v>
      </c>
      <c r="M156" s="67">
        <v>0.3130016051364366</v>
      </c>
      <c r="N156" s="67">
        <v>0.21669341894060995</v>
      </c>
      <c r="O156" s="67">
        <v>0.57435897435897432</v>
      </c>
      <c r="P156" s="67">
        <v>0.51851851851851849</v>
      </c>
      <c r="Q156" s="67">
        <v>0.41025641025641024</v>
      </c>
    </row>
    <row r="157" spans="1:17" x14ac:dyDescent="0.4">
      <c r="A157" s="69">
        <v>154</v>
      </c>
      <c r="B157" s="66">
        <v>1805.4000000000005</v>
      </c>
      <c r="C157" s="66">
        <v>11.723376623376627</v>
      </c>
      <c r="D157" s="71">
        <v>1.7532467532467533</v>
      </c>
      <c r="E157" s="67">
        <v>0.48051948051948051</v>
      </c>
      <c r="F157" s="67">
        <v>0.23376623376623376</v>
      </c>
      <c r="G157" s="67">
        <v>0.34397446129289705</v>
      </c>
      <c r="H157" s="67">
        <v>0.15722266560255388</v>
      </c>
      <c r="I157" s="68">
        <v>9078.8863109048725</v>
      </c>
      <c r="J157" s="68">
        <v>-8230.9644670050766</v>
      </c>
      <c r="K157" s="67">
        <v>9.7402597402597407E-2</v>
      </c>
      <c r="L157" s="67">
        <v>0.17532467532467533</v>
      </c>
      <c r="M157" s="67">
        <v>0.31364724660814047</v>
      </c>
      <c r="N157" s="67">
        <v>0.2154828411811652</v>
      </c>
      <c r="O157" s="67">
        <v>0.5750636132315522</v>
      </c>
      <c r="P157" s="67">
        <v>0.51851851851851849</v>
      </c>
      <c r="Q157" s="67">
        <v>0.41067285382830626</v>
      </c>
    </row>
    <row r="158" spans="1:17" x14ac:dyDescent="0.4">
      <c r="A158" s="69">
        <v>155</v>
      </c>
      <c r="B158" s="66">
        <v>1855.1000000000006</v>
      </c>
      <c r="C158" s="66">
        <v>11.968387096774197</v>
      </c>
      <c r="D158" s="71">
        <v>1.7483870967741935</v>
      </c>
      <c r="E158" s="67">
        <v>0.4838709677419355</v>
      </c>
      <c r="F158" s="67">
        <v>0.23225806451612904</v>
      </c>
      <c r="G158" s="67">
        <v>0.34365079365079365</v>
      </c>
      <c r="H158" s="67">
        <v>0.15634920634920635</v>
      </c>
      <c r="I158" s="68">
        <v>9122.8637413394918</v>
      </c>
      <c r="J158" s="68">
        <v>-8230.9644670050766</v>
      </c>
      <c r="K158" s="67">
        <v>9.6774193548387094E-2</v>
      </c>
      <c r="L158" s="67">
        <v>0.17419354838709677</v>
      </c>
      <c r="M158" s="67">
        <v>0.31349206349206349</v>
      </c>
      <c r="N158" s="67">
        <v>0.21587301587301588</v>
      </c>
      <c r="O158" s="67">
        <v>0.57721518987341769</v>
      </c>
      <c r="P158" s="67">
        <v>0.51470588235294112</v>
      </c>
      <c r="Q158" s="67">
        <v>0.4110854503464203</v>
      </c>
    </row>
    <row r="159" spans="1:17" x14ac:dyDescent="0.4">
      <c r="A159" s="69">
        <v>156</v>
      </c>
      <c r="B159" s="66">
        <v>1940.5000000000007</v>
      </c>
      <c r="C159" s="66">
        <v>12.439102564102569</v>
      </c>
      <c r="D159" s="71">
        <v>1.7435897435897436</v>
      </c>
      <c r="E159" s="67">
        <v>0.48717948717948717</v>
      </c>
      <c r="F159" s="67">
        <v>0.23076923076923078</v>
      </c>
      <c r="G159" s="67">
        <v>0.34414556962025317</v>
      </c>
      <c r="H159" s="67">
        <v>0.15664556962025317</v>
      </c>
      <c r="I159" s="68">
        <v>9232.6436781609191</v>
      </c>
      <c r="J159" s="68">
        <v>-8237.878787878788</v>
      </c>
      <c r="K159" s="67">
        <v>9.6153846153846159E-2</v>
      </c>
      <c r="L159" s="67">
        <v>0.17948717948717949</v>
      </c>
      <c r="M159" s="67">
        <v>0.31329113924050633</v>
      </c>
      <c r="N159" s="67">
        <v>0.21677215189873417</v>
      </c>
      <c r="O159" s="67">
        <v>0.5757575757575758</v>
      </c>
      <c r="P159" s="67">
        <v>0.51459854014598538</v>
      </c>
      <c r="Q159" s="67">
        <v>0.41379310344827586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25B43-A7D3-4905-9FA2-B6BE087D125A}">
  <sheetPr codeName="Sheet6"/>
  <dimension ref="A1:Q23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-1.0000000000000213</v>
      </c>
      <c r="C219" s="66">
        <v>-1.5432098765432428E-3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-1.0000000000000213</v>
      </c>
      <c r="C220" s="66">
        <v>-1.5360983102918914E-3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-1.0000000000000213</v>
      </c>
      <c r="C221" s="66">
        <v>-1.5290519877676166E-3</v>
      </c>
      <c r="D221" s="71">
        <v>1.9954128440366972</v>
      </c>
      <c r="E221" s="67">
        <v>0.3363914373088685</v>
      </c>
      <c r="F221" s="67">
        <v>0.33180428134556578</v>
      </c>
      <c r="G221" s="67">
        <v>0.29922992299229922</v>
      </c>
      <c r="H221" s="67">
        <v>0.16813348001466813</v>
      </c>
      <c r="I221" s="68">
        <v>8627.6348039215682</v>
      </c>
      <c r="J221" s="68">
        <v>-8286.0414394765539</v>
      </c>
      <c r="K221" s="67">
        <v>0.11467889908256881</v>
      </c>
      <c r="L221" s="67">
        <v>0.11467889908256881</v>
      </c>
      <c r="M221" s="67">
        <v>0.28034470113678034</v>
      </c>
      <c r="N221" s="67">
        <v>0.20737073707370737</v>
      </c>
      <c r="O221" s="67">
        <v>0.57750163505559193</v>
      </c>
      <c r="P221" s="67">
        <v>0.39434129089301501</v>
      </c>
      <c r="Q221" s="67">
        <v>0.43198529411764708</v>
      </c>
    </row>
    <row r="222" spans="1:17" x14ac:dyDescent="0.4">
      <c r="A222" s="69">
        <v>219</v>
      </c>
      <c r="B222" s="66">
        <v>-1.0000000000000142</v>
      </c>
      <c r="C222" s="66">
        <v>-1.5220700152207218E-3</v>
      </c>
      <c r="D222" s="71">
        <v>1.995433789954338</v>
      </c>
      <c r="E222" s="67">
        <v>0.33637747336377471</v>
      </c>
      <c r="F222" s="67">
        <v>0.33181126331811261</v>
      </c>
      <c r="G222" s="67">
        <v>0.29881278538812783</v>
      </c>
      <c r="H222" s="67">
        <v>0.16785388127853881</v>
      </c>
      <c r="I222" s="68">
        <v>8638.2640586797061</v>
      </c>
      <c r="J222" s="68">
        <v>-8280.9575625680081</v>
      </c>
      <c r="K222" s="67">
        <v>0.11567732115677321</v>
      </c>
      <c r="L222" s="67">
        <v>0.11567732115677321</v>
      </c>
      <c r="M222" s="67">
        <v>0.2798173515981735</v>
      </c>
      <c r="N222" s="67">
        <v>0.20767123287671233</v>
      </c>
      <c r="O222" s="67">
        <v>0.57702349869451697</v>
      </c>
      <c r="P222" s="67">
        <v>0.39313984168865435</v>
      </c>
      <c r="Q222" s="67">
        <v>0.43215158924205377</v>
      </c>
    </row>
    <row r="223" spans="1:17" x14ac:dyDescent="0.4">
      <c r="A223" s="69">
        <v>220</v>
      </c>
      <c r="B223" s="66">
        <v>-1.0000000000000142</v>
      </c>
      <c r="C223" s="66">
        <v>-1.5151515151515366E-3</v>
      </c>
      <c r="D223" s="71">
        <v>1.9954545454545454</v>
      </c>
      <c r="E223" s="67">
        <v>0.33636363636363636</v>
      </c>
      <c r="F223" s="67">
        <v>0.33181818181818185</v>
      </c>
      <c r="G223" s="67">
        <v>0.29888828139238199</v>
      </c>
      <c r="H223" s="67">
        <v>0.16785128485511208</v>
      </c>
      <c r="I223" s="68">
        <v>8643.9024390243903</v>
      </c>
      <c r="J223" s="68">
        <v>-8289.0336590662318</v>
      </c>
      <c r="K223" s="67">
        <v>0.11666666666666667</v>
      </c>
      <c r="L223" s="67">
        <v>0.11666666666666667</v>
      </c>
      <c r="M223" s="67">
        <v>0.27956989247311825</v>
      </c>
      <c r="N223" s="67">
        <v>0.20794605431018773</v>
      </c>
      <c r="O223" s="67">
        <v>0.57692307692307687</v>
      </c>
      <c r="P223" s="67">
        <v>0.39351446099912357</v>
      </c>
      <c r="Q223" s="67">
        <v>0.4323170731707317</v>
      </c>
    </row>
    <row r="224" spans="1:17" x14ac:dyDescent="0.4">
      <c r="A224" s="69">
        <v>221</v>
      </c>
      <c r="B224" s="66">
        <v>-1.0000000000000142</v>
      </c>
      <c r="C224" s="66">
        <v>-1.5082956259427063E-3</v>
      </c>
      <c r="D224" s="71">
        <v>1.995475113122172</v>
      </c>
      <c r="E224" s="67">
        <v>0.33634992458521873</v>
      </c>
      <c r="F224" s="67">
        <v>0.33182503770739064</v>
      </c>
      <c r="G224" s="67">
        <v>0.29853181076672103</v>
      </c>
      <c r="H224" s="67">
        <v>0.16802610114192496</v>
      </c>
      <c r="I224" s="68">
        <v>8648.7553126897383</v>
      </c>
      <c r="J224" s="68">
        <v>-8289.8597626752962</v>
      </c>
      <c r="K224" s="67">
        <v>0.11613876319758673</v>
      </c>
      <c r="L224" s="67">
        <v>0.11613876319758673</v>
      </c>
      <c r="M224" s="67">
        <v>0.27949972811310497</v>
      </c>
      <c r="N224" s="67">
        <v>0.20790284574950155</v>
      </c>
      <c r="O224" s="67">
        <v>0.57652399481193251</v>
      </c>
      <c r="P224" s="67">
        <v>0.39319965126416739</v>
      </c>
      <c r="Q224" s="67">
        <v>0.43108682452944747</v>
      </c>
    </row>
    <row r="225" spans="1:17" x14ac:dyDescent="0.4">
      <c r="A225" s="69">
        <v>222</v>
      </c>
      <c r="B225" s="66">
        <v>-1.0000000000000142</v>
      </c>
      <c r="C225" s="66">
        <v>-1.5015015015015227E-3</v>
      </c>
      <c r="D225" s="71">
        <v>1.9954954954954955</v>
      </c>
      <c r="E225" s="67">
        <v>0.33633633633633636</v>
      </c>
      <c r="F225" s="67">
        <v>0.33183183183183185</v>
      </c>
      <c r="G225" s="67">
        <v>0.29850207543764662</v>
      </c>
      <c r="H225" s="67">
        <v>0.16802021295794983</v>
      </c>
      <c r="I225" s="68">
        <v>8644.256348246674</v>
      </c>
      <c r="J225" s="68">
        <v>-8281.2030075187977</v>
      </c>
      <c r="K225" s="67">
        <v>0.11711711711711711</v>
      </c>
      <c r="L225" s="67">
        <v>0.11711711711711711</v>
      </c>
      <c r="M225" s="67">
        <v>0.27937195452084462</v>
      </c>
      <c r="N225" s="67">
        <v>0.20736329182458041</v>
      </c>
      <c r="O225" s="67">
        <v>0.57816537467700257</v>
      </c>
      <c r="P225" s="67">
        <v>0.39251523063533506</v>
      </c>
      <c r="Q225" s="67">
        <v>0.43107617896009676</v>
      </c>
    </row>
    <row r="226" spans="1:17" x14ac:dyDescent="0.4">
      <c r="A226" s="69">
        <v>223</v>
      </c>
      <c r="B226" s="66">
        <v>-1.0000000000000071</v>
      </c>
      <c r="C226" s="66">
        <v>-1.4947683109118193E-3</v>
      </c>
      <c r="D226" s="71">
        <v>1.9955156950672646</v>
      </c>
      <c r="E226" s="67">
        <v>0.33632286995515698</v>
      </c>
      <c r="F226" s="67">
        <v>0.33183856502242154</v>
      </c>
      <c r="G226" s="67">
        <v>0.29863358504135201</v>
      </c>
      <c r="H226" s="67">
        <v>0.16792520676015821</v>
      </c>
      <c r="I226" s="68">
        <v>8631.246237206502</v>
      </c>
      <c r="J226" s="68">
        <v>-8268.0942184154173</v>
      </c>
      <c r="K226" s="67">
        <v>0.11659192825112108</v>
      </c>
      <c r="L226" s="67">
        <v>0.11659192825112108</v>
      </c>
      <c r="M226" s="67">
        <v>0.27957569219705142</v>
      </c>
      <c r="N226" s="67">
        <v>0.20693994965839627</v>
      </c>
      <c r="O226" s="67">
        <v>0.5787781350482315</v>
      </c>
      <c r="P226" s="67">
        <v>0.39183318853171156</v>
      </c>
      <c r="Q226" s="67">
        <v>0.43166767007826612</v>
      </c>
    </row>
    <row r="227" spans="1:17" x14ac:dyDescent="0.4">
      <c r="A227" s="69">
        <v>224</v>
      </c>
      <c r="B227" s="66">
        <v>-1.0000000000000071</v>
      </c>
      <c r="C227" s="66">
        <v>-1.4880952380952486E-3</v>
      </c>
      <c r="D227" s="71">
        <v>1.9955357142857142</v>
      </c>
      <c r="E227" s="67">
        <v>0.33630952380952384</v>
      </c>
      <c r="F227" s="67">
        <v>0.33184523809523808</v>
      </c>
      <c r="G227" s="67">
        <v>0.29860365198711064</v>
      </c>
      <c r="H227" s="67">
        <v>0.16774078052273542</v>
      </c>
      <c r="I227" s="68">
        <v>8624.5803357314144</v>
      </c>
      <c r="J227" s="68">
        <v>-8266.2753468516548</v>
      </c>
      <c r="K227" s="67">
        <v>0.11755952380952381</v>
      </c>
      <c r="L227" s="67">
        <v>0.11755952380952381</v>
      </c>
      <c r="M227" s="67">
        <v>0.27980665950590761</v>
      </c>
      <c r="N227" s="67">
        <v>0.20658789831722163</v>
      </c>
      <c r="O227" s="67">
        <v>0.57837492002559177</v>
      </c>
      <c r="P227" s="67">
        <v>0.39254766031195842</v>
      </c>
      <c r="Q227" s="67">
        <v>0.43225419664268583</v>
      </c>
    </row>
    <row r="228" spans="1:17" x14ac:dyDescent="0.4">
      <c r="A228" s="69">
        <v>225</v>
      </c>
      <c r="B228" s="66">
        <v>-1.0000000000000071</v>
      </c>
      <c r="C228" s="66">
        <v>-1.481481481481492E-3</v>
      </c>
      <c r="D228" s="71">
        <v>1.9955555555555555</v>
      </c>
      <c r="E228" s="67">
        <v>0.33629629629629632</v>
      </c>
      <c r="F228" s="67">
        <v>0.33185185185185184</v>
      </c>
      <c r="G228" s="67">
        <v>0.29841439515410656</v>
      </c>
      <c r="H228" s="67">
        <v>0.16764653482985925</v>
      </c>
      <c r="I228" s="68">
        <v>8635.6417910447763</v>
      </c>
      <c r="J228" s="68">
        <v>-8276.7268862911787</v>
      </c>
      <c r="K228" s="67">
        <v>0.11851851851851852</v>
      </c>
      <c r="L228" s="67">
        <v>0.11851851851851852</v>
      </c>
      <c r="M228" s="67">
        <v>0.28006413682522713</v>
      </c>
      <c r="N228" s="67">
        <v>0.20630678781400322</v>
      </c>
      <c r="O228" s="67">
        <v>0.57697201017811706</v>
      </c>
      <c r="P228" s="67">
        <v>0.39291882556131263</v>
      </c>
      <c r="Q228" s="67">
        <v>0.43223880597014924</v>
      </c>
    </row>
    <row r="229" spans="1:17" x14ac:dyDescent="0.4">
      <c r="A229" s="69">
        <v>226</v>
      </c>
      <c r="B229" s="66">
        <v>-1.0000000000000071</v>
      </c>
      <c r="C229" s="66">
        <v>-1.474926253687326E-3</v>
      </c>
      <c r="D229" s="71">
        <v>1.9955752212389382</v>
      </c>
      <c r="E229" s="67">
        <v>0.33628318584070799</v>
      </c>
      <c r="F229" s="67">
        <v>0.33185840707964603</v>
      </c>
      <c r="G229" s="67">
        <v>0.29836705715299966</v>
      </c>
      <c r="H229" s="67">
        <v>0.16737664181753639</v>
      </c>
      <c r="I229" s="68">
        <v>8634.6222486615115</v>
      </c>
      <c r="J229" s="68">
        <v>-8268.0805938494159</v>
      </c>
      <c r="K229" s="67">
        <v>0.11799410029498525</v>
      </c>
      <c r="L229" s="67">
        <v>0.11799410029498525</v>
      </c>
      <c r="M229" s="67">
        <v>0.28026269080582178</v>
      </c>
      <c r="N229" s="67">
        <v>0.20624778132765353</v>
      </c>
      <c r="O229" s="67">
        <v>0.57631412286257122</v>
      </c>
      <c r="P229" s="67">
        <v>0.39328743545611017</v>
      </c>
      <c r="Q229" s="67">
        <v>0.43307555026769778</v>
      </c>
    </row>
    <row r="230" spans="1:17" x14ac:dyDescent="0.4">
      <c r="A230" s="69">
        <v>227</v>
      </c>
      <c r="B230" s="66">
        <v>-1.0000000000000142</v>
      </c>
      <c r="C230" s="66">
        <v>-1.4684287812041326E-3</v>
      </c>
      <c r="D230" s="71">
        <v>1.9955947136563876</v>
      </c>
      <c r="E230" s="67">
        <v>0.33627019089574156</v>
      </c>
      <c r="F230" s="67">
        <v>0.33186490455212925</v>
      </c>
      <c r="G230" s="67">
        <v>0.29832007073386385</v>
      </c>
      <c r="H230" s="67">
        <v>0.16746242263483643</v>
      </c>
      <c r="I230" s="68">
        <v>8639.7154712507418</v>
      </c>
      <c r="J230" s="68">
        <v>-8274.4456177402317</v>
      </c>
      <c r="K230" s="67">
        <v>0.11894273127753303</v>
      </c>
      <c r="L230" s="67">
        <v>0.11894273127753303</v>
      </c>
      <c r="M230" s="67">
        <v>0.28028293545534927</v>
      </c>
      <c r="N230" s="67">
        <v>0.20636604774535808</v>
      </c>
      <c r="O230" s="67">
        <v>0.57602523659305993</v>
      </c>
      <c r="P230" s="67">
        <v>0.3916023993144816</v>
      </c>
      <c r="Q230" s="67">
        <v>0.43272080616478958</v>
      </c>
    </row>
    <row r="231" spans="1:17" x14ac:dyDescent="0.4">
      <c r="A231" s="69">
        <v>228</v>
      </c>
      <c r="B231" s="66">
        <v>-1.0000000000000142</v>
      </c>
      <c r="C231" s="66">
        <v>-1.461988304093588E-3</v>
      </c>
      <c r="D231" s="71">
        <v>1.9956140350877194</v>
      </c>
      <c r="E231" s="67">
        <v>0.33625730994152048</v>
      </c>
      <c r="F231" s="67">
        <v>0.33187134502923976</v>
      </c>
      <c r="G231" s="67">
        <v>0.29860743874493212</v>
      </c>
      <c r="H231" s="67">
        <v>0.16781244491450731</v>
      </c>
      <c r="I231" s="68">
        <v>8652.4203069657615</v>
      </c>
      <c r="J231" s="68">
        <v>-8310.8193277310929</v>
      </c>
      <c r="K231" s="67">
        <v>0.11988304093567251</v>
      </c>
      <c r="L231" s="67">
        <v>0.11988304093567251</v>
      </c>
      <c r="M231" s="67">
        <v>0.28027498677948176</v>
      </c>
      <c r="N231" s="67">
        <v>0.20676890534108938</v>
      </c>
      <c r="O231" s="67">
        <v>0.57735849056603772</v>
      </c>
      <c r="P231" s="67">
        <v>0.39130434782608697</v>
      </c>
      <c r="Q231" s="67">
        <v>0.43152302243211332</v>
      </c>
    </row>
    <row r="232" spans="1:17" x14ac:dyDescent="0.4">
      <c r="A232" s="69">
        <v>229</v>
      </c>
      <c r="B232" s="66">
        <v>-1.0000000000000071</v>
      </c>
      <c r="C232" s="66">
        <v>-1.4556040756914222E-3</v>
      </c>
      <c r="D232" s="71">
        <v>1.9956331877729259</v>
      </c>
      <c r="E232" s="67">
        <v>0.33624454148471616</v>
      </c>
      <c r="F232" s="67">
        <v>0.33187772925764192</v>
      </c>
      <c r="G232" s="67">
        <v>0.2987355110642782</v>
      </c>
      <c r="H232" s="67">
        <v>0.16789603090972954</v>
      </c>
      <c r="I232" s="68">
        <v>8665.2557319223979</v>
      </c>
      <c r="J232" s="68">
        <v>-8316.2133891213398</v>
      </c>
      <c r="K232" s="67">
        <v>0.11935953420669577</v>
      </c>
      <c r="L232" s="67">
        <v>0.11935953420669577</v>
      </c>
      <c r="M232" s="67">
        <v>0.27994380049174572</v>
      </c>
      <c r="N232" s="67">
        <v>0.2065331928345627</v>
      </c>
      <c r="O232" s="67">
        <v>0.57841907151819327</v>
      </c>
      <c r="P232" s="67">
        <v>0.39030612244897961</v>
      </c>
      <c r="Q232" s="67">
        <v>0.43151087595532039</v>
      </c>
    </row>
    <row r="233" spans="1:17" x14ac:dyDescent="0.4">
      <c r="A233" s="69">
        <v>230</v>
      </c>
      <c r="B233" s="66">
        <v>-1</v>
      </c>
      <c r="C233" s="66">
        <v>-1.4492753623188406E-3</v>
      </c>
      <c r="D233" s="71">
        <v>1.9956521739130435</v>
      </c>
      <c r="E233" s="67">
        <v>0.336231884057971</v>
      </c>
      <c r="F233" s="67">
        <v>0.3318840579710145</v>
      </c>
      <c r="G233" s="67">
        <v>0.29874213836477986</v>
      </c>
      <c r="H233" s="67">
        <v>0.16788958770090845</v>
      </c>
      <c r="I233" s="68">
        <v>8677.5438596491222</v>
      </c>
      <c r="J233" s="68">
        <v>-8317.5858480749212</v>
      </c>
      <c r="K233" s="67">
        <v>0.12028985507246377</v>
      </c>
      <c r="L233" s="67">
        <v>0.12028985507246377</v>
      </c>
      <c r="M233" s="67">
        <v>0.27969951083158628</v>
      </c>
      <c r="N233" s="67">
        <v>0.20649895178197064</v>
      </c>
      <c r="O233" s="67">
        <v>0.57901311680199874</v>
      </c>
      <c r="P233" s="67">
        <v>0.39086294416243655</v>
      </c>
      <c r="Q233" s="67">
        <v>0.43157894736842106</v>
      </c>
    </row>
    <row r="234" spans="1:17" x14ac:dyDescent="0.4">
      <c r="A234" s="69">
        <v>231</v>
      </c>
      <c r="B234" s="66">
        <v>-0.99999999999999289</v>
      </c>
      <c r="C234" s="66">
        <v>-1.4430014430014328E-3</v>
      </c>
      <c r="D234" s="71">
        <v>1.9956709956709957</v>
      </c>
      <c r="E234" s="67">
        <v>0.3362193362193362</v>
      </c>
      <c r="F234" s="67">
        <v>0.3318903318903319</v>
      </c>
      <c r="G234" s="67">
        <v>0.29864016736401672</v>
      </c>
      <c r="H234" s="67">
        <v>0.16771269177126918</v>
      </c>
      <c r="I234" s="68">
        <v>8706.4798598949219</v>
      </c>
      <c r="J234" s="68">
        <v>-8318.9189189189183</v>
      </c>
      <c r="K234" s="67">
        <v>0.12121212121212122</v>
      </c>
      <c r="L234" s="67">
        <v>0.12121212121212122</v>
      </c>
      <c r="M234" s="67">
        <v>0.27946304044630405</v>
      </c>
      <c r="N234" s="67">
        <v>0.20641562064156208</v>
      </c>
      <c r="O234" s="67">
        <v>0.57829070492825951</v>
      </c>
      <c r="P234" s="67">
        <v>0.39104729729729731</v>
      </c>
      <c r="Q234" s="67">
        <v>0.4319906596614127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2019-06-18T15:34:40Z</dcterms:modified>
</cp:coreProperties>
</file>