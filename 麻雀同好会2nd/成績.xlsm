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40B97DEA-3206-4309-8801-2A0A17497C66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05" r:id="rId6"/>
    <sheet name="だいち" sheetId="5507" r:id="rId7"/>
    <sheet name="りくと" sheetId="5509" r:id="rId8"/>
    <sheet name="ただ" sheetId="5511" r:id="rId9"/>
    <sheet name="れんたろう" sheetId="5513" r:id="rId10"/>
    <sheet name="たかの" sheetId="5515" r:id="rId11"/>
    <sheet name="ぱぱ" sheetId="5517" r:id="rId12"/>
    <sheet name="まっつん" sheetId="5519" r:id="rId13"/>
    <sheet name="あさひ" sheetId="5521" r:id="rId14"/>
    <sheet name="いっしー" sheetId="5523" r:id="rId15"/>
    <sheet name="ほたに" sheetId="5525" r:id="rId16"/>
    <sheet name="かわたつ" sheetId="5527" r:id="rId17"/>
    <sheet name="やがさき" sheetId="5529" r:id="rId18"/>
    <sheet name="のり" sheetId="5531" r:id="rId19"/>
    <sheet name="のり2" sheetId="5532" state="hidden" r:id="rId20"/>
    <sheet name="やがさき2" sheetId="5530" state="hidden" r:id="rId21"/>
    <sheet name="かわたつ2" sheetId="5528" state="hidden" r:id="rId22"/>
    <sheet name="ほたに2" sheetId="5526" state="hidden" r:id="rId23"/>
    <sheet name="いっしー2" sheetId="5524" state="hidden" r:id="rId24"/>
    <sheet name="あさひ2" sheetId="5522" state="hidden" r:id="rId25"/>
    <sheet name="まっつん2" sheetId="5520" state="hidden" r:id="rId26"/>
    <sheet name="ぱぱ2" sheetId="5518" state="hidden" r:id="rId27"/>
    <sheet name="たかの2" sheetId="5516" state="hidden" r:id="rId28"/>
    <sheet name="れんたろう2" sheetId="5514" state="hidden" r:id="rId29"/>
    <sheet name="ただ2" sheetId="5512" state="hidden" r:id="rId30"/>
    <sheet name="りくと2" sheetId="5510" state="hidden" r:id="rId31"/>
    <sheet name="だいち2" sheetId="5508" state="hidden" r:id="rId32"/>
    <sheet name="全体2" sheetId="550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511" l="1"/>
  <c r="O15" i="5519"/>
  <c r="O15" i="5505"/>
  <c r="O16" i="5531"/>
  <c r="O15" i="5531"/>
  <c r="H39" i="5531"/>
  <c r="H29" i="5531"/>
  <c r="C27" i="5531"/>
  <c r="B24" i="5531"/>
  <c r="C20" i="5531"/>
  <c r="B17" i="5531"/>
  <c r="H51" i="5531" s="1"/>
  <c r="C16" i="5531"/>
  <c r="C15" i="5531"/>
  <c r="C14" i="5531"/>
  <c r="C13" i="5531"/>
  <c r="O12" i="5531"/>
  <c r="C12" i="5531"/>
  <c r="O11" i="5531"/>
  <c r="C11" i="5531"/>
  <c r="O10" i="5531"/>
  <c r="C10" i="5531"/>
  <c r="C9" i="5531"/>
  <c r="C8" i="5531"/>
  <c r="O7" i="5531"/>
  <c r="C7" i="5531"/>
  <c r="O6" i="5531"/>
  <c r="B6" i="5531"/>
  <c r="O5" i="5531"/>
  <c r="B5" i="5531"/>
  <c r="O4" i="5531"/>
  <c r="H4" i="5531"/>
  <c r="O3" i="5531"/>
  <c r="O2" i="5531"/>
  <c r="H16" i="5531" l="1"/>
  <c r="H3" i="5531"/>
  <c r="H9" i="5531"/>
  <c r="H40" i="5531"/>
  <c r="H12" i="5531"/>
  <c r="H21" i="5531"/>
  <c r="H6" i="5531"/>
  <c r="H28" i="5531"/>
  <c r="B23" i="5531"/>
  <c r="H23" i="5531"/>
  <c r="H10" i="5531"/>
  <c r="C17" i="5531"/>
  <c r="H47" i="5531"/>
  <c r="H30" i="5531"/>
  <c r="H7" i="5531"/>
  <c r="H13" i="5531"/>
  <c r="H45" i="5531"/>
  <c r="C18" i="5531"/>
  <c r="H46" i="5531"/>
  <c r="H5" i="5531"/>
  <c r="H14" i="5531"/>
  <c r="H24" i="5531"/>
  <c r="C19" i="5531"/>
  <c r="H48" i="5531"/>
  <c r="H44" i="5531"/>
  <c r="H31" i="5531"/>
  <c r="H32" i="5531"/>
  <c r="H11" i="5531"/>
  <c r="H18" i="5531"/>
  <c r="H36" i="5531"/>
  <c r="H2" i="5531"/>
  <c r="H8" i="5531"/>
  <c r="H25" i="5531"/>
  <c r="H37" i="5531"/>
  <c r="H15" i="5531"/>
  <c r="H19" i="5531"/>
  <c r="H38" i="5531"/>
  <c r="H52" i="5531"/>
  <c r="H20" i="5531"/>
  <c r="H26" i="5531"/>
  <c r="H33" i="5531"/>
  <c r="H41" i="5531"/>
  <c r="H49" i="5531"/>
  <c r="H34" i="5531"/>
  <c r="H42" i="5531"/>
  <c r="H50" i="5531"/>
  <c r="H17" i="5531"/>
  <c r="H22" i="5531"/>
  <c r="H27" i="5531"/>
  <c r="H35" i="5531"/>
  <c r="H43" i="5531"/>
  <c r="O21" i="5525" l="1"/>
  <c r="O17" i="5511"/>
  <c r="O23" i="5523" l="1"/>
  <c r="O15" i="5529"/>
  <c r="O23" i="5517" l="1"/>
  <c r="O15" i="5523"/>
  <c r="O25" i="5507" l="1"/>
  <c r="O17" i="5529"/>
  <c r="O16" i="5511" l="1"/>
  <c r="O23" i="5515"/>
  <c r="O26" i="5505"/>
  <c r="O18" i="5529"/>
  <c r="O16" i="5529"/>
  <c r="C27" i="5529"/>
  <c r="B24" i="5529"/>
  <c r="C20" i="5529"/>
  <c r="B17" i="5529"/>
  <c r="H52" i="5529" s="1"/>
  <c r="C16" i="5529"/>
  <c r="C15" i="5529"/>
  <c r="C14" i="5529"/>
  <c r="C13" i="5529"/>
  <c r="O12" i="5529"/>
  <c r="C12" i="5529"/>
  <c r="O11" i="5529"/>
  <c r="C11" i="5529"/>
  <c r="O10" i="5529"/>
  <c r="H10" i="5529"/>
  <c r="C10" i="5529"/>
  <c r="C9" i="5529"/>
  <c r="H8" i="5529"/>
  <c r="C8" i="5529"/>
  <c r="O7" i="5529"/>
  <c r="C7" i="5529"/>
  <c r="O6" i="5529"/>
  <c r="B6" i="5529"/>
  <c r="O5" i="5529"/>
  <c r="B5" i="5529"/>
  <c r="O4" i="5529"/>
  <c r="H4" i="5529"/>
  <c r="O3" i="5529"/>
  <c r="O2" i="5529"/>
  <c r="H2" i="5529"/>
  <c r="O15" i="5527"/>
  <c r="O16" i="5527"/>
  <c r="C27" i="5527"/>
  <c r="B24" i="5527"/>
  <c r="C20" i="5527"/>
  <c r="C17" i="5527"/>
  <c r="B17" i="5527"/>
  <c r="H52" i="5527" s="1"/>
  <c r="C16" i="5527"/>
  <c r="C15" i="5527"/>
  <c r="C14" i="5527"/>
  <c r="C13" i="5527"/>
  <c r="O12" i="5527"/>
  <c r="C12" i="5527"/>
  <c r="O11" i="5527"/>
  <c r="C11" i="5527"/>
  <c r="O10" i="5527"/>
  <c r="H10" i="5527"/>
  <c r="C10" i="5527"/>
  <c r="C9" i="5527"/>
  <c r="H8" i="5527"/>
  <c r="C8" i="5527"/>
  <c r="O7" i="5527"/>
  <c r="C7" i="5527"/>
  <c r="O6" i="5527"/>
  <c r="B6" i="5527"/>
  <c r="O5" i="5527"/>
  <c r="B5" i="5527"/>
  <c r="O4" i="5527"/>
  <c r="H4" i="5527"/>
  <c r="O3" i="5527"/>
  <c r="O2" i="5527"/>
  <c r="H2" i="5527"/>
  <c r="O23" i="5513"/>
  <c r="O16" i="5507"/>
  <c r="O25" i="5505"/>
  <c r="C17" i="5529" l="1"/>
  <c r="H20" i="5529"/>
  <c r="H26" i="5529"/>
  <c r="H33" i="5529"/>
  <c r="H49" i="5529"/>
  <c r="H13" i="5529"/>
  <c r="C19" i="5529"/>
  <c r="H21" i="5529"/>
  <c r="H34" i="5529"/>
  <c r="H38" i="5529"/>
  <c r="H42" i="5529"/>
  <c r="H50" i="5529"/>
  <c r="H3" i="5529"/>
  <c r="H6" i="5529"/>
  <c r="H9" i="5529"/>
  <c r="H12" i="5529"/>
  <c r="H17" i="5529"/>
  <c r="H19" i="5529"/>
  <c r="H22" i="5529"/>
  <c r="H24" i="5529"/>
  <c r="H27" i="5529"/>
  <c r="H31" i="5529"/>
  <c r="H35" i="5529"/>
  <c r="H39" i="5529"/>
  <c r="H43" i="5529"/>
  <c r="H47" i="5529"/>
  <c r="H51" i="5529"/>
  <c r="H18" i="5529"/>
  <c r="H23" i="5529"/>
  <c r="H29" i="5529"/>
  <c r="H37" i="5529"/>
  <c r="H41" i="5529"/>
  <c r="H45" i="5529"/>
  <c r="H7" i="5529"/>
  <c r="H15" i="5529"/>
  <c r="H30" i="5529"/>
  <c r="H46" i="5529"/>
  <c r="H5" i="5529"/>
  <c r="H11" i="5529"/>
  <c r="H14" i="5529"/>
  <c r="H16" i="5529"/>
  <c r="C18" i="5529"/>
  <c r="B23" i="5529"/>
  <c r="H25" i="5529"/>
  <c r="H28" i="5529"/>
  <c r="H32" i="5529"/>
  <c r="H36" i="5529"/>
  <c r="H40" i="5529"/>
  <c r="H44" i="5529"/>
  <c r="H48" i="5529"/>
  <c r="H18" i="5527"/>
  <c r="H23" i="5527"/>
  <c r="H29" i="5527"/>
  <c r="H37" i="5527"/>
  <c r="H45" i="5527"/>
  <c r="H30" i="5527"/>
  <c r="H34" i="5527"/>
  <c r="H38" i="5527"/>
  <c r="H42" i="5527"/>
  <c r="H50" i="5527"/>
  <c r="H3" i="5527"/>
  <c r="H6" i="5527"/>
  <c r="H9" i="5527"/>
  <c r="H12" i="5527"/>
  <c r="H17" i="5527"/>
  <c r="H19" i="5527"/>
  <c r="H22" i="5527"/>
  <c r="H24" i="5527"/>
  <c r="H27" i="5527"/>
  <c r="H31" i="5527"/>
  <c r="H35" i="5527"/>
  <c r="H39" i="5527"/>
  <c r="H43" i="5527"/>
  <c r="H47" i="5527"/>
  <c r="H51" i="5527"/>
  <c r="H20" i="5527"/>
  <c r="H26" i="5527"/>
  <c r="H33" i="5527"/>
  <c r="H41" i="5527"/>
  <c r="H49" i="5527"/>
  <c r="H7" i="5527"/>
  <c r="H13" i="5527"/>
  <c r="H15" i="5527"/>
  <c r="C19" i="5527"/>
  <c r="H21" i="5527"/>
  <c r="H46" i="5527"/>
  <c r="H5" i="5527"/>
  <c r="H11" i="5527"/>
  <c r="H14" i="5527"/>
  <c r="H16" i="5527"/>
  <c r="C18" i="5527"/>
  <c r="B23" i="5527"/>
  <c r="H25" i="5527"/>
  <c r="H28" i="5527"/>
  <c r="H32" i="5527"/>
  <c r="H36" i="5527"/>
  <c r="H40" i="5527"/>
  <c r="H44" i="5527"/>
  <c r="H48" i="5527"/>
  <c r="O15" i="5515" l="1"/>
  <c r="O21" i="5523"/>
  <c r="O20" i="5525" l="1"/>
  <c r="O19" i="5525"/>
  <c r="O20" i="5519"/>
  <c r="O20" i="5509"/>
  <c r="O24" i="5507" l="1"/>
  <c r="O17" i="5525"/>
  <c r="O22" i="5517"/>
  <c r="O15" i="5525"/>
  <c r="O18" i="5525" l="1"/>
  <c r="O16" i="5525"/>
  <c r="C27" i="5525"/>
  <c r="B24" i="5525"/>
  <c r="C20" i="5525"/>
  <c r="B17" i="5525"/>
  <c r="H52" i="5525" s="1"/>
  <c r="C16" i="5525"/>
  <c r="C15" i="5525"/>
  <c r="C14" i="5525"/>
  <c r="C13" i="5525"/>
  <c r="O12" i="5525"/>
  <c r="C12" i="5525"/>
  <c r="O11" i="5525"/>
  <c r="C11" i="5525"/>
  <c r="O10" i="5525"/>
  <c r="C10" i="5525"/>
  <c r="C9" i="5525"/>
  <c r="C8" i="5525"/>
  <c r="O7" i="5525"/>
  <c r="C7" i="5525"/>
  <c r="O6" i="5525"/>
  <c r="B6" i="5525"/>
  <c r="O5" i="5525"/>
  <c r="B5" i="5525"/>
  <c r="O4" i="5525"/>
  <c r="O3" i="5525"/>
  <c r="O2" i="5525"/>
  <c r="O21" i="5513"/>
  <c r="O21" i="5515"/>
  <c r="O23" i="5505"/>
  <c r="H13" i="5525" l="1"/>
  <c r="H8" i="5525"/>
  <c r="H3" i="5525"/>
  <c r="H10" i="5525"/>
  <c r="H5" i="5525"/>
  <c r="C17" i="5525"/>
  <c r="H2" i="5525"/>
  <c r="H4" i="5525"/>
  <c r="H7" i="5525"/>
  <c r="H15" i="5525"/>
  <c r="H18" i="5525"/>
  <c r="H20" i="5525"/>
  <c r="H23" i="5525"/>
  <c r="H26" i="5525"/>
  <c r="H29" i="5525"/>
  <c r="H33" i="5525"/>
  <c r="H37" i="5525"/>
  <c r="H41" i="5525"/>
  <c r="H45" i="5525"/>
  <c r="H49" i="5525"/>
  <c r="C19" i="5525"/>
  <c r="H21" i="5525"/>
  <c r="H30" i="5525"/>
  <c r="H34" i="5525"/>
  <c r="H38" i="5525"/>
  <c r="H42" i="5525"/>
  <c r="H46" i="5525"/>
  <c r="H50" i="5525"/>
  <c r="H6" i="5525"/>
  <c r="H9" i="5525"/>
  <c r="H12" i="5525"/>
  <c r="H17" i="5525"/>
  <c r="H19" i="5525"/>
  <c r="H22" i="5525"/>
  <c r="H24" i="5525"/>
  <c r="H27" i="5525"/>
  <c r="H31" i="5525"/>
  <c r="H35" i="5525"/>
  <c r="H39" i="5525"/>
  <c r="H43" i="5525"/>
  <c r="H47" i="5525"/>
  <c r="H51" i="5525"/>
  <c r="H11" i="5525"/>
  <c r="H14" i="5525"/>
  <c r="H16" i="5525"/>
  <c r="C18" i="5525"/>
  <c r="B23" i="5525"/>
  <c r="H25" i="5525"/>
  <c r="H28" i="5525"/>
  <c r="H32" i="5525"/>
  <c r="H36" i="5525"/>
  <c r="H40" i="5525"/>
  <c r="H44" i="5525"/>
  <c r="H48" i="5525"/>
  <c r="O19" i="5515" l="1"/>
  <c r="O18" i="5511"/>
  <c r="O22" i="5519"/>
  <c r="O21" i="5519"/>
  <c r="O19" i="5507" l="1"/>
  <c r="O20" i="5523"/>
  <c r="O18" i="5523" l="1"/>
  <c r="O16" i="5523"/>
  <c r="O16" i="5513"/>
  <c r="O22" i="5511"/>
  <c r="O17" i="5521" l="1"/>
  <c r="O21" i="5517"/>
  <c r="O15" i="5521"/>
  <c r="O22" i="5523"/>
  <c r="O15" i="5509"/>
  <c r="O19" i="5519"/>
  <c r="O16" i="5505"/>
  <c r="O19" i="5523"/>
  <c r="O17" i="5523"/>
  <c r="C27" i="5523"/>
  <c r="B24" i="5523"/>
  <c r="C20" i="5523"/>
  <c r="B17" i="5523"/>
  <c r="H52" i="5523" s="1"/>
  <c r="C16" i="5523"/>
  <c r="C15" i="5523"/>
  <c r="C14" i="5523"/>
  <c r="C13" i="5523"/>
  <c r="O12" i="5523"/>
  <c r="C12" i="5523"/>
  <c r="O11" i="5523"/>
  <c r="C11" i="5523"/>
  <c r="O10" i="5523"/>
  <c r="C10" i="5523"/>
  <c r="C9" i="5523"/>
  <c r="C8" i="5523"/>
  <c r="O7" i="5523"/>
  <c r="C7" i="5523"/>
  <c r="O6" i="5523"/>
  <c r="B6" i="5523"/>
  <c r="O5" i="5523"/>
  <c r="B5" i="5523"/>
  <c r="O4" i="5523"/>
  <c r="O3" i="5523"/>
  <c r="O2" i="5523"/>
  <c r="O16" i="5521"/>
  <c r="O18" i="5521"/>
  <c r="C27" i="5521"/>
  <c r="B24" i="5521"/>
  <c r="C20" i="5521"/>
  <c r="B17" i="5521"/>
  <c r="H52" i="5521" s="1"/>
  <c r="C16" i="5521"/>
  <c r="C15" i="5521"/>
  <c r="C14" i="5521"/>
  <c r="C13" i="5521"/>
  <c r="O12" i="5521"/>
  <c r="C12" i="5521"/>
  <c r="O11" i="5521"/>
  <c r="C11" i="5521"/>
  <c r="O10" i="5521"/>
  <c r="C10" i="5521"/>
  <c r="C9" i="5521"/>
  <c r="C8" i="5521"/>
  <c r="O7" i="5521"/>
  <c r="C7" i="5521"/>
  <c r="O6" i="5521"/>
  <c r="B6" i="5521"/>
  <c r="O5" i="5521"/>
  <c r="B5" i="5521"/>
  <c r="O4" i="5521"/>
  <c r="O3" i="5521"/>
  <c r="O2" i="5521"/>
  <c r="O23" i="5519"/>
  <c r="O24" i="5519"/>
  <c r="O15" i="5507"/>
  <c r="O20" i="5507"/>
  <c r="O27" i="5505"/>
  <c r="H10" i="5523" l="1"/>
  <c r="H4" i="5523"/>
  <c r="H2" i="5523"/>
  <c r="H8" i="5523"/>
  <c r="H8" i="5521"/>
  <c r="H14" i="5521"/>
  <c r="H11" i="5521"/>
  <c r="H5" i="5521"/>
  <c r="C19" i="5521"/>
  <c r="H4" i="5521"/>
  <c r="H2" i="5521"/>
  <c r="H10" i="5521"/>
  <c r="H16" i="5521"/>
  <c r="H7" i="5521"/>
  <c r="H13" i="5521"/>
  <c r="H15" i="5521"/>
  <c r="C17" i="5521"/>
  <c r="H21" i="5521"/>
  <c r="H3" i="5521"/>
  <c r="H6" i="5521"/>
  <c r="H9" i="5521"/>
  <c r="H12" i="5521"/>
  <c r="C18" i="5521"/>
  <c r="C17" i="5523"/>
  <c r="H20" i="5523"/>
  <c r="H29" i="5523"/>
  <c r="H33" i="5523"/>
  <c r="H37" i="5523"/>
  <c r="H45" i="5523"/>
  <c r="H7" i="5523"/>
  <c r="H13" i="5523"/>
  <c r="H15" i="5523"/>
  <c r="C19" i="5523"/>
  <c r="H21" i="5523"/>
  <c r="H30" i="5523"/>
  <c r="H34" i="5523"/>
  <c r="H38" i="5523"/>
  <c r="H42" i="5523"/>
  <c r="H46" i="5523"/>
  <c r="H50" i="5523"/>
  <c r="H18" i="5523"/>
  <c r="H26" i="5523"/>
  <c r="H41" i="5523"/>
  <c r="H3" i="5523"/>
  <c r="H6" i="5523"/>
  <c r="H9" i="5523"/>
  <c r="H12" i="5523"/>
  <c r="H17" i="5523"/>
  <c r="H19" i="5523"/>
  <c r="H22" i="5523"/>
  <c r="H24" i="5523"/>
  <c r="H27" i="5523"/>
  <c r="H31" i="5523"/>
  <c r="H35" i="5523"/>
  <c r="H39" i="5523"/>
  <c r="H43" i="5523"/>
  <c r="H47" i="5523"/>
  <c r="H51" i="5523"/>
  <c r="H23" i="5523"/>
  <c r="H49" i="5523"/>
  <c r="H5" i="5523"/>
  <c r="H11" i="5523"/>
  <c r="H14" i="5523"/>
  <c r="H16" i="5523"/>
  <c r="C18" i="5523"/>
  <c r="B23" i="5523"/>
  <c r="H25" i="5523"/>
  <c r="H28" i="5523"/>
  <c r="H32" i="5523"/>
  <c r="H36" i="5523"/>
  <c r="H40" i="5523"/>
  <c r="H44" i="5523"/>
  <c r="H48" i="5523"/>
  <c r="H18" i="5521"/>
  <c r="H20" i="5521"/>
  <c r="H23" i="5521"/>
  <c r="H26" i="5521"/>
  <c r="H29" i="5521"/>
  <c r="H33" i="5521"/>
  <c r="H37" i="5521"/>
  <c r="H41" i="5521"/>
  <c r="H45" i="5521"/>
  <c r="H49" i="5521"/>
  <c r="H30" i="5521"/>
  <c r="H34" i="5521"/>
  <c r="H38" i="5521"/>
  <c r="H42" i="5521"/>
  <c r="H46" i="5521"/>
  <c r="H50" i="5521"/>
  <c r="H17" i="5521"/>
  <c r="H19" i="5521"/>
  <c r="H22" i="5521"/>
  <c r="H24" i="5521"/>
  <c r="H27" i="5521"/>
  <c r="H31" i="5521"/>
  <c r="H35" i="5521"/>
  <c r="H39" i="5521"/>
  <c r="H43" i="5521"/>
  <c r="H47" i="5521"/>
  <c r="H51" i="5521"/>
  <c r="B23" i="5521"/>
  <c r="H25" i="5521"/>
  <c r="H28" i="5521"/>
  <c r="H32" i="5521"/>
  <c r="H36" i="5521"/>
  <c r="H40" i="5521"/>
  <c r="H44" i="5521"/>
  <c r="H48" i="5521"/>
  <c r="O17" i="5519" l="1"/>
  <c r="O20" i="5517"/>
  <c r="O17" i="5517"/>
  <c r="O17" i="5509"/>
  <c r="O17" i="5515" l="1"/>
  <c r="O17" i="5513"/>
  <c r="O16" i="5517"/>
  <c r="O18" i="5517"/>
  <c r="O16" i="5515" l="1"/>
  <c r="O15" i="5513"/>
  <c r="O23" i="5511"/>
  <c r="O20" i="5511"/>
  <c r="O16" i="5519"/>
  <c r="O18" i="5519"/>
  <c r="C27" i="5519"/>
  <c r="B24" i="5519"/>
  <c r="C20" i="5519"/>
  <c r="B17" i="5519"/>
  <c r="H51" i="5519" s="1"/>
  <c r="C16" i="5519"/>
  <c r="C15" i="5519"/>
  <c r="C14" i="5519"/>
  <c r="C13" i="5519"/>
  <c r="O12" i="5519"/>
  <c r="C12" i="5519"/>
  <c r="O11" i="5519"/>
  <c r="C11" i="5519"/>
  <c r="O10" i="5519"/>
  <c r="C10" i="5519"/>
  <c r="C9" i="5519"/>
  <c r="C8" i="5519"/>
  <c r="O7" i="5519"/>
  <c r="C7" i="5519"/>
  <c r="O6" i="5519"/>
  <c r="B6" i="5519"/>
  <c r="O5" i="5519"/>
  <c r="B5" i="5519"/>
  <c r="O4" i="5519"/>
  <c r="O3" i="5519"/>
  <c r="O2" i="5519"/>
  <c r="O22" i="5513"/>
  <c r="O21" i="5509"/>
  <c r="O22" i="5505"/>
  <c r="H15" i="5519" l="1"/>
  <c r="H5" i="5519"/>
  <c r="H28" i="5519"/>
  <c r="H11" i="5519"/>
  <c r="H34" i="5519"/>
  <c r="H23" i="5519"/>
  <c r="H2" i="5519"/>
  <c r="H26" i="5519"/>
  <c r="H32" i="5519"/>
  <c r="H6" i="5519"/>
  <c r="C18" i="5519"/>
  <c r="H31" i="5519"/>
  <c r="H41" i="5519"/>
  <c r="H3" i="5519"/>
  <c r="H12" i="5519"/>
  <c r="H18" i="5519"/>
  <c r="B23" i="5519"/>
  <c r="H25" i="5519"/>
  <c r="H48" i="5519"/>
  <c r="H49" i="5519"/>
  <c r="H16" i="5519"/>
  <c r="H9" i="5519"/>
  <c r="H37" i="5519"/>
  <c r="H44" i="5519"/>
  <c r="H4" i="5519"/>
  <c r="H10" i="5519"/>
  <c r="H7" i="5519"/>
  <c r="H27" i="5519"/>
  <c r="C17" i="5519"/>
  <c r="H13" i="5519"/>
  <c r="H22" i="5519"/>
  <c r="H38" i="5519"/>
  <c r="H45" i="5519"/>
  <c r="H52" i="5519"/>
  <c r="H29" i="5519"/>
  <c r="H30" i="5519"/>
  <c r="H19" i="5519"/>
  <c r="H33" i="5519"/>
  <c r="H17" i="5519"/>
  <c r="H35" i="5519"/>
  <c r="H39" i="5519"/>
  <c r="H42" i="5519"/>
  <c r="H46" i="5519"/>
  <c r="H50" i="5519"/>
  <c r="H8" i="5519"/>
  <c r="H20" i="5519"/>
  <c r="H21" i="5519"/>
  <c r="C19" i="5519"/>
  <c r="H14" i="5519"/>
  <c r="H24" i="5519"/>
  <c r="H36" i="5519"/>
  <c r="H40" i="5519"/>
  <c r="H43" i="5519"/>
  <c r="H47" i="5519"/>
  <c r="O21" i="5511" l="1"/>
  <c r="O19" i="5517"/>
  <c r="O15" i="5517"/>
  <c r="C27" i="5517"/>
  <c r="B24" i="5517"/>
  <c r="C20" i="5517"/>
  <c r="B17" i="5517"/>
  <c r="H52" i="5517" s="1"/>
  <c r="C16" i="5517"/>
  <c r="C15" i="5517"/>
  <c r="C14" i="5517"/>
  <c r="C13" i="5517"/>
  <c r="O12" i="5517"/>
  <c r="C12" i="5517"/>
  <c r="O11" i="5517"/>
  <c r="C11" i="5517"/>
  <c r="O10" i="5517"/>
  <c r="C10" i="5517"/>
  <c r="C9" i="5517"/>
  <c r="C8" i="5517"/>
  <c r="O7" i="5517"/>
  <c r="C7" i="5517"/>
  <c r="O6" i="5517"/>
  <c r="B6" i="5517"/>
  <c r="O5" i="5517"/>
  <c r="B5" i="5517"/>
  <c r="O4" i="5517"/>
  <c r="O3" i="5517"/>
  <c r="O2" i="5517"/>
  <c r="O22" i="5507"/>
  <c r="O18" i="5505"/>
  <c r="O18" i="5515"/>
  <c r="O18" i="5509"/>
  <c r="O19" i="5509"/>
  <c r="O19" i="5513"/>
  <c r="O20" i="5515"/>
  <c r="O22" i="5515"/>
  <c r="C27" i="5515"/>
  <c r="B24" i="5515"/>
  <c r="C20" i="5515"/>
  <c r="B17" i="5515"/>
  <c r="H52" i="5515" s="1"/>
  <c r="C16" i="5515"/>
  <c r="C15" i="5515"/>
  <c r="C14" i="5515"/>
  <c r="C13" i="5515"/>
  <c r="O12" i="5515"/>
  <c r="C12" i="5515"/>
  <c r="O11" i="5515"/>
  <c r="C11" i="5515"/>
  <c r="O10" i="5515"/>
  <c r="C10" i="5515"/>
  <c r="C9" i="5515"/>
  <c r="C8" i="5515"/>
  <c r="O7" i="5515"/>
  <c r="C7" i="5515"/>
  <c r="O6" i="5515"/>
  <c r="B6" i="5515"/>
  <c r="O5" i="5515"/>
  <c r="B5" i="5515"/>
  <c r="O4" i="5515"/>
  <c r="O3" i="5515"/>
  <c r="O2" i="5515"/>
  <c r="O20" i="5513"/>
  <c r="O18" i="5513"/>
  <c r="C27" i="5513"/>
  <c r="B24" i="5513"/>
  <c r="C20" i="5513"/>
  <c r="B17" i="5513"/>
  <c r="H52" i="5513" s="1"/>
  <c r="C16" i="5513"/>
  <c r="C15" i="5513"/>
  <c r="C14" i="5513"/>
  <c r="C13" i="5513"/>
  <c r="O12" i="5513"/>
  <c r="C12" i="5513"/>
  <c r="O11" i="5513"/>
  <c r="C11" i="5513"/>
  <c r="O10" i="5513"/>
  <c r="C10" i="5513"/>
  <c r="C9" i="5513"/>
  <c r="C8" i="5513"/>
  <c r="O7" i="5513"/>
  <c r="C7" i="5513"/>
  <c r="O6" i="5513"/>
  <c r="B6" i="5513"/>
  <c r="O5" i="5513"/>
  <c r="B5" i="5513"/>
  <c r="O4" i="5513"/>
  <c r="O3" i="5513"/>
  <c r="O2" i="5513"/>
  <c r="O18" i="5507"/>
  <c r="O23" i="5507"/>
  <c r="O20" i="5505"/>
  <c r="O21" i="5505"/>
  <c r="H13" i="5515" l="1"/>
  <c r="H5" i="5515"/>
  <c r="H2" i="5515"/>
  <c r="H3" i="5515"/>
  <c r="H5" i="5513"/>
  <c r="C17" i="5517"/>
  <c r="H4" i="5517"/>
  <c r="H10" i="5517"/>
  <c r="H2" i="5517"/>
  <c r="H8" i="5517"/>
  <c r="H18" i="5517"/>
  <c r="H26" i="5517"/>
  <c r="H29" i="5517"/>
  <c r="H33" i="5517"/>
  <c r="H37" i="5517"/>
  <c r="H49" i="5517"/>
  <c r="H7" i="5517"/>
  <c r="H13" i="5517"/>
  <c r="H15" i="5517"/>
  <c r="C19" i="5517"/>
  <c r="H21" i="5517"/>
  <c r="H30" i="5517"/>
  <c r="H34" i="5517"/>
  <c r="H38" i="5517"/>
  <c r="H42" i="5517"/>
  <c r="H46" i="5517"/>
  <c r="H50" i="5517"/>
  <c r="H20" i="5517"/>
  <c r="H45" i="5517"/>
  <c r="H3" i="5517"/>
  <c r="H6" i="5517"/>
  <c r="H9" i="5517"/>
  <c r="H12" i="5517"/>
  <c r="H17" i="5517"/>
  <c r="H19" i="5517"/>
  <c r="H22" i="5517"/>
  <c r="H24" i="5517"/>
  <c r="H27" i="5517"/>
  <c r="H31" i="5517"/>
  <c r="H35" i="5517"/>
  <c r="H39" i="5517"/>
  <c r="H43" i="5517"/>
  <c r="H47" i="5517"/>
  <c r="H51" i="5517"/>
  <c r="H23" i="5517"/>
  <c r="H41" i="5517"/>
  <c r="H5" i="5517"/>
  <c r="H11" i="5517"/>
  <c r="H14" i="5517"/>
  <c r="H16" i="5517"/>
  <c r="C18" i="5517"/>
  <c r="B23" i="5517"/>
  <c r="H25" i="5517"/>
  <c r="H28" i="5517"/>
  <c r="H32" i="5517"/>
  <c r="H36" i="5517"/>
  <c r="H40" i="5517"/>
  <c r="H44" i="5517"/>
  <c r="H48" i="5517"/>
  <c r="C17" i="5515"/>
  <c r="H26" i="5515"/>
  <c r="H30" i="5515"/>
  <c r="H17" i="5515"/>
  <c r="H34" i="5515"/>
  <c r="H38" i="5515"/>
  <c r="H50" i="5515"/>
  <c r="H8" i="5515"/>
  <c r="H21" i="5515"/>
  <c r="H25" i="5515"/>
  <c r="C19" i="5515"/>
  <c r="H11" i="5515"/>
  <c r="H31" i="5515"/>
  <c r="H35" i="5515"/>
  <c r="H39" i="5515"/>
  <c r="H43" i="5515"/>
  <c r="H47" i="5515"/>
  <c r="H51" i="5515"/>
  <c r="H29" i="5515"/>
  <c r="H42" i="5515"/>
  <c r="H9" i="5515"/>
  <c r="H6" i="5515"/>
  <c r="H10" i="5515"/>
  <c r="H19" i="5515"/>
  <c r="H18" i="5515"/>
  <c r="H15" i="5515"/>
  <c r="H28" i="5515"/>
  <c r="H14" i="5515"/>
  <c r="H12" i="5515"/>
  <c r="H32" i="5515"/>
  <c r="H36" i="5515"/>
  <c r="H40" i="5515"/>
  <c r="H44" i="5515"/>
  <c r="H48" i="5515"/>
  <c r="H4" i="5515"/>
  <c r="H27" i="5515"/>
  <c r="H46" i="5515"/>
  <c r="H7" i="5515"/>
  <c r="H20" i="5515"/>
  <c r="H24" i="5515"/>
  <c r="H16" i="5515"/>
  <c r="C18" i="5515"/>
  <c r="B23" i="5515"/>
  <c r="H22" i="5515"/>
  <c r="H23" i="5515"/>
  <c r="H33" i="5515"/>
  <c r="H37" i="5515"/>
  <c r="H41" i="5515"/>
  <c r="H45" i="5515"/>
  <c r="H49" i="5515"/>
  <c r="H14" i="5513"/>
  <c r="H21" i="5513"/>
  <c r="H39" i="5513"/>
  <c r="H43" i="5513"/>
  <c r="H11" i="5513"/>
  <c r="H16" i="5513"/>
  <c r="C18" i="5513"/>
  <c r="H2" i="5513"/>
  <c r="H4" i="5513"/>
  <c r="H8" i="5513"/>
  <c r="H10" i="5513"/>
  <c r="C19" i="5513"/>
  <c r="H22" i="5513"/>
  <c r="H27" i="5513"/>
  <c r="H7" i="5513"/>
  <c r="H13" i="5513"/>
  <c r="H15" i="5513"/>
  <c r="C17" i="5513"/>
  <c r="H19" i="5513"/>
  <c r="H31" i="5513"/>
  <c r="H47" i="5513"/>
  <c r="H3" i="5513"/>
  <c r="H6" i="5513"/>
  <c r="H9" i="5513"/>
  <c r="H12" i="5513"/>
  <c r="H17" i="5513"/>
  <c r="H24" i="5513"/>
  <c r="H35" i="5513"/>
  <c r="H51" i="5513"/>
  <c r="H18" i="5513"/>
  <c r="H20" i="5513"/>
  <c r="H23" i="5513"/>
  <c r="H26" i="5513"/>
  <c r="H29" i="5513"/>
  <c r="H33" i="5513"/>
  <c r="H37" i="5513"/>
  <c r="H41" i="5513"/>
  <c r="H45" i="5513"/>
  <c r="H49" i="5513"/>
  <c r="H30" i="5513"/>
  <c r="H34" i="5513"/>
  <c r="H38" i="5513"/>
  <c r="H42" i="5513"/>
  <c r="H46" i="5513"/>
  <c r="H50" i="5513"/>
  <c r="B23" i="5513"/>
  <c r="H25" i="5513"/>
  <c r="H28" i="5513"/>
  <c r="H32" i="5513"/>
  <c r="H36" i="5513"/>
  <c r="H40" i="5513"/>
  <c r="H44" i="5513"/>
  <c r="H48" i="5513"/>
  <c r="O19" i="5511" l="1"/>
  <c r="O24" i="5511"/>
  <c r="C27" i="5511"/>
  <c r="B24" i="5511"/>
  <c r="C20" i="5511"/>
  <c r="B17" i="5511"/>
  <c r="H51" i="5511" s="1"/>
  <c r="C16" i="5511"/>
  <c r="C15" i="5511"/>
  <c r="C14" i="5511"/>
  <c r="C13" i="5511"/>
  <c r="O12" i="5511"/>
  <c r="C12" i="5511"/>
  <c r="O11" i="5511"/>
  <c r="C11" i="5511"/>
  <c r="O10" i="5511"/>
  <c r="C10" i="5511"/>
  <c r="C9" i="5511"/>
  <c r="C8" i="5511"/>
  <c r="O7" i="5511"/>
  <c r="C7" i="5511"/>
  <c r="O6" i="5511"/>
  <c r="B6" i="5511"/>
  <c r="O5" i="5511"/>
  <c r="B5" i="5511"/>
  <c r="O4" i="5511"/>
  <c r="O3" i="5511"/>
  <c r="O2" i="5511"/>
  <c r="O22" i="5509"/>
  <c r="O16" i="5509"/>
  <c r="C27" i="5509"/>
  <c r="B24" i="5509"/>
  <c r="C20" i="5509"/>
  <c r="B17" i="5509"/>
  <c r="H51" i="5509" s="1"/>
  <c r="C16" i="5509"/>
  <c r="C15" i="5509"/>
  <c r="C14" i="5509"/>
  <c r="C13" i="5509"/>
  <c r="O12" i="5509"/>
  <c r="C12" i="5509"/>
  <c r="O11" i="5509"/>
  <c r="C11" i="5509"/>
  <c r="O10" i="5509"/>
  <c r="C10" i="5509"/>
  <c r="C9" i="5509"/>
  <c r="C8" i="5509"/>
  <c r="O7" i="5509"/>
  <c r="C7" i="5509"/>
  <c r="O6" i="5509"/>
  <c r="B6" i="5509"/>
  <c r="O5" i="5509"/>
  <c r="B5" i="5509"/>
  <c r="O4" i="5509"/>
  <c r="O3" i="5509"/>
  <c r="O2" i="5509"/>
  <c r="O24" i="5505"/>
  <c r="O17" i="5507"/>
  <c r="O21" i="5507"/>
  <c r="C27" i="5507"/>
  <c r="B24" i="5507"/>
  <c r="C20" i="5507"/>
  <c r="B17" i="5507"/>
  <c r="H15" i="5507" s="1"/>
  <c r="C16" i="5507"/>
  <c r="C15" i="5507"/>
  <c r="C14" i="5507"/>
  <c r="C13" i="5507"/>
  <c r="O12" i="5507"/>
  <c r="C12" i="5507"/>
  <c r="O11" i="5507"/>
  <c r="C11" i="5507"/>
  <c r="O10" i="5507"/>
  <c r="C10" i="5507"/>
  <c r="C9" i="5507"/>
  <c r="C8" i="5507"/>
  <c r="O7" i="5507"/>
  <c r="C7" i="5507"/>
  <c r="O6" i="5507"/>
  <c r="B6" i="5507"/>
  <c r="O5" i="5507"/>
  <c r="B5" i="5507"/>
  <c r="O4" i="5507"/>
  <c r="O3" i="5507"/>
  <c r="O2" i="5507"/>
  <c r="O17" i="5505"/>
  <c r="O19" i="5505"/>
  <c r="C27" i="5505"/>
  <c r="B24" i="5505"/>
  <c r="C20" i="5505"/>
  <c r="B17" i="5505"/>
  <c r="H51" i="5505" s="1"/>
  <c r="C16" i="5505"/>
  <c r="C15" i="5505"/>
  <c r="C14" i="5505"/>
  <c r="C13" i="5505"/>
  <c r="O12" i="5505"/>
  <c r="C12" i="5505"/>
  <c r="O11" i="5505"/>
  <c r="C11" i="5505"/>
  <c r="O10" i="5505"/>
  <c r="C10" i="5505"/>
  <c r="C9" i="5505"/>
  <c r="C8" i="5505"/>
  <c r="O7" i="5505"/>
  <c r="C7" i="5505"/>
  <c r="O6" i="5505"/>
  <c r="B6" i="5505"/>
  <c r="O5" i="5505"/>
  <c r="B5" i="5505"/>
  <c r="O4" i="5505"/>
  <c r="O3" i="5505"/>
  <c r="O2" i="5505"/>
  <c r="H4" i="5509" l="1"/>
  <c r="H16" i="5509"/>
  <c r="H2" i="5509"/>
  <c r="H3" i="5509"/>
  <c r="H12" i="5509"/>
  <c r="H14" i="5509"/>
  <c r="H6" i="5509"/>
  <c r="H9" i="5509"/>
  <c r="H11" i="5509"/>
  <c r="C18" i="5509"/>
  <c r="H5" i="5509"/>
  <c r="H8" i="5509"/>
  <c r="H10" i="5509"/>
  <c r="C19" i="5509"/>
  <c r="H11" i="5507"/>
  <c r="H16" i="5507"/>
  <c r="H28" i="5507"/>
  <c r="H2" i="5511"/>
  <c r="H3" i="5511"/>
  <c r="H20" i="5505"/>
  <c r="H6" i="5507"/>
  <c r="H3" i="5507"/>
  <c r="H4" i="5511"/>
  <c r="H22" i="5511"/>
  <c r="H23" i="5511"/>
  <c r="C17" i="5511"/>
  <c r="B23" i="5511"/>
  <c r="H33" i="5511"/>
  <c r="H41" i="5511"/>
  <c r="H49" i="5511"/>
  <c r="H24" i="5511"/>
  <c r="H21" i="5511"/>
  <c r="H40" i="5511"/>
  <c r="H17" i="5511"/>
  <c r="H12" i="5511"/>
  <c r="H6" i="5511"/>
  <c r="H10" i="5511"/>
  <c r="H18" i="5511"/>
  <c r="H20" i="5511"/>
  <c r="H11" i="5511"/>
  <c r="H36" i="5511"/>
  <c r="H44" i="5511"/>
  <c r="H5" i="5511"/>
  <c r="H9" i="5511"/>
  <c r="C19" i="5511"/>
  <c r="H48" i="5511"/>
  <c r="H8" i="5511"/>
  <c r="H16" i="5511"/>
  <c r="H7" i="5511"/>
  <c r="H28" i="5511"/>
  <c r="H29" i="5511"/>
  <c r="H14" i="5511"/>
  <c r="C18" i="5511"/>
  <c r="H15" i="5511"/>
  <c r="H13" i="5511"/>
  <c r="H32" i="5511"/>
  <c r="H37" i="5511"/>
  <c r="H45" i="5511"/>
  <c r="H52" i="5511"/>
  <c r="H30" i="5511"/>
  <c r="H31" i="5511"/>
  <c r="H25" i="5511"/>
  <c r="H26" i="5511"/>
  <c r="H19" i="5511"/>
  <c r="H34" i="5511"/>
  <c r="H38" i="5511"/>
  <c r="H42" i="5511"/>
  <c r="H46" i="5511"/>
  <c r="H50" i="5511"/>
  <c r="H27" i="5511"/>
  <c r="H35" i="5511"/>
  <c r="H39" i="5511"/>
  <c r="H43" i="5511"/>
  <c r="H47" i="5511"/>
  <c r="H32" i="5509"/>
  <c r="B23" i="5509"/>
  <c r="H40" i="5509"/>
  <c r="H44" i="5509"/>
  <c r="H7" i="5509"/>
  <c r="H13" i="5509"/>
  <c r="H15" i="5509"/>
  <c r="C17" i="5509"/>
  <c r="H21" i="5509"/>
  <c r="H28" i="5509"/>
  <c r="H48" i="5509"/>
  <c r="H25" i="5509"/>
  <c r="H36" i="5509"/>
  <c r="H52" i="5509"/>
  <c r="H18" i="5509"/>
  <c r="H20" i="5509"/>
  <c r="H23" i="5509"/>
  <c r="H26" i="5509"/>
  <c r="H29" i="5509"/>
  <c r="H33" i="5509"/>
  <c r="H37" i="5509"/>
  <c r="H41" i="5509"/>
  <c r="H45" i="5509"/>
  <c r="H49" i="5509"/>
  <c r="H30" i="5509"/>
  <c r="H34" i="5509"/>
  <c r="H38" i="5509"/>
  <c r="H42" i="5509"/>
  <c r="H46" i="5509"/>
  <c r="H50" i="5509"/>
  <c r="H17" i="5509"/>
  <c r="H19" i="5509"/>
  <c r="H22" i="5509"/>
  <c r="H24" i="5509"/>
  <c r="H27" i="5509"/>
  <c r="H31" i="5509"/>
  <c r="H35" i="5509"/>
  <c r="H39" i="5509"/>
  <c r="H43" i="5509"/>
  <c r="H47" i="5509"/>
  <c r="H37" i="5505"/>
  <c r="H41" i="5505"/>
  <c r="H10" i="5505"/>
  <c r="H11" i="5505"/>
  <c r="H6" i="5505"/>
  <c r="H3" i="5505"/>
  <c r="H7" i="5505"/>
  <c r="H4" i="5505"/>
  <c r="H2" i="5505"/>
  <c r="H41" i="5507"/>
  <c r="H42" i="5507"/>
  <c r="H32" i="5507"/>
  <c r="H13" i="5507"/>
  <c r="H49" i="5507"/>
  <c r="H31" i="5507"/>
  <c r="H27" i="5507"/>
  <c r="H2" i="5507"/>
  <c r="H19" i="5507"/>
  <c r="B23" i="5507"/>
  <c r="H25" i="5507"/>
  <c r="H4" i="5507"/>
  <c r="C18" i="5507"/>
  <c r="H35" i="5507"/>
  <c r="H50" i="5507"/>
  <c r="H17" i="5507"/>
  <c r="H9" i="5507"/>
  <c r="H37" i="5507"/>
  <c r="H45" i="5507"/>
  <c r="H5" i="5507"/>
  <c r="H10" i="5507"/>
  <c r="H7" i="5507"/>
  <c r="H21" i="5507"/>
  <c r="C17" i="5507"/>
  <c r="H12" i="5507"/>
  <c r="H24" i="5507"/>
  <c r="H38" i="5507"/>
  <c r="H46" i="5507"/>
  <c r="H52" i="5507"/>
  <c r="H33" i="5507"/>
  <c r="H34" i="5507"/>
  <c r="H20" i="5507"/>
  <c r="H29" i="5507"/>
  <c r="H18" i="5507"/>
  <c r="H30" i="5507"/>
  <c r="H39" i="5507"/>
  <c r="H43" i="5507"/>
  <c r="H47" i="5507"/>
  <c r="H51" i="5507"/>
  <c r="H8" i="5507"/>
  <c r="H26" i="5507"/>
  <c r="H23" i="5507"/>
  <c r="C19" i="5507"/>
  <c r="H14" i="5507"/>
  <c r="H22" i="5507"/>
  <c r="H36" i="5507"/>
  <c r="H40" i="5507"/>
  <c r="H44" i="5507"/>
  <c r="H48" i="5507"/>
  <c r="H45" i="5505"/>
  <c r="H12" i="5505"/>
  <c r="H22" i="5505"/>
  <c r="H34" i="5505"/>
  <c r="H18" i="5505"/>
  <c r="H9" i="5505"/>
  <c r="H50" i="5505"/>
  <c r="H16" i="5505"/>
  <c r="C18" i="5505"/>
  <c r="H14" i="5505"/>
  <c r="H13" i="5505"/>
  <c r="H29" i="5505"/>
  <c r="H38" i="5505"/>
  <c r="H33" i="5505"/>
  <c r="H46" i="5505"/>
  <c r="H19" i="5505"/>
  <c r="C19" i="5505"/>
  <c r="H26" i="5505"/>
  <c r="H42" i="5505"/>
  <c r="H5" i="5505"/>
  <c r="H28" i="5505"/>
  <c r="H24" i="5505"/>
  <c r="H32" i="5505"/>
  <c r="H48" i="5505"/>
  <c r="H8" i="5505"/>
  <c r="H21" i="5505"/>
  <c r="H27" i="5505"/>
  <c r="C17" i="5505"/>
  <c r="H15" i="5505"/>
  <c r="B23" i="5505"/>
  <c r="H25" i="5505"/>
  <c r="H39" i="5505"/>
  <c r="H44" i="5505"/>
  <c r="H49" i="5505"/>
  <c r="H52" i="5505"/>
  <c r="H35" i="5505"/>
  <c r="H36" i="5505"/>
  <c r="H23" i="5505"/>
  <c r="H30" i="5505"/>
  <c r="H17" i="5505"/>
  <c r="H31" i="5505"/>
  <c r="H40" i="5505"/>
  <c r="H43" i="5505"/>
  <c r="H47" i="5505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<sst xmlns="http://schemas.openxmlformats.org/spreadsheetml/2006/main" count="3578" uniqueCount="274">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</sst>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全体!$K$2:$K$776</c:f>
              <c:numCache>
                <c:formatCode>General</c:formatCode>
                <c:ptCount val="7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</c:numCache>
            </c:numRef>
          </c:xVal>
          <c:yVal>
            <c:numRef>
              <c:f>全体!$L$2:$L$776</c:f>
              <c:numCache>
                <c:formatCode>\+0.0;\-0.0;\±0</c:formatCode>
                <c:ptCount val="77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-11.999999999999986</c:v>
                </c:pt>
                <c:pt idx="740">
                  <c:v>65.100000000000009</c:v>
                </c:pt>
                <c:pt idx="741">
                  <c:v>1.4210854715202004E-14</c:v>
                </c:pt>
                <c:pt idx="742">
                  <c:v>14.700000000000014</c:v>
                </c:pt>
                <c:pt idx="743">
                  <c:v>75.200000000000017</c:v>
                </c:pt>
                <c:pt idx="744">
                  <c:v>1.4210854715202004E-14</c:v>
                </c:pt>
                <c:pt idx="745">
                  <c:v>12.200000000000014</c:v>
                </c:pt>
                <c:pt idx="746">
                  <c:v>55.100000000000009</c:v>
                </c:pt>
                <c:pt idx="747">
                  <c:v>7.1054273576010019E-15</c:v>
                </c:pt>
                <c:pt idx="748">
                  <c:v>9.0000000000000071</c:v>
                </c:pt>
                <c:pt idx="749">
                  <c:v>-37.699999999999996</c:v>
                </c:pt>
                <c:pt idx="750">
                  <c:v>7.1054273576010019E-15</c:v>
                </c:pt>
                <c:pt idx="751">
                  <c:v>-43.199999999999996</c:v>
                </c:pt>
                <c:pt idx="752">
                  <c:v>-39.799999999999997</c:v>
                </c:pt>
                <c:pt idx="753">
                  <c:v>0</c:v>
                </c:pt>
                <c:pt idx="754">
                  <c:v>-53.3</c:v>
                </c:pt>
                <c:pt idx="755">
                  <c:v>-61.599999999999994</c:v>
                </c:pt>
                <c:pt idx="756">
                  <c:v>7.1054273576010019E-15</c:v>
                </c:pt>
                <c:pt idx="757">
                  <c:v>31.700000000000006</c:v>
                </c:pt>
                <c:pt idx="758">
                  <c:v>-10.099999999999991</c:v>
                </c:pt>
                <c:pt idx="759">
                  <c:v>8.8817841970012523E-15</c:v>
                </c:pt>
                <c:pt idx="760">
                  <c:v>42.70000000000001</c:v>
                </c:pt>
                <c:pt idx="761">
                  <c:v>-2.5999999999999872</c:v>
                </c:pt>
                <c:pt idx="762">
                  <c:v>1.2878587085651816E-14</c:v>
                </c:pt>
                <c:pt idx="763">
                  <c:v>62.000000000000014</c:v>
                </c:pt>
                <c:pt idx="764">
                  <c:v>3.9000000000000128</c:v>
                </c:pt>
                <c:pt idx="765">
                  <c:v>1.2878587085651816E-14</c:v>
                </c:pt>
                <c:pt idx="766">
                  <c:v>35.000000000000014</c:v>
                </c:pt>
                <c:pt idx="767">
                  <c:v>-9.5999999999999872</c:v>
                </c:pt>
                <c:pt idx="768">
                  <c:v>1.2434497875801753E-14</c:v>
                </c:pt>
                <c:pt idx="769">
                  <c:v>39.300000000000011</c:v>
                </c:pt>
                <c:pt idx="770">
                  <c:v>-18.999999999999986</c:v>
                </c:pt>
                <c:pt idx="771">
                  <c:v>1.4210854715202004E-14</c:v>
                </c:pt>
                <c:pt idx="772">
                  <c:v>1.1000000000000143</c:v>
                </c:pt>
                <c:pt idx="773">
                  <c:v>-34.699999999999982</c:v>
                </c:pt>
                <c:pt idx="774">
                  <c:v>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A-4C71-815D-2B16B5481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-16.795865633074936</c:v>
                </c:pt>
                <c:pt idx="1">
                  <c:v>-6.587615283267457</c:v>
                </c:pt>
                <c:pt idx="2">
                  <c:v>12.76595744680851</c:v>
                </c:pt>
                <c:pt idx="3">
                  <c:v>6.1728395061728394</c:v>
                </c:pt>
                <c:pt idx="4">
                  <c:v>-17.271157167530223</c:v>
                </c:pt>
                <c:pt idx="5">
                  <c:v>29.585798816568047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8-4551-99F6-6D1F0055A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だいち!$K$2:$K$166</c:f>
              <c:numCache>
                <c:formatCode>General</c:formatCode>
                <c:ptCount val="1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</c:numCache>
            </c:numRef>
          </c:xVal>
          <c:yVal>
            <c:numRef>
              <c:f>だいち!$L$2:$L$166</c:f>
              <c:numCache>
                <c:formatCode>\+0.0;\-0.0;\±0</c:formatCode>
                <c:ptCount val="16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23-42B0-9050-E17A1DE08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1954.2682926829268</c:v>
                </c:pt>
                <c:pt idx="1">
                  <c:v>2044.375</c:v>
                </c:pt>
                <c:pt idx="2">
                  <c:v>620.39473684210532</c:v>
                </c:pt>
                <c:pt idx="3">
                  <c:v>2231.4285714285716</c:v>
                </c:pt>
                <c:pt idx="4">
                  <c:v>437.09677419354841</c:v>
                </c:pt>
                <c:pt idx="5">
                  <c:v>939.25233644859816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DB-4F7D-9458-96BB8C1D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りくと!$K$2:$K$136</c:f>
              <c:numCache>
                <c:formatCode>General</c:formatCode>
                <c:ptCount val="1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</c:numCache>
            </c:numRef>
          </c:xVal>
          <c:yVal>
            <c:numRef>
              <c:f>りくと!$L$2:$L$136</c:f>
              <c:numCache>
                <c:formatCode>\+0.0;\-0.0;\±0</c:formatCode>
                <c:ptCount val="13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C7-4EE6-B8AA-6A0082201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151.49253731343285</c:v>
                </c:pt>
                <c:pt idx="1">
                  <c:v>-2101.5384615384614</c:v>
                </c:pt>
                <c:pt idx="2">
                  <c:v>378.22580645161293</c:v>
                </c:pt>
                <c:pt idx="3">
                  <c:v>-35.135135135135137</c:v>
                </c:pt>
                <c:pt idx="4">
                  <c:v>835.71428571428567</c:v>
                </c:pt>
                <c:pt idx="5">
                  <c:v>25.842696629213481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4-4999-855D-A92B6A90B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ただ!$K$2:$K$109</c:f>
              <c:numCache>
                <c:formatCode>General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ただ!$L$2:$L$109</c:f>
              <c:numCache>
                <c:formatCode>\+0.0;\-0.0;\±0</c:formatCode>
                <c:ptCount val="108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3-4B04-A59F-1AE3EB13E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-2235.5140186915887</c:v>
                </c:pt>
                <c:pt idx="1">
                  <c:v>-1169.5238095238096</c:v>
                </c:pt>
                <c:pt idx="2">
                  <c:v>-157.57575757575756</c:v>
                </c:pt>
                <c:pt idx="3">
                  <c:v>-3809.090909090909</c:v>
                </c:pt>
                <c:pt idx="4">
                  <c:v>-268.75</c:v>
                </c:pt>
                <c:pt idx="5">
                  <c:v>-446.47887323943661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E-4091-84E1-E241C0848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れんたろう!$L$2:$L$98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BF-4B1A-9B65-B1ABF197A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-365.625</c:v>
                </c:pt>
                <c:pt idx="1">
                  <c:v>677.65957446808511</c:v>
                </c:pt>
                <c:pt idx="2">
                  <c:v>1677.6470588235295</c:v>
                </c:pt>
                <c:pt idx="3">
                  <c:v>58.666666666666664</c:v>
                </c:pt>
                <c:pt idx="4">
                  <c:v>-1990.909090909091</c:v>
                </c:pt>
                <c:pt idx="5">
                  <c:v>-369.49152542372883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9-45B2-BB12-3BDD26488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たかの!$L$2:$L$92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3D-44A4-B773-E8F7E984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216.66666666666666</c:v>
                </c:pt>
                <c:pt idx="1">
                  <c:v>-1323.3333333333333</c:v>
                </c:pt>
                <c:pt idx="2">
                  <c:v>-870</c:v>
                </c:pt>
                <c:pt idx="3">
                  <c:v>1230.2631578947369</c:v>
                </c:pt>
                <c:pt idx="4">
                  <c:v>-107.14285714285714</c:v>
                </c:pt>
                <c:pt idx="5">
                  <c:v>-178.33333333333334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3-45E6-99C5-FD6260EC1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ぱぱ!$L$2:$L$51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9-4A39-8E16-544D8F67B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-2824.4897959183672</c:v>
                </c:pt>
                <c:pt idx="1">
                  <c:v>1971.4285714285713</c:v>
                </c:pt>
                <c:pt idx="2">
                  <c:v>-319.56521739130437</c:v>
                </c:pt>
                <c:pt idx="3">
                  <c:v>-3760.4651162790697</c:v>
                </c:pt>
                <c:pt idx="4">
                  <c:v>-684.61538461538464</c:v>
                </c:pt>
                <c:pt idx="5">
                  <c:v>-2.7027027027027026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EF-4D1F-BA66-E320672F5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まっつん!$L$2:$L$86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F-4431-A765-D862AB9F3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1144.047619047619</c:v>
                </c:pt>
                <c:pt idx="1">
                  <c:v>364.19753086419752</c:v>
                </c:pt>
                <c:pt idx="2">
                  <c:v>-366.2162162162162</c:v>
                </c:pt>
                <c:pt idx="3">
                  <c:v>1782.8571428571429</c:v>
                </c:pt>
                <c:pt idx="4">
                  <c:v>-1730.1587301587301</c:v>
                </c:pt>
                <c:pt idx="5">
                  <c:v>247.05882352941177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4D-408F-9559-D6A00F3F4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B6-4174-BF98-EFF75DCB7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F-4E21-B010-126EADE57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いっしー!$L$2:$L$24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F-4AC1-8E86-2F1E8926C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-900</c:v>
                </c:pt>
                <c:pt idx="1">
                  <c:v>-5186.363636363636</c:v>
                </c:pt>
                <c:pt idx="2">
                  <c:v>-300</c:v>
                </c:pt>
                <c:pt idx="3">
                  <c:v>-3383.3333333333335</c:v>
                </c:pt>
                <c:pt idx="4">
                  <c:v>-243.75</c:v>
                </c:pt>
                <c:pt idx="5">
                  <c:v>-3330.7692307692309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1-4F0F-B590-1E273FE83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ほたに!$L$2:$L$18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3-41A2-9BAD-60FC80502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-1562.5</c:v>
                </c:pt>
                <c:pt idx="1">
                  <c:v>2425</c:v>
                </c:pt>
                <c:pt idx="2">
                  <c:v>-6756.25</c:v>
                </c:pt>
                <c:pt idx="3">
                  <c:v>-575</c:v>
                </c:pt>
                <c:pt idx="4">
                  <c:v>10915.384615384615</c:v>
                </c:pt>
                <c:pt idx="5">
                  <c:v>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5-4D72-A792-5329E588D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B1-42DF-966C-DE75A6531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18-4715-8FA1-A1DDC6010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9-4B6E-AAEB-57F9B0018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76-4CA0-94EB-9DABE53CA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82-46D4-9A25-0099D123C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-7950</c:v>
                </c:pt>
                <c:pt idx="1">
                  <c:v>-7750</c:v>
                </c:pt>
                <c:pt idx="2">
                  <c:v>-1150</c:v>
                </c:pt>
                <c:pt idx="3">
                  <c:v>-3950</c:v>
                </c:pt>
                <c:pt idx="4">
                  <c:v>-2100</c:v>
                </c:pt>
                <c:pt idx="5">
                  <c:v>-5350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0-4519-80C9-0FAF9FB62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まっつん2!$B$3:$B$87</c:f>
              <c:numCache>
                <c:formatCode>\+0.0;\-0.0;\±0</c:formatCode>
                <c:ptCount val="85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まっつん2!$C$3:$C$87</c:f>
              <c:numCache>
                <c:formatCode>\+0.0;\-0.0;\±0</c:formatCode>
                <c:ptCount val="85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  <c:pt idx="52">
                  <c:v>0.59038461538461529</c:v>
                </c:pt>
                <c:pt idx="53">
                  <c:v>1.4490566037735848</c:v>
                </c:pt>
                <c:pt idx="54">
                  <c:v>2.4685185185185188</c:v>
                </c:pt>
                <c:pt idx="55">
                  <c:v>3.3018181818181822</c:v>
                </c:pt>
                <c:pt idx="56">
                  <c:v>3.3500000000000005</c:v>
                </c:pt>
                <c:pt idx="57">
                  <c:v>4.4824561403508776</c:v>
                </c:pt>
                <c:pt idx="58">
                  <c:v>4.2172413793103454</c:v>
                </c:pt>
                <c:pt idx="59">
                  <c:v>5</c:v>
                </c:pt>
                <c:pt idx="60">
                  <c:v>5.9899999999999993</c:v>
                </c:pt>
                <c:pt idx="61">
                  <c:v>5.6967213114754101</c:v>
                </c:pt>
                <c:pt idx="62">
                  <c:v>5.5741935483870968</c:v>
                </c:pt>
                <c:pt idx="63">
                  <c:v>4.5650793650793657</c:v>
                </c:pt>
                <c:pt idx="64">
                  <c:v>5.0562500000000004</c:v>
                </c:pt>
                <c:pt idx="65">
                  <c:v>5.0553846153846154</c:v>
                </c:pt>
                <c:pt idx="66">
                  <c:v>4.6515151515151514</c:v>
                </c:pt>
                <c:pt idx="67">
                  <c:v>4.0910447761194035</c:v>
                </c:pt>
                <c:pt idx="68">
                  <c:v>4.197058823529412</c:v>
                </c:pt>
                <c:pt idx="69">
                  <c:v>4.7884057971014498</c:v>
                </c:pt>
                <c:pt idx="70">
                  <c:v>5.4642857142857153</c:v>
                </c:pt>
                <c:pt idx="71">
                  <c:v>4.9352112676056343</c:v>
                </c:pt>
                <c:pt idx="72">
                  <c:v>4.2305555555555561</c:v>
                </c:pt>
                <c:pt idx="73">
                  <c:v>3.7671232876712328</c:v>
                </c:pt>
                <c:pt idx="74">
                  <c:v>3.2716216216216214</c:v>
                </c:pt>
                <c:pt idx="75">
                  <c:v>3.4106666666666663</c:v>
                </c:pt>
                <c:pt idx="76">
                  <c:v>2.6092105263157892</c:v>
                </c:pt>
                <c:pt idx="77">
                  <c:v>2.6194805194805193</c:v>
                </c:pt>
                <c:pt idx="78">
                  <c:v>2.4794871794871791</c:v>
                </c:pt>
                <c:pt idx="79">
                  <c:v>1.9189873417721515</c:v>
                </c:pt>
                <c:pt idx="80">
                  <c:v>1.9274999999999995</c:v>
                </c:pt>
                <c:pt idx="81">
                  <c:v>2.6691358024691354</c:v>
                </c:pt>
                <c:pt idx="82">
                  <c:v>2.7536585365853652</c:v>
                </c:pt>
                <c:pt idx="83">
                  <c:v>2.0180722891566258</c:v>
                </c:pt>
                <c:pt idx="84">
                  <c:v>1.5678571428571419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75404161147325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まっつん2!$D$3:$D$87</c:f>
              <c:numCache>
                <c:formatCode>0.00\ "位"</c:formatCode>
                <c:ptCount val="85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  <c:pt idx="52">
                  <c:v>1.9615384615384615</c:v>
                </c:pt>
                <c:pt idx="53">
                  <c:v>1.9433962264150944</c:v>
                </c:pt>
                <c:pt idx="54">
                  <c:v>1.9259259259259258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1.896551724137931</c:v>
                </c:pt>
                <c:pt idx="59">
                  <c:v>1.8813559322033899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1.875</c:v>
                </c:pt>
                <c:pt idx="65">
                  <c:v>1.8769230769230769</c:v>
                </c:pt>
                <c:pt idx="66">
                  <c:v>1.8787878787878789</c:v>
                </c:pt>
                <c:pt idx="67">
                  <c:v>1.8955223880597014</c:v>
                </c:pt>
                <c:pt idx="68">
                  <c:v>1.8970588235294117</c:v>
                </c:pt>
                <c:pt idx="69">
                  <c:v>1.8840579710144927</c:v>
                </c:pt>
                <c:pt idx="70">
                  <c:v>1.8714285714285714</c:v>
                </c:pt>
                <c:pt idx="71">
                  <c:v>1.8873239436619718</c:v>
                </c:pt>
                <c:pt idx="72">
                  <c:v>1.9027777777777777</c:v>
                </c:pt>
                <c:pt idx="73">
                  <c:v>1.904109589041096</c:v>
                </c:pt>
                <c:pt idx="74">
                  <c:v>1.9189189189189189</c:v>
                </c:pt>
                <c:pt idx="75">
                  <c:v>1.92</c:v>
                </c:pt>
                <c:pt idx="76">
                  <c:v>1.9342105263157894</c:v>
                </c:pt>
                <c:pt idx="77">
                  <c:v>1.9350649350649352</c:v>
                </c:pt>
                <c:pt idx="78">
                  <c:v>1.9358974358974359</c:v>
                </c:pt>
                <c:pt idx="79">
                  <c:v>1.9493670886075949</c:v>
                </c:pt>
                <c:pt idx="80">
                  <c:v>1.95</c:v>
                </c:pt>
                <c:pt idx="81">
                  <c:v>1.9382716049382716</c:v>
                </c:pt>
                <c:pt idx="82">
                  <c:v>1.9390243902439024</c:v>
                </c:pt>
                <c:pt idx="83">
                  <c:v>1.9518072289156627</c:v>
                </c:pt>
                <c:pt idx="84">
                  <c:v>1.9642857142857142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まっつん2!$E$3:$E$87</c:f>
              <c:numCache>
                <c:formatCode>0.0%</c:formatCode>
                <c:ptCount val="85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  <c:pt idx="52">
                  <c:v>0.36538461538461536</c:v>
                </c:pt>
                <c:pt idx="53">
                  <c:v>0.37735849056603776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0.39655172413793105</c:v>
                </c:pt>
                <c:pt idx="59">
                  <c:v>0.40677966101694918</c:v>
                </c:pt>
                <c:pt idx="60">
                  <c:v>0.41666666666666669</c:v>
                </c:pt>
                <c:pt idx="61">
                  <c:v>0.4098360655737705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0.40625</c:v>
                </c:pt>
                <c:pt idx="65">
                  <c:v>0.4</c:v>
                </c:pt>
                <c:pt idx="66">
                  <c:v>0.39393939393939392</c:v>
                </c:pt>
                <c:pt idx="67">
                  <c:v>0.38805970149253732</c:v>
                </c:pt>
                <c:pt idx="68">
                  <c:v>0.38235294117647056</c:v>
                </c:pt>
                <c:pt idx="69">
                  <c:v>0.39130434782608697</c:v>
                </c:pt>
                <c:pt idx="70">
                  <c:v>0.4</c:v>
                </c:pt>
                <c:pt idx="71">
                  <c:v>0.39436619718309857</c:v>
                </c:pt>
                <c:pt idx="72">
                  <c:v>0.3888888888888889</c:v>
                </c:pt>
                <c:pt idx="73">
                  <c:v>0.38356164383561642</c:v>
                </c:pt>
                <c:pt idx="74">
                  <c:v>0.3783783783783784</c:v>
                </c:pt>
                <c:pt idx="75">
                  <c:v>0.37333333333333335</c:v>
                </c:pt>
                <c:pt idx="76">
                  <c:v>0.36842105263157893</c:v>
                </c:pt>
                <c:pt idx="77">
                  <c:v>0.36363636363636365</c:v>
                </c:pt>
                <c:pt idx="78">
                  <c:v>0.35897435897435898</c:v>
                </c:pt>
                <c:pt idx="79">
                  <c:v>0.35443037974683544</c:v>
                </c:pt>
                <c:pt idx="80">
                  <c:v>0.35</c:v>
                </c:pt>
                <c:pt idx="81">
                  <c:v>0.35802469135802467</c:v>
                </c:pt>
                <c:pt idx="82">
                  <c:v>0.35365853658536583</c:v>
                </c:pt>
                <c:pt idx="83">
                  <c:v>0.3493975903614458</c:v>
                </c:pt>
                <c:pt idx="84">
                  <c:v>0.34523809523809523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まっつん2!$F$3:$F$87</c:f>
              <c:numCache>
                <c:formatCode>0.0%</c:formatCode>
                <c:ptCount val="85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0.30357142857142855</c:v>
                </c:pt>
                <c:pt idx="57">
                  <c:v>0.2982456140350877</c:v>
                </c:pt>
                <c:pt idx="58">
                  <c:v>0.29310344827586204</c:v>
                </c:pt>
                <c:pt idx="59">
                  <c:v>0.28813559322033899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0.27692307692307694</c:v>
                </c:pt>
                <c:pt idx="66">
                  <c:v>0.27272727272727271</c:v>
                </c:pt>
                <c:pt idx="67">
                  <c:v>0.28358208955223879</c:v>
                </c:pt>
                <c:pt idx="68">
                  <c:v>0.27941176470588236</c:v>
                </c:pt>
                <c:pt idx="69">
                  <c:v>0.27536231884057971</c:v>
                </c:pt>
                <c:pt idx="70">
                  <c:v>0.27142857142857141</c:v>
                </c:pt>
                <c:pt idx="71">
                  <c:v>0.28169014084507044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0.29729729729729731</c:v>
                </c:pt>
                <c:pt idx="75">
                  <c:v>0.29333333333333333</c:v>
                </c:pt>
                <c:pt idx="76">
                  <c:v>0.30263157894736842</c:v>
                </c:pt>
                <c:pt idx="77">
                  <c:v>0.29870129870129869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0.30120481927710846</c:v>
                </c:pt>
                <c:pt idx="84">
                  <c:v>0.30952380952380953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まっつん2!$G$3:$G$87</c:f>
              <c:numCache>
                <c:formatCode>0.0%</c:formatCode>
                <c:ptCount val="85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  <c:pt idx="52">
                  <c:v>0.30023640661938533</c:v>
                </c:pt>
                <c:pt idx="53">
                  <c:v>0.30162412993039445</c:v>
                </c:pt>
                <c:pt idx="54">
                  <c:v>0.30523917995444189</c:v>
                </c:pt>
                <c:pt idx="55">
                  <c:v>0.3087248322147651</c:v>
                </c:pt>
                <c:pt idx="56">
                  <c:v>0.30905077262693159</c:v>
                </c:pt>
                <c:pt idx="57">
                  <c:v>0.31372549019607843</c:v>
                </c:pt>
                <c:pt idx="58">
                  <c:v>0.30916844349680173</c:v>
                </c:pt>
                <c:pt idx="59">
                  <c:v>0.30721649484536084</c:v>
                </c:pt>
                <c:pt idx="60">
                  <c:v>0.30894308943089432</c:v>
                </c:pt>
                <c:pt idx="61">
                  <c:v>0.30645161290322581</c:v>
                </c:pt>
                <c:pt idx="62">
                  <c:v>0.3061630218687873</c:v>
                </c:pt>
                <c:pt idx="63">
                  <c:v>0.30078125</c:v>
                </c:pt>
                <c:pt idx="64">
                  <c:v>0.30250481695568399</c:v>
                </c:pt>
                <c:pt idx="65">
                  <c:v>0.30285714285714288</c:v>
                </c:pt>
                <c:pt idx="66">
                  <c:v>0.29906542056074764</c:v>
                </c:pt>
                <c:pt idx="67">
                  <c:v>0.29520295202952029</c:v>
                </c:pt>
                <c:pt idx="68">
                  <c:v>0.29454545454545455</c:v>
                </c:pt>
                <c:pt idx="69">
                  <c:v>0.29749103942652327</c:v>
                </c:pt>
                <c:pt idx="70">
                  <c:v>0.29720279720279719</c:v>
                </c:pt>
                <c:pt idx="71">
                  <c:v>0.29776247848537007</c:v>
                </c:pt>
                <c:pt idx="72">
                  <c:v>0.29471890971039183</c:v>
                </c:pt>
                <c:pt idx="73">
                  <c:v>0.29194630872483224</c:v>
                </c:pt>
                <c:pt idx="74">
                  <c:v>0.28855721393034828</c:v>
                </c:pt>
                <c:pt idx="75">
                  <c:v>0.28852459016393445</c:v>
                </c:pt>
                <c:pt idx="76">
                  <c:v>0.2861788617886179</c:v>
                </c:pt>
                <c:pt idx="77">
                  <c:v>0.2861736334405145</c:v>
                </c:pt>
                <c:pt idx="78">
                  <c:v>0.28459119496855345</c:v>
                </c:pt>
                <c:pt idx="79">
                  <c:v>0.28217054263565894</c:v>
                </c:pt>
                <c:pt idx="80">
                  <c:v>0.28374233128834359</c:v>
                </c:pt>
                <c:pt idx="81">
                  <c:v>0.28657616892911009</c:v>
                </c:pt>
                <c:pt idx="82">
                  <c:v>0.28528974739970281</c:v>
                </c:pt>
                <c:pt idx="83">
                  <c:v>0.28193832599118945</c:v>
                </c:pt>
                <c:pt idx="84">
                  <c:v>0.27971014492753621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41713221601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まっつん2!$H$3:$H$87</c:f>
              <c:numCache>
                <c:formatCode>0.0%</c:formatCode>
                <c:ptCount val="85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  <c:pt idx="52">
                  <c:v>0.15839243498817968</c:v>
                </c:pt>
                <c:pt idx="53">
                  <c:v>0.1554524361948956</c:v>
                </c:pt>
                <c:pt idx="54">
                  <c:v>0.15261958997722094</c:v>
                </c:pt>
                <c:pt idx="55">
                  <c:v>0.14988814317673377</c:v>
                </c:pt>
                <c:pt idx="56">
                  <c:v>0.15231788079470199</c:v>
                </c:pt>
                <c:pt idx="57">
                  <c:v>0.15032679738562091</c:v>
                </c:pt>
                <c:pt idx="58">
                  <c:v>0.15351812366737741</c:v>
                </c:pt>
                <c:pt idx="59">
                  <c:v>0.15257731958762888</c:v>
                </c:pt>
                <c:pt idx="60">
                  <c:v>0.15040650406504066</c:v>
                </c:pt>
                <c:pt idx="61">
                  <c:v>0.14919354838709678</c:v>
                </c:pt>
                <c:pt idx="62">
                  <c:v>0.14910536779324055</c:v>
                </c:pt>
                <c:pt idx="63">
                  <c:v>0.1484375</c:v>
                </c:pt>
                <c:pt idx="64">
                  <c:v>0.14836223506743737</c:v>
                </c:pt>
                <c:pt idx="65">
                  <c:v>0.15047619047619049</c:v>
                </c:pt>
                <c:pt idx="66">
                  <c:v>0.15140186915887852</c:v>
                </c:pt>
                <c:pt idx="67">
                  <c:v>0.15313653136531366</c:v>
                </c:pt>
                <c:pt idx="68">
                  <c:v>0.15090909090909091</c:v>
                </c:pt>
                <c:pt idx="69">
                  <c:v>0.14874551971326164</c:v>
                </c:pt>
                <c:pt idx="70">
                  <c:v>0.14685314685314685</c:v>
                </c:pt>
                <c:pt idx="71">
                  <c:v>0.14802065404475043</c:v>
                </c:pt>
                <c:pt idx="72">
                  <c:v>0.14991482112436116</c:v>
                </c:pt>
                <c:pt idx="73">
                  <c:v>0.1476510067114094</c:v>
                </c:pt>
                <c:pt idx="74">
                  <c:v>0.14925373134328357</c:v>
                </c:pt>
                <c:pt idx="75">
                  <c:v>0.14754098360655737</c:v>
                </c:pt>
                <c:pt idx="76">
                  <c:v>0.14959349593495935</c:v>
                </c:pt>
                <c:pt idx="77">
                  <c:v>0.14790996784565916</c:v>
                </c:pt>
                <c:pt idx="78">
                  <c:v>0.14622641509433962</c:v>
                </c:pt>
                <c:pt idx="79">
                  <c:v>0.14728682170542637</c:v>
                </c:pt>
                <c:pt idx="80">
                  <c:v>0.14723926380368099</c:v>
                </c:pt>
                <c:pt idx="81">
                  <c:v>0.14630467571644043</c:v>
                </c:pt>
                <c:pt idx="82">
                  <c:v>0.14710252600297177</c:v>
                </c:pt>
                <c:pt idx="83">
                  <c:v>0.14831130690161526</c:v>
                </c:pt>
                <c:pt idx="84">
                  <c:v>0.14927536231884059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97703289882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まっつん2!$I$3:$I$87</c:f>
              <c:numCache>
                <c:formatCode>0</c:formatCode>
                <c:ptCount val="85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  <c:pt idx="52">
                  <c:v>8508.6614173228354</c:v>
                </c:pt>
                <c:pt idx="53">
                  <c:v>8553.0769230769238</c:v>
                </c:pt>
                <c:pt idx="54">
                  <c:v>8598.507462686568</c:v>
                </c:pt>
                <c:pt idx="55">
                  <c:v>8637.68115942029</c:v>
                </c:pt>
                <c:pt idx="56">
                  <c:v>8685.7142857142862</c:v>
                </c:pt>
                <c:pt idx="57">
                  <c:v>8768.75</c:v>
                </c:pt>
                <c:pt idx="58">
                  <c:v>8762.0689655172409</c:v>
                </c:pt>
                <c:pt idx="59">
                  <c:v>8833.5570469798658</c:v>
                </c:pt>
                <c:pt idx="60">
                  <c:v>8948.0263157894733</c:v>
                </c:pt>
                <c:pt idx="61">
                  <c:v>8948.0263157894733</c:v>
                </c:pt>
                <c:pt idx="62">
                  <c:v>8912.9870129870123</c:v>
                </c:pt>
                <c:pt idx="63">
                  <c:v>8912.9870129870123</c:v>
                </c:pt>
                <c:pt idx="64">
                  <c:v>8923.5668789808915</c:v>
                </c:pt>
                <c:pt idx="65">
                  <c:v>8937.1069182389929</c:v>
                </c:pt>
                <c:pt idx="66">
                  <c:v>8905.625</c:v>
                </c:pt>
                <c:pt idx="67">
                  <c:v>8905.625</c:v>
                </c:pt>
                <c:pt idx="68">
                  <c:v>8905.5555555555547</c:v>
                </c:pt>
                <c:pt idx="69">
                  <c:v>8931.9277108433744</c:v>
                </c:pt>
                <c:pt idx="70">
                  <c:v>9014.1176470588234</c:v>
                </c:pt>
                <c:pt idx="71">
                  <c:v>8984.9710982658962</c:v>
                </c:pt>
                <c:pt idx="72">
                  <c:v>8984.9710982658962</c:v>
                </c:pt>
                <c:pt idx="73">
                  <c:v>8979.310344827587</c:v>
                </c:pt>
                <c:pt idx="74">
                  <c:v>8979.310344827587</c:v>
                </c:pt>
                <c:pt idx="75">
                  <c:v>8982.954545454546</c:v>
                </c:pt>
                <c:pt idx="76">
                  <c:v>8982.954545454546</c:v>
                </c:pt>
                <c:pt idx="77">
                  <c:v>8989.8876404494385</c:v>
                </c:pt>
                <c:pt idx="78">
                  <c:v>8916.5745856353587</c:v>
                </c:pt>
                <c:pt idx="79">
                  <c:v>8910.4395604395613</c:v>
                </c:pt>
                <c:pt idx="80">
                  <c:v>8837.8378378378384</c:v>
                </c:pt>
                <c:pt idx="81">
                  <c:v>8883.6842105263149</c:v>
                </c:pt>
                <c:pt idx="82">
                  <c:v>8895.3125</c:v>
                </c:pt>
                <c:pt idx="83">
                  <c:v>8895.3125</c:v>
                </c:pt>
                <c:pt idx="84">
                  <c:v>8861.6580310880836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48.46593863754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まっつん2!$J$3:$J$87</c:f>
              <c:numCache>
                <c:formatCode>0</c:formatCode>
                <c:ptCount val="85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  <c:pt idx="52">
                  <c:v>-7931.3432835820895</c:v>
                </c:pt>
                <c:pt idx="53">
                  <c:v>-7931.3432835820895</c:v>
                </c:pt>
                <c:pt idx="54">
                  <c:v>-7931.3432835820895</c:v>
                </c:pt>
                <c:pt idx="55">
                  <c:v>-7931.3432835820895</c:v>
                </c:pt>
                <c:pt idx="56">
                  <c:v>-7991.304347826087</c:v>
                </c:pt>
                <c:pt idx="57">
                  <c:v>-7991.304347826087</c:v>
                </c:pt>
                <c:pt idx="58">
                  <c:v>-7793.0555555555557</c:v>
                </c:pt>
                <c:pt idx="59">
                  <c:v>-7635.135135135135</c:v>
                </c:pt>
                <c:pt idx="60">
                  <c:v>-7635.135135135135</c:v>
                </c:pt>
                <c:pt idx="61">
                  <c:v>-7635.135135135135</c:v>
                </c:pt>
                <c:pt idx="62">
                  <c:v>-7568</c:v>
                </c:pt>
                <c:pt idx="63">
                  <c:v>-7626.3157894736842</c:v>
                </c:pt>
                <c:pt idx="64">
                  <c:v>-7553.2467532467535</c:v>
                </c:pt>
                <c:pt idx="65">
                  <c:v>-7539.2405063291135</c:v>
                </c:pt>
                <c:pt idx="66">
                  <c:v>-7460.4938271604942</c:v>
                </c:pt>
                <c:pt idx="67">
                  <c:v>-7336.1445783132531</c:v>
                </c:pt>
                <c:pt idx="68">
                  <c:v>-7336.1445783132531</c:v>
                </c:pt>
                <c:pt idx="69">
                  <c:v>-7336.1445783132531</c:v>
                </c:pt>
                <c:pt idx="70">
                  <c:v>-7266.666666666667</c:v>
                </c:pt>
                <c:pt idx="71">
                  <c:v>-7139.5348837209303</c:v>
                </c:pt>
                <c:pt idx="72">
                  <c:v>-7112.5</c:v>
                </c:pt>
                <c:pt idx="73">
                  <c:v>-7112.5</c:v>
                </c:pt>
                <c:pt idx="74">
                  <c:v>-7047.7777777777774</c:v>
                </c:pt>
                <c:pt idx="75">
                  <c:v>-7047.7777777777774</c:v>
                </c:pt>
                <c:pt idx="76">
                  <c:v>-7155.434782608696</c:v>
                </c:pt>
                <c:pt idx="77">
                  <c:v>-7155.434782608696</c:v>
                </c:pt>
                <c:pt idx="78">
                  <c:v>-7161.2903225806449</c:v>
                </c:pt>
                <c:pt idx="79">
                  <c:v>-7164.2105263157891</c:v>
                </c:pt>
                <c:pt idx="80">
                  <c:v>-7110.416666666667</c:v>
                </c:pt>
                <c:pt idx="81">
                  <c:v>-7119.5876288659792</c:v>
                </c:pt>
                <c:pt idx="82">
                  <c:v>-7015.151515151515</c:v>
                </c:pt>
                <c:pt idx="83">
                  <c:v>-7092.0792079207922</c:v>
                </c:pt>
                <c:pt idx="84">
                  <c:v>-7048.5436893203887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98.32713754646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まっつん2!$K$3:$K$87</c:f>
              <c:numCache>
                <c:formatCode>0.0%</c:formatCode>
                <c:ptCount val="8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0.16666666666666666</c:v>
                </c:pt>
                <c:pt idx="55">
                  <c:v>0.16363636363636364</c:v>
                </c:pt>
                <c:pt idx="56">
                  <c:v>0.16071428571428573</c:v>
                </c:pt>
                <c:pt idx="57">
                  <c:v>0.15789473684210525</c:v>
                </c:pt>
                <c:pt idx="58">
                  <c:v>0.15517241379310345</c:v>
                </c:pt>
                <c:pt idx="59">
                  <c:v>0.15254237288135594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0.15873015873015872</c:v>
                </c:pt>
                <c:pt idx="64">
                  <c:v>0.15625</c:v>
                </c:pt>
                <c:pt idx="65">
                  <c:v>0.15384615384615385</c:v>
                </c:pt>
                <c:pt idx="66">
                  <c:v>0.15151515151515152</c:v>
                </c:pt>
                <c:pt idx="67">
                  <c:v>0.14925373134328357</c:v>
                </c:pt>
                <c:pt idx="68">
                  <c:v>0.14705882352941177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0.14473684210526316</c:v>
                </c:pt>
                <c:pt idx="77">
                  <c:v>0.14285714285714285</c:v>
                </c:pt>
                <c:pt idx="78">
                  <c:v>0.14102564102564102</c:v>
                </c:pt>
                <c:pt idx="79">
                  <c:v>0.13924050632911392</c:v>
                </c:pt>
                <c:pt idx="80">
                  <c:v>0.13750000000000001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0.14457831325301204</c:v>
                </c:pt>
                <c:pt idx="84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4031007751937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まっつん2!$L$3:$L$87</c:f>
              <c:numCache>
                <c:formatCode>0.0%</c:formatCode>
                <c:ptCount val="8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0.14035087719298245</c:v>
                </c:pt>
                <c:pt idx="58">
                  <c:v>0.13793103448275862</c:v>
                </c:pt>
                <c:pt idx="59">
                  <c:v>0.13559322033898305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0.14285714285714285</c:v>
                </c:pt>
                <c:pt idx="64">
                  <c:v>0.140625</c:v>
                </c:pt>
                <c:pt idx="65">
                  <c:v>0.13846153846153847</c:v>
                </c:pt>
                <c:pt idx="66">
                  <c:v>0.13636363636363635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0.13157894736842105</c:v>
                </c:pt>
                <c:pt idx="77">
                  <c:v>0.12987012987012986</c:v>
                </c:pt>
                <c:pt idx="78">
                  <c:v>0.12820512820512819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4031007751937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まっつん2!$M$3:$M$87</c:f>
              <c:numCache>
                <c:formatCode>0.0%</c:formatCode>
                <c:ptCount val="85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  <c:pt idx="52">
                  <c:v>0.26477541371158392</c:v>
                </c:pt>
                <c:pt idx="53">
                  <c:v>0.26682134570765659</c:v>
                </c:pt>
                <c:pt idx="54">
                  <c:v>0.27334851936218679</c:v>
                </c:pt>
                <c:pt idx="55">
                  <c:v>0.27516778523489932</c:v>
                </c:pt>
                <c:pt idx="56">
                  <c:v>0.27593818984547464</c:v>
                </c:pt>
                <c:pt idx="57">
                  <c:v>0.27886710239651419</c:v>
                </c:pt>
                <c:pt idx="58">
                  <c:v>0.28358208955223879</c:v>
                </c:pt>
                <c:pt idx="59">
                  <c:v>0.2907216494845361</c:v>
                </c:pt>
                <c:pt idx="60">
                  <c:v>0.29065040650406504</c:v>
                </c:pt>
                <c:pt idx="61">
                  <c:v>0.29032258064516131</c:v>
                </c:pt>
                <c:pt idx="62">
                  <c:v>0.2922465208747515</c:v>
                </c:pt>
                <c:pt idx="63">
                  <c:v>0.29296875</c:v>
                </c:pt>
                <c:pt idx="64">
                  <c:v>0.2947976878612717</c:v>
                </c:pt>
                <c:pt idx="65">
                  <c:v>0.29523809523809524</c:v>
                </c:pt>
                <c:pt idx="66">
                  <c:v>0.29158878504672897</c:v>
                </c:pt>
                <c:pt idx="67">
                  <c:v>0.28966789667896681</c:v>
                </c:pt>
                <c:pt idx="68">
                  <c:v>0.29090909090909089</c:v>
                </c:pt>
                <c:pt idx="69">
                  <c:v>0.29569892473118281</c:v>
                </c:pt>
                <c:pt idx="70">
                  <c:v>0.2937062937062937</c:v>
                </c:pt>
                <c:pt idx="71">
                  <c:v>0.29432013769363169</c:v>
                </c:pt>
                <c:pt idx="72">
                  <c:v>0.29131175468483816</c:v>
                </c:pt>
                <c:pt idx="73">
                  <c:v>0.29026845637583892</c:v>
                </c:pt>
                <c:pt idx="74">
                  <c:v>0.29021558872305142</c:v>
                </c:pt>
                <c:pt idx="75">
                  <c:v>0.29180327868852457</c:v>
                </c:pt>
                <c:pt idx="76">
                  <c:v>0.2943089430894309</c:v>
                </c:pt>
                <c:pt idx="77">
                  <c:v>0.297427652733119</c:v>
                </c:pt>
                <c:pt idx="78">
                  <c:v>0.29402515723270439</c:v>
                </c:pt>
                <c:pt idx="79">
                  <c:v>0.29457364341085274</c:v>
                </c:pt>
                <c:pt idx="80">
                  <c:v>0.29754601226993865</c:v>
                </c:pt>
                <c:pt idx="81">
                  <c:v>0.29864253393665158</c:v>
                </c:pt>
                <c:pt idx="82">
                  <c:v>0.29569093610698366</c:v>
                </c:pt>
                <c:pt idx="83">
                  <c:v>0.29368575624082233</c:v>
                </c:pt>
                <c:pt idx="84">
                  <c:v>0.28985507246376813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5294847920546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まっつん2!$N$3:$N$87</c:f>
              <c:numCache>
                <c:formatCode>0.0%</c:formatCode>
                <c:ptCount val="85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  <c:pt idx="52">
                  <c:v>0.1867612293144208</c:v>
                </c:pt>
                <c:pt idx="53">
                  <c:v>0.18793503480278423</c:v>
                </c:pt>
                <c:pt idx="54">
                  <c:v>0.18906605922551253</c:v>
                </c:pt>
                <c:pt idx="55">
                  <c:v>0.18791946308724833</c:v>
                </c:pt>
                <c:pt idx="56">
                  <c:v>0.18543046357615894</c:v>
                </c:pt>
                <c:pt idx="57">
                  <c:v>0.18736383442265794</c:v>
                </c:pt>
                <c:pt idx="58">
                  <c:v>0.18550106609808104</c:v>
                </c:pt>
                <c:pt idx="59">
                  <c:v>0.18144329896907216</c:v>
                </c:pt>
                <c:pt idx="60">
                  <c:v>0.17886178861788618</c:v>
                </c:pt>
                <c:pt idx="61">
                  <c:v>0.18145161290322581</c:v>
                </c:pt>
                <c:pt idx="62">
                  <c:v>0.17892644135188868</c:v>
                </c:pt>
                <c:pt idx="63">
                  <c:v>0.177734375</c:v>
                </c:pt>
                <c:pt idx="64">
                  <c:v>0.17533718689788053</c:v>
                </c:pt>
                <c:pt idx="65">
                  <c:v>0.17714285714285713</c:v>
                </c:pt>
                <c:pt idx="66">
                  <c:v>0.18130841121495328</c:v>
                </c:pt>
                <c:pt idx="67">
                  <c:v>0.18265682656826568</c:v>
                </c:pt>
                <c:pt idx="68">
                  <c:v>0.18181818181818182</c:v>
                </c:pt>
                <c:pt idx="69">
                  <c:v>0.17921146953405018</c:v>
                </c:pt>
                <c:pt idx="70">
                  <c:v>0.18356643356643357</c:v>
                </c:pt>
                <c:pt idx="71">
                  <c:v>0.18588640275387264</c:v>
                </c:pt>
                <c:pt idx="72">
                  <c:v>0.18568994889267462</c:v>
                </c:pt>
                <c:pt idx="73">
                  <c:v>0.18456375838926176</c:v>
                </c:pt>
                <c:pt idx="74">
                  <c:v>0.18573797678275289</c:v>
                </c:pt>
                <c:pt idx="75">
                  <c:v>0.18360655737704917</c:v>
                </c:pt>
                <c:pt idx="76">
                  <c:v>0.1821138211382114</c:v>
                </c:pt>
                <c:pt idx="77">
                  <c:v>0.18006430868167203</c:v>
                </c:pt>
                <c:pt idx="78">
                  <c:v>0.17767295597484276</c:v>
                </c:pt>
                <c:pt idx="79">
                  <c:v>0.17674418604651163</c:v>
                </c:pt>
                <c:pt idx="80">
                  <c:v>0.17484662576687116</c:v>
                </c:pt>
                <c:pt idx="81">
                  <c:v>0.17496229260935142</c:v>
                </c:pt>
                <c:pt idx="82">
                  <c:v>0.17533432392273401</c:v>
                </c:pt>
                <c:pt idx="83">
                  <c:v>0.17474302496328928</c:v>
                </c:pt>
                <c:pt idx="84">
                  <c:v>0.17681159420289855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2290502793296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まっつん2!$O$3:$O$87</c:f>
              <c:numCache>
                <c:formatCode>0.0%</c:formatCode>
                <c:ptCount val="85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  <c:pt idx="52">
                  <c:v>0.6696428571428571</c:v>
                </c:pt>
                <c:pt idx="53">
                  <c:v>0.67826086956521736</c:v>
                </c:pt>
                <c:pt idx="54">
                  <c:v>0.66666666666666663</c:v>
                </c:pt>
                <c:pt idx="55">
                  <c:v>0.67479674796747968</c:v>
                </c:pt>
                <c:pt idx="56">
                  <c:v>0.68</c:v>
                </c:pt>
                <c:pt idx="57">
                  <c:v>0.6875</c:v>
                </c:pt>
                <c:pt idx="58">
                  <c:v>0.66917293233082709</c:v>
                </c:pt>
                <c:pt idx="59">
                  <c:v>0.65957446808510634</c:v>
                </c:pt>
                <c:pt idx="60">
                  <c:v>0.65734265734265729</c:v>
                </c:pt>
                <c:pt idx="61">
                  <c:v>0.65277777777777779</c:v>
                </c:pt>
                <c:pt idx="62">
                  <c:v>0.65306122448979587</c:v>
                </c:pt>
                <c:pt idx="63">
                  <c:v>0.64</c:v>
                </c:pt>
                <c:pt idx="64">
                  <c:v>0.64052287581699341</c:v>
                </c:pt>
                <c:pt idx="65">
                  <c:v>0.64516129032258063</c:v>
                </c:pt>
                <c:pt idx="66">
                  <c:v>0.64102564102564108</c:v>
                </c:pt>
                <c:pt idx="67">
                  <c:v>0.63694267515923564</c:v>
                </c:pt>
                <c:pt idx="68">
                  <c:v>0.63749999999999996</c:v>
                </c:pt>
                <c:pt idx="69">
                  <c:v>0.64242424242424245</c:v>
                </c:pt>
                <c:pt idx="70">
                  <c:v>0.6428571428571429</c:v>
                </c:pt>
                <c:pt idx="71">
                  <c:v>0.63742690058479534</c:v>
                </c:pt>
                <c:pt idx="72">
                  <c:v>0.63742690058479534</c:v>
                </c:pt>
                <c:pt idx="73">
                  <c:v>0.63583815028901736</c:v>
                </c:pt>
                <c:pt idx="74">
                  <c:v>0.62857142857142856</c:v>
                </c:pt>
                <c:pt idx="75">
                  <c:v>0.6292134831460674</c:v>
                </c:pt>
                <c:pt idx="76">
                  <c:v>0.61878453038674031</c:v>
                </c:pt>
                <c:pt idx="77">
                  <c:v>0.61621621621621625</c:v>
                </c:pt>
                <c:pt idx="78">
                  <c:v>0.60962566844919786</c:v>
                </c:pt>
                <c:pt idx="79">
                  <c:v>0.60526315789473684</c:v>
                </c:pt>
                <c:pt idx="80">
                  <c:v>0.60309278350515461</c:v>
                </c:pt>
                <c:pt idx="81">
                  <c:v>0.61111111111111116</c:v>
                </c:pt>
                <c:pt idx="82">
                  <c:v>0.60804020100502509</c:v>
                </c:pt>
                <c:pt idx="83">
                  <c:v>0.60499999999999998</c:v>
                </c:pt>
                <c:pt idx="84">
                  <c:v>0.60499999999999998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099210822998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まっつん2!$P$3:$P$87</c:f>
              <c:numCache>
                <c:formatCode>0.0%</c:formatCode>
                <c:ptCount val="85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  <c:pt idx="52">
                  <c:v>0.379746835443038</c:v>
                </c:pt>
                <c:pt idx="53">
                  <c:v>0.37037037037037035</c:v>
                </c:pt>
                <c:pt idx="54">
                  <c:v>0.37349397590361444</c:v>
                </c:pt>
                <c:pt idx="55">
                  <c:v>0.38095238095238093</c:v>
                </c:pt>
                <c:pt idx="56">
                  <c:v>0.38095238095238093</c:v>
                </c:pt>
                <c:pt idx="57">
                  <c:v>0.38372093023255816</c:v>
                </c:pt>
                <c:pt idx="58">
                  <c:v>0.37931034482758619</c:v>
                </c:pt>
                <c:pt idx="59">
                  <c:v>0.375</c:v>
                </c:pt>
                <c:pt idx="60">
                  <c:v>0.375</c:v>
                </c:pt>
                <c:pt idx="61">
                  <c:v>0.36666666666666664</c:v>
                </c:pt>
                <c:pt idx="62">
                  <c:v>0.36666666666666664</c:v>
                </c:pt>
                <c:pt idx="63">
                  <c:v>0.36263736263736263</c:v>
                </c:pt>
                <c:pt idx="64">
                  <c:v>0.36263736263736263</c:v>
                </c:pt>
                <c:pt idx="65">
                  <c:v>0.35483870967741937</c:v>
                </c:pt>
                <c:pt idx="66">
                  <c:v>0.35051546391752575</c:v>
                </c:pt>
                <c:pt idx="67">
                  <c:v>0.34343434343434343</c:v>
                </c:pt>
                <c:pt idx="68">
                  <c:v>0.34</c:v>
                </c:pt>
                <c:pt idx="69">
                  <c:v>0.34</c:v>
                </c:pt>
                <c:pt idx="70">
                  <c:v>0.33333333333333331</c:v>
                </c:pt>
                <c:pt idx="71">
                  <c:v>0.34259259259259262</c:v>
                </c:pt>
                <c:pt idx="72">
                  <c:v>0.33944954128440369</c:v>
                </c:pt>
                <c:pt idx="73">
                  <c:v>0.33636363636363636</c:v>
                </c:pt>
                <c:pt idx="74">
                  <c:v>0.33035714285714285</c:v>
                </c:pt>
                <c:pt idx="75">
                  <c:v>0.33035714285714285</c:v>
                </c:pt>
                <c:pt idx="76">
                  <c:v>0.33035714285714285</c:v>
                </c:pt>
                <c:pt idx="77">
                  <c:v>0.33035714285714285</c:v>
                </c:pt>
                <c:pt idx="78">
                  <c:v>0.33628318584070799</c:v>
                </c:pt>
                <c:pt idx="79">
                  <c:v>0.33333333333333331</c:v>
                </c:pt>
                <c:pt idx="80">
                  <c:v>0.33333333333333331</c:v>
                </c:pt>
                <c:pt idx="81">
                  <c:v>0.33620689655172414</c:v>
                </c:pt>
                <c:pt idx="82">
                  <c:v>0.34745762711864409</c:v>
                </c:pt>
                <c:pt idx="83">
                  <c:v>0.34453781512605042</c:v>
                </c:pt>
                <c:pt idx="84">
                  <c:v>0.33606557377049179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3274853801169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まっつん2!$Q$3:$Q$87</c:f>
              <c:numCache>
                <c:formatCode>0.0%</c:formatCode>
                <c:ptCount val="85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  <c:pt idx="52">
                  <c:v>0.43307086614173229</c:v>
                </c:pt>
                <c:pt idx="53">
                  <c:v>0.43076923076923079</c:v>
                </c:pt>
                <c:pt idx="54">
                  <c:v>0.42537313432835822</c:v>
                </c:pt>
                <c:pt idx="55">
                  <c:v>0.42753623188405798</c:v>
                </c:pt>
                <c:pt idx="56">
                  <c:v>0.42142857142857143</c:v>
                </c:pt>
                <c:pt idx="57">
                  <c:v>0.43055555555555558</c:v>
                </c:pt>
                <c:pt idx="58">
                  <c:v>0.43448275862068964</c:v>
                </c:pt>
                <c:pt idx="59">
                  <c:v>0.44295302013422821</c:v>
                </c:pt>
                <c:pt idx="60">
                  <c:v>0.44736842105263158</c:v>
                </c:pt>
                <c:pt idx="61">
                  <c:v>0.44736842105263158</c:v>
                </c:pt>
                <c:pt idx="62">
                  <c:v>0.44805194805194803</c:v>
                </c:pt>
                <c:pt idx="63">
                  <c:v>0.44805194805194803</c:v>
                </c:pt>
                <c:pt idx="64">
                  <c:v>0.45222929936305734</c:v>
                </c:pt>
                <c:pt idx="65">
                  <c:v>0.44654088050314467</c:v>
                </c:pt>
                <c:pt idx="66">
                  <c:v>0.44374999999999998</c:v>
                </c:pt>
                <c:pt idx="67">
                  <c:v>0.44374999999999998</c:v>
                </c:pt>
                <c:pt idx="68">
                  <c:v>0.43827160493827161</c:v>
                </c:pt>
                <c:pt idx="69">
                  <c:v>0.43975903614457829</c:v>
                </c:pt>
                <c:pt idx="70">
                  <c:v>0.44705882352941179</c:v>
                </c:pt>
                <c:pt idx="71">
                  <c:v>0.44508670520231214</c:v>
                </c:pt>
                <c:pt idx="72">
                  <c:v>0.44508670520231214</c:v>
                </c:pt>
                <c:pt idx="73">
                  <c:v>0.44252873563218392</c:v>
                </c:pt>
                <c:pt idx="74">
                  <c:v>0.44252873563218392</c:v>
                </c:pt>
                <c:pt idx="75">
                  <c:v>0.4375</c:v>
                </c:pt>
                <c:pt idx="76">
                  <c:v>0.4375</c:v>
                </c:pt>
                <c:pt idx="77">
                  <c:v>0.43820224719101125</c:v>
                </c:pt>
                <c:pt idx="78">
                  <c:v>0.43646408839779005</c:v>
                </c:pt>
                <c:pt idx="79">
                  <c:v>0.43956043956043955</c:v>
                </c:pt>
                <c:pt idx="80">
                  <c:v>0.43783783783783786</c:v>
                </c:pt>
                <c:pt idx="81">
                  <c:v>0.43157894736842106</c:v>
                </c:pt>
                <c:pt idx="82">
                  <c:v>0.42708333333333331</c:v>
                </c:pt>
                <c:pt idx="83">
                  <c:v>0.42708333333333331</c:v>
                </c:pt>
                <c:pt idx="84">
                  <c:v>0.42487046632124353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213728549141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0"/>
      <c r="C1" s="151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2">
        <v>0</v>
      </c>
      <c r="C2" s="153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4">
        <v>0</v>
      </c>
      <c r="C3" s="155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6">
        <v>0</v>
      </c>
      <c r="C4" s="157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8">
        <f>IF(B$2=0,0,B$4/B$2)</f>
        <v>0</v>
      </c>
      <c r="C5" s="159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8">
        <f>IF(B$2=0,0,(B$7*1+B$8*2+B$9*3)/B$2)</f>
        <v>0</v>
      </c>
      <c r="C6" s="149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6">
        <v>0</v>
      </c>
      <c r="C25" s="147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4">
        <v>0</v>
      </c>
      <c r="C26" s="145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82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  <row r="60" spans="1:7" x14ac:dyDescent="0.4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43624.873993055553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43625.885787037034</v>
      </c>
      <c r="C62" s="30" t="s">
        <v>130</v>
      </c>
    </row>
    <row r="63" spans="1:7" x14ac:dyDescent="0.4">
      <c r="A63" s="30" t="s">
        <v>253</v>
      </c>
      <c r="B63" s="31">
        <v>43627.998032407406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43636.961435185185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43630.051932870374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43632.957395833335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43632.957395833335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43633.013645833336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43636.961435185185</v>
      </c>
      <c r="C69" s="30" t="s">
        <v>130</v>
      </c>
    </row>
    <row r="70" spans="1:6" x14ac:dyDescent="0.4">
      <c r="A70" s="30" t="s">
        <v>260</v>
      </c>
      <c r="B70" s="31">
        <v>43636.961435185185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43642.023356481484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43643.036689814813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43644.044224537036</v>
      </c>
      <c r="C73" s="30" t="s">
        <v>130</v>
      </c>
    </row>
    <row r="74" spans="1:6" x14ac:dyDescent="0.4">
      <c r="A74" s="30" t="s">
        <v>264</v>
      </c>
      <c r="B74" s="31">
        <v>43644.021412037036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43647.957407407404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43647.957407407404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43647.957407407404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268</v>
      </c>
      <c r="B78" s="31">
        <v>43647.957407407404</v>
      </c>
      <c r="C78" s="30" t="s">
        <v>130</v>
      </c>
      <c r="D78" s="30" t="s">
        <v>131</v>
      </c>
    </row>
    <row r="79" spans="1:6" x14ac:dyDescent="0.4">
      <c r="A79" s="30" t="s">
        <v>269</v>
      </c>
      <c r="B79" s="31">
        <v>43647.957407407404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43649.374351851853</v>
      </c>
      <c r="C80" s="30" t="s">
        <v>130</v>
      </c>
      <c r="D80" s="30" t="s">
        <v>131</v>
      </c>
    </row>
    <row r="81" spans="1:5" x14ac:dyDescent="0.4">
      <c r="A81" s="30" t="s">
        <v>272</v>
      </c>
      <c r="B81" s="31">
        <v>43650.940601851849</v>
      </c>
      <c r="C81" s="30" t="s">
        <v>130</v>
      </c>
      <c r="D81" s="30" t="s">
        <v>131</v>
      </c>
      <c r="E81" s="30" t="s">
        <v>169</v>
      </c>
    </row>
    <row r="82" spans="1:5" x14ac:dyDescent="0.4">
      <c r="A82" s="30" t="s">
        <v>273</v>
      </c>
      <c r="B82" s="31">
        <v>43651.059791666667</v>
      </c>
      <c r="C82" s="30" t="s">
        <v>130</v>
      </c>
      <c r="D82" s="30" t="s">
        <v>131</v>
      </c>
      <c r="E82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774</v>
      </c>
    </row>
    <row r="2" spans="1:2" x14ac:dyDescent="0.4">
      <c r="A2" t="s">
        <v>127</v>
      </c>
      <c r="B2">
        <v>164</v>
      </c>
    </row>
    <row r="3" spans="1:2" x14ac:dyDescent="0.4">
      <c r="A3" t="s">
        <v>128</v>
      </c>
      <c r="B3">
        <v>134</v>
      </c>
    </row>
    <row r="4" spans="1:2" x14ac:dyDescent="0.4">
      <c r="A4" t="s">
        <v>129</v>
      </c>
      <c r="B4">
        <v>107</v>
      </c>
    </row>
    <row r="5" spans="1:2" x14ac:dyDescent="0.4">
      <c r="A5" t="s">
        <v>171</v>
      </c>
      <c r="B5">
        <v>96</v>
      </c>
    </row>
    <row r="6" spans="1:2" x14ac:dyDescent="0.4">
      <c r="A6" t="s">
        <v>172</v>
      </c>
      <c r="B6">
        <v>90</v>
      </c>
    </row>
    <row r="7" spans="1:2" x14ac:dyDescent="0.4">
      <c r="A7" t="s">
        <v>173</v>
      </c>
      <c r="B7">
        <v>49</v>
      </c>
    </row>
    <row r="8" spans="1:2" x14ac:dyDescent="0.4">
      <c r="A8" t="s">
        <v>177</v>
      </c>
      <c r="B8">
        <v>84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22</v>
      </c>
    </row>
    <row r="11" spans="1:2" x14ac:dyDescent="0.4">
      <c r="A11" t="s">
        <v>200</v>
      </c>
      <c r="B11">
        <v>16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64">
        <v>0.96756343103595499</v>
      </c>
      <c r="G2" s="165"/>
      <c r="H2" s="164">
        <v>0.63627090613879966</v>
      </c>
      <c r="I2" s="165"/>
      <c r="J2" s="164">
        <v>0.90962488037230349</v>
      </c>
      <c r="K2" s="165"/>
      <c r="L2" s="164">
        <v>0.69146038350403971</v>
      </c>
      <c r="M2" s="165"/>
      <c r="N2" s="164">
        <v>0.70284714422170791</v>
      </c>
      <c r="O2" s="165"/>
      <c r="P2" s="164">
        <v>0.25720873155282625</v>
      </c>
      <c r="Q2" s="165"/>
      <c r="R2" s="164">
        <v>0.54107333054506535</v>
      </c>
      <c r="S2" s="165"/>
      <c r="T2" s="164">
        <v>0.64935008236847003</v>
      </c>
      <c r="U2" s="165"/>
      <c r="V2" s="164">
        <v>0.56512961452165555</v>
      </c>
      <c r="W2" s="165"/>
      <c r="X2" s="164">
        <v>0.50970306871779447</v>
      </c>
      <c r="Y2" s="165"/>
      <c r="Z2" s="164">
        <v>0.14059232646317699</v>
      </c>
      <c r="AA2" s="165"/>
      <c r="AB2" s="164">
        <v>-1.6757183691564984E-2</v>
      </c>
      <c r="AC2" s="165"/>
      <c r="AD2" s="164">
        <v>0.71032158154282687</v>
      </c>
      <c r="AE2" s="165"/>
      <c r="AF2" s="164">
        <v>-5.7303160998171346E-3</v>
      </c>
      <c r="AG2" s="165"/>
      <c r="AH2" s="164">
        <v>0.8381500622404654</v>
      </c>
      <c r="AI2" s="165"/>
    </row>
    <row r="3" spans="1:35" x14ac:dyDescent="0.4">
      <c r="A3" s="74">
        <v>1</v>
      </c>
      <c r="B3" s="75" t="s">
        <v>127</v>
      </c>
      <c r="C3" s="76">
        <v>1985.5000000000005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200</v>
      </c>
      <c r="M3" s="80">
        <v>0.35333333333333333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0.31356560415122314</v>
      </c>
      <c r="Z3" s="77" t="s">
        <v>271</v>
      </c>
      <c r="AA3" s="80">
        <v>0.47619047619047616</v>
      </c>
      <c r="AB3" s="77" t="s">
        <v>271</v>
      </c>
      <c r="AC3" s="80">
        <v>1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131.69999999999993</v>
      </c>
      <c r="D4" s="85" t="s">
        <v>223</v>
      </c>
      <c r="E4" s="97">
        <v>16.733333333333331</v>
      </c>
      <c r="F4" s="85" t="s">
        <v>127</v>
      </c>
      <c r="G4" s="86">
        <v>1.7621951219512195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223</v>
      </c>
      <c r="M4" s="88">
        <v>0.34782608695652173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-6140</v>
      </c>
      <c r="T4" s="85" t="s">
        <v>222</v>
      </c>
      <c r="U4" s="87">
        <v>0</v>
      </c>
      <c r="V4" s="85" t="s">
        <v>127</v>
      </c>
      <c r="W4" s="87">
        <v>0.17682926829268292</v>
      </c>
      <c r="X4" s="85" t="s">
        <v>128</v>
      </c>
      <c r="Y4" s="88">
        <v>0.29936305732484075</v>
      </c>
      <c r="Z4" s="85" t="s">
        <v>223</v>
      </c>
      <c r="AA4" s="88">
        <v>0.36956521739130432</v>
      </c>
      <c r="AB4" s="85" t="s">
        <v>223</v>
      </c>
      <c r="AC4" s="88">
        <v>0.7142857142857143</v>
      </c>
      <c r="AD4" s="85" t="s">
        <v>127</v>
      </c>
      <c r="AE4" s="88">
        <v>0.52112676056338025</v>
      </c>
      <c r="AF4" s="85" t="s">
        <v>200</v>
      </c>
      <c r="AG4" s="88">
        <v>0.60377358490566035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223</v>
      </c>
      <c r="C5" s="84">
        <v>100.39999999999999</v>
      </c>
      <c r="D5" s="85" t="s">
        <v>222</v>
      </c>
      <c r="E5" s="97">
        <v>13.3</v>
      </c>
      <c r="F5" s="85" t="s">
        <v>200</v>
      </c>
      <c r="G5" s="86">
        <v>1.8125</v>
      </c>
      <c r="H5" s="85" t="s">
        <v>127</v>
      </c>
      <c r="I5" s="87">
        <v>0.47560975609756095</v>
      </c>
      <c r="J5" s="85" t="s">
        <v>200</v>
      </c>
      <c r="K5" s="87">
        <v>0.1875</v>
      </c>
      <c r="L5" s="85" t="s">
        <v>172</v>
      </c>
      <c r="M5" s="88">
        <v>0.34473684210526317</v>
      </c>
      <c r="N5" s="85" t="s">
        <v>223</v>
      </c>
      <c r="O5" s="88">
        <v>0.13043478260869565</v>
      </c>
      <c r="P5" s="85" t="s">
        <v>171</v>
      </c>
      <c r="Q5" s="89">
        <v>9990.7488986784138</v>
      </c>
      <c r="R5" s="85" t="s">
        <v>177</v>
      </c>
      <c r="S5" s="89">
        <v>-7048.5436893203887</v>
      </c>
      <c r="T5" s="85" t="s">
        <v>223</v>
      </c>
      <c r="U5" s="87">
        <v>0</v>
      </c>
      <c r="V5" s="85" t="s">
        <v>171</v>
      </c>
      <c r="W5" s="87">
        <v>0.14583333333333334</v>
      </c>
      <c r="X5" s="85" t="s">
        <v>171</v>
      </c>
      <c r="Y5" s="88">
        <v>0.2908863920099875</v>
      </c>
      <c r="Z5" s="85" t="s">
        <v>200</v>
      </c>
      <c r="AA5" s="88">
        <v>0.33333333333333331</v>
      </c>
      <c r="AB5" s="85" t="s">
        <v>184</v>
      </c>
      <c r="AC5" s="88">
        <v>0.65789473684210531</v>
      </c>
      <c r="AD5" s="85" t="s">
        <v>183</v>
      </c>
      <c r="AE5" s="88">
        <v>0.5</v>
      </c>
      <c r="AF5" s="85" t="s">
        <v>173</v>
      </c>
      <c r="AG5" s="88">
        <v>0.50406504065040647</v>
      </c>
      <c r="AH5" s="85" t="s">
        <v>128</v>
      </c>
      <c r="AI5" s="92">
        <v>107600</v>
      </c>
    </row>
    <row r="6" spans="1:35" x14ac:dyDescent="0.4">
      <c r="A6" s="82">
        <v>4</v>
      </c>
      <c r="B6" s="83" t="s">
        <v>200</v>
      </c>
      <c r="C6" s="84">
        <v>99.6</v>
      </c>
      <c r="D6" s="85" t="s">
        <v>127</v>
      </c>
      <c r="E6" s="97">
        <v>12.106707317073173</v>
      </c>
      <c r="F6" s="85" t="s">
        <v>223</v>
      </c>
      <c r="G6" s="86">
        <v>1.8333333333333333</v>
      </c>
      <c r="H6" s="85" t="s">
        <v>200</v>
      </c>
      <c r="I6" s="87">
        <v>0.375</v>
      </c>
      <c r="J6" s="85" t="s">
        <v>127</v>
      </c>
      <c r="K6" s="87">
        <v>0.23780487804878048</v>
      </c>
      <c r="L6" s="85" t="s">
        <v>127</v>
      </c>
      <c r="M6" s="88">
        <v>0.34025203854707192</v>
      </c>
      <c r="N6" s="85" t="s">
        <v>172</v>
      </c>
      <c r="O6" s="88">
        <v>0.14210526315789473</v>
      </c>
      <c r="P6" s="85" t="s">
        <v>127</v>
      </c>
      <c r="Q6" s="89">
        <v>9294.3355119825701</v>
      </c>
      <c r="R6" s="85" t="s">
        <v>128</v>
      </c>
      <c r="S6" s="89">
        <v>-7700.5263157894733</v>
      </c>
      <c r="T6" s="85" t="s">
        <v>271</v>
      </c>
      <c r="U6" s="87">
        <v>0</v>
      </c>
      <c r="V6" s="85" t="s">
        <v>177</v>
      </c>
      <c r="W6" s="87">
        <v>0.13095238095238096</v>
      </c>
      <c r="X6" s="85" t="s">
        <v>177</v>
      </c>
      <c r="Y6" s="88">
        <v>0.28985507246376813</v>
      </c>
      <c r="Z6" s="85" t="s">
        <v>172</v>
      </c>
      <c r="AA6" s="88">
        <v>0.29078947368421054</v>
      </c>
      <c r="AB6" s="85" t="s">
        <v>200</v>
      </c>
      <c r="AC6" s="88">
        <v>0.63888888888888884</v>
      </c>
      <c r="AD6" s="85" t="s">
        <v>200</v>
      </c>
      <c r="AE6" s="88">
        <v>0.44</v>
      </c>
      <c r="AF6" s="85" t="s">
        <v>222</v>
      </c>
      <c r="AG6" s="88">
        <v>0.5</v>
      </c>
      <c r="AH6" s="85" t="s">
        <v>200</v>
      </c>
      <c r="AI6" s="92">
        <v>106300</v>
      </c>
    </row>
    <row r="7" spans="1:35" x14ac:dyDescent="0.4">
      <c r="A7" s="82">
        <v>5</v>
      </c>
      <c r="B7" s="83" t="s">
        <v>183</v>
      </c>
      <c r="C7" s="84">
        <v>61</v>
      </c>
      <c r="D7" s="85" t="s">
        <v>200</v>
      </c>
      <c r="E7" s="97">
        <v>6.2249999999999996</v>
      </c>
      <c r="F7" s="85" t="s">
        <v>177</v>
      </c>
      <c r="G7" s="86">
        <v>1.9642857142857142</v>
      </c>
      <c r="H7" s="85" t="s">
        <v>184</v>
      </c>
      <c r="I7" s="87">
        <v>0.36363636363636365</v>
      </c>
      <c r="J7" s="85" t="s">
        <v>172</v>
      </c>
      <c r="K7" s="87">
        <v>0.3</v>
      </c>
      <c r="L7" s="85" t="s">
        <v>145</v>
      </c>
      <c r="M7" s="88">
        <v>0.2984171322160149</v>
      </c>
      <c r="N7" s="85" t="s">
        <v>177</v>
      </c>
      <c r="O7" s="88">
        <v>0.14927536231884059</v>
      </c>
      <c r="P7" s="85" t="s">
        <v>128</v>
      </c>
      <c r="Q7" s="89">
        <v>9292.9292929292933</v>
      </c>
      <c r="R7" s="85" t="s">
        <v>127</v>
      </c>
      <c r="S7" s="89">
        <v>-8188.9423076923076</v>
      </c>
      <c r="T7" s="85" t="s">
        <v>172</v>
      </c>
      <c r="U7" s="87">
        <v>5.5555555555555552E-2</v>
      </c>
      <c r="V7" s="85" t="s">
        <v>145</v>
      </c>
      <c r="W7" s="87">
        <v>0.12403100775193798</v>
      </c>
      <c r="X7" s="85" t="s">
        <v>145</v>
      </c>
      <c r="Y7" s="88">
        <v>0.27529484792054626</v>
      </c>
      <c r="Z7" s="85" t="s">
        <v>173</v>
      </c>
      <c r="AA7" s="88">
        <v>0.24881516587677724</v>
      </c>
      <c r="AB7" s="85" t="s">
        <v>177</v>
      </c>
      <c r="AC7" s="88">
        <v>0.60499999999999998</v>
      </c>
      <c r="AD7" s="85" t="s">
        <v>172</v>
      </c>
      <c r="AE7" s="88">
        <v>0.42533936651583709</v>
      </c>
      <c r="AF7" s="85" t="s">
        <v>184</v>
      </c>
      <c r="AG7" s="88">
        <v>0.47826086956521741</v>
      </c>
      <c r="AH7" s="85" t="s">
        <v>177</v>
      </c>
      <c r="AI7" s="92">
        <v>103000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177</v>
      </c>
      <c r="E8" s="97">
        <v>1.5678571428571419</v>
      </c>
      <c r="F8" s="85" t="s">
        <v>145</v>
      </c>
      <c r="G8" s="86">
        <v>2</v>
      </c>
      <c r="H8" s="85" t="s">
        <v>177</v>
      </c>
      <c r="I8" s="87">
        <v>0.34523809523809523</v>
      </c>
      <c r="J8" s="85" t="s">
        <v>177</v>
      </c>
      <c r="K8" s="87">
        <v>0.30952380952380953</v>
      </c>
      <c r="L8" s="85" t="s">
        <v>173</v>
      </c>
      <c r="M8" s="88">
        <v>0.29146919431279622</v>
      </c>
      <c r="N8" s="85" t="s">
        <v>127</v>
      </c>
      <c r="O8" s="88">
        <v>0.15418828762045961</v>
      </c>
      <c r="P8" s="85" t="s">
        <v>177</v>
      </c>
      <c r="Q8" s="89">
        <v>8861.6580310880836</v>
      </c>
      <c r="R8" s="85" t="s">
        <v>145</v>
      </c>
      <c r="S8" s="89">
        <v>-8298.3271375464683</v>
      </c>
      <c r="T8" s="85" t="s">
        <v>127</v>
      </c>
      <c r="U8" s="87">
        <v>9.1463414634146339E-2</v>
      </c>
      <c r="V8" s="85" t="s">
        <v>172</v>
      </c>
      <c r="W8" s="87">
        <v>0.1111111111111111</v>
      </c>
      <c r="X8" s="85" t="s">
        <v>129</v>
      </c>
      <c r="Y8" s="88">
        <v>0.26622662266226621</v>
      </c>
      <c r="Z8" s="85" t="s">
        <v>184</v>
      </c>
      <c r="AA8" s="88">
        <v>0.24848484848484848</v>
      </c>
      <c r="AB8" s="85" t="s">
        <v>183</v>
      </c>
      <c r="AC8" s="88">
        <v>0.6</v>
      </c>
      <c r="AD8" s="85" t="s">
        <v>171</v>
      </c>
      <c r="AE8" s="88">
        <v>0.41025641025641024</v>
      </c>
      <c r="AF8" s="85" t="s">
        <v>129</v>
      </c>
      <c r="AG8" s="88">
        <v>0.44915254237288138</v>
      </c>
      <c r="AH8" s="85" t="s">
        <v>172</v>
      </c>
      <c r="AI8" s="92">
        <v>97500</v>
      </c>
    </row>
    <row r="9" spans="1:35" x14ac:dyDescent="0.4">
      <c r="A9" s="82">
        <v>7</v>
      </c>
      <c r="B9" s="83" t="s">
        <v>145</v>
      </c>
      <c r="C9" s="84">
        <v>2.1316282072803006E-14</v>
      </c>
      <c r="D9" s="85" t="s">
        <v>145</v>
      </c>
      <c r="E9" s="97">
        <v>2.7540416114732565E-17</v>
      </c>
      <c r="F9" s="85" t="s">
        <v>222</v>
      </c>
      <c r="G9" s="86">
        <v>2</v>
      </c>
      <c r="H9" s="85" t="s">
        <v>145</v>
      </c>
      <c r="I9" s="87">
        <v>0.33333333333333331</v>
      </c>
      <c r="J9" s="85" t="s">
        <v>145</v>
      </c>
      <c r="K9" s="87">
        <v>0.33333333333333331</v>
      </c>
      <c r="L9" s="85" t="s">
        <v>171</v>
      </c>
      <c r="M9" s="88">
        <v>0.28339575530586769</v>
      </c>
      <c r="N9" s="85" t="s">
        <v>200</v>
      </c>
      <c r="O9" s="88">
        <v>0.16666666666666666</v>
      </c>
      <c r="P9" s="85" t="s">
        <v>145</v>
      </c>
      <c r="Q9" s="89">
        <v>8748.4659386375461</v>
      </c>
      <c r="R9" s="85" t="s">
        <v>173</v>
      </c>
      <c r="S9" s="89">
        <v>-8300</v>
      </c>
      <c r="T9" s="85" t="s">
        <v>171</v>
      </c>
      <c r="U9" s="87">
        <v>0.11458333333333333</v>
      </c>
      <c r="V9" s="85" t="s">
        <v>128</v>
      </c>
      <c r="W9" s="87">
        <v>0.1044776119402985</v>
      </c>
      <c r="X9" s="85" t="s">
        <v>183</v>
      </c>
      <c r="Y9" s="88">
        <v>0.26315789473684209</v>
      </c>
      <c r="Z9" s="85" t="s">
        <v>145</v>
      </c>
      <c r="AA9" s="88">
        <v>0.21229050279329609</v>
      </c>
      <c r="AB9" s="85" t="s">
        <v>128</v>
      </c>
      <c r="AC9" s="88">
        <v>0.59270516717325228</v>
      </c>
      <c r="AD9" s="85" t="s">
        <v>145</v>
      </c>
      <c r="AE9" s="88">
        <v>0.39327485380116961</v>
      </c>
      <c r="AF9" s="85" t="s">
        <v>145</v>
      </c>
      <c r="AG9" s="88">
        <v>0.43213728549141966</v>
      </c>
      <c r="AH9" s="85" t="s">
        <v>129</v>
      </c>
      <c r="AI9" s="92">
        <v>96900</v>
      </c>
    </row>
    <row r="10" spans="1:35" x14ac:dyDescent="0.4">
      <c r="A10" s="82">
        <v>8</v>
      </c>
      <c r="B10" s="83" t="s">
        <v>171</v>
      </c>
      <c r="C10" s="84">
        <v>-48.599999999999987</v>
      </c>
      <c r="D10" s="85" t="s">
        <v>171</v>
      </c>
      <c r="E10" s="97">
        <v>-0.50624999999999987</v>
      </c>
      <c r="F10" s="85" t="s">
        <v>172</v>
      </c>
      <c r="G10" s="86">
        <v>2.0444444444444443</v>
      </c>
      <c r="H10" s="85" t="s">
        <v>171</v>
      </c>
      <c r="I10" s="87">
        <v>0.30208333333333331</v>
      </c>
      <c r="J10" s="85" t="s">
        <v>223</v>
      </c>
      <c r="K10" s="87">
        <v>0.33333333333333331</v>
      </c>
      <c r="L10" s="85" t="s">
        <v>177</v>
      </c>
      <c r="M10" s="88">
        <v>0.27971014492753621</v>
      </c>
      <c r="N10" s="85" t="s">
        <v>145</v>
      </c>
      <c r="O10" s="88">
        <v>0.1669770328988206</v>
      </c>
      <c r="P10" s="85" t="s">
        <v>129</v>
      </c>
      <c r="Q10" s="89">
        <v>8735.1694915254229</v>
      </c>
      <c r="R10" s="85" t="s">
        <v>200</v>
      </c>
      <c r="S10" s="89">
        <v>-8416</v>
      </c>
      <c r="T10" s="85" t="s">
        <v>145</v>
      </c>
      <c r="U10" s="87">
        <v>0.12403100775193798</v>
      </c>
      <c r="V10" s="85" t="s">
        <v>129</v>
      </c>
      <c r="W10" s="87">
        <v>9.3457943925233641E-2</v>
      </c>
      <c r="X10" s="85" t="s">
        <v>200</v>
      </c>
      <c r="Y10" s="88">
        <v>0.24</v>
      </c>
      <c r="Z10" s="85" t="s">
        <v>127</v>
      </c>
      <c r="AA10" s="88">
        <v>0.21052631578947367</v>
      </c>
      <c r="AB10" s="85" t="s">
        <v>173</v>
      </c>
      <c r="AC10" s="88">
        <v>0.58510638297872342</v>
      </c>
      <c r="AD10" s="85" t="s">
        <v>184</v>
      </c>
      <c r="AE10" s="88">
        <v>0.3902439024390244</v>
      </c>
      <c r="AF10" s="85" t="s">
        <v>128</v>
      </c>
      <c r="AG10" s="88">
        <v>0.42760942760942761</v>
      </c>
      <c r="AH10" s="85" t="s">
        <v>171</v>
      </c>
      <c r="AI10" s="92">
        <v>96000</v>
      </c>
    </row>
    <row r="11" spans="1:35" x14ac:dyDescent="0.4">
      <c r="A11" s="82">
        <v>9</v>
      </c>
      <c r="B11" s="83" t="s">
        <v>271</v>
      </c>
      <c r="C11" s="84">
        <v>-96.5</v>
      </c>
      <c r="D11" s="85" t="s">
        <v>172</v>
      </c>
      <c r="E11" s="97">
        <v>-1.364444444444445</v>
      </c>
      <c r="F11" s="85" t="s">
        <v>171</v>
      </c>
      <c r="G11" s="86">
        <v>2.0520833333333335</v>
      </c>
      <c r="H11" s="85" t="s">
        <v>173</v>
      </c>
      <c r="I11" s="87">
        <v>0.2857142857142857</v>
      </c>
      <c r="J11" s="85" t="s">
        <v>128</v>
      </c>
      <c r="K11" s="87">
        <v>0.34328358208955223</v>
      </c>
      <c r="L11" s="85" t="s">
        <v>184</v>
      </c>
      <c r="M11" s="88">
        <v>0.27878787878787881</v>
      </c>
      <c r="N11" s="85" t="s">
        <v>128</v>
      </c>
      <c r="O11" s="88">
        <v>0.17288444040036396</v>
      </c>
      <c r="P11" s="85" t="s">
        <v>184</v>
      </c>
      <c r="Q11" s="89">
        <v>8621.7391304347821</v>
      </c>
      <c r="R11" s="85" t="s">
        <v>172</v>
      </c>
      <c r="S11" s="89">
        <v>-8488.8888888888887</v>
      </c>
      <c r="T11" s="85" t="s">
        <v>200</v>
      </c>
      <c r="U11" s="87">
        <v>0.125</v>
      </c>
      <c r="V11" s="85" t="s">
        <v>184</v>
      </c>
      <c r="W11" s="87">
        <v>9.0909090909090912E-2</v>
      </c>
      <c r="X11" s="85" t="s">
        <v>222</v>
      </c>
      <c r="Y11" s="88">
        <v>0.23076923076923078</v>
      </c>
      <c r="Z11" s="85" t="s">
        <v>183</v>
      </c>
      <c r="AA11" s="88">
        <v>0.21052631578947367</v>
      </c>
      <c r="AB11" s="85" t="s">
        <v>145</v>
      </c>
      <c r="AC11" s="88">
        <v>0.57609921082299886</v>
      </c>
      <c r="AD11" s="85" t="s">
        <v>177</v>
      </c>
      <c r="AE11" s="88">
        <v>0.33606557377049179</v>
      </c>
      <c r="AF11" s="85" t="s">
        <v>177</v>
      </c>
      <c r="AG11" s="88">
        <v>0.42487046632124353</v>
      </c>
      <c r="AH11" s="85" t="s">
        <v>223</v>
      </c>
      <c r="AI11" s="92">
        <v>92100</v>
      </c>
    </row>
    <row r="12" spans="1:35" x14ac:dyDescent="0.4">
      <c r="A12" s="82">
        <v>10</v>
      </c>
      <c r="B12" s="83" t="s">
        <v>172</v>
      </c>
      <c r="C12" s="84">
        <v>-122.80000000000005</v>
      </c>
      <c r="D12" s="85" t="s">
        <v>128</v>
      </c>
      <c r="E12" s="97">
        <v>-2.5462686567164177</v>
      </c>
      <c r="F12" s="85" t="s">
        <v>128</v>
      </c>
      <c r="G12" s="86">
        <v>2.0746268656716418</v>
      </c>
      <c r="H12" s="85" t="s">
        <v>129</v>
      </c>
      <c r="I12" s="87">
        <v>0.28037383177570091</v>
      </c>
      <c r="J12" s="85" t="s">
        <v>171</v>
      </c>
      <c r="K12" s="87">
        <v>0.35416666666666669</v>
      </c>
      <c r="L12" s="85" t="s">
        <v>128</v>
      </c>
      <c r="M12" s="88">
        <v>0.27024567788899001</v>
      </c>
      <c r="N12" s="85" t="s">
        <v>171</v>
      </c>
      <c r="O12" s="88">
        <v>0.17852684144818975</v>
      </c>
      <c r="P12" s="85" t="s">
        <v>200</v>
      </c>
      <c r="Q12" s="89">
        <v>8041.5094339622638</v>
      </c>
      <c r="R12" s="85" t="s">
        <v>171</v>
      </c>
      <c r="S12" s="89">
        <v>-8548.9510489510485</v>
      </c>
      <c r="T12" s="85" t="s">
        <v>128</v>
      </c>
      <c r="U12" s="87">
        <v>0.13432835820895522</v>
      </c>
      <c r="V12" s="85" t="s">
        <v>200</v>
      </c>
      <c r="W12" s="87">
        <v>6.25E-2</v>
      </c>
      <c r="X12" s="85" t="s">
        <v>184</v>
      </c>
      <c r="Y12" s="88">
        <v>0.23030303030303031</v>
      </c>
      <c r="Z12" s="85" t="s">
        <v>171</v>
      </c>
      <c r="AA12" s="88">
        <v>0.19475655430711611</v>
      </c>
      <c r="AB12" s="85" t="s">
        <v>127</v>
      </c>
      <c r="AC12" s="88">
        <v>0.5721040189125296</v>
      </c>
      <c r="AD12" s="85" t="s">
        <v>173</v>
      </c>
      <c r="AE12" s="88">
        <v>0.33333333333333331</v>
      </c>
      <c r="AF12" s="85" t="s">
        <v>127</v>
      </c>
      <c r="AG12" s="88">
        <v>0.41830065359477125</v>
      </c>
      <c r="AH12" s="85" t="s">
        <v>184</v>
      </c>
      <c r="AI12" s="92">
        <v>92000</v>
      </c>
    </row>
    <row r="13" spans="1:35" x14ac:dyDescent="0.4">
      <c r="A13" s="82">
        <v>11</v>
      </c>
      <c r="B13" s="83" t="s">
        <v>184</v>
      </c>
      <c r="C13" s="84">
        <v>-264.39999999999998</v>
      </c>
      <c r="D13" s="85" t="s">
        <v>173</v>
      </c>
      <c r="E13" s="97">
        <v>-8.8367346938775508</v>
      </c>
      <c r="F13" s="85" t="s">
        <v>173</v>
      </c>
      <c r="G13" s="86">
        <v>2.1224489795918369</v>
      </c>
      <c r="H13" s="85" t="s">
        <v>128</v>
      </c>
      <c r="I13" s="87">
        <v>0.26865671641791045</v>
      </c>
      <c r="J13" s="85" t="s">
        <v>173</v>
      </c>
      <c r="K13" s="87">
        <v>0.40816326530612246</v>
      </c>
      <c r="L13" s="85" t="s">
        <v>183</v>
      </c>
      <c r="M13" s="88">
        <v>0.26315789473684209</v>
      </c>
      <c r="N13" s="85" t="s">
        <v>129</v>
      </c>
      <c r="O13" s="88">
        <v>0.18371837183718373</v>
      </c>
      <c r="P13" s="85" t="s">
        <v>183</v>
      </c>
      <c r="Q13" s="89">
        <v>7860</v>
      </c>
      <c r="R13" s="85" t="s">
        <v>129</v>
      </c>
      <c r="S13" s="89">
        <v>-9158.0838323353291</v>
      </c>
      <c r="T13" s="85" t="s">
        <v>173</v>
      </c>
      <c r="U13" s="87">
        <v>0.14285714285714285</v>
      </c>
      <c r="V13" s="85" t="s">
        <v>173</v>
      </c>
      <c r="W13" s="87">
        <v>6.1224489795918366E-2</v>
      </c>
      <c r="X13" s="85" t="s">
        <v>173</v>
      </c>
      <c r="Y13" s="88">
        <v>0.22274881516587677</v>
      </c>
      <c r="Z13" s="85" t="s">
        <v>129</v>
      </c>
      <c r="AA13" s="88">
        <v>0.18041804180418042</v>
      </c>
      <c r="AB13" s="85" t="s">
        <v>171</v>
      </c>
      <c r="AC13" s="88">
        <v>0.5622317596566524</v>
      </c>
      <c r="AD13" s="85" t="s">
        <v>128</v>
      </c>
      <c r="AE13" s="88">
        <v>0.29533678756476683</v>
      </c>
      <c r="AF13" s="85" t="s">
        <v>171</v>
      </c>
      <c r="AG13" s="88">
        <v>0.40528634361233479</v>
      </c>
      <c r="AH13" s="85" t="s">
        <v>173</v>
      </c>
      <c r="AI13" s="92">
        <v>85900</v>
      </c>
    </row>
    <row r="14" spans="1:35" x14ac:dyDescent="0.4">
      <c r="A14" s="82">
        <v>12</v>
      </c>
      <c r="B14" s="83" t="s">
        <v>128</v>
      </c>
      <c r="C14" s="84">
        <v>-341.2</v>
      </c>
      <c r="D14" s="85" t="s">
        <v>129</v>
      </c>
      <c r="E14" s="97">
        <v>-10.140186915887853</v>
      </c>
      <c r="F14" s="85" t="s">
        <v>129</v>
      </c>
      <c r="G14" s="86">
        <v>2.1588785046728973</v>
      </c>
      <c r="H14" s="85" t="s">
        <v>172</v>
      </c>
      <c r="I14" s="87">
        <v>0.25555555555555554</v>
      </c>
      <c r="J14" s="85" t="s">
        <v>129</v>
      </c>
      <c r="K14" s="87">
        <v>0.43925233644859812</v>
      </c>
      <c r="L14" s="85" t="s">
        <v>129</v>
      </c>
      <c r="M14" s="88">
        <v>0.25962596259625964</v>
      </c>
      <c r="N14" s="85" t="s">
        <v>173</v>
      </c>
      <c r="O14" s="88">
        <v>0.1872037914691943</v>
      </c>
      <c r="P14" s="85" t="s">
        <v>173</v>
      </c>
      <c r="Q14" s="89">
        <v>6913.8211382113823</v>
      </c>
      <c r="R14" s="85" t="s">
        <v>184</v>
      </c>
      <c r="S14" s="89">
        <v>-9879.4871794871797</v>
      </c>
      <c r="T14" s="85" t="s">
        <v>177</v>
      </c>
      <c r="U14" s="87">
        <v>0.14285714285714285</v>
      </c>
      <c r="V14" s="85" t="s">
        <v>183</v>
      </c>
      <c r="W14" s="87">
        <v>0</v>
      </c>
      <c r="X14" s="85" t="s">
        <v>172</v>
      </c>
      <c r="Y14" s="88">
        <v>0.21447368421052632</v>
      </c>
      <c r="Z14" s="85" t="s">
        <v>177</v>
      </c>
      <c r="AA14" s="88">
        <v>0.17681159420289855</v>
      </c>
      <c r="AB14" s="85" t="s">
        <v>172</v>
      </c>
      <c r="AC14" s="88">
        <v>0.55828220858895705</v>
      </c>
      <c r="AD14" s="85" t="s">
        <v>129</v>
      </c>
      <c r="AE14" s="88">
        <v>0.29268292682926828</v>
      </c>
      <c r="AF14" s="85" t="s">
        <v>172</v>
      </c>
      <c r="AG14" s="88">
        <v>0.3931297709923664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173</v>
      </c>
      <c r="C15" s="84">
        <v>-433</v>
      </c>
      <c r="D15" s="85" t="s">
        <v>184</v>
      </c>
      <c r="E15" s="97">
        <v>-12.018181818181818</v>
      </c>
      <c r="F15" s="85" t="s">
        <v>184</v>
      </c>
      <c r="G15" s="86">
        <v>2.1818181818181817</v>
      </c>
      <c r="H15" s="85" t="s">
        <v>222</v>
      </c>
      <c r="I15" s="87">
        <v>0</v>
      </c>
      <c r="J15" s="85" t="s">
        <v>184</v>
      </c>
      <c r="K15" s="87">
        <v>0.54545454545454541</v>
      </c>
      <c r="L15" s="85" t="s">
        <v>271</v>
      </c>
      <c r="M15" s="88">
        <v>0.19047619047619047</v>
      </c>
      <c r="N15" s="85" t="s">
        <v>184</v>
      </c>
      <c r="O15" s="88">
        <v>0.23636363636363636</v>
      </c>
      <c r="P15" s="85" t="s">
        <v>172</v>
      </c>
      <c r="Q15" s="89">
        <v>6890.0763358778622</v>
      </c>
      <c r="R15" s="85" t="s">
        <v>223</v>
      </c>
      <c r="S15" s="89">
        <v>-10583.333333333334</v>
      </c>
      <c r="T15" s="85" t="s">
        <v>129</v>
      </c>
      <c r="U15" s="87">
        <v>0.17757009345794392</v>
      </c>
      <c r="V15" s="85" t="s">
        <v>222</v>
      </c>
      <c r="W15" s="87">
        <v>0</v>
      </c>
      <c r="X15" s="85" t="s">
        <v>223</v>
      </c>
      <c r="Y15" s="88">
        <v>0.15217391304347827</v>
      </c>
      <c r="Z15" s="85" t="s">
        <v>128</v>
      </c>
      <c r="AA15" s="88">
        <v>0.17561419472247497</v>
      </c>
      <c r="AB15" s="85" t="s">
        <v>129</v>
      </c>
      <c r="AC15" s="88">
        <v>0.53305785123966942</v>
      </c>
      <c r="AD15" s="85" t="s">
        <v>271</v>
      </c>
      <c r="AE15" s="88">
        <v>0.2</v>
      </c>
      <c r="AF15" s="85" t="s">
        <v>271</v>
      </c>
      <c r="AG15" s="88">
        <v>0.25</v>
      </c>
      <c r="AH15" s="85" t="s">
        <v>222</v>
      </c>
      <c r="AI15" s="92">
        <v>48300</v>
      </c>
    </row>
    <row r="16" spans="1:35" x14ac:dyDescent="0.4">
      <c r="A16" s="82">
        <v>14</v>
      </c>
      <c r="B16" s="83" t="s">
        <v>129</v>
      </c>
      <c r="C16" s="84">
        <v>-1085.0000000000002</v>
      </c>
      <c r="D16" s="85" t="s">
        <v>271</v>
      </c>
      <c r="E16" s="97">
        <v>-48.25</v>
      </c>
      <c r="F16" s="85" t="s">
        <v>271</v>
      </c>
      <c r="G16" s="86">
        <v>3</v>
      </c>
      <c r="H16" s="85" t="s">
        <v>271</v>
      </c>
      <c r="I16" s="87">
        <v>0</v>
      </c>
      <c r="J16" s="85" t="s">
        <v>271</v>
      </c>
      <c r="K16" s="87">
        <v>1</v>
      </c>
      <c r="L16" s="85" t="s">
        <v>222</v>
      </c>
      <c r="M16" s="88">
        <v>0.15384615384615385</v>
      </c>
      <c r="N16" s="85" t="s">
        <v>271</v>
      </c>
      <c r="O16" s="88">
        <v>0.23809523809523808</v>
      </c>
      <c r="P16" s="85" t="s">
        <v>271</v>
      </c>
      <c r="Q16" s="89">
        <v>4475</v>
      </c>
      <c r="R16" s="85" t="s">
        <v>222</v>
      </c>
      <c r="S16" s="89">
        <v>-12000</v>
      </c>
      <c r="T16" s="85" t="s">
        <v>184</v>
      </c>
      <c r="U16" s="87">
        <v>0.31818181818181818</v>
      </c>
      <c r="V16" s="85" t="s">
        <v>271</v>
      </c>
      <c r="W16" s="87">
        <v>0</v>
      </c>
      <c r="X16" s="85" t="s">
        <v>271</v>
      </c>
      <c r="Y16" s="88">
        <v>4.7619047619047616E-2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271</v>
      </c>
      <c r="AI16" s="92">
        <v>11800</v>
      </c>
    </row>
  </sheetData>
  <sortState ref="AH3:AI47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5E0CA-51F0-457A-9F37-87D93EFF67A2}">
  <sheetPr codeName="Sheet4"/>
  <dimension ref="A1:Q77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145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774</v>
      </c>
      <c r="C2" s="153"/>
      <c r="E2" s="62" t="s">
        <v>67</v>
      </c>
      <c r="F2" s="59" t="s">
        <v>23</v>
      </c>
      <c r="G2" s="46">
        <v>1397</v>
      </c>
      <c r="H2" s="132">
        <f>IF(B$17=0,0,G2/B$17)</f>
        <v>0.72646905876235046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-16.795865633074936</v>
      </c>
      <c r="P2" s="118">
        <v>774</v>
      </c>
      <c r="Q2" s="102">
        <v>-13000</v>
      </c>
    </row>
    <row r="3" spans="1:17" x14ac:dyDescent="0.4">
      <c r="A3" s="55" t="s">
        <v>8</v>
      </c>
      <c r="B3" s="154">
        <v>6444</v>
      </c>
      <c r="C3" s="155"/>
      <c r="E3" s="63" t="s">
        <v>73</v>
      </c>
      <c r="F3" s="60" t="s">
        <v>28</v>
      </c>
      <c r="G3" s="47">
        <v>995</v>
      </c>
      <c r="H3" s="133">
        <f>IF(B$17=0,0,G3/B$17)</f>
        <v>0.51742069682787306</v>
      </c>
      <c r="I3" s="94">
        <v>10</v>
      </c>
      <c r="K3" s="38">
        <v>1</v>
      </c>
      <c r="L3" s="99">
        <v>-5.0999999999999996</v>
      </c>
      <c r="N3" s="115" t="s">
        <v>133</v>
      </c>
      <c r="O3" s="122">
        <f t="shared" si="0"/>
        <v>-6.587615283267457</v>
      </c>
      <c r="P3" s="119">
        <v>759</v>
      </c>
      <c r="Q3" s="103">
        <v>-5000</v>
      </c>
    </row>
    <row r="4" spans="1:17" x14ac:dyDescent="0.4">
      <c r="A4" s="55" t="s">
        <v>6</v>
      </c>
      <c r="B4" s="156">
        <v>2.1316282072803006E-14</v>
      </c>
      <c r="C4" s="157"/>
      <c r="E4" s="63" t="s">
        <v>65</v>
      </c>
      <c r="F4" s="60" t="s">
        <v>21</v>
      </c>
      <c r="G4" s="47">
        <v>977</v>
      </c>
      <c r="H4" s="133">
        <f>IF(B$17=0,0,G4/B$17)</f>
        <v>0.50806032241289656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12.76595744680851</v>
      </c>
      <c r="P4" s="119">
        <v>705</v>
      </c>
      <c r="Q4" s="103">
        <v>9000</v>
      </c>
    </row>
    <row r="5" spans="1:17" x14ac:dyDescent="0.4">
      <c r="A5" s="55" t="s">
        <v>7</v>
      </c>
      <c r="B5" s="158">
        <f>IF(B$2=0,0,B$4/B$2)</f>
        <v>2.7540416114732565E-17</v>
      </c>
      <c r="C5" s="159"/>
      <c r="E5" s="63" t="s">
        <v>245</v>
      </c>
      <c r="F5" s="60" t="s">
        <v>246</v>
      </c>
      <c r="G5" s="47">
        <v>794</v>
      </c>
      <c r="H5" s="133">
        <f>IF(B$17=0,0,G5/B$17)</f>
        <v>0.41289651586063442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0"/>
        <v>6.1728395061728394</v>
      </c>
      <c r="P5" s="119">
        <v>648</v>
      </c>
      <c r="Q5" s="103">
        <v>4000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597</v>
      </c>
      <c r="H6" s="133">
        <f>IF(B$17=0,0,G6/B$17)</f>
        <v>0.31045241809672386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-17.271157167530223</v>
      </c>
      <c r="P6" s="119">
        <v>579</v>
      </c>
      <c r="Q6" s="103">
        <v>-10000</v>
      </c>
    </row>
    <row r="7" spans="1:17" x14ac:dyDescent="0.4">
      <c r="A7" s="55" t="s">
        <v>2</v>
      </c>
      <c r="B7" s="47">
        <v>258</v>
      </c>
      <c r="C7" s="39">
        <f>IF(B$2=0,0,B7/B$2)</f>
        <v>0.33333333333333331</v>
      </c>
      <c r="E7" s="63" t="s">
        <v>68</v>
      </c>
      <c r="F7" s="60" t="s">
        <v>24</v>
      </c>
      <c r="G7" s="47">
        <v>590</v>
      </c>
      <c r="H7" s="133">
        <f>IF(B$17=0,0,G7/B$17)</f>
        <v>0.30681227249089965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29.585798816568047</v>
      </c>
      <c r="P7" s="120">
        <v>507</v>
      </c>
      <c r="Q7" s="104">
        <v>15000</v>
      </c>
    </row>
    <row r="8" spans="1:17" x14ac:dyDescent="0.4">
      <c r="A8" s="55" t="s">
        <v>3</v>
      </c>
      <c r="B8" s="47">
        <v>258</v>
      </c>
      <c r="C8" s="39">
        <f>IF(B$2=0,0,B8/B$2)</f>
        <v>0.33333333333333331</v>
      </c>
      <c r="E8" s="63" t="s">
        <v>70</v>
      </c>
      <c r="F8" s="60" t="s">
        <v>25</v>
      </c>
      <c r="G8" s="47">
        <v>334</v>
      </c>
      <c r="H8" s="133">
        <f>IF(B$17=0,0,G8/B$17)</f>
        <v>0.17368694747789912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258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240</v>
      </c>
      <c r="H9" s="133">
        <f>IF(B$17=0,0,G9/B$17)</f>
        <v>0.12480499219968799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96</v>
      </c>
      <c r="C10" s="40">
        <f>IF(B$2=0,0,B10/B$2)</f>
        <v>0.12403100775193798</v>
      </c>
      <c r="E10" s="63" t="s">
        <v>66</v>
      </c>
      <c r="F10" s="60" t="s">
        <v>22</v>
      </c>
      <c r="G10" s="47">
        <v>217</v>
      </c>
      <c r="H10" s="133">
        <f>IF(B$17=0,0,G10/B$17)</f>
        <v>0.11284451378055123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-3.1131782945736415</v>
      </c>
      <c r="P10" s="118">
        <v>258</v>
      </c>
      <c r="Q10" s="106">
        <v>-803.19999999999948</v>
      </c>
    </row>
    <row r="11" spans="1:17" x14ac:dyDescent="0.4">
      <c r="A11" s="56" t="s">
        <v>140</v>
      </c>
      <c r="B11" s="48">
        <v>96</v>
      </c>
      <c r="C11" s="40">
        <f>IF(B$2=0,0,B11/B$2)</f>
        <v>0.12403100775193798</v>
      </c>
      <c r="E11" s="63" t="s">
        <v>71</v>
      </c>
      <c r="F11" s="60" t="s">
        <v>26</v>
      </c>
      <c r="G11" s="47">
        <v>194</v>
      </c>
      <c r="H11" s="133">
        <f>IF(B$17=0,0,G11/B$17)</f>
        <v>0.10088403536141445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1.9186046511627914</v>
      </c>
      <c r="P11" s="119">
        <v>258</v>
      </c>
      <c r="Q11" s="107">
        <v>495.00000000000017</v>
      </c>
    </row>
    <row r="12" spans="1:17" x14ac:dyDescent="0.4">
      <c r="A12" s="57" t="s">
        <v>160</v>
      </c>
      <c r="B12" s="49">
        <v>68</v>
      </c>
      <c r="C12" s="42">
        <f>IF(B$2=0,0,B12/B$2)</f>
        <v>8.7855297157622733E-2</v>
      </c>
      <c r="E12" s="63" t="s">
        <v>72</v>
      </c>
      <c r="F12" s="60" t="s">
        <v>27</v>
      </c>
      <c r="G12" s="47">
        <v>132</v>
      </c>
      <c r="H12" s="133">
        <f>IF(B$17=0,0,G12/B$17)</f>
        <v>6.8642745709828396E-2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1.1945736434108525</v>
      </c>
      <c r="P12" s="120">
        <v>258</v>
      </c>
      <c r="Q12" s="108">
        <v>308.19999999999993</v>
      </c>
    </row>
    <row r="13" spans="1:17" x14ac:dyDescent="0.4">
      <c r="A13" s="58" t="s">
        <v>122</v>
      </c>
      <c r="B13" s="50">
        <v>1774</v>
      </c>
      <c r="C13" s="44">
        <f>IF(B$3=0,0,B13/B$3)</f>
        <v>0.27529484792054626</v>
      </c>
      <c r="E13" s="63" t="s">
        <v>87</v>
      </c>
      <c r="F13" s="60" t="s">
        <v>42</v>
      </c>
      <c r="G13" s="47">
        <v>109</v>
      </c>
      <c r="H13" s="133">
        <f>IF(B$17=0,0,G13/B$17)</f>
        <v>5.6682267290691625E-2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1368</v>
      </c>
      <c r="C14" s="39">
        <f>IF(B$3=0,0,B14/B$3)</f>
        <v>0.21229050279329609</v>
      </c>
      <c r="E14" s="63" t="s">
        <v>84</v>
      </c>
      <c r="F14" s="60" t="s">
        <v>39</v>
      </c>
      <c r="G14" s="47">
        <v>95</v>
      </c>
      <c r="H14" s="133">
        <f>IF(B$17=0,0,G14/B$17)</f>
        <v>4.9401976079043161E-2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1022</v>
      </c>
      <c r="C15" s="37">
        <f>IF(B$13=0,0,B15/B$13)</f>
        <v>0.57609921082299886</v>
      </c>
      <c r="E15" s="63" t="s">
        <v>82</v>
      </c>
      <c r="F15" s="60" t="s">
        <v>37</v>
      </c>
      <c r="G15" s="47">
        <v>54</v>
      </c>
      <c r="H15" s="133">
        <f>IF(B$17=0,0,G15/B$17)</f>
        <v>2.8081123244929798E-2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>IF(P15=0,0,Q15/P15)</f>
        <v>72.375</v>
      </c>
      <c r="P15" s="118">
        <v>4</v>
      </c>
      <c r="Q15" s="106">
        <v>289.5</v>
      </c>
    </row>
    <row r="16" spans="1:17" x14ac:dyDescent="0.4">
      <c r="A16" s="54" t="s">
        <v>125</v>
      </c>
      <c r="B16" s="46">
        <v>538</v>
      </c>
      <c r="C16" s="37">
        <f>IF(B$14=0,0,B16/B$14)</f>
        <v>0.39327485380116961</v>
      </c>
      <c r="E16" s="63" t="s">
        <v>79</v>
      </c>
      <c r="F16" s="60" t="s">
        <v>34</v>
      </c>
      <c r="G16" s="47">
        <v>53</v>
      </c>
      <c r="H16" s="133">
        <f>IF(B$17=0,0,G16/B$17)</f>
        <v>2.7561102444097763E-2</v>
      </c>
      <c r="I16" s="94">
        <v>6</v>
      </c>
      <c r="K16" s="38">
        <v>14</v>
      </c>
      <c r="L16" s="99">
        <v>18.79999999999999</v>
      </c>
      <c r="N16" s="115" t="s">
        <v>184</v>
      </c>
      <c r="O16" s="125">
        <f>IF(P16=0,0,Q16/P16)</f>
        <v>18.027272727272731</v>
      </c>
      <c r="P16" s="119">
        <v>44</v>
      </c>
      <c r="Q16" s="107">
        <v>793.20000000000016</v>
      </c>
    </row>
    <row r="17" spans="1:17" x14ac:dyDescent="0.4">
      <c r="A17" s="54" t="s">
        <v>10</v>
      </c>
      <c r="B17" s="46">
        <f>B19+B18</f>
        <v>1923</v>
      </c>
      <c r="C17" s="37">
        <f>IF(B$3=0,0,B17/B$3)</f>
        <v>0.2984171322160149</v>
      </c>
      <c r="E17" s="63" t="s">
        <v>92</v>
      </c>
      <c r="F17" s="60" t="s">
        <v>47</v>
      </c>
      <c r="G17" s="47">
        <v>38</v>
      </c>
      <c r="H17" s="133">
        <f>IF(B$17=0,0,G17/B$17)</f>
        <v>1.9760790431617263E-2</v>
      </c>
      <c r="I17" s="94">
        <v>5</v>
      </c>
      <c r="K17" s="38">
        <v>15</v>
      </c>
      <c r="L17" s="99">
        <v>-1.0658141036401503E-14</v>
      </c>
      <c r="N17" s="115" t="s">
        <v>129</v>
      </c>
      <c r="O17" s="125">
        <f>IF(P17=0,0,Q17/P17)</f>
        <v>15.210280373831806</v>
      </c>
      <c r="P17" s="119">
        <v>214</v>
      </c>
      <c r="Q17" s="107">
        <v>3255.0000000000064</v>
      </c>
    </row>
    <row r="18" spans="1:17" x14ac:dyDescent="0.4">
      <c r="A18" s="55" t="s">
        <v>12</v>
      </c>
      <c r="B18" s="47">
        <v>831</v>
      </c>
      <c r="C18" s="39">
        <f>IF(B$17=0,0,B18/B$17)</f>
        <v>0.43213728549141966</v>
      </c>
      <c r="E18" s="63" t="s">
        <v>80</v>
      </c>
      <c r="F18" s="60" t="s">
        <v>35</v>
      </c>
      <c r="G18" s="47">
        <v>31</v>
      </c>
      <c r="H18" s="133">
        <f>IF(B$17=0,0,G18/B$17)</f>
        <v>1.6120644825793031E-2</v>
      </c>
      <c r="I18" s="94">
        <v>7</v>
      </c>
      <c r="K18" s="38">
        <v>16</v>
      </c>
      <c r="L18" s="99">
        <v>90.899999999999991</v>
      </c>
      <c r="N18" s="115" t="s">
        <v>173</v>
      </c>
      <c r="O18" s="125">
        <f>IF(P18=0,0,Q18/P18)</f>
        <v>13.255102040816322</v>
      </c>
      <c r="P18" s="119">
        <v>98</v>
      </c>
      <c r="Q18" s="107">
        <v>1298.9999999999995</v>
      </c>
    </row>
    <row r="19" spans="1:17" x14ac:dyDescent="0.4">
      <c r="A19" s="55" t="s">
        <v>11</v>
      </c>
      <c r="B19" s="47">
        <v>1092</v>
      </c>
      <c r="C19" s="39">
        <f>IF(B$17=0,0,B19/B$17)</f>
        <v>0.56786271450858039</v>
      </c>
      <c r="E19" s="63" t="s">
        <v>180</v>
      </c>
      <c r="F19" s="60" t="s">
        <v>181</v>
      </c>
      <c r="G19" s="47">
        <v>29</v>
      </c>
      <c r="H19" s="133">
        <f>IF(B$17=0,0,G19/B$17)</f>
        <v>1.5080603224128965E-2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3.8194029850746274</v>
      </c>
      <c r="P19" s="119">
        <v>268</v>
      </c>
      <c r="Q19" s="107">
        <v>1023.6000000000001</v>
      </c>
    </row>
    <row r="20" spans="1:17" x14ac:dyDescent="0.4">
      <c r="A20" s="55" t="s">
        <v>13</v>
      </c>
      <c r="B20" s="47">
        <v>1076</v>
      </c>
      <c r="C20" s="39">
        <f>IF(B$3=0,0,B20/B$3)</f>
        <v>0.1669770328988206</v>
      </c>
      <c r="E20" s="63" t="s">
        <v>74</v>
      </c>
      <c r="F20" s="60" t="s">
        <v>29</v>
      </c>
      <c r="G20" s="47">
        <v>13</v>
      </c>
      <c r="H20" s="133">
        <f>IF(B$17=0,0,G20/B$17)</f>
        <v>6.7602704108164326E-3</v>
      </c>
      <c r="I20" s="94">
        <v>4</v>
      </c>
      <c r="K20" s="38">
        <v>18</v>
      </c>
      <c r="L20" s="99">
        <v>-3.5527136788005009E-15</v>
      </c>
      <c r="N20" s="115" t="s">
        <v>172</v>
      </c>
      <c r="O20" s="125">
        <f>IF(P20=0,0,Q20/P20)</f>
        <v>2.046666666666666</v>
      </c>
      <c r="P20" s="119">
        <v>180</v>
      </c>
      <c r="Q20" s="107">
        <v>368.39999999999986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12</v>
      </c>
      <c r="H21" s="133">
        <f>IF(B$17=0,0,G21/B$17)</f>
        <v>6.2402496099843996E-3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0.75937500000000246</v>
      </c>
      <c r="P21" s="119">
        <v>192</v>
      </c>
      <c r="Q21" s="107">
        <v>145.80000000000047</v>
      </c>
    </row>
    <row r="22" spans="1:17" x14ac:dyDescent="0.4">
      <c r="A22" s="55" t="s">
        <v>192</v>
      </c>
      <c r="B22" s="47">
        <v>31</v>
      </c>
      <c r="C22" s="135">
        <v>13</v>
      </c>
      <c r="E22" s="63" t="s">
        <v>75</v>
      </c>
      <c r="F22" s="60" t="s">
        <v>30</v>
      </c>
      <c r="G22" s="47">
        <v>9</v>
      </c>
      <c r="H22" s="133">
        <f>IF(B$17=0,0,G22/B$17)</f>
        <v>4.6801872074882997E-3</v>
      </c>
      <c r="I22" s="94">
        <v>6</v>
      </c>
      <c r="K22" s="38">
        <v>20</v>
      </c>
      <c r="L22" s="99">
        <v>0.79999999999999716</v>
      </c>
      <c r="N22" s="115" t="s">
        <v>177</v>
      </c>
      <c r="O22" s="125">
        <f>IF(P22=0,0,Q22/P22)</f>
        <v>-2.3517857142857164</v>
      </c>
      <c r="P22" s="119">
        <v>168</v>
      </c>
      <c r="Q22" s="107">
        <v>-395.10000000000036</v>
      </c>
    </row>
    <row r="23" spans="1:17" x14ac:dyDescent="0.4">
      <c r="A23" s="55" t="s">
        <v>5</v>
      </c>
      <c r="B23" s="51">
        <f>IF(B$17=0,0,C23/B$17)</f>
        <v>8748.4659386375461</v>
      </c>
      <c r="C23" s="41">
        <v>16823300</v>
      </c>
      <c r="E23" s="63" t="s">
        <v>86</v>
      </c>
      <c r="F23" s="60" t="s">
        <v>41</v>
      </c>
      <c r="G23" s="47">
        <v>8</v>
      </c>
      <c r="H23" s="133">
        <f>IF(B$17=0,0,G23/B$17)</f>
        <v>4.1601664066562667E-3</v>
      </c>
      <c r="I23" s="94">
        <v>4</v>
      </c>
      <c r="K23" s="38">
        <v>21</v>
      </c>
      <c r="L23" s="99">
        <v>-2.886579864025407E-15</v>
      </c>
      <c r="N23" s="115" t="s">
        <v>200</v>
      </c>
      <c r="O23" s="125">
        <f>IF(P23=0,0,Q23/P23)</f>
        <v>-9.337499999999995</v>
      </c>
      <c r="P23" s="119">
        <v>32</v>
      </c>
      <c r="Q23" s="107">
        <v>-298.79999999999984</v>
      </c>
    </row>
    <row r="24" spans="1:17" x14ac:dyDescent="0.4">
      <c r="A24" s="57" t="s">
        <v>14</v>
      </c>
      <c r="B24" s="52">
        <f>IF(B$20=0,0,C24/B$20)</f>
        <v>-8298.3271375464683</v>
      </c>
      <c r="C24" s="45">
        <v>-8929000</v>
      </c>
      <c r="E24" s="63" t="s">
        <v>93</v>
      </c>
      <c r="F24" s="60" t="s">
        <v>48</v>
      </c>
      <c r="G24" s="47">
        <v>8</v>
      </c>
      <c r="H24" s="133">
        <f>IF(B$17=0,0,G24/B$17)</f>
        <v>4.1601664066562667E-3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-18.160060975609738</v>
      </c>
      <c r="P24" s="119">
        <v>328</v>
      </c>
      <c r="Q24" s="107">
        <v>-5956.4999999999936</v>
      </c>
    </row>
    <row r="25" spans="1:17" x14ac:dyDescent="0.4">
      <c r="A25" s="90" t="s">
        <v>142</v>
      </c>
      <c r="B25" s="146">
        <v>8</v>
      </c>
      <c r="C25" s="147"/>
      <c r="E25" s="63" t="s">
        <v>94</v>
      </c>
      <c r="F25" s="60" t="s">
        <v>49</v>
      </c>
      <c r="G25" s="47">
        <v>7</v>
      </c>
      <c r="H25" s="133">
        <f>IF(B$17=0,0,G25/B$17)</f>
        <v>3.6401456058242328E-3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4">
        <v>116000</v>
      </c>
      <c r="C26" s="145"/>
      <c r="E26" s="63" t="s">
        <v>88</v>
      </c>
      <c r="F26" s="60" t="s">
        <v>43</v>
      </c>
      <c r="G26" s="47">
        <v>6</v>
      </c>
      <c r="H26" s="133">
        <f>IF(B$17=0,0,G26/B$17)</f>
        <v>3.1201248049921998E-3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>IF(P26=0,0,Q26/P26)</f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17</v>
      </c>
      <c r="C27" s="42">
        <f>IF(B$3=0,0,B27/B$3)</f>
        <v>2.6381129733085039E-3</v>
      </c>
      <c r="E27" s="63" t="s">
        <v>78</v>
      </c>
      <c r="F27" s="60" t="s">
        <v>33</v>
      </c>
      <c r="G27" s="47">
        <v>5</v>
      </c>
      <c r="H27" s="133">
        <f>IF(B$17=0,0,G27/B$17)</f>
        <v>2.6001040041601664E-3</v>
      </c>
      <c r="I27" s="94">
        <v>7</v>
      </c>
      <c r="K27" s="38">
        <v>25</v>
      </c>
      <c r="L27" s="99">
        <v>-31.300000000000004</v>
      </c>
      <c r="N27" s="115" t="s">
        <v>183</v>
      </c>
      <c r="O27" s="125">
        <f>IF(P27=0,0,Q27/P27)</f>
        <v>-30.5</v>
      </c>
      <c r="P27" s="119">
        <v>6</v>
      </c>
      <c r="Q27" s="107">
        <v>-183</v>
      </c>
    </row>
    <row r="28" spans="1:17" x14ac:dyDescent="0.4">
      <c r="E28" s="63" t="s">
        <v>85</v>
      </c>
      <c r="F28" s="60" t="s">
        <v>40</v>
      </c>
      <c r="G28" s="47">
        <v>5</v>
      </c>
      <c r="H28" s="133">
        <f>IF(B$17=0,0,G28/B$17)</f>
        <v>2.6001040041601664E-3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5</v>
      </c>
      <c r="H29" s="133">
        <f>IF(B$17=0,0,G29/B$17)</f>
        <v>2.6001040041601664E-3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3</v>
      </c>
      <c r="H30" s="133">
        <f>IF(B$17=0,0,G30/B$17)</f>
        <v>1.5600624024960999E-3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1.0400416016640667E-3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5.2002080083203334E-4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5.2002080083203334E-4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-11.999999999999986</v>
      </c>
    </row>
    <row r="742" spans="11:12" x14ac:dyDescent="0.4">
      <c r="K742" s="38">
        <v>740</v>
      </c>
      <c r="L742" s="99">
        <v>65.100000000000009</v>
      </c>
    </row>
    <row r="743" spans="11:12" x14ac:dyDescent="0.4">
      <c r="K743" s="38">
        <v>741</v>
      </c>
      <c r="L743" s="99">
        <v>1.4210854715202004E-14</v>
      </c>
    </row>
    <row r="744" spans="11:12" x14ac:dyDescent="0.4">
      <c r="K744" s="38">
        <v>742</v>
      </c>
      <c r="L744" s="99">
        <v>14.700000000000014</v>
      </c>
    </row>
    <row r="745" spans="11:12" x14ac:dyDescent="0.4">
      <c r="K745" s="38">
        <v>743</v>
      </c>
      <c r="L745" s="99">
        <v>75.200000000000017</v>
      </c>
    </row>
    <row r="746" spans="11:12" x14ac:dyDescent="0.4">
      <c r="K746" s="38">
        <v>744</v>
      </c>
      <c r="L746" s="99">
        <v>1.4210854715202004E-14</v>
      </c>
    </row>
    <row r="747" spans="11:12" x14ac:dyDescent="0.4">
      <c r="K747" s="38">
        <v>745</v>
      </c>
      <c r="L747" s="99">
        <v>12.200000000000014</v>
      </c>
    </row>
    <row r="748" spans="11:12" x14ac:dyDescent="0.4">
      <c r="K748" s="38">
        <v>746</v>
      </c>
      <c r="L748" s="99">
        <v>55.100000000000009</v>
      </c>
    </row>
    <row r="749" spans="11:12" x14ac:dyDescent="0.4">
      <c r="K749" s="38">
        <v>747</v>
      </c>
      <c r="L749" s="99">
        <v>7.1054273576010019E-15</v>
      </c>
    </row>
    <row r="750" spans="11:12" x14ac:dyDescent="0.4">
      <c r="K750" s="38">
        <v>748</v>
      </c>
      <c r="L750" s="99">
        <v>9.0000000000000071</v>
      </c>
    </row>
    <row r="751" spans="11:12" x14ac:dyDescent="0.4">
      <c r="K751" s="38">
        <v>749</v>
      </c>
      <c r="L751" s="99">
        <v>-37.699999999999996</v>
      </c>
    </row>
    <row r="752" spans="11:12" x14ac:dyDescent="0.4">
      <c r="K752" s="38">
        <v>750</v>
      </c>
      <c r="L752" s="99">
        <v>7.1054273576010019E-15</v>
      </c>
    </row>
    <row r="753" spans="11:12" x14ac:dyDescent="0.4">
      <c r="K753" s="38">
        <v>751</v>
      </c>
      <c r="L753" s="99">
        <v>-43.199999999999996</v>
      </c>
    </row>
    <row r="754" spans="11:12" x14ac:dyDescent="0.4">
      <c r="K754" s="38">
        <v>752</v>
      </c>
      <c r="L754" s="99">
        <v>-39.799999999999997</v>
      </c>
    </row>
    <row r="755" spans="11:12" x14ac:dyDescent="0.4">
      <c r="K755" s="38">
        <v>753</v>
      </c>
      <c r="L755" s="99">
        <v>0</v>
      </c>
    </row>
    <row r="756" spans="11:12" x14ac:dyDescent="0.4">
      <c r="K756" s="38">
        <v>754</v>
      </c>
      <c r="L756" s="99">
        <v>-53.3</v>
      </c>
    </row>
    <row r="757" spans="11:12" x14ac:dyDescent="0.4">
      <c r="K757" s="38">
        <v>755</v>
      </c>
      <c r="L757" s="99">
        <v>-61.599999999999994</v>
      </c>
    </row>
    <row r="758" spans="11:12" x14ac:dyDescent="0.4">
      <c r="K758" s="38">
        <v>756</v>
      </c>
      <c r="L758" s="99">
        <v>7.1054273576010019E-15</v>
      </c>
    </row>
    <row r="759" spans="11:12" x14ac:dyDescent="0.4">
      <c r="K759" s="38">
        <v>757</v>
      </c>
      <c r="L759" s="99">
        <v>31.700000000000006</v>
      </c>
    </row>
    <row r="760" spans="11:12" x14ac:dyDescent="0.4">
      <c r="K760" s="38">
        <v>758</v>
      </c>
      <c r="L760" s="99">
        <v>-10.099999999999991</v>
      </c>
    </row>
    <row r="761" spans="11:12" x14ac:dyDescent="0.4">
      <c r="K761" s="38">
        <v>759</v>
      </c>
      <c r="L761" s="99">
        <v>8.8817841970012523E-15</v>
      </c>
    </row>
    <row r="762" spans="11:12" x14ac:dyDescent="0.4">
      <c r="K762" s="38">
        <v>760</v>
      </c>
      <c r="L762" s="99">
        <v>42.70000000000001</v>
      </c>
    </row>
    <row r="763" spans="11:12" x14ac:dyDescent="0.4">
      <c r="K763" s="38">
        <v>761</v>
      </c>
      <c r="L763" s="99">
        <v>-2.5999999999999872</v>
      </c>
    </row>
    <row r="764" spans="11:12" x14ac:dyDescent="0.4">
      <c r="K764" s="38">
        <v>762</v>
      </c>
      <c r="L764" s="99">
        <v>1.2878587085651816E-14</v>
      </c>
    </row>
    <row r="765" spans="11:12" x14ac:dyDescent="0.4">
      <c r="K765" s="38">
        <v>763</v>
      </c>
      <c r="L765" s="99">
        <v>62.000000000000014</v>
      </c>
    </row>
    <row r="766" spans="11:12" x14ac:dyDescent="0.4">
      <c r="K766" s="38">
        <v>764</v>
      </c>
      <c r="L766" s="99">
        <v>3.9000000000000128</v>
      </c>
    </row>
    <row r="767" spans="11:12" x14ac:dyDescent="0.4">
      <c r="K767" s="38">
        <v>765</v>
      </c>
      <c r="L767" s="99">
        <v>1.2878587085651816E-14</v>
      </c>
    </row>
    <row r="768" spans="11:12" x14ac:dyDescent="0.4">
      <c r="K768" s="38">
        <v>766</v>
      </c>
      <c r="L768" s="99">
        <v>35.000000000000014</v>
      </c>
    </row>
    <row r="769" spans="11:12" x14ac:dyDescent="0.4">
      <c r="K769" s="38">
        <v>767</v>
      </c>
      <c r="L769" s="99">
        <v>-9.5999999999999872</v>
      </c>
    </row>
    <row r="770" spans="11:12" x14ac:dyDescent="0.4">
      <c r="K770" s="38">
        <v>768</v>
      </c>
      <c r="L770" s="99">
        <v>1.2434497875801753E-14</v>
      </c>
    </row>
    <row r="771" spans="11:12" x14ac:dyDescent="0.4">
      <c r="K771" s="38">
        <v>769</v>
      </c>
      <c r="L771" s="99">
        <v>39.300000000000011</v>
      </c>
    </row>
    <row r="772" spans="11:12" x14ac:dyDescent="0.4">
      <c r="K772" s="38">
        <v>770</v>
      </c>
      <c r="L772" s="99">
        <v>-18.999999999999986</v>
      </c>
    </row>
    <row r="773" spans="11:12" x14ac:dyDescent="0.4">
      <c r="K773" s="38">
        <v>771</v>
      </c>
      <c r="L773" s="99">
        <v>1.4210854715202004E-14</v>
      </c>
    </row>
    <row r="774" spans="11:12" x14ac:dyDescent="0.4">
      <c r="K774" s="38">
        <v>772</v>
      </c>
      <c r="L774" s="99">
        <v>1.1000000000000143</v>
      </c>
    </row>
    <row r="775" spans="11:12" x14ac:dyDescent="0.4">
      <c r="K775" s="38">
        <v>773</v>
      </c>
      <c r="L775" s="99">
        <v>-34.699999999999982</v>
      </c>
    </row>
    <row r="776" spans="11:12" x14ac:dyDescent="0.4">
      <c r="K776" s="38">
        <v>774</v>
      </c>
      <c r="L776" s="99">
        <v>2.1316282072803006E-14</v>
      </c>
    </row>
  </sheetData>
  <sortState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F1905-3C86-4998-9679-76919BE589E6}">
  <sheetPr codeName="Sheet7"/>
  <dimension ref="A1:Q16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127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164</v>
      </c>
      <c r="C2" s="153"/>
      <c r="E2" s="62" t="s">
        <v>67</v>
      </c>
      <c r="F2" s="59" t="s">
        <v>23</v>
      </c>
      <c r="G2" s="46">
        <v>329</v>
      </c>
      <c r="H2" s="132">
        <f>IF(B$17=0,0,G2/B$17)</f>
        <v>0.71677559912854028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1954.2682926829268</v>
      </c>
      <c r="P2" s="118">
        <v>164</v>
      </c>
      <c r="Q2" s="102">
        <v>320500</v>
      </c>
    </row>
    <row r="3" spans="1:17" x14ac:dyDescent="0.4">
      <c r="A3" s="55" t="s">
        <v>8</v>
      </c>
      <c r="B3" s="154">
        <v>1349</v>
      </c>
      <c r="C3" s="155"/>
      <c r="E3" s="63" t="s">
        <v>73</v>
      </c>
      <c r="F3" s="60" t="s">
        <v>28</v>
      </c>
      <c r="G3" s="47">
        <v>253</v>
      </c>
      <c r="H3" s="133">
        <f>IF(B$17=0,0,G3/B$17)</f>
        <v>0.55119825708060999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2044.375</v>
      </c>
      <c r="P3" s="119">
        <v>160</v>
      </c>
      <c r="Q3" s="103">
        <v>327100</v>
      </c>
    </row>
    <row r="4" spans="1:17" x14ac:dyDescent="0.4">
      <c r="A4" s="55" t="s">
        <v>6</v>
      </c>
      <c r="B4" s="156">
        <v>1985.5000000000005</v>
      </c>
      <c r="C4" s="157"/>
      <c r="E4" s="63" t="s">
        <v>65</v>
      </c>
      <c r="F4" s="60" t="s">
        <v>21</v>
      </c>
      <c r="G4" s="47">
        <v>221</v>
      </c>
      <c r="H4" s="133">
        <f>IF(B$17=0,0,G4/B$17)</f>
        <v>0.48148148148148145</v>
      </c>
      <c r="I4" s="94">
        <v>9</v>
      </c>
      <c r="K4" s="38">
        <v>2</v>
      </c>
      <c r="L4" s="99">
        <v>-2.8999999999999995</v>
      </c>
      <c r="N4" s="115" t="s">
        <v>134</v>
      </c>
      <c r="O4" s="122">
        <f t="shared" si="0"/>
        <v>620.39473684210532</v>
      </c>
      <c r="P4" s="119">
        <v>152</v>
      </c>
      <c r="Q4" s="103">
        <v>94300</v>
      </c>
    </row>
    <row r="5" spans="1:17" x14ac:dyDescent="0.4">
      <c r="A5" s="55" t="s">
        <v>7</v>
      </c>
      <c r="B5" s="158">
        <f>IF(B$2=0,0,B$4/B$2)</f>
        <v>12.106707317073173</v>
      </c>
      <c r="C5" s="159"/>
      <c r="E5" s="63" t="s">
        <v>245</v>
      </c>
      <c r="F5" s="60" t="s">
        <v>246</v>
      </c>
      <c r="G5" s="47">
        <v>190</v>
      </c>
      <c r="H5" s="133">
        <f>IF(B$17=0,0,G5/B$17)</f>
        <v>0.41394335511982572</v>
      </c>
      <c r="I5" s="94">
        <v>6</v>
      </c>
      <c r="K5" s="38">
        <v>3</v>
      </c>
      <c r="L5" s="99">
        <v>70.399999999999991</v>
      </c>
      <c r="N5" s="115" t="s">
        <v>135</v>
      </c>
      <c r="O5" s="122">
        <f t="shared" si="0"/>
        <v>2231.4285714285716</v>
      </c>
      <c r="P5" s="119">
        <v>140</v>
      </c>
      <c r="Q5" s="103">
        <v>312400</v>
      </c>
    </row>
    <row r="6" spans="1:17" x14ac:dyDescent="0.4">
      <c r="A6" s="55" t="s">
        <v>1</v>
      </c>
      <c r="B6" s="148">
        <f>IF(B$2=0,0,(B$7*1+B$8*2+B$9*3)/B$2)</f>
        <v>1.7621951219512195</v>
      </c>
      <c r="C6" s="149"/>
      <c r="E6" s="63" t="s">
        <v>68</v>
      </c>
      <c r="F6" s="60" t="s">
        <v>24</v>
      </c>
      <c r="G6" s="47">
        <v>134</v>
      </c>
      <c r="H6" s="133">
        <f>IF(B$17=0,0,G6/B$17)</f>
        <v>0.29193899782135074</v>
      </c>
      <c r="I6" s="94">
        <v>8</v>
      </c>
      <c r="K6" s="38">
        <v>4</v>
      </c>
      <c r="L6" s="99">
        <v>110.5</v>
      </c>
      <c r="N6" s="115" t="s">
        <v>136</v>
      </c>
      <c r="O6" s="122">
        <f t="shared" si="0"/>
        <v>437.09677419354841</v>
      </c>
      <c r="P6" s="119">
        <v>124</v>
      </c>
      <c r="Q6" s="103">
        <v>54200</v>
      </c>
    </row>
    <row r="7" spans="1:17" x14ac:dyDescent="0.4">
      <c r="A7" s="55" t="s">
        <v>2</v>
      </c>
      <c r="B7" s="47">
        <v>78</v>
      </c>
      <c r="C7" s="39">
        <f>IF(B$2=0,0,B7/B$2)</f>
        <v>0.47560975609756095</v>
      </c>
      <c r="E7" s="63" t="s">
        <v>69</v>
      </c>
      <c r="F7" s="60" t="s">
        <v>12</v>
      </c>
      <c r="G7" s="47">
        <v>125</v>
      </c>
      <c r="H7" s="133">
        <f>IF(B$17=0,0,G7/B$17)</f>
        <v>0.27233115468409586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939.25233644859816</v>
      </c>
      <c r="P7" s="120">
        <v>107</v>
      </c>
      <c r="Q7" s="104">
        <v>100500</v>
      </c>
    </row>
    <row r="8" spans="1:17" x14ac:dyDescent="0.4">
      <c r="A8" s="55" t="s">
        <v>3</v>
      </c>
      <c r="B8" s="47">
        <v>47</v>
      </c>
      <c r="C8" s="39">
        <f>IF(B$2=0,0,B8/B$2)</f>
        <v>0.28658536585365851</v>
      </c>
      <c r="E8" s="63" t="s">
        <v>70</v>
      </c>
      <c r="F8" s="60" t="s">
        <v>25</v>
      </c>
      <c r="G8" s="47">
        <v>74</v>
      </c>
      <c r="H8" s="133">
        <f>IF(B$17=0,0,G8/B$17)</f>
        <v>0.16122004357298475</v>
      </c>
      <c r="I8" s="94">
        <v>8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0.23780487804878048</v>
      </c>
      <c r="E9" s="63" t="s">
        <v>90</v>
      </c>
      <c r="F9" s="60" t="s">
        <v>45</v>
      </c>
      <c r="G9" s="47">
        <v>72</v>
      </c>
      <c r="H9" s="133">
        <f>IF(B$17=0,0,G9/B$17)</f>
        <v>0.15686274509803921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9.1463414634146339E-2</v>
      </c>
      <c r="E10" s="63" t="s">
        <v>66</v>
      </c>
      <c r="F10" s="60" t="s">
        <v>22</v>
      </c>
      <c r="G10" s="47">
        <v>57</v>
      </c>
      <c r="H10" s="133">
        <f>IF(B$17=0,0,G10/B$17)</f>
        <v>0.12418300653594772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15.092156862745099</v>
      </c>
      <c r="P10" s="118">
        <v>51</v>
      </c>
      <c r="Q10" s="106">
        <v>769.7</v>
      </c>
    </row>
    <row r="11" spans="1:17" x14ac:dyDescent="0.4">
      <c r="A11" s="56" t="s">
        <v>140</v>
      </c>
      <c r="B11" s="48">
        <v>29</v>
      </c>
      <c r="C11" s="40">
        <f>IF(B$2=0,0,B11/B$2)</f>
        <v>0.17682926829268292</v>
      </c>
      <c r="E11" s="63" t="s">
        <v>71</v>
      </c>
      <c r="F11" s="60" t="s">
        <v>26</v>
      </c>
      <c r="G11" s="47">
        <v>39</v>
      </c>
      <c r="H11" s="133">
        <f>IF(B$17=0,0,G11/B$17)</f>
        <v>8.4967320261437912E-2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10.110000000000001</v>
      </c>
      <c r="P11" s="119">
        <v>50</v>
      </c>
      <c r="Q11" s="107">
        <v>505.50000000000006</v>
      </c>
    </row>
    <row r="12" spans="1:17" x14ac:dyDescent="0.4">
      <c r="A12" s="57" t="s">
        <v>160</v>
      </c>
      <c r="B12" s="49">
        <v>24</v>
      </c>
      <c r="C12" s="42">
        <f>IF(B$2=0,0,B12/B$2)</f>
        <v>0.14634146341463414</v>
      </c>
      <c r="E12" s="63" t="s">
        <v>87</v>
      </c>
      <c r="F12" s="60" t="s">
        <v>42</v>
      </c>
      <c r="G12" s="47">
        <v>35</v>
      </c>
      <c r="H12" s="133">
        <f>IF(B$17=0,0,G12/B$17)</f>
        <v>7.6252723311546838E-2</v>
      </c>
      <c r="I12" s="94">
        <v>3</v>
      </c>
      <c r="K12" s="38">
        <v>10</v>
      </c>
      <c r="L12" s="99">
        <v>246.20000000000005</v>
      </c>
      <c r="N12" s="116" t="s">
        <v>166</v>
      </c>
      <c r="O12" s="126">
        <f>IF(P12=0,0,Q12/P12)</f>
        <v>11.274603174603177</v>
      </c>
      <c r="P12" s="120">
        <v>63</v>
      </c>
      <c r="Q12" s="108">
        <v>710.30000000000018</v>
      </c>
    </row>
    <row r="13" spans="1:17" x14ac:dyDescent="0.4">
      <c r="A13" s="58" t="s">
        <v>122</v>
      </c>
      <c r="B13" s="50">
        <v>423</v>
      </c>
      <c r="C13" s="44">
        <f>IF(B$3=0,0,B13/B$3)</f>
        <v>0.31356560415122314</v>
      </c>
      <c r="E13" s="63" t="s">
        <v>72</v>
      </c>
      <c r="F13" s="60" t="s">
        <v>27</v>
      </c>
      <c r="G13" s="47">
        <v>31</v>
      </c>
      <c r="H13" s="133">
        <f>IF(B$17=0,0,G13/B$17)</f>
        <v>6.7538126361655779E-2</v>
      </c>
      <c r="I13" s="94">
        <v>6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284</v>
      </c>
      <c r="C14" s="39">
        <f>IF(B$3=0,0,B14/B$3)</f>
        <v>0.21052631578947367</v>
      </c>
      <c r="E14" s="63" t="s">
        <v>84</v>
      </c>
      <c r="F14" s="60" t="s">
        <v>39</v>
      </c>
      <c r="G14" s="47">
        <v>25</v>
      </c>
      <c r="H14" s="133">
        <f>IF(B$17=0,0,G14/B$17)</f>
        <v>5.4466230936819175E-2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242</v>
      </c>
      <c r="C15" s="37">
        <f>IF(B$13=0,0,B15/B$13)</f>
        <v>0.5721040189125296</v>
      </c>
      <c r="E15" s="63" t="s">
        <v>180</v>
      </c>
      <c r="F15" s="60" t="s">
        <v>181</v>
      </c>
      <c r="G15" s="47">
        <v>16</v>
      </c>
      <c r="H15" s="133">
        <f>IF(B$17=0,0,G15/B$17)</f>
        <v>3.4858387799564274E-2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148</v>
      </c>
      <c r="C16" s="37">
        <f>IF(B$14=0,0,B16/B$14)</f>
        <v>0.52112676056338025</v>
      </c>
      <c r="E16" s="63" t="s">
        <v>79</v>
      </c>
      <c r="F16" s="60" t="s">
        <v>34</v>
      </c>
      <c r="G16" s="47">
        <v>12</v>
      </c>
      <c r="H16" s="133">
        <f>IF(B$17=0,0,G16/B$17)</f>
        <v>2.6143790849673203E-2</v>
      </c>
      <c r="I16" s="94">
        <v>7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459</v>
      </c>
      <c r="C17" s="37">
        <f>IF(B$3=0,0,B17/B$3)</f>
        <v>0.34025203854707192</v>
      </c>
      <c r="E17" s="63" t="s">
        <v>82</v>
      </c>
      <c r="F17" s="60" t="s">
        <v>37</v>
      </c>
      <c r="G17" s="47">
        <v>12</v>
      </c>
      <c r="H17" s="133">
        <f>IF(B$17=0,0,G17/B$17)</f>
        <v>2.6143790849673203E-2</v>
      </c>
      <c r="I17" s="94">
        <v>8</v>
      </c>
      <c r="K17" s="38">
        <v>15</v>
      </c>
      <c r="L17" s="99">
        <v>481.50000000000006</v>
      </c>
      <c r="N17" s="115" t="s">
        <v>129</v>
      </c>
      <c r="O17" s="125">
        <f>IF(P17=0,0,Q17/P17)</f>
        <v>27.119672131147546</v>
      </c>
      <c r="P17" s="119">
        <v>61</v>
      </c>
      <c r="Q17" s="107">
        <v>1654.3000000000002</v>
      </c>
    </row>
    <row r="18" spans="1:17" x14ac:dyDescent="0.4">
      <c r="A18" s="55" t="s">
        <v>12</v>
      </c>
      <c r="B18" s="47">
        <v>192</v>
      </c>
      <c r="C18" s="39">
        <f>IF(B$17=0,0,B18/B$17)</f>
        <v>0.41830065359477125</v>
      </c>
      <c r="E18" s="63" t="s">
        <v>92</v>
      </c>
      <c r="F18" s="60" t="s">
        <v>47</v>
      </c>
      <c r="G18" s="47">
        <v>11</v>
      </c>
      <c r="H18" s="133">
        <f>IF(B$17=0,0,G18/B$17)</f>
        <v>2.3965141612200435E-2</v>
      </c>
      <c r="I18" s="94">
        <v>3</v>
      </c>
      <c r="K18" s="38">
        <v>16</v>
      </c>
      <c r="L18" s="99">
        <v>425.50000000000006</v>
      </c>
      <c r="N18" s="115" t="s">
        <v>172</v>
      </c>
      <c r="O18" s="125">
        <f>IF(P18=0,0,Q18/P18)</f>
        <v>24.906382978723396</v>
      </c>
      <c r="P18" s="119">
        <v>47</v>
      </c>
      <c r="Q18" s="107">
        <v>1170.5999999999997</v>
      </c>
    </row>
    <row r="19" spans="1:17" x14ac:dyDescent="0.4">
      <c r="A19" s="55" t="s">
        <v>11</v>
      </c>
      <c r="B19" s="47">
        <v>267</v>
      </c>
      <c r="C19" s="39">
        <f>IF(B$17=0,0,B19/B$17)</f>
        <v>0.5816993464052288</v>
      </c>
      <c r="E19" s="63" t="s">
        <v>80</v>
      </c>
      <c r="F19" s="60" t="s">
        <v>35</v>
      </c>
      <c r="G19" s="47">
        <v>6</v>
      </c>
      <c r="H19" s="133">
        <f>IF(B$17=0,0,G19/B$17)</f>
        <v>1.3071895424836602E-2</v>
      </c>
      <c r="I19" s="94">
        <v>9</v>
      </c>
      <c r="K19" s="38">
        <v>17</v>
      </c>
      <c r="L19" s="99">
        <v>427.40000000000003</v>
      </c>
      <c r="N19" s="115" t="s">
        <v>184</v>
      </c>
      <c r="O19" s="125">
        <f>IF(P19=0,0,Q19/P19)</f>
        <v>22.99166666666666</v>
      </c>
      <c r="P19" s="119">
        <v>12</v>
      </c>
      <c r="Q19" s="107">
        <v>275.89999999999992</v>
      </c>
    </row>
    <row r="20" spans="1:17" x14ac:dyDescent="0.4">
      <c r="A20" s="55" t="s">
        <v>13</v>
      </c>
      <c r="B20" s="47">
        <v>208</v>
      </c>
      <c r="C20" s="39">
        <f>IF(B$3=0,0,B20/B$3)</f>
        <v>0.15418828762045961</v>
      </c>
      <c r="E20" s="63" t="s">
        <v>86</v>
      </c>
      <c r="F20" s="60" t="s">
        <v>41</v>
      </c>
      <c r="G20" s="47">
        <v>4</v>
      </c>
      <c r="H20" s="133">
        <f>IF(B$17=0,0,G20/B$17)</f>
        <v>8.7145969498910684E-3</v>
      </c>
      <c r="I20" s="94">
        <v>2</v>
      </c>
      <c r="K20" s="38">
        <v>18</v>
      </c>
      <c r="L20" s="99">
        <v>429.3</v>
      </c>
      <c r="N20" s="115" t="s">
        <v>177</v>
      </c>
      <c r="O20" s="125">
        <f>IF(P20=0,0,Q20/P20)</f>
        <v>20.326470588235299</v>
      </c>
      <c r="P20" s="119">
        <v>34</v>
      </c>
      <c r="Q20" s="107">
        <v>691.10000000000014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74</v>
      </c>
      <c r="F21" s="60" t="s">
        <v>29</v>
      </c>
      <c r="G21" s="47">
        <v>3</v>
      </c>
      <c r="H21" s="133">
        <f>IF(B$17=0,0,G21/B$17)</f>
        <v>6.5359477124183009E-3</v>
      </c>
      <c r="I21" s="94">
        <v>6</v>
      </c>
      <c r="K21" s="38">
        <v>19</v>
      </c>
      <c r="L21" s="99">
        <v>405.40000000000003</v>
      </c>
      <c r="N21" s="115" t="s">
        <v>128</v>
      </c>
      <c r="O21" s="125">
        <f>IF(P21=0,0,Q21/P21)</f>
        <v>18.171111111111113</v>
      </c>
      <c r="P21" s="119">
        <v>90</v>
      </c>
      <c r="Q21" s="107">
        <v>1635.4</v>
      </c>
    </row>
    <row r="22" spans="1:17" x14ac:dyDescent="0.4">
      <c r="A22" s="55" t="s">
        <v>192</v>
      </c>
      <c r="B22" s="47">
        <v>39</v>
      </c>
      <c r="C22" s="135">
        <v>2</v>
      </c>
      <c r="E22" s="63" t="s">
        <v>93</v>
      </c>
      <c r="F22" s="60" t="s">
        <v>48</v>
      </c>
      <c r="G22" s="47">
        <v>3</v>
      </c>
      <c r="H22" s="133">
        <f>IF(B$17=0,0,G22/B$17)</f>
        <v>6.5359477124183009E-3</v>
      </c>
      <c r="I22" s="94">
        <v>2</v>
      </c>
      <c r="K22" s="38">
        <v>20</v>
      </c>
      <c r="L22" s="99">
        <v>469.6</v>
      </c>
      <c r="N22" s="115" t="s">
        <v>173</v>
      </c>
      <c r="O22" s="125">
        <f>IF(P22=0,0,Q22/P22)</f>
        <v>16.769565217391303</v>
      </c>
      <c r="P22" s="119">
        <v>23</v>
      </c>
      <c r="Q22" s="107">
        <v>385.7</v>
      </c>
    </row>
    <row r="23" spans="1:17" x14ac:dyDescent="0.4">
      <c r="A23" s="55" t="s">
        <v>5</v>
      </c>
      <c r="B23" s="51">
        <f>IF(B$17=0,0,C23/B$17)</f>
        <v>9294.3355119825701</v>
      </c>
      <c r="C23" s="41">
        <v>4266100</v>
      </c>
      <c r="E23" s="63" t="s">
        <v>78</v>
      </c>
      <c r="F23" s="60" t="s">
        <v>33</v>
      </c>
      <c r="G23" s="47">
        <v>2</v>
      </c>
      <c r="H23" s="133">
        <f>IF(B$17=0,0,G23/B$17)</f>
        <v>4.3572984749455342E-3</v>
      </c>
      <c r="I23" s="94">
        <v>5</v>
      </c>
      <c r="K23" s="38">
        <v>21</v>
      </c>
      <c r="L23" s="99">
        <v>468.3</v>
      </c>
      <c r="N23" s="115" t="s">
        <v>171</v>
      </c>
      <c r="O23" s="125">
        <f>IF(P23=0,0,Q23/P23)</f>
        <v>2.9685185185185161</v>
      </c>
      <c r="P23" s="119">
        <v>54</v>
      </c>
      <c r="Q23" s="107">
        <v>160.29999999999987</v>
      </c>
    </row>
    <row r="24" spans="1:17" x14ac:dyDescent="0.4">
      <c r="A24" s="57" t="s">
        <v>14</v>
      </c>
      <c r="B24" s="52">
        <f>IF(B$20=0,0,C24/B$20)</f>
        <v>-8188.9423076923076</v>
      </c>
      <c r="C24" s="45">
        <v>-1703300</v>
      </c>
      <c r="E24" s="63" t="s">
        <v>91</v>
      </c>
      <c r="F24" s="60" t="s">
        <v>46</v>
      </c>
      <c r="G24" s="47">
        <v>2</v>
      </c>
      <c r="H24" s="133">
        <f>IF(B$17=0,0,G24/B$17)</f>
        <v>4.3572984749455342E-3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6">
        <v>7</v>
      </c>
      <c r="C25" s="147"/>
      <c r="E25" s="63" t="s">
        <v>94</v>
      </c>
      <c r="F25" s="60" t="s">
        <v>49</v>
      </c>
      <c r="G25" s="47">
        <v>2</v>
      </c>
      <c r="H25" s="133">
        <f>IF(B$17=0,0,G25/B$17)</f>
        <v>4.3572984749455342E-3</v>
      </c>
      <c r="I25" s="94">
        <v>4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4">
        <v>116000</v>
      </c>
      <c r="C26" s="145"/>
      <c r="E26" s="63" t="s">
        <v>76</v>
      </c>
      <c r="F26" s="60" t="s">
        <v>31</v>
      </c>
      <c r="G26" s="47">
        <v>1</v>
      </c>
      <c r="H26" s="133">
        <f>IF(B$17=0,0,G26/B$17)</f>
        <v>2.1786492374727671E-3</v>
      </c>
      <c r="I26" s="94">
        <v>8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7.4128984432913266E-4</v>
      </c>
      <c r="E27" s="63" t="s">
        <v>85</v>
      </c>
      <c r="F27" s="60" t="s">
        <v>40</v>
      </c>
      <c r="G27" s="47">
        <v>1</v>
      </c>
      <c r="H27" s="133">
        <f>IF(B$17=0,0,G27/B$17)</f>
        <v>2.1786492374727671E-3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88</v>
      </c>
      <c r="F28" s="60" t="s">
        <v>43</v>
      </c>
      <c r="G28" s="47">
        <v>1</v>
      </c>
      <c r="H28" s="133">
        <f>IF(B$17=0,0,G28/B$17)</f>
        <v>2.1786492374727671E-3</v>
      </c>
      <c r="I28" s="94">
        <v>6</v>
      </c>
      <c r="K28" s="38">
        <v>26</v>
      </c>
      <c r="L28" s="99">
        <v>625.40000000000009</v>
      </c>
    </row>
    <row r="29" spans="1:17" x14ac:dyDescent="0.4">
      <c r="E29" s="63" t="s">
        <v>89</v>
      </c>
      <c r="F29" s="60" t="s">
        <v>44</v>
      </c>
      <c r="G29" s="47">
        <v>1</v>
      </c>
      <c r="H29" s="133">
        <f>IF(B$17=0,0,G29/B$17)</f>
        <v>2.1786492374727671E-3</v>
      </c>
      <c r="I29" s="94">
        <v>3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2.1786492374727671E-3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CE036-D088-4E2B-BE38-C9CC96B4086A}">
  <sheetPr codeName="Sheet9"/>
  <dimension ref="A1:Q13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128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134</v>
      </c>
      <c r="C2" s="153"/>
      <c r="E2" s="62" t="s">
        <v>65</v>
      </c>
      <c r="F2" s="59" t="s">
        <v>21</v>
      </c>
      <c r="G2" s="46">
        <v>186</v>
      </c>
      <c r="H2" s="132">
        <f>IF(B$17=0,0,G2/B$17)</f>
        <v>0.6262626262626263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151.49253731343285</v>
      </c>
      <c r="P2" s="118">
        <v>134</v>
      </c>
      <c r="Q2" s="102">
        <v>20300</v>
      </c>
    </row>
    <row r="3" spans="1:17" x14ac:dyDescent="0.4">
      <c r="A3" s="55" t="s">
        <v>8</v>
      </c>
      <c r="B3" s="154">
        <v>1099</v>
      </c>
      <c r="C3" s="155"/>
      <c r="E3" s="63" t="s">
        <v>66</v>
      </c>
      <c r="F3" s="60" t="s">
        <v>22</v>
      </c>
      <c r="G3" s="47">
        <v>47</v>
      </c>
      <c r="H3" s="133">
        <f>IF(B$17=0,0,G3/B$17)</f>
        <v>0.15824915824915825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-2101.5384615384614</v>
      </c>
      <c r="P3" s="119">
        <v>130</v>
      </c>
      <c r="Q3" s="103">
        <v>-273200</v>
      </c>
    </row>
    <row r="4" spans="1:17" x14ac:dyDescent="0.4">
      <c r="A4" s="55" t="s">
        <v>6</v>
      </c>
      <c r="B4" s="156">
        <v>-341.2</v>
      </c>
      <c r="C4" s="157"/>
      <c r="E4" s="63" t="s">
        <v>67</v>
      </c>
      <c r="F4" s="60" t="s">
        <v>23</v>
      </c>
      <c r="G4" s="47">
        <v>227</v>
      </c>
      <c r="H4" s="133">
        <f>IF(B$17=0,0,G4/B$17)</f>
        <v>0.76430976430976427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378.22580645161293</v>
      </c>
      <c r="P4" s="119">
        <v>124</v>
      </c>
      <c r="Q4" s="103">
        <v>46900</v>
      </c>
    </row>
    <row r="5" spans="1:17" x14ac:dyDescent="0.4">
      <c r="A5" s="55" t="s">
        <v>7</v>
      </c>
      <c r="B5" s="158">
        <f>IF(B$2=0,0,B$4/B$2)</f>
        <v>-2.5462686567164177</v>
      </c>
      <c r="C5" s="159"/>
      <c r="E5" s="63" t="s">
        <v>68</v>
      </c>
      <c r="F5" s="60" t="s">
        <v>24</v>
      </c>
      <c r="G5" s="47">
        <v>121</v>
      </c>
      <c r="H5" s="133">
        <f>IF(B$17=0,0,G5/B$17)</f>
        <v>0.40740740740740738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-35.135135135135137</v>
      </c>
      <c r="P5" s="119">
        <v>111</v>
      </c>
      <c r="Q5" s="103">
        <v>-3900</v>
      </c>
    </row>
    <row r="6" spans="1:17" x14ac:dyDescent="0.4">
      <c r="A6" s="55" t="s">
        <v>1</v>
      </c>
      <c r="B6" s="148">
        <f>IF(B$2=0,0,(B$7*1+B$8*2+B$9*3)/B$2)</f>
        <v>2.0746268656716418</v>
      </c>
      <c r="C6" s="149"/>
      <c r="E6" s="63" t="s">
        <v>69</v>
      </c>
      <c r="F6" s="60" t="s">
        <v>12</v>
      </c>
      <c r="G6" s="47">
        <v>103</v>
      </c>
      <c r="H6" s="133">
        <f>IF(B$17=0,0,G6/B$17)</f>
        <v>0.34680134680134678</v>
      </c>
      <c r="I6" s="94">
        <v>5</v>
      </c>
      <c r="K6" s="38">
        <v>4</v>
      </c>
      <c r="L6" s="99">
        <v>13.599999999999994</v>
      </c>
      <c r="N6" s="115" t="s">
        <v>136</v>
      </c>
      <c r="O6" s="122">
        <f t="shared" si="0"/>
        <v>835.71428571428567</v>
      </c>
      <c r="P6" s="119">
        <v>98</v>
      </c>
      <c r="Q6" s="103">
        <v>81900</v>
      </c>
    </row>
    <row r="7" spans="1:17" x14ac:dyDescent="0.4">
      <c r="A7" s="55" t="s">
        <v>2</v>
      </c>
      <c r="B7" s="47">
        <v>36</v>
      </c>
      <c r="C7" s="39">
        <f>IF(B$2=0,0,B7/B$2)</f>
        <v>0.26865671641791045</v>
      </c>
      <c r="E7" s="63" t="s">
        <v>70</v>
      </c>
      <c r="F7" s="60" t="s">
        <v>25</v>
      </c>
      <c r="G7" s="47">
        <v>68</v>
      </c>
      <c r="H7" s="133">
        <f>IF(B$17=0,0,G7/B$17)</f>
        <v>0.22895622895622897</v>
      </c>
      <c r="I7" s="94">
        <v>2</v>
      </c>
      <c r="K7" s="38">
        <v>5</v>
      </c>
      <c r="L7" s="99">
        <v>-16.600000000000005</v>
      </c>
      <c r="N7" s="116" t="s">
        <v>137</v>
      </c>
      <c r="O7" s="123">
        <f t="shared" si="0"/>
        <v>25.842696629213481</v>
      </c>
      <c r="P7" s="120">
        <v>89</v>
      </c>
      <c r="Q7" s="104">
        <v>2300</v>
      </c>
    </row>
    <row r="8" spans="1:17" x14ac:dyDescent="0.4">
      <c r="A8" s="55" t="s">
        <v>3</v>
      </c>
      <c r="B8" s="47">
        <v>52</v>
      </c>
      <c r="C8" s="39">
        <f>IF(B$2=0,0,B8/B$2)</f>
        <v>0.38805970149253732</v>
      </c>
      <c r="E8" s="63" t="s">
        <v>71</v>
      </c>
      <c r="F8" s="60" t="s">
        <v>26</v>
      </c>
      <c r="G8" s="47">
        <v>37</v>
      </c>
      <c r="H8" s="133">
        <f>IF(B$17=0,0,G8/B$17)</f>
        <v>0.12457912457912458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46</v>
      </c>
      <c r="C9" s="40">
        <f t="shared" ref="C9" si="1">IF(B$2=0,0,B9/B$2)</f>
        <v>0.34328358208955223</v>
      </c>
      <c r="E9" s="63" t="s">
        <v>72</v>
      </c>
      <c r="F9" s="60" t="s">
        <v>27</v>
      </c>
      <c r="G9" s="47">
        <v>17</v>
      </c>
      <c r="H9" s="133">
        <f>IF(B$17=0,0,G9/B$17)</f>
        <v>5.7239057239057242E-2</v>
      </c>
      <c r="I9" s="94">
        <v>10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>IF(B$2=0,0,B10/B$2)</f>
        <v>0.13432835820895522</v>
      </c>
      <c r="E10" s="63" t="s">
        <v>73</v>
      </c>
      <c r="F10" s="60" t="s">
        <v>28</v>
      </c>
      <c r="G10" s="47">
        <v>135</v>
      </c>
      <c r="H10" s="133">
        <f>IF(B$17=0,0,G10/B$17)</f>
        <v>0.45454545454545453</v>
      </c>
      <c r="I10" s="94">
        <v>11</v>
      </c>
      <c r="K10" s="38">
        <v>8</v>
      </c>
      <c r="L10" s="99">
        <v>-49.6</v>
      </c>
      <c r="N10" s="114" t="s">
        <v>164</v>
      </c>
      <c r="O10" s="124">
        <f>IF(P10=0,0,Q10/P10)</f>
        <v>-7.3552238805970163</v>
      </c>
      <c r="P10" s="118">
        <v>67</v>
      </c>
      <c r="Q10" s="106">
        <v>-492.80000000000007</v>
      </c>
    </row>
    <row r="11" spans="1:17" x14ac:dyDescent="0.4">
      <c r="A11" s="56" t="s">
        <v>140</v>
      </c>
      <c r="B11" s="48">
        <v>14</v>
      </c>
      <c r="C11" s="40">
        <f>IF(B$2=0,0,B11/B$2)</f>
        <v>0.1044776119402985</v>
      </c>
      <c r="E11" s="63" t="s">
        <v>74</v>
      </c>
      <c r="F11" s="60" t="s">
        <v>29</v>
      </c>
      <c r="G11" s="47">
        <v>2</v>
      </c>
      <c r="H11" s="133">
        <f>IF(B$17=0,0,G11/B$17)</f>
        <v>6.7340067340067337E-3</v>
      </c>
      <c r="I11" s="94">
        <v>5</v>
      </c>
      <c r="K11" s="38">
        <v>9</v>
      </c>
      <c r="L11" s="99">
        <v>-79.5</v>
      </c>
      <c r="N11" s="115" t="s">
        <v>165</v>
      </c>
      <c r="O11" s="125">
        <f>IF(P11=0,0,Q11/P11)</f>
        <v>-0.67999999999999916</v>
      </c>
      <c r="P11" s="119">
        <v>35</v>
      </c>
      <c r="Q11" s="107">
        <v>-23.799999999999969</v>
      </c>
    </row>
    <row r="12" spans="1:17" x14ac:dyDescent="0.4">
      <c r="A12" s="57" t="s">
        <v>160</v>
      </c>
      <c r="B12" s="49">
        <v>9</v>
      </c>
      <c r="C12" s="42">
        <f>IF(B$2=0,0,B12/B$2)</f>
        <v>6.7164179104477612E-2</v>
      </c>
      <c r="E12" s="63" t="s">
        <v>75</v>
      </c>
      <c r="F12" s="60" t="s">
        <v>30</v>
      </c>
      <c r="G12" s="47">
        <v>2</v>
      </c>
      <c r="H12" s="133">
        <f>IF(B$17=0,0,G12/B$17)</f>
        <v>6.7340067340067337E-3</v>
      </c>
      <c r="I12" s="94">
        <v>4</v>
      </c>
      <c r="K12" s="38">
        <v>10</v>
      </c>
      <c r="L12" s="99">
        <v>-80.900000000000006</v>
      </c>
      <c r="N12" s="116" t="s">
        <v>166</v>
      </c>
      <c r="O12" s="126">
        <f>IF(P12=0,0,Q12/P12)</f>
        <v>5.4812499999999993</v>
      </c>
      <c r="P12" s="120">
        <v>32</v>
      </c>
      <c r="Q12" s="108">
        <v>175.39999999999998</v>
      </c>
    </row>
    <row r="13" spans="1:17" x14ac:dyDescent="0.4">
      <c r="A13" s="58" t="s">
        <v>122</v>
      </c>
      <c r="B13" s="50">
        <v>329</v>
      </c>
      <c r="C13" s="44">
        <f>IF(B$3=0,0,B13/B$3)</f>
        <v>0.29936305732484075</v>
      </c>
      <c r="E13" s="63" t="s">
        <v>76</v>
      </c>
      <c r="F13" s="60" t="s">
        <v>31</v>
      </c>
      <c r="G13" s="47">
        <v>3</v>
      </c>
      <c r="H13" s="133">
        <f>IF(B$17=0,0,G13/B$17)</f>
        <v>1.0101010101010102E-2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193</v>
      </c>
      <c r="C14" s="39">
        <f>IF(B$3=0,0,B14/B$3)</f>
        <v>0.17561419472247497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195</v>
      </c>
      <c r="C15" s="37">
        <f>IF(B$13=0,0,B15/B$13)</f>
        <v>0.59270516717325228</v>
      </c>
      <c r="E15" s="63" t="s">
        <v>78</v>
      </c>
      <c r="F15" s="60" t="s">
        <v>33</v>
      </c>
      <c r="G15" s="47">
        <v>1</v>
      </c>
      <c r="H15" s="133">
        <f>IF(B$17=0,0,G15/B$17)</f>
        <v>3.3670033670033669E-3</v>
      </c>
      <c r="I15" s="94">
        <v>6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19.033333333333335</v>
      </c>
      <c r="P15" s="118">
        <v>9</v>
      </c>
      <c r="Q15" s="106">
        <v>171.3</v>
      </c>
    </row>
    <row r="16" spans="1:17" x14ac:dyDescent="0.4">
      <c r="A16" s="54" t="s">
        <v>125</v>
      </c>
      <c r="B16" s="46">
        <v>57</v>
      </c>
      <c r="C16" s="37">
        <f>IF(B$14=0,0,B16/B$14)</f>
        <v>0.29533678756476683</v>
      </c>
      <c r="E16" s="63" t="s">
        <v>79</v>
      </c>
      <c r="F16" s="60" t="s">
        <v>34</v>
      </c>
      <c r="G16" s="47">
        <v>5</v>
      </c>
      <c r="H16" s="133">
        <f>IF(B$17=0,0,G16/B$17)</f>
        <v>1.6835016835016835E-2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13.619047619047617</v>
      </c>
      <c r="P16" s="119">
        <v>42</v>
      </c>
      <c r="Q16" s="107">
        <v>571.99999999999989</v>
      </c>
    </row>
    <row r="17" spans="1:17" x14ac:dyDescent="0.4">
      <c r="A17" s="54" t="s">
        <v>10</v>
      </c>
      <c r="B17" s="46">
        <f>B19+B18</f>
        <v>297</v>
      </c>
      <c r="C17" s="37">
        <f>IF(B$3=0,0,B17/B$3)</f>
        <v>0.27024567788899001</v>
      </c>
      <c r="E17" s="63" t="s">
        <v>80</v>
      </c>
      <c r="F17" s="60" t="s">
        <v>35</v>
      </c>
      <c r="G17" s="47">
        <v>7</v>
      </c>
      <c r="H17" s="133">
        <f>IF(B$17=0,0,G17/B$17)</f>
        <v>2.3569023569023569E-2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 t="shared" si="2"/>
        <v>9.0374999999999996</v>
      </c>
      <c r="P17" s="119">
        <v>24</v>
      </c>
      <c r="Q17" s="107">
        <v>216.89999999999998</v>
      </c>
    </row>
    <row r="18" spans="1:17" x14ac:dyDescent="0.4">
      <c r="A18" s="55" t="s">
        <v>12</v>
      </c>
      <c r="B18" s="47">
        <v>127</v>
      </c>
      <c r="C18" s="39">
        <f>IF(B$17=0,0,B18/B$17)</f>
        <v>0.42760942760942761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 t="shared" si="2"/>
        <v>-0.24736842105262649</v>
      </c>
      <c r="P18" s="119">
        <v>38</v>
      </c>
      <c r="Q18" s="107">
        <v>-9.3999999999998067</v>
      </c>
    </row>
    <row r="19" spans="1:17" x14ac:dyDescent="0.4">
      <c r="A19" s="55" t="s">
        <v>11</v>
      </c>
      <c r="B19" s="47">
        <v>170</v>
      </c>
      <c r="C19" s="39">
        <f>IF(B$17=0,0,B19/B$17)</f>
        <v>0.57239057239057234</v>
      </c>
      <c r="E19" s="63" t="s">
        <v>82</v>
      </c>
      <c r="F19" s="60" t="s">
        <v>37</v>
      </c>
      <c r="G19" s="47">
        <v>9</v>
      </c>
      <c r="H19" s="133">
        <f>IF(B$17=0,0,G19/B$17)</f>
        <v>3.0303030303030304E-2</v>
      </c>
      <c r="I19" s="94">
        <v>5</v>
      </c>
      <c r="K19" s="38">
        <v>17</v>
      </c>
      <c r="L19" s="99">
        <v>94.6</v>
      </c>
      <c r="N19" s="115" t="s">
        <v>172</v>
      </c>
      <c r="O19" s="125">
        <f t="shared" si="2"/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190</v>
      </c>
      <c r="C20" s="39">
        <f>IF(B$3=0,0,B20/B$3)</f>
        <v>0.17288444040036396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200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84</v>
      </c>
      <c r="F21" s="60" t="s">
        <v>39</v>
      </c>
      <c r="G21" s="47">
        <v>10</v>
      </c>
      <c r="H21" s="133">
        <f>IF(B$17=0,0,G21/B$17)</f>
        <v>3.3670033670033669E-2</v>
      </c>
      <c r="I21" s="94">
        <v>10</v>
      </c>
      <c r="K21" s="38">
        <v>19</v>
      </c>
      <c r="L21" s="99">
        <v>138.79999999999998</v>
      </c>
      <c r="N21" s="115" t="s">
        <v>177</v>
      </c>
      <c r="O21" s="125">
        <f t="shared" si="2"/>
        <v>-6.1827586206896559</v>
      </c>
      <c r="P21" s="119">
        <v>29</v>
      </c>
      <c r="Q21" s="107">
        <v>-179.3</v>
      </c>
    </row>
    <row r="22" spans="1:17" x14ac:dyDescent="0.4">
      <c r="A22" s="55" t="s">
        <v>192</v>
      </c>
      <c r="B22" s="47">
        <v>24</v>
      </c>
      <c r="C22" s="135">
        <v>5</v>
      </c>
      <c r="E22" s="63" t="s">
        <v>85</v>
      </c>
      <c r="F22" s="60" t="s">
        <v>40</v>
      </c>
      <c r="G22" s="47">
        <v>1</v>
      </c>
      <c r="H22" s="133">
        <f>IF(B$17=0,0,G22/B$17)</f>
        <v>3.3670033670033669E-3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 t="shared" si="2"/>
        <v>-18.171111111111113</v>
      </c>
      <c r="P22" s="119">
        <v>90</v>
      </c>
      <c r="Q22" s="107">
        <v>-1635.4</v>
      </c>
    </row>
    <row r="23" spans="1:17" x14ac:dyDescent="0.4">
      <c r="A23" s="55" t="s">
        <v>5</v>
      </c>
      <c r="B23" s="51">
        <f>IF(B$17=0,0,C23/B$17)</f>
        <v>9292.9292929292933</v>
      </c>
      <c r="C23" s="41">
        <v>2760000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-7700.5263157894733</v>
      </c>
      <c r="C24" s="45">
        <v>-1463100</v>
      </c>
      <c r="E24" s="63" t="s">
        <v>87</v>
      </c>
      <c r="F24" s="60" t="s">
        <v>42</v>
      </c>
      <c r="G24" s="47">
        <v>15</v>
      </c>
      <c r="H24" s="133">
        <f>IF(B$17=0,0,G24/B$17)</f>
        <v>5.0505050505050504E-2</v>
      </c>
      <c r="I24" s="94">
        <v>8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6">
        <v>7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4">
        <v>107600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3.3670033670033669E-3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4.549590536851683E-3</v>
      </c>
      <c r="E27" s="63" t="s">
        <v>90</v>
      </c>
      <c r="F27" s="60" t="s">
        <v>45</v>
      </c>
      <c r="G27" s="47">
        <v>32</v>
      </c>
      <c r="H27" s="133">
        <f>IF(B$17=0,0,G27/B$17)</f>
        <v>0.10774410774410774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2.0202020202020204E-2</v>
      </c>
      <c r="I29" s="94">
        <v>4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3.3670033670033669E-3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3.3670033670033669E-3</v>
      </c>
      <c r="I31" s="94">
        <v>6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3.3670033670033669E-3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1.6835016835016835E-2</v>
      </c>
      <c r="I50" s="94">
        <v>4</v>
      </c>
      <c r="K50" s="38">
        <v>48</v>
      </c>
      <c r="L50" s="99">
        <v>50.599999999999959</v>
      </c>
    </row>
    <row r="51" spans="5:12" x14ac:dyDescent="0.4">
      <c r="E51" s="136" t="s">
        <v>245</v>
      </c>
      <c r="F51" s="137" t="s">
        <v>246</v>
      </c>
      <c r="G51" s="48">
        <v>126</v>
      </c>
      <c r="H51" s="138">
        <f>IF(B$17=0,0,G51/B$17)</f>
        <v>0.42424242424242425</v>
      </c>
      <c r="I51" s="139">
        <v>5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</sheetData>
  <sortState ref="E2:I13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70E99-6F5D-424E-B072-5E5E98A923FB}">
  <sheetPr codeName="Sheet11"/>
  <dimension ref="A1:Q109"/>
  <sheetViews>
    <sheetView showGridLines="0" zoomScale="99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129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107</v>
      </c>
      <c r="C2" s="153"/>
      <c r="E2" s="62" t="s">
        <v>67</v>
      </c>
      <c r="F2" s="59" t="s">
        <v>23</v>
      </c>
      <c r="G2" s="46">
        <v>196</v>
      </c>
      <c r="H2" s="132">
        <f>IF(B$17=0,0,G2/B$17)</f>
        <v>0.83050847457627119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-2235.5140186915887</v>
      </c>
      <c r="P2" s="118">
        <v>107</v>
      </c>
      <c r="Q2" s="102">
        <v>-239200</v>
      </c>
    </row>
    <row r="3" spans="1:17" x14ac:dyDescent="0.4">
      <c r="A3" s="55" t="s">
        <v>8</v>
      </c>
      <c r="B3" s="154">
        <v>909</v>
      </c>
      <c r="C3" s="155"/>
      <c r="E3" s="63" t="s">
        <v>65</v>
      </c>
      <c r="F3" s="60" t="s">
        <v>21</v>
      </c>
      <c r="G3" s="47">
        <v>125</v>
      </c>
      <c r="H3" s="133">
        <f>IF(B$17=0,0,G3/B$17)</f>
        <v>0.52966101694915257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-1169.5238095238096</v>
      </c>
      <c r="P3" s="119">
        <v>105</v>
      </c>
      <c r="Q3" s="103">
        <v>-122800</v>
      </c>
    </row>
    <row r="4" spans="1:17" x14ac:dyDescent="0.4">
      <c r="A4" s="55" t="s">
        <v>6</v>
      </c>
      <c r="B4" s="156">
        <v>-1085.0000000000002</v>
      </c>
      <c r="C4" s="157"/>
      <c r="E4" s="63" t="s">
        <v>73</v>
      </c>
      <c r="F4" s="60" t="s">
        <v>28</v>
      </c>
      <c r="G4" s="47">
        <v>98</v>
      </c>
      <c r="H4" s="133">
        <f>IF(B$17=0,0,G4/B$17)</f>
        <v>0.4152542372881356</v>
      </c>
      <c r="I4" s="94">
        <v>13</v>
      </c>
      <c r="K4" s="38">
        <v>2</v>
      </c>
      <c r="L4" s="99">
        <v>-3.3999999999999986</v>
      </c>
      <c r="N4" s="115" t="s">
        <v>134</v>
      </c>
      <c r="O4" s="122">
        <f t="shared" si="0"/>
        <v>-157.57575757575756</v>
      </c>
      <c r="P4" s="119">
        <v>99</v>
      </c>
      <c r="Q4" s="103">
        <v>-15600</v>
      </c>
    </row>
    <row r="5" spans="1:17" x14ac:dyDescent="0.4">
      <c r="A5" s="55" t="s">
        <v>7</v>
      </c>
      <c r="B5" s="158">
        <f>IF(B$2=0,0,B$4/B$2)</f>
        <v>-10.140186915887853</v>
      </c>
      <c r="C5" s="159"/>
      <c r="E5" s="63" t="s">
        <v>245</v>
      </c>
      <c r="F5" s="60" t="s">
        <v>246</v>
      </c>
      <c r="G5" s="47">
        <v>93</v>
      </c>
      <c r="H5" s="133">
        <f>IF(B$17=0,0,G5/B$17)</f>
        <v>0.3940677966101695</v>
      </c>
      <c r="I5" s="94">
        <v>9</v>
      </c>
      <c r="K5" s="38">
        <v>3</v>
      </c>
      <c r="L5" s="99">
        <v>-23.099999999999998</v>
      </c>
      <c r="N5" s="115" t="s">
        <v>135</v>
      </c>
      <c r="O5" s="122">
        <f t="shared" si="0"/>
        <v>-3809.090909090909</v>
      </c>
      <c r="P5" s="119">
        <v>88</v>
      </c>
      <c r="Q5" s="103">
        <v>-335200</v>
      </c>
    </row>
    <row r="6" spans="1:17" x14ac:dyDescent="0.4">
      <c r="A6" s="55" t="s">
        <v>1</v>
      </c>
      <c r="B6" s="148">
        <f>IF(B$2=0,0,(B$7*1+B$8*2+B$9*3)/B$2)</f>
        <v>2.1588785046728973</v>
      </c>
      <c r="C6" s="149"/>
      <c r="E6" s="63" t="s">
        <v>69</v>
      </c>
      <c r="F6" s="60" t="s">
        <v>12</v>
      </c>
      <c r="G6" s="47">
        <v>87</v>
      </c>
      <c r="H6" s="133">
        <f>IF(B$17=0,0,G6/B$17)</f>
        <v>0.36864406779661019</v>
      </c>
      <c r="I6" s="94">
        <v>4</v>
      </c>
      <c r="K6" s="38">
        <v>4</v>
      </c>
      <c r="L6" s="99">
        <v>-31.4</v>
      </c>
      <c r="N6" s="115" t="s">
        <v>136</v>
      </c>
      <c r="O6" s="122">
        <f t="shared" si="0"/>
        <v>-268.75</v>
      </c>
      <c r="P6" s="119">
        <v>80</v>
      </c>
      <c r="Q6" s="103">
        <v>-21500</v>
      </c>
    </row>
    <row r="7" spans="1:17" x14ac:dyDescent="0.4">
      <c r="A7" s="55" t="s">
        <v>2</v>
      </c>
      <c r="B7" s="47">
        <v>30</v>
      </c>
      <c r="C7" s="39">
        <f>IF(B$2=0,0,B7/B$2)</f>
        <v>0.28037383177570091</v>
      </c>
      <c r="E7" s="63" t="s">
        <v>68</v>
      </c>
      <c r="F7" s="60" t="s">
        <v>24</v>
      </c>
      <c r="G7" s="47">
        <v>70</v>
      </c>
      <c r="H7" s="133">
        <f>IF(B$17=0,0,G7/B$17)</f>
        <v>0.29661016949152541</v>
      </c>
      <c r="I7" s="94">
        <v>7</v>
      </c>
      <c r="K7" s="38">
        <v>5</v>
      </c>
      <c r="L7" s="99">
        <v>-32.199999999999996</v>
      </c>
      <c r="N7" s="116" t="s">
        <v>137</v>
      </c>
      <c r="O7" s="123">
        <f t="shared" si="0"/>
        <v>-446.47887323943661</v>
      </c>
      <c r="P7" s="120">
        <v>71</v>
      </c>
      <c r="Q7" s="104">
        <v>-31700</v>
      </c>
    </row>
    <row r="8" spans="1:17" x14ac:dyDescent="0.4">
      <c r="A8" s="55" t="s">
        <v>3</v>
      </c>
      <c r="B8" s="47">
        <v>30</v>
      </c>
      <c r="C8" s="39">
        <f>IF(B$2=0,0,B8/B$2)</f>
        <v>0.28037383177570091</v>
      </c>
      <c r="E8" s="63" t="s">
        <v>70</v>
      </c>
      <c r="F8" s="60" t="s">
        <v>25</v>
      </c>
      <c r="G8" s="47">
        <v>43</v>
      </c>
      <c r="H8" s="133">
        <f>IF(B$17=0,0,G8/B$17)</f>
        <v>0.18220338983050846</v>
      </c>
      <c r="I8" s="94">
        <v>5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47</v>
      </c>
      <c r="C9" s="40">
        <f t="shared" ref="C9" si="1">IF(B$2=0,0,B9/B$2)</f>
        <v>0.43925233644859812</v>
      </c>
      <c r="E9" s="63" t="s">
        <v>71</v>
      </c>
      <c r="F9" s="60" t="s">
        <v>26</v>
      </c>
      <c r="G9" s="47">
        <v>38</v>
      </c>
      <c r="H9" s="133">
        <f>IF(B$17=0,0,G9/B$17)</f>
        <v>0.16101694915254236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19</v>
      </c>
      <c r="C10" s="40">
        <f>IF(B$2=0,0,B10/B$2)</f>
        <v>0.17757009345794392</v>
      </c>
      <c r="E10" s="63" t="s">
        <v>72</v>
      </c>
      <c r="F10" s="60" t="s">
        <v>27</v>
      </c>
      <c r="G10" s="47">
        <v>25</v>
      </c>
      <c r="H10" s="133">
        <f>IF(B$17=0,0,G10/B$17)</f>
        <v>0.1059322033898305</v>
      </c>
      <c r="I10" s="94">
        <v>3</v>
      </c>
      <c r="K10" s="38">
        <v>8</v>
      </c>
      <c r="L10" s="99">
        <v>-79.599999999999994</v>
      </c>
      <c r="N10" s="114" t="s">
        <v>164</v>
      </c>
      <c r="O10" s="124">
        <f>IF(P10=0,0,Q10/P10)</f>
        <v>-16.003333333333327</v>
      </c>
      <c r="P10" s="118">
        <v>30</v>
      </c>
      <c r="Q10" s="106">
        <v>-480.0999999999998</v>
      </c>
    </row>
    <row r="11" spans="1:17" x14ac:dyDescent="0.4">
      <c r="A11" s="56" t="s">
        <v>140</v>
      </c>
      <c r="B11" s="48">
        <v>10</v>
      </c>
      <c r="C11" s="40">
        <f>IF(B$2=0,0,B11/B$2)</f>
        <v>9.3457943925233641E-2</v>
      </c>
      <c r="E11" s="63" t="s">
        <v>90</v>
      </c>
      <c r="F11" s="60" t="s">
        <v>45</v>
      </c>
      <c r="G11" s="47">
        <v>24</v>
      </c>
      <c r="H11" s="133">
        <f>IF(B$17=0,0,G11/B$17)</f>
        <v>0.10169491525423729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-6.4790697674418638</v>
      </c>
      <c r="P11" s="119">
        <v>43</v>
      </c>
      <c r="Q11" s="107">
        <v>-278.60000000000014</v>
      </c>
    </row>
    <row r="12" spans="1:17" x14ac:dyDescent="0.4">
      <c r="A12" s="57" t="s">
        <v>160</v>
      </c>
      <c r="B12" s="49">
        <v>8</v>
      </c>
      <c r="C12" s="42">
        <f>IF(B$2=0,0,B12/B$2)</f>
        <v>7.476635514018691E-2</v>
      </c>
      <c r="E12" s="63" t="s">
        <v>66</v>
      </c>
      <c r="F12" s="60" t="s">
        <v>22</v>
      </c>
      <c r="G12" s="47">
        <v>20</v>
      </c>
      <c r="H12" s="133">
        <f>IF(B$17=0,0,G12/B$17)</f>
        <v>8.4745762711864403E-2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-9.5970588235294088</v>
      </c>
      <c r="P12" s="120">
        <v>34</v>
      </c>
      <c r="Q12" s="108">
        <v>-326.2999999999999</v>
      </c>
    </row>
    <row r="13" spans="1:17" x14ac:dyDescent="0.4">
      <c r="A13" s="58" t="s">
        <v>122</v>
      </c>
      <c r="B13" s="50">
        <v>242</v>
      </c>
      <c r="C13" s="44">
        <f>IF(B$3=0,0,B13/B$3)</f>
        <v>0.26622662266226621</v>
      </c>
      <c r="E13" s="63" t="s">
        <v>87</v>
      </c>
      <c r="F13" s="60" t="s">
        <v>42</v>
      </c>
      <c r="G13" s="47">
        <v>12</v>
      </c>
      <c r="H13" s="133">
        <f>IF(B$17=0,0,G13/B$17)</f>
        <v>5.0847457627118647E-2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164</v>
      </c>
      <c r="C14" s="39">
        <f>IF(B$3=0,0,B14/B$3)</f>
        <v>0.18041804180418042</v>
      </c>
      <c r="E14" s="63" t="s">
        <v>79</v>
      </c>
      <c r="F14" s="60" t="s">
        <v>34</v>
      </c>
      <c r="G14" s="47">
        <v>10</v>
      </c>
      <c r="H14" s="133">
        <f>IF(B$17=0,0,G14/B$17)</f>
        <v>4.2372881355932202E-2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129</v>
      </c>
      <c r="C15" s="37">
        <f>IF(B$13=0,0,B15/B$13)</f>
        <v>0.53305785123966942</v>
      </c>
      <c r="E15" s="63" t="s">
        <v>84</v>
      </c>
      <c r="F15" s="60" t="s">
        <v>39</v>
      </c>
      <c r="G15" s="47">
        <v>9</v>
      </c>
      <c r="H15" s="133">
        <f>IF(B$17=0,0,G15/B$17)</f>
        <v>3.8135593220338986E-2</v>
      </c>
      <c r="I15" s="94">
        <v>9</v>
      </c>
      <c r="K15" s="38">
        <v>13</v>
      </c>
      <c r="L15" s="99">
        <v>-369.1</v>
      </c>
      <c r="N15" s="114" t="s">
        <v>271</v>
      </c>
      <c r="O15" s="124">
        <f>IF(P15=0,0,Q15/P15)</f>
        <v>98.949999999999989</v>
      </c>
      <c r="P15" s="118">
        <v>2</v>
      </c>
      <c r="Q15" s="106">
        <v>197.89999999999998</v>
      </c>
    </row>
    <row r="16" spans="1:17" x14ac:dyDescent="0.4">
      <c r="A16" s="54" t="s">
        <v>125</v>
      </c>
      <c r="B16" s="46">
        <v>48</v>
      </c>
      <c r="C16" s="37">
        <f>IF(B$14=0,0,B16/B$14)</f>
        <v>0.29268292682926828</v>
      </c>
      <c r="E16" s="63" t="s">
        <v>82</v>
      </c>
      <c r="F16" s="60" t="s">
        <v>37</v>
      </c>
      <c r="G16" s="47">
        <v>7</v>
      </c>
      <c r="H16" s="133">
        <f>IF(B$17=0,0,G16/B$17)</f>
        <v>2.9661016949152543E-2</v>
      </c>
      <c r="I16" s="94">
        <v>6</v>
      </c>
      <c r="K16" s="38">
        <v>14</v>
      </c>
      <c r="L16" s="99">
        <v>-394.6</v>
      </c>
      <c r="N16" s="115" t="s">
        <v>223</v>
      </c>
      <c r="O16" s="125">
        <f>IF(P16=0,0,Q16/P16)</f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236</v>
      </c>
      <c r="C17" s="37">
        <f>IF(B$3=0,0,B17/B$3)</f>
        <v>0.25962596259625964</v>
      </c>
      <c r="E17" s="63" t="s">
        <v>78</v>
      </c>
      <c r="F17" s="60" t="s">
        <v>33</v>
      </c>
      <c r="G17" s="47">
        <v>5</v>
      </c>
      <c r="H17" s="133">
        <f>IF(B$17=0,0,G17/B$17)</f>
        <v>2.1186440677966101E-2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>IF(P17=0,0,Q17/P17)</f>
        <v>17.8</v>
      </c>
      <c r="P17" s="119">
        <v>4</v>
      </c>
      <c r="Q17" s="107">
        <v>71.2</v>
      </c>
    </row>
    <row r="18" spans="1:17" x14ac:dyDescent="0.4">
      <c r="A18" s="55" t="s">
        <v>12</v>
      </c>
      <c r="B18" s="47">
        <v>106</v>
      </c>
      <c r="C18" s="39">
        <f>IF(B$17=0,0,B18/B$17)</f>
        <v>0.44915254237288138</v>
      </c>
      <c r="E18" s="63" t="s">
        <v>75</v>
      </c>
      <c r="F18" s="60" t="s">
        <v>30</v>
      </c>
      <c r="G18" s="47">
        <v>3</v>
      </c>
      <c r="H18" s="133">
        <f>IF(B$17=0,0,G18/B$17)</f>
        <v>1.2711864406779662E-2</v>
      </c>
      <c r="I18" s="94">
        <v>2</v>
      </c>
      <c r="K18" s="38">
        <v>16</v>
      </c>
      <c r="L18" s="99">
        <v>-472</v>
      </c>
      <c r="N18" s="115" t="s">
        <v>177</v>
      </c>
      <c r="O18" s="125">
        <f>IF(P18=0,0,Q18/P18)</f>
        <v>2.4666666666666677</v>
      </c>
      <c r="P18" s="119">
        <v>30</v>
      </c>
      <c r="Q18" s="107">
        <v>74.000000000000028</v>
      </c>
    </row>
    <row r="19" spans="1:17" x14ac:dyDescent="0.4">
      <c r="A19" s="55" t="s">
        <v>11</v>
      </c>
      <c r="B19" s="47">
        <v>130</v>
      </c>
      <c r="C19" s="39">
        <f>IF(B$17=0,0,B19/B$17)</f>
        <v>0.55084745762711862</v>
      </c>
      <c r="E19" s="63" t="s">
        <v>92</v>
      </c>
      <c r="F19" s="60" t="s">
        <v>47</v>
      </c>
      <c r="G19" s="47">
        <v>3</v>
      </c>
      <c r="H19" s="133">
        <f>IF(B$17=0,0,G19/B$17)</f>
        <v>1.2711864406779662E-2</v>
      </c>
      <c r="I19" s="94">
        <v>8</v>
      </c>
      <c r="K19" s="38">
        <v>17</v>
      </c>
      <c r="L19" s="99">
        <v>-538.29999999999995</v>
      </c>
      <c r="N19" s="115" t="s">
        <v>128</v>
      </c>
      <c r="O19" s="125">
        <f>IF(P19=0,0,Q19/P19)</f>
        <v>-13.619047619047617</v>
      </c>
      <c r="P19" s="119">
        <v>42</v>
      </c>
      <c r="Q19" s="107">
        <v>-571.99999999999989</v>
      </c>
    </row>
    <row r="20" spans="1:17" x14ac:dyDescent="0.4">
      <c r="A20" s="55" t="s">
        <v>13</v>
      </c>
      <c r="B20" s="47">
        <v>167</v>
      </c>
      <c r="C20" s="39">
        <f>IF(B$3=0,0,B20/B$3)</f>
        <v>0.18371837183718373</v>
      </c>
      <c r="E20" s="63" t="s">
        <v>80</v>
      </c>
      <c r="F20" s="60" t="s">
        <v>35</v>
      </c>
      <c r="G20" s="47">
        <v>2</v>
      </c>
      <c r="H20" s="133">
        <f>IF(B$17=0,0,G20/B$17)</f>
        <v>8.4745762711864406E-3</v>
      </c>
      <c r="I20" s="94">
        <v>11</v>
      </c>
      <c r="K20" s="38">
        <v>18</v>
      </c>
      <c r="L20" s="99">
        <v>-537.19999999999993</v>
      </c>
      <c r="N20" s="115" t="s">
        <v>171</v>
      </c>
      <c r="O20" s="125">
        <f>IF(P20=0,0,Q20/P20)</f>
        <v>-18.865624999999994</v>
      </c>
      <c r="P20" s="119">
        <v>32</v>
      </c>
      <c r="Q20" s="107">
        <v>-603.69999999999982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88</v>
      </c>
      <c r="F21" s="60" t="s">
        <v>43</v>
      </c>
      <c r="G21" s="47">
        <v>2</v>
      </c>
      <c r="H21" s="133">
        <f>IF(B$17=0,0,G21/B$17)</f>
        <v>8.4745762711864406E-3</v>
      </c>
      <c r="I21" s="94">
        <v>1</v>
      </c>
      <c r="K21" s="38">
        <v>19</v>
      </c>
      <c r="L21" s="99">
        <v>-569.49999999999989</v>
      </c>
      <c r="N21" s="115" t="s">
        <v>173</v>
      </c>
      <c r="O21" s="125">
        <f>IF(P21=0,0,Q21/P21)</f>
        <v>-21.862499999999997</v>
      </c>
      <c r="P21" s="119">
        <v>8</v>
      </c>
      <c r="Q21" s="107">
        <v>-174.89999999999998</v>
      </c>
    </row>
    <row r="22" spans="1:17" x14ac:dyDescent="0.4">
      <c r="A22" s="55" t="s">
        <v>192</v>
      </c>
      <c r="B22" s="47">
        <v>31</v>
      </c>
      <c r="C22" s="135">
        <v>10</v>
      </c>
      <c r="E22" s="63" t="s">
        <v>94</v>
      </c>
      <c r="F22" s="60" t="s">
        <v>49</v>
      </c>
      <c r="G22" s="47">
        <v>2</v>
      </c>
      <c r="H22" s="133">
        <f>IF(B$17=0,0,G22/B$17)</f>
        <v>8.4745762711864406E-3</v>
      </c>
      <c r="I22" s="94">
        <v>1</v>
      </c>
      <c r="K22" s="38">
        <v>20</v>
      </c>
      <c r="L22" s="99">
        <v>-632.99999999999989</v>
      </c>
      <c r="N22" s="115" t="s">
        <v>184</v>
      </c>
      <c r="O22" s="125">
        <f>IF(P22=0,0,Q22/P22)</f>
        <v>-24.44</v>
      </c>
      <c r="P22" s="119">
        <v>5</v>
      </c>
      <c r="Q22" s="107">
        <v>-122.2</v>
      </c>
    </row>
    <row r="23" spans="1:17" x14ac:dyDescent="0.4">
      <c r="A23" s="55" t="s">
        <v>5</v>
      </c>
      <c r="B23" s="51">
        <f>IF(B$17=0,0,C23/B$17)</f>
        <v>8735.1694915254229</v>
      </c>
      <c r="C23" s="41">
        <v>2061500</v>
      </c>
      <c r="E23" s="63" t="s">
        <v>76</v>
      </c>
      <c r="F23" s="60" t="s">
        <v>31</v>
      </c>
      <c r="G23" s="47">
        <v>1</v>
      </c>
      <c r="H23" s="133">
        <f>IF(B$17=0,0,G23/B$17)</f>
        <v>4.2372881355932203E-3</v>
      </c>
      <c r="I23" s="94">
        <v>6</v>
      </c>
      <c r="K23" s="38">
        <v>21</v>
      </c>
      <c r="L23" s="99">
        <v>-629.49999999999989</v>
      </c>
      <c r="N23" s="115" t="s">
        <v>172</v>
      </c>
      <c r="O23" s="125">
        <f>IF(P23=0,0,Q23/P23)</f>
        <v>-24.65384615384615</v>
      </c>
      <c r="P23" s="119">
        <v>26</v>
      </c>
      <c r="Q23" s="107">
        <v>-640.99999999999989</v>
      </c>
    </row>
    <row r="24" spans="1:17" x14ac:dyDescent="0.4">
      <c r="A24" s="57" t="s">
        <v>14</v>
      </c>
      <c r="B24" s="52">
        <f>IF(B$20=0,0,C24/B$20)</f>
        <v>-9158.0838323353291</v>
      </c>
      <c r="C24" s="45">
        <v>-1529400</v>
      </c>
      <c r="E24" s="63" t="s">
        <v>85</v>
      </c>
      <c r="F24" s="60" t="s">
        <v>40</v>
      </c>
      <c r="G24" s="47">
        <v>1</v>
      </c>
      <c r="H24" s="133">
        <f>IF(B$17=0,0,G24/B$17)</f>
        <v>4.2372881355932203E-3</v>
      </c>
      <c r="I24" s="94">
        <v>2</v>
      </c>
      <c r="K24" s="38">
        <v>22</v>
      </c>
      <c r="L24" s="99">
        <v>-670.19999999999993</v>
      </c>
      <c r="N24" s="115" t="s">
        <v>127</v>
      </c>
      <c r="O24" s="125">
        <f>IF(P24=0,0,Q24/P24)</f>
        <v>-27.119672131147549</v>
      </c>
      <c r="P24" s="119">
        <v>61</v>
      </c>
      <c r="Q24" s="107">
        <v>-1654.3000000000004</v>
      </c>
    </row>
    <row r="25" spans="1:17" x14ac:dyDescent="0.4">
      <c r="A25" s="90" t="s">
        <v>142</v>
      </c>
      <c r="B25" s="146">
        <v>7</v>
      </c>
      <c r="C25" s="147"/>
      <c r="E25" s="63" t="s">
        <v>86</v>
      </c>
      <c r="F25" s="60" t="s">
        <v>41</v>
      </c>
      <c r="G25" s="47">
        <v>1</v>
      </c>
      <c r="H25" s="133">
        <f>IF(B$17=0,0,G25/B$17)</f>
        <v>4.2372881355932203E-3</v>
      </c>
      <c r="I25" s="94">
        <v>3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4">
        <v>96900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4.2372881355932203E-3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2</v>
      </c>
      <c r="C27" s="42">
        <f>IF(B$3=0,0,B27/B$3)</f>
        <v>2.2002200220022001E-3</v>
      </c>
      <c r="E27" s="63" t="s">
        <v>93</v>
      </c>
      <c r="F27" s="60" t="s">
        <v>48</v>
      </c>
      <c r="G27" s="47">
        <v>1</v>
      </c>
      <c r="H27" s="133">
        <f>IF(B$17=0,0,G27/B$17)</f>
        <v>4.2372881355932203E-3</v>
      </c>
      <c r="I27" s="94">
        <v>4</v>
      </c>
      <c r="K27" s="38">
        <v>25</v>
      </c>
      <c r="L27" s="99">
        <v>-783.69999999999993</v>
      </c>
    </row>
    <row r="28" spans="1:17" x14ac:dyDescent="0.4">
      <c r="E28" s="63" t="s">
        <v>74</v>
      </c>
      <c r="F28" s="60" t="s">
        <v>29</v>
      </c>
      <c r="G28" s="47">
        <v>0</v>
      </c>
      <c r="H28" s="133">
        <f>IF(B$17=0,0,G28/B$17)</f>
        <v>0</v>
      </c>
      <c r="I28" s="94">
        <v>8</v>
      </c>
      <c r="K28" s="38">
        <v>26</v>
      </c>
      <c r="L28" s="99">
        <v>-818.49999999999989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7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4EC6-516C-4752-8C88-DCBFC3E8AAA1}">
  <sheetPr codeName="Sheet13"/>
  <dimension ref="A1:Q9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171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96</v>
      </c>
      <c r="C2" s="153"/>
      <c r="E2" s="62" t="s">
        <v>65</v>
      </c>
      <c r="F2" s="59" t="s">
        <v>21</v>
      </c>
      <c r="G2" s="46">
        <v>124</v>
      </c>
      <c r="H2" s="132">
        <f>IF(B$17=0,0,G2/B$17)</f>
        <v>0.54625550660792954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-365.625</v>
      </c>
      <c r="P2" s="118">
        <v>96</v>
      </c>
      <c r="Q2" s="102">
        <v>-35100</v>
      </c>
    </row>
    <row r="3" spans="1:17" x14ac:dyDescent="0.4">
      <c r="A3" s="55" t="s">
        <v>8</v>
      </c>
      <c r="B3" s="154">
        <v>801</v>
      </c>
      <c r="C3" s="155"/>
      <c r="E3" s="63" t="s">
        <v>66</v>
      </c>
      <c r="F3" s="60" t="s">
        <v>22</v>
      </c>
      <c r="G3" s="47">
        <v>28</v>
      </c>
      <c r="H3" s="133">
        <f>IF(B$17=0,0,G3/B$17)</f>
        <v>0.12334801762114538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677.65957446808511</v>
      </c>
      <c r="P3" s="119">
        <v>94</v>
      </c>
      <c r="Q3" s="103">
        <v>63700</v>
      </c>
    </row>
    <row r="4" spans="1:17" x14ac:dyDescent="0.4">
      <c r="A4" s="55" t="s">
        <v>6</v>
      </c>
      <c r="B4" s="156">
        <v>-48.599999999999987</v>
      </c>
      <c r="C4" s="157"/>
      <c r="E4" s="63" t="s">
        <v>67</v>
      </c>
      <c r="F4" s="60" t="s">
        <v>23</v>
      </c>
      <c r="G4" s="47">
        <v>185</v>
      </c>
      <c r="H4" s="133">
        <f>IF(B$17=0,0,G4/B$17)</f>
        <v>0.81497797356828194</v>
      </c>
      <c r="I4" s="94">
        <v>5</v>
      </c>
      <c r="K4" s="38">
        <v>2</v>
      </c>
      <c r="L4" s="99">
        <v>-93.300000000000011</v>
      </c>
      <c r="N4" s="115" t="s">
        <v>134</v>
      </c>
      <c r="O4" s="122">
        <f t="shared" si="0"/>
        <v>1677.6470588235295</v>
      </c>
      <c r="P4" s="119">
        <v>85</v>
      </c>
      <c r="Q4" s="103">
        <v>142600</v>
      </c>
    </row>
    <row r="5" spans="1:17" x14ac:dyDescent="0.4">
      <c r="A5" s="55" t="s">
        <v>7</v>
      </c>
      <c r="B5" s="158">
        <f>IF(B$2=0,0,B$4/B$2)</f>
        <v>-0.50624999999999987</v>
      </c>
      <c r="C5" s="159"/>
      <c r="E5" s="63" t="s">
        <v>68</v>
      </c>
      <c r="F5" s="60" t="s">
        <v>24</v>
      </c>
      <c r="G5" s="47">
        <v>77</v>
      </c>
      <c r="H5" s="133">
        <f>IF(B$17=0,0,G5/B$17)</f>
        <v>0.33920704845814981</v>
      </c>
      <c r="I5" s="94">
        <v>5</v>
      </c>
      <c r="K5" s="38">
        <v>3</v>
      </c>
      <c r="L5" s="99">
        <v>-60.100000000000009</v>
      </c>
      <c r="N5" s="115" t="s">
        <v>135</v>
      </c>
      <c r="O5" s="122">
        <f t="shared" si="0"/>
        <v>58.666666666666664</v>
      </c>
      <c r="P5" s="119">
        <v>75</v>
      </c>
      <c r="Q5" s="103">
        <v>4400</v>
      </c>
    </row>
    <row r="6" spans="1:17" x14ac:dyDescent="0.4">
      <c r="A6" s="55" t="s">
        <v>1</v>
      </c>
      <c r="B6" s="148">
        <f>IF(B$2=0,0,(B$7*1+B$8*2+B$9*3)/B$2)</f>
        <v>2.0520833333333335</v>
      </c>
      <c r="C6" s="149"/>
      <c r="E6" s="63" t="s">
        <v>69</v>
      </c>
      <c r="F6" s="60" t="s">
        <v>12</v>
      </c>
      <c r="G6" s="47">
        <v>67</v>
      </c>
      <c r="H6" s="133">
        <f>IF(B$17=0,0,G6/B$17)</f>
        <v>0.29515418502202645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-1990.909090909091</v>
      </c>
      <c r="P6" s="119">
        <v>66</v>
      </c>
      <c r="Q6" s="103">
        <v>-131400</v>
      </c>
    </row>
    <row r="7" spans="1:17" x14ac:dyDescent="0.4">
      <c r="A7" s="55" t="s">
        <v>2</v>
      </c>
      <c r="B7" s="47">
        <v>29</v>
      </c>
      <c r="C7" s="39">
        <f>IF(B$2=0,0,B7/B$2)</f>
        <v>0.30208333333333331</v>
      </c>
      <c r="E7" s="63" t="s">
        <v>70</v>
      </c>
      <c r="F7" s="60" t="s">
        <v>25</v>
      </c>
      <c r="G7" s="47">
        <v>44</v>
      </c>
      <c r="H7" s="133">
        <f>IF(B$17=0,0,G7/B$17)</f>
        <v>0.19383259911894274</v>
      </c>
      <c r="I7" s="94">
        <v>4</v>
      </c>
      <c r="K7" s="38">
        <v>5</v>
      </c>
      <c r="L7" s="99">
        <v>-36.100000000000009</v>
      </c>
      <c r="N7" s="116" t="s">
        <v>137</v>
      </c>
      <c r="O7" s="123">
        <f t="shared" si="0"/>
        <v>-369.49152542372883</v>
      </c>
      <c r="P7" s="120">
        <v>59</v>
      </c>
      <c r="Q7" s="104">
        <v>-21800</v>
      </c>
    </row>
    <row r="8" spans="1:17" x14ac:dyDescent="0.4">
      <c r="A8" s="55" t="s">
        <v>3</v>
      </c>
      <c r="B8" s="47">
        <v>33</v>
      </c>
      <c r="C8" s="39">
        <f>IF(B$2=0,0,B8/B$2)</f>
        <v>0.34375</v>
      </c>
      <c r="E8" s="63" t="s">
        <v>71</v>
      </c>
      <c r="F8" s="60" t="s">
        <v>26</v>
      </c>
      <c r="G8" s="47">
        <v>25</v>
      </c>
      <c r="H8" s="133">
        <f>IF(B$17=0,0,G8/B$17)</f>
        <v>0.11013215859030837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0.35416666666666669</v>
      </c>
      <c r="E9" s="63" t="s">
        <v>72</v>
      </c>
      <c r="F9" s="60" t="s">
        <v>27</v>
      </c>
      <c r="G9" s="47">
        <v>14</v>
      </c>
      <c r="H9" s="133">
        <f>IF(B$17=0,0,G9/B$17)</f>
        <v>6.1674008810572688E-2</v>
      </c>
      <c r="I9" s="94">
        <v>9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0.11458333333333333</v>
      </c>
      <c r="E10" s="63" t="s">
        <v>73</v>
      </c>
      <c r="F10" s="60" t="s">
        <v>28</v>
      </c>
      <c r="G10" s="47">
        <v>125</v>
      </c>
      <c r="H10" s="133">
        <f>IF(B$17=0,0,G10/B$17)</f>
        <v>0.5506607929515418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1.4119999999999999</v>
      </c>
      <c r="P10" s="118">
        <v>25</v>
      </c>
      <c r="Q10" s="106">
        <v>35.299999999999997</v>
      </c>
    </row>
    <row r="11" spans="1:17" x14ac:dyDescent="0.4">
      <c r="A11" s="56" t="s">
        <v>140</v>
      </c>
      <c r="B11" s="48">
        <v>14</v>
      </c>
      <c r="C11" s="40">
        <f>IF(B$2=0,0,B11/B$2)</f>
        <v>0.14583333333333334</v>
      </c>
      <c r="E11" s="63" t="s">
        <v>74</v>
      </c>
      <c r="F11" s="60" t="s">
        <v>29</v>
      </c>
      <c r="G11" s="47">
        <v>3</v>
      </c>
      <c r="H11" s="133">
        <f>IF(B$17=0,0,G11/B$17)</f>
        <v>1.3215859030837005E-2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-0.14722222222222056</v>
      </c>
      <c r="P11" s="119">
        <v>36</v>
      </c>
      <c r="Q11" s="107">
        <v>-5.2999999999999403</v>
      </c>
    </row>
    <row r="12" spans="1:17" x14ac:dyDescent="0.4">
      <c r="A12" s="57" t="s">
        <v>160</v>
      </c>
      <c r="B12" s="49">
        <v>6</v>
      </c>
      <c r="C12" s="42">
        <f>IF(B$2=0,0,B12/B$2)</f>
        <v>6.25E-2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-56.500000000000007</v>
      </c>
      <c r="N12" s="116" t="s">
        <v>166</v>
      </c>
      <c r="O12" s="126">
        <f>IF(P12=0,0,Q12/P12)</f>
        <v>-2.2457142857142856</v>
      </c>
      <c r="P12" s="120">
        <v>35</v>
      </c>
      <c r="Q12" s="108">
        <v>-78.599999999999994</v>
      </c>
    </row>
    <row r="13" spans="1:17" x14ac:dyDescent="0.4">
      <c r="A13" s="58" t="s">
        <v>122</v>
      </c>
      <c r="B13" s="50">
        <v>233</v>
      </c>
      <c r="C13" s="44">
        <f>IF(B$3=0,0,B13/B$3)</f>
        <v>0.2908863920099875</v>
      </c>
      <c r="E13" s="63" t="s">
        <v>76</v>
      </c>
      <c r="F13" s="60" t="s">
        <v>31</v>
      </c>
      <c r="G13" s="47">
        <v>3</v>
      </c>
      <c r="H13" s="133">
        <f>IF(B$17=0,0,G13/B$17)</f>
        <v>1.3215859030837005E-2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156</v>
      </c>
      <c r="C14" s="39">
        <f>IF(B$3=0,0,B14/B$3)</f>
        <v>0.19475655430711611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131</v>
      </c>
      <c r="C15" s="37">
        <f>IF(B$13=0,0,B15/B$13)</f>
        <v>0.5622317596566524</v>
      </c>
      <c r="E15" s="63" t="s">
        <v>78</v>
      </c>
      <c r="F15" s="60" t="s">
        <v>33</v>
      </c>
      <c r="G15" s="47">
        <v>3</v>
      </c>
      <c r="H15" s="133">
        <f>IF(B$17=0,0,G15/B$17)</f>
        <v>1.3215859030837005E-2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18.865624999999991</v>
      </c>
      <c r="P15" s="118">
        <v>32</v>
      </c>
      <c r="Q15" s="106">
        <v>603.6999999999997</v>
      </c>
    </row>
    <row r="16" spans="1:17" x14ac:dyDescent="0.4">
      <c r="A16" s="54" t="s">
        <v>125</v>
      </c>
      <c r="B16" s="46">
        <v>64</v>
      </c>
      <c r="C16" s="37">
        <f>IF(B$14=0,0,B16/B$14)</f>
        <v>0.41025641025641024</v>
      </c>
      <c r="E16" s="63" t="s">
        <v>79</v>
      </c>
      <c r="F16" s="60" t="s">
        <v>34</v>
      </c>
      <c r="G16" s="47">
        <v>9</v>
      </c>
      <c r="H16" s="133">
        <f>IF(B$17=0,0,G16/B$17)</f>
        <v>3.9647577092511016E-2</v>
      </c>
      <c r="I16" s="94">
        <v>4</v>
      </c>
      <c r="K16" s="38">
        <v>14</v>
      </c>
      <c r="L16" s="99">
        <v>-29.400000000000002</v>
      </c>
      <c r="N16" s="115" t="s">
        <v>184</v>
      </c>
      <c r="O16" s="125">
        <f t="shared" si="2"/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227</v>
      </c>
      <c r="C17" s="37">
        <f>IF(B$3=0,0,B17/B$3)</f>
        <v>0.28339575530586769</v>
      </c>
      <c r="E17" s="63" t="s">
        <v>80</v>
      </c>
      <c r="F17" s="60" t="s">
        <v>35</v>
      </c>
      <c r="G17" s="47">
        <v>4</v>
      </c>
      <c r="H17" s="133">
        <f>IF(B$17=0,0,G17/B$17)</f>
        <v>1.7621145374449341E-2</v>
      </c>
      <c r="I17" s="94">
        <v>5</v>
      </c>
      <c r="K17" s="38">
        <v>15</v>
      </c>
      <c r="L17" s="99">
        <v>-26.3</v>
      </c>
      <c r="N17" s="115" t="s">
        <v>173</v>
      </c>
      <c r="O17" s="125">
        <f t="shared" si="2"/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92</v>
      </c>
      <c r="C18" s="39">
        <f>IF(B$17=0,0,B18/B$17)</f>
        <v>0.40528634361233479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135</v>
      </c>
      <c r="C19" s="39">
        <f>IF(B$17=0,0,B19/B$17)</f>
        <v>0.59471365638766516</v>
      </c>
      <c r="E19" s="63" t="s">
        <v>82</v>
      </c>
      <c r="F19" s="60" t="s">
        <v>37</v>
      </c>
      <c r="G19" s="47">
        <v>8</v>
      </c>
      <c r="H19" s="133">
        <f>IF(B$17=0,0,G19/B$17)</f>
        <v>3.5242290748898682E-2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0.24736842105262688</v>
      </c>
      <c r="P19" s="119">
        <v>38</v>
      </c>
      <c r="Q19" s="107">
        <v>9.3999999999998209</v>
      </c>
    </row>
    <row r="20" spans="1:17" x14ac:dyDescent="0.4">
      <c r="A20" s="55" t="s">
        <v>13</v>
      </c>
      <c r="B20" s="47">
        <v>143</v>
      </c>
      <c r="C20" s="39">
        <f>IF(B$3=0,0,B20/B$3)</f>
        <v>0.17852684144818975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-2.9685185185185143</v>
      </c>
      <c r="P20" s="119">
        <v>54</v>
      </c>
      <c r="Q20" s="107">
        <v>-160.29999999999978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4.8458149779735685E-2</v>
      </c>
      <c r="I21" s="94">
        <v>7</v>
      </c>
      <c r="K21" s="38">
        <v>19</v>
      </c>
      <c r="L21" s="99">
        <v>0.60000000000000853</v>
      </c>
      <c r="N21" s="115" t="s">
        <v>200</v>
      </c>
      <c r="O21" s="125">
        <f t="shared" si="2"/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4</v>
      </c>
      <c r="E22" s="63" t="s">
        <v>85</v>
      </c>
      <c r="F22" s="60" t="s">
        <v>40</v>
      </c>
      <c r="G22" s="47">
        <v>2</v>
      </c>
      <c r="H22" s="133">
        <f>IF(B$17=0,0,G22/B$17)</f>
        <v>8.8105726872246704E-3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-44.647368421052626</v>
      </c>
      <c r="P22" s="119">
        <v>19</v>
      </c>
      <c r="Q22" s="107">
        <v>-848.3</v>
      </c>
    </row>
    <row r="23" spans="1:17" x14ac:dyDescent="0.4">
      <c r="A23" s="55" t="s">
        <v>5</v>
      </c>
      <c r="B23" s="51">
        <f>IF(B$17=0,0,C23/B$17)</f>
        <v>9990.7488986784138</v>
      </c>
      <c r="C23" s="41">
        <v>2267900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-8548.9510489510485</v>
      </c>
      <c r="C24" s="45">
        <v>-1222500</v>
      </c>
      <c r="E24" s="63" t="s">
        <v>87</v>
      </c>
      <c r="F24" s="60" t="s">
        <v>42</v>
      </c>
      <c r="G24" s="47">
        <v>16</v>
      </c>
      <c r="H24" s="133">
        <f>IF(B$17=0,0,G24/B$17)</f>
        <v>7.0484581497797363E-2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6">
        <v>8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4.4052863436123352E-3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4">
        <v>96000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2.4968789013732834E-3</v>
      </c>
      <c r="E27" s="63" t="s">
        <v>90</v>
      </c>
      <c r="F27" s="60" t="s">
        <v>45</v>
      </c>
      <c r="G27" s="47">
        <v>38</v>
      </c>
      <c r="H27" s="133">
        <f>IF(B$17=0,0,G27/B$17)</f>
        <v>0.16740088105726872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2.643171806167401E-2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8.8105726872246704E-3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4.4052863436123352E-3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1.7621145374449341E-2</v>
      </c>
      <c r="I50" s="94">
        <v>3</v>
      </c>
      <c r="K50" s="38">
        <v>48</v>
      </c>
      <c r="L50" s="99">
        <v>-33.800000000000004</v>
      </c>
    </row>
    <row r="51" spans="5:12" x14ac:dyDescent="0.4">
      <c r="E51" s="136" t="s">
        <v>245</v>
      </c>
      <c r="F51" s="137" t="s">
        <v>246</v>
      </c>
      <c r="G51" s="48">
        <v>86</v>
      </c>
      <c r="H51" s="138">
        <f>IF(B$17=0,0,G51/B$17)</f>
        <v>0.3788546255506608</v>
      </c>
      <c r="I51" s="139">
        <v>11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</sheetData>
  <sortState ref="E2:I9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6A7C-1605-42D0-BC6B-082101DADCA6}">
  <sheetPr codeName="Sheet15"/>
  <dimension ref="A1:Q9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172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90</v>
      </c>
      <c r="C2" s="153"/>
      <c r="E2" s="62" t="s">
        <v>67</v>
      </c>
      <c r="F2" s="59" t="s">
        <v>23</v>
      </c>
      <c r="G2" s="46">
        <v>177</v>
      </c>
      <c r="H2" s="132">
        <f>IF(B$17=0,0,G2/B$17)</f>
        <v>0.67557251908396942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216.66666666666666</v>
      </c>
      <c r="P2" s="118">
        <v>90</v>
      </c>
      <c r="Q2" s="102">
        <v>19500</v>
      </c>
    </row>
    <row r="3" spans="1:17" x14ac:dyDescent="0.4">
      <c r="A3" s="55" t="s">
        <v>8</v>
      </c>
      <c r="B3" s="154">
        <v>760</v>
      </c>
      <c r="C3" s="155"/>
      <c r="E3" s="63" t="s">
        <v>73</v>
      </c>
      <c r="F3" s="60" t="s">
        <v>28</v>
      </c>
      <c r="G3" s="47">
        <v>149</v>
      </c>
      <c r="H3" s="133">
        <f>IF(B$17=0,0,G3/B$17)</f>
        <v>0.56870229007633588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-1323.3333333333333</v>
      </c>
      <c r="P3" s="119">
        <v>90</v>
      </c>
      <c r="Q3" s="103">
        <v>-119100</v>
      </c>
    </row>
    <row r="4" spans="1:17" x14ac:dyDescent="0.4">
      <c r="A4" s="55" t="s">
        <v>6</v>
      </c>
      <c r="B4" s="156">
        <v>-122.80000000000005</v>
      </c>
      <c r="C4" s="157"/>
      <c r="E4" s="63" t="s">
        <v>245</v>
      </c>
      <c r="F4" s="60" t="s">
        <v>246</v>
      </c>
      <c r="G4" s="47">
        <v>112</v>
      </c>
      <c r="H4" s="133">
        <f>IF(B$17=0,0,G4/B$17)</f>
        <v>0.42748091603053434</v>
      </c>
      <c r="I4" s="94">
        <v>4</v>
      </c>
      <c r="K4" s="38">
        <v>2</v>
      </c>
      <c r="L4" s="99">
        <v>-7.7000000000000011</v>
      </c>
      <c r="N4" s="115" t="s">
        <v>134</v>
      </c>
      <c r="O4" s="122">
        <f t="shared" si="0"/>
        <v>-870</v>
      </c>
      <c r="P4" s="119">
        <v>80</v>
      </c>
      <c r="Q4" s="103">
        <v>-69600</v>
      </c>
    </row>
    <row r="5" spans="1:17" x14ac:dyDescent="0.4">
      <c r="A5" s="55" t="s">
        <v>7</v>
      </c>
      <c r="B5" s="158">
        <f>IF(B$2=0,0,B$4/B$2)</f>
        <v>-1.364444444444445</v>
      </c>
      <c r="C5" s="159"/>
      <c r="E5" s="63" t="s">
        <v>65</v>
      </c>
      <c r="F5" s="60" t="s">
        <v>21</v>
      </c>
      <c r="G5" s="47">
        <v>92</v>
      </c>
      <c r="H5" s="133">
        <f>IF(B$17=0,0,G5/B$17)</f>
        <v>0.35114503816793891</v>
      </c>
      <c r="I5" s="94">
        <v>12</v>
      </c>
      <c r="K5" s="38">
        <v>3</v>
      </c>
      <c r="L5" s="99">
        <v>1.7999999999999989</v>
      </c>
      <c r="N5" s="115" t="s">
        <v>135</v>
      </c>
      <c r="O5" s="122">
        <f t="shared" si="0"/>
        <v>1230.2631578947369</v>
      </c>
      <c r="P5" s="119">
        <v>76</v>
      </c>
      <c r="Q5" s="103">
        <v>93500</v>
      </c>
    </row>
    <row r="6" spans="1:17" x14ac:dyDescent="0.4">
      <c r="A6" s="55" t="s">
        <v>1</v>
      </c>
      <c r="B6" s="148">
        <f>IF(B$2=0,0,(B$7*1+B$8*2+B$9*3)/B$2)</f>
        <v>2.0444444444444443</v>
      </c>
      <c r="C6" s="149"/>
      <c r="E6" s="63" t="s">
        <v>69</v>
      </c>
      <c r="F6" s="60" t="s">
        <v>12</v>
      </c>
      <c r="G6" s="47">
        <v>65</v>
      </c>
      <c r="H6" s="133">
        <f>IF(B$17=0,0,G6/B$17)</f>
        <v>0.24809160305343511</v>
      </c>
      <c r="I6" s="94">
        <v>13</v>
      </c>
      <c r="K6" s="38">
        <v>4</v>
      </c>
      <c r="L6" s="99">
        <v>34.9</v>
      </c>
      <c r="N6" s="115" t="s">
        <v>136</v>
      </c>
      <c r="O6" s="122">
        <f t="shared" si="0"/>
        <v>-107.14285714285714</v>
      </c>
      <c r="P6" s="119">
        <v>70</v>
      </c>
      <c r="Q6" s="103">
        <v>-7500</v>
      </c>
    </row>
    <row r="7" spans="1:17" x14ac:dyDescent="0.4">
      <c r="A7" s="55" t="s">
        <v>2</v>
      </c>
      <c r="B7" s="47">
        <v>23</v>
      </c>
      <c r="C7" s="39">
        <f>IF(B$2=0,0,B7/B$2)</f>
        <v>0.25555555555555554</v>
      </c>
      <c r="E7" s="63" t="s">
        <v>68</v>
      </c>
      <c r="F7" s="60" t="s">
        <v>24</v>
      </c>
      <c r="G7" s="47">
        <v>45</v>
      </c>
      <c r="H7" s="133">
        <f>IF(B$17=0,0,G7/B$17)</f>
        <v>0.1717557251908397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-178.33333333333334</v>
      </c>
      <c r="P7" s="120">
        <v>60</v>
      </c>
      <c r="Q7" s="104">
        <v>-10700</v>
      </c>
    </row>
    <row r="8" spans="1:17" x14ac:dyDescent="0.4">
      <c r="A8" s="55" t="s">
        <v>3</v>
      </c>
      <c r="B8" s="47">
        <v>40</v>
      </c>
      <c r="C8" s="39">
        <f>IF(B$2=0,0,B8/B$2)</f>
        <v>0.44444444444444442</v>
      </c>
      <c r="E8" s="63" t="s">
        <v>70</v>
      </c>
      <c r="F8" s="60" t="s">
        <v>25</v>
      </c>
      <c r="G8" s="47">
        <v>42</v>
      </c>
      <c r="H8" s="133">
        <f>IF(B$17=0,0,G8/B$17)</f>
        <v>0.16030534351145037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0.3</v>
      </c>
      <c r="E9" s="63" t="s">
        <v>66</v>
      </c>
      <c r="F9" s="60" t="s">
        <v>22</v>
      </c>
      <c r="G9" s="47">
        <v>27</v>
      </c>
      <c r="H9" s="133">
        <f>IF(B$17=0,0,G9/B$17)</f>
        <v>0.10305343511450382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5.5555555555555552E-2</v>
      </c>
      <c r="E10" s="63" t="s">
        <v>72</v>
      </c>
      <c r="F10" s="60" t="s">
        <v>27</v>
      </c>
      <c r="G10" s="47">
        <v>21</v>
      </c>
      <c r="H10" s="133">
        <f>IF(B$17=0,0,G10/B$17)</f>
        <v>8.0152671755725186E-2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-5.0793103448275883</v>
      </c>
      <c r="P10" s="118">
        <v>29</v>
      </c>
      <c r="Q10" s="106">
        <v>-147.30000000000007</v>
      </c>
    </row>
    <row r="11" spans="1:17" x14ac:dyDescent="0.4">
      <c r="A11" s="56" t="s">
        <v>140</v>
      </c>
      <c r="B11" s="48">
        <v>10</v>
      </c>
      <c r="C11" s="40">
        <f>IF(B$2=0,0,B11/B$2)</f>
        <v>0.1111111111111111</v>
      </c>
      <c r="E11" s="63" t="s">
        <v>84</v>
      </c>
      <c r="F11" s="60" t="s">
        <v>39</v>
      </c>
      <c r="G11" s="47">
        <v>19</v>
      </c>
      <c r="H11" s="133">
        <f>IF(B$17=0,0,G11/B$17)</f>
        <v>7.2519083969465645E-2</v>
      </c>
      <c r="I11" s="94">
        <v>2</v>
      </c>
      <c r="K11" s="38">
        <v>9</v>
      </c>
      <c r="L11" s="99">
        <v>-56.5</v>
      </c>
      <c r="N11" s="115" t="s">
        <v>165</v>
      </c>
      <c r="O11" s="125">
        <f>IF(P11=0,0,Q11/P11)</f>
        <v>3.0346153846153845</v>
      </c>
      <c r="P11" s="119">
        <v>26</v>
      </c>
      <c r="Q11" s="107">
        <v>78.899999999999991</v>
      </c>
    </row>
    <row r="12" spans="1:17" x14ac:dyDescent="0.4">
      <c r="A12" s="57" t="s">
        <v>160</v>
      </c>
      <c r="B12" s="49">
        <v>8</v>
      </c>
      <c r="C12" s="42">
        <f>IF(B$2=0,0,B12/B$2)</f>
        <v>8.8888888888888892E-2</v>
      </c>
      <c r="E12" s="63" t="s">
        <v>90</v>
      </c>
      <c r="F12" s="60" t="s">
        <v>45</v>
      </c>
      <c r="G12" s="47">
        <v>19</v>
      </c>
      <c r="H12" s="133">
        <f>IF(B$17=0,0,G12/B$17)</f>
        <v>7.2519083969465645E-2</v>
      </c>
      <c r="I12" s="94">
        <v>12</v>
      </c>
      <c r="K12" s="38">
        <v>10</v>
      </c>
      <c r="L12" s="99">
        <v>24.200000000000003</v>
      </c>
      <c r="N12" s="116" t="s">
        <v>166</v>
      </c>
      <c r="O12" s="126">
        <f>IF(P12=0,0,Q12/P12)</f>
        <v>-1.5542857142857149</v>
      </c>
      <c r="P12" s="120">
        <v>35</v>
      </c>
      <c r="Q12" s="108">
        <v>-54.40000000000002</v>
      </c>
    </row>
    <row r="13" spans="1:17" x14ac:dyDescent="0.4">
      <c r="A13" s="58" t="s">
        <v>122</v>
      </c>
      <c r="B13" s="50">
        <v>163</v>
      </c>
      <c r="C13" s="44">
        <f>IF(B$3=0,0,B13/B$3)</f>
        <v>0.21447368421052632</v>
      </c>
      <c r="E13" s="63" t="s">
        <v>71</v>
      </c>
      <c r="F13" s="60" t="s">
        <v>26</v>
      </c>
      <c r="G13" s="47">
        <v>18</v>
      </c>
      <c r="H13" s="133">
        <f>IF(B$17=0,0,G13/B$17)</f>
        <v>6.8702290076335881E-2</v>
      </c>
      <c r="I13" s="94">
        <v>8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221</v>
      </c>
      <c r="C14" s="39">
        <f>IF(B$3=0,0,B14/B$3)</f>
        <v>0.29078947368421054</v>
      </c>
      <c r="E14" s="63" t="s">
        <v>87</v>
      </c>
      <c r="F14" s="60" t="s">
        <v>42</v>
      </c>
      <c r="G14" s="47">
        <v>10</v>
      </c>
      <c r="H14" s="133">
        <f>IF(B$17=0,0,G14/B$17)</f>
        <v>3.8167938931297711E-2</v>
      </c>
      <c r="I14" s="94">
        <v>10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91</v>
      </c>
      <c r="C15" s="37">
        <f>IF(B$13=0,0,B15/B$13)</f>
        <v>0.55828220858895705</v>
      </c>
      <c r="E15" s="63" t="s">
        <v>82</v>
      </c>
      <c r="F15" s="60" t="s">
        <v>37</v>
      </c>
      <c r="G15" s="47">
        <v>9</v>
      </c>
      <c r="H15" s="133">
        <f>IF(B$17=0,0,G15/B$17)</f>
        <v>3.4351145038167941E-2</v>
      </c>
      <c r="I15" s="94">
        <v>3</v>
      </c>
      <c r="K15" s="38">
        <v>13</v>
      </c>
      <c r="L15" s="99">
        <v>-3</v>
      </c>
      <c r="N15" s="114" t="s">
        <v>184</v>
      </c>
      <c r="O15" s="124">
        <f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94</v>
      </c>
      <c r="C16" s="37">
        <f>IF(B$14=0,0,B16/B$14)</f>
        <v>0.42533936651583709</v>
      </c>
      <c r="E16" s="63" t="s">
        <v>79</v>
      </c>
      <c r="F16" s="60" t="s">
        <v>34</v>
      </c>
      <c r="G16" s="47">
        <v>4</v>
      </c>
      <c r="H16" s="133">
        <f>IF(B$17=0,0,G16/B$17)</f>
        <v>1.5267175572519083E-2</v>
      </c>
      <c r="I16" s="94">
        <v>10</v>
      </c>
      <c r="K16" s="38">
        <v>14</v>
      </c>
      <c r="L16" s="99">
        <v>-12.3</v>
      </c>
      <c r="N16" s="115" t="s">
        <v>129</v>
      </c>
      <c r="O16" s="125">
        <f>IF(P16=0,0,Q16/P16)</f>
        <v>24.653846153846146</v>
      </c>
      <c r="P16" s="119">
        <v>26</v>
      </c>
      <c r="Q16" s="107">
        <v>640.99999999999977</v>
      </c>
    </row>
    <row r="17" spans="1:17" x14ac:dyDescent="0.4">
      <c r="A17" s="54" t="s">
        <v>10</v>
      </c>
      <c r="B17" s="46">
        <f>B19+B18</f>
        <v>262</v>
      </c>
      <c r="C17" s="37">
        <f>IF(B$3=0,0,B17/B$3)</f>
        <v>0.34473684210526317</v>
      </c>
      <c r="E17" s="63" t="s">
        <v>92</v>
      </c>
      <c r="F17" s="60" t="s">
        <v>47</v>
      </c>
      <c r="G17" s="47">
        <v>4</v>
      </c>
      <c r="H17" s="133">
        <f>IF(B$17=0,0,G17/B$17)</f>
        <v>1.5267175572519083E-2</v>
      </c>
      <c r="I17" s="94">
        <v>7</v>
      </c>
      <c r="K17" s="38">
        <v>15</v>
      </c>
      <c r="L17" s="99">
        <v>-80.3</v>
      </c>
      <c r="N17" s="115" t="s">
        <v>173</v>
      </c>
      <c r="O17" s="125">
        <f>IF(P17=0,0,Q17/P17)</f>
        <v>6.6333333333333302</v>
      </c>
      <c r="P17" s="119">
        <v>12</v>
      </c>
      <c r="Q17" s="107">
        <v>79.599999999999966</v>
      </c>
    </row>
    <row r="18" spans="1:17" x14ac:dyDescent="0.4">
      <c r="A18" s="55" t="s">
        <v>12</v>
      </c>
      <c r="B18" s="47">
        <v>103</v>
      </c>
      <c r="C18" s="39">
        <f>IF(B$17=0,0,B18/B$17)</f>
        <v>0.3931297709923664</v>
      </c>
      <c r="E18" s="63" t="s">
        <v>80</v>
      </c>
      <c r="F18" s="60" t="s">
        <v>35</v>
      </c>
      <c r="G18" s="47">
        <v>3</v>
      </c>
      <c r="H18" s="133">
        <f>IF(B$17=0,0,G18/B$17)</f>
        <v>1.1450381679389313E-2</v>
      </c>
      <c r="I18" s="94">
        <v>10</v>
      </c>
      <c r="K18" s="38">
        <v>16</v>
      </c>
      <c r="L18" s="99">
        <v>-87.6</v>
      </c>
      <c r="N18" s="115" t="s">
        <v>128</v>
      </c>
      <c r="O18" s="125">
        <f>IF(P18=0,0,Q18/P18)</f>
        <v>4.3735294117647054</v>
      </c>
      <c r="P18" s="119">
        <v>34</v>
      </c>
      <c r="Q18" s="107">
        <v>148.69999999999999</v>
      </c>
    </row>
    <row r="19" spans="1:17" x14ac:dyDescent="0.4">
      <c r="A19" s="55" t="s">
        <v>11</v>
      </c>
      <c r="B19" s="47">
        <v>159</v>
      </c>
      <c r="C19" s="39">
        <f>IF(B$17=0,0,B19/B$17)</f>
        <v>0.60687022900763354</v>
      </c>
      <c r="E19" s="63" t="s">
        <v>75</v>
      </c>
      <c r="F19" s="60" t="s">
        <v>30</v>
      </c>
      <c r="G19" s="47">
        <v>2</v>
      </c>
      <c r="H19" s="133">
        <f>IF(B$17=0,0,G19/B$17)</f>
        <v>7.6335877862595417E-3</v>
      </c>
      <c r="I19" s="94">
        <v>3</v>
      </c>
      <c r="K19" s="38">
        <v>17</v>
      </c>
      <c r="L19" s="99">
        <v>-55.099999999999994</v>
      </c>
      <c r="N19" s="115" t="s">
        <v>177</v>
      </c>
      <c r="O19" s="125">
        <f>IF(P19=0,0,Q19/P19)</f>
        <v>2.559259259259258</v>
      </c>
      <c r="P19" s="119">
        <v>27</v>
      </c>
      <c r="Q19" s="107">
        <v>69.099999999999966</v>
      </c>
    </row>
    <row r="20" spans="1:17" x14ac:dyDescent="0.4">
      <c r="A20" s="55" t="s">
        <v>13</v>
      </c>
      <c r="B20" s="47">
        <v>108</v>
      </c>
      <c r="C20" s="39">
        <f>IF(B$3=0,0,B20/B$3)</f>
        <v>0.14210526315789473</v>
      </c>
      <c r="E20" s="63" t="s">
        <v>74</v>
      </c>
      <c r="F20" s="60" t="s">
        <v>29</v>
      </c>
      <c r="G20" s="47">
        <v>1</v>
      </c>
      <c r="H20" s="133">
        <f>IF(B$17=0,0,G20/B$17)</f>
        <v>3.8167938931297708E-3</v>
      </c>
      <c r="I20" s="94">
        <v>7</v>
      </c>
      <c r="K20" s="38">
        <v>18</v>
      </c>
      <c r="L20" s="99">
        <v>-28.199999999999996</v>
      </c>
      <c r="N20" s="115" t="s">
        <v>171</v>
      </c>
      <c r="O20" s="125">
        <f>IF(P20=0,0,Q20/P20)</f>
        <v>-4.6450000000000005</v>
      </c>
      <c r="P20" s="119">
        <v>20</v>
      </c>
      <c r="Q20" s="107">
        <v>-92.9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3.8167938931297708E-3</v>
      </c>
      <c r="I21" s="94">
        <v>7</v>
      </c>
      <c r="K21" s="38">
        <v>19</v>
      </c>
      <c r="L21" s="99">
        <v>29.200000000000003</v>
      </c>
      <c r="N21" s="115" t="s">
        <v>200</v>
      </c>
      <c r="O21" s="125">
        <f>IF(P21=0,0,Q21/P21)</f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1</v>
      </c>
      <c r="E22" s="63" t="s">
        <v>88</v>
      </c>
      <c r="F22" s="60" t="s">
        <v>43</v>
      </c>
      <c r="G22" s="47">
        <v>1</v>
      </c>
      <c r="H22" s="133">
        <f>IF(B$17=0,0,G22/B$17)</f>
        <v>3.8167938931297708E-3</v>
      </c>
      <c r="I22" s="94">
        <v>4</v>
      </c>
      <c r="K22" s="38">
        <v>20</v>
      </c>
      <c r="L22" s="99">
        <v>43</v>
      </c>
      <c r="N22" s="115" t="s">
        <v>127</v>
      </c>
      <c r="O22" s="125">
        <f>IF(P22=0,0,Q22/P22)</f>
        <v>-24.906382978723396</v>
      </c>
      <c r="P22" s="119">
        <v>47</v>
      </c>
      <c r="Q22" s="107">
        <v>-1170.5999999999997</v>
      </c>
    </row>
    <row r="23" spans="1:17" x14ac:dyDescent="0.4">
      <c r="A23" s="55" t="s">
        <v>5</v>
      </c>
      <c r="B23" s="51">
        <f>IF(B$17=0,0,C23/B$17)</f>
        <v>6890.0763358778622</v>
      </c>
      <c r="C23" s="41">
        <v>1805200</v>
      </c>
      <c r="E23" s="63" t="s">
        <v>91</v>
      </c>
      <c r="F23" s="60" t="s">
        <v>46</v>
      </c>
      <c r="G23" s="47">
        <v>1</v>
      </c>
      <c r="H23" s="133">
        <f>IF(B$17=0,0,G23/B$17)</f>
        <v>3.8167938931297708E-3</v>
      </c>
      <c r="I23" s="94">
        <v>3</v>
      </c>
      <c r="K23" s="38">
        <v>21</v>
      </c>
      <c r="L23" s="99">
        <v>89.9</v>
      </c>
      <c r="N23" s="115" t="s">
        <v>223</v>
      </c>
      <c r="O23" s="125">
        <f>IF(P23=0,0,Q23/P23)</f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-8488.8888888888887</v>
      </c>
      <c r="C24" s="45">
        <v>-916800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6">
        <v>7</v>
      </c>
      <c r="C25" s="147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4">
        <v>97500</v>
      </c>
      <c r="C26" s="145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1.3157894736842105E-3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7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2A1E-1F92-401C-9DEA-995F1F9147C4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49</v>
      </c>
      <c r="C2" s="153"/>
      <c r="E2" s="62" t="s">
        <v>65</v>
      </c>
      <c r="F2" s="59" t="s">
        <v>21</v>
      </c>
      <c r="G2" s="46">
        <v>52</v>
      </c>
      <c r="H2" s="132">
        <f>IF(B$17=0,0,G2/B$17)</f>
        <v>0.42276422764227645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-2824.4897959183672</v>
      </c>
      <c r="P2" s="118">
        <v>49</v>
      </c>
      <c r="Q2" s="102">
        <v>-138400</v>
      </c>
    </row>
    <row r="3" spans="1:17" x14ac:dyDescent="0.4">
      <c r="A3" s="55" t="s">
        <v>8</v>
      </c>
      <c r="B3" s="154">
        <v>422</v>
      </c>
      <c r="C3" s="155"/>
      <c r="E3" s="63" t="s">
        <v>66</v>
      </c>
      <c r="F3" s="60" t="s">
        <v>22</v>
      </c>
      <c r="G3" s="47">
        <v>10</v>
      </c>
      <c r="H3" s="133">
        <f>IF(B$17=0,0,G3/B$17)</f>
        <v>8.1300813008130079E-2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1971.4285714285713</v>
      </c>
      <c r="P3" s="119">
        <v>49</v>
      </c>
      <c r="Q3" s="103">
        <v>96600</v>
      </c>
    </row>
    <row r="4" spans="1:17" x14ac:dyDescent="0.4">
      <c r="A4" s="55" t="s">
        <v>6</v>
      </c>
      <c r="B4" s="156">
        <v>-433</v>
      </c>
      <c r="C4" s="157"/>
      <c r="E4" s="63" t="s">
        <v>67</v>
      </c>
      <c r="F4" s="60" t="s">
        <v>23</v>
      </c>
      <c r="G4" s="47">
        <v>81</v>
      </c>
      <c r="H4" s="133">
        <f>IF(B$17=0,0,G4/B$17)</f>
        <v>0.65853658536585369</v>
      </c>
      <c r="I4" s="94">
        <v>10</v>
      </c>
      <c r="K4" s="38">
        <v>2</v>
      </c>
      <c r="L4" s="99">
        <v>-122.3</v>
      </c>
      <c r="N4" s="115" t="s">
        <v>134</v>
      </c>
      <c r="O4" s="122">
        <f t="shared" si="0"/>
        <v>-319.56521739130437</v>
      </c>
      <c r="P4" s="119">
        <v>46</v>
      </c>
      <c r="Q4" s="103">
        <v>-14700</v>
      </c>
    </row>
    <row r="5" spans="1:17" x14ac:dyDescent="0.4">
      <c r="A5" s="55" t="s">
        <v>7</v>
      </c>
      <c r="B5" s="158">
        <f>IF(B$2=0,0,B$4/B$2)</f>
        <v>-8.8367346938775508</v>
      </c>
      <c r="C5" s="159"/>
      <c r="E5" s="63" t="s">
        <v>68</v>
      </c>
      <c r="F5" s="60" t="s">
        <v>24</v>
      </c>
      <c r="G5" s="47">
        <v>29</v>
      </c>
      <c r="H5" s="133">
        <f>IF(B$17=0,0,G5/B$17)</f>
        <v>0.23577235772357724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-3760.4651162790697</v>
      </c>
      <c r="P5" s="119">
        <v>43</v>
      </c>
      <c r="Q5" s="103">
        <v>-161700</v>
      </c>
    </row>
    <row r="6" spans="1:17" x14ac:dyDescent="0.4">
      <c r="A6" s="55" t="s">
        <v>1</v>
      </c>
      <c r="B6" s="148">
        <f>IF(B$2=0,0,(B$7*1+B$8*2+B$9*3)/B$2)</f>
        <v>2.1224489795918369</v>
      </c>
      <c r="C6" s="149"/>
      <c r="E6" s="63" t="s">
        <v>69</v>
      </c>
      <c r="F6" s="60" t="s">
        <v>12</v>
      </c>
      <c r="G6" s="47">
        <v>47</v>
      </c>
      <c r="H6" s="133">
        <f>IF(B$17=0,0,G6/B$17)</f>
        <v>0.38211382113821141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-684.61538461538464</v>
      </c>
      <c r="P6" s="119">
        <v>39</v>
      </c>
      <c r="Q6" s="103">
        <v>-26700</v>
      </c>
    </row>
    <row r="7" spans="1:17" x14ac:dyDescent="0.4">
      <c r="A7" s="55" t="s">
        <v>2</v>
      </c>
      <c r="B7" s="47">
        <v>14</v>
      </c>
      <c r="C7" s="39">
        <f>IF(B$2=0,0,B7/B$2)</f>
        <v>0.2857142857142857</v>
      </c>
      <c r="E7" s="63" t="s">
        <v>70</v>
      </c>
      <c r="F7" s="60" t="s">
        <v>25</v>
      </c>
      <c r="G7" s="47">
        <v>14</v>
      </c>
      <c r="H7" s="133">
        <f>IF(B$17=0,0,G7/B$17)</f>
        <v>0.11382113821138211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0"/>
        <v>-2.7027027027027026</v>
      </c>
      <c r="P7" s="120">
        <v>37</v>
      </c>
      <c r="Q7" s="104">
        <v>-100</v>
      </c>
    </row>
    <row r="8" spans="1:17" x14ac:dyDescent="0.4">
      <c r="A8" s="55" t="s">
        <v>3</v>
      </c>
      <c r="B8" s="47">
        <v>15</v>
      </c>
      <c r="C8" s="39">
        <f>IF(B$2=0,0,B8/B$2)</f>
        <v>0.30612244897959184</v>
      </c>
      <c r="E8" s="63" t="s">
        <v>71</v>
      </c>
      <c r="F8" s="60" t="s">
        <v>26</v>
      </c>
      <c r="G8" s="47">
        <v>15</v>
      </c>
      <c r="H8" s="133">
        <f>IF(B$17=0,0,G8/B$17)</f>
        <v>0.12195121951219512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20</v>
      </c>
      <c r="C9" s="40">
        <f t="shared" ref="C9" si="1">IF(B$2=0,0,B9/B$2)</f>
        <v>0.40816326530612246</v>
      </c>
      <c r="E9" s="63" t="s">
        <v>72</v>
      </c>
      <c r="F9" s="60" t="s">
        <v>27</v>
      </c>
      <c r="G9" s="47">
        <v>6</v>
      </c>
      <c r="H9" s="133">
        <f>IF(B$17=0,0,G9/B$17)</f>
        <v>4.878048780487805E-2</v>
      </c>
      <c r="I9" s="94">
        <v>11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0.14285714285714285</v>
      </c>
      <c r="E10" s="63" t="s">
        <v>73</v>
      </c>
      <c r="F10" s="60" t="s">
        <v>28</v>
      </c>
      <c r="G10" s="47">
        <v>64</v>
      </c>
      <c r="H10" s="133">
        <f>IF(B$17=0,0,G10/B$17)</f>
        <v>0.52032520325203258</v>
      </c>
      <c r="I10" s="94">
        <v>9</v>
      </c>
      <c r="K10" s="38">
        <v>8</v>
      </c>
      <c r="L10" s="99">
        <v>-219.59999999999997</v>
      </c>
      <c r="N10" s="114" t="s">
        <v>164</v>
      </c>
      <c r="O10" s="124">
        <f>IF(P10=0,0,Q10/P10)</f>
        <v>-14.399999999999999</v>
      </c>
      <c r="P10" s="118">
        <v>13</v>
      </c>
      <c r="Q10" s="106">
        <v>-187.2</v>
      </c>
    </row>
    <row r="11" spans="1:17" x14ac:dyDescent="0.4">
      <c r="A11" s="56" t="s">
        <v>140</v>
      </c>
      <c r="B11" s="48">
        <v>3</v>
      </c>
      <c r="C11" s="40">
        <f>IF(B$2=0,0,B11/B$2)</f>
        <v>6.1224489795918366E-2</v>
      </c>
      <c r="E11" s="63" t="s">
        <v>74</v>
      </c>
      <c r="F11" s="60" t="s">
        <v>29</v>
      </c>
      <c r="G11" s="47">
        <v>3</v>
      </c>
      <c r="H11" s="133">
        <f>IF(B$17=0,0,G11/B$17)</f>
        <v>2.4390243902439025E-2</v>
      </c>
      <c r="I11" s="94">
        <v>1</v>
      </c>
      <c r="K11" s="38">
        <v>9</v>
      </c>
      <c r="L11" s="99">
        <v>-260.59999999999997</v>
      </c>
      <c r="N11" s="115" t="s">
        <v>165</v>
      </c>
      <c r="O11" s="125">
        <f>IF(P11=0,0,Q11/P11)</f>
        <v>-6.7681818181818167</v>
      </c>
      <c r="P11" s="119">
        <v>22</v>
      </c>
      <c r="Q11" s="107">
        <v>-148.89999999999998</v>
      </c>
    </row>
    <row r="12" spans="1:17" x14ac:dyDescent="0.4">
      <c r="A12" s="57" t="s">
        <v>160</v>
      </c>
      <c r="B12" s="49">
        <v>2</v>
      </c>
      <c r="C12" s="42">
        <f>IF(B$2=0,0,B12/B$2)</f>
        <v>4.0816326530612242E-2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94</v>
      </c>
      <c r="C13" s="44">
        <f>IF(B$3=0,0,B13/B$3)</f>
        <v>0.22274881516587677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105</v>
      </c>
      <c r="C14" s="39">
        <f>IF(B$3=0,0,B14/B$3)</f>
        <v>0.24881516587677724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55</v>
      </c>
      <c r="C15" s="37">
        <f>IF(B$13=0,0,B15/B$13)</f>
        <v>0.58510638297872342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K15" s="38">
        <v>13</v>
      </c>
      <c r="L15" s="99">
        <v>-302.59999999999997</v>
      </c>
      <c r="N15" s="114" t="s">
        <v>129</v>
      </c>
      <c r="O15" s="124">
        <f t="shared" ref="O15:O23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35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3</v>
      </c>
      <c r="H16" s="133">
        <f>IF(B$17=0,0,G16/B$17)</f>
        <v>2.4390243902439025E-2</v>
      </c>
      <c r="I16" s="94">
        <v>8</v>
      </c>
      <c r="K16" s="38">
        <v>14</v>
      </c>
      <c r="L16" s="99">
        <v>-269.99999999999994</v>
      </c>
      <c r="N16" s="115" t="s">
        <v>172</v>
      </c>
      <c r="O16" s="125">
        <f t="shared" si="2"/>
        <v>-6.633333333333332</v>
      </c>
      <c r="P16" s="119">
        <v>12</v>
      </c>
      <c r="Q16" s="107">
        <v>-79.59999999999998</v>
      </c>
    </row>
    <row r="17" spans="1:17" x14ac:dyDescent="0.4">
      <c r="A17" s="54" t="s">
        <v>10</v>
      </c>
      <c r="B17" s="46">
        <f>B19+B18</f>
        <v>123</v>
      </c>
      <c r="C17" s="37">
        <f>IF(B$3=0,0,B17/B$3)</f>
        <v>0.29146919431279622</v>
      </c>
      <c r="E17" s="63" t="s">
        <v>80</v>
      </c>
      <c r="F17" s="60" t="s">
        <v>35</v>
      </c>
      <c r="G17" s="47">
        <v>2</v>
      </c>
      <c r="H17" s="133">
        <f>IF(B$17=0,0,G17/B$17)</f>
        <v>1.6260162601626018E-2</v>
      </c>
      <c r="I17" s="94">
        <v>6</v>
      </c>
      <c r="K17" s="38">
        <v>15</v>
      </c>
      <c r="L17" s="99">
        <v>-264.59999999999997</v>
      </c>
      <c r="N17" s="115" t="s">
        <v>128</v>
      </c>
      <c r="O17" s="125">
        <f t="shared" si="2"/>
        <v>-9.0374999999999961</v>
      </c>
      <c r="P17" s="119">
        <v>24</v>
      </c>
      <c r="Q17" s="107">
        <v>-216.89999999999992</v>
      </c>
    </row>
    <row r="18" spans="1:17" x14ac:dyDescent="0.4">
      <c r="A18" s="55" t="s">
        <v>12</v>
      </c>
      <c r="B18" s="47">
        <v>62</v>
      </c>
      <c r="C18" s="39">
        <f>IF(B$17=0,0,B18/B$17)</f>
        <v>0.50406504065040647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-12.777777777777775</v>
      </c>
      <c r="P18" s="119">
        <v>18</v>
      </c>
      <c r="Q18" s="107">
        <v>-229.99999999999994</v>
      </c>
    </row>
    <row r="19" spans="1:17" x14ac:dyDescent="0.4">
      <c r="A19" s="55" t="s">
        <v>11</v>
      </c>
      <c r="B19" s="47">
        <v>61</v>
      </c>
      <c r="C19" s="39">
        <f>IF(B$17=0,0,B19/B$17)</f>
        <v>0.49593495934959347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  <c r="K19" s="38">
        <v>17</v>
      </c>
      <c r="L19" s="99">
        <v>-248.89999999999995</v>
      </c>
      <c r="N19" s="115" t="s">
        <v>127</v>
      </c>
      <c r="O19" s="125">
        <f t="shared" si="2"/>
        <v>-16.769565217391303</v>
      </c>
      <c r="P19" s="119">
        <v>23</v>
      </c>
      <c r="Q19" s="107">
        <v>-385.7</v>
      </c>
    </row>
    <row r="20" spans="1:17" x14ac:dyDescent="0.4">
      <c r="A20" s="55" t="s">
        <v>13</v>
      </c>
      <c r="B20" s="47">
        <v>79</v>
      </c>
      <c r="C20" s="39">
        <f>IF(B$3=0,0,B20/B$3)</f>
        <v>0.1872037914691943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-25.12222222222222</v>
      </c>
      <c r="P20" s="119">
        <v>9</v>
      </c>
      <c r="Q20" s="107">
        <v>-226.1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1.6260162601626018E-2</v>
      </c>
      <c r="I21" s="94">
        <v>11</v>
      </c>
      <c r="K21" s="38">
        <v>19</v>
      </c>
      <c r="L21" s="99">
        <v>-188.59999999999994</v>
      </c>
      <c r="N21" s="115" t="s">
        <v>183</v>
      </c>
      <c r="O21" s="125">
        <f t="shared" si="2"/>
        <v>-45.5</v>
      </c>
      <c r="P21" s="119">
        <v>1</v>
      </c>
      <c r="Q21" s="107">
        <v>-45.5</v>
      </c>
    </row>
    <row r="22" spans="1:17" x14ac:dyDescent="0.4">
      <c r="A22" s="55" t="s">
        <v>192</v>
      </c>
      <c r="B22" s="47">
        <v>24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-182.79999999999993</v>
      </c>
      <c r="N22" s="115" t="s">
        <v>200</v>
      </c>
      <c r="O22" s="125">
        <f t="shared" si="2"/>
        <v>-65.550000000000011</v>
      </c>
      <c r="P22" s="119">
        <v>2</v>
      </c>
      <c r="Q22" s="107">
        <v>-131.10000000000002</v>
      </c>
    </row>
    <row r="23" spans="1:17" x14ac:dyDescent="0.4">
      <c r="A23" s="55" t="s">
        <v>5</v>
      </c>
      <c r="B23" s="51">
        <f>IF(B$17=0,0,C23/B$17)</f>
        <v>6913.8211382113823</v>
      </c>
      <c r="C23" s="41">
        <v>850400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  <c r="N23" s="115" t="s">
        <v>184</v>
      </c>
      <c r="O23" s="125">
        <f t="shared" si="2"/>
        <v>-159</v>
      </c>
      <c r="P23" s="119">
        <v>1</v>
      </c>
      <c r="Q23" s="107">
        <v>-159</v>
      </c>
    </row>
    <row r="24" spans="1:17" x14ac:dyDescent="0.4">
      <c r="A24" s="57" t="s">
        <v>14</v>
      </c>
      <c r="B24" s="52">
        <f>IF(B$20=0,0,C24/B$20)</f>
        <v>-8300</v>
      </c>
      <c r="C24" s="45">
        <v>-655700</v>
      </c>
      <c r="E24" s="63" t="s">
        <v>87</v>
      </c>
      <c r="F24" s="60" t="s">
        <v>42</v>
      </c>
      <c r="G24" s="47">
        <v>5</v>
      </c>
      <c r="H24" s="133">
        <f>IF(B$17=0,0,G24/B$17)</f>
        <v>4.065040650406504E-2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6">
        <v>6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8.130081300813009E-3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4">
        <v>85900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4.7393364928909956E-3</v>
      </c>
      <c r="E27" s="63" t="s">
        <v>90</v>
      </c>
      <c r="F27" s="60" t="s">
        <v>45</v>
      </c>
      <c r="G27" s="47">
        <v>15</v>
      </c>
      <c r="H27" s="133">
        <f>IF(B$17=0,0,G27/B$17)</f>
        <v>0.12195121951219512</v>
      </c>
      <c r="I27" s="94">
        <v>7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1.6260162601626018E-2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180</v>
      </c>
      <c r="F50" s="60" t="s">
        <v>181</v>
      </c>
      <c r="G50" s="47">
        <v>2</v>
      </c>
      <c r="H50" s="133">
        <f>IF(B$17=0,0,G50/B$17)</f>
        <v>1.6260162601626018E-2</v>
      </c>
      <c r="I50" s="94">
        <v>5</v>
      </c>
      <c r="K50" s="38">
        <v>48</v>
      </c>
      <c r="L50" s="99">
        <v>-387.7</v>
      </c>
    </row>
    <row r="51" spans="5:12" x14ac:dyDescent="0.4">
      <c r="E51" s="136" t="s">
        <v>245</v>
      </c>
      <c r="F51" s="137" t="s">
        <v>246</v>
      </c>
      <c r="G51" s="48">
        <v>48</v>
      </c>
      <c r="H51" s="138">
        <f>IF(B$17=0,0,G51/B$17)</f>
        <v>0.3902439024390244</v>
      </c>
      <c r="I51" s="139">
        <v>10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8AF6A-DE81-4056-8EEF-5F5AD150A99F}">
  <sheetPr codeName="Sheet19"/>
  <dimension ref="A1:Q8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177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84</v>
      </c>
      <c r="C2" s="153"/>
      <c r="E2" s="62" t="s">
        <v>65</v>
      </c>
      <c r="F2" s="59" t="s">
        <v>21</v>
      </c>
      <c r="G2" s="46">
        <v>121</v>
      </c>
      <c r="H2" s="132">
        <f>IF(B$17=0,0,G2/B$17)</f>
        <v>0.62694300518134716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1144.047619047619</v>
      </c>
      <c r="P2" s="118">
        <v>84</v>
      </c>
      <c r="Q2" s="102">
        <v>96100</v>
      </c>
    </row>
    <row r="3" spans="1:17" x14ac:dyDescent="0.4">
      <c r="A3" s="55" t="s">
        <v>8</v>
      </c>
      <c r="B3" s="154">
        <v>690</v>
      </c>
      <c r="C3" s="155"/>
      <c r="E3" s="63" t="s">
        <v>67</v>
      </c>
      <c r="F3" s="60" t="s">
        <v>23</v>
      </c>
      <c r="G3" s="47">
        <v>106</v>
      </c>
      <c r="H3" s="133">
        <f>IF(B$17=0,0,G3/B$17)</f>
        <v>0.54922279792746109</v>
      </c>
      <c r="I3" s="94">
        <v>13</v>
      </c>
      <c r="K3" s="38">
        <v>1</v>
      </c>
      <c r="L3" s="99">
        <v>-1.9</v>
      </c>
      <c r="N3" s="115" t="s">
        <v>133</v>
      </c>
      <c r="O3" s="122">
        <f t="shared" si="0"/>
        <v>364.19753086419752</v>
      </c>
      <c r="P3" s="119">
        <v>81</v>
      </c>
      <c r="Q3" s="103">
        <v>29500</v>
      </c>
    </row>
    <row r="4" spans="1:17" x14ac:dyDescent="0.4">
      <c r="A4" s="55" t="s">
        <v>6</v>
      </c>
      <c r="B4" s="156">
        <v>131.69999999999993</v>
      </c>
      <c r="C4" s="157"/>
      <c r="E4" s="63" t="s">
        <v>245</v>
      </c>
      <c r="F4" s="60" t="s">
        <v>246</v>
      </c>
      <c r="G4" s="47">
        <v>84</v>
      </c>
      <c r="H4" s="133">
        <f>IF(B$17=0,0,G4/B$17)</f>
        <v>0.43523316062176165</v>
      </c>
      <c r="I4" s="94">
        <v>3</v>
      </c>
      <c r="K4" s="38">
        <v>2</v>
      </c>
      <c r="L4" s="99">
        <v>30</v>
      </c>
      <c r="N4" s="115" t="s">
        <v>134</v>
      </c>
      <c r="O4" s="122">
        <f t="shared" si="0"/>
        <v>-366.2162162162162</v>
      </c>
      <c r="P4" s="119">
        <v>74</v>
      </c>
      <c r="Q4" s="103">
        <v>-27100</v>
      </c>
    </row>
    <row r="5" spans="1:17" x14ac:dyDescent="0.4">
      <c r="A5" s="55" t="s">
        <v>7</v>
      </c>
      <c r="B5" s="158">
        <f>IF(B$2=0,0,B$4/B$2)</f>
        <v>1.5678571428571419</v>
      </c>
      <c r="C5" s="159"/>
      <c r="E5" s="63" t="s">
        <v>73</v>
      </c>
      <c r="F5" s="60" t="s">
        <v>28</v>
      </c>
      <c r="G5" s="47">
        <v>83</v>
      </c>
      <c r="H5" s="133">
        <f>IF(B$17=0,0,G5/B$17)</f>
        <v>0.43005181347150256</v>
      </c>
      <c r="I5" s="94">
        <v>12</v>
      </c>
      <c r="K5" s="38">
        <v>3</v>
      </c>
      <c r="L5" s="99">
        <v>-10</v>
      </c>
      <c r="N5" s="115" t="s">
        <v>135</v>
      </c>
      <c r="O5" s="122">
        <f t="shared" si="0"/>
        <v>1782.8571428571429</v>
      </c>
      <c r="P5" s="119">
        <v>70</v>
      </c>
      <c r="Q5" s="103">
        <v>124800</v>
      </c>
    </row>
    <row r="6" spans="1:17" x14ac:dyDescent="0.4">
      <c r="A6" s="55" t="s">
        <v>1</v>
      </c>
      <c r="B6" s="148">
        <f>IF(B$2=0,0,(B$7*1+B$8*2+B$9*3)/B$2)</f>
        <v>1.9642857142857142</v>
      </c>
      <c r="C6" s="149"/>
      <c r="E6" s="63" t="s">
        <v>68</v>
      </c>
      <c r="F6" s="60" t="s">
        <v>24</v>
      </c>
      <c r="G6" s="47">
        <v>81</v>
      </c>
      <c r="H6" s="133">
        <f>IF(B$17=0,0,G6/B$17)</f>
        <v>0.41968911917098445</v>
      </c>
      <c r="I6" s="94">
        <v>2</v>
      </c>
      <c r="K6" s="38">
        <v>4</v>
      </c>
      <c r="L6" s="99">
        <v>40</v>
      </c>
      <c r="N6" s="115" t="s">
        <v>136</v>
      </c>
      <c r="O6" s="122">
        <f t="shared" si="0"/>
        <v>-1730.1587301587301</v>
      </c>
      <c r="P6" s="119">
        <v>63</v>
      </c>
      <c r="Q6" s="103">
        <v>-109000</v>
      </c>
    </row>
    <row r="7" spans="1:17" x14ac:dyDescent="0.4">
      <c r="A7" s="55" t="s">
        <v>2</v>
      </c>
      <c r="B7" s="47">
        <v>29</v>
      </c>
      <c r="C7" s="39">
        <f>IF(B$2=0,0,B7/B$2)</f>
        <v>0.34523809523809523</v>
      </c>
      <c r="E7" s="63" t="s">
        <v>69</v>
      </c>
      <c r="F7" s="60" t="s">
        <v>12</v>
      </c>
      <c r="G7" s="47">
        <v>60</v>
      </c>
      <c r="H7" s="133">
        <f>IF(B$17=0,0,G7/B$17)</f>
        <v>0.31088082901554404</v>
      </c>
      <c r="I7" s="94">
        <v>7</v>
      </c>
      <c r="K7" s="38">
        <v>5</v>
      </c>
      <c r="L7" s="99">
        <v>35.4</v>
      </c>
      <c r="N7" s="116" t="s">
        <v>137</v>
      </c>
      <c r="O7" s="123">
        <f t="shared" si="0"/>
        <v>247.05882352941177</v>
      </c>
      <c r="P7" s="120">
        <v>51</v>
      </c>
      <c r="Q7" s="104">
        <v>12600</v>
      </c>
    </row>
    <row r="8" spans="1:17" x14ac:dyDescent="0.4">
      <c r="A8" s="55" t="s">
        <v>3</v>
      </c>
      <c r="B8" s="47">
        <v>29</v>
      </c>
      <c r="C8" s="39">
        <f>IF(B$2=0,0,B8/B$2)</f>
        <v>0.34523809523809523</v>
      </c>
      <c r="E8" s="63" t="s">
        <v>70</v>
      </c>
      <c r="F8" s="60" t="s">
        <v>25</v>
      </c>
      <c r="G8" s="47">
        <v>31</v>
      </c>
      <c r="H8" s="133">
        <f>IF(B$17=0,0,G8/B$17)</f>
        <v>0.16062176165803108</v>
      </c>
      <c r="I8" s="94">
        <v>9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0.30952380952380953</v>
      </c>
      <c r="E9" s="63" t="s">
        <v>90</v>
      </c>
      <c r="F9" s="60" t="s">
        <v>45</v>
      </c>
      <c r="G9" s="47">
        <v>22</v>
      </c>
      <c r="H9" s="133">
        <f>IF(B$17=0,0,G9/B$17)</f>
        <v>0.11398963730569948</v>
      </c>
      <c r="I9" s="94">
        <v>8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0.14285714285714285</v>
      </c>
      <c r="E10" s="63" t="s">
        <v>66</v>
      </c>
      <c r="F10" s="60" t="s">
        <v>22</v>
      </c>
      <c r="G10" s="47">
        <v>21</v>
      </c>
      <c r="H10" s="133">
        <f>IF(B$17=0,0,G10/B$17)</f>
        <v>0.10880829015544041</v>
      </c>
      <c r="I10" s="94">
        <v>5</v>
      </c>
      <c r="K10" s="38">
        <v>8</v>
      </c>
      <c r="L10" s="99">
        <v>-87.1</v>
      </c>
      <c r="N10" s="114" t="s">
        <v>164</v>
      </c>
      <c r="O10" s="124">
        <f>IF(P10=0,0,Q10/P10)</f>
        <v>-2.9111111111111114</v>
      </c>
      <c r="P10" s="118">
        <v>27</v>
      </c>
      <c r="Q10" s="106">
        <v>-78.600000000000009</v>
      </c>
    </row>
    <row r="11" spans="1:17" x14ac:dyDescent="0.4">
      <c r="A11" s="56" t="s">
        <v>140</v>
      </c>
      <c r="B11" s="48">
        <v>11</v>
      </c>
      <c r="C11" s="40">
        <f>IF(B$2=0,0,B11/B$2)</f>
        <v>0.13095238095238096</v>
      </c>
      <c r="E11" s="63" t="s">
        <v>71</v>
      </c>
      <c r="F11" s="60" t="s">
        <v>26</v>
      </c>
      <c r="G11" s="47">
        <v>13</v>
      </c>
      <c r="H11" s="133">
        <f>IF(B$17=0,0,G11/B$17)</f>
        <v>6.7357512953367879E-2</v>
      </c>
      <c r="I11" s="94">
        <v>9</v>
      </c>
      <c r="K11" s="38">
        <v>9</v>
      </c>
      <c r="L11" s="99">
        <v>-128.6</v>
      </c>
      <c r="N11" s="115" t="s">
        <v>165</v>
      </c>
      <c r="O11" s="125">
        <f>IF(P11=0,0,Q11/P11)</f>
        <v>5.0225806451612902</v>
      </c>
      <c r="P11" s="119">
        <v>31</v>
      </c>
      <c r="Q11" s="107">
        <v>155.69999999999999</v>
      </c>
    </row>
    <row r="12" spans="1:17" x14ac:dyDescent="0.4">
      <c r="A12" s="57" t="s">
        <v>160</v>
      </c>
      <c r="B12" s="49">
        <v>5</v>
      </c>
      <c r="C12" s="42">
        <f>IF(B$2=0,0,B12/B$2)</f>
        <v>5.9523809523809521E-2</v>
      </c>
      <c r="E12" s="63" t="s">
        <v>72</v>
      </c>
      <c r="F12" s="60" t="s">
        <v>27</v>
      </c>
      <c r="G12" s="47">
        <v>12</v>
      </c>
      <c r="H12" s="133">
        <f>IF(B$17=0,0,G12/B$17)</f>
        <v>6.2176165803108807E-2</v>
      </c>
      <c r="I12" s="94">
        <v>8</v>
      </c>
      <c r="K12" s="38">
        <v>10</v>
      </c>
      <c r="L12" s="99">
        <v>-183.7</v>
      </c>
      <c r="N12" s="116" t="s">
        <v>166</v>
      </c>
      <c r="O12" s="126">
        <f>IF(P12=0,0,Q12/P12)</f>
        <v>2.0999999999999996</v>
      </c>
      <c r="P12" s="120">
        <v>26</v>
      </c>
      <c r="Q12" s="108">
        <v>54.599999999999987</v>
      </c>
    </row>
    <row r="13" spans="1:17" x14ac:dyDescent="0.4">
      <c r="A13" s="58" t="s">
        <v>122</v>
      </c>
      <c r="B13" s="50">
        <v>200</v>
      </c>
      <c r="C13" s="44">
        <f>IF(B$3=0,0,B13/B$3)</f>
        <v>0.28985507246376813</v>
      </c>
      <c r="E13" s="63" t="s">
        <v>87</v>
      </c>
      <c r="F13" s="60" t="s">
        <v>42</v>
      </c>
      <c r="G13" s="47">
        <v>10</v>
      </c>
      <c r="H13" s="133">
        <f>IF(B$17=0,0,G13/B$17)</f>
        <v>5.181347150259067E-2</v>
      </c>
      <c r="I13" s="94">
        <v>6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122</v>
      </c>
      <c r="C14" s="39">
        <f>IF(B$3=0,0,B14/B$3)</f>
        <v>0.17681159420289855</v>
      </c>
      <c r="E14" s="63" t="s">
        <v>84</v>
      </c>
      <c r="F14" s="60" t="s">
        <v>39</v>
      </c>
      <c r="G14" s="47">
        <v>9</v>
      </c>
      <c r="H14" s="133">
        <f>IF(B$17=0,0,G14/B$17)</f>
        <v>4.6632124352331605E-2</v>
      </c>
      <c r="I14" s="94">
        <v>8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121</v>
      </c>
      <c r="C15" s="37">
        <f>IF(B$13=0,0,B15/B$13)</f>
        <v>0.60499999999999998</v>
      </c>
      <c r="E15" s="63" t="s">
        <v>79</v>
      </c>
      <c r="F15" s="60" t="s">
        <v>34</v>
      </c>
      <c r="G15" s="47">
        <v>6</v>
      </c>
      <c r="H15" s="133">
        <f>IF(B$17=0,0,G15/B$17)</f>
        <v>3.1088082901554404E-2</v>
      </c>
      <c r="I15" s="94">
        <v>5</v>
      </c>
      <c r="K15" s="38">
        <v>13</v>
      </c>
      <c r="L15" s="99">
        <v>-209.59999999999997</v>
      </c>
      <c r="N15" s="114" t="s">
        <v>271</v>
      </c>
      <c r="O15" s="124">
        <f>IF(P15=0,0,Q15/P15)</f>
        <v>45.8</v>
      </c>
      <c r="P15" s="118">
        <v>2</v>
      </c>
      <c r="Q15" s="106">
        <v>91.6</v>
      </c>
    </row>
    <row r="16" spans="1:17" x14ac:dyDescent="0.4">
      <c r="A16" s="54" t="s">
        <v>125</v>
      </c>
      <c r="B16" s="46">
        <v>41</v>
      </c>
      <c r="C16" s="37">
        <f>IF(B$14=0,0,B16/B$14)</f>
        <v>0.33606557377049179</v>
      </c>
      <c r="E16" s="63" t="s">
        <v>82</v>
      </c>
      <c r="F16" s="60" t="s">
        <v>37</v>
      </c>
      <c r="G16" s="47">
        <v>6</v>
      </c>
      <c r="H16" s="133">
        <f>IF(B$17=0,0,G16/B$17)</f>
        <v>3.1088082901554404E-2</v>
      </c>
      <c r="I16" s="94">
        <v>4</v>
      </c>
      <c r="K16" s="38">
        <v>14</v>
      </c>
      <c r="L16" s="99">
        <v>-178.49999999999997</v>
      </c>
      <c r="N16" s="115" t="s">
        <v>171</v>
      </c>
      <c r="O16" s="125">
        <f>IF(P16=0,0,Q16/P16)</f>
        <v>44.647368421052633</v>
      </c>
      <c r="P16" s="119">
        <v>19</v>
      </c>
      <c r="Q16" s="107">
        <v>848.30000000000007</v>
      </c>
    </row>
    <row r="17" spans="1:17" x14ac:dyDescent="0.4">
      <c r="A17" s="54" t="s">
        <v>10</v>
      </c>
      <c r="B17" s="46">
        <f>B19+B18</f>
        <v>193</v>
      </c>
      <c r="C17" s="37">
        <f>IF(B$3=0,0,B17/B$3)</f>
        <v>0.27971014492753621</v>
      </c>
      <c r="E17" s="63" t="s">
        <v>92</v>
      </c>
      <c r="F17" s="60" t="s">
        <v>47</v>
      </c>
      <c r="G17" s="47">
        <v>6</v>
      </c>
      <c r="H17" s="133">
        <f>IF(B$17=0,0,G17/B$17)</f>
        <v>3.1088082901554404E-2</v>
      </c>
      <c r="I17" s="94">
        <v>1</v>
      </c>
      <c r="K17" s="38">
        <v>15</v>
      </c>
      <c r="L17" s="99">
        <v>-146.19999999999999</v>
      </c>
      <c r="N17" s="115" t="s">
        <v>173</v>
      </c>
      <c r="O17" s="125">
        <f>IF(P17=0,0,Q17/P17)</f>
        <v>25.122222222222224</v>
      </c>
      <c r="P17" s="119">
        <v>9</v>
      </c>
      <c r="Q17" s="107">
        <v>226.10000000000002</v>
      </c>
    </row>
    <row r="18" spans="1:17" x14ac:dyDescent="0.4">
      <c r="A18" s="55" t="s">
        <v>12</v>
      </c>
      <c r="B18" s="47">
        <v>82</v>
      </c>
      <c r="C18" s="39">
        <f>IF(B$17=0,0,B18/B$17)</f>
        <v>0.42487046632124353</v>
      </c>
      <c r="E18" s="63" t="s">
        <v>80</v>
      </c>
      <c r="F18" s="60" t="s">
        <v>35</v>
      </c>
      <c r="G18" s="47">
        <v>3</v>
      </c>
      <c r="H18" s="133">
        <f>IF(B$17=0,0,G18/B$17)</f>
        <v>1.5544041450777202E-2</v>
      </c>
      <c r="I18" s="94">
        <v>8</v>
      </c>
      <c r="K18" s="38">
        <v>16</v>
      </c>
      <c r="L18" s="99">
        <v>-153.29999999999998</v>
      </c>
      <c r="N18" s="115" t="s">
        <v>128</v>
      </c>
      <c r="O18" s="125">
        <f>IF(P18=0,0,Q18/P18)</f>
        <v>6.1827586206896559</v>
      </c>
      <c r="P18" s="119">
        <v>29</v>
      </c>
      <c r="Q18" s="107">
        <v>179.3</v>
      </c>
    </row>
    <row r="19" spans="1:17" x14ac:dyDescent="0.4">
      <c r="A19" s="55" t="s">
        <v>11</v>
      </c>
      <c r="B19" s="47">
        <v>111</v>
      </c>
      <c r="C19" s="39">
        <f>IF(B$17=0,0,B19/B$17)</f>
        <v>0.57512953367875652</v>
      </c>
      <c r="E19" s="63" t="s">
        <v>86</v>
      </c>
      <c r="F19" s="60" t="s">
        <v>41</v>
      </c>
      <c r="G19" s="47">
        <v>3</v>
      </c>
      <c r="H19" s="133">
        <f>IF(B$17=0,0,G19/B$17)</f>
        <v>1.5544041450777202E-2</v>
      </c>
      <c r="I19" s="94">
        <v>1</v>
      </c>
      <c r="K19" s="38">
        <v>17</v>
      </c>
      <c r="L19" s="99">
        <v>-161.19999999999999</v>
      </c>
      <c r="N19" s="115" t="s">
        <v>184</v>
      </c>
      <c r="O19" s="125">
        <f>IF(P19=0,0,Q19/P19)</f>
        <v>4.8666666666666698</v>
      </c>
      <c r="P19" s="119">
        <v>6</v>
      </c>
      <c r="Q19" s="107">
        <v>29.200000000000017</v>
      </c>
    </row>
    <row r="20" spans="1:17" x14ac:dyDescent="0.4">
      <c r="A20" s="55" t="s">
        <v>13</v>
      </c>
      <c r="B20" s="47">
        <v>103</v>
      </c>
      <c r="C20" s="39">
        <f>IF(B$3=0,0,B20/B$3)</f>
        <v>0.14927536231884059</v>
      </c>
      <c r="E20" s="63" t="s">
        <v>76</v>
      </c>
      <c r="F20" s="60" t="s">
        <v>31</v>
      </c>
      <c r="G20" s="47">
        <v>2</v>
      </c>
      <c r="H20" s="133">
        <f>IF(B$17=0,0,G20/B$17)</f>
        <v>1.0362694300518135E-2</v>
      </c>
      <c r="I20" s="94">
        <v>3</v>
      </c>
      <c r="K20" s="38">
        <v>18</v>
      </c>
      <c r="L20" s="99">
        <v>-159</v>
      </c>
      <c r="N20" s="115" t="s">
        <v>200</v>
      </c>
      <c r="O20" s="125">
        <f>IF(P20=0,0,Q20/P20)</f>
        <v>-0.89999999999999858</v>
      </c>
      <c r="P20" s="119">
        <v>9</v>
      </c>
      <c r="Q20" s="107">
        <v>-8.0999999999999872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2</v>
      </c>
      <c r="H21" s="133">
        <f>IF(B$17=0,0,G21/B$17)</f>
        <v>1.0362694300518135E-2</v>
      </c>
      <c r="I21" s="94">
        <v>4</v>
      </c>
      <c r="K21" s="38">
        <v>19</v>
      </c>
      <c r="L21" s="99">
        <v>-235.6</v>
      </c>
      <c r="N21" s="115" t="s">
        <v>129</v>
      </c>
      <c r="O21" s="125">
        <f>IF(P21=0,0,Q21/P21)</f>
        <v>-2.4666666666666668</v>
      </c>
      <c r="P21" s="119">
        <v>30</v>
      </c>
      <c r="Q21" s="107">
        <v>-74</v>
      </c>
    </row>
    <row r="22" spans="1:17" x14ac:dyDescent="0.4">
      <c r="A22" s="55" t="s">
        <v>192</v>
      </c>
      <c r="B22" s="47">
        <v>45</v>
      </c>
      <c r="C22" s="135">
        <v>4</v>
      </c>
      <c r="E22" s="63" t="s">
        <v>91</v>
      </c>
      <c r="F22" s="60" t="s">
        <v>46</v>
      </c>
      <c r="G22" s="47">
        <v>2</v>
      </c>
      <c r="H22" s="133">
        <f>IF(B$17=0,0,G22/B$17)</f>
        <v>1.0362694300518135E-2</v>
      </c>
      <c r="I22" s="94">
        <v>1</v>
      </c>
      <c r="K22" s="38">
        <v>20</v>
      </c>
      <c r="L22" s="99">
        <v>-200.8</v>
      </c>
      <c r="N22" s="115" t="s">
        <v>172</v>
      </c>
      <c r="O22" s="125">
        <f>IF(P22=0,0,Q22/P22)</f>
        <v>-2.5592592592592607</v>
      </c>
      <c r="P22" s="119">
        <v>27</v>
      </c>
      <c r="Q22" s="107">
        <v>-69.100000000000037</v>
      </c>
    </row>
    <row r="23" spans="1:17" x14ac:dyDescent="0.4">
      <c r="A23" s="55" t="s">
        <v>5</v>
      </c>
      <c r="B23" s="51">
        <f>IF(B$17=0,0,C23/B$17)</f>
        <v>8861.6580310880836</v>
      </c>
      <c r="C23" s="41">
        <v>1710300</v>
      </c>
      <c r="E23" s="63" t="s">
        <v>75</v>
      </c>
      <c r="F23" s="60" t="s">
        <v>30</v>
      </c>
      <c r="G23" s="47">
        <v>1</v>
      </c>
      <c r="H23" s="133">
        <f>IF(B$17=0,0,G23/B$17)</f>
        <v>5.1813471502590676E-3</v>
      </c>
      <c r="I23" s="94">
        <v>5</v>
      </c>
      <c r="K23" s="38">
        <v>21</v>
      </c>
      <c r="L23" s="99">
        <v>-188.60000000000002</v>
      </c>
      <c r="N23" s="115" t="s">
        <v>127</v>
      </c>
      <c r="O23" s="125">
        <f>IF(P23=0,0,Q23/P23)</f>
        <v>-20.326470588235299</v>
      </c>
      <c r="P23" s="119">
        <v>34</v>
      </c>
      <c r="Q23" s="107">
        <v>-691.10000000000014</v>
      </c>
    </row>
    <row r="24" spans="1:17" x14ac:dyDescent="0.4">
      <c r="A24" s="57" t="s">
        <v>14</v>
      </c>
      <c r="B24" s="52">
        <f>IF(B$20=0,0,C24/B$20)</f>
        <v>-7048.5436893203887</v>
      </c>
      <c r="C24" s="45">
        <v>-726000</v>
      </c>
      <c r="E24" s="63" t="s">
        <v>93</v>
      </c>
      <c r="F24" s="60" t="s">
        <v>48</v>
      </c>
      <c r="G24" s="47">
        <v>1</v>
      </c>
      <c r="H24" s="133">
        <f>IF(B$17=0,0,G24/B$17)</f>
        <v>5.1813471502590676E-3</v>
      </c>
      <c r="I24" s="94">
        <v>3</v>
      </c>
      <c r="K24" s="38">
        <v>22</v>
      </c>
      <c r="L24" s="99">
        <v>-142.60000000000002</v>
      </c>
      <c r="N24" s="115" t="s">
        <v>183</v>
      </c>
      <c r="O24" s="125">
        <f>IF(P24=0,0,Q24/P24)</f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6">
        <v>8</v>
      </c>
      <c r="C25" s="147"/>
      <c r="E25" s="63" t="s">
        <v>94</v>
      </c>
      <c r="F25" s="60" t="s">
        <v>49</v>
      </c>
      <c r="G25" s="47">
        <v>1</v>
      </c>
      <c r="H25" s="133">
        <f>IF(B$17=0,0,G25/B$17)</f>
        <v>5.1813471502590676E-3</v>
      </c>
      <c r="I25" s="94">
        <v>2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4">
        <v>103000</v>
      </c>
      <c r="C26" s="145"/>
      <c r="E26" s="63" t="s">
        <v>102</v>
      </c>
      <c r="F26" s="60" t="s">
        <v>57</v>
      </c>
      <c r="G26" s="47">
        <v>1</v>
      </c>
      <c r="H26" s="133">
        <f>IF(B$17=0,0,G26/B$17)</f>
        <v>5.1813471502590676E-3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4.3478260869565218E-3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8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7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998AD-4E79-40DD-B9C9-C1AC0E351ADF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3</v>
      </c>
      <c r="C2" s="153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4">
        <v>19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6">
        <v>61</v>
      </c>
      <c r="C4" s="157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8">
        <f>IF(B$2=0,0,B$4/B$2)</f>
        <v>20.333333333333332</v>
      </c>
      <c r="C5" s="159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4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8">
        <f>IF(B$2=0,0,(B$7*1+B$8*2+B$9*3)/B$2)</f>
        <v>1.3333333333333333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14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3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53500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8FD59-71DB-4E3E-8B40-3BCEF451BA0F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184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22</v>
      </c>
      <c r="C2" s="153"/>
      <c r="E2" s="62" t="s">
        <v>65</v>
      </c>
      <c r="F2" s="59" t="s">
        <v>21</v>
      </c>
      <c r="G2" s="46">
        <v>24</v>
      </c>
      <c r="H2" s="132">
        <f>IF(B$17=0,0,G2/B$17)</f>
        <v>0.52173913043478259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-900</v>
      </c>
      <c r="P2" s="118">
        <v>22</v>
      </c>
      <c r="Q2" s="102">
        <v>-19800</v>
      </c>
    </row>
    <row r="3" spans="1:17" x14ac:dyDescent="0.4">
      <c r="A3" s="55" t="s">
        <v>8</v>
      </c>
      <c r="B3" s="154">
        <v>165</v>
      </c>
      <c r="C3" s="155"/>
      <c r="E3" s="63" t="s">
        <v>66</v>
      </c>
      <c r="F3" s="60" t="s">
        <v>22</v>
      </c>
      <c r="G3" s="47">
        <v>2</v>
      </c>
      <c r="H3" s="133">
        <f>IF(B$17=0,0,G3/B$17)</f>
        <v>4.3478260869565216E-2</v>
      </c>
      <c r="I3" s="94">
        <v>11</v>
      </c>
      <c r="K3" s="38">
        <v>1</v>
      </c>
      <c r="L3" s="99">
        <v>-43.7</v>
      </c>
      <c r="N3" s="115" t="s">
        <v>133</v>
      </c>
      <c r="O3" s="122">
        <f t="shared" si="0"/>
        <v>-5186.363636363636</v>
      </c>
      <c r="P3" s="119">
        <v>22</v>
      </c>
      <c r="Q3" s="103">
        <v>-114100</v>
      </c>
    </row>
    <row r="4" spans="1:17" x14ac:dyDescent="0.4">
      <c r="A4" s="55" t="s">
        <v>6</v>
      </c>
      <c r="B4" s="156">
        <v>-264.39999999999998</v>
      </c>
      <c r="C4" s="157"/>
      <c r="E4" s="63" t="s">
        <v>67</v>
      </c>
      <c r="F4" s="60" t="s">
        <v>23</v>
      </c>
      <c r="G4" s="47">
        <v>41</v>
      </c>
      <c r="H4" s="133">
        <f>IF(B$17=0,0,G4/B$17)</f>
        <v>0.89130434782608692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-300</v>
      </c>
      <c r="P4" s="119">
        <v>18</v>
      </c>
      <c r="Q4" s="103">
        <v>-5400</v>
      </c>
    </row>
    <row r="5" spans="1:17" x14ac:dyDescent="0.4">
      <c r="A5" s="55" t="s">
        <v>7</v>
      </c>
      <c r="B5" s="158">
        <f>IF(B$2=0,0,B$4/B$2)</f>
        <v>-12.018181818181818</v>
      </c>
      <c r="C5" s="159"/>
      <c r="E5" s="63" t="s">
        <v>68</v>
      </c>
      <c r="F5" s="60" t="s">
        <v>24</v>
      </c>
      <c r="G5" s="47">
        <v>11</v>
      </c>
      <c r="H5" s="133">
        <f>IF(B$17=0,0,G5/B$17)</f>
        <v>0.2391304347826087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-3383.3333333333335</v>
      </c>
      <c r="P5" s="119">
        <v>18</v>
      </c>
      <c r="Q5" s="103">
        <v>-60900</v>
      </c>
    </row>
    <row r="6" spans="1:17" x14ac:dyDescent="0.4">
      <c r="A6" s="55" t="s">
        <v>1</v>
      </c>
      <c r="B6" s="148">
        <f>IF(B$2=0,0,(B$7*1+B$8*2+B$9*3)/B$2)</f>
        <v>2.1818181818181817</v>
      </c>
      <c r="C6" s="149"/>
      <c r="E6" s="63" t="s">
        <v>69</v>
      </c>
      <c r="F6" s="60" t="s">
        <v>12</v>
      </c>
      <c r="G6" s="47">
        <v>14</v>
      </c>
      <c r="H6" s="133">
        <f>IF(B$17=0,0,G6/B$17)</f>
        <v>0.30434782608695654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-243.75</v>
      </c>
      <c r="P6" s="119">
        <v>16</v>
      </c>
      <c r="Q6" s="103">
        <v>-3900</v>
      </c>
    </row>
    <row r="7" spans="1:17" x14ac:dyDescent="0.4">
      <c r="A7" s="55" t="s">
        <v>2</v>
      </c>
      <c r="B7" s="47">
        <v>8</v>
      </c>
      <c r="C7" s="39">
        <f>IF(B$2=0,0,B7/B$2)</f>
        <v>0.36363636363636365</v>
      </c>
      <c r="E7" s="63" t="s">
        <v>70</v>
      </c>
      <c r="F7" s="60" t="s">
        <v>25</v>
      </c>
      <c r="G7" s="47">
        <v>8</v>
      </c>
      <c r="H7" s="133">
        <f>IF(B$17=0,0,G7/B$17)</f>
        <v>0.17391304347826086</v>
      </c>
      <c r="I7" s="94">
        <v>6</v>
      </c>
      <c r="K7" s="38">
        <v>5</v>
      </c>
      <c r="L7" s="99">
        <v>-121</v>
      </c>
      <c r="N7" s="116" t="s">
        <v>137</v>
      </c>
      <c r="O7" s="123">
        <f t="shared" si="0"/>
        <v>-3330.7692307692309</v>
      </c>
      <c r="P7" s="120">
        <v>13</v>
      </c>
      <c r="Q7" s="104">
        <v>-43300</v>
      </c>
    </row>
    <row r="8" spans="1:17" x14ac:dyDescent="0.4">
      <c r="A8" s="55" t="s">
        <v>3</v>
      </c>
      <c r="B8" s="47">
        <v>2</v>
      </c>
      <c r="C8" s="39">
        <f>IF(B$2=0,0,B8/B$2)</f>
        <v>9.0909090909090912E-2</v>
      </c>
      <c r="E8" s="63" t="s">
        <v>71</v>
      </c>
      <c r="F8" s="60" t="s">
        <v>26</v>
      </c>
      <c r="G8" s="47">
        <v>8</v>
      </c>
      <c r="H8" s="133">
        <f>IF(B$17=0,0,G8/B$17)</f>
        <v>0.17391304347826086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0.54545454545454541</v>
      </c>
      <c r="E9" s="63" t="s">
        <v>72</v>
      </c>
      <c r="F9" s="60" t="s">
        <v>27</v>
      </c>
      <c r="G9" s="47">
        <v>3</v>
      </c>
      <c r="H9" s="133">
        <f>IF(B$17=0,0,G9/B$17)</f>
        <v>6.5217391304347824E-2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0.31818181818181818</v>
      </c>
      <c r="E10" s="63" t="s">
        <v>73</v>
      </c>
      <c r="F10" s="60" t="s">
        <v>28</v>
      </c>
      <c r="G10" s="47">
        <v>27</v>
      </c>
      <c r="H10" s="133">
        <f>IF(B$17=0,0,G10/B$17)</f>
        <v>0.58695652173913049</v>
      </c>
      <c r="I10" s="94">
        <v>5</v>
      </c>
      <c r="K10" s="38">
        <v>8</v>
      </c>
      <c r="L10" s="99">
        <v>-170.5</v>
      </c>
      <c r="N10" s="114" t="s">
        <v>164</v>
      </c>
      <c r="O10" s="124">
        <f>IF(P10=0,0,Q10/P10)</f>
        <v>-10.224999999999998</v>
      </c>
      <c r="P10" s="118">
        <v>8</v>
      </c>
      <c r="Q10" s="106">
        <v>-81.799999999999983</v>
      </c>
    </row>
    <row r="11" spans="1:17" x14ac:dyDescent="0.4">
      <c r="A11" s="56" t="s">
        <v>140</v>
      </c>
      <c r="B11" s="48">
        <v>2</v>
      </c>
      <c r="C11" s="40">
        <f>IF(B$2=0,0,B11/B$2)</f>
        <v>9.0909090909090912E-2</v>
      </c>
      <c r="E11" s="63" t="s">
        <v>74</v>
      </c>
      <c r="F11" s="60" t="s">
        <v>29</v>
      </c>
      <c r="G11" s="47">
        <v>1</v>
      </c>
      <c r="H11" s="133">
        <f>IF(B$17=0,0,G11/B$17)</f>
        <v>2.1739130434782608E-2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0.13636363636363635</v>
      </c>
      <c r="E12" s="63" t="s">
        <v>75</v>
      </c>
      <c r="F12" s="60" t="s">
        <v>30</v>
      </c>
      <c r="G12" s="47">
        <v>1</v>
      </c>
      <c r="H12" s="133">
        <f>IF(B$17=0,0,G12/B$17)</f>
        <v>2.1739130434782608E-2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-14.012499999999999</v>
      </c>
      <c r="P12" s="120">
        <v>8</v>
      </c>
      <c r="Q12" s="108">
        <v>-112.1</v>
      </c>
    </row>
    <row r="13" spans="1:17" x14ac:dyDescent="0.4">
      <c r="A13" s="58" t="s">
        <v>122</v>
      </c>
      <c r="B13" s="50">
        <v>38</v>
      </c>
      <c r="C13" s="44">
        <f>IF(B$3=0,0,B13/B$3)</f>
        <v>0.23030303030303031</v>
      </c>
      <c r="E13" s="63" t="s">
        <v>76</v>
      </c>
      <c r="F13" s="60" t="s">
        <v>31</v>
      </c>
      <c r="G13" s="47">
        <v>1</v>
      </c>
      <c r="H13" s="133">
        <f>IF(B$17=0,0,G13/B$17)</f>
        <v>2.1739130434782608E-2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41</v>
      </c>
      <c r="C14" s="39">
        <f>IF(B$3=0,0,B14/B$3)</f>
        <v>0.24848484848484848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0.65789473684210531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K15" s="38">
        <v>13</v>
      </c>
      <c r="L15" s="99">
        <v>-144.79999999999998</v>
      </c>
      <c r="N15" s="114" t="s">
        <v>173</v>
      </c>
      <c r="O15" s="124">
        <f t="shared" ref="O15:O23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16</v>
      </c>
      <c r="C16" s="37">
        <f>IF(B$14=0,0,B16/B$14)</f>
        <v>0.3902439024390244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129</v>
      </c>
      <c r="O16" s="125">
        <f t="shared" si="2"/>
        <v>24.440000000000005</v>
      </c>
      <c r="P16" s="119">
        <v>5</v>
      </c>
      <c r="Q16" s="107">
        <v>122.20000000000002</v>
      </c>
    </row>
    <row r="17" spans="1:17" x14ac:dyDescent="0.4">
      <c r="A17" s="54" t="s">
        <v>10</v>
      </c>
      <c r="B17" s="46">
        <f>B19+B18</f>
        <v>46</v>
      </c>
      <c r="C17" s="37">
        <f>IF(B$3=0,0,B17/B$3)</f>
        <v>0.27878787878787881</v>
      </c>
      <c r="E17" s="63" t="s">
        <v>80</v>
      </c>
      <c r="F17" s="60" t="s">
        <v>35</v>
      </c>
      <c r="G17" s="47">
        <v>2</v>
      </c>
      <c r="H17" s="133">
        <f>IF(B$17=0,0,G17/B$17)</f>
        <v>4.3478260869565216E-2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22</v>
      </c>
      <c r="C18" s="39">
        <f>IF(B$17=0,0,B18/B$17)</f>
        <v>0.47826086956521741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171</v>
      </c>
      <c r="O18" s="125">
        <f t="shared" si="2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24</v>
      </c>
      <c r="C19" s="39">
        <f>IF(B$17=0,0,B19/B$17)</f>
        <v>0.52173913043478259</v>
      </c>
      <c r="E19" s="63" t="s">
        <v>82</v>
      </c>
      <c r="F19" s="60" t="s">
        <v>37</v>
      </c>
      <c r="G19" s="47">
        <v>1</v>
      </c>
      <c r="H19" s="133">
        <f>IF(B$17=0,0,G19/B$17)</f>
        <v>2.1739130434782608E-2</v>
      </c>
      <c r="I19" s="94">
        <v>9</v>
      </c>
      <c r="K19" s="38">
        <v>17</v>
      </c>
      <c r="L19" s="99">
        <v>-203.5</v>
      </c>
      <c r="N19" s="115" t="s">
        <v>128</v>
      </c>
      <c r="O19" s="125">
        <f t="shared" si="2"/>
        <v>-19.033333333333331</v>
      </c>
      <c r="P19" s="119">
        <v>9</v>
      </c>
      <c r="Q19" s="107">
        <v>-171.29999999999998</v>
      </c>
    </row>
    <row r="20" spans="1:17" x14ac:dyDescent="0.4">
      <c r="A20" s="55" t="s">
        <v>13</v>
      </c>
      <c r="B20" s="47">
        <v>39</v>
      </c>
      <c r="C20" s="39">
        <f>IF(B$3=0,0,B20/B$3)</f>
        <v>0.23636363636363636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2"/>
        <v>-22.991666666666671</v>
      </c>
      <c r="P20" s="119">
        <v>12</v>
      </c>
      <c r="Q20" s="107">
        <v>-275.90000000000003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0.13043478260869565</v>
      </c>
      <c r="I21" s="94">
        <v>1</v>
      </c>
      <c r="K21" s="38">
        <v>19</v>
      </c>
      <c r="L21" s="99">
        <v>-67.599999999999994</v>
      </c>
      <c r="N21" s="115" t="s">
        <v>172</v>
      </c>
      <c r="O21" s="125">
        <f t="shared" si="2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-124.1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8621.7391304347821</v>
      </c>
      <c r="C23" s="41">
        <v>396600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-189.2</v>
      </c>
      <c r="N23" s="115" t="s">
        <v>223</v>
      </c>
      <c r="O23" s="125">
        <f t="shared" si="2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-9879.4871794871797</v>
      </c>
      <c r="C24" s="45">
        <v>-385300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92000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0.10869565217391304</v>
      </c>
      <c r="I27" s="94">
        <v>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2.1739130434782608E-2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0.34782608695652173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AE825-387E-4D91-9732-D96D33A2F932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200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16</v>
      </c>
      <c r="C2" s="153"/>
      <c r="E2" s="62" t="s">
        <v>65</v>
      </c>
      <c r="F2" s="59" t="s">
        <v>21</v>
      </c>
      <c r="G2" s="46">
        <v>23</v>
      </c>
      <c r="H2" s="132">
        <f>IF(B$17=0,0,G2/B$17)</f>
        <v>0.43396226415094341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-1562.5</v>
      </c>
      <c r="P2" s="118">
        <v>16</v>
      </c>
      <c r="Q2" s="102">
        <v>-25000</v>
      </c>
    </row>
    <row r="3" spans="1:17" x14ac:dyDescent="0.4">
      <c r="A3" s="55" t="s">
        <v>8</v>
      </c>
      <c r="B3" s="154">
        <v>150</v>
      </c>
      <c r="C3" s="155"/>
      <c r="E3" s="63" t="s">
        <v>66</v>
      </c>
      <c r="F3" s="60" t="s">
        <v>22</v>
      </c>
      <c r="G3" s="47">
        <v>4</v>
      </c>
      <c r="H3" s="133">
        <f>IF(B$17=0,0,G3/B$17)</f>
        <v>7.5471698113207544E-2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2425</v>
      </c>
      <c r="P3" s="119">
        <v>16</v>
      </c>
      <c r="Q3" s="103">
        <v>38800</v>
      </c>
    </row>
    <row r="4" spans="1:17" x14ac:dyDescent="0.4">
      <c r="A4" s="55" t="s">
        <v>6</v>
      </c>
      <c r="B4" s="156">
        <v>99.6</v>
      </c>
      <c r="C4" s="157"/>
      <c r="E4" s="63" t="s">
        <v>67</v>
      </c>
      <c r="F4" s="60" t="s">
        <v>23</v>
      </c>
      <c r="G4" s="47">
        <v>31</v>
      </c>
      <c r="H4" s="133">
        <f>IF(B$17=0,0,G4/B$17)</f>
        <v>0.58490566037735847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-6756.25</v>
      </c>
      <c r="P4" s="119">
        <v>16</v>
      </c>
      <c r="Q4" s="103">
        <v>-108100</v>
      </c>
    </row>
    <row r="5" spans="1:17" x14ac:dyDescent="0.4">
      <c r="A5" s="55" t="s">
        <v>7</v>
      </c>
      <c r="B5" s="158">
        <f>IF(B$2=0,0,B$4/B$2)</f>
        <v>6.2249999999999996</v>
      </c>
      <c r="C5" s="159"/>
      <c r="E5" s="63" t="s">
        <v>68</v>
      </c>
      <c r="F5" s="60" t="s">
        <v>24</v>
      </c>
      <c r="G5" s="47">
        <v>15</v>
      </c>
      <c r="H5" s="133">
        <f>IF(B$17=0,0,G5/B$17)</f>
        <v>0.28301886792452829</v>
      </c>
      <c r="I5" s="94">
        <v>9</v>
      </c>
      <c r="K5" s="38">
        <v>3</v>
      </c>
      <c r="L5" s="99">
        <v>-20.400000000000002</v>
      </c>
      <c r="N5" s="115" t="s">
        <v>135</v>
      </c>
      <c r="O5" s="122">
        <f t="shared" si="0"/>
        <v>-575</v>
      </c>
      <c r="P5" s="119">
        <v>16</v>
      </c>
      <c r="Q5" s="103">
        <v>-9200</v>
      </c>
    </row>
    <row r="6" spans="1:17" x14ac:dyDescent="0.4">
      <c r="A6" s="55" t="s">
        <v>1</v>
      </c>
      <c r="B6" s="148">
        <f>IF(B$2=0,0,(B$7*1+B$8*2+B$9*3)/B$2)</f>
        <v>1.8125</v>
      </c>
      <c r="C6" s="149"/>
      <c r="E6" s="63" t="s">
        <v>69</v>
      </c>
      <c r="F6" s="60" t="s">
        <v>12</v>
      </c>
      <c r="G6" s="47">
        <v>21</v>
      </c>
      <c r="H6" s="133">
        <f>IF(B$17=0,0,G6/B$17)</f>
        <v>0.39622641509433965</v>
      </c>
      <c r="I6" s="94">
        <v>2</v>
      </c>
      <c r="K6" s="38">
        <v>4</v>
      </c>
      <c r="L6" s="99">
        <v>19.399999999999995</v>
      </c>
      <c r="N6" s="115" t="s">
        <v>136</v>
      </c>
      <c r="O6" s="122">
        <f t="shared" si="0"/>
        <v>10915.384615384615</v>
      </c>
      <c r="P6" s="119">
        <v>13</v>
      </c>
      <c r="Q6" s="103">
        <v>141900</v>
      </c>
    </row>
    <row r="7" spans="1:17" x14ac:dyDescent="0.4">
      <c r="A7" s="55" t="s">
        <v>2</v>
      </c>
      <c r="B7" s="47">
        <v>6</v>
      </c>
      <c r="C7" s="39">
        <f>IF(B$2=0,0,B7/B$2)</f>
        <v>0.375</v>
      </c>
      <c r="E7" s="63" t="s">
        <v>70</v>
      </c>
      <c r="F7" s="60" t="s">
        <v>25</v>
      </c>
      <c r="G7" s="47">
        <v>7</v>
      </c>
      <c r="H7" s="133">
        <f>IF(B$17=0,0,G7/B$17)</f>
        <v>0.13207547169811321</v>
      </c>
      <c r="I7" s="94">
        <v>11</v>
      </c>
      <c r="K7" s="38">
        <v>5</v>
      </c>
      <c r="L7" s="99">
        <v>-16.100000000000005</v>
      </c>
      <c r="N7" s="116" t="s">
        <v>137</v>
      </c>
      <c r="O7" s="123">
        <f t="shared" si="0"/>
        <v>1925</v>
      </c>
      <c r="P7" s="120">
        <v>12</v>
      </c>
      <c r="Q7" s="104">
        <v>23100</v>
      </c>
    </row>
    <row r="8" spans="1:17" x14ac:dyDescent="0.4">
      <c r="A8" s="55" t="s">
        <v>3</v>
      </c>
      <c r="B8" s="47">
        <v>7</v>
      </c>
      <c r="C8" s="39">
        <f>IF(B$2=0,0,B8/B$2)</f>
        <v>0.4375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11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ref="C9" si="1">IF(B$2=0,0,B9/B$2)</f>
        <v>0.1875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12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0.125</v>
      </c>
      <c r="E10" s="63" t="s">
        <v>73</v>
      </c>
      <c r="F10" s="60" t="s">
        <v>28</v>
      </c>
      <c r="G10" s="47">
        <v>41</v>
      </c>
      <c r="H10" s="133">
        <f>IF(B$17=0,0,G10/B$17)</f>
        <v>0.77358490566037741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>IF(B$2=0,0,B11/B$2)</f>
        <v>6.25E-2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36.299999999999997</v>
      </c>
      <c r="P11" s="119">
        <v>4</v>
      </c>
      <c r="Q11" s="107">
        <v>145.19999999999999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0.125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109.39999999999999</v>
      </c>
      <c r="N12" s="116" t="s">
        <v>166</v>
      </c>
      <c r="O12" s="126">
        <f>IF(P12=0,0,Q12/P12)</f>
        <v>2.4333333333333331</v>
      </c>
      <c r="P12" s="120">
        <v>6</v>
      </c>
      <c r="Q12" s="108">
        <v>14.599999999999998</v>
      </c>
    </row>
    <row r="13" spans="1:17" x14ac:dyDescent="0.4">
      <c r="A13" s="58" t="s">
        <v>122</v>
      </c>
      <c r="B13" s="50">
        <v>36</v>
      </c>
      <c r="C13" s="44">
        <f>IF(B$3=0,0,B13/B$3)</f>
        <v>0.24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50</v>
      </c>
      <c r="C14" s="39">
        <f>IF(B$3=0,0,B14/B$3)</f>
        <v>0.33333333333333331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</v>
      </c>
      <c r="C15" s="37">
        <f>IF(B$13=0,0,B15/B$13)</f>
        <v>0.63888888888888884</v>
      </c>
      <c r="E15" s="63" t="s">
        <v>78</v>
      </c>
      <c r="F15" s="60" t="s">
        <v>33</v>
      </c>
      <c r="G15" s="47">
        <v>3</v>
      </c>
      <c r="H15" s="133">
        <f>IF(B$17=0,0,G15/B$17)</f>
        <v>5.6603773584905662E-2</v>
      </c>
      <c r="I15" s="94">
        <v>1</v>
      </c>
      <c r="K15" s="38">
        <v>13</v>
      </c>
      <c r="L15" s="99">
        <v>83.299999999999983</v>
      </c>
      <c r="N15" s="114" t="s">
        <v>173</v>
      </c>
      <c r="O15" s="124">
        <f t="shared" ref="O15:O21" si="2">IF(P15=0,0,Q15/P15)</f>
        <v>65.550000000000011</v>
      </c>
      <c r="P15" s="118">
        <v>2</v>
      </c>
      <c r="Q15" s="106">
        <v>131.10000000000002</v>
      </c>
    </row>
    <row r="16" spans="1:17" x14ac:dyDescent="0.4">
      <c r="A16" s="54" t="s">
        <v>125</v>
      </c>
      <c r="B16" s="46">
        <v>22</v>
      </c>
      <c r="C16" s="37">
        <f>IF(B$14=0,0,B16/B$14)</f>
        <v>0.44</v>
      </c>
      <c r="E16" s="63" t="s">
        <v>79</v>
      </c>
      <c r="F16" s="60" t="s">
        <v>34</v>
      </c>
      <c r="G16" s="47">
        <v>3</v>
      </c>
      <c r="H16" s="133">
        <f>IF(B$17=0,0,G16/B$17)</f>
        <v>5.6603773584905662E-2</v>
      </c>
      <c r="I16" s="94">
        <v>2</v>
      </c>
      <c r="K16" s="38">
        <v>14</v>
      </c>
      <c r="L16" s="99">
        <v>114.99999999999999</v>
      </c>
      <c r="N16" s="115" t="s">
        <v>172</v>
      </c>
      <c r="O16" s="125">
        <f t="shared" si="2"/>
        <v>16.62857142857143</v>
      </c>
      <c r="P16" s="119">
        <v>7</v>
      </c>
      <c r="Q16" s="107">
        <v>116.4</v>
      </c>
    </row>
    <row r="17" spans="1:17" x14ac:dyDescent="0.4">
      <c r="A17" s="54" t="s">
        <v>10</v>
      </c>
      <c r="B17" s="46">
        <f>B19+B18</f>
        <v>53</v>
      </c>
      <c r="C17" s="37">
        <f>IF(B$3=0,0,B17/B$3)</f>
        <v>0.35333333333333333</v>
      </c>
      <c r="E17" s="63" t="s">
        <v>80</v>
      </c>
      <c r="F17" s="60" t="s">
        <v>35</v>
      </c>
      <c r="G17" s="47">
        <v>1</v>
      </c>
      <c r="H17" s="133">
        <f>IF(B$17=0,0,G17/B$17)</f>
        <v>1.8867924528301886E-2</v>
      </c>
      <c r="I17" s="94">
        <v>4</v>
      </c>
      <c r="K17" s="38">
        <v>15</v>
      </c>
      <c r="L17" s="99">
        <v>157.69999999999999</v>
      </c>
      <c r="N17" s="115" t="s">
        <v>127</v>
      </c>
      <c r="O17" s="125">
        <f t="shared" si="2"/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32</v>
      </c>
      <c r="C18" s="39">
        <f>IF(B$17=0,0,B18/B$17)</f>
        <v>0.60377358490566035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99.6</v>
      </c>
      <c r="N18" s="115" t="s">
        <v>171</v>
      </c>
      <c r="O18" s="125">
        <f t="shared" si="2"/>
        <v>12.75</v>
      </c>
      <c r="P18" s="119">
        <v>6</v>
      </c>
      <c r="Q18" s="107">
        <v>76.5</v>
      </c>
    </row>
    <row r="19" spans="1:17" x14ac:dyDescent="0.4">
      <c r="A19" s="55" t="s">
        <v>11</v>
      </c>
      <c r="B19" s="47">
        <v>21</v>
      </c>
      <c r="C19" s="39">
        <f>IF(B$17=0,0,B19/B$17)</f>
        <v>0.39622641509433965</v>
      </c>
      <c r="E19" s="63" t="s">
        <v>82</v>
      </c>
      <c r="F19" s="60" t="s">
        <v>37</v>
      </c>
      <c r="G19" s="47">
        <v>1</v>
      </c>
      <c r="H19" s="133">
        <f>IF(B$17=0,0,G19/B$17)</f>
        <v>1.8867924528301886E-2</v>
      </c>
      <c r="I19" s="94">
        <v>10</v>
      </c>
      <c r="N19" s="115" t="s">
        <v>128</v>
      </c>
      <c r="O19" s="125">
        <f t="shared" si="2"/>
        <v>5.5000000000000018</v>
      </c>
      <c r="P19" s="119">
        <v>2</v>
      </c>
      <c r="Q19" s="107">
        <v>11.000000000000004</v>
      </c>
    </row>
    <row r="20" spans="1:17" x14ac:dyDescent="0.4">
      <c r="A20" s="55" t="s">
        <v>13</v>
      </c>
      <c r="B20" s="47">
        <v>25</v>
      </c>
      <c r="C20" s="39">
        <f>IF(B$3=0,0,B20/B$3)</f>
        <v>0.16666666666666666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0.90000000000000258</v>
      </c>
      <c r="P20" s="119">
        <v>9</v>
      </c>
      <c r="Q20" s="107">
        <v>8.1000000000000227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5.6603773584905662E-2</v>
      </c>
      <c r="I21" s="94">
        <v>4</v>
      </c>
      <c r="N21" s="115" t="s">
        <v>129</v>
      </c>
      <c r="O21" s="125">
        <f t="shared" si="2"/>
        <v>-17.799999999999997</v>
      </c>
      <c r="P21" s="119">
        <v>4</v>
      </c>
      <c r="Q21" s="107">
        <v>-71.199999999999989</v>
      </c>
    </row>
    <row r="22" spans="1:17" x14ac:dyDescent="0.4">
      <c r="A22" s="55" t="s">
        <v>192</v>
      </c>
      <c r="B22" s="47">
        <v>14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8041.5094339622638</v>
      </c>
      <c r="C23" s="41">
        <v>426200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-8416</v>
      </c>
      <c r="C24" s="45">
        <v>-210400</v>
      </c>
      <c r="E24" s="63" t="s">
        <v>87</v>
      </c>
      <c r="F24" s="60" t="s">
        <v>42</v>
      </c>
      <c r="G24" s="47">
        <v>5</v>
      </c>
      <c r="H24" s="133">
        <f>IF(B$17=0,0,G24/B$17)</f>
        <v>9.4339622641509441E-2</v>
      </c>
      <c r="I24" s="94">
        <v>2</v>
      </c>
    </row>
    <row r="25" spans="1:17" x14ac:dyDescent="0.4">
      <c r="A25" s="90" t="s">
        <v>142</v>
      </c>
      <c r="B25" s="146">
        <v>4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106300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1</v>
      </c>
      <c r="C27" s="42">
        <f>IF(B$3=0,0,B27/B$3)</f>
        <v>6.6666666666666671E-3</v>
      </c>
      <c r="E27" s="63" t="s">
        <v>90</v>
      </c>
      <c r="F27" s="60" t="s">
        <v>45</v>
      </c>
      <c r="G27" s="47">
        <v>8</v>
      </c>
      <c r="H27" s="133">
        <f>IF(B$17=0,0,G27/B$17)</f>
        <v>0.15094339622641509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</row>
    <row r="51" spans="5:9" x14ac:dyDescent="0.4">
      <c r="E51" s="136" t="s">
        <v>245</v>
      </c>
      <c r="F51" s="137" t="s">
        <v>246</v>
      </c>
      <c r="G51" s="48">
        <v>15</v>
      </c>
      <c r="H51" s="138">
        <f>IF(B$17=0,0,G51/B$17)</f>
        <v>0.28301886792452829</v>
      </c>
      <c r="I51" s="139">
        <v>14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E1E61-D65E-46D6-9E37-E176A95FFC70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222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</v>
      </c>
      <c r="C2" s="153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4">
        <v>13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6">
        <v>13.3</v>
      </c>
      <c r="C4" s="157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8">
        <f>IF(B$2=0,0,B$4/B$2)</f>
        <v>13.3</v>
      </c>
      <c r="C5" s="159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14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6">
        <v>5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4">
        <v>48300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81473-78D5-4742-8C73-2D2C0B035FFD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223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6</v>
      </c>
      <c r="C2" s="153"/>
      <c r="E2" s="62" t="s">
        <v>65</v>
      </c>
      <c r="F2" s="59" t="s">
        <v>21</v>
      </c>
      <c r="G2" s="46">
        <v>4</v>
      </c>
      <c r="H2" s="132">
        <f>IF(B$17=0,0,G2/B$17)</f>
        <v>0.25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4">
        <v>46</v>
      </c>
      <c r="C3" s="155"/>
      <c r="E3" s="63" t="s">
        <v>66</v>
      </c>
      <c r="F3" s="60" t="s">
        <v>22</v>
      </c>
      <c r="G3" s="47">
        <v>1</v>
      </c>
      <c r="H3" s="133">
        <f>IF(B$17=0,0,G3/B$17)</f>
        <v>6.25E-2</v>
      </c>
      <c r="I3" s="94">
        <v>10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6">
        <v>100.39999999999999</v>
      </c>
      <c r="C4" s="157"/>
      <c r="E4" s="63" t="s">
        <v>67</v>
      </c>
      <c r="F4" s="60" t="s">
        <v>23</v>
      </c>
      <c r="G4" s="47">
        <v>16</v>
      </c>
      <c r="H4" s="133">
        <f>IF(B$17=0,0,G4/B$17)</f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8">
        <f>IF(B$2=0,0,B$4/B$2)</f>
        <v>16.733333333333331</v>
      </c>
      <c r="C5" s="159"/>
      <c r="E5" s="63" t="s">
        <v>68</v>
      </c>
      <c r="F5" s="60" t="s">
        <v>24</v>
      </c>
      <c r="G5" s="47">
        <v>4</v>
      </c>
      <c r="H5" s="133">
        <f>IF(B$17=0,0,G5/B$17)</f>
        <v>0.25</v>
      </c>
      <c r="I5" s="94">
        <v>10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8">
        <f>IF(B$2=0,0,(B$7*1+B$8*2+B$9*3)/B$2)</f>
        <v>1.8333333333333333</v>
      </c>
      <c r="C6" s="149"/>
      <c r="E6" s="63" t="s">
        <v>69</v>
      </c>
      <c r="F6" s="60" t="s">
        <v>12</v>
      </c>
      <c r="G6" s="47">
        <v>5</v>
      </c>
      <c r="H6" s="133">
        <f>IF(B$17=0,0,G6/B$17)</f>
        <v>0.3125</v>
      </c>
      <c r="I6" s="94">
        <v>6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6.25E-2</v>
      </c>
      <c r="I7" s="94">
        <v>13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71</v>
      </c>
      <c r="F8" s="60" t="s">
        <v>26</v>
      </c>
      <c r="G8" s="47">
        <v>1</v>
      </c>
      <c r="H8" s="133">
        <f>IF(B$17=0,0,G8/B$17)</f>
        <v>6.25E-2</v>
      </c>
      <c r="I8" s="94">
        <v>10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14</v>
      </c>
      <c r="H10" s="133">
        <f>IF(B$17=0,0,G10/B$17)</f>
        <v>0.875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>IF(B$2=0,0,B11/B$2)</f>
        <v>0.33333333333333331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>IF(B$2=0,0,B12/B$2)</f>
        <v>0.16666666666666666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79</v>
      </c>
      <c r="F16" s="60" t="s">
        <v>34</v>
      </c>
      <c r="G16" s="47">
        <v>1</v>
      </c>
      <c r="H16" s="133">
        <f>IF(B$17=0,0,G16/B$17)</f>
        <v>6.25E-2</v>
      </c>
      <c r="I16" s="94">
        <v>1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80</v>
      </c>
      <c r="F17" s="60" t="s">
        <v>35</v>
      </c>
      <c r="G17" s="47">
        <v>1</v>
      </c>
      <c r="H17" s="133">
        <f>IF(B$17=0,0,G17/B$17)</f>
        <v>6.25E-2</v>
      </c>
      <c r="I17" s="94">
        <v>1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84</v>
      </c>
      <c r="F21" s="60" t="s">
        <v>39</v>
      </c>
      <c r="G21" s="47">
        <v>1</v>
      </c>
      <c r="H21" s="133">
        <f>IF(B$17=0,0,G21/B$17)</f>
        <v>6.25E-2</v>
      </c>
      <c r="I21" s="94">
        <v>3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92100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>IF(B$17=0,0,G27/B$17)</f>
        <v>0.1875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0.125</v>
      </c>
      <c r="I50" s="94">
        <v>1</v>
      </c>
    </row>
    <row r="51" spans="5:9" x14ac:dyDescent="0.4">
      <c r="E51" s="136" t="s">
        <v>245</v>
      </c>
      <c r="F51" s="137" t="s">
        <v>246</v>
      </c>
      <c r="G51" s="48">
        <v>6</v>
      </c>
      <c r="H51" s="138">
        <f>IF(B$17=0,0,G51/B$17)</f>
        <v>0.375</v>
      </c>
      <c r="I51" s="139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367D9-FDC7-4E79-86D6-948490AF2FB6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271</v>
      </c>
      <c r="C1" s="151"/>
      <c r="E1" s="129" t="s">
        <v>167</v>
      </c>
      <c r="F1" s="143" t="s">
        <v>116</v>
      </c>
      <c r="G1" s="142" t="s">
        <v>117</v>
      </c>
      <c r="H1" s="130" t="s">
        <v>118</v>
      </c>
      <c r="I1" s="143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2</v>
      </c>
      <c r="C2" s="153"/>
      <c r="E2" s="62" t="s">
        <v>65</v>
      </c>
      <c r="F2" s="59" t="s">
        <v>21</v>
      </c>
      <c r="G2" s="46">
        <v>1</v>
      </c>
      <c r="H2" s="132">
        <f>IF(B$17=0,0,G2/B$17)</f>
        <v>0.25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-7950</v>
      </c>
      <c r="P2" s="118">
        <v>2</v>
      </c>
      <c r="Q2" s="102">
        <v>-15900</v>
      </c>
    </row>
    <row r="3" spans="1:17" x14ac:dyDescent="0.4">
      <c r="A3" s="55" t="s">
        <v>8</v>
      </c>
      <c r="B3" s="154">
        <v>21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-43.2</v>
      </c>
      <c r="N3" s="115" t="s">
        <v>133</v>
      </c>
      <c r="O3" s="122">
        <f t="shared" si="0"/>
        <v>-7750</v>
      </c>
      <c r="P3" s="119">
        <v>2</v>
      </c>
      <c r="Q3" s="103">
        <v>-15500</v>
      </c>
    </row>
    <row r="4" spans="1:17" x14ac:dyDescent="0.4">
      <c r="A4" s="55" t="s">
        <v>6</v>
      </c>
      <c r="B4" s="156">
        <v>-96.5</v>
      </c>
      <c r="C4" s="157"/>
      <c r="E4" s="63" t="s">
        <v>67</v>
      </c>
      <c r="F4" s="60" t="s">
        <v>23</v>
      </c>
      <c r="G4" s="47">
        <v>2</v>
      </c>
      <c r="H4" s="133">
        <f>IF(B$17=0,0,G4/B$17)</f>
        <v>0.5</v>
      </c>
      <c r="I4" s="94">
        <v>14</v>
      </c>
      <c r="K4" s="38">
        <v>2</v>
      </c>
      <c r="L4" s="99">
        <v>-96.5</v>
      </c>
      <c r="N4" s="115" t="s">
        <v>134</v>
      </c>
      <c r="O4" s="122">
        <f t="shared" si="0"/>
        <v>-1150</v>
      </c>
      <c r="P4" s="119">
        <v>2</v>
      </c>
      <c r="Q4" s="103">
        <v>-2300</v>
      </c>
    </row>
    <row r="5" spans="1:17" x14ac:dyDescent="0.4">
      <c r="A5" s="55" t="s">
        <v>7</v>
      </c>
      <c r="B5" s="158">
        <f>IF(B$2=0,0,B$4/B$2)</f>
        <v>-48.25</v>
      </c>
      <c r="C5" s="159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14</v>
      </c>
      <c r="N5" s="115" t="s">
        <v>135</v>
      </c>
      <c r="O5" s="122">
        <f t="shared" si="0"/>
        <v>-3950</v>
      </c>
      <c r="P5" s="119">
        <v>2</v>
      </c>
      <c r="Q5" s="103">
        <v>-7900</v>
      </c>
    </row>
    <row r="6" spans="1:17" x14ac:dyDescent="0.4">
      <c r="A6" s="55" t="s">
        <v>1</v>
      </c>
      <c r="B6" s="148">
        <f>IF(B$2=0,0,(B$7*1+B$8*2+B$9*3)/B$2)</f>
        <v>3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0.25</v>
      </c>
      <c r="I6" s="94">
        <v>12</v>
      </c>
      <c r="N6" s="115" t="s">
        <v>136</v>
      </c>
      <c r="O6" s="122">
        <f t="shared" si="0"/>
        <v>-2100</v>
      </c>
      <c r="P6" s="119">
        <v>2</v>
      </c>
      <c r="Q6" s="103">
        <v>-4200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3">
        <f>IF(B$17=0,0,G7/B$17)</f>
        <v>0.25</v>
      </c>
      <c r="I7" s="94">
        <v>1</v>
      </c>
      <c r="N7" s="116" t="s">
        <v>137</v>
      </c>
      <c r="O7" s="123">
        <f t="shared" si="0"/>
        <v>-5350</v>
      </c>
      <c r="P7" s="120">
        <v>2</v>
      </c>
      <c r="Q7" s="104">
        <v>-10700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0.75</v>
      </c>
      <c r="I10" s="94">
        <v>3</v>
      </c>
      <c r="N10" s="114" t="s">
        <v>164</v>
      </c>
      <c r="O10" s="124">
        <f>IF(P10=0,0,Q10/P10)</f>
        <v>-43.2</v>
      </c>
      <c r="P10" s="118">
        <v>1</v>
      </c>
      <c r="Q10" s="106">
        <v>-43.2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-53.3</v>
      </c>
      <c r="P11" s="119">
        <v>1</v>
      </c>
      <c r="Q11" s="107">
        <v>-53.3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</v>
      </c>
      <c r="C13" s="44">
        <f>IF(B$3=0,0,B13/B$3)</f>
        <v>4.7619047619047616E-2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0.47619047619047616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177</v>
      </c>
      <c r="O15" s="124">
        <f>IF(P15=0,0,Q15/P15)</f>
        <v>-45.800000000000004</v>
      </c>
      <c r="P15" s="118">
        <v>2</v>
      </c>
      <c r="Q15" s="106">
        <v>-91.600000000000009</v>
      </c>
    </row>
    <row r="16" spans="1:17" x14ac:dyDescent="0.4">
      <c r="A16" s="54" t="s">
        <v>125</v>
      </c>
      <c r="B16" s="46">
        <v>2</v>
      </c>
      <c r="C16" s="37">
        <f>IF(B$14=0,0,B16/B$14)</f>
        <v>0.2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129</v>
      </c>
      <c r="O16" s="125">
        <f>IF(P16=0,0,Q16/P16)</f>
        <v>-98.95</v>
      </c>
      <c r="P16" s="119">
        <v>2</v>
      </c>
      <c r="Q16" s="107">
        <v>-197.9</v>
      </c>
    </row>
    <row r="17" spans="1:9" x14ac:dyDescent="0.4">
      <c r="A17" s="54" t="s">
        <v>10</v>
      </c>
      <c r="B17" s="46">
        <f>B19+B18</f>
        <v>4</v>
      </c>
      <c r="C17" s="37">
        <f>IF(B$3=0,0,B17/B$3)</f>
        <v>0.19047619047619047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3</v>
      </c>
      <c r="C19" s="39">
        <f>IF(B$17=0,0,B19/B$17)</f>
        <v>0.75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9" x14ac:dyDescent="0.4">
      <c r="A20" s="55" t="s">
        <v>13</v>
      </c>
      <c r="B20" s="47">
        <v>5</v>
      </c>
      <c r="C20" s="39">
        <f>IF(B$3=0,0,B20/B$3)</f>
        <v>0.23809523809523808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9" x14ac:dyDescent="0.4">
      <c r="A23" s="55" t="s">
        <v>5</v>
      </c>
      <c r="B23" s="51">
        <f>IF(B$17=0,0,C23/B$17)</f>
        <v>4475</v>
      </c>
      <c r="C23" s="41">
        <v>17900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-6140</v>
      </c>
      <c r="C24" s="45">
        <v>-30700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6">
        <v>2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4">
        <v>11800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</row>
    <row r="51" spans="5:9" x14ac:dyDescent="0.4">
      <c r="E51" s="136" t="s">
        <v>245</v>
      </c>
      <c r="F51" s="137" t="s">
        <v>246</v>
      </c>
      <c r="G51" s="48">
        <v>4</v>
      </c>
      <c r="H51" s="138">
        <f>IF(B$17=0,0,G51/B$17)</f>
        <v>1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0F33C-D428-4018-B0F8-79BF63CFFF1C}">
  <sheetPr codeName="Sheet33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DE34E-BD6F-456E-B520-7F920AB111D7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41A-1CA4-41BE-B6B9-393115080833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99C7D-8208-4643-A876-27ACF1431A69}">
  <sheetPr codeName="Sheet26"/>
  <dimension ref="A1:Q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B5966-FCB5-4685-B78B-9FEF9652A87B}">
  <sheetPr codeName="Sheet24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A2E37-BAF4-420F-9EDE-807A3DD8FDC3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1577-4297-4953-ACC7-E0B56DF710BE}">
  <sheetPr codeName="Sheet20"/>
  <dimension ref="A1:Q8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22A9-E1B5-4EE0-9BE6-BF256DBEB4BB}">
  <sheetPr codeName="Sheet18"/>
  <dimension ref="A1:Q5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CCEF1-21A6-400A-A518-6F7443C12492}">
  <sheetPr codeName="Sheet16"/>
  <dimension ref="A1:Q9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D60C-1DF6-42A7-98C3-66917293191F}">
  <sheetPr codeName="Sheet14"/>
  <dimension ref="A1:Q9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CA12-830C-4BD8-9B6F-A44D921E18D5}">
  <sheetPr codeName="Sheet12"/>
  <dimension ref="A1:Q1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C01B-7214-4720-A6B0-6935F5C0CCDB}">
  <sheetPr codeName="Sheet10"/>
  <dimension ref="A1:Q13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CC82A-ED2E-4B31-B847-95951A37F7C4}">
  <sheetPr codeName="Sheet8"/>
  <dimension ref="A1:Q16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6C765-06AF-4584-8E24-4A1CC52BE787}">
  <sheetPr codeName="Sheet6"/>
  <dimension ref="A1:Q26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1.4210854715202004E-14</v>
      </c>
      <c r="C250" s="66">
        <v>1.9177941585967616E-17</v>
      </c>
      <c r="D250" s="71">
        <v>2</v>
      </c>
      <c r="E250" s="67">
        <v>0.33333333333333331</v>
      </c>
      <c r="F250" s="67">
        <v>0.33333333333333331</v>
      </c>
      <c r="G250" s="67">
        <v>0.29848558866634101</v>
      </c>
      <c r="H250" s="67">
        <v>0.16658524670249145</v>
      </c>
      <c r="I250" s="68">
        <v>8757.6104746317505</v>
      </c>
      <c r="J250" s="68">
        <v>-8290.6158357771255</v>
      </c>
      <c r="K250" s="67">
        <v>0.12415654520917679</v>
      </c>
      <c r="L250" s="67">
        <v>0.12415654520917679</v>
      </c>
      <c r="M250" s="67">
        <v>0.27796775769418663</v>
      </c>
      <c r="N250" s="67">
        <v>0.20990066764370624</v>
      </c>
      <c r="O250" s="67">
        <v>0.57644991212653773</v>
      </c>
      <c r="P250" s="67">
        <v>0.39487975174553919</v>
      </c>
      <c r="Q250" s="67">
        <v>0.43480632842334971</v>
      </c>
    </row>
    <row r="251" spans="1:17" x14ac:dyDescent="0.4">
      <c r="A251" s="69">
        <v>248</v>
      </c>
      <c r="B251" s="66">
        <v>1.4210854715202004E-14</v>
      </c>
      <c r="C251" s="66">
        <v>1.9100611176346781E-17</v>
      </c>
      <c r="D251" s="71">
        <v>2</v>
      </c>
      <c r="E251" s="67">
        <v>0.33333333333333331</v>
      </c>
      <c r="F251" s="67">
        <v>0.33333333333333331</v>
      </c>
      <c r="G251" s="67">
        <v>0.29871607346010076</v>
      </c>
      <c r="H251" s="67">
        <v>0.16658540549325532</v>
      </c>
      <c r="I251" s="68">
        <v>8770.6202393906424</v>
      </c>
      <c r="J251" s="68">
        <v>-8320.9756097560967</v>
      </c>
      <c r="K251" s="67">
        <v>0.125</v>
      </c>
      <c r="L251" s="67">
        <v>0.125</v>
      </c>
      <c r="M251" s="67">
        <v>0.27775069071997399</v>
      </c>
      <c r="N251" s="67">
        <v>0.21014139444173574</v>
      </c>
      <c r="O251" s="67">
        <v>0.5769455822118198</v>
      </c>
      <c r="P251" s="67">
        <v>0.39520494972931169</v>
      </c>
      <c r="Q251" s="67">
        <v>0.43471164309031557</v>
      </c>
    </row>
    <row r="252" spans="1:17" x14ac:dyDescent="0.4">
      <c r="A252" s="69">
        <v>249</v>
      </c>
      <c r="B252" s="66">
        <v>7.1054273576010019E-15</v>
      </c>
      <c r="C252" s="66">
        <v>9.5119509472570302E-18</v>
      </c>
      <c r="D252" s="71">
        <v>2</v>
      </c>
      <c r="E252" s="67">
        <v>0.33333333333333331</v>
      </c>
      <c r="F252" s="67">
        <v>0.33333333333333331</v>
      </c>
      <c r="G252" s="67">
        <v>0.29904577066149118</v>
      </c>
      <c r="H252" s="67">
        <v>0.16658579977357271</v>
      </c>
      <c r="I252" s="68">
        <v>8777.7176852352623</v>
      </c>
      <c r="J252" s="68">
        <v>-8324.7572815533986</v>
      </c>
      <c r="K252" s="67">
        <v>0.12583668005354753</v>
      </c>
      <c r="L252" s="67">
        <v>0.12583668005354753</v>
      </c>
      <c r="M252" s="67">
        <v>0.27769691088468379</v>
      </c>
      <c r="N252" s="67">
        <v>0.21106259097525473</v>
      </c>
      <c r="O252" s="67">
        <v>0.57775189283634243</v>
      </c>
      <c r="P252" s="67">
        <v>0.39386973180076629</v>
      </c>
      <c r="Q252" s="67">
        <v>0.43482963764196864</v>
      </c>
    </row>
    <row r="253" spans="1:17" x14ac:dyDescent="0.4">
      <c r="A253" s="69">
        <v>250</v>
      </c>
      <c r="B253" s="66">
        <v>7.1054273576010019E-15</v>
      </c>
      <c r="C253" s="66">
        <v>9.4739031434680022E-18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0</v>
      </c>
      <c r="C254" s="66">
        <v>0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7.1054273576010019E-15</v>
      </c>
      <c r="C255" s="66">
        <v>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8.8817841970012523E-15</v>
      </c>
      <c r="C256" s="66">
        <v>1.1701955463769766E-17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1.2878587085651816E-14</v>
      </c>
      <c r="C257" s="66">
        <v>1.6901032920802908E-17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1.2878587085651816E-14</v>
      </c>
      <c r="C258" s="66">
        <v>1.683475436032917E-17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1.2434497875801753E-14</v>
      </c>
      <c r="C259" s="66">
        <v>1.6190752442450201E-17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1.4210854715202004E-14</v>
      </c>
      <c r="C260" s="66">
        <v>1.8431718177953311E-17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2.1316282072803006E-14</v>
      </c>
      <c r="C261" s="66">
        <v>2.7540416114732565E-17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2019-07-04T16:27:43Z</dcterms:modified>
</cp:coreProperties>
</file>