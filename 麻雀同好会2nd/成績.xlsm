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C17293E-E82E-4E2F-993D-DE24058BF61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864" r:id="rId6"/>
    <sheet name="だいち" sheetId="4866" r:id="rId7"/>
    <sheet name="りくと" sheetId="4868" r:id="rId8"/>
    <sheet name="ただ" sheetId="4870" r:id="rId9"/>
    <sheet name="れんたろう" sheetId="4872" r:id="rId10"/>
    <sheet name="たかの" sheetId="4874" r:id="rId11"/>
    <sheet name="ぱぱ" sheetId="4876" r:id="rId12"/>
    <sheet name="まっつん" sheetId="4878" r:id="rId13"/>
    <sheet name="あさひ" sheetId="4880" r:id="rId14"/>
    <sheet name="いっしー" sheetId="4882" r:id="rId15"/>
    <sheet name="ほたに" sheetId="4884" r:id="rId16"/>
    <sheet name="ほたに2" sheetId="4885" state="hidden" r:id="rId17"/>
    <sheet name="いっしー2" sheetId="4883" state="hidden" r:id="rId18"/>
    <sheet name="あさひ2" sheetId="4881" state="hidden" r:id="rId19"/>
    <sheet name="まっつん2" sheetId="4879" state="hidden" r:id="rId20"/>
    <sheet name="ぱぱ2" sheetId="4877" state="hidden" r:id="rId21"/>
    <sheet name="たかの2" sheetId="4875" state="hidden" r:id="rId22"/>
    <sheet name="れんたろう2" sheetId="4873" state="hidden" r:id="rId23"/>
    <sheet name="ただ2" sheetId="4871" state="hidden" r:id="rId24"/>
    <sheet name="りくと2" sheetId="4869" state="hidden" r:id="rId25"/>
    <sheet name="だいち2" sheetId="4867" state="hidden" r:id="rId26"/>
    <sheet name="全体2" sheetId="486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84" l="1"/>
  <c r="O16" i="4884"/>
  <c r="C27" i="4884"/>
  <c r="B24" i="4884"/>
  <c r="C20" i="4884"/>
  <c r="B17" i="4884"/>
  <c r="H50" i="4884" s="1"/>
  <c r="C16" i="4884"/>
  <c r="C15" i="4884"/>
  <c r="C14" i="4884"/>
  <c r="C13" i="4884"/>
  <c r="O12" i="4884"/>
  <c r="C12" i="4884"/>
  <c r="O11" i="4884"/>
  <c r="C11" i="4884"/>
  <c r="O10" i="4884"/>
  <c r="C10" i="4884"/>
  <c r="C9" i="4884"/>
  <c r="C8" i="4884"/>
  <c r="O7" i="4884"/>
  <c r="C7" i="4884"/>
  <c r="O6" i="4884"/>
  <c r="H6" i="4884"/>
  <c r="B6" i="4884"/>
  <c r="O5" i="4884"/>
  <c r="B5" i="4884"/>
  <c r="O4" i="4884"/>
  <c r="O3" i="4884"/>
  <c r="O2" i="4884"/>
  <c r="O21" i="4872"/>
  <c r="O16" i="4874"/>
  <c r="O17" i="4864"/>
  <c r="H5" i="4884" l="1"/>
  <c r="H40" i="4884"/>
  <c r="H2" i="4884"/>
  <c r="H43" i="4884"/>
  <c r="H24" i="4884"/>
  <c r="H8" i="4884"/>
  <c r="B23" i="4884"/>
  <c r="H44" i="4884"/>
  <c r="C18" i="4884"/>
  <c r="H20" i="4884"/>
  <c r="H26" i="4884"/>
  <c r="H17" i="4884"/>
  <c r="H37" i="4884"/>
  <c r="H48" i="4884"/>
  <c r="C17" i="4884"/>
  <c r="H25" i="4884"/>
  <c r="H16" i="4884"/>
  <c r="H46" i="4884"/>
  <c r="H13" i="4884"/>
  <c r="H36" i="4884"/>
  <c r="H11" i="4884"/>
  <c r="H4" i="4884"/>
  <c r="H9" i="4884"/>
  <c r="H38" i="4884"/>
  <c r="H51" i="4884"/>
  <c r="H30" i="4884"/>
  <c r="H31" i="4884"/>
  <c r="H19" i="4884"/>
  <c r="H32" i="4884"/>
  <c r="H35" i="4884"/>
  <c r="H47" i="4884"/>
  <c r="H3" i="4884"/>
  <c r="C19" i="4884"/>
  <c r="H21" i="4884"/>
  <c r="H12" i="4884"/>
  <c r="H14" i="4884"/>
  <c r="H18" i="4884"/>
  <c r="H29" i="4884"/>
  <c r="H39" i="4884"/>
  <c r="H10" i="4884"/>
  <c r="H45" i="4884"/>
  <c r="H22" i="4884"/>
  <c r="H27" i="4884"/>
  <c r="H33" i="4884"/>
  <c r="H41" i="4884"/>
  <c r="H49" i="4884"/>
  <c r="H7" i="4884"/>
  <c r="H15" i="4884"/>
  <c r="H23" i="4884"/>
  <c r="H28" i="4884"/>
  <c r="H34" i="4884"/>
  <c r="H42" i="4884"/>
  <c r="O17" i="4874" l="1"/>
  <c r="O15" i="4870"/>
  <c r="O20" i="4878"/>
  <c r="O19" i="4878"/>
  <c r="O17" i="4866" l="1"/>
  <c r="O17" i="4882"/>
  <c r="O16" i="4882" l="1"/>
  <c r="O15" i="4882"/>
  <c r="O16" i="4872"/>
  <c r="O20" i="4870"/>
  <c r="O17" i="4880" l="1"/>
  <c r="O20" i="4876"/>
  <c r="O15" i="4880"/>
  <c r="O20" i="4882"/>
  <c r="O15" i="4868"/>
  <c r="O15" i="4878"/>
  <c r="O16" i="4864"/>
  <c r="O19" i="4882"/>
  <c r="O18" i="4882"/>
  <c r="C27" i="4882"/>
  <c r="B24" i="4882"/>
  <c r="C20" i="4882"/>
  <c r="B17" i="4882"/>
  <c r="H50" i="4882" s="1"/>
  <c r="C16" i="4882"/>
  <c r="C15" i="4882"/>
  <c r="C14" i="4882"/>
  <c r="C13" i="4882"/>
  <c r="O12" i="4882"/>
  <c r="C12" i="4882"/>
  <c r="O11" i="4882"/>
  <c r="C11" i="4882"/>
  <c r="O10" i="4882"/>
  <c r="C10" i="4882"/>
  <c r="C9" i="4882"/>
  <c r="C8" i="4882"/>
  <c r="O7" i="4882"/>
  <c r="C7" i="4882"/>
  <c r="O6" i="4882"/>
  <c r="B6" i="4882"/>
  <c r="O5" i="4882"/>
  <c r="B5" i="4882"/>
  <c r="O4" i="4882"/>
  <c r="O3" i="4882"/>
  <c r="O2" i="4882"/>
  <c r="O16" i="4880"/>
  <c r="O18" i="4880"/>
  <c r="C27" i="4880"/>
  <c r="B24" i="4880"/>
  <c r="C20" i="4880"/>
  <c r="B17" i="4880"/>
  <c r="H50" i="4880" s="1"/>
  <c r="C16" i="4880"/>
  <c r="C15" i="4880"/>
  <c r="C14" i="4880"/>
  <c r="C13" i="4880"/>
  <c r="O12" i="4880"/>
  <c r="C12" i="4880"/>
  <c r="O11" i="4880"/>
  <c r="C11" i="4880"/>
  <c r="O10" i="4880"/>
  <c r="C10" i="4880"/>
  <c r="C9" i="4880"/>
  <c r="C8" i="4880"/>
  <c r="O7" i="4880"/>
  <c r="C7" i="4880"/>
  <c r="O6" i="4880"/>
  <c r="B6" i="4880"/>
  <c r="O5" i="4880"/>
  <c r="B5" i="4880"/>
  <c r="O4" i="4880"/>
  <c r="O3" i="4880"/>
  <c r="O2" i="4880"/>
  <c r="O22" i="4878"/>
  <c r="O21" i="4878"/>
  <c r="O15" i="4866"/>
  <c r="O18" i="4866"/>
  <c r="O23" i="4864"/>
  <c r="H2" i="4882" l="1"/>
  <c r="H19" i="4880"/>
  <c r="H32" i="4880"/>
  <c r="H5" i="4880"/>
  <c r="H15" i="4880"/>
  <c r="C17" i="4880"/>
  <c r="H43" i="4880"/>
  <c r="H4" i="4880"/>
  <c r="H11" i="4880"/>
  <c r="H35" i="4880"/>
  <c r="H10" i="4880"/>
  <c r="H40" i="4880"/>
  <c r="H20" i="4880"/>
  <c r="H12" i="4880"/>
  <c r="H8" i="4880"/>
  <c r="H48" i="4880"/>
  <c r="H51" i="4880"/>
  <c r="H3" i="4880"/>
  <c r="H14" i="4880"/>
  <c r="H15" i="4882"/>
  <c r="H31" i="4882"/>
  <c r="H35" i="4882"/>
  <c r="H13" i="4882"/>
  <c r="C17" i="4882"/>
  <c r="H14" i="4882"/>
  <c r="H16" i="4882"/>
  <c r="H21" i="4882"/>
  <c r="H39" i="4882"/>
  <c r="H10" i="4882"/>
  <c r="H43" i="4882"/>
  <c r="H12" i="4882"/>
  <c r="H7" i="4882"/>
  <c r="H3" i="4882"/>
  <c r="H47" i="4882"/>
  <c r="H51" i="4882"/>
  <c r="H18" i="4882"/>
  <c r="C18" i="4882"/>
  <c r="H24" i="4882"/>
  <c r="H6" i="4882"/>
  <c r="H36" i="4882"/>
  <c r="H44" i="4882"/>
  <c r="H5" i="4882"/>
  <c r="H4" i="4882"/>
  <c r="H9" i="4882"/>
  <c r="H22" i="4882"/>
  <c r="B23" i="4882"/>
  <c r="H29" i="4882"/>
  <c r="H37" i="4882"/>
  <c r="H45" i="4882"/>
  <c r="H19" i="4882"/>
  <c r="C19" i="4882"/>
  <c r="H25" i="4882"/>
  <c r="H30" i="4882"/>
  <c r="H38" i="4882"/>
  <c r="H46" i="4882"/>
  <c r="H20" i="4882"/>
  <c r="H26" i="4882"/>
  <c r="H32" i="4882"/>
  <c r="H40" i="4882"/>
  <c r="H48" i="4882"/>
  <c r="H23" i="4882"/>
  <c r="H27" i="4882"/>
  <c r="H33" i="4882"/>
  <c r="H41" i="4882"/>
  <c r="H49" i="4882"/>
  <c r="H8" i="4882"/>
  <c r="H17" i="4882"/>
  <c r="H11" i="4882"/>
  <c r="H28" i="4882"/>
  <c r="H34" i="4882"/>
  <c r="H42" i="4882"/>
  <c r="H17" i="4880"/>
  <c r="C18" i="4880"/>
  <c r="H25" i="4880"/>
  <c r="H6" i="4880"/>
  <c r="H36" i="4880"/>
  <c r="H44" i="4880"/>
  <c r="H7" i="4880"/>
  <c r="H2" i="4880"/>
  <c r="H13" i="4880"/>
  <c r="H21" i="4880"/>
  <c r="B23" i="4880"/>
  <c r="H29" i="4880"/>
  <c r="H37" i="4880"/>
  <c r="H45" i="4880"/>
  <c r="H18" i="4880"/>
  <c r="C19" i="4880"/>
  <c r="H26" i="4880"/>
  <c r="H30" i="4880"/>
  <c r="H38" i="4880"/>
  <c r="H46" i="4880"/>
  <c r="H22" i="4880"/>
  <c r="H31" i="4880"/>
  <c r="H39" i="4880"/>
  <c r="H47" i="4880"/>
  <c r="H23" i="4880"/>
  <c r="H27" i="4880"/>
  <c r="H33" i="4880"/>
  <c r="H41" i="4880"/>
  <c r="H49" i="4880"/>
  <c r="H9" i="4880"/>
  <c r="H16" i="4880"/>
  <c r="H24" i="4880"/>
  <c r="H28" i="4880"/>
  <c r="H34" i="4880"/>
  <c r="H42" i="4880"/>
  <c r="O16" i="4878" l="1"/>
  <c r="O19" i="4876"/>
  <c r="O17" i="4876"/>
  <c r="O18" i="4868"/>
  <c r="O18" i="4874" l="1"/>
  <c r="O17" i="4872"/>
  <c r="O16" i="4876"/>
  <c r="O18" i="4876"/>
  <c r="O15" i="4874" l="1"/>
  <c r="O15" i="4872"/>
  <c r="O19" i="4870"/>
  <c r="O21" i="4870"/>
  <c r="O17" i="4878"/>
  <c r="O18" i="4878"/>
  <c r="H44" i="4878"/>
  <c r="H43" i="4878"/>
  <c r="C27" i="4878"/>
  <c r="B24" i="4878"/>
  <c r="C20" i="4878"/>
  <c r="B17" i="4878"/>
  <c r="H50" i="4878" s="1"/>
  <c r="H21" i="4878"/>
  <c r="C16" i="4878"/>
  <c r="C15" i="4878"/>
  <c r="C14" i="4878"/>
  <c r="C13" i="4878"/>
  <c r="O12" i="4878"/>
  <c r="C12" i="4878"/>
  <c r="O11" i="4878"/>
  <c r="C11" i="4878"/>
  <c r="O10" i="4878"/>
  <c r="C10" i="4878"/>
  <c r="C9" i="4878"/>
  <c r="C8" i="4878"/>
  <c r="O7" i="4878"/>
  <c r="C7" i="4878"/>
  <c r="O6" i="4878"/>
  <c r="B6" i="4878"/>
  <c r="O5" i="4878"/>
  <c r="B5" i="4878"/>
  <c r="O4" i="4878"/>
  <c r="O3" i="4878"/>
  <c r="O2" i="4878"/>
  <c r="O19" i="4872"/>
  <c r="O20" i="4868"/>
  <c r="O18" i="4864"/>
  <c r="H10" i="4878" l="1"/>
  <c r="H16" i="4878"/>
  <c r="H18" i="4878"/>
  <c r="H24" i="4878"/>
  <c r="H12" i="4878"/>
  <c r="H4" i="4878"/>
  <c r="H20" i="4878"/>
  <c r="H8" i="4878"/>
  <c r="H30" i="4878"/>
  <c r="H31" i="4878"/>
  <c r="H9" i="4878"/>
  <c r="C19" i="4878"/>
  <c r="H39" i="4878"/>
  <c r="H6" i="4878"/>
  <c r="H32" i="4878"/>
  <c r="H2" i="4878"/>
  <c r="H47" i="4878"/>
  <c r="H45" i="4878"/>
  <c r="H46" i="4878"/>
  <c r="H48" i="4878"/>
  <c r="B23" i="4878"/>
  <c r="C17" i="4878"/>
  <c r="H15" i="4878"/>
  <c r="H35" i="4878"/>
  <c r="H3" i="4878"/>
  <c r="H22" i="4878"/>
  <c r="H36" i="4878"/>
  <c r="H19" i="4878"/>
  <c r="C18" i="4878"/>
  <c r="H27" i="4878"/>
  <c r="H37" i="4878"/>
  <c r="H17" i="4878"/>
  <c r="H23" i="4878"/>
  <c r="H38" i="4878"/>
  <c r="H51" i="4878"/>
  <c r="H26" i="4878"/>
  <c r="H11" i="4878"/>
  <c r="H40" i="4878"/>
  <c r="H5" i="4878"/>
  <c r="H25" i="4878"/>
  <c r="H28" i="4878"/>
  <c r="H33" i="4878"/>
  <c r="H41" i="4878"/>
  <c r="H49" i="4878"/>
  <c r="H7" i="4878"/>
  <c r="H13" i="4878"/>
  <c r="H14" i="4878"/>
  <c r="H29" i="4878"/>
  <c r="H34" i="4878"/>
  <c r="H42" i="4878"/>
  <c r="O16" i="4870" l="1"/>
  <c r="O21" i="4876"/>
  <c r="O15" i="4876"/>
  <c r="C27" i="4876"/>
  <c r="B24" i="4876"/>
  <c r="C20" i="4876"/>
  <c r="B17" i="4876"/>
  <c r="H50" i="4876" s="1"/>
  <c r="C16" i="4876"/>
  <c r="C15" i="4876"/>
  <c r="C14" i="4876"/>
  <c r="C13" i="4876"/>
  <c r="O12" i="4876"/>
  <c r="C12" i="4876"/>
  <c r="O11" i="4876"/>
  <c r="C11" i="4876"/>
  <c r="O10" i="4876"/>
  <c r="C10" i="4876"/>
  <c r="C9" i="4876"/>
  <c r="C8" i="4876"/>
  <c r="O7" i="4876"/>
  <c r="C7" i="4876"/>
  <c r="O6" i="4876"/>
  <c r="B6" i="4876"/>
  <c r="O5" i="4876"/>
  <c r="B5" i="4876"/>
  <c r="O4" i="4876"/>
  <c r="O3" i="4876"/>
  <c r="O2" i="4876"/>
  <c r="O19" i="4866"/>
  <c r="O19" i="4864"/>
  <c r="O19" i="4874"/>
  <c r="O17" i="4868"/>
  <c r="O19" i="4868"/>
  <c r="O20" i="4872"/>
  <c r="O20" i="4874"/>
  <c r="O21" i="4874"/>
  <c r="C27" i="4874"/>
  <c r="B24" i="4874"/>
  <c r="C20" i="4874"/>
  <c r="B17" i="4874"/>
  <c r="H50" i="4874" s="1"/>
  <c r="C16" i="4874"/>
  <c r="C15" i="4874"/>
  <c r="C14" i="4874"/>
  <c r="C13" i="4874"/>
  <c r="O12" i="4874"/>
  <c r="C12" i="4874"/>
  <c r="O11" i="4874"/>
  <c r="C11" i="4874"/>
  <c r="O10" i="4874"/>
  <c r="C10" i="4874"/>
  <c r="C9" i="4874"/>
  <c r="C8" i="4874"/>
  <c r="O7" i="4874"/>
  <c r="C7" i="4874"/>
  <c r="O6" i="4874"/>
  <c r="B6" i="4874"/>
  <c r="O5" i="4874"/>
  <c r="B5" i="4874"/>
  <c r="O4" i="4874"/>
  <c r="O3" i="4874"/>
  <c r="O2" i="4874"/>
  <c r="O22" i="4872"/>
  <c r="O18" i="4872"/>
  <c r="C27" i="4872"/>
  <c r="B24" i="4872"/>
  <c r="C20" i="4872"/>
  <c r="B17" i="4872"/>
  <c r="H51" i="4872" s="1"/>
  <c r="C16" i="4872"/>
  <c r="C15" i="4872"/>
  <c r="C14" i="4872"/>
  <c r="C13" i="4872"/>
  <c r="O12" i="4872"/>
  <c r="C12" i="4872"/>
  <c r="O11" i="4872"/>
  <c r="C11" i="4872"/>
  <c r="O10" i="4872"/>
  <c r="C10" i="4872"/>
  <c r="H12" i="4872"/>
  <c r="C9" i="4872"/>
  <c r="C8" i="4872"/>
  <c r="O7" i="4872"/>
  <c r="C7" i="4872"/>
  <c r="O6" i="4872"/>
  <c r="B6" i="4872"/>
  <c r="O5" i="4872"/>
  <c r="B5" i="4872"/>
  <c r="O4" i="4872"/>
  <c r="O3" i="4872"/>
  <c r="O2" i="4872"/>
  <c r="O20" i="4866"/>
  <c r="O21" i="4866"/>
  <c r="O22" i="4864"/>
  <c r="O20" i="4864"/>
  <c r="H6" i="4872" l="1"/>
  <c r="H9" i="4872"/>
  <c r="H40" i="4872"/>
  <c r="H9" i="4876"/>
  <c r="H14" i="4876"/>
  <c r="H11" i="4876"/>
  <c r="H7" i="4876"/>
  <c r="H16" i="4876"/>
  <c r="H3" i="4876"/>
  <c r="H43" i="4876"/>
  <c r="C17" i="4876"/>
  <c r="H35" i="4876"/>
  <c r="H24" i="4876"/>
  <c r="H2" i="4876"/>
  <c r="H15" i="4876"/>
  <c r="H47" i="4876"/>
  <c r="H18" i="4876"/>
  <c r="H31" i="4876"/>
  <c r="H5" i="4876"/>
  <c r="C18" i="4876"/>
  <c r="H39" i="4876"/>
  <c r="H20" i="4876"/>
  <c r="H51" i="4876"/>
  <c r="H26" i="4876"/>
  <c r="H36" i="4876"/>
  <c r="H44" i="4876"/>
  <c r="H6" i="4876"/>
  <c r="H4" i="4876"/>
  <c r="H8" i="4876"/>
  <c r="H23" i="4876"/>
  <c r="B23" i="4876"/>
  <c r="H30" i="4876"/>
  <c r="H37" i="4876"/>
  <c r="H45" i="4876"/>
  <c r="H21" i="4876"/>
  <c r="C19" i="4876"/>
  <c r="H27" i="4876"/>
  <c r="H17" i="4876"/>
  <c r="H38" i="4876"/>
  <c r="H46" i="4876"/>
  <c r="H22" i="4876"/>
  <c r="H13" i="4876"/>
  <c r="H32" i="4876"/>
  <c r="H40" i="4876"/>
  <c r="H48" i="4876"/>
  <c r="H25" i="4876"/>
  <c r="H28" i="4876"/>
  <c r="H33" i="4876"/>
  <c r="H41" i="4876"/>
  <c r="H49" i="4876"/>
  <c r="H10" i="4876"/>
  <c r="H19" i="4876"/>
  <c r="H12" i="4876"/>
  <c r="H29" i="4876"/>
  <c r="H34" i="4876"/>
  <c r="H42" i="4876"/>
  <c r="H15" i="4872"/>
  <c r="H21" i="4872"/>
  <c r="H40" i="4874"/>
  <c r="H43" i="4874"/>
  <c r="H26" i="4874"/>
  <c r="H21" i="4874"/>
  <c r="H27" i="4874"/>
  <c r="H3" i="4874"/>
  <c r="C17" i="4874"/>
  <c r="H16" i="4874"/>
  <c r="C18" i="4874"/>
  <c r="H18" i="4874"/>
  <c r="H8" i="4874"/>
  <c r="H32" i="4874"/>
  <c r="H23" i="4874"/>
  <c r="H2" i="4874"/>
  <c r="H4" i="4874"/>
  <c r="H31" i="4874"/>
  <c r="H7" i="4874"/>
  <c r="H35" i="4874"/>
  <c r="H5" i="4874"/>
  <c r="H9" i="4874"/>
  <c r="H13" i="4874"/>
  <c r="H46" i="4874"/>
  <c r="H37" i="4874"/>
  <c r="H11" i="4874"/>
  <c r="H6" i="4874"/>
  <c r="H20" i="4874"/>
  <c r="H12" i="4874"/>
  <c r="H10" i="4874"/>
  <c r="H38" i="4874"/>
  <c r="H48" i="4874"/>
  <c r="B23" i="4874"/>
  <c r="H44" i="4874"/>
  <c r="H19" i="4874"/>
  <c r="H22" i="4874"/>
  <c r="H45" i="4874"/>
  <c r="H24" i="4874"/>
  <c r="H36" i="4874"/>
  <c r="C19" i="4874"/>
  <c r="H47" i="4874"/>
  <c r="H14" i="4874"/>
  <c r="H15" i="4874"/>
  <c r="H30" i="4874"/>
  <c r="H39" i="4874"/>
  <c r="H51" i="4874"/>
  <c r="H25" i="4874"/>
  <c r="H28" i="4874"/>
  <c r="H33" i="4874"/>
  <c r="H41" i="4874"/>
  <c r="H49" i="4874"/>
  <c r="H17" i="4874"/>
  <c r="H29" i="4874"/>
  <c r="H34" i="4874"/>
  <c r="H42" i="4874"/>
  <c r="H13" i="4872"/>
  <c r="H2" i="4872"/>
  <c r="H44" i="4872"/>
  <c r="H45" i="4872"/>
  <c r="H18" i="4872"/>
  <c r="H41" i="4872"/>
  <c r="H4" i="4872"/>
  <c r="H16" i="4872"/>
  <c r="H10" i="4872"/>
  <c r="C18" i="4872"/>
  <c r="H48" i="4872"/>
  <c r="H20" i="4872"/>
  <c r="H17" i="4872"/>
  <c r="C17" i="4872"/>
  <c r="H7" i="4872"/>
  <c r="H24" i="4872"/>
  <c r="H19" i="4872"/>
  <c r="H8" i="4872"/>
  <c r="H22" i="4872"/>
  <c r="H33" i="4872"/>
  <c r="H49" i="4872"/>
  <c r="H3" i="4872"/>
  <c r="H11" i="4872"/>
  <c r="H36" i="4872"/>
  <c r="H27" i="4872"/>
  <c r="H37" i="4872"/>
  <c r="H5" i="4872"/>
  <c r="H25" i="4872"/>
  <c r="B23" i="4872"/>
  <c r="H31" i="4872"/>
  <c r="H38" i="4872"/>
  <c r="H46" i="4872"/>
  <c r="H23" i="4872"/>
  <c r="C19" i="4872"/>
  <c r="H28" i="4872"/>
  <c r="H32" i="4872"/>
  <c r="H39" i="4872"/>
  <c r="H47" i="4872"/>
  <c r="H26" i="4872"/>
  <c r="H29" i="4872"/>
  <c r="H34" i="4872"/>
  <c r="H42" i="4872"/>
  <c r="H50" i="4872"/>
  <c r="H14" i="4872"/>
  <c r="H30" i="4872"/>
  <c r="H35" i="4872"/>
  <c r="H43" i="4872"/>
  <c r="O17" i="4870" l="1"/>
  <c r="O18" i="4870"/>
  <c r="C27" i="4870"/>
  <c r="B24" i="4870"/>
  <c r="C20" i="4870"/>
  <c r="B17" i="4870"/>
  <c r="H50" i="4870" s="1"/>
  <c r="C16" i="4870"/>
  <c r="C15" i="4870"/>
  <c r="C14" i="4870"/>
  <c r="C13" i="4870"/>
  <c r="O12" i="4870"/>
  <c r="C12" i="4870"/>
  <c r="O11" i="4870"/>
  <c r="C11" i="4870"/>
  <c r="O10" i="4870"/>
  <c r="C10" i="4870"/>
  <c r="C9" i="4870"/>
  <c r="C8" i="4870"/>
  <c r="O7" i="4870"/>
  <c r="C7" i="4870"/>
  <c r="O6" i="4870"/>
  <c r="B6" i="4870"/>
  <c r="O5" i="4870"/>
  <c r="B5" i="4870"/>
  <c r="O4" i="4870"/>
  <c r="O3" i="4870"/>
  <c r="O2" i="4870"/>
  <c r="O21" i="4868"/>
  <c r="O16" i="4868"/>
  <c r="C27" i="4868"/>
  <c r="B24" i="4868"/>
  <c r="C20" i="4868"/>
  <c r="B17" i="4868"/>
  <c r="H51" i="4868" s="1"/>
  <c r="C16" i="4868"/>
  <c r="C15" i="4868"/>
  <c r="C14" i="4868"/>
  <c r="C13" i="4868"/>
  <c r="O12" i="4868"/>
  <c r="C12" i="4868"/>
  <c r="O11" i="4868"/>
  <c r="C11" i="4868"/>
  <c r="O10" i="4868"/>
  <c r="C10" i="4868"/>
  <c r="C9" i="4868"/>
  <c r="C8" i="4868"/>
  <c r="O7" i="4868"/>
  <c r="C7" i="4868"/>
  <c r="O6" i="4868"/>
  <c r="B6" i="4868"/>
  <c r="O5" i="4868"/>
  <c r="B5" i="4868"/>
  <c r="O4" i="4868"/>
  <c r="H2" i="4868"/>
  <c r="O3" i="4868"/>
  <c r="O2" i="4868"/>
  <c r="O24" i="4864"/>
  <c r="O16" i="4866"/>
  <c r="O22" i="4866"/>
  <c r="H39" i="4866"/>
  <c r="H36" i="4866"/>
  <c r="H26" i="4866"/>
  <c r="C27" i="4866"/>
  <c r="B24" i="4866"/>
  <c r="C20" i="4866"/>
  <c r="B17" i="4866"/>
  <c r="H51" i="4866" s="1"/>
  <c r="C16" i="4866"/>
  <c r="H21" i="4866"/>
  <c r="C15" i="4866"/>
  <c r="C14" i="4866"/>
  <c r="C13" i="4866"/>
  <c r="O12" i="4866"/>
  <c r="C12" i="4866"/>
  <c r="O11" i="4866"/>
  <c r="C11" i="4866"/>
  <c r="O10" i="4866"/>
  <c r="C10" i="4866"/>
  <c r="C9" i="4866"/>
  <c r="C8" i="4866"/>
  <c r="O7" i="4866"/>
  <c r="C7" i="4866"/>
  <c r="O6" i="4866"/>
  <c r="B6" i="4866"/>
  <c r="O5" i="4866"/>
  <c r="B5" i="4866"/>
  <c r="O4" i="4866"/>
  <c r="O3" i="4866"/>
  <c r="O2" i="4866"/>
  <c r="O15" i="4864"/>
  <c r="O21" i="4864"/>
  <c r="C27" i="4864"/>
  <c r="B24" i="4864"/>
  <c r="C20" i="4864"/>
  <c r="B17" i="4864"/>
  <c r="H51" i="4864" s="1"/>
  <c r="C16" i="4864"/>
  <c r="C15" i="4864"/>
  <c r="C14" i="4864"/>
  <c r="C13" i="4864"/>
  <c r="O12" i="4864"/>
  <c r="C12" i="4864"/>
  <c r="O11" i="4864"/>
  <c r="C11" i="4864"/>
  <c r="O10" i="4864"/>
  <c r="C10" i="4864"/>
  <c r="C9" i="4864"/>
  <c r="C8" i="4864"/>
  <c r="O7" i="4864"/>
  <c r="C7" i="4864"/>
  <c r="O6" i="4864"/>
  <c r="B6" i="4864"/>
  <c r="O5" i="4864"/>
  <c r="B5" i="4864"/>
  <c r="O4" i="4864"/>
  <c r="O3" i="4864"/>
  <c r="O2" i="4864"/>
  <c r="H35" i="4870" l="1"/>
  <c r="H2" i="4870"/>
  <c r="H18" i="4870"/>
  <c r="H43" i="4870"/>
  <c r="H7" i="4870"/>
  <c r="H10" i="4870"/>
  <c r="H4" i="4870"/>
  <c r="H12" i="4870"/>
  <c r="H22" i="4870"/>
  <c r="H16" i="4866"/>
  <c r="C17" i="4870"/>
  <c r="H2" i="4866"/>
  <c r="H28" i="4866"/>
  <c r="H33" i="4866"/>
  <c r="H6" i="4866"/>
  <c r="H21" i="4864"/>
  <c r="H51" i="4870"/>
  <c r="H20" i="4870"/>
  <c r="C18" i="4870"/>
  <c r="H11" i="4870"/>
  <c r="H6" i="4870"/>
  <c r="H3" i="4870"/>
  <c r="H8" i="4870"/>
  <c r="H23" i="4870"/>
  <c r="B23" i="4870"/>
  <c r="H29" i="4870"/>
  <c r="H37" i="4870"/>
  <c r="H45" i="4870"/>
  <c r="H5" i="4870"/>
  <c r="H17" i="4870"/>
  <c r="H26" i="4870"/>
  <c r="H36" i="4870"/>
  <c r="H44" i="4870"/>
  <c r="H21" i="4870"/>
  <c r="C19" i="4870"/>
  <c r="H27" i="4870"/>
  <c r="H30" i="4870"/>
  <c r="H38" i="4870"/>
  <c r="H46" i="4870"/>
  <c r="H24" i="4870"/>
  <c r="H31" i="4870"/>
  <c r="H39" i="4870"/>
  <c r="H47" i="4870"/>
  <c r="H14" i="4870"/>
  <c r="H13" i="4870"/>
  <c r="H32" i="4870"/>
  <c r="H40" i="4870"/>
  <c r="H48" i="4870"/>
  <c r="H25" i="4870"/>
  <c r="H28" i="4870"/>
  <c r="H33" i="4870"/>
  <c r="H41" i="4870"/>
  <c r="H49" i="4870"/>
  <c r="H9" i="4870"/>
  <c r="H19" i="4870"/>
  <c r="H15" i="4870"/>
  <c r="H16" i="4870"/>
  <c r="H34" i="4870"/>
  <c r="H42" i="4870"/>
  <c r="H24" i="4864"/>
  <c r="H24" i="4868"/>
  <c r="B23" i="4868"/>
  <c r="H26" i="4868"/>
  <c r="H44" i="4868"/>
  <c r="H5" i="4868"/>
  <c r="H45" i="4868"/>
  <c r="H4" i="4868"/>
  <c r="C17" i="4868"/>
  <c r="H6" i="4868"/>
  <c r="C18" i="4868"/>
  <c r="H36" i="4868"/>
  <c r="H46" i="4868"/>
  <c r="H15" i="4868"/>
  <c r="H8" i="4868"/>
  <c r="H30" i="4868"/>
  <c r="H22" i="4868"/>
  <c r="H41" i="4868"/>
  <c r="H20" i="4868"/>
  <c r="H27" i="4868"/>
  <c r="H3" i="4868"/>
  <c r="H28" i="4868"/>
  <c r="H12" i="4868"/>
  <c r="H47" i="4868"/>
  <c r="H38" i="4868"/>
  <c r="H9" i="4868"/>
  <c r="H14" i="4868"/>
  <c r="H18" i="4868"/>
  <c r="H11" i="4868"/>
  <c r="H39" i="4868"/>
  <c r="H49" i="4868"/>
  <c r="H19" i="4868"/>
  <c r="H33" i="4868"/>
  <c r="H21" i="4868"/>
  <c r="H10" i="4868"/>
  <c r="H37" i="4868"/>
  <c r="C19" i="4868"/>
  <c r="H48" i="4868"/>
  <c r="H7" i="4868"/>
  <c r="H13" i="4868"/>
  <c r="H23" i="4868"/>
  <c r="H32" i="4868"/>
  <c r="H40" i="4868"/>
  <c r="H17" i="4868"/>
  <c r="H29" i="4868"/>
  <c r="H31" i="4868"/>
  <c r="H34" i="4868"/>
  <c r="H42" i="4868"/>
  <c r="H50" i="4868"/>
  <c r="H16" i="4868"/>
  <c r="H25" i="4868"/>
  <c r="H35" i="4868"/>
  <c r="H43" i="4868"/>
  <c r="H15" i="4866"/>
  <c r="H41" i="4866"/>
  <c r="H13" i="4866"/>
  <c r="H11" i="4866"/>
  <c r="H47" i="4866"/>
  <c r="C17" i="4866"/>
  <c r="H22" i="4866"/>
  <c r="H49" i="4866"/>
  <c r="H44" i="4866"/>
  <c r="H10" i="4866"/>
  <c r="H7" i="4866"/>
  <c r="H3" i="4866"/>
  <c r="C19" i="4866"/>
  <c r="H17" i="4866"/>
  <c r="H19" i="4866"/>
  <c r="H18" i="4866"/>
  <c r="H29" i="4866"/>
  <c r="C18" i="4866"/>
  <c r="H32" i="4866"/>
  <c r="H8" i="4866"/>
  <c r="H37" i="4866"/>
  <c r="H45" i="4866"/>
  <c r="H5" i="4866"/>
  <c r="H4" i="4866"/>
  <c r="H12" i="4866"/>
  <c r="H30" i="4866"/>
  <c r="B23" i="4866"/>
  <c r="H24" i="4866"/>
  <c r="H38" i="4866"/>
  <c r="H46" i="4866"/>
  <c r="H25" i="4866"/>
  <c r="H40" i="4866"/>
  <c r="H48" i="4866"/>
  <c r="H31" i="4866"/>
  <c r="H23" i="4866"/>
  <c r="H35" i="4866"/>
  <c r="H42" i="4866"/>
  <c r="H50" i="4866"/>
  <c r="H9" i="4866"/>
  <c r="H20" i="4866"/>
  <c r="H14" i="4866"/>
  <c r="H34" i="4866"/>
  <c r="H27" i="4866"/>
  <c r="H43" i="4866"/>
  <c r="H36" i="4864"/>
  <c r="H11" i="4864"/>
  <c r="H7" i="4864"/>
  <c r="H37" i="4864"/>
  <c r="H4" i="4864"/>
  <c r="C17" i="4864"/>
  <c r="H10" i="4864"/>
  <c r="H20" i="4864"/>
  <c r="H47" i="4864"/>
  <c r="H39" i="4864"/>
  <c r="H13" i="4864"/>
  <c r="H27" i="4864"/>
  <c r="H45" i="4864"/>
  <c r="H3" i="4864"/>
  <c r="H2" i="4864"/>
  <c r="H32" i="4864"/>
  <c r="H33" i="4864"/>
  <c r="H9" i="4864"/>
  <c r="H18" i="4864"/>
  <c r="H26" i="4864"/>
  <c r="H44" i="4864"/>
  <c r="H6" i="4864"/>
  <c r="C18" i="4864"/>
  <c r="C19" i="4864"/>
  <c r="H16" i="4864"/>
  <c r="H5" i="4864"/>
  <c r="B23" i="4864"/>
  <c r="H29" i="4864"/>
  <c r="H38" i="4864"/>
  <c r="H46" i="4864"/>
  <c r="H23" i="4864"/>
  <c r="H15" i="4864"/>
  <c r="H22" i="4864"/>
  <c r="H40" i="4864"/>
  <c r="H48" i="4864"/>
  <c r="H17" i="4864"/>
  <c r="H12" i="4864"/>
  <c r="H30" i="4864"/>
  <c r="H41" i="4864"/>
  <c r="H49" i="4864"/>
  <c r="H34" i="4864"/>
  <c r="H28" i="4864"/>
  <c r="H35" i="4864"/>
  <c r="H42" i="4864"/>
  <c r="H50" i="4864"/>
  <c r="H8" i="4864"/>
  <c r="H19" i="4864"/>
  <c r="H14" i="4864"/>
  <c r="H25" i="4864"/>
  <c r="H31" i="4864"/>
  <c r="H43" i="4864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<sst xmlns="http://schemas.openxmlformats.org/spreadsheetml/2006/main" count="2665" uniqueCount="207">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</sst>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全体!$K$2:$K$248</c:f>
              <c:numCache>
                <c:formatCode>General</c:formatCode>
                <c:ptCount val="2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</c:numCache>
            </c:numRef>
          </c:xVal>
          <c:yVal>
            <c:numRef>
              <c:f>全体!$L$2:$L$248</c:f>
              <c:numCache>
                <c:formatCode>\+0.0;\-0.0;\±0</c:formatCode>
                <c:ptCount val="24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C-4084-81F9-00FA09B47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-20.325203252032519</c:v>
                </c:pt>
                <c:pt idx="1">
                  <c:v>-12.345679012345679</c:v>
                </c:pt>
                <c:pt idx="2">
                  <c:v>17.777777777777779</c:v>
                </c:pt>
                <c:pt idx="3">
                  <c:v>14.705882352941176</c:v>
                </c:pt>
                <c:pt idx="4">
                  <c:v>-26.455026455026456</c:v>
                </c:pt>
                <c:pt idx="5">
                  <c:v>33.898305084745765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07-4EB6-8EDE-B325D330E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だいち!$L$2:$L$60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6-4260-A7D8-DFEA8B801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3891.3793103448274</c:v>
                </c:pt>
                <c:pt idx="1">
                  <c:v>3787.719298245614</c:v>
                </c:pt>
                <c:pt idx="2">
                  <c:v>2915.0943396226417</c:v>
                </c:pt>
                <c:pt idx="3">
                  <c:v>5838.2978723404258</c:v>
                </c:pt>
                <c:pt idx="4">
                  <c:v>1483.3333333333333</c:v>
                </c:pt>
                <c:pt idx="5">
                  <c:v>292.30769230769232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0-4B73-B26C-35E4951E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りくと!$L$2:$L$61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F-4E7B-BD55-00DB90EC2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1181.3559322033898</c:v>
                </c:pt>
                <c:pt idx="1">
                  <c:v>-1472.4137931034484</c:v>
                </c:pt>
                <c:pt idx="2">
                  <c:v>-1558.9285714285713</c:v>
                </c:pt>
                <c:pt idx="3">
                  <c:v>-108</c:v>
                </c:pt>
                <c:pt idx="4">
                  <c:v>1415.2173913043478</c:v>
                </c:pt>
                <c:pt idx="5">
                  <c:v>1083.7209302325582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8-4108-AD5E-AC99BFC5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ただ!$L$2:$L$28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62-40E9-AA03-16BD57027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-3515.3846153846152</c:v>
                </c:pt>
                <c:pt idx="1">
                  <c:v>-4453.8461538461543</c:v>
                </c:pt>
                <c:pt idx="2">
                  <c:v>-3691.304347826087</c:v>
                </c:pt>
                <c:pt idx="3">
                  <c:v>-7305</c:v>
                </c:pt>
                <c:pt idx="4">
                  <c:v>-2405.5555555555557</c:v>
                </c:pt>
                <c:pt idx="5">
                  <c:v>-2116.6666666666665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292-AA89-FA7A16C4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A-457F-BC8B-7158AED77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5-4AF4-90CE-E4549E6F0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C-46B8-ABAC-E42D756CE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-347.82608695652175</c:v>
                </c:pt>
                <c:pt idx="1">
                  <c:v>1504.3478260869565</c:v>
                </c:pt>
                <c:pt idx="2">
                  <c:v>147.36842105263159</c:v>
                </c:pt>
                <c:pt idx="3">
                  <c:v>1447.0588235294117</c:v>
                </c:pt>
                <c:pt idx="4">
                  <c:v>-4852.9411764705883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0-4D8F-8FF0-3326CD9C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ぱぱ!$L$2:$L$23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0-460D-BADE-BD907E19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-4204.7619047619046</c:v>
                </c:pt>
                <c:pt idx="1">
                  <c:v>-642.85714285714289</c:v>
                </c:pt>
                <c:pt idx="2">
                  <c:v>-889.47368421052636</c:v>
                </c:pt>
                <c:pt idx="3">
                  <c:v>-3194.4444444444443</c:v>
                </c:pt>
                <c:pt idx="4">
                  <c:v>1164.7058823529412</c:v>
                </c:pt>
                <c:pt idx="5">
                  <c:v>-462.5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E-4458-8103-D08BDDD3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1-4E30-8DEA-F5CC34DE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F9D-A046-59E7E3E33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4-41DB-BCC0-1F531D1C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B31-B78F-DD6BDC46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7-4871-829E-99486114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D35-9697-07FD9A817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A8-4F15-8CD1-BA9CD4828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8-4542-B1E0-2F3A966E9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2347140039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09072978303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8.92561983471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60.17191977077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6260162601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16260162601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9368836291913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003944773175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6958174904942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7096774193548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87603305785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f>IF(B$3=0,0,B22/B$3)</f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20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8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8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8" x14ac:dyDescent="0.4">
      <c r="A19" s="30" t="s">
        <v>205</v>
      </c>
      <c r="B19" s="31">
        <v>43575.082013888888</v>
      </c>
      <c r="C19" s="30" t="s">
        <v>130</v>
      </c>
      <c r="D19" s="30" t="s">
        <v>131</v>
      </c>
      <c r="E19" s="30" t="s">
        <v>170</v>
      </c>
    </row>
    <row r="20" spans="1:8" x14ac:dyDescent="0.4">
      <c r="A20" s="30" t="s">
        <v>206</v>
      </c>
      <c r="B20" s="31">
        <v>43576.05164351852</v>
      </c>
      <c r="C20" s="30" t="s">
        <v>130</v>
      </c>
      <c r="D20" s="30" t="s">
        <v>131</v>
      </c>
      <c r="E20" s="30" t="s">
        <v>170</v>
      </c>
      <c r="F20" s="30" t="s">
        <v>175</v>
      </c>
      <c r="G20" s="30" t="s">
        <v>176</v>
      </c>
      <c r="H20" s="30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  <c r="AJ1" s="160" t="s">
        <v>163</v>
      </c>
      <c r="AK1" s="161"/>
    </row>
    <row r="2" spans="1:37" x14ac:dyDescent="0.4">
      <c r="A2" s="72" t="s">
        <v>161</v>
      </c>
      <c r="B2" s="158"/>
      <c r="C2" s="159"/>
      <c r="D2" s="158"/>
      <c r="E2" s="159"/>
      <c r="F2" s="156">
        <v>0.98636632243472155</v>
      </c>
      <c r="G2" s="157"/>
      <c r="H2" s="156">
        <v>0.9168354135755854</v>
      </c>
      <c r="I2" s="157"/>
      <c r="J2" s="156">
        <v>0.95199170007808676</v>
      </c>
      <c r="K2" s="157"/>
      <c r="L2" s="156">
        <v>0.9249597624678898</v>
      </c>
      <c r="M2" s="157"/>
      <c r="N2" s="156">
        <v>0.84703452211434827</v>
      </c>
      <c r="O2" s="157"/>
      <c r="P2" s="156">
        <v>0.54271871509768366</v>
      </c>
      <c r="Q2" s="157"/>
      <c r="R2" s="156">
        <v>0.57600544770754203</v>
      </c>
      <c r="S2" s="157"/>
      <c r="T2" s="156">
        <v>0.80350037090131332</v>
      </c>
      <c r="U2" s="157"/>
      <c r="V2" s="156">
        <v>0.92474436859280218</v>
      </c>
      <c r="W2" s="157"/>
      <c r="X2" s="156">
        <v>0.63664159365268647</v>
      </c>
      <c r="Y2" s="157"/>
      <c r="Z2" s="156">
        <v>0.41209545821172922</v>
      </c>
      <c r="AA2" s="157"/>
      <c r="AB2" s="156">
        <v>0.88795862689752081</v>
      </c>
      <c r="AC2" s="157"/>
      <c r="AD2" s="156">
        <v>0.88302912179428872</v>
      </c>
      <c r="AE2" s="157"/>
      <c r="AF2" s="156">
        <v>-0.55293534647283338</v>
      </c>
      <c r="AG2" s="157"/>
      <c r="AH2" s="156">
        <v>0.90259926721392947</v>
      </c>
      <c r="AI2" s="157"/>
      <c r="AJ2" s="156">
        <v>-0.17773134395520893</v>
      </c>
      <c r="AK2" s="157"/>
    </row>
    <row r="3" spans="1:37" x14ac:dyDescent="0.4">
      <c r="A3" s="74">
        <v>1</v>
      </c>
      <c r="B3" s="75" t="s">
        <v>127</v>
      </c>
      <c r="C3" s="76">
        <v>1509.2000000000003</v>
      </c>
      <c r="D3" s="77" t="s">
        <v>127</v>
      </c>
      <c r="E3" s="98">
        <v>26.020689655172418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0.41318681318681316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0.2413793103448276</v>
      </c>
      <c r="X3" s="77" t="s">
        <v>127</v>
      </c>
      <c r="Y3" s="80">
        <v>0.33186813186813185</v>
      </c>
      <c r="Z3" s="77" t="s">
        <v>173</v>
      </c>
      <c r="AA3" s="80">
        <v>0.3439153439153439</v>
      </c>
      <c r="AB3" s="77" t="s">
        <v>187</v>
      </c>
      <c r="AC3" s="80">
        <v>0.7142857142857143</v>
      </c>
      <c r="AD3" s="77" t="s">
        <v>127</v>
      </c>
      <c r="AE3" s="80">
        <v>0.55963302752293576</v>
      </c>
      <c r="AF3" s="77" t="s">
        <v>129</v>
      </c>
      <c r="AG3" s="80">
        <v>0.51219512195121952</v>
      </c>
      <c r="AH3" s="77" t="s">
        <v>127</v>
      </c>
      <c r="AI3" s="93">
        <v>116000</v>
      </c>
      <c r="AJ3" s="77" t="s">
        <v>145</v>
      </c>
      <c r="AK3" s="82">
        <v>8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1.5172413793103448</v>
      </c>
      <c r="H4" s="86" t="s">
        <v>127</v>
      </c>
      <c r="I4" s="88">
        <v>0.62068965517241381</v>
      </c>
      <c r="J4" s="86" t="s">
        <v>203</v>
      </c>
      <c r="K4" s="88">
        <v>0</v>
      </c>
      <c r="L4" s="86" t="s">
        <v>173</v>
      </c>
      <c r="M4" s="89">
        <v>0.33333333333333331</v>
      </c>
      <c r="N4" s="86" t="s">
        <v>127</v>
      </c>
      <c r="O4" s="89">
        <v>0.14065934065934066</v>
      </c>
      <c r="P4" s="86" t="s">
        <v>127</v>
      </c>
      <c r="Q4" s="90">
        <v>9556.9148936170204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0.1016260162601626</v>
      </c>
      <c r="X4" s="86" t="s">
        <v>128</v>
      </c>
      <c r="Y4" s="89">
        <v>0.27551020408163263</v>
      </c>
      <c r="Z4" s="86" t="s">
        <v>178</v>
      </c>
      <c r="AA4" s="89">
        <v>0.29203539823008851</v>
      </c>
      <c r="AB4" s="86" t="s">
        <v>127</v>
      </c>
      <c r="AC4" s="89">
        <v>0.64238410596026485</v>
      </c>
      <c r="AD4" s="86" t="s">
        <v>186</v>
      </c>
      <c r="AE4" s="89">
        <v>0.5</v>
      </c>
      <c r="AF4" s="86" t="s">
        <v>174</v>
      </c>
      <c r="AG4" s="89">
        <v>0.5</v>
      </c>
      <c r="AH4" s="86" t="s">
        <v>145</v>
      </c>
      <c r="AI4" s="94">
        <v>116000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145</v>
      </c>
      <c r="C5" s="85">
        <v>0</v>
      </c>
      <c r="D5" s="86" t="s">
        <v>145</v>
      </c>
      <c r="E5" s="99">
        <v>0</v>
      </c>
      <c r="F5" s="86" t="s">
        <v>145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0.13793103448275862</v>
      </c>
      <c r="L5" s="86" t="s">
        <v>145</v>
      </c>
      <c r="M5" s="89">
        <v>0.2983234714003945</v>
      </c>
      <c r="N5" s="86" t="s">
        <v>173</v>
      </c>
      <c r="O5" s="89">
        <v>0.14285714285714285</v>
      </c>
      <c r="P5" s="86" t="s">
        <v>128</v>
      </c>
      <c r="Q5" s="90">
        <v>9092.0863309352517</v>
      </c>
      <c r="R5" s="86" t="s">
        <v>172</v>
      </c>
      <c r="S5" s="90">
        <v>-7206.25</v>
      </c>
      <c r="T5" s="86" t="s">
        <v>172</v>
      </c>
      <c r="U5" s="88">
        <v>3.0303030303030304E-2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0.23956043956043957</v>
      </c>
      <c r="AB5" s="86" t="s">
        <v>128</v>
      </c>
      <c r="AC5" s="89">
        <v>0.62962962962962965</v>
      </c>
      <c r="AD5" s="86" t="s">
        <v>203</v>
      </c>
      <c r="AE5" s="89">
        <v>0.5</v>
      </c>
      <c r="AF5" s="86" t="s">
        <v>187</v>
      </c>
      <c r="AG5" s="89">
        <v>0.5</v>
      </c>
      <c r="AH5" s="86" t="s">
        <v>173</v>
      </c>
      <c r="AI5" s="94">
        <v>95700</v>
      </c>
      <c r="AJ5" s="86" t="s">
        <v>129</v>
      </c>
      <c r="AK5" s="91">
        <v>1</v>
      </c>
    </row>
    <row r="6" spans="1:37" x14ac:dyDescent="0.4">
      <c r="A6" s="83">
        <v>4</v>
      </c>
      <c r="B6" s="84" t="s">
        <v>173</v>
      </c>
      <c r="C6" s="85">
        <v>-5.3999999999999986</v>
      </c>
      <c r="D6" s="86" t="s">
        <v>173</v>
      </c>
      <c r="E6" s="99">
        <v>-0.23478260869565212</v>
      </c>
      <c r="F6" s="86" t="s">
        <v>203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0.30508474576271188</v>
      </c>
      <c r="L6" s="86" t="s">
        <v>174</v>
      </c>
      <c r="M6" s="89">
        <v>0.28865979381443296</v>
      </c>
      <c r="N6" s="86" t="s">
        <v>128</v>
      </c>
      <c r="O6" s="89">
        <v>0.1653061224489796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127</v>
      </c>
      <c r="U6" s="88">
        <v>3.4482758620689655E-2</v>
      </c>
      <c r="V6" s="86" t="s">
        <v>173</v>
      </c>
      <c r="W6" s="88">
        <v>8.6956521739130432E-2</v>
      </c>
      <c r="X6" s="86" t="s">
        <v>145</v>
      </c>
      <c r="Y6" s="89">
        <v>0.25936883629191321</v>
      </c>
      <c r="Z6" s="86" t="s">
        <v>187</v>
      </c>
      <c r="AA6" s="89">
        <v>0.22807017543859648</v>
      </c>
      <c r="AB6" s="86" t="s">
        <v>186</v>
      </c>
      <c r="AC6" s="89">
        <v>0.6</v>
      </c>
      <c r="AD6" s="86" t="s">
        <v>173</v>
      </c>
      <c r="AE6" s="89">
        <v>0.41538461538461541</v>
      </c>
      <c r="AF6" s="86" t="s">
        <v>203</v>
      </c>
      <c r="AG6" s="89">
        <v>0.5</v>
      </c>
      <c r="AH6" s="86" t="s">
        <v>128</v>
      </c>
      <c r="AI6" s="94">
        <v>94000</v>
      </c>
      <c r="AJ6" s="86" t="s">
        <v>172</v>
      </c>
      <c r="AK6" s="91">
        <v>1</v>
      </c>
    </row>
    <row r="7" spans="1:37" x14ac:dyDescent="0.4">
      <c r="A7" s="83">
        <v>5</v>
      </c>
      <c r="B7" s="84" t="s">
        <v>203</v>
      </c>
      <c r="C7" s="85">
        <v>-12.5</v>
      </c>
      <c r="D7" s="86" t="s">
        <v>128</v>
      </c>
      <c r="E7" s="99">
        <v>-0.9610169491525431</v>
      </c>
      <c r="F7" s="86" t="s">
        <v>173</v>
      </c>
      <c r="G7" s="87">
        <v>2.0434782608695654</v>
      </c>
      <c r="H7" s="86" t="s">
        <v>173</v>
      </c>
      <c r="I7" s="88">
        <v>0.30434782608695654</v>
      </c>
      <c r="J7" s="86" t="s">
        <v>174</v>
      </c>
      <c r="K7" s="88">
        <v>0.33333333333333331</v>
      </c>
      <c r="L7" s="86" t="s">
        <v>128</v>
      </c>
      <c r="M7" s="89">
        <v>0.28367346938775512</v>
      </c>
      <c r="N7" s="86" t="s">
        <v>172</v>
      </c>
      <c r="O7" s="89">
        <v>0.16666666666666666</v>
      </c>
      <c r="P7" s="86" t="s">
        <v>145</v>
      </c>
      <c r="Q7" s="90">
        <v>8388.9256198347102</v>
      </c>
      <c r="R7" s="86" t="s">
        <v>128</v>
      </c>
      <c r="S7" s="90">
        <v>-7424.691358024691</v>
      </c>
      <c r="T7" s="86" t="s">
        <v>173</v>
      </c>
      <c r="U7" s="88">
        <v>8.6956521739130432E-2</v>
      </c>
      <c r="V7" s="86" t="s">
        <v>128</v>
      </c>
      <c r="W7" s="88">
        <v>8.4745762711864403E-2</v>
      </c>
      <c r="X7" s="86" t="s">
        <v>129</v>
      </c>
      <c r="Y7" s="89">
        <v>0.24528301886792453</v>
      </c>
      <c r="Z7" s="86" t="s">
        <v>174</v>
      </c>
      <c r="AA7" s="89">
        <v>0.22164948453608246</v>
      </c>
      <c r="AB7" s="86" t="s">
        <v>145</v>
      </c>
      <c r="AC7" s="89">
        <v>0.59695817490494296</v>
      </c>
      <c r="AD7" s="86" t="s">
        <v>178</v>
      </c>
      <c r="AE7" s="89">
        <v>0.39393939393939392</v>
      </c>
      <c r="AF7" s="86" t="s">
        <v>145</v>
      </c>
      <c r="AG7" s="89">
        <v>0.41487603305785126</v>
      </c>
      <c r="AH7" s="86" t="s">
        <v>172</v>
      </c>
      <c r="AI7" s="94">
        <v>91700</v>
      </c>
      <c r="AJ7" s="86" t="s">
        <v>174</v>
      </c>
      <c r="AK7" s="91">
        <v>1</v>
      </c>
    </row>
    <row r="8" spans="1:37" x14ac:dyDescent="0.4">
      <c r="A8" s="83">
        <v>6</v>
      </c>
      <c r="B8" s="84" t="s">
        <v>128</v>
      </c>
      <c r="C8" s="85">
        <v>-56.700000000000045</v>
      </c>
      <c r="D8" s="86" t="s">
        <v>172</v>
      </c>
      <c r="E8" s="99">
        <v>-3.3000000000000003</v>
      </c>
      <c r="F8" s="86" t="s">
        <v>128</v>
      </c>
      <c r="G8" s="87">
        <v>2.0508474576271185</v>
      </c>
      <c r="H8" s="86" t="s">
        <v>128</v>
      </c>
      <c r="I8" s="88">
        <v>0.25423728813559321</v>
      </c>
      <c r="J8" s="86" t="s">
        <v>145</v>
      </c>
      <c r="K8" s="88">
        <v>0.33333333333333331</v>
      </c>
      <c r="L8" s="86" t="s">
        <v>186</v>
      </c>
      <c r="M8" s="89">
        <v>0.26315789473684209</v>
      </c>
      <c r="N8" s="86" t="s">
        <v>145</v>
      </c>
      <c r="O8" s="89">
        <v>0.17209072978303747</v>
      </c>
      <c r="P8" s="86" t="s">
        <v>186</v>
      </c>
      <c r="Q8" s="90">
        <v>7860</v>
      </c>
      <c r="R8" s="86" t="s">
        <v>127</v>
      </c>
      <c r="S8" s="90">
        <v>-7785.9375</v>
      </c>
      <c r="T8" s="86" t="s">
        <v>174</v>
      </c>
      <c r="U8" s="88">
        <v>9.5238095238095233E-2</v>
      </c>
      <c r="V8" s="86" t="s">
        <v>174</v>
      </c>
      <c r="W8" s="88">
        <v>4.7619047619047616E-2</v>
      </c>
      <c r="X8" s="86" t="s">
        <v>172</v>
      </c>
      <c r="Y8" s="89">
        <v>0.24305555555555555</v>
      </c>
      <c r="Z8" s="86" t="s">
        <v>145</v>
      </c>
      <c r="AA8" s="89">
        <v>0.21400394477317555</v>
      </c>
      <c r="AB8" s="86" t="s">
        <v>173</v>
      </c>
      <c r="AC8" s="89">
        <v>0.58139534883720934</v>
      </c>
      <c r="AD8" s="86" t="s">
        <v>145</v>
      </c>
      <c r="AE8" s="89">
        <v>0.38709677419354838</v>
      </c>
      <c r="AF8" s="86" t="s">
        <v>173</v>
      </c>
      <c r="AG8" s="89">
        <v>0.41269841269841268</v>
      </c>
      <c r="AH8" s="86" t="s">
        <v>178</v>
      </c>
      <c r="AI8" s="94">
        <v>65000</v>
      </c>
      <c r="AJ8" s="86" t="s">
        <v>178</v>
      </c>
      <c r="AK8" s="91">
        <v>1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174</v>
      </c>
      <c r="E9" s="99">
        <v>-9.7047619047619005</v>
      </c>
      <c r="F9" s="86" t="s">
        <v>174</v>
      </c>
      <c r="G9" s="87">
        <v>2.0952380952380953</v>
      </c>
      <c r="H9" s="86" t="s">
        <v>172</v>
      </c>
      <c r="I9" s="88">
        <v>0.24242424242424243</v>
      </c>
      <c r="J9" s="86" t="s">
        <v>173</v>
      </c>
      <c r="K9" s="88">
        <v>0.34782608695652173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7680.4878048780483</v>
      </c>
      <c r="R9" s="86" t="s">
        <v>174</v>
      </c>
      <c r="S9" s="90">
        <v>-7951.2195121951218</v>
      </c>
      <c r="T9" s="86" t="s">
        <v>145</v>
      </c>
      <c r="U9" s="88">
        <v>0.1016260162601626</v>
      </c>
      <c r="V9" s="86" t="s">
        <v>129</v>
      </c>
      <c r="W9" s="88">
        <v>0</v>
      </c>
      <c r="X9" s="86" t="s">
        <v>173</v>
      </c>
      <c r="Y9" s="89">
        <v>0.2275132275132275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187</v>
      </c>
      <c r="AE9" s="89">
        <v>0.38461538461538464</v>
      </c>
      <c r="AF9" s="86" t="s">
        <v>127</v>
      </c>
      <c r="AG9" s="89">
        <v>0.40425531914893614</v>
      </c>
      <c r="AH9" s="86" t="s">
        <v>174</v>
      </c>
      <c r="AI9" s="94">
        <v>58900</v>
      </c>
      <c r="AJ9" s="86" t="s">
        <v>127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2.1212121212121211</v>
      </c>
      <c r="H10" s="86" t="s">
        <v>174</v>
      </c>
      <c r="I10" s="88">
        <v>0.23809523809523808</v>
      </c>
      <c r="J10" s="86" t="s">
        <v>172</v>
      </c>
      <c r="K10" s="88">
        <v>0.36363636363636365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145</v>
      </c>
      <c r="S10" s="90">
        <v>-8060.1719197707735</v>
      </c>
      <c r="T10" s="86" t="s">
        <v>128</v>
      </c>
      <c r="U10" s="88">
        <v>0.11864406779661017</v>
      </c>
      <c r="V10" s="86" t="s">
        <v>178</v>
      </c>
      <c r="W10" s="88">
        <v>0</v>
      </c>
      <c r="X10" s="86" t="s">
        <v>174</v>
      </c>
      <c r="Y10" s="89">
        <v>0.21134020618556701</v>
      </c>
      <c r="Z10" s="86" t="s">
        <v>203</v>
      </c>
      <c r="AA10" s="89">
        <v>0.18181818181818182</v>
      </c>
      <c r="AB10" s="86" t="s">
        <v>178</v>
      </c>
      <c r="AC10" s="89">
        <v>0.55000000000000004</v>
      </c>
      <c r="AD10" s="86" t="s">
        <v>174</v>
      </c>
      <c r="AE10" s="89">
        <v>0.34883720930232559</v>
      </c>
      <c r="AF10" s="86" t="s">
        <v>128</v>
      </c>
      <c r="AG10" s="89">
        <v>0.40287769784172661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174</v>
      </c>
      <c r="C11" s="85">
        <v>-203.79999999999993</v>
      </c>
      <c r="D11" s="86" t="s">
        <v>203</v>
      </c>
      <c r="E11" s="99">
        <v>-12.5</v>
      </c>
      <c r="F11" s="86" t="s">
        <v>178</v>
      </c>
      <c r="G11" s="87">
        <v>2.1333333333333333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174</v>
      </c>
      <c r="O11" s="89">
        <v>0.21134020618556701</v>
      </c>
      <c r="P11" s="86" t="s">
        <v>187</v>
      </c>
      <c r="Q11" s="90">
        <v>6500</v>
      </c>
      <c r="R11" s="86" t="s">
        <v>187</v>
      </c>
      <c r="S11" s="90">
        <v>-8762.5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128</v>
      </c>
      <c r="AA11" s="89">
        <v>0.17959183673469387</v>
      </c>
      <c r="AB11" s="86" t="s">
        <v>174</v>
      </c>
      <c r="AC11" s="89">
        <v>0.53658536585365857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187</v>
      </c>
      <c r="C12" s="85">
        <v>-218.2</v>
      </c>
      <c r="D12" s="86" t="s">
        <v>187</v>
      </c>
      <c r="E12" s="99">
        <v>-31.171428571428571</v>
      </c>
      <c r="F12" s="86" t="s">
        <v>129</v>
      </c>
      <c r="G12" s="87">
        <v>2.5384615384615383</v>
      </c>
      <c r="H12" s="86" t="s">
        <v>129</v>
      </c>
      <c r="I12" s="88">
        <v>0.11538461538461539</v>
      </c>
      <c r="J12" s="86" t="s">
        <v>129</v>
      </c>
      <c r="K12" s="88">
        <v>0.65384615384615385</v>
      </c>
      <c r="L12" s="86" t="s">
        <v>129</v>
      </c>
      <c r="M12" s="89">
        <v>0.19339622641509435</v>
      </c>
      <c r="N12" s="86" t="s">
        <v>129</v>
      </c>
      <c r="O12" s="89">
        <v>0.22641509433962265</v>
      </c>
      <c r="P12" s="86" t="s">
        <v>174</v>
      </c>
      <c r="Q12" s="90">
        <v>6416.0714285714284</v>
      </c>
      <c r="R12" s="86" t="s">
        <v>173</v>
      </c>
      <c r="S12" s="90">
        <v>-8785.1851851851843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172</v>
      </c>
      <c r="AA12" s="89">
        <v>0.17708333333333334</v>
      </c>
      <c r="AB12" s="86" t="s">
        <v>129</v>
      </c>
      <c r="AC12" s="89">
        <v>0.5</v>
      </c>
      <c r="AD12" s="86" t="s">
        <v>128</v>
      </c>
      <c r="AE12" s="89">
        <v>0.27272727272727271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-818.49999999999989</v>
      </c>
      <c r="D13" s="86" t="s">
        <v>129</v>
      </c>
      <c r="E13" s="99">
        <v>-31.480769230769226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-10462.5</v>
      </c>
      <c r="T13" s="86" t="s">
        <v>129</v>
      </c>
      <c r="U13" s="88">
        <v>0.26923076923076922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0.12264150943396226</v>
      </c>
      <c r="AB13" s="86" t="s">
        <v>203</v>
      </c>
      <c r="AC13" s="89">
        <v>0.5</v>
      </c>
      <c r="AD13" s="86" t="s">
        <v>129</v>
      </c>
      <c r="AE13" s="89">
        <v>0.15384615384615385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ADE8-1FE9-44D4-809F-951200A89293}">
  <sheetPr codeName="Sheet4"/>
  <dimension ref="A1:Q24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246</v>
      </c>
      <c r="C2" s="149"/>
      <c r="E2" s="62" t="s">
        <v>67</v>
      </c>
      <c r="F2" s="59" t="s">
        <v>23</v>
      </c>
      <c r="G2" s="46">
        <v>434</v>
      </c>
      <c r="H2" s="134">
        <f>IF(B$17=0,0,G2/B$17)</f>
        <v>0.71735537190082643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-20.325203252032519</v>
      </c>
      <c r="P2" s="120">
        <v>246</v>
      </c>
      <c r="Q2" s="104">
        <v>-5000</v>
      </c>
    </row>
    <row r="3" spans="1:17" x14ac:dyDescent="0.4">
      <c r="A3" s="55" t="s">
        <v>8</v>
      </c>
      <c r="B3" s="150">
        <v>2028</v>
      </c>
      <c r="C3" s="151"/>
      <c r="E3" s="63" t="s">
        <v>73</v>
      </c>
      <c r="F3" s="60" t="s">
        <v>28</v>
      </c>
      <c r="G3" s="47">
        <v>327</v>
      </c>
      <c r="H3" s="135">
        <f>IF(B$17=0,0,G3/B$17)</f>
        <v>0.54049586776859504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-12.345679012345679</v>
      </c>
      <c r="P3" s="121">
        <v>243</v>
      </c>
      <c r="Q3" s="105">
        <v>-3000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300</v>
      </c>
      <c r="H4" s="135">
        <f>IF(B$17=0,0,G4/B$17)</f>
        <v>0.49586776859504134</v>
      </c>
      <c r="I4" s="96">
        <v>6</v>
      </c>
      <c r="K4" s="38">
        <v>2</v>
      </c>
      <c r="L4" s="101">
        <v>40.4</v>
      </c>
      <c r="N4" s="117" t="s">
        <v>134</v>
      </c>
      <c r="O4" s="124">
        <f t="shared" si="0"/>
        <v>17.777777777777779</v>
      </c>
      <c r="P4" s="121">
        <v>225</v>
      </c>
      <c r="Q4" s="105">
        <v>4000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229</v>
      </c>
      <c r="H5" s="135">
        <f>IF(B$17=0,0,G5/B$17)</f>
        <v>0.37851239669421488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14.705882352941176</v>
      </c>
      <c r="P5" s="121">
        <v>204</v>
      </c>
      <c r="Q5" s="105">
        <v>3000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171</v>
      </c>
      <c r="H6" s="135">
        <f>IF(B$17=0,0,G6/B$17)</f>
        <v>0.28264462809917357</v>
      </c>
      <c r="I6" s="96">
        <v>5</v>
      </c>
      <c r="K6" s="38">
        <v>4</v>
      </c>
      <c r="L6" s="101">
        <v>2.2000000000000002</v>
      </c>
      <c r="N6" s="117" t="s">
        <v>136</v>
      </c>
      <c r="O6" s="124">
        <f t="shared" si="0"/>
        <v>-26.455026455026456</v>
      </c>
      <c r="P6" s="121">
        <v>189</v>
      </c>
      <c r="Q6" s="105">
        <v>-5000</v>
      </c>
    </row>
    <row r="7" spans="1:17" x14ac:dyDescent="0.4">
      <c r="A7" s="55" t="s">
        <v>2</v>
      </c>
      <c r="B7" s="47">
        <v>82</v>
      </c>
      <c r="C7" s="39">
        <f>IF(B$2=0,0,B7/B$2)</f>
        <v>0.33333333333333331</v>
      </c>
      <c r="E7" s="63" t="s">
        <v>68</v>
      </c>
      <c r="F7" s="60" t="s">
        <v>24</v>
      </c>
      <c r="G7" s="47">
        <v>168</v>
      </c>
      <c r="H7" s="135">
        <f>IF(B$17=0,0,G7/B$17)</f>
        <v>0.27768595041322314</v>
      </c>
      <c r="I7" s="96">
        <v>6</v>
      </c>
      <c r="K7" s="38">
        <v>5</v>
      </c>
      <c r="L7" s="101">
        <v>-37</v>
      </c>
      <c r="N7" s="118" t="s">
        <v>137</v>
      </c>
      <c r="O7" s="125">
        <f t="shared" si="0"/>
        <v>33.898305084745765</v>
      </c>
      <c r="P7" s="122">
        <v>177</v>
      </c>
      <c r="Q7" s="106">
        <v>6000</v>
      </c>
    </row>
    <row r="8" spans="1:17" x14ac:dyDescent="0.4">
      <c r="A8" s="55" t="s">
        <v>3</v>
      </c>
      <c r="B8" s="47">
        <v>82</v>
      </c>
      <c r="C8" s="39">
        <f>IF(B$2=0,0,B8/B$2)</f>
        <v>0.33333333333333331</v>
      </c>
      <c r="E8" s="63" t="s">
        <v>70</v>
      </c>
      <c r="F8" s="60" t="s">
        <v>25</v>
      </c>
      <c r="G8" s="47">
        <v>108</v>
      </c>
      <c r="H8" s="135">
        <f>IF(B$17=0,0,G8/B$17)</f>
        <v>0.17851239669421487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82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86</v>
      </c>
      <c r="H9" s="135">
        <f>IF(B$17=0,0,G9/B$17)</f>
        <v>0.14214876033057852</v>
      </c>
      <c r="I9" s="96">
        <v>6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25</v>
      </c>
      <c r="C10" s="40">
        <f>IF(B$2=0,0,B10/B$2)</f>
        <v>0.1016260162601626</v>
      </c>
      <c r="E10" s="63" t="s">
        <v>66</v>
      </c>
      <c r="F10" s="60" t="s">
        <v>22</v>
      </c>
      <c r="G10" s="47">
        <v>73</v>
      </c>
      <c r="H10" s="135">
        <f>IF(B$17=0,0,G10/B$17)</f>
        <v>0.12066115702479339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-3.7036585365853658</v>
      </c>
      <c r="P10" s="120">
        <v>82</v>
      </c>
      <c r="Q10" s="108">
        <v>-303.7</v>
      </c>
    </row>
    <row r="11" spans="1:17" x14ac:dyDescent="0.4">
      <c r="A11" s="56" t="s">
        <v>140</v>
      </c>
      <c r="B11" s="48">
        <v>25</v>
      </c>
      <c r="C11" s="40">
        <f>IF(B$2=0,0,B11/B$2)</f>
        <v>0.1016260162601626</v>
      </c>
      <c r="E11" s="63" t="s">
        <v>71</v>
      </c>
      <c r="F11" s="60" t="s">
        <v>26</v>
      </c>
      <c r="G11" s="47">
        <v>66</v>
      </c>
      <c r="H11" s="135">
        <f>IF(B$17=0,0,G11/B$17)</f>
        <v>0.10909090909090909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-5.1926829268292689</v>
      </c>
      <c r="P11" s="121">
        <v>82</v>
      </c>
      <c r="Q11" s="109">
        <v>-425.80000000000007</v>
      </c>
    </row>
    <row r="12" spans="1:17" x14ac:dyDescent="0.4">
      <c r="A12" s="57" t="s">
        <v>160</v>
      </c>
      <c r="B12" s="49">
        <v>24</v>
      </c>
      <c r="C12" s="42">
        <f>IF(B$2=0,0,B12/B$2)</f>
        <v>9.7560975609756101E-2</v>
      </c>
      <c r="E12" s="63" t="s">
        <v>87</v>
      </c>
      <c r="F12" s="60" t="s">
        <v>42</v>
      </c>
      <c r="G12" s="47">
        <v>39</v>
      </c>
      <c r="H12" s="135">
        <f>IF(B$17=0,0,G12/B$17)</f>
        <v>6.4462809917355368E-2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8.8963414634146361</v>
      </c>
      <c r="P12" s="122">
        <v>82</v>
      </c>
      <c r="Q12" s="110">
        <v>729.50000000000011</v>
      </c>
    </row>
    <row r="13" spans="1:17" x14ac:dyDescent="0.4">
      <c r="A13" s="58" t="s">
        <v>122</v>
      </c>
      <c r="B13" s="50">
        <v>526</v>
      </c>
      <c r="C13" s="44">
        <f>IF(B$3=0,0,B13/B$3)</f>
        <v>0.25936883629191321</v>
      </c>
      <c r="E13" s="63" t="s">
        <v>72</v>
      </c>
      <c r="F13" s="60" t="s">
        <v>27</v>
      </c>
      <c r="G13" s="47">
        <v>34</v>
      </c>
      <c r="H13" s="135">
        <f>IF(B$17=0,0,G13/B$17)</f>
        <v>5.6198347107438019E-2</v>
      </c>
      <c r="I13" s="96">
        <v>5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434</v>
      </c>
      <c r="C14" s="39">
        <f>IF(B$3=0,0,B14/B$3)</f>
        <v>0.21400394477317555</v>
      </c>
      <c r="E14" s="63" t="s">
        <v>84</v>
      </c>
      <c r="F14" s="60" t="s">
        <v>39</v>
      </c>
      <c r="G14" s="47">
        <v>25</v>
      </c>
      <c r="H14" s="135">
        <f>IF(B$17=0,0,G14/B$17)</f>
        <v>4.1322314049586778E-2</v>
      </c>
      <c r="I14" s="96">
        <v>4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314</v>
      </c>
      <c r="C15" s="37">
        <f>IF(B$13=0,0,B15/B$13)</f>
        <v>0.59695817490494296</v>
      </c>
      <c r="E15" s="63" t="s">
        <v>82</v>
      </c>
      <c r="F15" s="60" t="s">
        <v>37</v>
      </c>
      <c r="G15" s="47">
        <v>16</v>
      </c>
      <c r="H15" s="135">
        <f>IF(B$17=0,0,G15/B$17)</f>
        <v>2.6446280991735537E-2</v>
      </c>
      <c r="I15" s="96">
        <v>5</v>
      </c>
      <c r="K15" s="38">
        <v>13</v>
      </c>
      <c r="L15" s="101">
        <v>-42.100000000000009</v>
      </c>
      <c r="N15" s="116" t="s">
        <v>129</v>
      </c>
      <c r="O15" s="126">
        <f>IF(P15=0,0,Q15/P15)</f>
        <v>47.221153846153861</v>
      </c>
      <c r="P15" s="120">
        <v>52</v>
      </c>
      <c r="Q15" s="108">
        <v>2455.5000000000009</v>
      </c>
    </row>
    <row r="16" spans="1:17" x14ac:dyDescent="0.4">
      <c r="A16" s="54" t="s">
        <v>125</v>
      </c>
      <c r="B16" s="46">
        <v>168</v>
      </c>
      <c r="C16" s="37">
        <f>IF(B$14=0,0,B16/B$14)</f>
        <v>0.38709677419354838</v>
      </c>
      <c r="E16" s="63" t="s">
        <v>92</v>
      </c>
      <c r="F16" s="60" t="s">
        <v>47</v>
      </c>
      <c r="G16" s="47">
        <v>12</v>
      </c>
      <c r="H16" s="135">
        <f>IF(B$17=0,0,G16/B$17)</f>
        <v>1.9834710743801654E-2</v>
      </c>
      <c r="I16" s="96">
        <v>3</v>
      </c>
      <c r="K16" s="38">
        <v>14</v>
      </c>
      <c r="L16" s="101">
        <v>18.79999999999999</v>
      </c>
      <c r="N16" s="117" t="s">
        <v>187</v>
      </c>
      <c r="O16" s="127">
        <f>IF(P16=0,0,Q16/P16)</f>
        <v>46.75714285714286</v>
      </c>
      <c r="P16" s="121">
        <v>14</v>
      </c>
      <c r="Q16" s="109">
        <v>654.6</v>
      </c>
    </row>
    <row r="17" spans="1:17" x14ac:dyDescent="0.4">
      <c r="A17" s="54" t="s">
        <v>10</v>
      </c>
      <c r="B17" s="46">
        <f>B19+B18</f>
        <v>605</v>
      </c>
      <c r="C17" s="37">
        <f>IF(B$3=0,0,B17/B$3)</f>
        <v>0.2983234714003945</v>
      </c>
      <c r="E17" s="63" t="s">
        <v>79</v>
      </c>
      <c r="F17" s="60" t="s">
        <v>34</v>
      </c>
      <c r="G17" s="47">
        <v>10</v>
      </c>
      <c r="H17" s="135">
        <f>IF(B$17=0,0,G17/B$17)</f>
        <v>1.6528925619834711E-2</v>
      </c>
      <c r="I17" s="96">
        <v>4</v>
      </c>
      <c r="K17" s="38">
        <v>15</v>
      </c>
      <c r="L17" s="101">
        <v>-1.0658141036401503E-14</v>
      </c>
      <c r="N17" s="117" t="s">
        <v>203</v>
      </c>
      <c r="O17" s="127">
        <f>IF(P17=0,0,Q17/P17)</f>
        <v>18.75</v>
      </c>
      <c r="P17" s="121">
        <v>2</v>
      </c>
      <c r="Q17" s="109">
        <v>37.5</v>
      </c>
    </row>
    <row r="18" spans="1:17" x14ac:dyDescent="0.4">
      <c r="A18" s="55" t="s">
        <v>12</v>
      </c>
      <c r="B18" s="47">
        <v>251</v>
      </c>
      <c r="C18" s="39">
        <f>IF(B$17=0,0,B18/B$17)</f>
        <v>0.41487603305785126</v>
      </c>
      <c r="E18" s="63" t="s">
        <v>181</v>
      </c>
      <c r="F18" s="60" t="s">
        <v>184</v>
      </c>
      <c r="G18" s="47">
        <v>7</v>
      </c>
      <c r="H18" s="135">
        <f>IF(B$17=0,0,G18/B$17)</f>
        <v>1.1570247933884297E-2</v>
      </c>
      <c r="I18" s="96">
        <v>3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354</v>
      </c>
      <c r="C19" s="39">
        <f>IF(B$17=0,0,B19/B$17)</f>
        <v>0.58512396694214874</v>
      </c>
      <c r="E19" s="63" t="s">
        <v>76</v>
      </c>
      <c r="F19" s="60" t="s">
        <v>31</v>
      </c>
      <c r="G19" s="47">
        <v>6</v>
      </c>
      <c r="H19" s="135">
        <f>IF(B$17=0,0,G19/B$17)</f>
        <v>9.9173553719008271E-3</v>
      </c>
      <c r="I19" s="96">
        <v>4</v>
      </c>
      <c r="K19" s="38">
        <v>17</v>
      </c>
      <c r="L19" s="101">
        <v>8.2999999999999972</v>
      </c>
      <c r="N19" s="117" t="s">
        <v>174</v>
      </c>
      <c r="O19" s="127">
        <f>IF(P19=0,0,Q19/P19)</f>
        <v>14.557142857142864</v>
      </c>
      <c r="P19" s="121">
        <v>42</v>
      </c>
      <c r="Q19" s="109">
        <v>611.40000000000032</v>
      </c>
    </row>
    <row r="20" spans="1:17" x14ac:dyDescent="0.4">
      <c r="A20" s="55" t="s">
        <v>13</v>
      </c>
      <c r="B20" s="47">
        <v>349</v>
      </c>
      <c r="C20" s="39">
        <f>IF(B$3=0,0,B20/B$3)</f>
        <v>0.17209072978303747</v>
      </c>
      <c r="E20" s="63" t="s">
        <v>80</v>
      </c>
      <c r="F20" s="60" t="s">
        <v>35</v>
      </c>
      <c r="G20" s="47">
        <v>6</v>
      </c>
      <c r="H20" s="135">
        <f>IF(B$17=0,0,G20/B$17)</f>
        <v>9.9173553719008271E-3</v>
      </c>
      <c r="I20" s="96">
        <v>4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74</v>
      </c>
      <c r="F21" s="60" t="s">
        <v>29</v>
      </c>
      <c r="G21" s="47">
        <v>4</v>
      </c>
      <c r="H21" s="135">
        <f>IF(B$17=0,0,G21/B$17)</f>
        <v>6.6115702479338841E-3</v>
      </c>
      <c r="I21" s="96">
        <v>4</v>
      </c>
      <c r="K21" s="38">
        <v>19</v>
      </c>
      <c r="L21" s="101">
        <v>30.999999999999996</v>
      </c>
      <c r="N21" s="117" t="s">
        <v>128</v>
      </c>
      <c r="O21" s="127">
        <f>IF(P21=0,0,Q21/P21)</f>
        <v>1.441525423728812</v>
      </c>
      <c r="P21" s="121">
        <v>118</v>
      </c>
      <c r="Q21" s="109">
        <v>170.09999999999982</v>
      </c>
    </row>
    <row r="22" spans="1:17" x14ac:dyDescent="0.4">
      <c r="A22" s="55" t="s">
        <v>195</v>
      </c>
      <c r="B22" s="47">
        <v>31</v>
      </c>
      <c r="C22" s="137">
        <v>2</v>
      </c>
      <c r="E22" s="63" t="s">
        <v>93</v>
      </c>
      <c r="F22" s="60" t="s">
        <v>48</v>
      </c>
      <c r="G22" s="47">
        <v>3</v>
      </c>
      <c r="H22" s="135">
        <f>IF(B$17=0,0,G22/B$17)</f>
        <v>4.9586776859504135E-3</v>
      </c>
      <c r="I22" s="96">
        <v>4</v>
      </c>
      <c r="K22" s="38">
        <v>20</v>
      </c>
      <c r="L22" s="101">
        <v>0.79999999999999716</v>
      </c>
      <c r="N22" s="117" t="s">
        <v>173</v>
      </c>
      <c r="O22" s="127">
        <f>IF(P22=0,0,Q22/P22)</f>
        <v>0.35217391304347634</v>
      </c>
      <c r="P22" s="121">
        <v>46</v>
      </c>
      <c r="Q22" s="109">
        <v>16.19999999999991</v>
      </c>
    </row>
    <row r="23" spans="1:17" x14ac:dyDescent="0.4">
      <c r="A23" s="55" t="s">
        <v>5</v>
      </c>
      <c r="B23" s="51">
        <f>IF(B$17=0,0,C23/B$17)</f>
        <v>8388.9256198347102</v>
      </c>
      <c r="C23" s="41">
        <v>5075300</v>
      </c>
      <c r="E23" s="63" t="s">
        <v>75</v>
      </c>
      <c r="F23" s="60" t="s">
        <v>30</v>
      </c>
      <c r="G23" s="47">
        <v>2</v>
      </c>
      <c r="H23" s="135">
        <f>IF(B$17=0,0,G23/B$17)</f>
        <v>3.3057851239669421E-3</v>
      </c>
      <c r="I23" s="96">
        <v>2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-8060.1719197707735</v>
      </c>
      <c r="C24" s="45">
        <v>-2813000</v>
      </c>
      <c r="E24" s="63" t="s">
        <v>78</v>
      </c>
      <c r="F24" s="60" t="s">
        <v>33</v>
      </c>
      <c r="G24" s="47">
        <v>2</v>
      </c>
      <c r="H24" s="135">
        <f>IF(B$17=0,0,G24/B$17)</f>
        <v>3.3057851239669421E-3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-39.031034482758599</v>
      </c>
      <c r="P24" s="121">
        <v>116</v>
      </c>
      <c r="Q24" s="109">
        <v>-4527.5999999999976</v>
      </c>
    </row>
    <row r="25" spans="1:17" x14ac:dyDescent="0.4">
      <c r="A25" s="92" t="s">
        <v>142</v>
      </c>
      <c r="B25" s="142">
        <v>7</v>
      </c>
      <c r="C25" s="143"/>
      <c r="E25" s="63" t="s">
        <v>89</v>
      </c>
      <c r="F25" s="60" t="s">
        <v>44</v>
      </c>
      <c r="G25" s="47">
        <v>2</v>
      </c>
      <c r="H25" s="135">
        <f>IF(B$17=0,0,G25/B$17)</f>
        <v>3.3057851239669421E-3</v>
      </c>
      <c r="I25" s="96">
        <v>3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116000</v>
      </c>
      <c r="C26" s="141"/>
      <c r="E26" s="63" t="s">
        <v>85</v>
      </c>
      <c r="F26" s="60" t="s">
        <v>40</v>
      </c>
      <c r="G26" s="47">
        <v>1</v>
      </c>
      <c r="H26" s="135">
        <f>IF(B$17=0,0,G26/B$17)</f>
        <v>1.652892561983471E-3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8</v>
      </c>
      <c r="C27" s="42">
        <f>IF(B$3=0,0,B27/B$3)</f>
        <v>3.9447731755424065E-3</v>
      </c>
      <c r="E27" s="63" t="s">
        <v>86</v>
      </c>
      <c r="F27" s="60" t="s">
        <v>41</v>
      </c>
      <c r="G27" s="47">
        <v>1</v>
      </c>
      <c r="H27" s="135">
        <f>IF(B$17=0,0,G27/B$17)</f>
        <v>1.652892561983471E-3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88</v>
      </c>
      <c r="F28" s="60" t="s">
        <v>43</v>
      </c>
      <c r="G28" s="47">
        <v>1</v>
      </c>
      <c r="H28" s="135">
        <f>IF(B$17=0,0,G28/B$17)</f>
        <v>1.652892561983471E-3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1.652892561983471E-3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94</v>
      </c>
      <c r="F30" s="60" t="s">
        <v>49</v>
      </c>
      <c r="G30" s="47">
        <v>1</v>
      </c>
      <c r="H30" s="135">
        <f>IF(B$17=0,0,G30/B$17)</f>
        <v>1.652892561983471E-3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5">
        <f>IF(B$17=0,0,G31/B$17)</f>
        <v>1.652892561983471E-3</v>
      </c>
      <c r="I31" s="96">
        <v>2</v>
      </c>
      <c r="K31" s="38">
        <v>29</v>
      </c>
      <c r="L31" s="101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  <row r="231" spans="11:12" x14ac:dyDescent="0.4">
      <c r="K231" s="38">
        <v>229</v>
      </c>
      <c r="L231" s="101">
        <v>4.0999999999999996</v>
      </c>
    </row>
    <row r="232" spans="11:12" x14ac:dyDescent="0.4">
      <c r="K232" s="38">
        <v>230</v>
      </c>
      <c r="L232" s="101">
        <v>-56</v>
      </c>
    </row>
    <row r="233" spans="11:12" x14ac:dyDescent="0.4">
      <c r="K233" s="38">
        <v>231</v>
      </c>
      <c r="L233" s="101">
        <v>0</v>
      </c>
    </row>
    <row r="234" spans="11:12" x14ac:dyDescent="0.4">
      <c r="K234" s="38">
        <v>232</v>
      </c>
      <c r="L234" s="101">
        <v>-21</v>
      </c>
    </row>
    <row r="235" spans="11:12" x14ac:dyDescent="0.4">
      <c r="K235" s="38">
        <v>233</v>
      </c>
      <c r="L235" s="101">
        <v>58</v>
      </c>
    </row>
    <row r="236" spans="11:12" x14ac:dyDescent="0.4">
      <c r="K236" s="38">
        <v>234</v>
      </c>
      <c r="L236" s="101">
        <v>0</v>
      </c>
    </row>
    <row r="237" spans="11:12" x14ac:dyDescent="0.4">
      <c r="K237" s="38">
        <v>235</v>
      </c>
      <c r="L237" s="101">
        <v>-34</v>
      </c>
    </row>
    <row r="238" spans="11:12" x14ac:dyDescent="0.4">
      <c r="K238" s="38">
        <v>236</v>
      </c>
      <c r="L238" s="101">
        <v>-101</v>
      </c>
    </row>
    <row r="239" spans="11:12" x14ac:dyDescent="0.4">
      <c r="K239" s="38">
        <v>237</v>
      </c>
      <c r="L239" s="101">
        <v>0</v>
      </c>
    </row>
    <row r="240" spans="11:12" x14ac:dyDescent="0.4">
      <c r="K240" s="38">
        <v>238</v>
      </c>
      <c r="L240" s="101">
        <v>-13</v>
      </c>
    </row>
    <row r="241" spans="11:12" x14ac:dyDescent="0.4">
      <c r="K241" s="38">
        <v>239</v>
      </c>
      <c r="L241" s="101">
        <v>-92.9</v>
      </c>
    </row>
    <row r="242" spans="11:12" x14ac:dyDescent="0.4">
      <c r="K242" s="38">
        <v>240</v>
      </c>
      <c r="L242" s="101">
        <v>0</v>
      </c>
    </row>
    <row r="243" spans="11:12" x14ac:dyDescent="0.4">
      <c r="K243" s="38">
        <v>241</v>
      </c>
      <c r="L243" s="101">
        <v>-3.1</v>
      </c>
    </row>
    <row r="244" spans="11:12" x14ac:dyDescent="0.4">
      <c r="K244" s="38">
        <v>242</v>
      </c>
      <c r="L244" s="101">
        <v>30.299999999999997</v>
      </c>
    </row>
    <row r="245" spans="11:12" x14ac:dyDescent="0.4">
      <c r="K245" s="38">
        <v>243</v>
      </c>
      <c r="L245" s="101">
        <v>-3.5527136788005009E-15</v>
      </c>
    </row>
    <row r="246" spans="11:12" x14ac:dyDescent="0.4">
      <c r="K246" s="38">
        <v>244</v>
      </c>
      <c r="L246" s="101">
        <v>5.3999999999999968</v>
      </c>
    </row>
    <row r="247" spans="11:12" x14ac:dyDescent="0.4">
      <c r="K247" s="38">
        <v>245</v>
      </c>
      <c r="L247" s="101">
        <v>-29.4</v>
      </c>
    </row>
    <row r="248" spans="11:12" x14ac:dyDescent="0.4">
      <c r="K248" s="38">
        <v>246</v>
      </c>
      <c r="L248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28DD-CC6E-443C-A87D-0F35C3C26EA1}">
  <sheetPr codeName="Sheet7"/>
  <dimension ref="A1:Q6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58</v>
      </c>
      <c r="C2" s="149"/>
      <c r="E2" s="62" t="s">
        <v>67</v>
      </c>
      <c r="F2" s="59" t="s">
        <v>23</v>
      </c>
      <c r="G2" s="46">
        <v>148</v>
      </c>
      <c r="H2" s="134">
        <f>IF(B$17=0,0,G2/B$17)</f>
        <v>0.78723404255319152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3891.3793103448274</v>
      </c>
      <c r="P2" s="120">
        <v>58</v>
      </c>
      <c r="Q2" s="104">
        <v>225700</v>
      </c>
    </row>
    <row r="3" spans="1:17" x14ac:dyDescent="0.4">
      <c r="A3" s="55" t="s">
        <v>8</v>
      </c>
      <c r="B3" s="150">
        <v>455</v>
      </c>
      <c r="C3" s="151"/>
      <c r="E3" s="63" t="s">
        <v>73</v>
      </c>
      <c r="F3" s="60" t="s">
        <v>28</v>
      </c>
      <c r="G3" s="47">
        <v>104</v>
      </c>
      <c r="H3" s="135">
        <f>IF(B$17=0,0,G3/B$17)</f>
        <v>0.55319148936170215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3787.719298245614</v>
      </c>
      <c r="P3" s="121">
        <v>57</v>
      </c>
      <c r="Q3" s="105">
        <v>215900</v>
      </c>
    </row>
    <row r="4" spans="1:17" x14ac:dyDescent="0.4">
      <c r="A4" s="55" t="s">
        <v>6</v>
      </c>
      <c r="B4" s="152">
        <v>1509.2000000000003</v>
      </c>
      <c r="C4" s="153"/>
      <c r="E4" s="63" t="s">
        <v>65</v>
      </c>
      <c r="F4" s="60" t="s">
        <v>21</v>
      </c>
      <c r="G4" s="47">
        <v>93</v>
      </c>
      <c r="H4" s="135">
        <f>IF(B$17=0,0,G4/B$17)</f>
        <v>0.49468085106382981</v>
      </c>
      <c r="I4" s="96">
        <v>7</v>
      </c>
      <c r="K4" s="38">
        <v>2</v>
      </c>
      <c r="L4" s="101">
        <v>-2.8999999999999995</v>
      </c>
      <c r="N4" s="117" t="s">
        <v>134</v>
      </c>
      <c r="O4" s="124">
        <f t="shared" si="0"/>
        <v>2915.0943396226417</v>
      </c>
      <c r="P4" s="121">
        <v>53</v>
      </c>
      <c r="Q4" s="105">
        <v>154500</v>
      </c>
    </row>
    <row r="5" spans="1:17" x14ac:dyDescent="0.4">
      <c r="A5" s="55" t="s">
        <v>7</v>
      </c>
      <c r="B5" s="154">
        <f>IF(B$2=0,0,B$4/B$2)</f>
        <v>26.020689655172418</v>
      </c>
      <c r="C5" s="155"/>
      <c r="E5" s="63" t="s">
        <v>182</v>
      </c>
      <c r="F5" s="60" t="s">
        <v>183</v>
      </c>
      <c r="G5" s="47">
        <v>80</v>
      </c>
      <c r="H5" s="135">
        <f>IF(B$17=0,0,G5/B$17)</f>
        <v>0.42553191489361702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5838.2978723404258</v>
      </c>
      <c r="P5" s="121">
        <v>47</v>
      </c>
      <c r="Q5" s="105">
        <v>274400</v>
      </c>
    </row>
    <row r="6" spans="1:17" x14ac:dyDescent="0.4">
      <c r="A6" s="55" t="s">
        <v>1</v>
      </c>
      <c r="B6" s="144">
        <f>IF(B$2=0,0,(B$7*1+B$8*2+B$9*3)/B$2)</f>
        <v>1.5172413793103448</v>
      </c>
      <c r="C6" s="145"/>
      <c r="E6" s="63" t="s">
        <v>68</v>
      </c>
      <c r="F6" s="60" t="s">
        <v>24</v>
      </c>
      <c r="G6" s="47">
        <v>60</v>
      </c>
      <c r="H6" s="135">
        <f>IF(B$17=0,0,G6/B$17)</f>
        <v>0.31914893617021278</v>
      </c>
      <c r="I6" s="96">
        <v>5</v>
      </c>
      <c r="K6" s="38">
        <v>4</v>
      </c>
      <c r="L6" s="101">
        <v>110.5</v>
      </c>
      <c r="N6" s="117" t="s">
        <v>136</v>
      </c>
      <c r="O6" s="124">
        <f t="shared" si="0"/>
        <v>1483.3333333333333</v>
      </c>
      <c r="P6" s="121">
        <v>42</v>
      </c>
      <c r="Q6" s="105">
        <v>62300</v>
      </c>
    </row>
    <row r="7" spans="1:17" x14ac:dyDescent="0.4">
      <c r="A7" s="55" t="s">
        <v>2</v>
      </c>
      <c r="B7" s="47">
        <v>36</v>
      </c>
      <c r="C7" s="39">
        <f>IF(B$2=0,0,B7/B$2)</f>
        <v>0.62068965517241381</v>
      </c>
      <c r="E7" s="63" t="s">
        <v>69</v>
      </c>
      <c r="F7" s="60" t="s">
        <v>12</v>
      </c>
      <c r="G7" s="47">
        <v>43</v>
      </c>
      <c r="H7" s="135">
        <f>IF(B$17=0,0,G7/B$17)</f>
        <v>0.22872340425531915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292.30769230769232</v>
      </c>
      <c r="P7" s="122">
        <v>39</v>
      </c>
      <c r="Q7" s="106">
        <v>11400</v>
      </c>
    </row>
    <row r="8" spans="1:17" x14ac:dyDescent="0.4">
      <c r="A8" s="55" t="s">
        <v>3</v>
      </c>
      <c r="B8" s="47">
        <v>14</v>
      </c>
      <c r="C8" s="39">
        <f>IF(B$2=0,0,B8/B$2)</f>
        <v>0.2413793103448276</v>
      </c>
      <c r="E8" s="63" t="s">
        <v>90</v>
      </c>
      <c r="F8" s="60" t="s">
        <v>45</v>
      </c>
      <c r="G8" s="47">
        <v>34</v>
      </c>
      <c r="H8" s="135">
        <f>IF(B$17=0,0,G8/B$17)</f>
        <v>0.18085106382978725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0.13793103448275862</v>
      </c>
      <c r="E9" s="63" t="s">
        <v>70</v>
      </c>
      <c r="F9" s="60" t="s">
        <v>25</v>
      </c>
      <c r="G9" s="47">
        <v>32</v>
      </c>
      <c r="H9" s="135">
        <f>IF(B$17=0,0,G9/B$17)</f>
        <v>0.1702127659574468</v>
      </c>
      <c r="I9" s="96">
        <v>8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3.4482758620689655E-2</v>
      </c>
      <c r="E10" s="63" t="s">
        <v>66</v>
      </c>
      <c r="F10" s="60" t="s">
        <v>22</v>
      </c>
      <c r="G10" s="47">
        <v>27</v>
      </c>
      <c r="H10" s="135">
        <f>IF(B$17=0,0,G10/B$17)</f>
        <v>0.14361702127659576</v>
      </c>
      <c r="I10" s="96">
        <v>4</v>
      </c>
      <c r="K10" s="38">
        <v>8</v>
      </c>
      <c r="L10" s="101">
        <v>285.20000000000005</v>
      </c>
      <c r="N10" s="116" t="s">
        <v>165</v>
      </c>
      <c r="O10" s="126">
        <f>IF(P10=0,0,Q10/P10)</f>
        <v>22.222222222222221</v>
      </c>
      <c r="P10" s="120">
        <v>18</v>
      </c>
      <c r="Q10" s="108">
        <v>400</v>
      </c>
    </row>
    <row r="11" spans="1:17" x14ac:dyDescent="0.4">
      <c r="A11" s="56" t="s">
        <v>140</v>
      </c>
      <c r="B11" s="48">
        <v>14</v>
      </c>
      <c r="C11" s="40">
        <f>IF(B$2=0,0,B11/B$2)</f>
        <v>0.2413793103448276</v>
      </c>
      <c r="E11" s="63" t="s">
        <v>87</v>
      </c>
      <c r="F11" s="60" t="s">
        <v>42</v>
      </c>
      <c r="G11" s="47">
        <v>17</v>
      </c>
      <c r="H11" s="135">
        <f>IF(B$17=0,0,G11/B$17)</f>
        <v>9.0425531914893623E-2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19.033333333333331</v>
      </c>
      <c r="P11" s="121">
        <v>18</v>
      </c>
      <c r="Q11" s="109">
        <v>342.59999999999997</v>
      </c>
    </row>
    <row r="12" spans="1:17" x14ac:dyDescent="0.4">
      <c r="A12" s="57" t="s">
        <v>160</v>
      </c>
      <c r="B12" s="49">
        <v>12</v>
      </c>
      <c r="C12" s="42">
        <f>IF(B$2=0,0,B12/B$2)</f>
        <v>0.20689655172413793</v>
      </c>
      <c r="E12" s="63" t="s">
        <v>71</v>
      </c>
      <c r="F12" s="60" t="s">
        <v>26</v>
      </c>
      <c r="G12" s="47">
        <v>16</v>
      </c>
      <c r="H12" s="135">
        <f>IF(B$17=0,0,G12/B$17)</f>
        <v>8.5106382978723402E-2</v>
      </c>
      <c r="I12" s="96">
        <v>6</v>
      </c>
      <c r="K12" s="38">
        <v>10</v>
      </c>
      <c r="L12" s="101">
        <v>246.20000000000005</v>
      </c>
      <c r="N12" s="118" t="s">
        <v>167</v>
      </c>
      <c r="O12" s="128">
        <f>IF(P12=0,0,Q12/P12)</f>
        <v>34.845454545454551</v>
      </c>
      <c r="P12" s="122">
        <v>22</v>
      </c>
      <c r="Q12" s="110">
        <v>766.60000000000014</v>
      </c>
    </row>
    <row r="13" spans="1:17" x14ac:dyDescent="0.4">
      <c r="A13" s="58" t="s">
        <v>122</v>
      </c>
      <c r="B13" s="50">
        <v>151</v>
      </c>
      <c r="C13" s="44">
        <f>IF(B$3=0,0,B13/B$3)</f>
        <v>0.33186813186813185</v>
      </c>
      <c r="E13" s="63" t="s">
        <v>72</v>
      </c>
      <c r="F13" s="60" t="s">
        <v>27</v>
      </c>
      <c r="G13" s="47">
        <v>10</v>
      </c>
      <c r="H13" s="135">
        <f>IF(B$17=0,0,G13/B$17)</f>
        <v>5.3191489361702128E-2</v>
      </c>
      <c r="I13" s="96">
        <v>6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109</v>
      </c>
      <c r="C14" s="39">
        <f>IF(B$3=0,0,B14/B$3)</f>
        <v>0.23956043956043957</v>
      </c>
      <c r="E14" s="63" t="s">
        <v>84</v>
      </c>
      <c r="F14" s="60" t="s">
        <v>39</v>
      </c>
      <c r="G14" s="47">
        <v>10</v>
      </c>
      <c r="H14" s="135">
        <f>IF(B$17=0,0,G14/B$17)</f>
        <v>5.3191489361702128E-2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97</v>
      </c>
      <c r="C15" s="37">
        <f>IF(B$13=0,0,B15/B$13)</f>
        <v>0.64238410596026485</v>
      </c>
      <c r="E15" s="63" t="s">
        <v>82</v>
      </c>
      <c r="F15" s="60" t="s">
        <v>37</v>
      </c>
      <c r="G15" s="47">
        <v>5</v>
      </c>
      <c r="H15" s="135">
        <f>IF(B$17=0,0,G15/B$17)</f>
        <v>2.6595744680851064E-2</v>
      </c>
      <c r="I15" s="96">
        <v>4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61</v>
      </c>
      <c r="C16" s="37">
        <f>IF(B$14=0,0,B16/B$14)</f>
        <v>0.55963302752293576</v>
      </c>
      <c r="E16" s="63" t="s">
        <v>79</v>
      </c>
      <c r="F16" s="60" t="s">
        <v>34</v>
      </c>
      <c r="G16" s="47">
        <v>3</v>
      </c>
      <c r="H16" s="135">
        <f>IF(B$17=0,0,G16/B$17)</f>
        <v>1.5957446808510637E-2</v>
      </c>
      <c r="I16" s="96">
        <v>5</v>
      </c>
      <c r="K16" s="38">
        <v>14</v>
      </c>
      <c r="L16" s="101">
        <v>473.50000000000006</v>
      </c>
      <c r="N16" s="117" t="s">
        <v>129</v>
      </c>
      <c r="O16" s="127">
        <f>IF(P16=0,0,Q16/P16)</f>
        <v>62.058823529411768</v>
      </c>
      <c r="P16" s="121">
        <v>17</v>
      </c>
      <c r="Q16" s="109">
        <v>1055</v>
      </c>
    </row>
    <row r="17" spans="1:17" x14ac:dyDescent="0.4">
      <c r="A17" s="54" t="s">
        <v>10</v>
      </c>
      <c r="B17" s="46">
        <f>B19+B18</f>
        <v>188</v>
      </c>
      <c r="C17" s="37">
        <f>IF(B$3=0,0,B17/B$3)</f>
        <v>0.41318681318681316</v>
      </c>
      <c r="E17" s="63" t="s">
        <v>92</v>
      </c>
      <c r="F17" s="60" t="s">
        <v>47</v>
      </c>
      <c r="G17" s="47">
        <v>3</v>
      </c>
      <c r="H17" s="135">
        <f>IF(B$17=0,0,G17/B$17)</f>
        <v>1.5957446808510637E-2</v>
      </c>
      <c r="I17" s="96">
        <v>5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76</v>
      </c>
      <c r="C18" s="39">
        <f>IF(B$17=0,0,B18/B$17)</f>
        <v>0.40425531914893614</v>
      </c>
      <c r="E18" s="63" t="s">
        <v>74</v>
      </c>
      <c r="F18" s="60" t="s">
        <v>29</v>
      </c>
      <c r="G18" s="47">
        <v>2</v>
      </c>
      <c r="H18" s="135">
        <f>IF(B$17=0,0,G18/B$17)</f>
        <v>1.0638297872340425E-2</v>
      </c>
      <c r="I18" s="96">
        <v>2</v>
      </c>
      <c r="K18" s="38">
        <v>16</v>
      </c>
      <c r="L18" s="101">
        <v>425.50000000000006</v>
      </c>
      <c r="N18" s="117" t="s">
        <v>178</v>
      </c>
      <c r="O18" s="127">
        <f>IF(P18=0,0,Q18/P18)</f>
        <v>48.9375</v>
      </c>
      <c r="P18" s="121">
        <v>8</v>
      </c>
      <c r="Q18" s="109">
        <v>391.5</v>
      </c>
    </row>
    <row r="19" spans="1:17" x14ac:dyDescent="0.4">
      <c r="A19" s="55" t="s">
        <v>11</v>
      </c>
      <c r="B19" s="47">
        <v>112</v>
      </c>
      <c r="C19" s="39">
        <f>IF(B$17=0,0,B19/B$17)</f>
        <v>0.5957446808510638</v>
      </c>
      <c r="E19" s="63" t="s">
        <v>181</v>
      </c>
      <c r="F19" s="60" t="s">
        <v>184</v>
      </c>
      <c r="G19" s="47">
        <v>2</v>
      </c>
      <c r="H19" s="135">
        <f>IF(B$17=0,0,G19/B$17)</f>
        <v>1.0638297872340425E-2</v>
      </c>
      <c r="I19" s="96">
        <v>4</v>
      </c>
      <c r="K19" s="38">
        <v>17</v>
      </c>
      <c r="L19" s="101">
        <v>427.40000000000003</v>
      </c>
      <c r="N19" s="117" t="s">
        <v>174</v>
      </c>
      <c r="O19" s="127">
        <f>IF(P19=0,0,Q19/P19)</f>
        <v>47.655555555555551</v>
      </c>
      <c r="P19" s="121">
        <v>9</v>
      </c>
      <c r="Q19" s="109">
        <v>428.9</v>
      </c>
    </row>
    <row r="20" spans="1:17" x14ac:dyDescent="0.4">
      <c r="A20" s="55" t="s">
        <v>13</v>
      </c>
      <c r="B20" s="47">
        <v>64</v>
      </c>
      <c r="C20" s="39">
        <f>IF(B$3=0,0,B20/B$3)</f>
        <v>0.14065934065934066</v>
      </c>
      <c r="E20" s="63" t="s">
        <v>76</v>
      </c>
      <c r="F20" s="60" t="s">
        <v>31</v>
      </c>
      <c r="G20" s="47">
        <v>1</v>
      </c>
      <c r="H20" s="135">
        <f>IF(B$17=0,0,G20/B$17)</f>
        <v>5.3191489361702126E-3</v>
      </c>
      <c r="I20" s="96">
        <v>5</v>
      </c>
      <c r="K20" s="38">
        <v>18</v>
      </c>
      <c r="L20" s="101">
        <v>429.3</v>
      </c>
      <c r="N20" s="117" t="s">
        <v>173</v>
      </c>
      <c r="O20" s="127">
        <f>IF(P20=0,0,Q20/P20)</f>
        <v>46.736363636363642</v>
      </c>
      <c r="P20" s="121">
        <v>11</v>
      </c>
      <c r="Q20" s="109">
        <v>514.1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78</v>
      </c>
      <c r="F21" s="60" t="s">
        <v>33</v>
      </c>
      <c r="G21" s="47">
        <v>1</v>
      </c>
      <c r="H21" s="135">
        <f>IF(B$17=0,0,G21/B$17)</f>
        <v>5.3191489361702126E-3</v>
      </c>
      <c r="I21" s="96">
        <v>2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2</v>
      </c>
      <c r="E22" s="63" t="s">
        <v>80</v>
      </c>
      <c r="F22" s="60" t="s">
        <v>35</v>
      </c>
      <c r="G22" s="47">
        <v>1</v>
      </c>
      <c r="H22" s="135">
        <f>IF(B$17=0,0,G22/B$17)</f>
        <v>5.3191489361702126E-3</v>
      </c>
      <c r="I22" s="96">
        <v>5</v>
      </c>
      <c r="K22" s="38">
        <v>20</v>
      </c>
      <c r="L22" s="101">
        <v>469.6</v>
      </c>
      <c r="N22" s="117" t="s">
        <v>128</v>
      </c>
      <c r="O22" s="127">
        <f>IF(P22=0,0,Q22/P22)</f>
        <v>27.200000000000006</v>
      </c>
      <c r="P22" s="121">
        <v>45</v>
      </c>
      <c r="Q22" s="109">
        <v>1224.0000000000002</v>
      </c>
    </row>
    <row r="23" spans="1:17" x14ac:dyDescent="0.4">
      <c r="A23" s="55" t="s">
        <v>5</v>
      </c>
      <c r="B23" s="51">
        <f>IF(B$17=0,0,C23/B$17)</f>
        <v>9556.9148936170204</v>
      </c>
      <c r="C23" s="41">
        <v>1796700</v>
      </c>
      <c r="E23" s="63" t="s">
        <v>88</v>
      </c>
      <c r="F23" s="60" t="s">
        <v>43</v>
      </c>
      <c r="G23" s="47">
        <v>1</v>
      </c>
      <c r="H23" s="135">
        <f>IF(B$17=0,0,G23/B$17)</f>
        <v>5.3191489361702126E-3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-7785.9375</v>
      </c>
      <c r="C24" s="45">
        <v>-498300</v>
      </c>
      <c r="E24" s="63" t="s">
        <v>91</v>
      </c>
      <c r="F24" s="60" t="s">
        <v>46</v>
      </c>
      <c r="G24" s="47">
        <v>1</v>
      </c>
      <c r="H24" s="135">
        <f>IF(B$17=0,0,G24/B$17)</f>
        <v>5.3191489361702126E-3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93</v>
      </c>
      <c r="F25" s="60" t="s">
        <v>48</v>
      </c>
      <c r="G25" s="47">
        <v>1</v>
      </c>
      <c r="H25" s="135">
        <f>IF(B$17=0,0,G25/B$17)</f>
        <v>5.3191489361702126E-3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116000</v>
      </c>
      <c r="C26" s="141"/>
      <c r="E26" s="63" t="s">
        <v>94</v>
      </c>
      <c r="F26" s="60" t="s">
        <v>49</v>
      </c>
      <c r="G26" s="47">
        <v>1</v>
      </c>
      <c r="H26" s="135">
        <f>IF(B$17=0,0,G26/B$17)</f>
        <v>5.3191489361702126E-3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5">
        <f>IF(B$17=0,0,G27/B$17)</f>
        <v>5.3191489361702126E-3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5">
        <f>IF(B$17=0,0,G30/B$17)</f>
        <v>0</v>
      </c>
      <c r="I30" s="96">
        <v>1</v>
      </c>
      <c r="K30" s="38">
        <v>28</v>
      </c>
      <c r="L30" s="101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5">
        <f>IF(B$17=0,0,G34/B$17)</f>
        <v>0</v>
      </c>
      <c r="I34" s="96">
        <v>4</v>
      </c>
      <c r="K34" s="38">
        <v>32</v>
      </c>
      <c r="L34" s="101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  <row r="55" spans="5:12" x14ac:dyDescent="0.4">
      <c r="K55" s="38">
        <v>53</v>
      </c>
      <c r="L55" s="101">
        <v>1374.2</v>
      </c>
    </row>
    <row r="56" spans="5:12" x14ac:dyDescent="0.4">
      <c r="K56" s="38">
        <v>54</v>
      </c>
      <c r="L56" s="101">
        <v>1316.2</v>
      </c>
    </row>
    <row r="57" spans="5:12" x14ac:dyDescent="0.4">
      <c r="K57" s="38">
        <v>55</v>
      </c>
      <c r="L57" s="101">
        <v>1417.2</v>
      </c>
    </row>
    <row r="58" spans="5:12" x14ac:dyDescent="0.4">
      <c r="K58" s="38">
        <v>56</v>
      </c>
      <c r="L58" s="101">
        <v>1510.1000000000001</v>
      </c>
    </row>
    <row r="59" spans="5:12" x14ac:dyDescent="0.4">
      <c r="K59" s="38">
        <v>57</v>
      </c>
      <c r="L59" s="101">
        <v>1479.8000000000002</v>
      </c>
    </row>
    <row r="60" spans="5:12" x14ac:dyDescent="0.4">
      <c r="K60" s="38">
        <v>58</v>
      </c>
      <c r="L60" s="101">
        <v>1509.2000000000003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DD14-159D-4074-839E-388587269B0E}">
  <sheetPr codeName="Sheet9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59</v>
      </c>
      <c r="C2" s="149"/>
      <c r="E2" s="62" t="s">
        <v>67</v>
      </c>
      <c r="F2" s="59" t="s">
        <v>23</v>
      </c>
      <c r="G2" s="46">
        <v>90</v>
      </c>
      <c r="H2" s="134">
        <f>IF(B$17=0,0,G2/B$17)</f>
        <v>0.64748201438848918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1181.3559322033898</v>
      </c>
      <c r="P2" s="120">
        <v>59</v>
      </c>
      <c r="Q2" s="104">
        <v>69700</v>
      </c>
    </row>
    <row r="3" spans="1:17" x14ac:dyDescent="0.4">
      <c r="A3" s="55" t="s">
        <v>8</v>
      </c>
      <c r="B3" s="150">
        <v>490</v>
      </c>
      <c r="C3" s="151"/>
      <c r="E3" s="63" t="s">
        <v>65</v>
      </c>
      <c r="F3" s="60" t="s">
        <v>21</v>
      </c>
      <c r="G3" s="47">
        <v>80</v>
      </c>
      <c r="H3" s="135">
        <f>IF(B$17=0,0,G3/B$17)</f>
        <v>0.57553956834532372</v>
      </c>
      <c r="I3" s="96">
        <v>3</v>
      </c>
      <c r="K3" s="38">
        <v>1</v>
      </c>
      <c r="L3" s="101">
        <v>45.5</v>
      </c>
      <c r="N3" s="117" t="s">
        <v>133</v>
      </c>
      <c r="O3" s="124">
        <f t="shared" si="0"/>
        <v>-1472.4137931034484</v>
      </c>
      <c r="P3" s="121">
        <v>58</v>
      </c>
      <c r="Q3" s="105">
        <v>-85400</v>
      </c>
    </row>
    <row r="4" spans="1:17" x14ac:dyDescent="0.4">
      <c r="A4" s="55" t="s">
        <v>6</v>
      </c>
      <c r="B4" s="152">
        <v>-56.700000000000045</v>
      </c>
      <c r="C4" s="153"/>
      <c r="E4" s="63" t="s">
        <v>73</v>
      </c>
      <c r="F4" s="60" t="s">
        <v>28</v>
      </c>
      <c r="G4" s="47">
        <v>63</v>
      </c>
      <c r="H4" s="135">
        <f>IF(B$17=0,0,G4/B$17)</f>
        <v>0.45323741007194246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-1558.9285714285713</v>
      </c>
      <c r="P4" s="121">
        <v>56</v>
      </c>
      <c r="Q4" s="105">
        <v>-87300</v>
      </c>
    </row>
    <row r="5" spans="1:17" x14ac:dyDescent="0.4">
      <c r="A5" s="55" t="s">
        <v>7</v>
      </c>
      <c r="B5" s="154">
        <f>IF(B$2=0,0,B$4/B$2)</f>
        <v>-0.9610169491525431</v>
      </c>
      <c r="C5" s="155"/>
      <c r="E5" s="63" t="s">
        <v>182</v>
      </c>
      <c r="F5" s="60" t="s">
        <v>183</v>
      </c>
      <c r="G5" s="47">
        <v>57</v>
      </c>
      <c r="H5" s="135">
        <f>IF(B$17=0,0,G5/B$17)</f>
        <v>0.41007194244604317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-108</v>
      </c>
      <c r="P5" s="121">
        <v>50</v>
      </c>
      <c r="Q5" s="105">
        <v>-5400</v>
      </c>
    </row>
    <row r="6" spans="1:17" x14ac:dyDescent="0.4">
      <c r="A6" s="55" t="s">
        <v>1</v>
      </c>
      <c r="B6" s="144">
        <f>IF(B$2=0,0,(B$7*1+B$8*2+B$9*3)/B$2)</f>
        <v>2.0508474576271185</v>
      </c>
      <c r="C6" s="145"/>
      <c r="E6" s="63" t="s">
        <v>68</v>
      </c>
      <c r="F6" s="60" t="s">
        <v>24</v>
      </c>
      <c r="G6" s="47">
        <v>50</v>
      </c>
      <c r="H6" s="135">
        <f>IF(B$17=0,0,G6/B$17)</f>
        <v>0.35971223021582732</v>
      </c>
      <c r="I6" s="96">
        <v>4</v>
      </c>
      <c r="K6" s="38">
        <v>4</v>
      </c>
      <c r="L6" s="101">
        <v>13.599999999999994</v>
      </c>
      <c r="N6" s="117" t="s">
        <v>136</v>
      </c>
      <c r="O6" s="124">
        <f t="shared" si="0"/>
        <v>1415.2173913043478</v>
      </c>
      <c r="P6" s="121">
        <v>46</v>
      </c>
      <c r="Q6" s="105">
        <v>65100</v>
      </c>
    </row>
    <row r="7" spans="1:17" x14ac:dyDescent="0.4">
      <c r="A7" s="55" t="s">
        <v>2</v>
      </c>
      <c r="B7" s="47">
        <v>15</v>
      </c>
      <c r="C7" s="39">
        <f>IF(B$2=0,0,B7/B$2)</f>
        <v>0.25423728813559321</v>
      </c>
      <c r="E7" s="63" t="s">
        <v>69</v>
      </c>
      <c r="F7" s="60" t="s">
        <v>12</v>
      </c>
      <c r="G7" s="47">
        <v>48</v>
      </c>
      <c r="H7" s="135">
        <f>IF(B$17=0,0,G7/B$17)</f>
        <v>0.34532374100719426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1083.7209302325582</v>
      </c>
      <c r="P7" s="122">
        <v>43</v>
      </c>
      <c r="Q7" s="106">
        <v>46600</v>
      </c>
    </row>
    <row r="8" spans="1:17" x14ac:dyDescent="0.4">
      <c r="A8" s="55" t="s">
        <v>3</v>
      </c>
      <c r="B8" s="47">
        <v>26</v>
      </c>
      <c r="C8" s="39">
        <f>IF(B$2=0,0,B8/B$2)</f>
        <v>0.44067796610169491</v>
      </c>
      <c r="E8" s="63" t="s">
        <v>70</v>
      </c>
      <c r="F8" s="60" t="s">
        <v>25</v>
      </c>
      <c r="G8" s="47">
        <v>31</v>
      </c>
      <c r="H8" s="135">
        <f>IF(B$17=0,0,G8/B$17)</f>
        <v>0.22302158273381295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18</v>
      </c>
      <c r="C9" s="40">
        <f t="shared" ref="C9" si="1">IF(B$2=0,0,B9/B$2)</f>
        <v>0.30508474576271188</v>
      </c>
      <c r="E9" s="63" t="s">
        <v>66</v>
      </c>
      <c r="F9" s="60" t="s">
        <v>22</v>
      </c>
      <c r="G9" s="47">
        <v>20</v>
      </c>
      <c r="H9" s="135">
        <f>IF(B$17=0,0,G9/B$17)</f>
        <v>0.14388489208633093</v>
      </c>
      <c r="I9" s="96">
        <v>3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0.11864406779661017</v>
      </c>
      <c r="E10" s="63" t="s">
        <v>71</v>
      </c>
      <c r="F10" s="60" t="s">
        <v>26</v>
      </c>
      <c r="G10" s="47">
        <v>20</v>
      </c>
      <c r="H10" s="135">
        <f>IF(B$17=0,0,G10/B$17)</f>
        <v>0.14388489208633093</v>
      </c>
      <c r="I10" s="96">
        <v>2</v>
      </c>
      <c r="K10" s="38">
        <v>8</v>
      </c>
      <c r="L10" s="101">
        <v>-49.6</v>
      </c>
      <c r="N10" s="116" t="s">
        <v>165</v>
      </c>
      <c r="O10" s="126">
        <f>IF(P10=0,0,Q10/P10)</f>
        <v>-2.6275862068965532</v>
      </c>
      <c r="P10" s="120">
        <v>29</v>
      </c>
      <c r="Q10" s="108">
        <v>-76.200000000000045</v>
      </c>
    </row>
    <row r="11" spans="1:17" x14ac:dyDescent="0.4">
      <c r="A11" s="56" t="s">
        <v>140</v>
      </c>
      <c r="B11" s="48">
        <v>5</v>
      </c>
      <c r="C11" s="40">
        <f>IF(B$2=0,0,B11/B$2)</f>
        <v>8.4745762711864403E-2</v>
      </c>
      <c r="E11" s="63" t="s">
        <v>90</v>
      </c>
      <c r="F11" s="60" t="s">
        <v>45</v>
      </c>
      <c r="G11" s="47">
        <v>15</v>
      </c>
      <c r="H11" s="135">
        <f>IF(B$17=0,0,G11/B$17)</f>
        <v>0.1079136690647482</v>
      </c>
      <c r="I11" s="96">
        <v>9</v>
      </c>
      <c r="K11" s="38">
        <v>9</v>
      </c>
      <c r="L11" s="101">
        <v>-79.5</v>
      </c>
      <c r="N11" s="117" t="s">
        <v>166</v>
      </c>
      <c r="O11" s="127">
        <f>IF(P11=0,0,Q11/P11)</f>
        <v>-9.170588235294117</v>
      </c>
      <c r="P11" s="121">
        <v>17</v>
      </c>
      <c r="Q11" s="109">
        <v>-155.89999999999998</v>
      </c>
    </row>
    <row r="12" spans="1:17" x14ac:dyDescent="0.4">
      <c r="A12" s="57" t="s">
        <v>160</v>
      </c>
      <c r="B12" s="49">
        <v>4</v>
      </c>
      <c r="C12" s="42">
        <f>IF(B$2=0,0,B12/B$2)</f>
        <v>6.7796610169491525E-2</v>
      </c>
      <c r="E12" s="63" t="s">
        <v>87</v>
      </c>
      <c r="F12" s="60" t="s">
        <v>42</v>
      </c>
      <c r="G12" s="47">
        <v>9</v>
      </c>
      <c r="H12" s="135">
        <f>IF(B$17=0,0,G12/B$17)</f>
        <v>6.4748201438848921E-2</v>
      </c>
      <c r="I12" s="96">
        <v>4</v>
      </c>
      <c r="K12" s="38">
        <v>10</v>
      </c>
      <c r="L12" s="101">
        <v>-80.900000000000006</v>
      </c>
      <c r="N12" s="118" t="s">
        <v>167</v>
      </c>
      <c r="O12" s="128">
        <f>IF(P12=0,0,Q12/P12)</f>
        <v>13.492307692307692</v>
      </c>
      <c r="P12" s="122">
        <v>13</v>
      </c>
      <c r="Q12" s="110">
        <v>175.4</v>
      </c>
    </row>
    <row r="13" spans="1:17" x14ac:dyDescent="0.4">
      <c r="A13" s="58" t="s">
        <v>122</v>
      </c>
      <c r="B13" s="50">
        <v>135</v>
      </c>
      <c r="C13" s="44">
        <f>IF(B$3=0,0,B13/B$3)</f>
        <v>0.27551020408163263</v>
      </c>
      <c r="E13" s="63" t="s">
        <v>82</v>
      </c>
      <c r="F13" s="60" t="s">
        <v>37</v>
      </c>
      <c r="G13" s="47">
        <v>6</v>
      </c>
      <c r="H13" s="135">
        <f>IF(B$17=0,0,G13/B$17)</f>
        <v>4.3165467625899283E-2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88</v>
      </c>
      <c r="C14" s="39">
        <f>IF(B$3=0,0,B14/B$3)</f>
        <v>0.17959183673469387</v>
      </c>
      <c r="E14" s="63" t="s">
        <v>72</v>
      </c>
      <c r="F14" s="60" t="s">
        <v>27</v>
      </c>
      <c r="G14" s="47">
        <v>5</v>
      </c>
      <c r="H14" s="135">
        <f>IF(B$17=0,0,G14/B$17)</f>
        <v>3.5971223021582732E-2</v>
      </c>
      <c r="I14" s="96">
        <v>7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85</v>
      </c>
      <c r="C15" s="37">
        <f>IF(B$13=0,0,B15/B$13)</f>
        <v>0.62962962962962965</v>
      </c>
      <c r="E15" s="63" t="s">
        <v>92</v>
      </c>
      <c r="F15" s="60" t="s">
        <v>47</v>
      </c>
      <c r="G15" s="47">
        <v>5</v>
      </c>
      <c r="H15" s="135">
        <f>IF(B$17=0,0,G15/B$17)</f>
        <v>3.5971223021582732E-2</v>
      </c>
      <c r="I15" s="96">
        <v>2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24</v>
      </c>
      <c r="C16" s="37">
        <f>IF(B$14=0,0,B16/B$14)</f>
        <v>0.27272727272727271</v>
      </c>
      <c r="E16" s="63" t="s">
        <v>84</v>
      </c>
      <c r="F16" s="60" t="s">
        <v>39</v>
      </c>
      <c r="G16" s="47">
        <v>4</v>
      </c>
      <c r="H16" s="135">
        <f>IF(B$17=0,0,G16/B$17)</f>
        <v>2.8776978417266189E-2</v>
      </c>
      <c r="I16" s="96">
        <v>8</v>
      </c>
      <c r="K16" s="38">
        <v>14</v>
      </c>
      <c r="L16" s="101">
        <v>-25.600000000000009</v>
      </c>
      <c r="N16" s="117" t="s">
        <v>129</v>
      </c>
      <c r="O16" s="127">
        <f>IF(P16=0,0,Q16/P16)</f>
        <v>23.638888888888886</v>
      </c>
      <c r="P16" s="121">
        <v>18</v>
      </c>
      <c r="Q16" s="109">
        <v>425.49999999999994</v>
      </c>
    </row>
    <row r="17" spans="1:17" x14ac:dyDescent="0.4">
      <c r="A17" s="54" t="s">
        <v>10</v>
      </c>
      <c r="B17" s="46">
        <f>B19+B18</f>
        <v>139</v>
      </c>
      <c r="C17" s="37">
        <f>IF(B$3=0,0,B17/B$3)</f>
        <v>0.28367346938775512</v>
      </c>
      <c r="E17" s="63" t="s">
        <v>181</v>
      </c>
      <c r="F17" s="60" t="s">
        <v>184</v>
      </c>
      <c r="G17" s="47">
        <v>3</v>
      </c>
      <c r="H17" s="135">
        <f>IF(B$17=0,0,G17/B$17)</f>
        <v>2.1582733812949641E-2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56</v>
      </c>
      <c r="C18" s="39">
        <f>IF(B$17=0,0,B18/B$17)</f>
        <v>0.40287769784172661</v>
      </c>
      <c r="E18" s="63" t="s">
        <v>75</v>
      </c>
      <c r="F18" s="60" t="s">
        <v>30</v>
      </c>
      <c r="G18" s="47">
        <v>2</v>
      </c>
      <c r="H18" s="135">
        <f>IF(B$17=0,0,G18/B$17)</f>
        <v>1.4388489208633094E-2</v>
      </c>
      <c r="I18" s="96">
        <v>1</v>
      </c>
      <c r="K18" s="38">
        <v>16</v>
      </c>
      <c r="L18" s="101">
        <v>41.699999999999989</v>
      </c>
      <c r="N18" s="117" t="s">
        <v>174</v>
      </c>
      <c r="O18" s="127">
        <f>IF(P18=0,0,Q18/P18)</f>
        <v>1.9333333333333325</v>
      </c>
      <c r="P18" s="121">
        <v>12</v>
      </c>
      <c r="Q18" s="109">
        <v>23.199999999999989</v>
      </c>
    </row>
    <row r="19" spans="1:17" x14ac:dyDescent="0.4">
      <c r="A19" s="55" t="s">
        <v>11</v>
      </c>
      <c r="B19" s="47">
        <v>83</v>
      </c>
      <c r="C19" s="39">
        <f>IF(B$17=0,0,B19/B$17)</f>
        <v>0.59712230215827333</v>
      </c>
      <c r="E19" s="63" t="s">
        <v>76</v>
      </c>
      <c r="F19" s="60" t="s">
        <v>31</v>
      </c>
      <c r="G19" s="47">
        <v>2</v>
      </c>
      <c r="H19" s="135">
        <f>IF(B$17=0,0,G19/B$17)</f>
        <v>1.4388489208633094E-2</v>
      </c>
      <c r="I19" s="96">
        <v>3</v>
      </c>
      <c r="K19" s="38">
        <v>17</v>
      </c>
      <c r="L19" s="101">
        <v>94.6</v>
      </c>
      <c r="N19" s="117" t="s">
        <v>173</v>
      </c>
      <c r="O19" s="127">
        <f>IF(P19=0,0,Q19/P19)</f>
        <v>0.62307692307692375</v>
      </c>
      <c r="P19" s="121">
        <v>13</v>
      </c>
      <c r="Q19" s="109">
        <v>8.1000000000000085</v>
      </c>
    </row>
    <row r="20" spans="1:17" x14ac:dyDescent="0.4">
      <c r="A20" s="55" t="s">
        <v>13</v>
      </c>
      <c r="B20" s="47">
        <v>81</v>
      </c>
      <c r="C20" s="39">
        <f>IF(B$3=0,0,B20/B$3)</f>
        <v>0.1653061224489796</v>
      </c>
      <c r="E20" s="63" t="s">
        <v>80</v>
      </c>
      <c r="F20" s="60" t="s">
        <v>35</v>
      </c>
      <c r="G20" s="47">
        <v>2</v>
      </c>
      <c r="H20" s="135">
        <f>IF(B$17=0,0,G20/B$17)</f>
        <v>1.4388489208633094E-2</v>
      </c>
      <c r="I20" s="96">
        <v>3</v>
      </c>
      <c r="K20" s="38">
        <v>18</v>
      </c>
      <c r="L20" s="101">
        <v>116.69999999999999</v>
      </c>
      <c r="N20" s="117" t="s">
        <v>178</v>
      </c>
      <c r="O20" s="127">
        <f>IF(P20=0,0,Q20/P20)</f>
        <v>-0.75</v>
      </c>
      <c r="P20" s="121">
        <v>10</v>
      </c>
      <c r="Q20" s="109">
        <v>-7.5</v>
      </c>
    </row>
    <row r="21" spans="1:17" x14ac:dyDescent="0.4">
      <c r="A21" s="55" t="s">
        <v>194</v>
      </c>
      <c r="B21" s="47">
        <v>5</v>
      </c>
      <c r="C21" s="137">
        <v>0</v>
      </c>
      <c r="E21" s="63" t="s">
        <v>74</v>
      </c>
      <c r="F21" s="60" t="s">
        <v>29</v>
      </c>
      <c r="G21" s="47">
        <v>1</v>
      </c>
      <c r="H21" s="135">
        <f>IF(B$17=0,0,G21/B$17)</f>
        <v>7.1942446043165471E-3</v>
      </c>
      <c r="I21" s="96">
        <v>3</v>
      </c>
      <c r="K21" s="38">
        <v>19</v>
      </c>
      <c r="L21" s="101">
        <v>138.79999999999998</v>
      </c>
      <c r="N21" s="117" t="s">
        <v>127</v>
      </c>
      <c r="O21" s="127">
        <f>IF(P21=0,0,Q21/P21)</f>
        <v>-27.200000000000006</v>
      </c>
      <c r="P21" s="121">
        <v>45</v>
      </c>
      <c r="Q21" s="109">
        <v>-1224.0000000000002</v>
      </c>
    </row>
    <row r="22" spans="1:17" x14ac:dyDescent="0.4">
      <c r="A22" s="55" t="s">
        <v>195</v>
      </c>
      <c r="B22" s="47">
        <v>24</v>
      </c>
      <c r="C22" s="137">
        <v>18</v>
      </c>
      <c r="E22" s="63" t="s">
        <v>78</v>
      </c>
      <c r="F22" s="60" t="s">
        <v>33</v>
      </c>
      <c r="G22" s="47">
        <v>1</v>
      </c>
      <c r="H22" s="135">
        <f>IF(B$17=0,0,G22/B$17)</f>
        <v>7.1942446043165471E-3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9092.0863309352517</v>
      </c>
      <c r="C23" s="41">
        <v>1263800</v>
      </c>
      <c r="E23" s="63" t="s">
        <v>79</v>
      </c>
      <c r="F23" s="60" t="s">
        <v>34</v>
      </c>
      <c r="G23" s="47">
        <v>1</v>
      </c>
      <c r="H23" s="135">
        <f>IF(B$17=0,0,G23/B$17)</f>
        <v>7.1942446043165471E-3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-7424.691358024691</v>
      </c>
      <c r="C24" s="45">
        <v>-601400</v>
      </c>
      <c r="E24" s="63" t="s">
        <v>85</v>
      </c>
      <c r="F24" s="60" t="s">
        <v>40</v>
      </c>
      <c r="G24" s="47">
        <v>1</v>
      </c>
      <c r="H24" s="135">
        <f>IF(B$17=0,0,G24/B$17)</f>
        <v>7.1942446043165471E-3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7.1942446043165471E-3</v>
      </c>
      <c r="I25" s="96">
        <v>2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94000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7.1942446043165471E-3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8.1632653061224497E-3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  <row r="56" spans="5:12" x14ac:dyDescent="0.4">
      <c r="K56" s="38">
        <v>54</v>
      </c>
      <c r="L56" s="101">
        <v>-91.000000000000043</v>
      </c>
    </row>
    <row r="57" spans="5:12" x14ac:dyDescent="0.4">
      <c r="K57" s="38">
        <v>55</v>
      </c>
      <c r="L57" s="101">
        <v>-12.000000000000043</v>
      </c>
    </row>
    <row r="58" spans="5:12" x14ac:dyDescent="0.4">
      <c r="K58" s="38">
        <v>56</v>
      </c>
      <c r="L58" s="101">
        <v>-46.000000000000043</v>
      </c>
    </row>
    <row r="59" spans="5:12" x14ac:dyDescent="0.4">
      <c r="K59" s="38">
        <v>57</v>
      </c>
      <c r="L59" s="101">
        <v>-59.000000000000043</v>
      </c>
    </row>
    <row r="60" spans="5:12" x14ac:dyDescent="0.4">
      <c r="K60" s="38">
        <v>58</v>
      </c>
      <c r="L60" s="101">
        <v>-62.100000000000044</v>
      </c>
    </row>
    <row r="61" spans="5:12" x14ac:dyDescent="0.4">
      <c r="K61" s="38">
        <v>59</v>
      </c>
      <c r="L61" s="101">
        <v>-56.700000000000045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C8EA-9993-4250-A637-6F17BAA75CF6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26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0.87804878048780488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-3515.3846153846152</v>
      </c>
      <c r="P2" s="120">
        <v>26</v>
      </c>
      <c r="Q2" s="104">
        <v>-91400</v>
      </c>
    </row>
    <row r="3" spans="1:17" x14ac:dyDescent="0.4">
      <c r="A3" s="55" t="s">
        <v>8</v>
      </c>
      <c r="B3" s="150">
        <v>212</v>
      </c>
      <c r="C3" s="151"/>
      <c r="E3" s="63" t="s">
        <v>65</v>
      </c>
      <c r="F3" s="60" t="s">
        <v>21</v>
      </c>
      <c r="G3" s="47">
        <v>25</v>
      </c>
      <c r="H3" s="135">
        <f>IF(B$17=0,0,G3/B$17)</f>
        <v>0.6097560975609756</v>
      </c>
      <c r="I3" s="96">
        <v>1</v>
      </c>
      <c r="K3" s="38">
        <v>1</v>
      </c>
      <c r="L3" s="101">
        <v>-40.4</v>
      </c>
      <c r="N3" s="117" t="s">
        <v>133</v>
      </c>
      <c r="O3" s="124">
        <f t="shared" si="0"/>
        <v>-4453.8461538461543</v>
      </c>
      <c r="P3" s="121">
        <v>26</v>
      </c>
      <c r="Q3" s="105">
        <v>-115800</v>
      </c>
    </row>
    <row r="4" spans="1:17" x14ac:dyDescent="0.4">
      <c r="A4" s="55" t="s">
        <v>6</v>
      </c>
      <c r="B4" s="152">
        <v>-818.49999999999989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0.41463414634146339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-3691.304347826087</v>
      </c>
      <c r="P4" s="121">
        <v>23</v>
      </c>
      <c r="Q4" s="105">
        <v>-84900</v>
      </c>
    </row>
    <row r="5" spans="1:17" x14ac:dyDescent="0.4">
      <c r="A5" s="55" t="s">
        <v>7</v>
      </c>
      <c r="B5" s="154">
        <f>IF(B$2=0,0,B$4/B$2)</f>
        <v>-31.480769230769226</v>
      </c>
      <c r="C5" s="155"/>
      <c r="E5" s="63" t="s">
        <v>68</v>
      </c>
      <c r="F5" s="60" t="s">
        <v>24</v>
      </c>
      <c r="G5" s="47">
        <v>15</v>
      </c>
      <c r="H5" s="135">
        <f>IF(B$17=0,0,G5/B$17)</f>
        <v>0.36585365853658536</v>
      </c>
      <c r="I5" s="96">
        <v>3</v>
      </c>
      <c r="K5" s="38">
        <v>3</v>
      </c>
      <c r="L5" s="101">
        <v>-23.099999999999998</v>
      </c>
      <c r="N5" s="117" t="s">
        <v>135</v>
      </c>
      <c r="O5" s="124">
        <f t="shared" si="0"/>
        <v>-7305</v>
      </c>
      <c r="P5" s="121">
        <v>20</v>
      </c>
      <c r="Q5" s="105">
        <v>-146100</v>
      </c>
    </row>
    <row r="6" spans="1:17" x14ac:dyDescent="0.4">
      <c r="A6" s="55" t="s">
        <v>1</v>
      </c>
      <c r="B6" s="144">
        <f>IF(B$2=0,0,(B$7*1+B$8*2+B$9*3)/B$2)</f>
        <v>2.5384615384615383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0.34146341463414637</v>
      </c>
      <c r="I6" s="96">
        <v>8</v>
      </c>
      <c r="K6" s="38">
        <v>4</v>
      </c>
      <c r="L6" s="101">
        <v>-31.4</v>
      </c>
      <c r="N6" s="117" t="s">
        <v>136</v>
      </c>
      <c r="O6" s="124">
        <f t="shared" si="0"/>
        <v>-2405.5555555555557</v>
      </c>
      <c r="P6" s="121">
        <v>18</v>
      </c>
      <c r="Q6" s="105">
        <v>-43300</v>
      </c>
    </row>
    <row r="7" spans="1:17" x14ac:dyDescent="0.4">
      <c r="A7" s="55" t="s">
        <v>2</v>
      </c>
      <c r="B7" s="47">
        <v>3</v>
      </c>
      <c r="C7" s="39">
        <f>IF(B$2=0,0,B7/B$2)</f>
        <v>0.11538461538461539</v>
      </c>
      <c r="E7" s="63" t="s">
        <v>73</v>
      </c>
      <c r="F7" s="60" t="s">
        <v>28</v>
      </c>
      <c r="G7" s="47">
        <v>12</v>
      </c>
      <c r="H7" s="135">
        <f>IF(B$17=0,0,G7/B$17)</f>
        <v>0.29268292682926828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-2116.6666666666665</v>
      </c>
      <c r="P7" s="122">
        <v>18</v>
      </c>
      <c r="Q7" s="106">
        <v>-38100</v>
      </c>
    </row>
    <row r="8" spans="1:17" x14ac:dyDescent="0.4">
      <c r="A8" s="55" t="s">
        <v>3</v>
      </c>
      <c r="B8" s="47">
        <v>6</v>
      </c>
      <c r="C8" s="39">
        <f>IF(B$2=0,0,B8/B$2)</f>
        <v>0.23076923076923078</v>
      </c>
      <c r="E8" s="63" t="s">
        <v>71</v>
      </c>
      <c r="F8" s="60" t="s">
        <v>26</v>
      </c>
      <c r="G8" s="47">
        <v>9</v>
      </c>
      <c r="H8" s="135">
        <f>IF(B$17=0,0,G8/B$17)</f>
        <v>0.21951219512195122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17</v>
      </c>
      <c r="C9" s="40">
        <f t="shared" ref="C9" si="1">IF(B$2=0,0,B9/B$2)</f>
        <v>0.65384615384615385</v>
      </c>
      <c r="E9" s="63" t="s">
        <v>70</v>
      </c>
      <c r="F9" s="60" t="s">
        <v>25</v>
      </c>
      <c r="G9" s="47">
        <v>8</v>
      </c>
      <c r="H9" s="135">
        <f>IF(B$17=0,0,G9/B$17)</f>
        <v>0.1951219512195122</v>
      </c>
      <c r="I9" s="96">
        <v>5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0.26923076923076922</v>
      </c>
      <c r="E10" s="63" t="s">
        <v>72</v>
      </c>
      <c r="F10" s="60" t="s">
        <v>27</v>
      </c>
      <c r="G10" s="47">
        <v>5</v>
      </c>
      <c r="H10" s="135">
        <f>IF(B$17=0,0,G10/B$17)</f>
        <v>0.12195121951219512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-29.977777777777774</v>
      </c>
      <c r="P10" s="120">
        <v>9</v>
      </c>
      <c r="Q10" s="108">
        <v>-269.79999999999995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0.12195121951219512</v>
      </c>
      <c r="I11" s="96">
        <v>8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3.8461538461538464E-2</v>
      </c>
      <c r="E12" s="63" t="s">
        <v>66</v>
      </c>
      <c r="F12" s="60" t="s">
        <v>22</v>
      </c>
      <c r="G12" s="47">
        <v>4</v>
      </c>
      <c r="H12" s="135">
        <f>IF(B$17=0,0,G12/B$17)</f>
        <v>9.7560975609756101E-2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-33.971428571428568</v>
      </c>
      <c r="P12" s="122">
        <v>7</v>
      </c>
      <c r="Q12" s="110">
        <v>-237.79999999999998</v>
      </c>
    </row>
    <row r="13" spans="1:17" x14ac:dyDescent="0.4">
      <c r="A13" s="58" t="s">
        <v>122</v>
      </c>
      <c r="B13" s="50">
        <v>52</v>
      </c>
      <c r="C13" s="44">
        <f>IF(B$3=0,0,B13/B$3)</f>
        <v>0.24528301886792453</v>
      </c>
      <c r="E13" s="63" t="s">
        <v>87</v>
      </c>
      <c r="F13" s="60" t="s">
        <v>42</v>
      </c>
      <c r="G13" s="47">
        <v>2</v>
      </c>
      <c r="H13" s="135">
        <f>IF(B$17=0,0,G13/B$17)</f>
        <v>4.878048780487805E-2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26</v>
      </c>
      <c r="C14" s="39">
        <f>IF(B$3=0,0,B14/B$3)</f>
        <v>0.12264150943396226</v>
      </c>
      <c r="E14" s="63" t="s">
        <v>79</v>
      </c>
      <c r="F14" s="60" t="s">
        <v>34</v>
      </c>
      <c r="G14" s="47">
        <v>1</v>
      </c>
      <c r="H14" s="135">
        <f>IF(B$17=0,0,G14/B$17)</f>
        <v>2.4390243902439025E-2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26</v>
      </c>
      <c r="C15" s="37">
        <f>IF(B$13=0,0,B15/B$13)</f>
        <v>0.5</v>
      </c>
      <c r="E15" s="63" t="s">
        <v>84</v>
      </c>
      <c r="F15" s="60" t="s">
        <v>39</v>
      </c>
      <c r="G15" s="47">
        <v>1</v>
      </c>
      <c r="H15" s="135">
        <f>IF(B$17=0,0,G15/B$17)</f>
        <v>2.4390243902439025E-2</v>
      </c>
      <c r="I15" s="96">
        <v>9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0.15384615384615385</v>
      </c>
      <c r="E16" s="63" t="s">
        <v>89</v>
      </c>
      <c r="F16" s="60" t="s">
        <v>44</v>
      </c>
      <c r="G16" s="47">
        <v>1</v>
      </c>
      <c r="H16" s="135">
        <f>IF(B$17=0,0,G16/B$17)</f>
        <v>2.4390243902439025E-2</v>
      </c>
      <c r="I16" s="96">
        <v>1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0.19339622641509435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-424.5</v>
      </c>
      <c r="N17" s="117" t="s">
        <v>128</v>
      </c>
      <c r="O17" s="127">
        <f>IF(P17=0,0,Q17/P17)</f>
        <v>-23.638888888888886</v>
      </c>
      <c r="P17" s="121">
        <v>18</v>
      </c>
      <c r="Q17" s="109">
        <v>-425.49999999999994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-472</v>
      </c>
      <c r="N18" s="117" t="s">
        <v>127</v>
      </c>
      <c r="O18" s="127">
        <f>IF(P18=0,0,Q18/P18)</f>
        <v>-62.058823529411775</v>
      </c>
      <c r="P18" s="121">
        <v>17</v>
      </c>
      <c r="Q18" s="109">
        <v>-1055.0000000000002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48</v>
      </c>
      <c r="C20" s="39">
        <f>IF(B$3=0,0,B20/B$3)</f>
        <v>0.22641509433962265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7680.4878048780483</v>
      </c>
      <c r="C23" s="41">
        <v>314900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-10462.5</v>
      </c>
      <c r="C24" s="45">
        <v>-502200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-737.19999999999993</v>
      </c>
    </row>
    <row r="26" spans="1:17" x14ac:dyDescent="0.4">
      <c r="A26" s="58" t="s">
        <v>152</v>
      </c>
      <c r="B26" s="140">
        <v>52200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  <c r="K26" s="38">
        <v>24</v>
      </c>
      <c r="L26" s="101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4.7169811320754715E-3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-783.69999999999993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-818.49999999999989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A9C6-E307-4894-83D9-5F965A8C62D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3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5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4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3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0BAD-35D5-4ACF-AC09-63ACD21DDA2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23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-347.82608695652175</v>
      </c>
      <c r="P2" s="120">
        <v>23</v>
      </c>
      <c r="Q2" s="104">
        <v>-8000</v>
      </c>
    </row>
    <row r="3" spans="1:17" x14ac:dyDescent="0.4">
      <c r="A3" s="55" t="s">
        <v>8</v>
      </c>
      <c r="B3" s="150">
        <v>189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0"/>
        <v>1504.3478260869565</v>
      </c>
      <c r="P3" s="121">
        <v>23</v>
      </c>
      <c r="Q3" s="105">
        <v>34600</v>
      </c>
    </row>
    <row r="4" spans="1:17" x14ac:dyDescent="0.4">
      <c r="A4" s="55" t="s">
        <v>6</v>
      </c>
      <c r="B4" s="152">
        <v>-5.3999999999999986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147.36842105263159</v>
      </c>
      <c r="P4" s="121">
        <v>19</v>
      </c>
      <c r="Q4" s="105">
        <v>2800</v>
      </c>
    </row>
    <row r="5" spans="1:17" x14ac:dyDescent="0.4">
      <c r="A5" s="55" t="s">
        <v>7</v>
      </c>
      <c r="B5" s="154">
        <f>IF(B$2=0,0,B$4/B$2)</f>
        <v>-0.23478260869565212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10</v>
      </c>
      <c r="K5" s="38">
        <v>3</v>
      </c>
      <c r="L5" s="101">
        <v>1.7999999999999989</v>
      </c>
      <c r="N5" s="117" t="s">
        <v>135</v>
      </c>
      <c r="O5" s="124">
        <f t="shared" si="0"/>
        <v>1447.0588235294117</v>
      </c>
      <c r="P5" s="121">
        <v>17</v>
      </c>
      <c r="Q5" s="105">
        <v>24600</v>
      </c>
    </row>
    <row r="6" spans="1:17" x14ac:dyDescent="0.4">
      <c r="A6" s="55" t="s">
        <v>1</v>
      </c>
      <c r="B6" s="144">
        <f>IF(B$2=0,0,(B$7*1+B$8*2+B$9*3)/B$2)</f>
        <v>2.0434782608695654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-4852.9411764705883</v>
      </c>
      <c r="P6" s="121">
        <v>17</v>
      </c>
      <c r="Q6" s="105">
        <v>-82500</v>
      </c>
    </row>
    <row r="7" spans="1:17" x14ac:dyDescent="0.4">
      <c r="A7" s="55" t="s">
        <v>2</v>
      </c>
      <c r="B7" s="47">
        <v>7</v>
      </c>
      <c r="C7" s="39">
        <f>IF(B$2=0,0,B7/B$2)</f>
        <v>0.30434782608695654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0.34782608695652173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8</v>
      </c>
      <c r="C9" s="40">
        <f t="shared" ref="C9" si="1">IF(B$2=0,0,B9/B$2)</f>
        <v>0.34782608695652173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8.6956521739130432E-2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-18.025000000000002</v>
      </c>
      <c r="P10" s="120">
        <v>8</v>
      </c>
      <c r="Q10" s="108">
        <v>-144.20000000000002</v>
      </c>
    </row>
    <row r="11" spans="1:17" x14ac:dyDescent="0.4">
      <c r="A11" s="56" t="s">
        <v>140</v>
      </c>
      <c r="B11" s="48">
        <v>2</v>
      </c>
      <c r="C11" s="40">
        <f>IF(B$2=0,0,B11/B$2)</f>
        <v>8.6956521739130432E-2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4.3478260869565216E-2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43</v>
      </c>
      <c r="C13" s="44">
        <f>IF(B$3=0,0,B13/B$3)</f>
        <v>0.2275132275132275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65</v>
      </c>
      <c r="C14" s="39">
        <f>IF(B$3=0,0,B14/B$3)</f>
        <v>0.3439153439153439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0.58139534883720934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0.41538461538461541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0.33333333333333331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6</v>
      </c>
      <c r="K18" s="38">
        <v>16</v>
      </c>
      <c r="L18" s="101">
        <v>-87.6</v>
      </c>
      <c r="N18" s="117" t="s">
        <v>174</v>
      </c>
      <c r="O18" s="127">
        <f>IF(P18=0,0,Q18/P18)</f>
        <v>0.80000000000000249</v>
      </c>
      <c r="P18" s="121">
        <v>4</v>
      </c>
      <c r="Q18" s="109">
        <v>3.2000000000000099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5</v>
      </c>
      <c r="K19" s="38">
        <v>17</v>
      </c>
      <c r="L19" s="101">
        <v>-55.099999999999994</v>
      </c>
      <c r="N19" s="117" t="s">
        <v>128</v>
      </c>
      <c r="O19" s="127">
        <f>IF(P19=0,0,Q19/P19)</f>
        <v>-0.6230769230769263</v>
      </c>
      <c r="P19" s="121">
        <v>13</v>
      </c>
      <c r="Q19" s="109">
        <v>-8.1000000000000423</v>
      </c>
    </row>
    <row r="20" spans="1:17" x14ac:dyDescent="0.4">
      <c r="A20" s="55" t="s">
        <v>13</v>
      </c>
      <c r="B20" s="47">
        <v>27</v>
      </c>
      <c r="C20" s="39">
        <f>IF(B$3=0,0,B20/B$3)</f>
        <v>0.14285714285714285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-46.736363636363642</v>
      </c>
      <c r="P21" s="121">
        <v>11</v>
      </c>
      <c r="Q21" s="109">
        <v>-514.1</v>
      </c>
    </row>
    <row r="22" spans="1:17" x14ac:dyDescent="0.4">
      <c r="A22" s="55" t="s">
        <v>195</v>
      </c>
      <c r="B22" s="47">
        <v>23</v>
      </c>
      <c r="C22" s="137">
        <v>1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-8785.1851851851843</v>
      </c>
      <c r="C24" s="45">
        <v>-237200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-5.3999999999999986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E473E-AA49-4DB3-91F4-2B648071474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21</v>
      </c>
      <c r="C2" s="149"/>
      <c r="E2" s="62" t="s">
        <v>67</v>
      </c>
      <c r="F2" s="59" t="s">
        <v>23</v>
      </c>
      <c r="G2" s="46">
        <v>45</v>
      </c>
      <c r="H2" s="134">
        <f>IF(B$17=0,0,G2/B$17)</f>
        <v>0.8035714285714286</v>
      </c>
      <c r="I2" s="95">
        <v>4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-4204.7619047619046</v>
      </c>
      <c r="P2" s="120">
        <v>21</v>
      </c>
      <c r="Q2" s="104">
        <v>-88300</v>
      </c>
    </row>
    <row r="3" spans="1:17" x14ac:dyDescent="0.4">
      <c r="A3" s="55" t="s">
        <v>8</v>
      </c>
      <c r="B3" s="150">
        <v>194</v>
      </c>
      <c r="C3" s="151"/>
      <c r="E3" s="63" t="s">
        <v>73</v>
      </c>
      <c r="F3" s="60" t="s">
        <v>28</v>
      </c>
      <c r="G3" s="47">
        <v>28</v>
      </c>
      <c r="H3" s="135">
        <f>IF(B$17=0,0,G3/B$17)</f>
        <v>0.5</v>
      </c>
      <c r="I3" s="96">
        <v>8</v>
      </c>
      <c r="K3" s="38">
        <v>1</v>
      </c>
      <c r="L3" s="101">
        <v>-82.6</v>
      </c>
      <c r="N3" s="117" t="s">
        <v>133</v>
      </c>
      <c r="O3" s="124">
        <f t="shared" si="0"/>
        <v>-642.85714285714289</v>
      </c>
      <c r="P3" s="121">
        <v>21</v>
      </c>
      <c r="Q3" s="105">
        <v>-13500</v>
      </c>
    </row>
    <row r="4" spans="1:17" x14ac:dyDescent="0.4">
      <c r="A4" s="55" t="s">
        <v>6</v>
      </c>
      <c r="B4" s="152">
        <v>-203.79999999999993</v>
      </c>
      <c r="C4" s="153"/>
      <c r="E4" s="63" t="s">
        <v>65</v>
      </c>
      <c r="F4" s="60" t="s">
        <v>21</v>
      </c>
      <c r="G4" s="47">
        <v>22</v>
      </c>
      <c r="H4" s="135">
        <f>IF(B$17=0,0,G4/B$17)</f>
        <v>0.39285714285714285</v>
      </c>
      <c r="I4" s="96">
        <v>9</v>
      </c>
      <c r="K4" s="38">
        <v>2</v>
      </c>
      <c r="L4" s="101">
        <v>-122.3</v>
      </c>
      <c r="N4" s="117" t="s">
        <v>134</v>
      </c>
      <c r="O4" s="124">
        <f t="shared" si="0"/>
        <v>-889.47368421052636</v>
      </c>
      <c r="P4" s="121">
        <v>19</v>
      </c>
      <c r="Q4" s="105">
        <v>-16900</v>
      </c>
    </row>
    <row r="5" spans="1:17" x14ac:dyDescent="0.4">
      <c r="A5" s="55" t="s">
        <v>7</v>
      </c>
      <c r="B5" s="154">
        <f>IF(B$2=0,0,B$4/B$2)</f>
        <v>-9.7047619047619005</v>
      </c>
      <c r="C5" s="155"/>
      <c r="E5" s="63" t="s">
        <v>69</v>
      </c>
      <c r="F5" s="60" t="s">
        <v>12</v>
      </c>
      <c r="G5" s="47">
        <v>21</v>
      </c>
      <c r="H5" s="135">
        <f>IF(B$17=0,0,G5/B$17)</f>
        <v>0.375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-3194.4444444444443</v>
      </c>
      <c r="P5" s="121">
        <v>18</v>
      </c>
      <c r="Q5" s="105">
        <v>-57500</v>
      </c>
    </row>
    <row r="6" spans="1:17" x14ac:dyDescent="0.4">
      <c r="A6" s="55" t="s">
        <v>1</v>
      </c>
      <c r="B6" s="144">
        <f>IF(B$2=0,0,(B$7*1+B$8*2+B$9*3)/B$2)</f>
        <v>2.0952380952380953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0.25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1164.7058823529412</v>
      </c>
      <c r="P6" s="121">
        <v>17</v>
      </c>
      <c r="Q6" s="105">
        <v>19800</v>
      </c>
    </row>
    <row r="7" spans="1:17" x14ac:dyDescent="0.4">
      <c r="A7" s="55" t="s">
        <v>2</v>
      </c>
      <c r="B7" s="47">
        <v>5</v>
      </c>
      <c r="C7" s="39">
        <f>IF(B$2=0,0,B7/B$2)</f>
        <v>0.23809523809523808</v>
      </c>
      <c r="E7" s="63" t="s">
        <v>68</v>
      </c>
      <c r="F7" s="60" t="s">
        <v>24</v>
      </c>
      <c r="G7" s="47">
        <v>7</v>
      </c>
      <c r="H7" s="135">
        <f>IF(B$17=0,0,G7/B$17)</f>
        <v>0.125</v>
      </c>
      <c r="I7" s="96">
        <v>10</v>
      </c>
      <c r="K7" s="38">
        <v>5</v>
      </c>
      <c r="L7" s="101">
        <v>-184.89999999999998</v>
      </c>
      <c r="N7" s="118" t="s">
        <v>137</v>
      </c>
      <c r="O7" s="125">
        <f t="shared" si="0"/>
        <v>-462.5</v>
      </c>
      <c r="P7" s="122">
        <v>16</v>
      </c>
      <c r="Q7" s="106">
        <v>-7400</v>
      </c>
    </row>
    <row r="8" spans="1:17" x14ac:dyDescent="0.4">
      <c r="A8" s="55" t="s">
        <v>3</v>
      </c>
      <c r="B8" s="47">
        <v>9</v>
      </c>
      <c r="C8" s="39">
        <f>IF(B$2=0,0,B8/B$2)</f>
        <v>0.42857142857142855</v>
      </c>
      <c r="E8" s="63" t="s">
        <v>71</v>
      </c>
      <c r="F8" s="60" t="s">
        <v>26</v>
      </c>
      <c r="G8" s="47">
        <v>7</v>
      </c>
      <c r="H8" s="135">
        <f>IF(B$17=0,0,G8/B$17)</f>
        <v>0.125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</v>
      </c>
      <c r="H9" s="135">
        <f>IF(B$17=0,0,G9/B$17)</f>
        <v>0.125</v>
      </c>
      <c r="I9" s="96">
        <v>7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9.5238095238095233E-2</v>
      </c>
      <c r="E10" s="63" t="s">
        <v>70</v>
      </c>
      <c r="F10" s="60" t="s">
        <v>25</v>
      </c>
      <c r="G10" s="47">
        <v>5</v>
      </c>
      <c r="H10" s="135">
        <f>IF(B$17=0,0,G10/B$17)</f>
        <v>8.9285714285714288E-2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4.7619047619047616E-2</v>
      </c>
      <c r="E11" s="63" t="s">
        <v>72</v>
      </c>
      <c r="F11" s="60" t="s">
        <v>27</v>
      </c>
      <c r="G11" s="47">
        <v>4</v>
      </c>
      <c r="H11" s="135">
        <f>IF(B$17=0,0,G11/B$17)</f>
        <v>7.1428571428571425E-2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-5.8083333333333327</v>
      </c>
      <c r="P11" s="121">
        <v>12</v>
      </c>
      <c r="Q11" s="109">
        <v>-69.699999999999989</v>
      </c>
    </row>
    <row r="12" spans="1:17" x14ac:dyDescent="0.4">
      <c r="A12" s="57" t="s">
        <v>160</v>
      </c>
      <c r="B12" s="49">
        <v>1</v>
      </c>
      <c r="C12" s="42">
        <f>IF(B$2=0,0,B12/B$2)</f>
        <v>4.7619047619047616E-2</v>
      </c>
      <c r="E12" s="63" t="s">
        <v>84</v>
      </c>
      <c r="F12" s="60" t="s">
        <v>39</v>
      </c>
      <c r="G12" s="47">
        <v>2</v>
      </c>
      <c r="H12" s="135">
        <f>IF(B$17=0,0,G12/B$17)</f>
        <v>3.5714285714285712E-2</v>
      </c>
      <c r="I12" s="96">
        <v>5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41</v>
      </c>
      <c r="C13" s="44">
        <f>IF(B$3=0,0,B13/B$3)</f>
        <v>0.21134020618556701</v>
      </c>
      <c r="E13" s="63" t="s">
        <v>87</v>
      </c>
      <c r="F13" s="60" t="s">
        <v>42</v>
      </c>
      <c r="G13" s="47">
        <v>2</v>
      </c>
      <c r="H13" s="135">
        <f>IF(B$17=0,0,G13/B$17)</f>
        <v>3.5714285714285712E-2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</v>
      </c>
      <c r="C14" s="39">
        <f>IF(B$3=0,0,B14/B$3)</f>
        <v>0.22164948453608246</v>
      </c>
      <c r="E14" s="63" t="s">
        <v>66</v>
      </c>
      <c r="F14" s="60" t="s">
        <v>22</v>
      </c>
      <c r="G14" s="47">
        <v>1</v>
      </c>
      <c r="H14" s="135">
        <f>IF(B$17=0,0,G14/B$17)</f>
        <v>1.7857142857142856E-2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22</v>
      </c>
      <c r="C15" s="37">
        <f>IF(B$13=0,0,B15/B$13)</f>
        <v>0.53658536585365857</v>
      </c>
      <c r="E15" s="63" t="s">
        <v>74</v>
      </c>
      <c r="F15" s="60" t="s">
        <v>29</v>
      </c>
      <c r="G15" s="47">
        <v>1</v>
      </c>
      <c r="H15" s="135">
        <f>IF(B$17=0,0,G15/B$17)</f>
        <v>1.7857142857142856E-2</v>
      </c>
      <c r="I15" s="96">
        <v>1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15</v>
      </c>
      <c r="C16" s="37">
        <f>IF(B$14=0,0,B16/B$14)</f>
        <v>0.34883720930232559</v>
      </c>
      <c r="E16" s="63" t="s">
        <v>80</v>
      </c>
      <c r="F16" s="60" t="s">
        <v>35</v>
      </c>
      <c r="G16" s="47">
        <v>1</v>
      </c>
      <c r="H16" s="135">
        <f>IF(B$17=0,0,G16/B$17)</f>
        <v>1.7857142857142856E-2</v>
      </c>
      <c r="I16" s="96">
        <v>2</v>
      </c>
      <c r="K16" s="38">
        <v>14</v>
      </c>
      <c r="L16" s="101">
        <v>-269.99999999999994</v>
      </c>
      <c r="N16" s="117" t="s">
        <v>173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0.28865979381443296</v>
      </c>
      <c r="E17" s="63" t="s">
        <v>92</v>
      </c>
      <c r="F17" s="60" t="s">
        <v>47</v>
      </c>
      <c r="G17" s="47">
        <v>1</v>
      </c>
      <c r="H17" s="135">
        <f>IF(B$17=0,0,G17/B$17)</f>
        <v>1.7857142857142856E-2</v>
      </c>
      <c r="I17" s="96">
        <v>4</v>
      </c>
      <c r="K17" s="38">
        <v>15</v>
      </c>
      <c r="L17" s="101">
        <v>-264.59999999999997</v>
      </c>
      <c r="N17" s="117" t="s">
        <v>128</v>
      </c>
      <c r="O17" s="127">
        <f>IF(P17=0,0,Q17/P17)</f>
        <v>-1.9333333333333311</v>
      </c>
      <c r="P17" s="121">
        <v>12</v>
      </c>
      <c r="Q17" s="109">
        <v>-23.199999999999974</v>
      </c>
    </row>
    <row r="18" spans="1:17" x14ac:dyDescent="0.4">
      <c r="A18" s="55" t="s">
        <v>12</v>
      </c>
      <c r="B18" s="47">
        <v>28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28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41</v>
      </c>
      <c r="C20" s="39">
        <f>IF(B$3=0,0,B20/B$3)</f>
        <v>0.21134020618556701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127</v>
      </c>
      <c r="O21" s="127">
        <f>IF(P21=0,0,Q21/P21)</f>
        <v>-47.655555555555544</v>
      </c>
      <c r="P21" s="121">
        <v>9</v>
      </c>
      <c r="Q21" s="109">
        <v>-428.89999999999992</v>
      </c>
    </row>
    <row r="22" spans="1:17" x14ac:dyDescent="0.4">
      <c r="A22" s="55" t="s">
        <v>195</v>
      </c>
      <c r="B22" s="47">
        <v>14</v>
      </c>
      <c r="C22" s="137">
        <v>6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7</v>
      </c>
      <c r="K22" s="38">
        <v>20</v>
      </c>
      <c r="L22" s="101">
        <v>-182.79999999999993</v>
      </c>
    </row>
    <row r="23" spans="1:17" x14ac:dyDescent="0.4">
      <c r="A23" s="55" t="s">
        <v>5</v>
      </c>
      <c r="B23" s="51">
        <f>IF(B$17=0,0,C23/B$17)</f>
        <v>6416.0714285714284</v>
      </c>
      <c r="C23" s="41">
        <v>359300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  <c r="K23" s="38">
        <v>21</v>
      </c>
      <c r="L23" s="101">
        <v>-203.79999999999993</v>
      </c>
    </row>
    <row r="24" spans="1:17" x14ac:dyDescent="0.4">
      <c r="A24" s="57" t="s">
        <v>14</v>
      </c>
      <c r="B24" s="52">
        <f>IF(B$20=0,0,C24/B$20)</f>
        <v>-7951.2195121951218</v>
      </c>
      <c r="C24" s="45">
        <v>-326000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5.1546391752577319E-3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8BCE-B841-4AA3-9BE3-9B2F1BC2BE06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11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7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5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9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10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8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5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5DBA-3880-482B-ADFF-FCEEC9E132B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20DAF-3F57-4B0A-B55A-B068C844A9E6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7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5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51431-25E5-46B3-BC0B-D2ED73BE30AC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5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5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3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5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FC12-2087-48C3-8952-BB6D13BE6ECD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CCFC-BB77-4114-8D06-D3C2F87643C2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B0EA2-6BE8-4D15-9CA5-D3144222151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42A8-1CD1-4531-A58A-3F37AC2E2237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5B5C-2691-4F83-AD32-CE56B4C7AB60}">
  <sheetPr codeName="Sheet18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9DA5-ED08-4FBB-875B-8E50A4481820}">
  <sheetPr codeName="Sheet16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3D3F-2AE6-4FC5-8E88-6003B35F4FA9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2951-9791-482E-B732-24BA5485412E}">
  <sheetPr codeName="Sheet12"/>
  <dimension ref="A1:Q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ACF4-7A52-4AAB-9576-D86E8F14778F}">
  <sheetPr codeName="Sheet10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0D6F3-98EF-454B-B407-4100461C799C}">
  <sheetPr codeName="Sheet8"/>
  <dimension ref="A1:Q6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B1AF-CC24-4EEF-B56E-310AFEC8EB0E}">
  <sheetPr codeName="Sheet6"/>
  <dimension ref="A1:Q8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</vt:vector>
  </HeadingPairs>
  <TitlesOfParts>
    <vt:vector size="4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2019-04-20T16:17:45Z</dcterms:modified>
</cp:coreProperties>
</file>