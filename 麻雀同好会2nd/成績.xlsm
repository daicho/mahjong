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8A82A837-2095-4DEC-A193-C2E13D548875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79" r:id="rId6"/>
    <sheet name="だいち" sheetId="5481" r:id="rId7"/>
    <sheet name="りくと" sheetId="5483" r:id="rId8"/>
    <sheet name="ただ" sheetId="5485" r:id="rId9"/>
    <sheet name="れんたろう" sheetId="5487" r:id="rId10"/>
    <sheet name="たかの" sheetId="5489" r:id="rId11"/>
    <sheet name="ぱぱ" sheetId="5491" r:id="rId12"/>
    <sheet name="まっつん" sheetId="5493" r:id="rId13"/>
    <sheet name="あさひ" sheetId="5495" r:id="rId14"/>
    <sheet name="いっしー" sheetId="5497" r:id="rId15"/>
    <sheet name="ほたに" sheetId="5499" r:id="rId16"/>
    <sheet name="かわたつ" sheetId="5501" r:id="rId17"/>
    <sheet name="やがさき" sheetId="5503" r:id="rId18"/>
    <sheet name="やがさき2" sheetId="5504" state="hidden" r:id="rId19"/>
    <sheet name="かわたつ2" sheetId="5502" state="hidden" r:id="rId20"/>
    <sheet name="ほたに2" sheetId="5500" state="hidden" r:id="rId21"/>
    <sheet name="いっしー2" sheetId="5498" state="hidden" r:id="rId22"/>
    <sheet name="あさひ2" sheetId="5496" state="hidden" r:id="rId23"/>
    <sheet name="まっつん2" sheetId="5494" state="hidden" r:id="rId24"/>
    <sheet name="ぱぱ2" sheetId="5492" state="hidden" r:id="rId25"/>
    <sheet name="たかの2" sheetId="5490" state="hidden" r:id="rId26"/>
    <sheet name="れんたろう2" sheetId="5488" state="hidden" r:id="rId27"/>
    <sheet name="ただ2" sheetId="5486" state="hidden" r:id="rId28"/>
    <sheet name="りくと2" sheetId="5484" state="hidden" r:id="rId29"/>
    <sheet name="だいち2" sheetId="5482" state="hidden" r:id="rId30"/>
    <sheet name="全体2" sheetId="5480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81" l="1"/>
  <c r="O15" i="5503"/>
  <c r="O15" i="5485" l="1"/>
  <c r="O16" i="5489"/>
  <c r="O16" i="5479"/>
  <c r="O17" i="5503"/>
  <c r="O16" i="5503"/>
  <c r="C27" i="5503"/>
  <c r="B24" i="5503"/>
  <c r="C20" i="5503"/>
  <c r="B17" i="5503"/>
  <c r="H52" i="5503" s="1"/>
  <c r="C16" i="5503"/>
  <c r="C15" i="5503"/>
  <c r="C14" i="5503"/>
  <c r="C13" i="5503"/>
  <c r="O12" i="5503"/>
  <c r="C12" i="5503"/>
  <c r="O11" i="5503"/>
  <c r="C11" i="5503"/>
  <c r="O10" i="5503"/>
  <c r="C10" i="5503"/>
  <c r="C9" i="5503"/>
  <c r="C8" i="5503"/>
  <c r="O7" i="5503"/>
  <c r="C7" i="5503"/>
  <c r="O6" i="5503"/>
  <c r="B6" i="5503"/>
  <c r="O5" i="5503"/>
  <c r="B5" i="5503"/>
  <c r="O4" i="5503"/>
  <c r="O3" i="5503"/>
  <c r="O2" i="5503"/>
  <c r="O15" i="5501"/>
  <c r="O16" i="5501"/>
  <c r="C27" i="5501"/>
  <c r="B24" i="5501"/>
  <c r="C20" i="5501"/>
  <c r="B17" i="5501"/>
  <c r="H51" i="5501" s="1"/>
  <c r="C16" i="5501"/>
  <c r="C15" i="5501"/>
  <c r="H14" i="5501"/>
  <c r="C14" i="5501"/>
  <c r="C13" i="5501"/>
  <c r="O12" i="5501"/>
  <c r="H12" i="5501"/>
  <c r="C12" i="5501"/>
  <c r="O11" i="5501"/>
  <c r="H11" i="5501"/>
  <c r="C11" i="5501"/>
  <c r="O10" i="5501"/>
  <c r="C10" i="5501"/>
  <c r="H9" i="5501"/>
  <c r="C9" i="5501"/>
  <c r="C8" i="5501"/>
  <c r="O7" i="5501"/>
  <c r="C7" i="5501"/>
  <c r="O6" i="5501"/>
  <c r="H6" i="5501"/>
  <c r="B6" i="5501"/>
  <c r="O5" i="5501"/>
  <c r="H5" i="5501"/>
  <c r="B5" i="5501"/>
  <c r="O4" i="5501"/>
  <c r="H4" i="5501"/>
  <c r="O3" i="5501"/>
  <c r="H3" i="5501"/>
  <c r="O2" i="5501"/>
  <c r="H2" i="5501"/>
  <c r="O23" i="5487"/>
  <c r="O16" i="5481"/>
  <c r="O25" i="5479"/>
  <c r="H12" i="5503" l="1"/>
  <c r="H9" i="5503"/>
  <c r="H2" i="5503"/>
  <c r="H4" i="5503"/>
  <c r="H6" i="5503"/>
  <c r="H3" i="5503"/>
  <c r="H8" i="5503"/>
  <c r="H10" i="5503"/>
  <c r="C18" i="5503"/>
  <c r="H38" i="5503"/>
  <c r="H5" i="5503"/>
  <c r="H11" i="5503"/>
  <c r="H14" i="5503"/>
  <c r="H16" i="5503"/>
  <c r="C19" i="5503"/>
  <c r="H42" i="5503"/>
  <c r="H30" i="5503"/>
  <c r="H46" i="5503"/>
  <c r="H7" i="5503"/>
  <c r="H13" i="5503"/>
  <c r="H15" i="5503"/>
  <c r="C17" i="5503"/>
  <c r="H21" i="5503"/>
  <c r="H34" i="5503"/>
  <c r="H50" i="5503"/>
  <c r="H18" i="5503"/>
  <c r="H20" i="5503"/>
  <c r="H23" i="5503"/>
  <c r="H26" i="5503"/>
  <c r="H29" i="5503"/>
  <c r="H33" i="5503"/>
  <c r="H37" i="5503"/>
  <c r="H41" i="5503"/>
  <c r="H45" i="5503"/>
  <c r="H49" i="5503"/>
  <c r="H17" i="5503"/>
  <c r="H19" i="5503"/>
  <c r="H22" i="5503"/>
  <c r="H24" i="5503"/>
  <c r="H27" i="5503"/>
  <c r="H31" i="5503"/>
  <c r="H35" i="5503"/>
  <c r="H39" i="5503"/>
  <c r="H43" i="5503"/>
  <c r="H47" i="5503"/>
  <c r="H51" i="5503"/>
  <c r="B23" i="5503"/>
  <c r="H25" i="5503"/>
  <c r="H28" i="5503"/>
  <c r="H32" i="5503"/>
  <c r="H36" i="5503"/>
  <c r="H40" i="5503"/>
  <c r="H44" i="5503"/>
  <c r="H48" i="5503"/>
  <c r="H21" i="5501"/>
  <c r="H28" i="5501"/>
  <c r="H10" i="5501"/>
  <c r="C17" i="5501"/>
  <c r="B23" i="5501"/>
  <c r="H40" i="5501"/>
  <c r="H8" i="5501"/>
  <c r="H7" i="5501"/>
  <c r="H13" i="5501"/>
  <c r="H15" i="5501"/>
  <c r="C18" i="5501"/>
  <c r="H44" i="5501"/>
  <c r="H16" i="5501"/>
  <c r="C19" i="5501"/>
  <c r="H32" i="5501"/>
  <c r="H48" i="5501"/>
  <c r="H25" i="5501"/>
  <c r="H36" i="5501"/>
  <c r="H52" i="5501"/>
  <c r="H18" i="5501"/>
  <c r="H20" i="5501"/>
  <c r="H23" i="5501"/>
  <c r="H26" i="5501"/>
  <c r="H29" i="5501"/>
  <c r="H33" i="5501"/>
  <c r="H37" i="5501"/>
  <c r="H41" i="5501"/>
  <c r="H45" i="5501"/>
  <c r="H49" i="5501"/>
  <c r="H30" i="5501"/>
  <c r="H34" i="5501"/>
  <c r="H38" i="5501"/>
  <c r="H42" i="5501"/>
  <c r="H46" i="5501"/>
  <c r="H50" i="5501"/>
  <c r="H17" i="5501"/>
  <c r="H19" i="5501"/>
  <c r="H22" i="5501"/>
  <c r="H24" i="5501"/>
  <c r="H27" i="5501"/>
  <c r="H31" i="5501"/>
  <c r="H35" i="5501"/>
  <c r="H39" i="5501"/>
  <c r="H43" i="5501"/>
  <c r="H47" i="5501"/>
  <c r="O17" i="5489" l="1"/>
  <c r="O16" i="5497"/>
  <c r="O20" i="5499" l="1"/>
  <c r="O18" i="5499"/>
  <c r="O16" i="5493"/>
  <c r="O20" i="5483"/>
  <c r="O24" i="5481" l="1"/>
  <c r="O17" i="5499"/>
  <c r="O21" i="5491"/>
  <c r="O15" i="5499"/>
  <c r="O16" i="5499" l="1"/>
  <c r="O19" i="5499"/>
  <c r="C27" i="5499"/>
  <c r="B24" i="5499"/>
  <c r="C20" i="5499"/>
  <c r="B17" i="5499"/>
  <c r="H52" i="5499" s="1"/>
  <c r="C16" i="5499"/>
  <c r="C15" i="5499"/>
  <c r="C14" i="5499"/>
  <c r="C13" i="5499"/>
  <c r="O12" i="5499"/>
  <c r="C12" i="5499"/>
  <c r="O11" i="5499"/>
  <c r="C11" i="5499"/>
  <c r="O10" i="5499"/>
  <c r="C10" i="5499"/>
  <c r="C9" i="5499"/>
  <c r="C8" i="5499"/>
  <c r="O7" i="5499"/>
  <c r="C7" i="5499"/>
  <c r="O6" i="5499"/>
  <c r="B6" i="5499"/>
  <c r="O5" i="5499"/>
  <c r="B5" i="5499"/>
  <c r="O4" i="5499"/>
  <c r="O3" i="5499"/>
  <c r="O2" i="5499"/>
  <c r="O21" i="5487"/>
  <c r="O20" i="5489"/>
  <c r="O22" i="5479"/>
  <c r="H8" i="5499" l="1"/>
  <c r="H5" i="5499"/>
  <c r="C17" i="5499"/>
  <c r="H4" i="5499"/>
  <c r="H2" i="5499"/>
  <c r="H10" i="5499"/>
  <c r="H20" i="5499"/>
  <c r="H26" i="5499"/>
  <c r="H33" i="5499"/>
  <c r="H41" i="5499"/>
  <c r="H45" i="5499"/>
  <c r="H7" i="5499"/>
  <c r="H13" i="5499"/>
  <c r="H15" i="5499"/>
  <c r="C19" i="5499"/>
  <c r="H21" i="5499"/>
  <c r="H30" i="5499"/>
  <c r="H34" i="5499"/>
  <c r="H38" i="5499"/>
  <c r="H42" i="5499"/>
  <c r="H46" i="5499"/>
  <c r="H50" i="5499"/>
  <c r="H18" i="5499"/>
  <c r="H23" i="5499"/>
  <c r="H29" i="5499"/>
  <c r="H37" i="5499"/>
  <c r="H49" i="5499"/>
  <c r="H3" i="5499"/>
  <c r="H6" i="5499"/>
  <c r="H9" i="5499"/>
  <c r="H12" i="5499"/>
  <c r="H17" i="5499"/>
  <c r="H19" i="5499"/>
  <c r="H22" i="5499"/>
  <c r="H24" i="5499"/>
  <c r="H27" i="5499"/>
  <c r="H31" i="5499"/>
  <c r="H35" i="5499"/>
  <c r="H39" i="5499"/>
  <c r="H43" i="5499"/>
  <c r="H47" i="5499"/>
  <c r="H51" i="5499"/>
  <c r="H11" i="5499"/>
  <c r="H14" i="5499"/>
  <c r="H16" i="5499"/>
  <c r="C18" i="5499"/>
  <c r="B23" i="5499"/>
  <c r="H25" i="5499"/>
  <c r="H28" i="5499"/>
  <c r="H32" i="5499"/>
  <c r="H36" i="5499"/>
  <c r="H40" i="5499"/>
  <c r="H44" i="5499"/>
  <c r="H48" i="5499"/>
  <c r="O22" i="5489" l="1"/>
  <c r="O16" i="5485"/>
  <c r="O21" i="5493"/>
  <c r="O19" i="5493"/>
  <c r="O21" i="5481" l="1"/>
  <c r="O17" i="5497"/>
  <c r="O20" i="5497" l="1"/>
  <c r="O15" i="5497"/>
  <c r="O15" i="5487"/>
  <c r="O22" i="5485"/>
  <c r="O17" i="5495" l="1"/>
  <c r="O22" i="5491"/>
  <c r="O15" i="5495"/>
  <c r="O21" i="5497"/>
  <c r="O15" i="5483"/>
  <c r="O17" i="5493"/>
  <c r="O17" i="5479"/>
  <c r="O19" i="5497"/>
  <c r="O18" i="5497"/>
  <c r="C27" i="5497"/>
  <c r="B24" i="5497"/>
  <c r="C20" i="5497"/>
  <c r="B17" i="5497"/>
  <c r="H49" i="5497" s="1"/>
  <c r="C16" i="5497"/>
  <c r="C15" i="5497"/>
  <c r="C14" i="5497"/>
  <c r="C13" i="5497"/>
  <c r="O12" i="5497"/>
  <c r="C12" i="5497"/>
  <c r="O11" i="5497"/>
  <c r="C11" i="5497"/>
  <c r="O10" i="5497"/>
  <c r="C10" i="5497"/>
  <c r="C9" i="5497"/>
  <c r="C8" i="5497"/>
  <c r="O7" i="5497"/>
  <c r="C7" i="5497"/>
  <c r="O6" i="5497"/>
  <c r="B6" i="5497"/>
  <c r="O5" i="5497"/>
  <c r="B5" i="5497"/>
  <c r="O4" i="5497"/>
  <c r="O3" i="5497"/>
  <c r="O2" i="5497"/>
  <c r="O16" i="5495"/>
  <c r="O18" i="5495"/>
  <c r="C27" i="5495"/>
  <c r="B24" i="5495"/>
  <c r="C20" i="5495"/>
  <c r="B17" i="5495"/>
  <c r="H49" i="5495" s="1"/>
  <c r="C16" i="5495"/>
  <c r="C15" i="5495"/>
  <c r="C14" i="5495"/>
  <c r="C13" i="5495"/>
  <c r="O12" i="5495"/>
  <c r="C12" i="5495"/>
  <c r="O11" i="5495"/>
  <c r="C11" i="5495"/>
  <c r="O10" i="5495"/>
  <c r="C10" i="5495"/>
  <c r="C9" i="5495"/>
  <c r="H8" i="5495"/>
  <c r="C8" i="5495"/>
  <c r="O7" i="5495"/>
  <c r="C7" i="5495"/>
  <c r="O6" i="5495"/>
  <c r="B6" i="5495"/>
  <c r="O5" i="5495"/>
  <c r="B5" i="5495"/>
  <c r="O4" i="5495"/>
  <c r="O3" i="5495"/>
  <c r="O2" i="5495"/>
  <c r="O22" i="5493"/>
  <c r="O23" i="5493"/>
  <c r="O15" i="5481"/>
  <c r="O19" i="5481"/>
  <c r="O26" i="5479"/>
  <c r="H39" i="5495" l="1"/>
  <c r="H44" i="5495"/>
  <c r="H14" i="5495"/>
  <c r="H34" i="5495"/>
  <c r="H5" i="5495"/>
  <c r="C18" i="5495"/>
  <c r="H24" i="5495"/>
  <c r="H4" i="5495"/>
  <c r="H11" i="5495"/>
  <c r="H2" i="5495"/>
  <c r="H10" i="5495"/>
  <c r="H16" i="5495"/>
  <c r="H21" i="5495"/>
  <c r="H28" i="5495"/>
  <c r="H50" i="5495"/>
  <c r="H25" i="5495"/>
  <c r="H51" i="5495"/>
  <c r="C19" i="5495"/>
  <c r="H35" i="5495"/>
  <c r="C17" i="5495"/>
  <c r="H52" i="5495"/>
  <c r="H22" i="5495"/>
  <c r="H30" i="5495"/>
  <c r="H40" i="5495"/>
  <c r="H46" i="5495"/>
  <c r="H7" i="5495"/>
  <c r="H13" i="5495"/>
  <c r="H15" i="5495"/>
  <c r="H19" i="5495"/>
  <c r="B23" i="5495"/>
  <c r="H31" i="5495"/>
  <c r="H36" i="5495"/>
  <c r="H42" i="5495"/>
  <c r="H47" i="5495"/>
  <c r="H3" i="5495"/>
  <c r="H6" i="5495"/>
  <c r="H9" i="5495"/>
  <c r="H12" i="5495"/>
  <c r="H17" i="5495"/>
  <c r="H27" i="5495"/>
  <c r="H32" i="5495"/>
  <c r="H38" i="5495"/>
  <c r="H43" i="5495"/>
  <c r="H48" i="5495"/>
  <c r="H3" i="5497"/>
  <c r="H8" i="5497"/>
  <c r="H10" i="5497"/>
  <c r="H17" i="5497"/>
  <c r="H27" i="5497"/>
  <c r="H32" i="5497"/>
  <c r="H6" i="5497"/>
  <c r="H43" i="5497"/>
  <c r="H12" i="5497"/>
  <c r="H2" i="5497"/>
  <c r="H4" i="5497"/>
  <c r="H9" i="5497"/>
  <c r="H38" i="5497"/>
  <c r="H48" i="5497"/>
  <c r="H5" i="5497"/>
  <c r="H11" i="5497"/>
  <c r="H14" i="5497"/>
  <c r="H16" i="5497"/>
  <c r="C18" i="5497"/>
  <c r="H21" i="5497"/>
  <c r="H24" i="5497"/>
  <c r="H28" i="5497"/>
  <c r="H34" i="5497"/>
  <c r="H39" i="5497"/>
  <c r="H44" i="5497"/>
  <c r="H50" i="5497"/>
  <c r="C19" i="5497"/>
  <c r="H22" i="5497"/>
  <c r="H25" i="5497"/>
  <c r="H30" i="5497"/>
  <c r="H35" i="5497"/>
  <c r="H40" i="5497"/>
  <c r="H46" i="5497"/>
  <c r="H51" i="5497"/>
  <c r="H7" i="5497"/>
  <c r="H13" i="5497"/>
  <c r="H15" i="5497"/>
  <c r="C17" i="5497"/>
  <c r="H19" i="5497"/>
  <c r="B23" i="5497"/>
  <c r="H31" i="5497"/>
  <c r="H36" i="5497"/>
  <c r="H42" i="5497"/>
  <c r="H47" i="5497"/>
  <c r="H52" i="5497"/>
  <c r="H18" i="5497"/>
  <c r="H20" i="5497"/>
  <c r="H23" i="5497"/>
  <c r="H26" i="5497"/>
  <c r="H29" i="5497"/>
  <c r="H33" i="5497"/>
  <c r="H37" i="5497"/>
  <c r="H41" i="5497"/>
  <c r="H45" i="5497"/>
  <c r="H18" i="5495"/>
  <c r="H20" i="5495"/>
  <c r="H23" i="5495"/>
  <c r="H26" i="5495"/>
  <c r="H29" i="5495"/>
  <c r="H33" i="5495"/>
  <c r="H37" i="5495"/>
  <c r="H41" i="5495"/>
  <c r="H45" i="5495"/>
  <c r="O20" i="5493" l="1"/>
  <c r="O18" i="5491"/>
  <c r="O16" i="5491"/>
  <c r="O17" i="5483"/>
  <c r="O18" i="5489" l="1"/>
  <c r="O17" i="5487"/>
  <c r="O17" i="5491"/>
  <c r="O19" i="5491"/>
  <c r="O15" i="5489" l="1"/>
  <c r="O16" i="5487"/>
  <c r="O21" i="5485"/>
  <c r="O18" i="5485"/>
  <c r="O15" i="5493"/>
  <c r="O18" i="5493"/>
  <c r="C27" i="5493"/>
  <c r="B24" i="5493"/>
  <c r="C20" i="5493"/>
  <c r="B17" i="5493"/>
  <c r="H50" i="5493" s="1"/>
  <c r="C16" i="5493"/>
  <c r="C15" i="5493"/>
  <c r="C14" i="5493"/>
  <c r="C13" i="5493"/>
  <c r="O12" i="5493"/>
  <c r="C12" i="5493"/>
  <c r="O11" i="5493"/>
  <c r="C11" i="5493"/>
  <c r="O10" i="5493"/>
  <c r="C10" i="5493"/>
  <c r="C9" i="5493"/>
  <c r="C8" i="5493"/>
  <c r="O7" i="5493"/>
  <c r="C7" i="5493"/>
  <c r="O6" i="5493"/>
  <c r="B6" i="5493"/>
  <c r="O5" i="5493"/>
  <c r="B5" i="5493"/>
  <c r="O4" i="5493"/>
  <c r="O3" i="5493"/>
  <c r="O2" i="5493"/>
  <c r="O22" i="5487"/>
  <c r="O21" i="5483"/>
  <c r="O23" i="5479"/>
  <c r="H39" i="5493" l="1"/>
  <c r="H6" i="5493"/>
  <c r="H16" i="5493"/>
  <c r="H25" i="5493"/>
  <c r="H47" i="5493"/>
  <c r="H22" i="5493"/>
  <c r="H40" i="5493"/>
  <c r="H3" i="5493"/>
  <c r="H17" i="5493"/>
  <c r="B23" i="5493"/>
  <c r="H31" i="5493"/>
  <c r="C18" i="5493"/>
  <c r="H32" i="5493"/>
  <c r="H48" i="5493"/>
  <c r="H19" i="5493"/>
  <c r="H27" i="5493"/>
  <c r="H35" i="5493"/>
  <c r="H43" i="5493"/>
  <c r="H51" i="5493"/>
  <c r="H5" i="5493"/>
  <c r="H12" i="5493"/>
  <c r="H14" i="5493"/>
  <c r="H2" i="5493"/>
  <c r="H4" i="5493"/>
  <c r="H9" i="5493"/>
  <c r="H11" i="5493"/>
  <c r="C17" i="5493"/>
  <c r="H24" i="5493"/>
  <c r="H28" i="5493"/>
  <c r="H36" i="5493"/>
  <c r="H44" i="5493"/>
  <c r="H52" i="5493"/>
  <c r="H26" i="5493"/>
  <c r="H37" i="5493"/>
  <c r="H49" i="5493"/>
  <c r="H8" i="5493"/>
  <c r="H10" i="5493"/>
  <c r="H18" i="5493"/>
  <c r="H20" i="5493"/>
  <c r="H23" i="5493"/>
  <c r="H29" i="5493"/>
  <c r="H33" i="5493"/>
  <c r="H41" i="5493"/>
  <c r="H45" i="5493"/>
  <c r="H7" i="5493"/>
  <c r="H13" i="5493"/>
  <c r="H15" i="5493"/>
  <c r="C19" i="5493"/>
  <c r="H21" i="5493"/>
  <c r="H30" i="5493"/>
  <c r="H34" i="5493"/>
  <c r="H38" i="5493"/>
  <c r="H42" i="5493"/>
  <c r="H46" i="5493"/>
  <c r="O19" i="5485" l="1"/>
  <c r="O20" i="5491"/>
  <c r="O15" i="5491"/>
  <c r="C27" i="5491"/>
  <c r="B24" i="5491"/>
  <c r="C20" i="5491"/>
  <c r="B17" i="5491"/>
  <c r="H50" i="5491" s="1"/>
  <c r="C16" i="5491"/>
  <c r="C15" i="5491"/>
  <c r="C14" i="5491"/>
  <c r="C13" i="5491"/>
  <c r="O12" i="5491"/>
  <c r="C12" i="5491"/>
  <c r="O11" i="5491"/>
  <c r="C11" i="5491"/>
  <c r="O10" i="5491"/>
  <c r="C10" i="5491"/>
  <c r="C9" i="5491"/>
  <c r="C8" i="5491"/>
  <c r="O7" i="5491"/>
  <c r="C7" i="5491"/>
  <c r="O6" i="5491"/>
  <c r="B6" i="5491"/>
  <c r="O5" i="5491"/>
  <c r="B5" i="5491"/>
  <c r="O4" i="5491"/>
  <c r="O3" i="5491"/>
  <c r="O2" i="5491"/>
  <c r="O20" i="5481"/>
  <c r="O18" i="5479"/>
  <c r="O19" i="5489"/>
  <c r="O19" i="5483"/>
  <c r="O18" i="5483"/>
  <c r="O19" i="5487"/>
  <c r="O21" i="5489"/>
  <c r="O23" i="5489"/>
  <c r="C27" i="5489"/>
  <c r="B24" i="5489"/>
  <c r="C20" i="5489"/>
  <c r="B17" i="5489"/>
  <c r="H51" i="5489" s="1"/>
  <c r="C16" i="5489"/>
  <c r="C15" i="5489"/>
  <c r="C14" i="5489"/>
  <c r="C13" i="5489"/>
  <c r="O12" i="5489"/>
  <c r="C12" i="5489"/>
  <c r="O11" i="5489"/>
  <c r="C11" i="5489"/>
  <c r="O10" i="5489"/>
  <c r="C10" i="5489"/>
  <c r="C9" i="5489"/>
  <c r="C8" i="5489"/>
  <c r="O7" i="5489"/>
  <c r="C7" i="5489"/>
  <c r="O6" i="5489"/>
  <c r="B6" i="5489"/>
  <c r="O5" i="5489"/>
  <c r="B5" i="5489"/>
  <c r="O4" i="5489"/>
  <c r="O3" i="5489"/>
  <c r="O2" i="5489"/>
  <c r="O20" i="5487"/>
  <c r="O18" i="5487"/>
  <c r="C27" i="5487"/>
  <c r="B24" i="5487"/>
  <c r="C20" i="5487"/>
  <c r="B17" i="5487"/>
  <c r="H49" i="5487" s="1"/>
  <c r="C16" i="5487"/>
  <c r="C15" i="5487"/>
  <c r="C14" i="5487"/>
  <c r="C13" i="5487"/>
  <c r="O12" i="5487"/>
  <c r="C12" i="5487"/>
  <c r="O11" i="5487"/>
  <c r="C11" i="5487"/>
  <c r="O10" i="5487"/>
  <c r="C10" i="5487"/>
  <c r="C9" i="5487"/>
  <c r="C8" i="5487"/>
  <c r="O7" i="5487"/>
  <c r="C7" i="5487"/>
  <c r="O6" i="5487"/>
  <c r="B6" i="5487"/>
  <c r="O5" i="5487"/>
  <c r="B5" i="5487"/>
  <c r="O4" i="5487"/>
  <c r="O3" i="5487"/>
  <c r="O2" i="5487"/>
  <c r="O18" i="5481"/>
  <c r="O23" i="5481"/>
  <c r="O20" i="5479"/>
  <c r="O21" i="5479"/>
  <c r="H8" i="5491" l="1"/>
  <c r="H2" i="5491"/>
  <c r="H4" i="5491"/>
  <c r="H10" i="5491"/>
  <c r="H20" i="5489"/>
  <c r="H7" i="5489"/>
  <c r="H24" i="5489"/>
  <c r="H43" i="5487"/>
  <c r="H10" i="5487"/>
  <c r="H8" i="5487"/>
  <c r="H24" i="5487"/>
  <c r="H32" i="5487"/>
  <c r="H5" i="5487"/>
  <c r="H12" i="5487"/>
  <c r="C18" i="5487"/>
  <c r="H4" i="5487"/>
  <c r="H9" i="5487"/>
  <c r="H2" i="5487"/>
  <c r="H16" i="5487"/>
  <c r="H34" i="5487"/>
  <c r="C19" i="5491"/>
  <c r="H22" i="5491"/>
  <c r="H25" i="5491"/>
  <c r="H31" i="5491"/>
  <c r="H39" i="5491"/>
  <c r="H47" i="5491"/>
  <c r="H13" i="5491"/>
  <c r="H15" i="5491"/>
  <c r="C17" i="5491"/>
  <c r="H19" i="5491"/>
  <c r="B23" i="5491"/>
  <c r="H32" i="5491"/>
  <c r="H40" i="5491"/>
  <c r="H48" i="5491"/>
  <c r="H3" i="5491"/>
  <c r="H6" i="5491"/>
  <c r="H9" i="5491"/>
  <c r="H12" i="5491"/>
  <c r="H17" i="5491"/>
  <c r="H27" i="5491"/>
  <c r="H35" i="5491"/>
  <c r="H43" i="5491"/>
  <c r="H51" i="5491"/>
  <c r="H7" i="5491"/>
  <c r="H5" i="5491"/>
  <c r="H11" i="5491"/>
  <c r="H14" i="5491"/>
  <c r="H16" i="5491"/>
  <c r="C18" i="5491"/>
  <c r="H21" i="5491"/>
  <c r="H24" i="5491"/>
  <c r="H28" i="5491"/>
  <c r="H36" i="5491"/>
  <c r="H44" i="5491"/>
  <c r="H52" i="5491"/>
  <c r="H18" i="5491"/>
  <c r="H20" i="5491"/>
  <c r="H23" i="5491"/>
  <c r="H26" i="5491"/>
  <c r="H29" i="5491"/>
  <c r="H33" i="5491"/>
  <c r="H37" i="5491"/>
  <c r="H41" i="5491"/>
  <c r="H45" i="5491"/>
  <c r="H49" i="5491"/>
  <c r="H30" i="5491"/>
  <c r="H34" i="5491"/>
  <c r="H38" i="5491"/>
  <c r="H42" i="5491"/>
  <c r="H46" i="5491"/>
  <c r="H28" i="5489"/>
  <c r="H41" i="5489"/>
  <c r="H48" i="5489"/>
  <c r="H2" i="5489"/>
  <c r="C18" i="5489"/>
  <c r="H33" i="5489"/>
  <c r="H49" i="5489"/>
  <c r="H10" i="5489"/>
  <c r="H17" i="5489"/>
  <c r="B23" i="5489"/>
  <c r="H32" i="5489"/>
  <c r="H5" i="5489"/>
  <c r="H12" i="5489"/>
  <c r="H3" i="5489"/>
  <c r="H16" i="5489"/>
  <c r="H22" i="5489"/>
  <c r="H40" i="5489"/>
  <c r="H44" i="5487"/>
  <c r="H14" i="5487"/>
  <c r="H27" i="5487"/>
  <c r="H48" i="5487"/>
  <c r="H21" i="5487"/>
  <c r="H38" i="5487"/>
  <c r="H3" i="5487"/>
  <c r="H6" i="5487"/>
  <c r="H11" i="5487"/>
  <c r="H17" i="5487"/>
  <c r="H28" i="5487"/>
  <c r="H39" i="5487"/>
  <c r="H14" i="5489"/>
  <c r="H11" i="5489"/>
  <c r="H36" i="5489"/>
  <c r="H44" i="5489"/>
  <c r="H4" i="5489"/>
  <c r="H9" i="5489"/>
  <c r="H6" i="5489"/>
  <c r="H19" i="5489"/>
  <c r="C17" i="5489"/>
  <c r="H15" i="5489"/>
  <c r="H23" i="5489"/>
  <c r="H37" i="5489"/>
  <c r="H45" i="5489"/>
  <c r="H52" i="5489"/>
  <c r="H26" i="5489"/>
  <c r="H27" i="5489"/>
  <c r="H29" i="5489"/>
  <c r="H30" i="5489"/>
  <c r="H18" i="5489"/>
  <c r="H34" i="5489"/>
  <c r="H38" i="5489"/>
  <c r="H42" i="5489"/>
  <c r="H46" i="5489"/>
  <c r="H50" i="5489"/>
  <c r="H8" i="5489"/>
  <c r="H21" i="5489"/>
  <c r="H25" i="5489"/>
  <c r="C19" i="5489"/>
  <c r="H13" i="5489"/>
  <c r="H31" i="5489"/>
  <c r="H35" i="5489"/>
  <c r="H39" i="5489"/>
  <c r="H43" i="5489"/>
  <c r="H47" i="5489"/>
  <c r="H50" i="5487"/>
  <c r="C19" i="5487"/>
  <c r="H22" i="5487"/>
  <c r="H25" i="5487"/>
  <c r="H30" i="5487"/>
  <c r="H35" i="5487"/>
  <c r="H40" i="5487"/>
  <c r="H46" i="5487"/>
  <c r="H51" i="5487"/>
  <c r="H7" i="5487"/>
  <c r="H13" i="5487"/>
  <c r="H15" i="5487"/>
  <c r="C17" i="5487"/>
  <c r="H19" i="5487"/>
  <c r="B23" i="5487"/>
  <c r="H31" i="5487"/>
  <c r="H36" i="5487"/>
  <c r="H42" i="5487"/>
  <c r="H47" i="5487"/>
  <c r="H52" i="5487"/>
  <c r="H18" i="5487"/>
  <c r="H20" i="5487"/>
  <c r="H23" i="5487"/>
  <c r="H26" i="5487"/>
  <c r="H29" i="5487"/>
  <c r="H33" i="5487"/>
  <c r="H37" i="5487"/>
  <c r="H41" i="5487"/>
  <c r="H45" i="5487"/>
  <c r="O17" i="5485" l="1"/>
  <c r="O20" i="5485"/>
  <c r="C27" i="5485"/>
  <c r="B24" i="5485"/>
  <c r="C20" i="5485"/>
  <c r="B17" i="5485"/>
  <c r="H49" i="5485" s="1"/>
  <c r="C16" i="5485"/>
  <c r="C15" i="5485"/>
  <c r="C14" i="5485"/>
  <c r="C13" i="5485"/>
  <c r="O12" i="5485"/>
  <c r="C12" i="5485"/>
  <c r="O11" i="5485"/>
  <c r="C11" i="5485"/>
  <c r="O10" i="5485"/>
  <c r="C10" i="5485"/>
  <c r="C9" i="5485"/>
  <c r="C8" i="5485"/>
  <c r="O7" i="5485"/>
  <c r="C7" i="5485"/>
  <c r="O6" i="5485"/>
  <c r="B6" i="5485"/>
  <c r="O5" i="5485"/>
  <c r="B5" i="5485"/>
  <c r="O4" i="5485"/>
  <c r="O3" i="5485"/>
  <c r="O2" i="5485"/>
  <c r="O22" i="5483"/>
  <c r="O16" i="5483"/>
  <c r="C27" i="5483"/>
  <c r="B24" i="5483"/>
  <c r="C20" i="5483"/>
  <c r="B17" i="5483"/>
  <c r="H52" i="5483" s="1"/>
  <c r="C16" i="5483"/>
  <c r="C15" i="5483"/>
  <c r="C14" i="5483"/>
  <c r="C13" i="5483"/>
  <c r="O12" i="5483"/>
  <c r="C12" i="5483"/>
  <c r="O11" i="5483"/>
  <c r="C11" i="5483"/>
  <c r="O10" i="5483"/>
  <c r="C10" i="5483"/>
  <c r="C9" i="5483"/>
  <c r="C8" i="5483"/>
  <c r="O7" i="5483"/>
  <c r="C7" i="5483"/>
  <c r="O6" i="5483"/>
  <c r="B6" i="5483"/>
  <c r="O5" i="5483"/>
  <c r="B5" i="5483"/>
  <c r="O4" i="5483"/>
  <c r="O3" i="5483"/>
  <c r="O2" i="5483"/>
  <c r="O24" i="5479"/>
  <c r="O17" i="5481"/>
  <c r="O22" i="5481"/>
  <c r="C27" i="5481"/>
  <c r="B24" i="5481"/>
  <c r="C20" i="5481"/>
  <c r="B17" i="5481"/>
  <c r="H5" i="5481" s="1"/>
  <c r="C16" i="5481"/>
  <c r="C15" i="5481"/>
  <c r="C14" i="5481"/>
  <c r="C13" i="5481"/>
  <c r="O12" i="5481"/>
  <c r="C12" i="5481"/>
  <c r="O11" i="5481"/>
  <c r="C11" i="5481"/>
  <c r="O10" i="5481"/>
  <c r="C10" i="5481"/>
  <c r="C9" i="5481"/>
  <c r="C8" i="5481"/>
  <c r="O7" i="5481"/>
  <c r="C7" i="5481"/>
  <c r="O6" i="5481"/>
  <c r="B6" i="5481"/>
  <c r="O5" i="5481"/>
  <c r="B5" i="5481"/>
  <c r="O4" i="5481"/>
  <c r="O3" i="5481"/>
  <c r="O2" i="5481"/>
  <c r="O15" i="5479"/>
  <c r="O19" i="5479"/>
  <c r="C27" i="5479"/>
  <c r="B24" i="5479"/>
  <c r="C20" i="5479"/>
  <c r="B17" i="5479"/>
  <c r="H51" i="5479" s="1"/>
  <c r="C16" i="5479"/>
  <c r="C15" i="5479"/>
  <c r="C14" i="5479"/>
  <c r="C13" i="5479"/>
  <c r="O12" i="5479"/>
  <c r="C12" i="5479"/>
  <c r="O11" i="5479"/>
  <c r="C11" i="5479"/>
  <c r="O10" i="5479"/>
  <c r="C10" i="5479"/>
  <c r="C9" i="5479"/>
  <c r="C8" i="5479"/>
  <c r="O7" i="5479"/>
  <c r="C7" i="5479"/>
  <c r="O6" i="5479"/>
  <c r="B6" i="5479"/>
  <c r="O5" i="5479"/>
  <c r="B5" i="5479"/>
  <c r="O4" i="5479"/>
  <c r="O3" i="5479"/>
  <c r="O2" i="5479"/>
  <c r="H8" i="5485" l="1"/>
  <c r="H5" i="5485"/>
  <c r="H18" i="5483"/>
  <c r="H10" i="5485"/>
  <c r="H4" i="5485"/>
  <c r="H9" i="5485"/>
  <c r="H6" i="5483"/>
  <c r="H17" i="5481"/>
  <c r="H2" i="5485"/>
  <c r="H3" i="5485"/>
  <c r="H6" i="5485"/>
  <c r="H2" i="5483"/>
  <c r="H3" i="5483"/>
  <c r="H4" i="5483"/>
  <c r="C18" i="5483"/>
  <c r="H26" i="5483"/>
  <c r="H10" i="5483"/>
  <c r="H12" i="5485"/>
  <c r="H17" i="5485"/>
  <c r="H27" i="5485"/>
  <c r="H32" i="5485"/>
  <c r="H38" i="5485"/>
  <c r="H43" i="5485"/>
  <c r="H48" i="5485"/>
  <c r="H11" i="5485"/>
  <c r="H14" i="5485"/>
  <c r="H16" i="5485"/>
  <c r="C18" i="5485"/>
  <c r="H21" i="5485"/>
  <c r="H24" i="5485"/>
  <c r="H28" i="5485"/>
  <c r="H34" i="5485"/>
  <c r="H39" i="5485"/>
  <c r="H44" i="5485"/>
  <c r="H50" i="5485"/>
  <c r="C19" i="5485"/>
  <c r="H22" i="5485"/>
  <c r="H25" i="5485"/>
  <c r="H30" i="5485"/>
  <c r="H35" i="5485"/>
  <c r="H40" i="5485"/>
  <c r="H46" i="5485"/>
  <c r="H51" i="5485"/>
  <c r="H7" i="5485"/>
  <c r="H13" i="5485"/>
  <c r="H15" i="5485"/>
  <c r="C17" i="5485"/>
  <c r="H19" i="5485"/>
  <c r="B23" i="5485"/>
  <c r="H31" i="5485"/>
  <c r="H36" i="5485"/>
  <c r="H42" i="5485"/>
  <c r="H47" i="5485"/>
  <c r="H52" i="5485"/>
  <c r="H18" i="5485"/>
  <c r="H20" i="5485"/>
  <c r="H23" i="5485"/>
  <c r="H26" i="5485"/>
  <c r="H29" i="5485"/>
  <c r="H33" i="5485"/>
  <c r="H37" i="5485"/>
  <c r="H41" i="5485"/>
  <c r="H45" i="5485"/>
  <c r="H27" i="5483"/>
  <c r="H12" i="5483"/>
  <c r="H21" i="5483"/>
  <c r="H29" i="5483"/>
  <c r="H14" i="5483"/>
  <c r="H9" i="5483"/>
  <c r="H7" i="5483"/>
  <c r="H20" i="5483"/>
  <c r="H16" i="5483"/>
  <c r="H41" i="5483"/>
  <c r="H44" i="5483"/>
  <c r="H15" i="5483"/>
  <c r="H13" i="5483"/>
  <c r="H36" i="5483"/>
  <c r="H48" i="5483"/>
  <c r="H8" i="5483"/>
  <c r="H22" i="5483"/>
  <c r="H23" i="5483"/>
  <c r="C17" i="5483"/>
  <c r="H40" i="5483"/>
  <c r="H49" i="5483"/>
  <c r="H19" i="5483"/>
  <c r="C19" i="5483"/>
  <c r="H24" i="5483"/>
  <c r="H11" i="5483"/>
  <c r="H37" i="5483"/>
  <c r="H45" i="5483"/>
  <c r="H5" i="5483"/>
  <c r="H30" i="5483"/>
  <c r="H31" i="5483"/>
  <c r="H32" i="5483"/>
  <c r="H25" i="5483"/>
  <c r="H17" i="5483"/>
  <c r="H28" i="5483"/>
  <c r="H39" i="5483"/>
  <c r="H43" i="5483"/>
  <c r="H47" i="5483"/>
  <c r="H51" i="5483"/>
  <c r="B23" i="5483"/>
  <c r="H33" i="5483"/>
  <c r="H34" i="5483"/>
  <c r="H35" i="5483"/>
  <c r="H38" i="5483"/>
  <c r="H42" i="5483"/>
  <c r="H46" i="5483"/>
  <c r="H50" i="5483"/>
  <c r="H8" i="5479"/>
  <c r="H46" i="5479"/>
  <c r="H12" i="5479"/>
  <c r="H13" i="5479"/>
  <c r="H6" i="5479"/>
  <c r="C18" i="5479"/>
  <c r="H10" i="5479"/>
  <c r="H36" i="5479"/>
  <c r="H20" i="5479"/>
  <c r="H33" i="5479"/>
  <c r="H45" i="5479"/>
  <c r="H7" i="5479"/>
  <c r="H21" i="5479"/>
  <c r="H24" i="5479"/>
  <c r="H16" i="5479"/>
  <c r="H37" i="5479"/>
  <c r="H10" i="5481"/>
  <c r="H24" i="5481"/>
  <c r="H7" i="5481"/>
  <c r="H31" i="5481"/>
  <c r="H6" i="5481"/>
  <c r="C19" i="5481"/>
  <c r="H13" i="5481"/>
  <c r="H21" i="5481"/>
  <c r="H40" i="5481"/>
  <c r="H48" i="5481"/>
  <c r="H27" i="5481"/>
  <c r="H42" i="5481"/>
  <c r="H50" i="5481"/>
  <c r="C17" i="5481"/>
  <c r="H36" i="5481"/>
  <c r="H44" i="5481"/>
  <c r="H15" i="5481"/>
  <c r="H35" i="5481"/>
  <c r="H4" i="5481"/>
  <c r="H2" i="5481"/>
  <c r="H11" i="5481"/>
  <c r="H3" i="5481"/>
  <c r="H25" i="5481"/>
  <c r="H22" i="5481"/>
  <c r="H14" i="5481"/>
  <c r="H8" i="5481"/>
  <c r="C18" i="5481"/>
  <c r="B23" i="5481"/>
  <c r="H23" i="5481"/>
  <c r="H38" i="5481"/>
  <c r="H46" i="5481"/>
  <c r="H52" i="5481"/>
  <c r="H32" i="5481"/>
  <c r="H33" i="5481"/>
  <c r="H20" i="5481"/>
  <c r="H34" i="5481"/>
  <c r="H18" i="5481"/>
  <c r="H29" i="5481"/>
  <c r="H39" i="5481"/>
  <c r="H43" i="5481"/>
  <c r="H47" i="5481"/>
  <c r="H51" i="5481"/>
  <c r="H30" i="5481"/>
  <c r="H19" i="5481"/>
  <c r="H16" i="5481"/>
  <c r="H26" i="5481"/>
  <c r="H12" i="5481"/>
  <c r="H9" i="5481"/>
  <c r="H28" i="5481"/>
  <c r="H37" i="5481"/>
  <c r="H41" i="5481"/>
  <c r="H45" i="5481"/>
  <c r="H49" i="5481"/>
  <c r="H14" i="5479"/>
  <c r="H50" i="5479"/>
  <c r="H9" i="5479"/>
  <c r="H41" i="5479"/>
  <c r="H3" i="5479"/>
  <c r="H2" i="5479"/>
  <c r="H11" i="5479"/>
  <c r="H4" i="5479"/>
  <c r="H18" i="5479"/>
  <c r="H27" i="5479"/>
  <c r="H32" i="5479"/>
  <c r="H19" i="5479"/>
  <c r="C19" i="5479"/>
  <c r="H29" i="5479"/>
  <c r="H25" i="5479"/>
  <c r="H23" i="5479"/>
  <c r="H38" i="5479"/>
  <c r="H42" i="5479"/>
  <c r="H48" i="5479"/>
  <c r="H5" i="5479"/>
  <c r="H28" i="5479"/>
  <c r="C17" i="5479"/>
  <c r="H15" i="5479"/>
  <c r="B23" i="5479"/>
  <c r="H26" i="5479"/>
  <c r="H39" i="5479"/>
  <c r="H44" i="5479"/>
  <c r="H49" i="5479"/>
  <c r="H52" i="5479"/>
  <c r="H34" i="5479"/>
  <c r="H35" i="5479"/>
  <c r="H22" i="5479"/>
  <c r="H30" i="5479"/>
  <c r="H17" i="5479"/>
  <c r="H31" i="5479"/>
  <c r="H40" i="5479"/>
  <c r="H43" i="5479"/>
  <c r="H47" i="5479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<sst xmlns="http://schemas.openxmlformats.org/spreadsheetml/2006/main" count="3299" uniqueCount="255">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</sst>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全体!$K$2:$K$656</c:f>
              <c:numCache>
                <c:formatCode>General</c:formatCode>
                <c:ptCount val="6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</c:numCache>
            </c:numRef>
          </c:xVal>
          <c:yVal>
            <c:numRef>
              <c:f>全体!$L$2:$L$656</c:f>
              <c:numCache>
                <c:formatCode>\+0.0;\-0.0;\±0</c:formatCode>
                <c:ptCount val="65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-60.90000000000002</c:v>
                </c:pt>
                <c:pt idx="647">
                  <c:v>3.4999999999999858</c:v>
                </c:pt>
                <c:pt idx="648">
                  <c:v>-1.4210854715202004E-14</c:v>
                </c:pt>
                <c:pt idx="649">
                  <c:v>67.799999999999983</c:v>
                </c:pt>
                <c:pt idx="650">
                  <c:v>55.899999999999984</c:v>
                </c:pt>
                <c:pt idx="651">
                  <c:v>-1.4210854715202004E-14</c:v>
                </c:pt>
                <c:pt idx="652">
                  <c:v>-14.900000000000015</c:v>
                </c:pt>
                <c:pt idx="653">
                  <c:v>-51.300000000000011</c:v>
                </c:pt>
                <c:pt idx="654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E-4E38-B0A1-B62DCE267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-13.761467889908257</c:v>
                </c:pt>
                <c:pt idx="1">
                  <c:v>-7.8247261345852896</c:v>
                </c:pt>
                <c:pt idx="2">
                  <c:v>8.3333333333333339</c:v>
                </c:pt>
                <c:pt idx="3">
                  <c:v>9.1575091575091569</c:v>
                </c:pt>
                <c:pt idx="4">
                  <c:v>-12.269938650306749</c:v>
                </c:pt>
                <c:pt idx="5">
                  <c:v>22.831050228310502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7-4F22-A85A-E224C5BA2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だいち!$K$2:$K$149</c:f>
              <c:numCache>
                <c:formatCode>General</c:formatCode>
                <c:ptCount val="1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</c:numCache>
            </c:numRef>
          </c:xVal>
          <c:yVal>
            <c:numRef>
              <c:f>だいち!$L$2:$L$149</c:f>
              <c:numCache>
                <c:formatCode>\+0.0;\-0.0;\±0</c:formatCode>
                <c:ptCount val="148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1770.8000000000009</c:v>
                </c:pt>
                <c:pt idx="147">
                  <c:v>1734.4000000000008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1-4080-B1E2-41ACE64A4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2209.5238095238096</c:v>
                </c:pt>
                <c:pt idx="1">
                  <c:v>1182.5174825174824</c:v>
                </c:pt>
                <c:pt idx="2">
                  <c:v>676.47058823529414</c:v>
                </c:pt>
                <c:pt idx="3">
                  <c:v>2480</c:v>
                </c:pt>
                <c:pt idx="4">
                  <c:v>276.36363636363637</c:v>
                </c:pt>
                <c:pt idx="5">
                  <c:v>823.95833333333337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3D-421D-92A1-7CE2ACAE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りくと!$L$2:$L$125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D-4AE9-9ECF-BA4921BF9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278.04878048780489</c:v>
                </c:pt>
                <c:pt idx="1">
                  <c:v>-2251.2605042016808</c:v>
                </c:pt>
                <c:pt idx="2">
                  <c:v>430.43478260869563</c:v>
                </c:pt>
                <c:pt idx="3">
                  <c:v>-105.88235294117646</c:v>
                </c:pt>
                <c:pt idx="4">
                  <c:v>243.95604395604394</c:v>
                </c:pt>
                <c:pt idx="5">
                  <c:v>271.76470588235293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8-43DB-823C-B31FE9AA7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ただ!$L$2:$L$90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CD-4588-A69B-7BF1A9612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-3288.6363636363635</c:v>
                </c:pt>
                <c:pt idx="1">
                  <c:v>-1413.953488372093</c:v>
                </c:pt>
                <c:pt idx="2">
                  <c:v>386.41975308641975</c:v>
                </c:pt>
                <c:pt idx="3">
                  <c:v>-4704.2253521126759</c:v>
                </c:pt>
                <c:pt idx="4">
                  <c:v>-859.375</c:v>
                </c:pt>
                <c:pt idx="5">
                  <c:v>-1129.3103448275863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AD-407D-81F5-AFA7D55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れんたろう!$L$2:$L$90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75-443A-A224-D0335479D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-618.18181818181813</c:v>
                </c:pt>
                <c:pt idx="1">
                  <c:v>496.51162790697674</c:v>
                </c:pt>
                <c:pt idx="2">
                  <c:v>1178.4810126582279</c:v>
                </c:pt>
                <c:pt idx="3">
                  <c:v>998.52941176470586</c:v>
                </c:pt>
                <c:pt idx="4">
                  <c:v>-588.33333333333337</c:v>
                </c:pt>
                <c:pt idx="5">
                  <c:v>-303.63636363636363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0-4819-BE23-2AFBC21C3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9C-4D4E-B58B-A6F63F295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722.66666666666663</c:v>
                </c:pt>
                <c:pt idx="1">
                  <c:v>-766.66666666666663</c:v>
                </c:pt>
                <c:pt idx="2">
                  <c:v>-1613.4328358208954</c:v>
                </c:pt>
                <c:pt idx="3">
                  <c:v>814.0625</c:v>
                </c:pt>
                <c:pt idx="4">
                  <c:v>606.66666666666663</c:v>
                </c:pt>
                <c:pt idx="5">
                  <c:v>-492.30769230769232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BF-4F35-B74B-8AFB8C3F9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61-4A0D-A1CD-DE1328245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25-4905-9795-AFF5E1CAD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まっつん!$L$2:$L$62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309</c:v>
                </c:pt>
                <c:pt idx="60">
                  <c:v>297.10000000000002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AD-4E7F-894E-99EEB067A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1060</c:v>
                </c:pt>
                <c:pt idx="1">
                  <c:v>1717.5438596491229</c:v>
                </c:pt>
                <c:pt idx="2">
                  <c:v>-1045.0980392156862</c:v>
                </c:pt>
                <c:pt idx="3">
                  <c:v>2569.387755102041</c:v>
                </c:pt>
                <c:pt idx="4">
                  <c:v>-1288.3720930232557</c:v>
                </c:pt>
                <c:pt idx="5">
                  <c:v>531.42857142857144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81-4DC4-AE96-0D9C7D31B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C1-4E53-A2D8-D196158E3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4-4082-A445-2DD93823E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44-4BDE-AB35-F91284F1F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23-4031-81DA-4BC4CDE9D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ほたに!$L$2:$L$11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BF-4F5C-B2B3-E218EC11B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B3-491D-B484-6372EF0BF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49-4B82-869E-F10C61EF5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2F-44E7-A647-2EDB0F7B3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F-4130-95F7-5E2156BDF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25-48F9-923C-FBB85D420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たかの2!$B$3:$B$78</c:f>
              <c:numCache>
                <c:formatCode>\+0.0;\-0.0;\±0</c:formatCode>
                <c:ptCount val="7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たかの2!$C$3:$C$78</c:f>
              <c:numCache>
                <c:formatCode>\+0.0;\-0.0;\±0</c:formatCode>
                <c:ptCount val="76"/>
                <c:pt idx="1">
                  <c:v>11.1</c:v>
                </c:pt>
                <c:pt idx="2">
                  <c:v>-3.8500000000000005</c:v>
                </c:pt>
                <c:pt idx="3">
                  <c:v>0.59999999999999964</c:v>
                </c:pt>
                <c:pt idx="4">
                  <c:v>8.7249999999999996</c:v>
                </c:pt>
                <c:pt idx="5">
                  <c:v>5.88</c:v>
                </c:pt>
                <c:pt idx="6">
                  <c:v>0.71666666666666623</c:v>
                </c:pt>
                <c:pt idx="7">
                  <c:v>1.1142857142857139</c:v>
                </c:pt>
                <c:pt idx="8">
                  <c:v>-3.6875</c:v>
                </c:pt>
                <c:pt idx="9">
                  <c:v>-6.2777777777777777</c:v>
                </c:pt>
                <c:pt idx="10">
                  <c:v>2.4200000000000004</c:v>
                </c:pt>
                <c:pt idx="11">
                  <c:v>6.745454545454546</c:v>
                </c:pt>
                <c:pt idx="12">
                  <c:v>3.8416666666666668</c:v>
                </c:pt>
                <c:pt idx="13">
                  <c:v>-0.23076923076923078</c:v>
                </c:pt>
                <c:pt idx="14">
                  <c:v>-0.87857142857142867</c:v>
                </c:pt>
                <c:pt idx="15">
                  <c:v>-5.3533333333333335</c:v>
                </c:pt>
                <c:pt idx="16">
                  <c:v>-5.4749999999999996</c:v>
                </c:pt>
                <c:pt idx="17">
                  <c:v>-3.2411764705882349</c:v>
                </c:pt>
                <c:pt idx="18">
                  <c:v>-1.5666666666666664</c:v>
                </c:pt>
                <c:pt idx="19">
                  <c:v>1.536842105263158</c:v>
                </c:pt>
                <c:pt idx="20">
                  <c:v>2.15</c:v>
                </c:pt>
                <c:pt idx="21">
                  <c:v>4.2809523809523808</c:v>
                </c:pt>
                <c:pt idx="22">
                  <c:v>2.4863636363636363</c:v>
                </c:pt>
                <c:pt idx="23">
                  <c:v>-0.23478260869565212</c:v>
                </c:pt>
                <c:pt idx="24">
                  <c:v>2.8708333333333336</c:v>
                </c:pt>
                <c:pt idx="25">
                  <c:v>1.2160000000000002</c:v>
                </c:pt>
                <c:pt idx="26">
                  <c:v>1.2653846153846156</c:v>
                </c:pt>
                <c:pt idx="27">
                  <c:v>1.4962962962962965</c:v>
                </c:pt>
                <c:pt idx="28">
                  <c:v>0.2964285714285716</c:v>
                </c:pt>
                <c:pt idx="29">
                  <c:v>3.1310344827586212</c:v>
                </c:pt>
                <c:pt idx="30">
                  <c:v>2.1100000000000003</c:v>
                </c:pt>
                <c:pt idx="31">
                  <c:v>3.6903225806451614</c:v>
                </c:pt>
                <c:pt idx="32">
                  <c:v>2.4031250000000002</c:v>
                </c:pt>
                <c:pt idx="33">
                  <c:v>1.2878787878787881</c:v>
                </c:pt>
                <c:pt idx="34">
                  <c:v>0.2882352941176472</c:v>
                </c:pt>
                <c:pt idx="35">
                  <c:v>-0.23714285714285707</c:v>
                </c:pt>
                <c:pt idx="36">
                  <c:v>-0.26944444444444438</c:v>
                </c:pt>
                <c:pt idx="37">
                  <c:v>0.81081081081081097</c:v>
                </c:pt>
                <c:pt idx="38">
                  <c:v>0.84473684210526334</c:v>
                </c:pt>
                <c:pt idx="39">
                  <c:v>1.6102564102564105</c:v>
                </c:pt>
                <c:pt idx="40">
                  <c:v>0.94250000000000023</c:v>
                </c:pt>
                <c:pt idx="41">
                  <c:v>1.1439024390243904</c:v>
                </c:pt>
                <c:pt idx="42">
                  <c:v>1.0071428571428573</c:v>
                </c:pt>
                <c:pt idx="43">
                  <c:v>-0.76744186046511609</c:v>
                </c:pt>
                <c:pt idx="44">
                  <c:v>-0.63636363636363624</c:v>
                </c:pt>
                <c:pt idx="45">
                  <c:v>-0.56222222222222207</c:v>
                </c:pt>
                <c:pt idx="46">
                  <c:v>0.28043478260869587</c:v>
                </c:pt>
                <c:pt idx="47">
                  <c:v>0.9765957446808512</c:v>
                </c:pt>
                <c:pt idx="48">
                  <c:v>2.3208333333333333</c:v>
                </c:pt>
                <c:pt idx="49">
                  <c:v>2.306122448979592</c:v>
                </c:pt>
                <c:pt idx="50">
                  <c:v>2.1259999999999999</c:v>
                </c:pt>
                <c:pt idx="51">
                  <c:v>2.2235294117647055</c:v>
                </c:pt>
                <c:pt idx="52">
                  <c:v>1.9</c:v>
                </c:pt>
                <c:pt idx="53">
                  <c:v>1.2301886792452827</c:v>
                </c:pt>
                <c:pt idx="54">
                  <c:v>1.0296296296296295</c:v>
                </c:pt>
                <c:pt idx="55">
                  <c:v>0.63090909090909075</c:v>
                </c:pt>
                <c:pt idx="56">
                  <c:v>-0.1428571428571431</c:v>
                </c:pt>
                <c:pt idx="57">
                  <c:v>-0.10526315789473709</c:v>
                </c:pt>
                <c:pt idx="58">
                  <c:v>-6.8965517241381825E-3</c:v>
                </c:pt>
                <c:pt idx="59">
                  <c:v>0.37288135593220317</c:v>
                </c:pt>
                <c:pt idx="60">
                  <c:v>1.1166666666666665</c:v>
                </c:pt>
                <c:pt idx="61">
                  <c:v>0.65245901639344239</c:v>
                </c:pt>
                <c:pt idx="62">
                  <c:v>0.12903225806451585</c:v>
                </c:pt>
                <c:pt idx="63">
                  <c:v>0.71587301587301555</c:v>
                </c:pt>
                <c:pt idx="64">
                  <c:v>0.71718749999999964</c:v>
                </c:pt>
                <c:pt idx="65">
                  <c:v>0.58769230769230729</c:v>
                </c:pt>
                <c:pt idx="66">
                  <c:v>-8.1818181818182234E-2</c:v>
                </c:pt>
                <c:pt idx="67">
                  <c:v>2.8358208955223476E-2</c:v>
                </c:pt>
                <c:pt idx="68">
                  <c:v>-0.58088235294117685</c:v>
                </c:pt>
                <c:pt idx="69">
                  <c:v>-0.11014492753623231</c:v>
                </c:pt>
                <c:pt idx="70">
                  <c:v>-0.45714285714285757</c:v>
                </c:pt>
                <c:pt idx="71">
                  <c:v>-1.0788732394366201</c:v>
                </c:pt>
                <c:pt idx="72">
                  <c:v>-0.95000000000000029</c:v>
                </c:pt>
                <c:pt idx="73">
                  <c:v>-1.7712328767123289</c:v>
                </c:pt>
                <c:pt idx="74">
                  <c:v>-0.83108108108108125</c:v>
                </c:pt>
                <c:pt idx="75">
                  <c:v>-1.0186666666666668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72913565015596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たかの2!$D$3:$D$78</c:f>
              <c:numCache>
                <c:formatCode>0.00\ "位"</c:formatCode>
                <c:ptCount val="76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2.1</c:v>
                </c:pt>
                <c:pt idx="11">
                  <c:v>2</c:v>
                </c:pt>
                <c:pt idx="12">
                  <c:v>2.0833333333333335</c:v>
                </c:pt>
                <c:pt idx="13">
                  <c:v>2.1538461538461537</c:v>
                </c:pt>
                <c:pt idx="14">
                  <c:v>2.1428571428571428</c:v>
                </c:pt>
                <c:pt idx="15">
                  <c:v>2.2000000000000002</c:v>
                </c:pt>
                <c:pt idx="16">
                  <c:v>2.1875</c:v>
                </c:pt>
                <c:pt idx="17">
                  <c:v>2.1176470588235294</c:v>
                </c:pt>
                <c:pt idx="18">
                  <c:v>2.0555555555555554</c:v>
                </c:pt>
                <c:pt idx="19">
                  <c:v>2</c:v>
                </c:pt>
                <c:pt idx="20">
                  <c:v>2</c:v>
                </c:pt>
                <c:pt idx="21">
                  <c:v>1.9523809523809523</c:v>
                </c:pt>
                <c:pt idx="22">
                  <c:v>2</c:v>
                </c:pt>
                <c:pt idx="23">
                  <c:v>2.0434782608695654</c:v>
                </c:pt>
                <c:pt idx="24">
                  <c:v>2</c:v>
                </c:pt>
                <c:pt idx="25">
                  <c:v>2.04</c:v>
                </c:pt>
                <c:pt idx="26">
                  <c:v>2.0384615384615383</c:v>
                </c:pt>
                <c:pt idx="27">
                  <c:v>2.0370370370370372</c:v>
                </c:pt>
                <c:pt idx="28">
                  <c:v>2.0714285714285716</c:v>
                </c:pt>
                <c:pt idx="29">
                  <c:v>2.0344827586206895</c:v>
                </c:pt>
                <c:pt idx="30">
                  <c:v>2.0666666666666669</c:v>
                </c:pt>
                <c:pt idx="31">
                  <c:v>2.032258064516129</c:v>
                </c:pt>
                <c:pt idx="32">
                  <c:v>2.0625</c:v>
                </c:pt>
                <c:pt idx="33">
                  <c:v>2.0909090909090908</c:v>
                </c:pt>
                <c:pt idx="34">
                  <c:v>2.1176470588235294</c:v>
                </c:pt>
                <c:pt idx="35">
                  <c:v>2.1142857142857143</c:v>
                </c:pt>
                <c:pt idx="36">
                  <c:v>2.1111111111111112</c:v>
                </c:pt>
                <c:pt idx="37">
                  <c:v>2.0810810810810811</c:v>
                </c:pt>
                <c:pt idx="38">
                  <c:v>2.0789473684210527</c:v>
                </c:pt>
                <c:pt idx="39">
                  <c:v>2.0512820512820511</c:v>
                </c:pt>
                <c:pt idx="40">
                  <c:v>2.0750000000000002</c:v>
                </c:pt>
                <c:pt idx="41">
                  <c:v>2.0731707317073171</c:v>
                </c:pt>
                <c:pt idx="42">
                  <c:v>2.0714285714285716</c:v>
                </c:pt>
                <c:pt idx="43">
                  <c:v>2.0930232558139537</c:v>
                </c:pt>
                <c:pt idx="44">
                  <c:v>2.0909090909090908</c:v>
                </c:pt>
                <c:pt idx="45">
                  <c:v>2.088888888888889</c:v>
                </c:pt>
                <c:pt idx="46">
                  <c:v>2.0652173913043477</c:v>
                </c:pt>
                <c:pt idx="47">
                  <c:v>2.0425531914893615</c:v>
                </c:pt>
                <c:pt idx="48">
                  <c:v>2.0208333333333335</c:v>
                </c:pt>
                <c:pt idx="49">
                  <c:v>2.0204081632653059</c:v>
                </c:pt>
                <c:pt idx="50">
                  <c:v>2.02</c:v>
                </c:pt>
                <c:pt idx="51">
                  <c:v>2.0196078431372548</c:v>
                </c:pt>
                <c:pt idx="52">
                  <c:v>2.0192307692307692</c:v>
                </c:pt>
                <c:pt idx="53">
                  <c:v>2.0377358490566038</c:v>
                </c:pt>
                <c:pt idx="54">
                  <c:v>2.0370370370370372</c:v>
                </c:pt>
                <c:pt idx="55">
                  <c:v>2.0363636363636362</c:v>
                </c:pt>
                <c:pt idx="56">
                  <c:v>2.0535714285714284</c:v>
                </c:pt>
                <c:pt idx="57">
                  <c:v>2.0526315789473686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2.0166666666666666</c:v>
                </c:pt>
                <c:pt idx="61">
                  <c:v>2.0163934426229506</c:v>
                </c:pt>
                <c:pt idx="62">
                  <c:v>2.032258064516129</c:v>
                </c:pt>
                <c:pt idx="63">
                  <c:v>2.0158730158730158</c:v>
                </c:pt>
                <c:pt idx="64">
                  <c:v>2.015625</c:v>
                </c:pt>
                <c:pt idx="65">
                  <c:v>2.0153846153846153</c:v>
                </c:pt>
                <c:pt idx="66">
                  <c:v>2.0303030303030303</c:v>
                </c:pt>
                <c:pt idx="67">
                  <c:v>2.0298507462686568</c:v>
                </c:pt>
                <c:pt idx="68">
                  <c:v>2.0441176470588234</c:v>
                </c:pt>
                <c:pt idx="69">
                  <c:v>2.0289855072463769</c:v>
                </c:pt>
                <c:pt idx="70">
                  <c:v>2.0428571428571427</c:v>
                </c:pt>
                <c:pt idx="71">
                  <c:v>2.056338028169014</c:v>
                </c:pt>
                <c:pt idx="72">
                  <c:v>2.0555555555555554</c:v>
                </c:pt>
                <c:pt idx="73">
                  <c:v>2.0684931506849313</c:v>
                </c:pt>
                <c:pt idx="74">
                  <c:v>2.0540540540540539</c:v>
                </c:pt>
                <c:pt idx="75">
                  <c:v>2.0533333333333332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たかの2!$E$3:$E$78</c:f>
              <c:numCache>
                <c:formatCode>0.0%</c:formatCode>
                <c:ptCount val="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0.27777777777777779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0.32258064516129031</c:v>
                </c:pt>
                <c:pt idx="32">
                  <c:v>0.3125</c:v>
                </c:pt>
                <c:pt idx="33">
                  <c:v>0.30303030303030304</c:v>
                </c:pt>
                <c:pt idx="34">
                  <c:v>0.29411764705882354</c:v>
                </c:pt>
                <c:pt idx="35">
                  <c:v>0.2857142857142857</c:v>
                </c:pt>
                <c:pt idx="36">
                  <c:v>0.27777777777777779</c:v>
                </c:pt>
                <c:pt idx="37">
                  <c:v>0.29729729729729731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</c:v>
                </c:pt>
                <c:pt idx="41">
                  <c:v>0.29268292682926828</c:v>
                </c:pt>
                <c:pt idx="42">
                  <c:v>0.2857142857142857</c:v>
                </c:pt>
                <c:pt idx="43">
                  <c:v>0.27906976744186046</c:v>
                </c:pt>
                <c:pt idx="44">
                  <c:v>0.27272727272727271</c:v>
                </c:pt>
                <c:pt idx="45">
                  <c:v>0.26666666666666666</c:v>
                </c:pt>
                <c:pt idx="46">
                  <c:v>0.28260869565217389</c:v>
                </c:pt>
                <c:pt idx="47">
                  <c:v>0.2978723404255319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0.29411764705882354</c:v>
                </c:pt>
                <c:pt idx="52">
                  <c:v>0.28846153846153844</c:v>
                </c:pt>
                <c:pt idx="53">
                  <c:v>0.28301886792452829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0.26785714285714285</c:v>
                </c:pt>
                <c:pt idx="57">
                  <c:v>0.26315789473684209</c:v>
                </c:pt>
                <c:pt idx="58">
                  <c:v>0.25862068965517243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0.27692307692307694</c:v>
                </c:pt>
                <c:pt idx="66">
                  <c:v>0.27272727272727271</c:v>
                </c:pt>
                <c:pt idx="67">
                  <c:v>0.26865671641791045</c:v>
                </c:pt>
                <c:pt idx="68">
                  <c:v>0.26470588235294118</c:v>
                </c:pt>
                <c:pt idx="69">
                  <c:v>0.27536231884057971</c:v>
                </c:pt>
                <c:pt idx="70">
                  <c:v>0.27142857142857141</c:v>
                </c:pt>
                <c:pt idx="71">
                  <c:v>0.26760563380281688</c:v>
                </c:pt>
                <c:pt idx="72">
                  <c:v>0.2638888888888889</c:v>
                </c:pt>
                <c:pt idx="73">
                  <c:v>0.26027397260273971</c:v>
                </c:pt>
                <c:pt idx="74">
                  <c:v>0.27027027027027029</c:v>
                </c:pt>
                <c:pt idx="75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たかの2!$F$3:$F$78</c:f>
              <c:numCache>
                <c:formatCode>0.0%</c:formatCode>
                <c:ptCount val="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0.39393939393939392</c:v>
                </c:pt>
                <c:pt idx="34">
                  <c:v>0.41176470588235292</c:v>
                </c:pt>
                <c:pt idx="35">
                  <c:v>0.4</c:v>
                </c:pt>
                <c:pt idx="36">
                  <c:v>0.3888888888888889</c:v>
                </c:pt>
                <c:pt idx="37">
                  <c:v>0.3783783783783784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0.375</c:v>
                </c:pt>
                <c:pt idx="41">
                  <c:v>0.36585365853658536</c:v>
                </c:pt>
                <c:pt idx="42">
                  <c:v>0.35714285714285715</c:v>
                </c:pt>
                <c:pt idx="43">
                  <c:v>0.37209302325581395</c:v>
                </c:pt>
                <c:pt idx="44">
                  <c:v>0.36363636363636365</c:v>
                </c:pt>
                <c:pt idx="45">
                  <c:v>0.35555555555555557</c:v>
                </c:pt>
                <c:pt idx="46">
                  <c:v>0.34782608695652173</c:v>
                </c:pt>
                <c:pt idx="47">
                  <c:v>0.34042553191489361</c:v>
                </c:pt>
                <c:pt idx="48">
                  <c:v>0.33333333333333331</c:v>
                </c:pt>
                <c:pt idx="49">
                  <c:v>0.32653061224489793</c:v>
                </c:pt>
                <c:pt idx="50">
                  <c:v>0.32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0.30645161290322581</c:v>
                </c:pt>
                <c:pt idx="63">
                  <c:v>0.30158730158730157</c:v>
                </c:pt>
                <c:pt idx="64">
                  <c:v>0.296875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0.30882352941176472</c:v>
                </c:pt>
                <c:pt idx="69">
                  <c:v>0.30434782608695654</c:v>
                </c:pt>
                <c:pt idx="70">
                  <c:v>0.31428571428571428</c:v>
                </c:pt>
                <c:pt idx="71">
                  <c:v>0.323943661971831</c:v>
                </c:pt>
                <c:pt idx="72">
                  <c:v>0.31944444444444442</c:v>
                </c:pt>
                <c:pt idx="73">
                  <c:v>0.32876712328767121</c:v>
                </c:pt>
                <c:pt idx="74">
                  <c:v>0.32432432432432434</c:v>
                </c:pt>
                <c:pt idx="75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たかの2!$G$3:$G$78</c:f>
              <c:numCache>
                <c:formatCode>0.0%</c:formatCode>
                <c:ptCount val="76"/>
                <c:pt idx="1">
                  <c:v>0.14285714285714285</c:v>
                </c:pt>
                <c:pt idx="2">
                  <c:v>0.125</c:v>
                </c:pt>
                <c:pt idx="3">
                  <c:v>0.25</c:v>
                </c:pt>
                <c:pt idx="4">
                  <c:v>0.2857142857142857</c:v>
                </c:pt>
                <c:pt idx="5">
                  <c:v>0.27500000000000002</c:v>
                </c:pt>
                <c:pt idx="6">
                  <c:v>0.2978723404255319</c:v>
                </c:pt>
                <c:pt idx="7">
                  <c:v>0.30909090909090908</c:v>
                </c:pt>
                <c:pt idx="8">
                  <c:v>0.27868852459016391</c:v>
                </c:pt>
                <c:pt idx="9">
                  <c:v>0.29577464788732394</c:v>
                </c:pt>
                <c:pt idx="10">
                  <c:v>0.35064935064935066</c:v>
                </c:pt>
                <c:pt idx="11">
                  <c:v>0.3707865168539326</c:v>
                </c:pt>
                <c:pt idx="12">
                  <c:v>0.375</c:v>
                </c:pt>
                <c:pt idx="13">
                  <c:v>0.3619047619047619</c:v>
                </c:pt>
                <c:pt idx="14">
                  <c:v>0.35135135135135137</c:v>
                </c:pt>
                <c:pt idx="15">
                  <c:v>0.32773109243697479</c:v>
                </c:pt>
                <c:pt idx="16">
                  <c:v>0.32258064516129031</c:v>
                </c:pt>
                <c:pt idx="17">
                  <c:v>0.32575757575757575</c:v>
                </c:pt>
                <c:pt idx="18">
                  <c:v>0.33571428571428569</c:v>
                </c:pt>
                <c:pt idx="19">
                  <c:v>0.34693877551020408</c:v>
                </c:pt>
                <c:pt idx="20">
                  <c:v>0.35802469135802467</c:v>
                </c:pt>
                <c:pt idx="21">
                  <c:v>0.35260115606936415</c:v>
                </c:pt>
                <c:pt idx="22">
                  <c:v>0.34615384615384615</c:v>
                </c:pt>
                <c:pt idx="23">
                  <c:v>0.33333333333333331</c:v>
                </c:pt>
                <c:pt idx="24">
                  <c:v>0.34358974358974359</c:v>
                </c:pt>
                <c:pt idx="25">
                  <c:v>0.3446601941747573</c:v>
                </c:pt>
                <c:pt idx="26">
                  <c:v>0.34579439252336447</c:v>
                </c:pt>
                <c:pt idx="27">
                  <c:v>0.34080717488789236</c:v>
                </c:pt>
                <c:pt idx="28">
                  <c:v>0.34334763948497854</c:v>
                </c:pt>
                <c:pt idx="29">
                  <c:v>0.35390946502057613</c:v>
                </c:pt>
                <c:pt idx="30">
                  <c:v>0.34901960784313724</c:v>
                </c:pt>
                <c:pt idx="31">
                  <c:v>0.35114503816793891</c:v>
                </c:pt>
                <c:pt idx="32">
                  <c:v>0.35164835164835168</c:v>
                </c:pt>
                <c:pt idx="33">
                  <c:v>0.3475177304964539</c:v>
                </c:pt>
                <c:pt idx="34">
                  <c:v>0.34602076124567471</c:v>
                </c:pt>
                <c:pt idx="35">
                  <c:v>0.35016835016835018</c:v>
                </c:pt>
                <c:pt idx="36">
                  <c:v>0.35197368421052633</c:v>
                </c:pt>
                <c:pt idx="37">
                  <c:v>0.35576923076923078</c:v>
                </c:pt>
                <c:pt idx="38">
                  <c:v>0.3611111111111111</c:v>
                </c:pt>
                <c:pt idx="39">
                  <c:v>0.36445783132530118</c:v>
                </c:pt>
                <c:pt idx="40">
                  <c:v>0.36549707602339182</c:v>
                </c:pt>
                <c:pt idx="41">
                  <c:v>0.36752136752136755</c:v>
                </c:pt>
                <c:pt idx="42">
                  <c:v>0.36684782608695654</c:v>
                </c:pt>
                <c:pt idx="43">
                  <c:v>0.36533333333333334</c:v>
                </c:pt>
                <c:pt idx="44">
                  <c:v>0.36363636363636365</c:v>
                </c:pt>
                <c:pt idx="45">
                  <c:v>0.36479591836734693</c:v>
                </c:pt>
                <c:pt idx="46">
                  <c:v>0.36724565756823824</c:v>
                </c:pt>
                <c:pt idx="47">
                  <c:v>0.36407766990291263</c:v>
                </c:pt>
                <c:pt idx="48">
                  <c:v>0.36966824644549762</c:v>
                </c:pt>
                <c:pt idx="49">
                  <c:v>0.37296037296037299</c:v>
                </c:pt>
                <c:pt idx="50">
                  <c:v>0.36842105263157893</c:v>
                </c:pt>
                <c:pt idx="51">
                  <c:v>0.3724604966139955</c:v>
                </c:pt>
                <c:pt idx="52">
                  <c:v>0.37333333333333335</c:v>
                </c:pt>
                <c:pt idx="53">
                  <c:v>0.36899563318777295</c:v>
                </c:pt>
                <c:pt idx="54">
                  <c:v>0.37130801687763715</c:v>
                </c:pt>
                <c:pt idx="55">
                  <c:v>0.36776859504132231</c:v>
                </c:pt>
                <c:pt idx="56">
                  <c:v>0.36456211812627293</c:v>
                </c:pt>
                <c:pt idx="57">
                  <c:v>0.36363636363636365</c:v>
                </c:pt>
                <c:pt idx="58">
                  <c:v>0.36220472440944884</c:v>
                </c:pt>
                <c:pt idx="59">
                  <c:v>0.36434108527131781</c:v>
                </c:pt>
                <c:pt idx="60">
                  <c:v>0.36608863198458574</c:v>
                </c:pt>
                <c:pt idx="61">
                  <c:v>0.36174242424242425</c:v>
                </c:pt>
                <c:pt idx="62">
                  <c:v>0.35887850467289717</c:v>
                </c:pt>
                <c:pt idx="63">
                  <c:v>0.3596330275229358</c:v>
                </c:pt>
                <c:pt idx="64">
                  <c:v>0.3579136690647482</c:v>
                </c:pt>
                <c:pt idx="65">
                  <c:v>0.35879218472468916</c:v>
                </c:pt>
                <c:pt idx="66">
                  <c:v>0.35602094240837695</c:v>
                </c:pt>
                <c:pt idx="67">
                  <c:v>0.35689655172413792</c:v>
                </c:pt>
                <c:pt idx="68">
                  <c:v>0.35204081632653061</c:v>
                </c:pt>
                <c:pt idx="69">
                  <c:v>0.35175879396984927</c:v>
                </c:pt>
                <c:pt idx="70">
                  <c:v>0.35041322314049589</c:v>
                </c:pt>
                <c:pt idx="71">
                  <c:v>0.34584013050570961</c:v>
                </c:pt>
                <c:pt idx="72">
                  <c:v>0.34460547504025762</c:v>
                </c:pt>
                <c:pt idx="73">
                  <c:v>0.34076433121019106</c:v>
                </c:pt>
                <c:pt idx="74">
                  <c:v>0.3449367088607595</c:v>
                </c:pt>
                <c:pt idx="75">
                  <c:v>0.34267912772585668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989898989898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たかの2!$H$3:$H$78</c:f>
              <c:numCache>
                <c:formatCode>0.0%</c:formatCode>
                <c:ptCount val="76"/>
                <c:pt idx="1">
                  <c:v>0.14285714285714285</c:v>
                </c:pt>
                <c:pt idx="2">
                  <c:v>0.125</c:v>
                </c:pt>
                <c:pt idx="3">
                  <c:v>0.1</c:v>
                </c:pt>
                <c:pt idx="4">
                  <c:v>0.10714285714285714</c:v>
                </c:pt>
                <c:pt idx="5">
                  <c:v>0.125</c:v>
                </c:pt>
                <c:pt idx="6">
                  <c:v>0.1702127659574468</c:v>
                </c:pt>
                <c:pt idx="7">
                  <c:v>0.16363636363636364</c:v>
                </c:pt>
                <c:pt idx="8">
                  <c:v>0.16393442622950818</c:v>
                </c:pt>
                <c:pt idx="9">
                  <c:v>0.18309859154929578</c:v>
                </c:pt>
                <c:pt idx="10">
                  <c:v>0.16883116883116883</c:v>
                </c:pt>
                <c:pt idx="11">
                  <c:v>0.14606741573033707</c:v>
                </c:pt>
                <c:pt idx="12">
                  <c:v>0.15625</c:v>
                </c:pt>
                <c:pt idx="13">
                  <c:v>0.16190476190476191</c:v>
                </c:pt>
                <c:pt idx="14">
                  <c:v>0.15315315315315314</c:v>
                </c:pt>
                <c:pt idx="15">
                  <c:v>0.15966386554621848</c:v>
                </c:pt>
                <c:pt idx="16">
                  <c:v>0.15322580645161291</c:v>
                </c:pt>
                <c:pt idx="17">
                  <c:v>0.14393939393939395</c:v>
                </c:pt>
                <c:pt idx="18">
                  <c:v>0.1357142857142857</c:v>
                </c:pt>
                <c:pt idx="19">
                  <c:v>0.1360544217687075</c:v>
                </c:pt>
                <c:pt idx="20">
                  <c:v>0.13580246913580246</c:v>
                </c:pt>
                <c:pt idx="21">
                  <c:v>0.13294797687861271</c:v>
                </c:pt>
                <c:pt idx="22">
                  <c:v>0.13736263736263737</c:v>
                </c:pt>
                <c:pt idx="23">
                  <c:v>0.14285714285714285</c:v>
                </c:pt>
                <c:pt idx="24">
                  <c:v>0.13846153846153847</c:v>
                </c:pt>
                <c:pt idx="25">
                  <c:v>0.14563106796116504</c:v>
                </c:pt>
                <c:pt idx="26">
                  <c:v>0.14018691588785046</c:v>
                </c:pt>
                <c:pt idx="27">
                  <c:v>0.13452914798206278</c:v>
                </c:pt>
                <c:pt idx="28">
                  <c:v>0.14592274678111589</c:v>
                </c:pt>
                <c:pt idx="29">
                  <c:v>0.1440329218106996</c:v>
                </c:pt>
                <c:pt idx="30">
                  <c:v>0.14509803921568629</c:v>
                </c:pt>
                <c:pt idx="31">
                  <c:v>0.14503816793893129</c:v>
                </c:pt>
                <c:pt idx="32">
                  <c:v>0.14285714285714285</c:v>
                </c:pt>
                <c:pt idx="33">
                  <c:v>0.14184397163120568</c:v>
                </c:pt>
                <c:pt idx="34">
                  <c:v>0.14878892733564014</c:v>
                </c:pt>
                <c:pt idx="35">
                  <c:v>0.14814814814814814</c:v>
                </c:pt>
                <c:pt idx="36">
                  <c:v>0.14473684210526316</c:v>
                </c:pt>
                <c:pt idx="37">
                  <c:v>0.14102564102564102</c:v>
                </c:pt>
                <c:pt idx="38">
                  <c:v>0.14506172839506173</c:v>
                </c:pt>
                <c:pt idx="39">
                  <c:v>0.14156626506024098</c:v>
                </c:pt>
                <c:pt idx="40">
                  <c:v>0.14035087719298245</c:v>
                </c:pt>
                <c:pt idx="41">
                  <c:v>0.1396011396011396</c:v>
                </c:pt>
                <c:pt idx="42">
                  <c:v>0.1358695652173913</c:v>
                </c:pt>
                <c:pt idx="43">
                  <c:v>0.14133333333333334</c:v>
                </c:pt>
                <c:pt idx="44">
                  <c:v>0.13766233766233765</c:v>
                </c:pt>
                <c:pt idx="45">
                  <c:v>0.13520408163265307</c:v>
                </c:pt>
                <c:pt idx="46">
                  <c:v>0.13399503722084366</c:v>
                </c:pt>
                <c:pt idx="47">
                  <c:v>0.13349514563106796</c:v>
                </c:pt>
                <c:pt idx="48">
                  <c:v>0.13033175355450238</c:v>
                </c:pt>
                <c:pt idx="49">
                  <c:v>0.13053613053613053</c:v>
                </c:pt>
                <c:pt idx="50">
                  <c:v>0.13043478260869565</c:v>
                </c:pt>
                <c:pt idx="51">
                  <c:v>0.12866817155756208</c:v>
                </c:pt>
                <c:pt idx="52">
                  <c:v>0.13333333333333333</c:v>
                </c:pt>
                <c:pt idx="53">
                  <c:v>0.1331877729257642</c:v>
                </c:pt>
                <c:pt idx="54">
                  <c:v>0.13291139240506328</c:v>
                </c:pt>
                <c:pt idx="55">
                  <c:v>0.13016528925619836</c:v>
                </c:pt>
                <c:pt idx="56">
                  <c:v>0.13238289205702647</c:v>
                </c:pt>
                <c:pt idx="57">
                  <c:v>0.13131313131313133</c:v>
                </c:pt>
                <c:pt idx="58">
                  <c:v>0.12992125984251968</c:v>
                </c:pt>
                <c:pt idx="59">
                  <c:v>0.12790697674418605</c:v>
                </c:pt>
                <c:pt idx="60">
                  <c:v>0.12716763005780346</c:v>
                </c:pt>
                <c:pt idx="61">
                  <c:v>0.12878787878787878</c:v>
                </c:pt>
                <c:pt idx="62">
                  <c:v>0.12897196261682242</c:v>
                </c:pt>
                <c:pt idx="63">
                  <c:v>0.13027522935779817</c:v>
                </c:pt>
                <c:pt idx="64">
                  <c:v>0.12949640287769784</c:v>
                </c:pt>
                <c:pt idx="65">
                  <c:v>0.12966252220248667</c:v>
                </c:pt>
                <c:pt idx="66">
                  <c:v>0.13263525305410123</c:v>
                </c:pt>
                <c:pt idx="67">
                  <c:v>0.13275862068965516</c:v>
                </c:pt>
                <c:pt idx="68">
                  <c:v>0.1326530612244898</c:v>
                </c:pt>
                <c:pt idx="69">
                  <c:v>0.13400335008375208</c:v>
                </c:pt>
                <c:pt idx="70">
                  <c:v>0.13388429752066117</c:v>
                </c:pt>
                <c:pt idx="71">
                  <c:v>0.13703099510603589</c:v>
                </c:pt>
                <c:pt idx="72">
                  <c:v>0.13687600644122383</c:v>
                </c:pt>
                <c:pt idx="73">
                  <c:v>0.13853503184713375</c:v>
                </c:pt>
                <c:pt idx="74">
                  <c:v>0.13765822784810128</c:v>
                </c:pt>
                <c:pt idx="75">
                  <c:v>0.13862928348909656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227731864095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たかの2!$I$3:$I$78</c:f>
              <c:numCache>
                <c:formatCode>0</c:formatCode>
                <c:ptCount val="76"/>
                <c:pt idx="1">
                  <c:v>8000</c:v>
                </c:pt>
                <c:pt idx="2">
                  <c:v>5050</c:v>
                </c:pt>
                <c:pt idx="3">
                  <c:v>3520</c:v>
                </c:pt>
                <c:pt idx="4">
                  <c:v>4662.5</c:v>
                </c:pt>
                <c:pt idx="5">
                  <c:v>5318.181818181818</c:v>
                </c:pt>
                <c:pt idx="6">
                  <c:v>5121.4285714285716</c:v>
                </c:pt>
                <c:pt idx="7">
                  <c:v>5858.8235294117649</c:v>
                </c:pt>
                <c:pt idx="8">
                  <c:v>5858.8235294117649</c:v>
                </c:pt>
                <c:pt idx="9">
                  <c:v>6409.5238095238092</c:v>
                </c:pt>
                <c:pt idx="10">
                  <c:v>6788.8888888888887</c:v>
                </c:pt>
                <c:pt idx="11">
                  <c:v>6690.909090909091</c:v>
                </c:pt>
                <c:pt idx="12">
                  <c:v>6500</c:v>
                </c:pt>
                <c:pt idx="13">
                  <c:v>6339.4736842105267</c:v>
                </c:pt>
                <c:pt idx="14">
                  <c:v>6382.0512820512822</c:v>
                </c:pt>
                <c:pt idx="15">
                  <c:v>6382.0512820512822</c:v>
                </c:pt>
                <c:pt idx="16">
                  <c:v>6422.5</c:v>
                </c:pt>
                <c:pt idx="17">
                  <c:v>6330.2325581395353</c:v>
                </c:pt>
                <c:pt idx="18">
                  <c:v>6131.9148936170213</c:v>
                </c:pt>
                <c:pt idx="19">
                  <c:v>6884.3137254901958</c:v>
                </c:pt>
                <c:pt idx="20">
                  <c:v>6710.3448275862065</c:v>
                </c:pt>
                <c:pt idx="21">
                  <c:v>6804.9180327868853</c:v>
                </c:pt>
                <c:pt idx="22">
                  <c:v>6749.2063492063489</c:v>
                </c:pt>
                <c:pt idx="23">
                  <c:v>6749.2063492063489</c:v>
                </c:pt>
                <c:pt idx="24">
                  <c:v>7256.7164179104475</c:v>
                </c:pt>
                <c:pt idx="25">
                  <c:v>7145.070422535211</c:v>
                </c:pt>
                <c:pt idx="26">
                  <c:v>6987.8378378378375</c:v>
                </c:pt>
                <c:pt idx="27">
                  <c:v>7038.1578947368425</c:v>
                </c:pt>
                <c:pt idx="28">
                  <c:v>6993.75</c:v>
                </c:pt>
                <c:pt idx="29">
                  <c:v>7065.1162790697672</c:v>
                </c:pt>
                <c:pt idx="30">
                  <c:v>7180.8988764044943</c:v>
                </c:pt>
                <c:pt idx="31">
                  <c:v>7370.652173913043</c:v>
                </c:pt>
                <c:pt idx="32">
                  <c:v>7340.625</c:v>
                </c:pt>
                <c:pt idx="33">
                  <c:v>7260.2040816326535</c:v>
                </c:pt>
                <c:pt idx="34">
                  <c:v>7256</c:v>
                </c:pt>
                <c:pt idx="35">
                  <c:v>7118.2692307692305</c:v>
                </c:pt>
                <c:pt idx="36">
                  <c:v>7055.1401869158881</c:v>
                </c:pt>
                <c:pt idx="37">
                  <c:v>7009.9099099099103</c:v>
                </c:pt>
                <c:pt idx="38">
                  <c:v>6950.4273504273506</c:v>
                </c:pt>
                <c:pt idx="39">
                  <c:v>6833.0578512396696</c:v>
                </c:pt>
                <c:pt idx="40">
                  <c:v>6813.6</c:v>
                </c:pt>
                <c:pt idx="41">
                  <c:v>6808.5271317829456</c:v>
                </c:pt>
                <c:pt idx="42">
                  <c:v>6739.2592592592591</c:v>
                </c:pt>
                <c:pt idx="43">
                  <c:v>6741.6058394160582</c:v>
                </c:pt>
                <c:pt idx="44">
                  <c:v>6724.2857142857147</c:v>
                </c:pt>
                <c:pt idx="45">
                  <c:v>6638.4615384615381</c:v>
                </c:pt>
                <c:pt idx="46">
                  <c:v>6645.27027027027</c:v>
                </c:pt>
                <c:pt idx="47">
                  <c:v>6696</c:v>
                </c:pt>
                <c:pt idx="48">
                  <c:v>6666.0256410256407</c:v>
                </c:pt>
                <c:pt idx="49">
                  <c:v>6588.75</c:v>
                </c:pt>
                <c:pt idx="50">
                  <c:v>6597.5155279503106</c:v>
                </c:pt>
                <c:pt idx="51">
                  <c:v>6523.030303030303</c:v>
                </c:pt>
                <c:pt idx="52">
                  <c:v>6516.0714285714284</c:v>
                </c:pt>
                <c:pt idx="53">
                  <c:v>6523.0769230769229</c:v>
                </c:pt>
                <c:pt idx="54">
                  <c:v>6500.568181818182</c:v>
                </c:pt>
                <c:pt idx="55">
                  <c:v>6504.4943820224717</c:v>
                </c:pt>
                <c:pt idx="56">
                  <c:v>6535.1955307262569</c:v>
                </c:pt>
                <c:pt idx="57">
                  <c:v>6510</c:v>
                </c:pt>
                <c:pt idx="58">
                  <c:v>6528.260869565217</c:v>
                </c:pt>
                <c:pt idx="59">
                  <c:v>6579.255319148936</c:v>
                </c:pt>
                <c:pt idx="60">
                  <c:v>6636.3157894736842</c:v>
                </c:pt>
                <c:pt idx="61">
                  <c:v>6628.7958115183246</c:v>
                </c:pt>
                <c:pt idx="62">
                  <c:v>6635.9375</c:v>
                </c:pt>
                <c:pt idx="63">
                  <c:v>6662.2448979591836</c:v>
                </c:pt>
                <c:pt idx="64">
                  <c:v>6665.8291457286432</c:v>
                </c:pt>
                <c:pt idx="65">
                  <c:v>6670.7920792079212</c:v>
                </c:pt>
                <c:pt idx="66">
                  <c:v>6635.7843137254904</c:v>
                </c:pt>
                <c:pt idx="67">
                  <c:v>6609.6618357487923</c:v>
                </c:pt>
                <c:pt idx="68">
                  <c:v>6609.6618357487923</c:v>
                </c:pt>
                <c:pt idx="69">
                  <c:v>6635.7142857142853</c:v>
                </c:pt>
                <c:pt idx="70">
                  <c:v>6620.7547169811323</c:v>
                </c:pt>
                <c:pt idx="71">
                  <c:v>6620.7547169811323</c:v>
                </c:pt>
                <c:pt idx="72">
                  <c:v>6643.4579439252338</c:v>
                </c:pt>
                <c:pt idx="73">
                  <c:v>6643.4579439252338</c:v>
                </c:pt>
                <c:pt idx="74">
                  <c:v>6722.4770642201838</c:v>
                </c:pt>
                <c:pt idx="75">
                  <c:v>6727.727272727273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56.75675675675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たかの2!$J$3:$J$78</c:f>
              <c:numCache>
                <c:formatCode>0</c:formatCode>
                <c:ptCount val="76"/>
                <c:pt idx="1">
                  <c:v>-3900</c:v>
                </c:pt>
                <c:pt idx="2">
                  <c:v>-6750</c:v>
                </c:pt>
                <c:pt idx="3">
                  <c:v>-6750</c:v>
                </c:pt>
                <c:pt idx="4">
                  <c:v>-8366.6666666666661</c:v>
                </c:pt>
                <c:pt idx="5">
                  <c:v>-7400</c:v>
                </c:pt>
                <c:pt idx="6">
                  <c:v>-6487.5</c:v>
                </c:pt>
                <c:pt idx="7">
                  <c:v>-7100</c:v>
                </c:pt>
                <c:pt idx="8">
                  <c:v>-7190</c:v>
                </c:pt>
                <c:pt idx="9">
                  <c:v>-7530.7692307692305</c:v>
                </c:pt>
                <c:pt idx="10">
                  <c:v>-7530.7692307692305</c:v>
                </c:pt>
                <c:pt idx="11">
                  <c:v>-7530.7692307692305</c:v>
                </c:pt>
                <c:pt idx="12">
                  <c:v>-7213.333333333333</c:v>
                </c:pt>
                <c:pt idx="13">
                  <c:v>-7376.4705882352937</c:v>
                </c:pt>
                <c:pt idx="14">
                  <c:v>-7376.4705882352937</c:v>
                </c:pt>
                <c:pt idx="15">
                  <c:v>-8494.7368421052633</c:v>
                </c:pt>
                <c:pt idx="16">
                  <c:v>-8494.7368421052633</c:v>
                </c:pt>
                <c:pt idx="17">
                  <c:v>-8494.7368421052633</c:v>
                </c:pt>
                <c:pt idx="18">
                  <c:v>-8494.7368421052633</c:v>
                </c:pt>
                <c:pt idx="19">
                  <c:v>-8670</c:v>
                </c:pt>
                <c:pt idx="20">
                  <c:v>-8440.9090909090901</c:v>
                </c:pt>
                <c:pt idx="21">
                  <c:v>-8160.869565217391</c:v>
                </c:pt>
                <c:pt idx="22">
                  <c:v>-8384</c:v>
                </c:pt>
                <c:pt idx="23">
                  <c:v>-8785.1851851851843</c:v>
                </c:pt>
                <c:pt idx="24">
                  <c:v>-8785.1851851851843</c:v>
                </c:pt>
                <c:pt idx="25">
                  <c:v>-8900</c:v>
                </c:pt>
                <c:pt idx="26">
                  <c:v>-8900</c:v>
                </c:pt>
                <c:pt idx="27">
                  <c:v>-8900</c:v>
                </c:pt>
                <c:pt idx="28">
                  <c:v>-8932.3529411764703</c:v>
                </c:pt>
                <c:pt idx="29">
                  <c:v>-8751.4285714285706</c:v>
                </c:pt>
                <c:pt idx="30">
                  <c:v>-8851.3513513513517</c:v>
                </c:pt>
                <c:pt idx="31">
                  <c:v>-8686.8421052631584</c:v>
                </c:pt>
                <c:pt idx="32">
                  <c:v>-8612.8205128205136</c:v>
                </c:pt>
                <c:pt idx="33">
                  <c:v>-8495</c:v>
                </c:pt>
                <c:pt idx="34">
                  <c:v>-8306.9767441860458</c:v>
                </c:pt>
                <c:pt idx="35">
                  <c:v>-8481.818181818182</c:v>
                </c:pt>
                <c:pt idx="36">
                  <c:v>-8481.818181818182</c:v>
                </c:pt>
                <c:pt idx="37">
                  <c:v>-8481.818181818182</c:v>
                </c:pt>
                <c:pt idx="38">
                  <c:v>-8706.3829787234044</c:v>
                </c:pt>
                <c:pt idx="39">
                  <c:v>-8706.3829787234044</c:v>
                </c:pt>
                <c:pt idx="40">
                  <c:v>-8858.3333333333339</c:v>
                </c:pt>
                <c:pt idx="41">
                  <c:v>-8834.6938775510207</c:v>
                </c:pt>
                <c:pt idx="42">
                  <c:v>-8898</c:v>
                </c:pt>
                <c:pt idx="43">
                  <c:v>-9500</c:v>
                </c:pt>
                <c:pt idx="44">
                  <c:v>-9500</c:v>
                </c:pt>
                <c:pt idx="45">
                  <c:v>-9500</c:v>
                </c:pt>
                <c:pt idx="46">
                  <c:v>-9546.2962962962956</c:v>
                </c:pt>
                <c:pt idx="47">
                  <c:v>-9443.636363636364</c:v>
                </c:pt>
                <c:pt idx="48">
                  <c:v>-9443.636363636364</c:v>
                </c:pt>
                <c:pt idx="49">
                  <c:v>-9412.5</c:v>
                </c:pt>
                <c:pt idx="50">
                  <c:v>-9282.4561403508778</c:v>
                </c:pt>
                <c:pt idx="51">
                  <c:v>-9282.4561403508778</c:v>
                </c:pt>
                <c:pt idx="52">
                  <c:v>-9285</c:v>
                </c:pt>
                <c:pt idx="53">
                  <c:v>-9157.377049180328</c:v>
                </c:pt>
                <c:pt idx="54">
                  <c:v>-9374.6031746031749</c:v>
                </c:pt>
                <c:pt idx="55">
                  <c:v>-9374.6031746031749</c:v>
                </c:pt>
                <c:pt idx="56">
                  <c:v>-9289.2307692307695</c:v>
                </c:pt>
                <c:pt idx="57">
                  <c:v>-9289.2307692307695</c:v>
                </c:pt>
                <c:pt idx="58">
                  <c:v>-9269.69696969697</c:v>
                </c:pt>
                <c:pt idx="59">
                  <c:v>-9269.69696969697</c:v>
                </c:pt>
                <c:pt idx="60">
                  <c:v>-9269.69696969697</c:v>
                </c:pt>
                <c:pt idx="61">
                  <c:v>-9379.4117647058829</c:v>
                </c:pt>
                <c:pt idx="62">
                  <c:v>-9417.391304347826</c:v>
                </c:pt>
                <c:pt idx="63">
                  <c:v>-9350.7042253521122</c:v>
                </c:pt>
                <c:pt idx="64">
                  <c:v>-9381.9444444444453</c:v>
                </c:pt>
                <c:pt idx="65">
                  <c:v>-9324.6575342465749</c:v>
                </c:pt>
                <c:pt idx="66">
                  <c:v>-9127.6315789473683</c:v>
                </c:pt>
                <c:pt idx="67">
                  <c:v>-9035.0649350649346</c:v>
                </c:pt>
                <c:pt idx="68">
                  <c:v>-9073.0769230769238</c:v>
                </c:pt>
                <c:pt idx="69">
                  <c:v>-8927.5</c:v>
                </c:pt>
                <c:pt idx="70">
                  <c:v>-8912.3456790123455</c:v>
                </c:pt>
                <c:pt idx="71">
                  <c:v>-8695.2380952380954</c:v>
                </c:pt>
                <c:pt idx="72">
                  <c:v>-8638.823529411764</c:v>
                </c:pt>
                <c:pt idx="73">
                  <c:v>-8577.0114942528744</c:v>
                </c:pt>
                <c:pt idx="74">
                  <c:v>-8577.0114942528744</c:v>
                </c:pt>
                <c:pt idx="75">
                  <c:v>-8564.0449438202249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84.38864628820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たかの2!$K$3:$K$78</c:f>
              <c:numCache>
                <c:formatCode>0.0%</c:formatCode>
                <c:ptCount val="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6.9767441860465115E-2</c:v>
                </c:pt>
                <c:pt idx="44">
                  <c:v>6.8181818181818177E-2</c:v>
                </c:pt>
                <c:pt idx="45">
                  <c:v>6.6666666666666666E-2</c:v>
                </c:pt>
                <c:pt idx="46">
                  <c:v>6.5217391304347824E-2</c:v>
                </c:pt>
                <c:pt idx="47">
                  <c:v>6.3829787234042548E-2</c:v>
                </c:pt>
                <c:pt idx="48">
                  <c:v>6.25E-2</c:v>
                </c:pt>
                <c:pt idx="49">
                  <c:v>6.1224489795918366E-2</c:v>
                </c:pt>
                <c:pt idx="50">
                  <c:v>0.06</c:v>
                </c:pt>
                <c:pt idx="51">
                  <c:v>5.8823529411764705E-2</c:v>
                </c:pt>
                <c:pt idx="52">
                  <c:v>5.7692307692307696E-2</c:v>
                </c:pt>
                <c:pt idx="53">
                  <c:v>5.6603773584905662E-2</c:v>
                </c:pt>
                <c:pt idx="54">
                  <c:v>5.5555555555555552E-2</c:v>
                </c:pt>
                <c:pt idx="55">
                  <c:v>5.4545454545454543E-2</c:v>
                </c:pt>
                <c:pt idx="56">
                  <c:v>5.3571428571428568E-2</c:v>
                </c:pt>
                <c:pt idx="57">
                  <c:v>5.2631578947368418E-2</c:v>
                </c:pt>
                <c:pt idx="58">
                  <c:v>5.1724137931034482E-2</c:v>
                </c:pt>
                <c:pt idx="59">
                  <c:v>5.0847457627118647E-2</c:v>
                </c:pt>
                <c:pt idx="60">
                  <c:v>0.05</c:v>
                </c:pt>
                <c:pt idx="61">
                  <c:v>4.9180327868852458E-2</c:v>
                </c:pt>
                <c:pt idx="62">
                  <c:v>4.8387096774193547E-2</c:v>
                </c:pt>
                <c:pt idx="63">
                  <c:v>4.7619047619047616E-2</c:v>
                </c:pt>
                <c:pt idx="64">
                  <c:v>4.6875E-2</c:v>
                </c:pt>
                <c:pt idx="65">
                  <c:v>4.6153846153846156E-2</c:v>
                </c:pt>
                <c:pt idx="66">
                  <c:v>4.5454545454545456E-2</c:v>
                </c:pt>
                <c:pt idx="67">
                  <c:v>4.4776119402985072E-2</c:v>
                </c:pt>
                <c:pt idx="68">
                  <c:v>4.4117647058823532E-2</c:v>
                </c:pt>
                <c:pt idx="69">
                  <c:v>4.3478260869565216E-2</c:v>
                </c:pt>
                <c:pt idx="70">
                  <c:v>4.2857142857142858E-2</c:v>
                </c:pt>
                <c:pt idx="71">
                  <c:v>4.2253521126760563E-2</c:v>
                </c:pt>
                <c:pt idx="72">
                  <c:v>4.1666666666666664E-2</c:v>
                </c:pt>
                <c:pt idx="73">
                  <c:v>5.4794520547945202E-2</c:v>
                </c:pt>
                <c:pt idx="74">
                  <c:v>5.4054054054054057E-2</c:v>
                </c:pt>
                <c:pt idx="75">
                  <c:v>5.3333333333333337E-2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7737003058103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たかの2!$L$3:$L$78</c:f>
              <c:numCache>
                <c:formatCode>0.0%</c:formatCode>
                <c:ptCount val="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0.125</c:v>
                </c:pt>
                <c:pt idx="49">
                  <c:v>0.12244897959183673</c:v>
                </c:pt>
                <c:pt idx="50">
                  <c:v>0.12</c:v>
                </c:pt>
                <c:pt idx="51">
                  <c:v>0.11764705882352941</c:v>
                </c:pt>
                <c:pt idx="52">
                  <c:v>0.11538461538461539</c:v>
                </c:pt>
                <c:pt idx="53">
                  <c:v>0.11320754716981132</c:v>
                </c:pt>
                <c:pt idx="54">
                  <c:v>0.1111111111111111</c:v>
                </c:pt>
                <c:pt idx="55">
                  <c:v>0.10909090909090909</c:v>
                </c:pt>
                <c:pt idx="56">
                  <c:v>0.10714285714285714</c:v>
                </c:pt>
                <c:pt idx="57">
                  <c:v>0.10526315789473684</c:v>
                </c:pt>
                <c:pt idx="58">
                  <c:v>0.10344827586206896</c:v>
                </c:pt>
                <c:pt idx="59">
                  <c:v>0.10169491525423729</c:v>
                </c:pt>
                <c:pt idx="60">
                  <c:v>0.11666666666666667</c:v>
                </c:pt>
                <c:pt idx="61">
                  <c:v>0.11475409836065574</c:v>
                </c:pt>
                <c:pt idx="62">
                  <c:v>0.11290322580645161</c:v>
                </c:pt>
                <c:pt idx="63">
                  <c:v>0.1111111111111111</c:v>
                </c:pt>
                <c:pt idx="64">
                  <c:v>0.109375</c:v>
                </c:pt>
                <c:pt idx="65">
                  <c:v>0.1076923076923077</c:v>
                </c:pt>
                <c:pt idx="66">
                  <c:v>0.10606060606060606</c:v>
                </c:pt>
                <c:pt idx="67">
                  <c:v>0.1044776119402985</c:v>
                </c:pt>
                <c:pt idx="68">
                  <c:v>0.10294117647058823</c:v>
                </c:pt>
                <c:pt idx="69">
                  <c:v>0.10144927536231885</c:v>
                </c:pt>
                <c:pt idx="70">
                  <c:v>0.1</c:v>
                </c:pt>
                <c:pt idx="71">
                  <c:v>9.8591549295774641E-2</c:v>
                </c:pt>
                <c:pt idx="72">
                  <c:v>9.7222222222222224E-2</c:v>
                </c:pt>
                <c:pt idx="73">
                  <c:v>9.5890410958904104E-2</c:v>
                </c:pt>
                <c:pt idx="74">
                  <c:v>0.10810810810810811</c:v>
                </c:pt>
                <c:pt idx="75">
                  <c:v>0.10666666666666667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7737003058103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たかの2!$M$3:$M$78</c:f>
              <c:numCache>
                <c:formatCode>0.0%</c:formatCode>
                <c:ptCount val="76"/>
                <c:pt idx="1">
                  <c:v>0</c:v>
                </c:pt>
                <c:pt idx="2">
                  <c:v>0.125</c:v>
                </c:pt>
                <c:pt idx="3">
                  <c:v>0.15</c:v>
                </c:pt>
                <c:pt idx="4">
                  <c:v>0.14285714285714285</c:v>
                </c:pt>
                <c:pt idx="5">
                  <c:v>0.15</c:v>
                </c:pt>
                <c:pt idx="6">
                  <c:v>0.14893617021276595</c:v>
                </c:pt>
                <c:pt idx="7">
                  <c:v>0.18181818181818182</c:v>
                </c:pt>
                <c:pt idx="8">
                  <c:v>0.18032786885245902</c:v>
                </c:pt>
                <c:pt idx="9">
                  <c:v>0.18309859154929578</c:v>
                </c:pt>
                <c:pt idx="10">
                  <c:v>0.23376623376623376</c:v>
                </c:pt>
                <c:pt idx="11">
                  <c:v>0.2247191011235955</c:v>
                </c:pt>
                <c:pt idx="12">
                  <c:v>0.20833333333333334</c:v>
                </c:pt>
                <c:pt idx="13">
                  <c:v>0.2</c:v>
                </c:pt>
                <c:pt idx="14">
                  <c:v>0.2072072072072072</c:v>
                </c:pt>
                <c:pt idx="15">
                  <c:v>0.20168067226890757</c:v>
                </c:pt>
                <c:pt idx="16">
                  <c:v>0.20161290322580644</c:v>
                </c:pt>
                <c:pt idx="17">
                  <c:v>0.20454545454545456</c:v>
                </c:pt>
                <c:pt idx="18">
                  <c:v>0.2</c:v>
                </c:pt>
                <c:pt idx="19">
                  <c:v>0.21088435374149661</c:v>
                </c:pt>
                <c:pt idx="20">
                  <c:v>0.20987654320987653</c:v>
                </c:pt>
                <c:pt idx="21">
                  <c:v>0.2138728323699422</c:v>
                </c:pt>
                <c:pt idx="22">
                  <c:v>0.21978021978021978</c:v>
                </c:pt>
                <c:pt idx="23">
                  <c:v>0.2275132275132275</c:v>
                </c:pt>
                <c:pt idx="24">
                  <c:v>0.23589743589743589</c:v>
                </c:pt>
                <c:pt idx="25">
                  <c:v>0.23300970873786409</c:v>
                </c:pt>
                <c:pt idx="26">
                  <c:v>0.23364485981308411</c:v>
                </c:pt>
                <c:pt idx="27">
                  <c:v>0.22421524663677131</c:v>
                </c:pt>
                <c:pt idx="28">
                  <c:v>0.22317596566523606</c:v>
                </c:pt>
                <c:pt idx="29">
                  <c:v>0.22633744855967078</c:v>
                </c:pt>
                <c:pt idx="30">
                  <c:v>0.21568627450980393</c:v>
                </c:pt>
                <c:pt idx="31">
                  <c:v>0.22137404580152673</c:v>
                </c:pt>
                <c:pt idx="32">
                  <c:v>0.21978021978021978</c:v>
                </c:pt>
                <c:pt idx="33">
                  <c:v>0.22695035460992907</c:v>
                </c:pt>
                <c:pt idx="34">
                  <c:v>0.23183391003460208</c:v>
                </c:pt>
                <c:pt idx="35">
                  <c:v>0.22895622895622897</c:v>
                </c:pt>
                <c:pt idx="36">
                  <c:v>0.23026315789473684</c:v>
                </c:pt>
                <c:pt idx="37">
                  <c:v>0.23076923076923078</c:v>
                </c:pt>
                <c:pt idx="38">
                  <c:v>0.23148148148148148</c:v>
                </c:pt>
                <c:pt idx="39">
                  <c:v>0.2289156626506024</c:v>
                </c:pt>
                <c:pt idx="40">
                  <c:v>0.23391812865497075</c:v>
                </c:pt>
                <c:pt idx="41">
                  <c:v>0.23646723646723647</c:v>
                </c:pt>
                <c:pt idx="42">
                  <c:v>0.23369565217391305</c:v>
                </c:pt>
                <c:pt idx="43">
                  <c:v>0.23200000000000001</c:v>
                </c:pt>
                <c:pt idx="44">
                  <c:v>0.23376623376623376</c:v>
                </c:pt>
                <c:pt idx="45">
                  <c:v>0.22959183673469388</c:v>
                </c:pt>
                <c:pt idx="46">
                  <c:v>0.22580645161290322</c:v>
                </c:pt>
                <c:pt idx="47">
                  <c:v>0.22330097087378642</c:v>
                </c:pt>
                <c:pt idx="48">
                  <c:v>0.22274881516587677</c:v>
                </c:pt>
                <c:pt idx="49">
                  <c:v>0.21911421911421911</c:v>
                </c:pt>
                <c:pt idx="50">
                  <c:v>0.2219679633867277</c:v>
                </c:pt>
                <c:pt idx="51">
                  <c:v>0.21896162528216703</c:v>
                </c:pt>
                <c:pt idx="52">
                  <c:v>0.22222222222222221</c:v>
                </c:pt>
                <c:pt idx="53">
                  <c:v>0.2205240174672489</c:v>
                </c:pt>
                <c:pt idx="54">
                  <c:v>0.22151898734177214</c:v>
                </c:pt>
                <c:pt idx="55">
                  <c:v>0.21694214876033058</c:v>
                </c:pt>
                <c:pt idx="56">
                  <c:v>0.21588594704684319</c:v>
                </c:pt>
                <c:pt idx="57">
                  <c:v>0.21414141414141413</c:v>
                </c:pt>
                <c:pt idx="58">
                  <c:v>0.22244094488188976</c:v>
                </c:pt>
                <c:pt idx="59">
                  <c:v>0.22093023255813954</c:v>
                </c:pt>
                <c:pt idx="60">
                  <c:v>0.21965317919075145</c:v>
                </c:pt>
                <c:pt idx="61">
                  <c:v>0.2178030303030303</c:v>
                </c:pt>
                <c:pt idx="62">
                  <c:v>0.21869158878504674</c:v>
                </c:pt>
                <c:pt idx="63">
                  <c:v>0.21834862385321102</c:v>
                </c:pt>
                <c:pt idx="64">
                  <c:v>0.21942446043165467</c:v>
                </c:pt>
                <c:pt idx="65">
                  <c:v>0.2202486678507993</c:v>
                </c:pt>
                <c:pt idx="66">
                  <c:v>0.21989528795811519</c:v>
                </c:pt>
                <c:pt idx="67">
                  <c:v>0.2189655172413793</c:v>
                </c:pt>
                <c:pt idx="68">
                  <c:v>0.21598639455782312</c:v>
                </c:pt>
                <c:pt idx="69">
                  <c:v>0.21608040201005024</c:v>
                </c:pt>
                <c:pt idx="70">
                  <c:v>0.21818181818181817</c:v>
                </c:pt>
                <c:pt idx="71">
                  <c:v>0.21533442088091354</c:v>
                </c:pt>
                <c:pt idx="72">
                  <c:v>0.214170692431562</c:v>
                </c:pt>
                <c:pt idx="73">
                  <c:v>0.21178343949044587</c:v>
                </c:pt>
                <c:pt idx="74">
                  <c:v>0.21202531645569619</c:v>
                </c:pt>
                <c:pt idx="75">
                  <c:v>0.21339563862928349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9522497704315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たかの2!$N$3:$N$78</c:f>
              <c:numCache>
                <c:formatCode>0.0%</c:formatCode>
                <c:ptCount val="76"/>
                <c:pt idx="1">
                  <c:v>0.42857142857142855</c:v>
                </c:pt>
                <c:pt idx="2">
                  <c:v>0.375</c:v>
                </c:pt>
                <c:pt idx="3">
                  <c:v>0.4</c:v>
                </c:pt>
                <c:pt idx="4">
                  <c:v>0.39285714285714285</c:v>
                </c:pt>
                <c:pt idx="5">
                  <c:v>0.35</c:v>
                </c:pt>
                <c:pt idx="6">
                  <c:v>0.36170212765957449</c:v>
                </c:pt>
                <c:pt idx="7">
                  <c:v>0.34545454545454546</c:v>
                </c:pt>
                <c:pt idx="8">
                  <c:v>0.34426229508196721</c:v>
                </c:pt>
                <c:pt idx="9">
                  <c:v>0.38028169014084506</c:v>
                </c:pt>
                <c:pt idx="10">
                  <c:v>0.36363636363636365</c:v>
                </c:pt>
                <c:pt idx="11">
                  <c:v>0.3707865168539326</c:v>
                </c:pt>
                <c:pt idx="12">
                  <c:v>0.375</c:v>
                </c:pt>
                <c:pt idx="13">
                  <c:v>0.38095238095238093</c:v>
                </c:pt>
                <c:pt idx="14">
                  <c:v>0.3783783783783784</c:v>
                </c:pt>
                <c:pt idx="15">
                  <c:v>0.36974789915966388</c:v>
                </c:pt>
                <c:pt idx="16">
                  <c:v>0.35483870967741937</c:v>
                </c:pt>
                <c:pt idx="17">
                  <c:v>0.34090909090909088</c:v>
                </c:pt>
                <c:pt idx="18">
                  <c:v>0.35714285714285715</c:v>
                </c:pt>
                <c:pt idx="19">
                  <c:v>0.35374149659863946</c:v>
                </c:pt>
                <c:pt idx="20">
                  <c:v>0.36419753086419754</c:v>
                </c:pt>
                <c:pt idx="21">
                  <c:v>0.36416184971098264</c:v>
                </c:pt>
                <c:pt idx="22">
                  <c:v>0.35164835164835168</c:v>
                </c:pt>
                <c:pt idx="23">
                  <c:v>0.3439153439153439</c:v>
                </c:pt>
                <c:pt idx="24">
                  <c:v>0.33846153846153848</c:v>
                </c:pt>
                <c:pt idx="25">
                  <c:v>0.3300970873786408</c:v>
                </c:pt>
                <c:pt idx="26">
                  <c:v>0.32710280373831774</c:v>
                </c:pt>
                <c:pt idx="27">
                  <c:v>0.3452914798206278</c:v>
                </c:pt>
                <c:pt idx="28">
                  <c:v>0.33476394849785407</c:v>
                </c:pt>
                <c:pt idx="29">
                  <c:v>0.34156378600823045</c:v>
                </c:pt>
                <c:pt idx="30">
                  <c:v>0.34509803921568627</c:v>
                </c:pt>
                <c:pt idx="31">
                  <c:v>0.33969465648854963</c:v>
                </c:pt>
                <c:pt idx="32">
                  <c:v>0.32600732600732601</c:v>
                </c:pt>
                <c:pt idx="33">
                  <c:v>0.31914893617021278</c:v>
                </c:pt>
                <c:pt idx="34">
                  <c:v>0.31833910034602075</c:v>
                </c:pt>
                <c:pt idx="35">
                  <c:v>0.3164983164983165</c:v>
                </c:pt>
                <c:pt idx="36">
                  <c:v>0.3125</c:v>
                </c:pt>
                <c:pt idx="37">
                  <c:v>0.30448717948717946</c:v>
                </c:pt>
                <c:pt idx="38">
                  <c:v>0.30246913580246915</c:v>
                </c:pt>
                <c:pt idx="39">
                  <c:v>0.30120481927710846</c:v>
                </c:pt>
                <c:pt idx="40">
                  <c:v>0.30116959064327486</c:v>
                </c:pt>
                <c:pt idx="41">
                  <c:v>0.29629629629629628</c:v>
                </c:pt>
                <c:pt idx="42">
                  <c:v>0.29891304347826086</c:v>
                </c:pt>
                <c:pt idx="43">
                  <c:v>0.29866666666666669</c:v>
                </c:pt>
                <c:pt idx="44">
                  <c:v>0.29350649350649349</c:v>
                </c:pt>
                <c:pt idx="45">
                  <c:v>0.29336734693877553</c:v>
                </c:pt>
                <c:pt idx="46">
                  <c:v>0.29776674937965258</c:v>
                </c:pt>
                <c:pt idx="47">
                  <c:v>0.30339805825242716</c:v>
                </c:pt>
                <c:pt idx="48">
                  <c:v>0.30331753554502372</c:v>
                </c:pt>
                <c:pt idx="49">
                  <c:v>0.30769230769230771</c:v>
                </c:pt>
                <c:pt idx="50">
                  <c:v>0.30205949656750575</c:v>
                </c:pt>
                <c:pt idx="51">
                  <c:v>0.30474040632054178</c:v>
                </c:pt>
                <c:pt idx="52">
                  <c:v>0.30444444444444446</c:v>
                </c:pt>
                <c:pt idx="53">
                  <c:v>0.29912663755458513</c:v>
                </c:pt>
                <c:pt idx="54">
                  <c:v>0.29535864978902954</c:v>
                </c:pt>
                <c:pt idx="55">
                  <c:v>0.29545454545454547</c:v>
                </c:pt>
                <c:pt idx="56">
                  <c:v>0.29124236252545826</c:v>
                </c:pt>
                <c:pt idx="57">
                  <c:v>0.29090909090909089</c:v>
                </c:pt>
                <c:pt idx="58">
                  <c:v>0.2874015748031496</c:v>
                </c:pt>
                <c:pt idx="59">
                  <c:v>0.28875968992248063</c:v>
                </c:pt>
                <c:pt idx="60">
                  <c:v>0.2928709055876686</c:v>
                </c:pt>
                <c:pt idx="61">
                  <c:v>0.29545454545454547</c:v>
                </c:pt>
                <c:pt idx="62">
                  <c:v>0.29532710280373831</c:v>
                </c:pt>
                <c:pt idx="63">
                  <c:v>0.29541284403669726</c:v>
                </c:pt>
                <c:pt idx="64">
                  <c:v>0.29136690647482016</c:v>
                </c:pt>
                <c:pt idx="65">
                  <c:v>0.29129662522202487</c:v>
                </c:pt>
                <c:pt idx="66">
                  <c:v>0.29319371727748689</c:v>
                </c:pt>
                <c:pt idx="67">
                  <c:v>0.2982758620689655</c:v>
                </c:pt>
                <c:pt idx="68">
                  <c:v>0.29421768707482993</c:v>
                </c:pt>
                <c:pt idx="69">
                  <c:v>0.29145728643216079</c:v>
                </c:pt>
                <c:pt idx="70">
                  <c:v>0.28760330578512394</c:v>
                </c:pt>
                <c:pt idx="71">
                  <c:v>0.28711256117455136</c:v>
                </c:pt>
                <c:pt idx="72">
                  <c:v>0.28824476650563607</c:v>
                </c:pt>
                <c:pt idx="73">
                  <c:v>0.28980891719745222</c:v>
                </c:pt>
                <c:pt idx="74">
                  <c:v>0.29113924050632911</c:v>
                </c:pt>
                <c:pt idx="75">
                  <c:v>0.28971962616822428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366391184573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たかの2!$O$3:$O$78</c:f>
              <c:numCache>
                <c:formatCode>0.0%</c:formatCode>
                <c:ptCount val="7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0.5714285714285714</c:v>
                </c:pt>
                <c:pt idx="7">
                  <c:v>0.7</c:v>
                </c:pt>
                <c:pt idx="8">
                  <c:v>0.63636363636363635</c:v>
                </c:pt>
                <c:pt idx="9">
                  <c:v>0.61538461538461542</c:v>
                </c:pt>
                <c:pt idx="10">
                  <c:v>0.72222222222222221</c:v>
                </c:pt>
                <c:pt idx="11">
                  <c:v>0.7</c:v>
                </c:pt>
                <c:pt idx="12">
                  <c:v>0.7</c:v>
                </c:pt>
                <c:pt idx="13">
                  <c:v>0.66666666666666663</c:v>
                </c:pt>
                <c:pt idx="14">
                  <c:v>0.65217391304347827</c:v>
                </c:pt>
                <c:pt idx="15">
                  <c:v>0.625</c:v>
                </c:pt>
                <c:pt idx="16">
                  <c:v>0.64</c:v>
                </c:pt>
                <c:pt idx="17">
                  <c:v>0.62962962962962965</c:v>
                </c:pt>
                <c:pt idx="18">
                  <c:v>0.6071428571428571</c:v>
                </c:pt>
                <c:pt idx="19">
                  <c:v>0.64516129032258063</c:v>
                </c:pt>
                <c:pt idx="20">
                  <c:v>0.6470588235294118</c:v>
                </c:pt>
                <c:pt idx="21">
                  <c:v>0.64864864864864868</c:v>
                </c:pt>
                <c:pt idx="22">
                  <c:v>0.625</c:v>
                </c:pt>
                <c:pt idx="23">
                  <c:v>0.58139534883720934</c:v>
                </c:pt>
                <c:pt idx="24">
                  <c:v>0.58695652173913049</c:v>
                </c:pt>
                <c:pt idx="25">
                  <c:v>0.58333333333333337</c:v>
                </c:pt>
                <c:pt idx="26">
                  <c:v>0.57999999999999996</c:v>
                </c:pt>
                <c:pt idx="27">
                  <c:v>0.57999999999999996</c:v>
                </c:pt>
                <c:pt idx="28">
                  <c:v>0.57692307692307687</c:v>
                </c:pt>
                <c:pt idx="29">
                  <c:v>0.58181818181818179</c:v>
                </c:pt>
                <c:pt idx="30">
                  <c:v>0.58181818181818179</c:v>
                </c:pt>
                <c:pt idx="31">
                  <c:v>0.58620689655172409</c:v>
                </c:pt>
                <c:pt idx="32">
                  <c:v>0.58333333333333337</c:v>
                </c:pt>
                <c:pt idx="33">
                  <c:v>0.578125</c:v>
                </c:pt>
                <c:pt idx="34">
                  <c:v>0.56716417910447758</c:v>
                </c:pt>
                <c:pt idx="35">
                  <c:v>0.55882352941176472</c:v>
                </c:pt>
                <c:pt idx="36">
                  <c:v>0.5714285714285714</c:v>
                </c:pt>
                <c:pt idx="37">
                  <c:v>0.58333333333333337</c:v>
                </c:pt>
                <c:pt idx="38">
                  <c:v>0.58666666666666667</c:v>
                </c:pt>
                <c:pt idx="39">
                  <c:v>0.59210526315789469</c:v>
                </c:pt>
                <c:pt idx="40">
                  <c:v>0.58750000000000002</c:v>
                </c:pt>
                <c:pt idx="41">
                  <c:v>0.60240963855421692</c:v>
                </c:pt>
                <c:pt idx="42">
                  <c:v>0.59302325581395354</c:v>
                </c:pt>
                <c:pt idx="43">
                  <c:v>0.5977011494252874</c:v>
                </c:pt>
                <c:pt idx="44">
                  <c:v>0.6</c:v>
                </c:pt>
                <c:pt idx="45">
                  <c:v>0.6</c:v>
                </c:pt>
                <c:pt idx="46">
                  <c:v>0.60439560439560436</c:v>
                </c:pt>
                <c:pt idx="47">
                  <c:v>0.59782608695652173</c:v>
                </c:pt>
                <c:pt idx="48">
                  <c:v>0.6063829787234043</c:v>
                </c:pt>
                <c:pt idx="49">
                  <c:v>0.6063829787234043</c:v>
                </c:pt>
                <c:pt idx="50">
                  <c:v>0.58762886597938147</c:v>
                </c:pt>
                <c:pt idx="51">
                  <c:v>0.58762886597938147</c:v>
                </c:pt>
                <c:pt idx="52">
                  <c:v>0.6</c:v>
                </c:pt>
                <c:pt idx="53">
                  <c:v>0.59405940594059403</c:v>
                </c:pt>
                <c:pt idx="54">
                  <c:v>0.59047619047619049</c:v>
                </c:pt>
                <c:pt idx="55">
                  <c:v>0.59047619047619049</c:v>
                </c:pt>
                <c:pt idx="56">
                  <c:v>0.59433962264150941</c:v>
                </c:pt>
                <c:pt idx="57">
                  <c:v>0.59433962264150941</c:v>
                </c:pt>
                <c:pt idx="58">
                  <c:v>0.5752212389380531</c:v>
                </c:pt>
                <c:pt idx="59">
                  <c:v>0.57894736842105265</c:v>
                </c:pt>
                <c:pt idx="60">
                  <c:v>0.57894736842105265</c:v>
                </c:pt>
                <c:pt idx="61">
                  <c:v>0.57391304347826089</c:v>
                </c:pt>
                <c:pt idx="62">
                  <c:v>0.5641025641025641</c:v>
                </c:pt>
                <c:pt idx="63">
                  <c:v>0.56302521008403361</c:v>
                </c:pt>
                <c:pt idx="64">
                  <c:v>0.56557377049180324</c:v>
                </c:pt>
                <c:pt idx="65">
                  <c:v>0.55645161290322576</c:v>
                </c:pt>
                <c:pt idx="66">
                  <c:v>0.54761904761904767</c:v>
                </c:pt>
                <c:pt idx="67">
                  <c:v>0.55118110236220474</c:v>
                </c:pt>
                <c:pt idx="68">
                  <c:v>0.55118110236220474</c:v>
                </c:pt>
                <c:pt idx="69">
                  <c:v>0.55813953488372092</c:v>
                </c:pt>
                <c:pt idx="70">
                  <c:v>0.55303030303030298</c:v>
                </c:pt>
                <c:pt idx="71">
                  <c:v>0.55303030303030298</c:v>
                </c:pt>
                <c:pt idx="72">
                  <c:v>0.55639097744360899</c:v>
                </c:pt>
                <c:pt idx="73">
                  <c:v>0.55639097744360899</c:v>
                </c:pt>
                <c:pt idx="74">
                  <c:v>0.55970149253731338</c:v>
                </c:pt>
                <c:pt idx="75">
                  <c:v>0.56204379562043794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8186596583442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たかの2!$P$3:$P$78</c:f>
              <c:numCache>
                <c:formatCode>0.0%</c:formatCode>
                <c:ptCount val="76"/>
                <c:pt idx="1">
                  <c:v>0</c:v>
                </c:pt>
                <c:pt idx="2">
                  <c:v>0.16666666666666666</c:v>
                </c:pt>
                <c:pt idx="3">
                  <c:v>0.375</c:v>
                </c:pt>
                <c:pt idx="4">
                  <c:v>0.45454545454545453</c:v>
                </c:pt>
                <c:pt idx="5">
                  <c:v>0.42857142857142855</c:v>
                </c:pt>
                <c:pt idx="6">
                  <c:v>0.41176470588235292</c:v>
                </c:pt>
                <c:pt idx="7">
                  <c:v>0.36842105263157893</c:v>
                </c:pt>
                <c:pt idx="8">
                  <c:v>0.33333333333333331</c:v>
                </c:pt>
                <c:pt idx="9">
                  <c:v>0.37037037037037035</c:v>
                </c:pt>
                <c:pt idx="10">
                  <c:v>0.39285714285714285</c:v>
                </c:pt>
                <c:pt idx="11">
                  <c:v>0.42424242424242425</c:v>
                </c:pt>
                <c:pt idx="12">
                  <c:v>0.44444444444444442</c:v>
                </c:pt>
                <c:pt idx="13">
                  <c:v>0.45</c:v>
                </c:pt>
                <c:pt idx="14">
                  <c:v>0.42857142857142855</c:v>
                </c:pt>
                <c:pt idx="15">
                  <c:v>0.40909090909090912</c:v>
                </c:pt>
                <c:pt idx="16">
                  <c:v>0.40909090909090912</c:v>
                </c:pt>
                <c:pt idx="17">
                  <c:v>0.42222222222222222</c:v>
                </c:pt>
                <c:pt idx="18">
                  <c:v>0.44</c:v>
                </c:pt>
                <c:pt idx="19">
                  <c:v>0.44230769230769229</c:v>
                </c:pt>
                <c:pt idx="20">
                  <c:v>0.44067796610169491</c:v>
                </c:pt>
                <c:pt idx="21">
                  <c:v>0.41269841269841268</c:v>
                </c:pt>
                <c:pt idx="22">
                  <c:v>0.421875</c:v>
                </c:pt>
                <c:pt idx="23">
                  <c:v>0.41538461538461541</c:v>
                </c:pt>
                <c:pt idx="24">
                  <c:v>0.42424242424242425</c:v>
                </c:pt>
                <c:pt idx="25">
                  <c:v>0.41176470588235292</c:v>
                </c:pt>
                <c:pt idx="26">
                  <c:v>0.41428571428571431</c:v>
                </c:pt>
                <c:pt idx="27">
                  <c:v>0.40259740259740262</c:v>
                </c:pt>
                <c:pt idx="28">
                  <c:v>0.39743589743589741</c:v>
                </c:pt>
                <c:pt idx="29">
                  <c:v>0.40963855421686746</c:v>
                </c:pt>
                <c:pt idx="30">
                  <c:v>0.42045454545454547</c:v>
                </c:pt>
                <c:pt idx="31">
                  <c:v>0.4157303370786517</c:v>
                </c:pt>
                <c:pt idx="32">
                  <c:v>0.4157303370786517</c:v>
                </c:pt>
                <c:pt idx="33">
                  <c:v>0.41111111111111109</c:v>
                </c:pt>
                <c:pt idx="34">
                  <c:v>0.41304347826086957</c:v>
                </c:pt>
                <c:pt idx="35">
                  <c:v>0.42553191489361702</c:v>
                </c:pt>
                <c:pt idx="36">
                  <c:v>0.42105263157894735</c:v>
                </c:pt>
                <c:pt idx="37">
                  <c:v>0.42105263157894735</c:v>
                </c:pt>
                <c:pt idx="38">
                  <c:v>0.41836734693877553</c:v>
                </c:pt>
                <c:pt idx="39">
                  <c:v>0.42</c:v>
                </c:pt>
                <c:pt idx="40">
                  <c:v>0.41747572815533979</c:v>
                </c:pt>
                <c:pt idx="41">
                  <c:v>0.41346153846153844</c:v>
                </c:pt>
                <c:pt idx="42">
                  <c:v>0.41818181818181815</c:v>
                </c:pt>
                <c:pt idx="43">
                  <c:v>0.4107142857142857</c:v>
                </c:pt>
                <c:pt idx="44">
                  <c:v>0.41592920353982299</c:v>
                </c:pt>
                <c:pt idx="45">
                  <c:v>0.42608695652173911</c:v>
                </c:pt>
                <c:pt idx="46">
                  <c:v>0.42499999999999999</c:v>
                </c:pt>
                <c:pt idx="47">
                  <c:v>0.42399999999999999</c:v>
                </c:pt>
                <c:pt idx="48">
                  <c:v>0.4296875</c:v>
                </c:pt>
                <c:pt idx="49">
                  <c:v>0.43181818181818182</c:v>
                </c:pt>
                <c:pt idx="50">
                  <c:v>0.43181818181818182</c:v>
                </c:pt>
                <c:pt idx="51">
                  <c:v>0.43703703703703706</c:v>
                </c:pt>
                <c:pt idx="52">
                  <c:v>0.43065693430656932</c:v>
                </c:pt>
                <c:pt idx="53">
                  <c:v>0.43065693430656932</c:v>
                </c:pt>
                <c:pt idx="54">
                  <c:v>0.43571428571428572</c:v>
                </c:pt>
                <c:pt idx="55">
                  <c:v>0.44055944055944057</c:v>
                </c:pt>
                <c:pt idx="56">
                  <c:v>0.44055944055944057</c:v>
                </c:pt>
                <c:pt idx="57">
                  <c:v>0.44444444444444442</c:v>
                </c:pt>
                <c:pt idx="58">
                  <c:v>0.43835616438356162</c:v>
                </c:pt>
                <c:pt idx="59">
                  <c:v>0.44295302013422821</c:v>
                </c:pt>
                <c:pt idx="60">
                  <c:v>0.44736842105263158</c:v>
                </c:pt>
                <c:pt idx="61">
                  <c:v>0.44230769230769229</c:v>
                </c:pt>
                <c:pt idx="62">
                  <c:v>0.44303797468354428</c:v>
                </c:pt>
                <c:pt idx="63">
                  <c:v>0.44099378881987578</c:v>
                </c:pt>
                <c:pt idx="64">
                  <c:v>0.43827160493827161</c:v>
                </c:pt>
                <c:pt idx="65">
                  <c:v>0.43902439024390244</c:v>
                </c:pt>
                <c:pt idx="66">
                  <c:v>0.43452380952380953</c:v>
                </c:pt>
                <c:pt idx="67">
                  <c:v>0.43352601156069365</c:v>
                </c:pt>
                <c:pt idx="68">
                  <c:v>0.43352601156069365</c:v>
                </c:pt>
                <c:pt idx="69">
                  <c:v>0.43103448275862066</c:v>
                </c:pt>
                <c:pt idx="70">
                  <c:v>0.43103448275862066</c:v>
                </c:pt>
                <c:pt idx="71">
                  <c:v>0.42613636363636365</c:v>
                </c:pt>
                <c:pt idx="72">
                  <c:v>0.42458100558659218</c:v>
                </c:pt>
                <c:pt idx="73">
                  <c:v>0.4175824175824176</c:v>
                </c:pt>
                <c:pt idx="74">
                  <c:v>0.42391304347826086</c:v>
                </c:pt>
                <c:pt idx="75">
                  <c:v>0.41935483870967744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2982456140350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たかの2!$Q$1:$Q$2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たかの2!$Q$3:$Q$78</c:f>
              <c:numCache>
                <c:formatCode>0.0%</c:formatCode>
                <c:ptCount val="76"/>
                <c:pt idx="1">
                  <c:v>0</c:v>
                </c:pt>
                <c:pt idx="2">
                  <c:v>0.5</c:v>
                </c:pt>
                <c:pt idx="3">
                  <c:v>0.4</c:v>
                </c:pt>
                <c:pt idx="4">
                  <c:v>0.5</c:v>
                </c:pt>
                <c:pt idx="5">
                  <c:v>0.45454545454545453</c:v>
                </c:pt>
                <c:pt idx="6">
                  <c:v>0.42857142857142855</c:v>
                </c:pt>
                <c:pt idx="7">
                  <c:v>0.35294117647058826</c:v>
                </c:pt>
                <c:pt idx="8">
                  <c:v>0.35294117647058826</c:v>
                </c:pt>
                <c:pt idx="9">
                  <c:v>0.38095238095238093</c:v>
                </c:pt>
                <c:pt idx="10">
                  <c:v>0.40740740740740738</c:v>
                </c:pt>
                <c:pt idx="11">
                  <c:v>0.36363636363636365</c:v>
                </c:pt>
                <c:pt idx="12">
                  <c:v>0.3611111111111111</c:v>
                </c:pt>
                <c:pt idx="13">
                  <c:v>0.36842105263157893</c:v>
                </c:pt>
                <c:pt idx="14">
                  <c:v>0.35897435897435898</c:v>
                </c:pt>
                <c:pt idx="15">
                  <c:v>0.35897435897435898</c:v>
                </c:pt>
                <c:pt idx="16">
                  <c:v>0.35</c:v>
                </c:pt>
                <c:pt idx="17">
                  <c:v>0.34883720930232559</c:v>
                </c:pt>
                <c:pt idx="18">
                  <c:v>0.34042553191489361</c:v>
                </c:pt>
                <c:pt idx="19">
                  <c:v>0.37254901960784315</c:v>
                </c:pt>
                <c:pt idx="20">
                  <c:v>0.37931034482758619</c:v>
                </c:pt>
                <c:pt idx="21">
                  <c:v>0.39344262295081966</c:v>
                </c:pt>
                <c:pt idx="22">
                  <c:v>0.41269841269841268</c:v>
                </c:pt>
                <c:pt idx="23">
                  <c:v>0.41269841269841268</c:v>
                </c:pt>
                <c:pt idx="24">
                  <c:v>0.40298507462686567</c:v>
                </c:pt>
                <c:pt idx="25">
                  <c:v>0.40845070422535212</c:v>
                </c:pt>
                <c:pt idx="26">
                  <c:v>0.41891891891891891</c:v>
                </c:pt>
                <c:pt idx="27">
                  <c:v>0.42105263157894735</c:v>
                </c:pt>
                <c:pt idx="28">
                  <c:v>0.41249999999999998</c:v>
                </c:pt>
                <c:pt idx="29">
                  <c:v>0.40697674418604651</c:v>
                </c:pt>
                <c:pt idx="30">
                  <c:v>0.4044943820224719</c:v>
                </c:pt>
                <c:pt idx="31">
                  <c:v>0.41304347826086957</c:v>
                </c:pt>
                <c:pt idx="32">
                  <c:v>0.40625</c:v>
                </c:pt>
                <c:pt idx="33">
                  <c:v>0.41836734693877553</c:v>
                </c:pt>
                <c:pt idx="34">
                  <c:v>0.43</c:v>
                </c:pt>
                <c:pt idx="35">
                  <c:v>0.44230769230769229</c:v>
                </c:pt>
                <c:pt idx="36">
                  <c:v>0.43925233644859812</c:v>
                </c:pt>
                <c:pt idx="37">
                  <c:v>0.42342342342342343</c:v>
                </c:pt>
                <c:pt idx="38">
                  <c:v>0.42735042735042733</c:v>
                </c:pt>
                <c:pt idx="39">
                  <c:v>0.42148760330578511</c:v>
                </c:pt>
                <c:pt idx="40">
                  <c:v>0.41599999999999998</c:v>
                </c:pt>
                <c:pt idx="41">
                  <c:v>0.41860465116279072</c:v>
                </c:pt>
                <c:pt idx="42">
                  <c:v>0.42962962962962964</c:v>
                </c:pt>
                <c:pt idx="43">
                  <c:v>0.43795620437956206</c:v>
                </c:pt>
                <c:pt idx="44">
                  <c:v>0.43571428571428572</c:v>
                </c:pt>
                <c:pt idx="45">
                  <c:v>0.43356643356643354</c:v>
                </c:pt>
                <c:pt idx="46">
                  <c:v>0.43243243243243246</c:v>
                </c:pt>
                <c:pt idx="47">
                  <c:v>0.42666666666666669</c:v>
                </c:pt>
                <c:pt idx="48">
                  <c:v>0.42307692307692307</c:v>
                </c:pt>
                <c:pt idx="49">
                  <c:v>0.43125000000000002</c:v>
                </c:pt>
                <c:pt idx="50">
                  <c:v>0.42857142857142855</c:v>
                </c:pt>
                <c:pt idx="51">
                  <c:v>0.42424242424242425</c:v>
                </c:pt>
                <c:pt idx="52">
                  <c:v>0.42261904761904762</c:v>
                </c:pt>
                <c:pt idx="53">
                  <c:v>0.42011834319526625</c:v>
                </c:pt>
                <c:pt idx="54">
                  <c:v>0.42045454545454547</c:v>
                </c:pt>
                <c:pt idx="55">
                  <c:v>0.42134831460674155</c:v>
                </c:pt>
                <c:pt idx="56">
                  <c:v>0.42458100558659218</c:v>
                </c:pt>
                <c:pt idx="57">
                  <c:v>0.42222222222222222</c:v>
                </c:pt>
                <c:pt idx="58">
                  <c:v>0.41847826086956524</c:v>
                </c:pt>
                <c:pt idx="59">
                  <c:v>0.42021276595744683</c:v>
                </c:pt>
                <c:pt idx="60">
                  <c:v>0.42105263157894735</c:v>
                </c:pt>
                <c:pt idx="61">
                  <c:v>0.41884816753926701</c:v>
                </c:pt>
                <c:pt idx="62">
                  <c:v>0.421875</c:v>
                </c:pt>
                <c:pt idx="63">
                  <c:v>0.42346938775510207</c:v>
                </c:pt>
                <c:pt idx="64">
                  <c:v>0.42211055276381909</c:v>
                </c:pt>
                <c:pt idx="65">
                  <c:v>0.43069306930693069</c:v>
                </c:pt>
                <c:pt idx="66">
                  <c:v>0.4264705882352941</c:v>
                </c:pt>
                <c:pt idx="67">
                  <c:v>0.42028985507246375</c:v>
                </c:pt>
                <c:pt idx="68">
                  <c:v>0.42028985507246375</c:v>
                </c:pt>
                <c:pt idx="69">
                  <c:v>0.41904761904761906</c:v>
                </c:pt>
                <c:pt idx="70">
                  <c:v>0.419811320754717</c:v>
                </c:pt>
                <c:pt idx="71">
                  <c:v>0.419811320754717</c:v>
                </c:pt>
                <c:pt idx="72">
                  <c:v>0.42523364485981308</c:v>
                </c:pt>
                <c:pt idx="73">
                  <c:v>0.42523364485981308</c:v>
                </c:pt>
                <c:pt idx="74">
                  <c:v>0.42660550458715596</c:v>
                </c:pt>
                <c:pt idx="75">
                  <c:v>0.42272727272727273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1203931203931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64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43607.939467592594</v>
      </c>
      <c r="C44" s="30" t="s">
        <v>130</v>
      </c>
    </row>
    <row r="45" spans="1:11" x14ac:dyDescent="0.4">
      <c r="A45" s="30" t="s">
        <v>230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43608.535393518519</v>
      </c>
      <c r="C47" s="30" t="s">
        <v>130</v>
      </c>
    </row>
    <row r="48" spans="1:11" x14ac:dyDescent="0.4">
      <c r="A48" s="30" t="s">
        <v>235</v>
      </c>
      <c r="B48" s="31">
        <v>43609.017604166664</v>
      </c>
      <c r="C48" s="30" t="s">
        <v>130</v>
      </c>
    </row>
    <row r="49" spans="1:7" x14ac:dyDescent="0.4">
      <c r="A49" s="30" t="s">
        <v>234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43612.976331018515</v>
      </c>
      <c r="C52" s="30" t="s">
        <v>130</v>
      </c>
    </row>
    <row r="53" spans="1:7" x14ac:dyDescent="0.4">
      <c r="A53" s="30" t="s">
        <v>239</v>
      </c>
      <c r="B53" s="31">
        <v>43613.794409722221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43619.367106481484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43619.367106481484</v>
      </c>
      <c r="C55" s="30" t="s">
        <v>130</v>
      </c>
    </row>
    <row r="56" spans="1:7" x14ac:dyDescent="0.4">
      <c r="A56" s="30" t="s">
        <v>242</v>
      </c>
      <c r="B56" s="31">
        <v>43619.367106481484</v>
      </c>
      <c r="C56" s="30" t="s">
        <v>130</v>
      </c>
    </row>
    <row r="57" spans="1:7" x14ac:dyDescent="0.4">
      <c r="A57" s="30" t="s">
        <v>243</v>
      </c>
      <c r="B57" s="31">
        <v>43620.433194444442</v>
      </c>
      <c r="C57" s="30" t="s">
        <v>130</v>
      </c>
    </row>
    <row r="58" spans="1:7" x14ac:dyDescent="0.4">
      <c r="A58" s="30" t="s">
        <v>244</v>
      </c>
      <c r="B58" s="31">
        <v>43622.371793981481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43622.371793981481</v>
      </c>
      <c r="C59" s="30" t="s">
        <v>130</v>
      </c>
    </row>
    <row r="60" spans="1:7" x14ac:dyDescent="0.4">
      <c r="A60" s="30" t="s">
        <v>250</v>
      </c>
      <c r="B60" s="31">
        <v>43628.368391203701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43628.368391203701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43628.368391203701</v>
      </c>
      <c r="C62" s="30" t="s">
        <v>130</v>
      </c>
    </row>
    <row r="63" spans="1:7" x14ac:dyDescent="0.4">
      <c r="A63" s="30" t="s">
        <v>253</v>
      </c>
      <c r="B63" s="31">
        <v>43628.368391203701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43630.036805555559</v>
      </c>
      <c r="C64" s="30" t="s">
        <v>130</v>
      </c>
      <c r="D64" s="30" t="s">
        <v>131</v>
      </c>
      <c r="E64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654</v>
      </c>
    </row>
    <row r="2" spans="1:2" x14ac:dyDescent="0.4">
      <c r="A2" t="s">
        <v>127</v>
      </c>
      <c r="B2">
        <v>147</v>
      </c>
    </row>
    <row r="3" spans="1:2" x14ac:dyDescent="0.4">
      <c r="A3" t="s">
        <v>128</v>
      </c>
      <c r="B3">
        <v>123</v>
      </c>
    </row>
    <row r="4" spans="1:2" x14ac:dyDescent="0.4">
      <c r="A4" t="s">
        <v>129</v>
      </c>
      <c r="B4">
        <v>88</v>
      </c>
    </row>
    <row r="5" spans="1:2" x14ac:dyDescent="0.4">
      <c r="A5" t="s">
        <v>171</v>
      </c>
      <c r="B5">
        <v>88</v>
      </c>
    </row>
    <row r="6" spans="1:2" x14ac:dyDescent="0.4">
      <c r="A6" t="s">
        <v>172</v>
      </c>
      <c r="B6">
        <v>75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60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14</v>
      </c>
    </row>
    <row r="11" spans="1:2" x14ac:dyDescent="0.4">
      <c r="A11" t="s">
        <v>200</v>
      </c>
      <c r="B11">
        <v>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0.96557434158133415</v>
      </c>
      <c r="G2" s="163"/>
      <c r="H2" s="162">
        <v>0.74339166111747801</v>
      </c>
      <c r="I2" s="163"/>
      <c r="J2" s="162">
        <v>0.93676340521556622</v>
      </c>
      <c r="K2" s="163"/>
      <c r="L2" s="162">
        <v>0.75643495793562621</v>
      </c>
      <c r="M2" s="163"/>
      <c r="N2" s="162">
        <v>0.70727448094708434</v>
      </c>
      <c r="O2" s="163"/>
      <c r="P2" s="162">
        <v>0.31753505540524973</v>
      </c>
      <c r="Q2" s="163"/>
      <c r="R2" s="162">
        <v>0.32596503824374912</v>
      </c>
      <c r="S2" s="163"/>
      <c r="T2" s="162">
        <v>0.50634051610112285</v>
      </c>
      <c r="U2" s="163"/>
      <c r="V2" s="162">
        <v>0.75789458606780724</v>
      </c>
      <c r="W2" s="163"/>
      <c r="X2" s="162">
        <v>0.4036162959023557</v>
      </c>
      <c r="Y2" s="163"/>
      <c r="Z2" s="162">
        <v>0.16693850104231264</v>
      </c>
      <c r="AA2" s="163"/>
      <c r="AB2" s="162">
        <v>0.11495581192086242</v>
      </c>
      <c r="AC2" s="163"/>
      <c r="AD2" s="162">
        <v>0.67726541897216852</v>
      </c>
      <c r="AE2" s="163"/>
      <c r="AF2" s="162">
        <v>-0.53006232222772054</v>
      </c>
      <c r="AG2" s="163"/>
      <c r="AH2" s="162">
        <v>0.68365619434259328</v>
      </c>
      <c r="AI2" s="163"/>
    </row>
    <row r="3" spans="1:35" x14ac:dyDescent="0.4">
      <c r="A3" s="74">
        <v>1</v>
      </c>
      <c r="B3" s="75" t="s">
        <v>127</v>
      </c>
      <c r="C3" s="76">
        <v>1734.4000000000008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127</v>
      </c>
      <c r="M3" s="80">
        <v>0.34494195688225537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127</v>
      </c>
      <c r="W3" s="79">
        <v>0.17006802721088435</v>
      </c>
      <c r="X3" s="77" t="s">
        <v>127</v>
      </c>
      <c r="Y3" s="80">
        <v>0.3101160862354892</v>
      </c>
      <c r="Z3" s="77" t="s">
        <v>200</v>
      </c>
      <c r="AA3" s="80">
        <v>0.29411764705882354</v>
      </c>
      <c r="AB3" s="77" t="s">
        <v>223</v>
      </c>
      <c r="AC3" s="80">
        <v>1</v>
      </c>
      <c r="AD3" s="77" t="s">
        <v>127</v>
      </c>
      <c r="AE3" s="80">
        <v>0.5168539325842697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297.10000000000002</v>
      </c>
      <c r="D4" s="85" t="s">
        <v>222</v>
      </c>
      <c r="E4" s="97">
        <v>13.3</v>
      </c>
      <c r="F4" s="85" t="s">
        <v>127</v>
      </c>
      <c r="G4" s="86">
        <v>1.7551020408163265</v>
      </c>
      <c r="H4" s="85" t="s">
        <v>127</v>
      </c>
      <c r="I4" s="87">
        <v>0.48299319727891155</v>
      </c>
      <c r="J4" s="85" t="s">
        <v>222</v>
      </c>
      <c r="K4" s="87">
        <v>0</v>
      </c>
      <c r="L4" s="85" t="s">
        <v>172</v>
      </c>
      <c r="M4" s="88">
        <v>0.34267912772585668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200</v>
      </c>
      <c r="U4" s="87">
        <v>0</v>
      </c>
      <c r="V4" s="85" t="s">
        <v>177</v>
      </c>
      <c r="W4" s="87">
        <v>0.15</v>
      </c>
      <c r="X4" s="85" t="s">
        <v>128</v>
      </c>
      <c r="Y4" s="88">
        <v>0.3012757605495584</v>
      </c>
      <c r="Z4" s="85" t="s">
        <v>172</v>
      </c>
      <c r="AA4" s="88">
        <v>0.28971962616822428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11.798639455782318</v>
      </c>
      <c r="F5" s="85" t="s">
        <v>177</v>
      </c>
      <c r="G5" s="86">
        <v>1.8833333333333333</v>
      </c>
      <c r="H5" s="85" t="s">
        <v>177</v>
      </c>
      <c r="I5" s="87">
        <v>0.4</v>
      </c>
      <c r="J5" s="85" t="s">
        <v>200</v>
      </c>
      <c r="K5" s="87">
        <v>0.1111111111111111</v>
      </c>
      <c r="L5" s="85" t="s">
        <v>200</v>
      </c>
      <c r="M5" s="88">
        <v>0.3411764705882353</v>
      </c>
      <c r="N5" s="85" t="s">
        <v>172</v>
      </c>
      <c r="O5" s="88">
        <v>0.13862928348909656</v>
      </c>
      <c r="P5" s="85" t="s">
        <v>171</v>
      </c>
      <c r="Q5" s="89">
        <v>10010.731707317073</v>
      </c>
      <c r="R5" s="85" t="s">
        <v>177</v>
      </c>
      <c r="S5" s="89">
        <v>-7793.0555555555557</v>
      </c>
      <c r="T5" s="85" t="s">
        <v>222</v>
      </c>
      <c r="U5" s="87">
        <v>0</v>
      </c>
      <c r="V5" s="85" t="s">
        <v>171</v>
      </c>
      <c r="W5" s="87">
        <v>0.13636363636363635</v>
      </c>
      <c r="X5" s="85" t="s">
        <v>171</v>
      </c>
      <c r="Y5" s="88">
        <v>0.29120879120879123</v>
      </c>
      <c r="Z5" s="85" t="s">
        <v>173</v>
      </c>
      <c r="AA5" s="88">
        <v>0.25654450261780104</v>
      </c>
      <c r="AB5" s="85" t="s">
        <v>184</v>
      </c>
      <c r="AC5" s="88">
        <v>0.6785714285714286</v>
      </c>
      <c r="AD5" s="85" t="s">
        <v>200</v>
      </c>
      <c r="AE5" s="88">
        <v>0.48</v>
      </c>
      <c r="AF5" s="85" t="s">
        <v>184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171</v>
      </c>
      <c r="C6" s="84">
        <v>46.300000000000026</v>
      </c>
      <c r="D6" s="85" t="s">
        <v>177</v>
      </c>
      <c r="E6" s="97">
        <v>4.9516666666666671</v>
      </c>
      <c r="F6" s="85" t="s">
        <v>200</v>
      </c>
      <c r="G6" s="86">
        <v>1.8888888888888888</v>
      </c>
      <c r="H6" s="85" t="s">
        <v>184</v>
      </c>
      <c r="I6" s="87">
        <v>0.35714285714285715</v>
      </c>
      <c r="J6" s="85" t="s">
        <v>127</v>
      </c>
      <c r="K6" s="87">
        <v>0.23809523809523808</v>
      </c>
      <c r="L6" s="85" t="s">
        <v>177</v>
      </c>
      <c r="M6" s="88">
        <v>0.30833333333333335</v>
      </c>
      <c r="N6" s="85" t="s">
        <v>177</v>
      </c>
      <c r="O6" s="88">
        <v>0.15</v>
      </c>
      <c r="P6" s="85" t="s">
        <v>128</v>
      </c>
      <c r="Q6" s="89">
        <v>9285.454545454546</v>
      </c>
      <c r="R6" s="85" t="s">
        <v>128</v>
      </c>
      <c r="S6" s="89">
        <v>-7819.4285714285716</v>
      </c>
      <c r="T6" s="85" t="s">
        <v>223</v>
      </c>
      <c r="U6" s="87">
        <v>0</v>
      </c>
      <c r="V6" s="85" t="s">
        <v>145</v>
      </c>
      <c r="W6" s="87">
        <v>0.11773700305810397</v>
      </c>
      <c r="X6" s="85" t="s">
        <v>129</v>
      </c>
      <c r="Y6" s="88">
        <v>0.28396739130434784</v>
      </c>
      <c r="Z6" s="85" t="s">
        <v>223</v>
      </c>
      <c r="AA6" s="88">
        <v>0.23529411764705882</v>
      </c>
      <c r="AB6" s="85" t="s">
        <v>177</v>
      </c>
      <c r="AC6" s="88">
        <v>0.66176470588235292</v>
      </c>
      <c r="AD6" s="85" t="s">
        <v>184</v>
      </c>
      <c r="AE6" s="88">
        <v>0.44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200</v>
      </c>
      <c r="C7" s="84">
        <v>18.099999999999994</v>
      </c>
      <c r="D7" s="85" t="s">
        <v>200</v>
      </c>
      <c r="E7" s="97">
        <v>2.0111111111111106</v>
      </c>
      <c r="F7" s="85" t="s">
        <v>145</v>
      </c>
      <c r="G7" s="86">
        <v>2</v>
      </c>
      <c r="H7" s="85" t="s">
        <v>145</v>
      </c>
      <c r="I7" s="87">
        <v>0.33333333333333331</v>
      </c>
      <c r="J7" s="85" t="s">
        <v>177</v>
      </c>
      <c r="K7" s="87">
        <v>0.28333333333333333</v>
      </c>
      <c r="L7" s="85" t="s">
        <v>145</v>
      </c>
      <c r="M7" s="88">
        <v>0.29898989898989897</v>
      </c>
      <c r="N7" s="85" t="s">
        <v>127</v>
      </c>
      <c r="O7" s="88">
        <v>0.15920398009950248</v>
      </c>
      <c r="P7" s="85" t="s">
        <v>127</v>
      </c>
      <c r="Q7" s="89">
        <v>9089.1826923076915</v>
      </c>
      <c r="R7" s="85" t="s">
        <v>173</v>
      </c>
      <c r="S7" s="89">
        <v>-7866.1971830985913</v>
      </c>
      <c r="T7" s="85" t="s">
        <v>172</v>
      </c>
      <c r="U7" s="87">
        <v>5.3333333333333337E-2</v>
      </c>
      <c r="V7" s="85" t="s">
        <v>172</v>
      </c>
      <c r="W7" s="87">
        <v>0.10666666666666667</v>
      </c>
      <c r="X7" s="85" t="s">
        <v>177</v>
      </c>
      <c r="Y7" s="88">
        <v>0.28333333333333333</v>
      </c>
      <c r="Z7" s="85" t="s">
        <v>127</v>
      </c>
      <c r="AA7" s="88">
        <v>0.22139303482587064</v>
      </c>
      <c r="AB7" s="85" t="s">
        <v>183</v>
      </c>
      <c r="AC7" s="88">
        <v>0.6</v>
      </c>
      <c r="AD7" s="85" t="s">
        <v>172</v>
      </c>
      <c r="AE7" s="88">
        <v>0.41935483870967744</v>
      </c>
      <c r="AF7" s="85" t="s">
        <v>222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171</v>
      </c>
      <c r="E8" s="97">
        <v>0.52613636363636396</v>
      </c>
      <c r="F8" s="85" t="s">
        <v>222</v>
      </c>
      <c r="G8" s="86">
        <v>2</v>
      </c>
      <c r="H8" s="85" t="s">
        <v>171</v>
      </c>
      <c r="I8" s="87">
        <v>0.30681818181818182</v>
      </c>
      <c r="J8" s="85" t="s">
        <v>172</v>
      </c>
      <c r="K8" s="87">
        <v>0.32</v>
      </c>
      <c r="L8" s="85" t="s">
        <v>173</v>
      </c>
      <c r="M8" s="88">
        <v>0.29842931937172773</v>
      </c>
      <c r="N8" s="85" t="s">
        <v>200</v>
      </c>
      <c r="O8" s="88">
        <v>0.16470588235294117</v>
      </c>
      <c r="P8" s="85" t="s">
        <v>177</v>
      </c>
      <c r="Q8" s="89">
        <v>8881.0810810810817</v>
      </c>
      <c r="R8" s="85" t="s">
        <v>184</v>
      </c>
      <c r="S8" s="89">
        <v>-8107.6923076923076</v>
      </c>
      <c r="T8" s="85" t="s">
        <v>127</v>
      </c>
      <c r="U8" s="87">
        <v>0.10204081632653061</v>
      </c>
      <c r="V8" s="85" t="s">
        <v>129</v>
      </c>
      <c r="W8" s="87">
        <v>0.10227272727272728</v>
      </c>
      <c r="X8" s="85" t="s">
        <v>145</v>
      </c>
      <c r="Y8" s="88">
        <v>0.27952249770431586</v>
      </c>
      <c r="Z8" s="85" t="s">
        <v>184</v>
      </c>
      <c r="AA8" s="88">
        <v>0.21186440677966101</v>
      </c>
      <c r="AB8" s="85" t="s">
        <v>173</v>
      </c>
      <c r="AC8" s="88">
        <v>0.59090909090909094</v>
      </c>
      <c r="AD8" s="85" t="s">
        <v>171</v>
      </c>
      <c r="AE8" s="88">
        <v>0.41605839416058393</v>
      </c>
      <c r="AF8" s="85" t="s">
        <v>177</v>
      </c>
      <c r="AG8" s="88">
        <v>0.4391891891891892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-1.4210854715202004E-14</v>
      </c>
      <c r="D9" s="85" t="s">
        <v>145</v>
      </c>
      <c r="E9" s="97">
        <v>-2.1729135650155969E-17</v>
      </c>
      <c r="F9" s="85" t="s">
        <v>171</v>
      </c>
      <c r="G9" s="86">
        <v>2.0454545454545454</v>
      </c>
      <c r="H9" s="85" t="s">
        <v>173</v>
      </c>
      <c r="I9" s="87">
        <v>0.29545454545454547</v>
      </c>
      <c r="J9" s="85" t="s">
        <v>145</v>
      </c>
      <c r="K9" s="87">
        <v>0.33333333333333331</v>
      </c>
      <c r="L9" s="85" t="s">
        <v>223</v>
      </c>
      <c r="M9" s="88">
        <v>0.29411764705882354</v>
      </c>
      <c r="N9" s="85" t="s">
        <v>145</v>
      </c>
      <c r="O9" s="88">
        <v>0.16822773186409551</v>
      </c>
      <c r="P9" s="85" t="s">
        <v>129</v>
      </c>
      <c r="Q9" s="89">
        <v>8818.2857142857138</v>
      </c>
      <c r="R9" s="85" t="s">
        <v>127</v>
      </c>
      <c r="S9" s="89">
        <v>-8268.2291666666661</v>
      </c>
      <c r="T9" s="85" t="s">
        <v>171</v>
      </c>
      <c r="U9" s="87">
        <v>0.10227272727272728</v>
      </c>
      <c r="V9" s="85" t="s">
        <v>128</v>
      </c>
      <c r="W9" s="87">
        <v>8.943089430894309E-2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145</v>
      </c>
      <c r="AC9" s="88">
        <v>0.57818659658344285</v>
      </c>
      <c r="AD9" s="85" t="s">
        <v>145</v>
      </c>
      <c r="AE9" s="88">
        <v>0.39298245614035088</v>
      </c>
      <c r="AF9" s="85" t="s">
        <v>129</v>
      </c>
      <c r="AG9" s="88">
        <v>0.43428571428571427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172</v>
      </c>
      <c r="E10" s="97">
        <v>-1.0186666666666668</v>
      </c>
      <c r="F10" s="85" t="s">
        <v>172</v>
      </c>
      <c r="G10" s="86">
        <v>2.0533333333333332</v>
      </c>
      <c r="H10" s="85" t="s">
        <v>172</v>
      </c>
      <c r="I10" s="87">
        <v>0.26666666666666666</v>
      </c>
      <c r="J10" s="85" t="s">
        <v>171</v>
      </c>
      <c r="K10" s="87">
        <v>0.35227272727272729</v>
      </c>
      <c r="L10" s="85" t="s">
        <v>184</v>
      </c>
      <c r="M10" s="88">
        <v>0.28813559322033899</v>
      </c>
      <c r="N10" s="85" t="s">
        <v>128</v>
      </c>
      <c r="O10" s="88">
        <v>0.1717369970559372</v>
      </c>
      <c r="P10" s="85" t="s">
        <v>145</v>
      </c>
      <c r="Q10" s="89">
        <v>8656.7567567567567</v>
      </c>
      <c r="R10" s="85" t="s">
        <v>145</v>
      </c>
      <c r="S10" s="89">
        <v>-8284.3886462882092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184</v>
      </c>
      <c r="Y10" s="88">
        <v>0.23728813559322035</v>
      </c>
      <c r="Z10" s="85" t="s">
        <v>145</v>
      </c>
      <c r="AA10" s="88">
        <v>0.20936639118457301</v>
      </c>
      <c r="AB10" s="85" t="s">
        <v>128</v>
      </c>
      <c r="AC10" s="88">
        <v>0.57654723127035834</v>
      </c>
      <c r="AD10" s="85" t="s">
        <v>177</v>
      </c>
      <c r="AE10" s="88">
        <v>0.3707865168539326</v>
      </c>
      <c r="AF10" s="85" t="s">
        <v>145</v>
      </c>
      <c r="AG10" s="88">
        <v>0.43120393120393119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172</v>
      </c>
      <c r="C11" s="84">
        <v>-76.40000000000002</v>
      </c>
      <c r="D11" s="85" t="s">
        <v>128</v>
      </c>
      <c r="E11" s="97">
        <v>-3.4691056910569111</v>
      </c>
      <c r="F11" s="85" t="s">
        <v>173</v>
      </c>
      <c r="G11" s="86">
        <v>2.0681818181818183</v>
      </c>
      <c r="H11" s="85" t="s">
        <v>128</v>
      </c>
      <c r="I11" s="87">
        <v>0.26016260162601629</v>
      </c>
      <c r="J11" s="85" t="s">
        <v>128</v>
      </c>
      <c r="K11" s="87">
        <v>0.35772357723577236</v>
      </c>
      <c r="L11" s="85" t="s">
        <v>171</v>
      </c>
      <c r="M11" s="88">
        <v>0.28159340659340659</v>
      </c>
      <c r="N11" s="85" t="s">
        <v>171</v>
      </c>
      <c r="O11" s="88">
        <v>0.17445054945054944</v>
      </c>
      <c r="P11" s="85" t="s">
        <v>183</v>
      </c>
      <c r="Q11" s="89">
        <v>7860</v>
      </c>
      <c r="R11" s="85" t="s">
        <v>171</v>
      </c>
      <c r="S11" s="89">
        <v>-8534.645669291338</v>
      </c>
      <c r="T11" s="85" t="s">
        <v>145</v>
      </c>
      <c r="U11" s="87">
        <v>0.11773700305810397</v>
      </c>
      <c r="V11" s="85" t="s">
        <v>184</v>
      </c>
      <c r="W11" s="87">
        <v>0</v>
      </c>
      <c r="X11" s="85" t="s">
        <v>200</v>
      </c>
      <c r="Y11" s="88">
        <v>0.23529411764705882</v>
      </c>
      <c r="Z11" s="85" t="s">
        <v>171</v>
      </c>
      <c r="AA11" s="88">
        <v>0.18818681318681318</v>
      </c>
      <c r="AB11" s="85" t="s">
        <v>127</v>
      </c>
      <c r="AC11" s="88">
        <v>0.57486631016042777</v>
      </c>
      <c r="AD11" s="85" t="s">
        <v>173</v>
      </c>
      <c r="AE11" s="88">
        <v>0.33673469387755101</v>
      </c>
      <c r="AF11" s="85" t="s">
        <v>172</v>
      </c>
      <c r="AG11" s="88">
        <v>0.42272727272727273</v>
      </c>
      <c r="AH11" s="85" t="s">
        <v>184</v>
      </c>
      <c r="AI11" s="92">
        <v>62700</v>
      </c>
    </row>
    <row r="12" spans="1:35" x14ac:dyDescent="0.4">
      <c r="A12" s="82">
        <v>10</v>
      </c>
      <c r="B12" s="83" t="s">
        <v>184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2.0975609756097562</v>
      </c>
      <c r="H12" s="85" t="s">
        <v>129</v>
      </c>
      <c r="I12" s="87">
        <v>0.25</v>
      </c>
      <c r="J12" s="85" t="s">
        <v>173</v>
      </c>
      <c r="K12" s="87">
        <v>0.36363636363636365</v>
      </c>
      <c r="L12" s="85" t="s">
        <v>128</v>
      </c>
      <c r="M12" s="88">
        <v>0.26987242394504418</v>
      </c>
      <c r="N12" s="85" t="s">
        <v>173</v>
      </c>
      <c r="O12" s="88">
        <v>0.18586387434554974</v>
      </c>
      <c r="P12" s="85" t="s">
        <v>184</v>
      </c>
      <c r="Q12" s="89">
        <v>7494.1176470588234</v>
      </c>
      <c r="R12" s="85" t="s">
        <v>172</v>
      </c>
      <c r="S12" s="89">
        <v>-8564.0449438202249</v>
      </c>
      <c r="T12" s="85" t="s">
        <v>128</v>
      </c>
      <c r="U12" s="87">
        <v>0.13008130081300814</v>
      </c>
      <c r="V12" s="85" t="s">
        <v>183</v>
      </c>
      <c r="W12" s="87">
        <v>0</v>
      </c>
      <c r="X12" s="85" t="s">
        <v>222</v>
      </c>
      <c r="Y12" s="88">
        <v>0.23076923076923078</v>
      </c>
      <c r="Z12" s="85" t="s">
        <v>177</v>
      </c>
      <c r="AA12" s="88">
        <v>0.18541666666666667</v>
      </c>
      <c r="AB12" s="85" t="s">
        <v>171</v>
      </c>
      <c r="AC12" s="88">
        <v>0.56603773584905659</v>
      </c>
      <c r="AD12" s="85" t="s">
        <v>128</v>
      </c>
      <c r="AE12" s="88">
        <v>0.2896174863387978</v>
      </c>
      <c r="AF12" s="85" t="s">
        <v>128</v>
      </c>
      <c r="AG12" s="88">
        <v>0.42181818181818181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184</v>
      </c>
      <c r="E13" s="97">
        <v>-9.9071428571428566</v>
      </c>
      <c r="F13" s="85" t="s">
        <v>184</v>
      </c>
      <c r="G13" s="86">
        <v>2.1428571428571428</v>
      </c>
      <c r="H13" s="85" t="s">
        <v>200</v>
      </c>
      <c r="I13" s="87">
        <v>0.22222222222222221</v>
      </c>
      <c r="J13" s="85" t="s">
        <v>129</v>
      </c>
      <c r="K13" s="87">
        <v>0.47727272727272729</v>
      </c>
      <c r="L13" s="85" t="s">
        <v>183</v>
      </c>
      <c r="M13" s="88">
        <v>0.26315789473684209</v>
      </c>
      <c r="N13" s="85" t="s">
        <v>129</v>
      </c>
      <c r="O13" s="88">
        <v>0.19429347826086957</v>
      </c>
      <c r="P13" s="85" t="s">
        <v>173</v>
      </c>
      <c r="Q13" s="89">
        <v>6998.2456140350878</v>
      </c>
      <c r="R13" s="85" t="s">
        <v>129</v>
      </c>
      <c r="S13" s="89">
        <v>-9054.545454545454</v>
      </c>
      <c r="T13" s="85" t="s">
        <v>184</v>
      </c>
      <c r="U13" s="87">
        <v>0.14285714285714285</v>
      </c>
      <c r="V13" s="85" t="s">
        <v>200</v>
      </c>
      <c r="W13" s="87">
        <v>0</v>
      </c>
      <c r="X13" s="85" t="s">
        <v>173</v>
      </c>
      <c r="Y13" s="88">
        <v>0.23036649214659685</v>
      </c>
      <c r="Z13" s="85" t="s">
        <v>128</v>
      </c>
      <c r="AA13" s="88">
        <v>0.17958783120706576</v>
      </c>
      <c r="AB13" s="85" t="s">
        <v>172</v>
      </c>
      <c r="AC13" s="88">
        <v>0.56204379562043794</v>
      </c>
      <c r="AD13" s="85" t="s">
        <v>223</v>
      </c>
      <c r="AE13" s="88">
        <v>0.25</v>
      </c>
      <c r="AF13" s="85" t="s">
        <v>171</v>
      </c>
      <c r="AG13" s="88">
        <v>0.40975609756097559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-426.70000000000005</v>
      </c>
      <c r="D14" s="85" t="s">
        <v>223</v>
      </c>
      <c r="E14" s="97">
        <v>-12.35</v>
      </c>
      <c r="F14" s="85" t="s">
        <v>129</v>
      </c>
      <c r="G14" s="86">
        <v>2.2272727272727271</v>
      </c>
      <c r="H14" s="85" t="s">
        <v>222</v>
      </c>
      <c r="I14" s="87">
        <v>0</v>
      </c>
      <c r="J14" s="85" t="s">
        <v>184</v>
      </c>
      <c r="K14" s="87">
        <v>0.5</v>
      </c>
      <c r="L14" s="85" t="s">
        <v>129</v>
      </c>
      <c r="M14" s="88">
        <v>0.23777173913043478</v>
      </c>
      <c r="N14" s="85" t="s">
        <v>184</v>
      </c>
      <c r="O14" s="88">
        <v>0.22033898305084745</v>
      </c>
      <c r="P14" s="85" t="s">
        <v>200</v>
      </c>
      <c r="Q14" s="89">
        <v>6765.5172413793107</v>
      </c>
      <c r="R14" s="85" t="s">
        <v>222</v>
      </c>
      <c r="S14" s="89">
        <v>-12000</v>
      </c>
      <c r="T14" s="85" t="s">
        <v>177</v>
      </c>
      <c r="U14" s="87">
        <v>0.15</v>
      </c>
      <c r="V14" s="85" t="s">
        <v>222</v>
      </c>
      <c r="W14" s="87">
        <v>0</v>
      </c>
      <c r="X14" s="85" t="s">
        <v>172</v>
      </c>
      <c r="Y14" s="88">
        <v>0.21339563862928349</v>
      </c>
      <c r="Z14" s="85" t="s">
        <v>129</v>
      </c>
      <c r="AA14" s="88">
        <v>0.16440217391304349</v>
      </c>
      <c r="AB14" s="85" t="s">
        <v>129</v>
      </c>
      <c r="AC14" s="88">
        <v>0.52153110047846885</v>
      </c>
      <c r="AD14" s="85" t="s">
        <v>129</v>
      </c>
      <c r="AE14" s="88">
        <v>0.24793388429752067</v>
      </c>
      <c r="AF14" s="85" t="s">
        <v>127</v>
      </c>
      <c r="AG14" s="88">
        <v>0.40865384615384615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-1241.1000000000001</v>
      </c>
      <c r="D15" s="85" t="s">
        <v>129</v>
      </c>
      <c r="E15" s="97">
        <v>-14.103409090909093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172</v>
      </c>
      <c r="Q15" s="89">
        <v>6727.727272727273</v>
      </c>
      <c r="R15" s="85" t="s">
        <v>223</v>
      </c>
      <c r="S15" s="89">
        <v>-12425</v>
      </c>
      <c r="T15" s="85" t="s">
        <v>129</v>
      </c>
      <c r="U15" s="87">
        <v>0.19318181818181818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5EECA-C252-413B-8060-74D724488638}">
  <sheetPr codeName="Sheet4"/>
  <dimension ref="A1:Q65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654</v>
      </c>
      <c r="C2" s="151"/>
      <c r="E2" s="62" t="s">
        <v>67</v>
      </c>
      <c r="F2" s="59" t="s">
        <v>23</v>
      </c>
      <c r="G2" s="46">
        <v>1190</v>
      </c>
      <c r="H2" s="132">
        <f>IF(B$17=0,0,G2/B$17)</f>
        <v>0.73095823095823098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-13.761467889908257</v>
      </c>
      <c r="P2" s="118">
        <v>654</v>
      </c>
      <c r="Q2" s="102">
        <v>-9000</v>
      </c>
    </row>
    <row r="3" spans="1:17" x14ac:dyDescent="0.4">
      <c r="A3" s="55" t="s">
        <v>8</v>
      </c>
      <c r="B3" s="152">
        <v>5445</v>
      </c>
      <c r="C3" s="153"/>
      <c r="E3" s="63" t="s">
        <v>65</v>
      </c>
      <c r="F3" s="60" t="s">
        <v>21</v>
      </c>
      <c r="G3" s="47">
        <v>840</v>
      </c>
      <c r="H3" s="133">
        <f>IF(B$17=0,0,G3/B$17)</f>
        <v>0.51597051597051602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-7.8247261345852896</v>
      </c>
      <c r="P3" s="119">
        <v>639</v>
      </c>
      <c r="Q3" s="103">
        <v>-5000</v>
      </c>
    </row>
    <row r="4" spans="1:17" x14ac:dyDescent="0.4">
      <c r="A4" s="55" t="s">
        <v>6</v>
      </c>
      <c r="B4" s="154">
        <v>-1.4210854715202004E-14</v>
      </c>
      <c r="C4" s="155"/>
      <c r="E4" s="63" t="s">
        <v>73</v>
      </c>
      <c r="F4" s="60" t="s">
        <v>28</v>
      </c>
      <c r="G4" s="47">
        <v>827</v>
      </c>
      <c r="H4" s="133">
        <f>IF(B$17=0,0,G4/B$17)</f>
        <v>0.50798525798525795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8.3333333333333339</v>
      </c>
      <c r="P4" s="119">
        <v>600</v>
      </c>
      <c r="Q4" s="103">
        <v>5000</v>
      </c>
    </row>
    <row r="5" spans="1:17" x14ac:dyDescent="0.4">
      <c r="A5" s="55" t="s">
        <v>7</v>
      </c>
      <c r="B5" s="156">
        <f>IF(B$2=0,0,B$4/B$2)</f>
        <v>-2.1729135650155969E-17</v>
      </c>
      <c r="C5" s="157"/>
      <c r="E5" s="63" t="s">
        <v>245</v>
      </c>
      <c r="F5" s="60" t="s">
        <v>246</v>
      </c>
      <c r="G5" s="47">
        <v>669</v>
      </c>
      <c r="H5" s="133">
        <f>IF(B$17=0,0,G5/B$17)</f>
        <v>0.41093366093366096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9.1575091575091569</v>
      </c>
      <c r="P5" s="119">
        <v>546</v>
      </c>
      <c r="Q5" s="103">
        <v>5000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503</v>
      </c>
      <c r="H6" s="133">
        <f>IF(B$17=0,0,G6/B$17)</f>
        <v>0.30896805896805896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-12.269938650306749</v>
      </c>
      <c r="P6" s="119">
        <v>489</v>
      </c>
      <c r="Q6" s="103">
        <v>-6000</v>
      </c>
    </row>
    <row r="7" spans="1:17" x14ac:dyDescent="0.4">
      <c r="A7" s="55" t="s">
        <v>2</v>
      </c>
      <c r="B7" s="47">
        <v>218</v>
      </c>
      <c r="C7" s="39">
        <f>IF(B$2=0,0,B7/B$2)</f>
        <v>0.33333333333333331</v>
      </c>
      <c r="E7" s="63" t="s">
        <v>68</v>
      </c>
      <c r="F7" s="60" t="s">
        <v>24</v>
      </c>
      <c r="G7" s="47">
        <v>491</v>
      </c>
      <c r="H7" s="133">
        <f>IF(B$17=0,0,G7/B$17)</f>
        <v>0.30159705159705158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22.831050228310502</v>
      </c>
      <c r="P7" s="120">
        <v>438</v>
      </c>
      <c r="Q7" s="104">
        <v>10000</v>
      </c>
    </row>
    <row r="8" spans="1:17" x14ac:dyDescent="0.4">
      <c r="A8" s="55" t="s">
        <v>3</v>
      </c>
      <c r="B8" s="47">
        <v>218</v>
      </c>
      <c r="C8" s="39">
        <f>IF(B$2=0,0,B8/B$2)</f>
        <v>0.33333333333333331</v>
      </c>
      <c r="E8" s="63" t="s">
        <v>70</v>
      </c>
      <c r="F8" s="60" t="s">
        <v>25</v>
      </c>
      <c r="G8" s="47">
        <v>285</v>
      </c>
      <c r="H8" s="133">
        <f>IF(B$17=0,0,G8/B$17)</f>
        <v>0.17506142506142505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218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207</v>
      </c>
      <c r="H9" s="133">
        <f>IF(B$17=0,0,G9/B$17)</f>
        <v>0.12714987714987716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77</v>
      </c>
      <c r="C10" s="40">
        <f>IF(B$2=0,0,B10/B$2)</f>
        <v>0.11773700305810397</v>
      </c>
      <c r="E10" s="63" t="s">
        <v>66</v>
      </c>
      <c r="F10" s="60" t="s">
        <v>22</v>
      </c>
      <c r="G10" s="47">
        <v>198</v>
      </c>
      <c r="H10" s="133">
        <f>IF(B$17=0,0,G10/B$17)</f>
        <v>0.12162162162162163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-1.9711009174311918</v>
      </c>
      <c r="P10" s="118">
        <v>218</v>
      </c>
      <c r="Q10" s="106">
        <v>-429.69999999999982</v>
      </c>
    </row>
    <row r="11" spans="1:17" x14ac:dyDescent="0.4">
      <c r="A11" s="56" t="s">
        <v>140</v>
      </c>
      <c r="B11" s="48">
        <v>77</v>
      </c>
      <c r="C11" s="40">
        <f>IF(B$2=0,0,B11/B$2)</f>
        <v>0.11773700305810397</v>
      </c>
      <c r="E11" s="63" t="s">
        <v>71</v>
      </c>
      <c r="F11" s="60" t="s">
        <v>26</v>
      </c>
      <c r="G11" s="47">
        <v>162</v>
      </c>
      <c r="H11" s="133">
        <f>IF(B$17=0,0,G11/B$17)</f>
        <v>9.9508599508599513E-2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0.54678899082568799</v>
      </c>
      <c r="P11" s="119">
        <v>218</v>
      </c>
      <c r="Q11" s="107">
        <v>119.19999999999997</v>
      </c>
    </row>
    <row r="12" spans="1:17" x14ac:dyDescent="0.4">
      <c r="A12" s="57" t="s">
        <v>160</v>
      </c>
      <c r="B12" s="49">
        <v>55</v>
      </c>
      <c r="C12" s="42">
        <f>IF(B$2=0,0,B12/B$2)</f>
        <v>8.4097859327217125E-2</v>
      </c>
      <c r="E12" s="63" t="s">
        <v>72</v>
      </c>
      <c r="F12" s="60" t="s">
        <v>27</v>
      </c>
      <c r="G12" s="47">
        <v>113</v>
      </c>
      <c r="H12" s="133">
        <f>IF(B$17=0,0,G12/B$17)</f>
        <v>6.9410319410319415E-2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1.4243119266055047</v>
      </c>
      <c r="P12" s="120">
        <v>218</v>
      </c>
      <c r="Q12" s="108">
        <v>310.5</v>
      </c>
    </row>
    <row r="13" spans="1:17" x14ac:dyDescent="0.4">
      <c r="A13" s="58" t="s">
        <v>122</v>
      </c>
      <c r="B13" s="50">
        <v>1522</v>
      </c>
      <c r="C13" s="44">
        <f>IF(B$3=0,0,B13/B$3)</f>
        <v>0.27952249770431586</v>
      </c>
      <c r="E13" s="63" t="s">
        <v>87</v>
      </c>
      <c r="F13" s="60" t="s">
        <v>42</v>
      </c>
      <c r="G13" s="47">
        <v>90</v>
      </c>
      <c r="H13" s="133">
        <f>IF(B$17=0,0,G13/B$17)</f>
        <v>5.5282555282555282E-2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1140</v>
      </c>
      <c r="C14" s="39">
        <f>IF(B$3=0,0,B14/B$3)</f>
        <v>0.20936639118457301</v>
      </c>
      <c r="E14" s="63" t="s">
        <v>84</v>
      </c>
      <c r="F14" s="60" t="s">
        <v>39</v>
      </c>
      <c r="G14" s="47">
        <v>82</v>
      </c>
      <c r="H14" s="133">
        <f>IF(B$17=0,0,G14/B$17)</f>
        <v>5.0368550368550369E-2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880</v>
      </c>
      <c r="C15" s="37">
        <f>IF(B$13=0,0,B15/B$13)</f>
        <v>0.57818659658344285</v>
      </c>
      <c r="E15" s="63" t="s">
        <v>82</v>
      </c>
      <c r="F15" s="60" t="s">
        <v>37</v>
      </c>
      <c r="G15" s="47">
        <v>46</v>
      </c>
      <c r="H15" s="133">
        <f>IF(B$17=0,0,G15/B$17)</f>
        <v>2.8255528255528257E-2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21.155113636363662</v>
      </c>
      <c r="P15" s="118">
        <v>176</v>
      </c>
      <c r="Q15" s="106">
        <v>3723.3000000000047</v>
      </c>
    </row>
    <row r="16" spans="1:17" x14ac:dyDescent="0.4">
      <c r="A16" s="54" t="s">
        <v>125</v>
      </c>
      <c r="B16" s="46">
        <v>448</v>
      </c>
      <c r="C16" s="37">
        <f>IF(B$14=0,0,B16/B$14)</f>
        <v>0.39298245614035088</v>
      </c>
      <c r="E16" s="63" t="s">
        <v>79</v>
      </c>
      <c r="F16" s="60" t="s">
        <v>34</v>
      </c>
      <c r="G16" s="47">
        <v>41</v>
      </c>
      <c r="H16" s="133">
        <f>IF(B$17=0,0,G16/B$17)</f>
        <v>2.5184275184275184E-2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1628</v>
      </c>
      <c r="C17" s="37">
        <f>IF(B$3=0,0,B17/B$3)</f>
        <v>0.29898989898989897</v>
      </c>
      <c r="E17" s="63" t="s">
        <v>92</v>
      </c>
      <c r="F17" s="60" t="s">
        <v>47</v>
      </c>
      <c r="G17" s="47">
        <v>31</v>
      </c>
      <c r="H17" s="133">
        <f>IF(B$17=0,0,G17/B$17)</f>
        <v>1.9041769041769043E-2</v>
      </c>
      <c r="I17" s="94">
        <v>5</v>
      </c>
      <c r="K17" s="38">
        <v>15</v>
      </c>
      <c r="L17" s="99">
        <v>-1.0658141036401503E-14</v>
      </c>
      <c r="N17" s="115" t="s">
        <v>184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702</v>
      </c>
      <c r="C18" s="39">
        <f>IF(B$17=0,0,B18/B$17)</f>
        <v>0.43120393120393119</v>
      </c>
      <c r="E18" s="63" t="s">
        <v>80</v>
      </c>
      <c r="F18" s="60" t="s">
        <v>35</v>
      </c>
      <c r="G18" s="47">
        <v>25</v>
      </c>
      <c r="H18" s="133">
        <f>IF(B$17=0,0,G18/B$17)</f>
        <v>1.5356265356265357E-2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926</v>
      </c>
      <c r="C19" s="39">
        <f>IF(B$17=0,0,B19/B$17)</f>
        <v>0.56879606879606881</v>
      </c>
      <c r="E19" s="63" t="s">
        <v>180</v>
      </c>
      <c r="F19" s="60" t="s">
        <v>181</v>
      </c>
      <c r="G19" s="47">
        <v>25</v>
      </c>
      <c r="H19" s="133">
        <f>IF(B$17=0,0,G19/B$17)</f>
        <v>1.5356265356265357E-2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5.2036585365853654</v>
      </c>
      <c r="P19" s="119">
        <v>246</v>
      </c>
      <c r="Q19" s="107">
        <v>1280.0999999999999</v>
      </c>
    </row>
    <row r="20" spans="1:17" x14ac:dyDescent="0.4">
      <c r="A20" s="55" t="s">
        <v>13</v>
      </c>
      <c r="B20" s="47">
        <v>916</v>
      </c>
      <c r="C20" s="39">
        <f>IF(B$3=0,0,B20/B$3)</f>
        <v>0.16822773186409551</v>
      </c>
      <c r="E20" s="63" t="s">
        <v>74</v>
      </c>
      <c r="F20" s="60" t="s">
        <v>29</v>
      </c>
      <c r="G20" s="47">
        <v>11</v>
      </c>
      <c r="H20" s="133">
        <f>IF(B$17=0,0,G20/B$17)</f>
        <v>6.7567567567567571E-3</v>
      </c>
      <c r="I20" s="94">
        <v>6</v>
      </c>
      <c r="K20" s="38">
        <v>18</v>
      </c>
      <c r="L20" s="99">
        <v>-3.5527136788005009E-15</v>
      </c>
      <c r="N20" s="115" t="s">
        <v>172</v>
      </c>
      <c r="O20" s="125">
        <f>IF(P20=0,0,Q20/P20)</f>
        <v>1.5279999999999994</v>
      </c>
      <c r="P20" s="119">
        <v>150</v>
      </c>
      <c r="Q20" s="107">
        <v>229.1999999999999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9</v>
      </c>
      <c r="H21" s="133">
        <f>IF(B$17=0,0,G21/B$17)</f>
        <v>5.528255528255528E-3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-0.78920454545454277</v>
      </c>
      <c r="P21" s="119">
        <v>176</v>
      </c>
      <c r="Q21" s="107">
        <v>-138.89999999999952</v>
      </c>
    </row>
    <row r="22" spans="1:17" x14ac:dyDescent="0.4">
      <c r="A22" s="55" t="s">
        <v>192</v>
      </c>
      <c r="B22" s="47">
        <v>31</v>
      </c>
      <c r="C22" s="135">
        <v>3</v>
      </c>
      <c r="E22" s="63" t="s">
        <v>86</v>
      </c>
      <c r="F22" s="60" t="s">
        <v>41</v>
      </c>
      <c r="G22" s="47">
        <v>7</v>
      </c>
      <c r="H22" s="133">
        <f>IF(B$17=0,0,G22/B$17)</f>
        <v>4.2997542997542998E-3</v>
      </c>
      <c r="I22" s="94">
        <v>3</v>
      </c>
      <c r="K22" s="38">
        <v>20</v>
      </c>
      <c r="L22" s="99">
        <v>0.79999999999999716</v>
      </c>
      <c r="N22" s="115" t="s">
        <v>200</v>
      </c>
      <c r="O22" s="125">
        <f>IF(P22=0,0,Q22/P22)</f>
        <v>-3.0166666666666679</v>
      </c>
      <c r="P22" s="119">
        <v>18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8656.7567567567567</v>
      </c>
      <c r="C23" s="41">
        <v>14093200</v>
      </c>
      <c r="E23" s="63" t="s">
        <v>93</v>
      </c>
      <c r="F23" s="60" t="s">
        <v>48</v>
      </c>
      <c r="G23" s="47">
        <v>7</v>
      </c>
      <c r="H23" s="133">
        <f>IF(B$17=0,0,G23/B$17)</f>
        <v>4.2997542997542998E-3</v>
      </c>
      <c r="I23" s="94">
        <v>5</v>
      </c>
      <c r="K23" s="38">
        <v>21</v>
      </c>
      <c r="L23" s="99">
        <v>-2.886579864025407E-15</v>
      </c>
      <c r="N23" s="115" t="s">
        <v>177</v>
      </c>
      <c r="O23" s="125">
        <f>IF(P23=0,0,Q23/P23)</f>
        <v>-7.4275000000000011</v>
      </c>
      <c r="P23" s="119">
        <v>120</v>
      </c>
      <c r="Q23" s="107">
        <v>-891.30000000000018</v>
      </c>
    </row>
    <row r="24" spans="1:17" x14ac:dyDescent="0.4">
      <c r="A24" s="57" t="s">
        <v>14</v>
      </c>
      <c r="B24" s="52">
        <f>IF(B$20=0,0,C24/B$20)</f>
        <v>-8284.3886462882092</v>
      </c>
      <c r="C24" s="45">
        <v>-7588500</v>
      </c>
      <c r="E24" s="63" t="s">
        <v>75</v>
      </c>
      <c r="F24" s="60" t="s">
        <v>30</v>
      </c>
      <c r="G24" s="47">
        <v>6</v>
      </c>
      <c r="H24" s="133">
        <f>IF(B$17=0,0,G24/B$17)</f>
        <v>3.6855036855036856E-3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-17.697959183673447</v>
      </c>
      <c r="P24" s="119">
        <v>294</v>
      </c>
      <c r="Q24" s="107">
        <v>-5203.1999999999935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6</v>
      </c>
      <c r="H25" s="133">
        <f>IF(B$17=0,0,G25/B$17)</f>
        <v>3.6855036855036856E-3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6</v>
      </c>
      <c r="H26" s="133">
        <f>IF(B$17=0,0,G26/B$17)</f>
        <v>3.6855036855036856E-3</v>
      </c>
      <c r="I26" s="94">
        <v>4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2.5711662075298437E-3</v>
      </c>
      <c r="E27" s="63" t="s">
        <v>91</v>
      </c>
      <c r="F27" s="60" t="s">
        <v>46</v>
      </c>
      <c r="G27" s="47">
        <v>5</v>
      </c>
      <c r="H27" s="133">
        <f>IF(B$17=0,0,G27/B$17)</f>
        <v>3.0712530712530711E-3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78</v>
      </c>
      <c r="F28" s="60" t="s">
        <v>33</v>
      </c>
      <c r="G28" s="47">
        <v>4</v>
      </c>
      <c r="H28" s="133">
        <f>IF(B$17=0,0,G28/B$17)</f>
        <v>2.4570024570024569E-3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4</v>
      </c>
      <c r="H29" s="133">
        <f>IF(B$17=0,0,G29/B$17)</f>
        <v>2.4570024570024569E-3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1.2285012285012285E-3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1.2285012285012285E-3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6.1425061425061424E-4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-60.90000000000002</v>
      </c>
    </row>
    <row r="649" spans="11:12" x14ac:dyDescent="0.4">
      <c r="K649" s="38">
        <v>647</v>
      </c>
      <c r="L649" s="99">
        <v>3.4999999999999858</v>
      </c>
    </row>
    <row r="650" spans="11:12" x14ac:dyDescent="0.4">
      <c r="K650" s="38">
        <v>648</v>
      </c>
      <c r="L650" s="99">
        <v>-1.4210854715202004E-14</v>
      </c>
    </row>
    <row r="651" spans="11:12" x14ac:dyDescent="0.4">
      <c r="K651" s="38">
        <v>649</v>
      </c>
      <c r="L651" s="99">
        <v>67.799999999999983</v>
      </c>
    </row>
    <row r="652" spans="11:12" x14ac:dyDescent="0.4">
      <c r="K652" s="38">
        <v>650</v>
      </c>
      <c r="L652" s="99">
        <v>55.899999999999984</v>
      </c>
    </row>
    <row r="653" spans="11:12" x14ac:dyDescent="0.4">
      <c r="K653" s="38">
        <v>651</v>
      </c>
      <c r="L653" s="99">
        <v>-1.4210854715202004E-14</v>
      </c>
    </row>
    <row r="654" spans="11:12" x14ac:dyDescent="0.4">
      <c r="K654" s="38">
        <v>652</v>
      </c>
      <c r="L654" s="99">
        <v>-14.900000000000015</v>
      </c>
    </row>
    <row r="655" spans="11:12" x14ac:dyDescent="0.4">
      <c r="K655" s="38">
        <v>653</v>
      </c>
      <c r="L655" s="99">
        <v>-51.300000000000011</v>
      </c>
    </row>
    <row r="656" spans="11:12" x14ac:dyDescent="0.4">
      <c r="K656" s="38">
        <v>654</v>
      </c>
      <c r="L656" s="99">
        <v>-1.4210854715202004E-14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ECD40-46B1-41D7-B02F-F7E5DB0A7110}">
  <sheetPr codeName="Sheet7"/>
  <dimension ref="A1:Q14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147</v>
      </c>
      <c r="C2" s="151"/>
      <c r="E2" s="62" t="s">
        <v>67</v>
      </c>
      <c r="F2" s="59" t="s">
        <v>23</v>
      </c>
      <c r="G2" s="46">
        <v>299</v>
      </c>
      <c r="H2" s="132">
        <f>IF(B$17=0,0,G2/B$17)</f>
        <v>0.71875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2209.5238095238096</v>
      </c>
      <c r="P2" s="118">
        <v>147</v>
      </c>
      <c r="Q2" s="102">
        <v>324800</v>
      </c>
    </row>
    <row r="3" spans="1:17" x14ac:dyDescent="0.4">
      <c r="A3" s="55" t="s">
        <v>8</v>
      </c>
      <c r="B3" s="152">
        <v>1206</v>
      </c>
      <c r="C3" s="153"/>
      <c r="E3" s="63" t="s">
        <v>73</v>
      </c>
      <c r="F3" s="60" t="s">
        <v>28</v>
      </c>
      <c r="G3" s="47">
        <v>241</v>
      </c>
      <c r="H3" s="133">
        <f>IF(B$17=0,0,G3/B$17)</f>
        <v>0.57932692307692313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1182.5174825174824</v>
      </c>
      <c r="P3" s="119">
        <v>143</v>
      </c>
      <c r="Q3" s="103">
        <v>169100</v>
      </c>
    </row>
    <row r="4" spans="1:17" x14ac:dyDescent="0.4">
      <c r="A4" s="55" t="s">
        <v>6</v>
      </c>
      <c r="B4" s="154">
        <v>1734.4000000000008</v>
      </c>
      <c r="C4" s="155"/>
      <c r="E4" s="63" t="s">
        <v>65</v>
      </c>
      <c r="F4" s="60" t="s">
        <v>21</v>
      </c>
      <c r="G4" s="47">
        <v>197</v>
      </c>
      <c r="H4" s="133">
        <f>IF(B$17=0,0,G4/B$17)</f>
        <v>0.47355769230769229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676.47058823529414</v>
      </c>
      <c r="P4" s="119">
        <v>136</v>
      </c>
      <c r="Q4" s="103">
        <v>92000</v>
      </c>
    </row>
    <row r="5" spans="1:17" x14ac:dyDescent="0.4">
      <c r="A5" s="55" t="s">
        <v>7</v>
      </c>
      <c r="B5" s="156">
        <f>IF(B$2=0,0,B$4/B$2)</f>
        <v>11.798639455782318</v>
      </c>
      <c r="C5" s="157"/>
      <c r="E5" s="63" t="s">
        <v>245</v>
      </c>
      <c r="F5" s="60" t="s">
        <v>246</v>
      </c>
      <c r="G5" s="47">
        <v>172</v>
      </c>
      <c r="H5" s="133">
        <f>IF(B$17=0,0,G5/B$17)</f>
        <v>0.41346153846153844</v>
      </c>
      <c r="I5" s="94">
        <v>5</v>
      </c>
      <c r="K5" s="38">
        <v>3</v>
      </c>
      <c r="L5" s="99">
        <v>70.399999999999991</v>
      </c>
      <c r="N5" s="115" t="s">
        <v>135</v>
      </c>
      <c r="O5" s="122">
        <f t="shared" si="0"/>
        <v>2480</v>
      </c>
      <c r="P5" s="119">
        <v>125</v>
      </c>
      <c r="Q5" s="103">
        <v>310000</v>
      </c>
    </row>
    <row r="6" spans="1:17" x14ac:dyDescent="0.4">
      <c r="A6" s="55" t="s">
        <v>1</v>
      </c>
      <c r="B6" s="146">
        <f>IF(B$2=0,0,(B$7*1+B$8*2+B$9*3)/B$2)</f>
        <v>1.7551020408163265</v>
      </c>
      <c r="C6" s="147"/>
      <c r="E6" s="63" t="s">
        <v>68</v>
      </c>
      <c r="F6" s="60" t="s">
        <v>24</v>
      </c>
      <c r="G6" s="47">
        <v>115</v>
      </c>
      <c r="H6" s="133">
        <f>IF(B$17=0,0,G6/B$17)</f>
        <v>0.27644230769230771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276.36363636363637</v>
      </c>
      <c r="P6" s="119">
        <v>110</v>
      </c>
      <c r="Q6" s="103">
        <v>30400</v>
      </c>
    </row>
    <row r="7" spans="1:17" x14ac:dyDescent="0.4">
      <c r="A7" s="55" t="s">
        <v>2</v>
      </c>
      <c r="B7" s="47">
        <v>71</v>
      </c>
      <c r="C7" s="39">
        <f>IF(B$2=0,0,B7/B$2)</f>
        <v>0.48299319727891155</v>
      </c>
      <c r="E7" s="63" t="s">
        <v>69</v>
      </c>
      <c r="F7" s="60" t="s">
        <v>12</v>
      </c>
      <c r="G7" s="47">
        <v>109</v>
      </c>
      <c r="H7" s="133">
        <f>IF(B$17=0,0,G7/B$17)</f>
        <v>0.26201923076923078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823.95833333333337</v>
      </c>
      <c r="P7" s="120">
        <v>96</v>
      </c>
      <c r="Q7" s="104">
        <v>79100</v>
      </c>
    </row>
    <row r="8" spans="1:17" x14ac:dyDescent="0.4">
      <c r="A8" s="55" t="s">
        <v>3</v>
      </c>
      <c r="B8" s="47">
        <v>41</v>
      </c>
      <c r="C8" s="39">
        <f>IF(B$2=0,0,B8/B$2)</f>
        <v>0.27891156462585032</v>
      </c>
      <c r="E8" s="63" t="s">
        <v>70</v>
      </c>
      <c r="F8" s="60" t="s">
        <v>25</v>
      </c>
      <c r="G8" s="47">
        <v>67</v>
      </c>
      <c r="H8" s="133">
        <f>IF(B$17=0,0,G8/B$17)</f>
        <v>0.16105769230769232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35</v>
      </c>
      <c r="C9" s="40">
        <f t="shared" ref="C9" si="1">IF(B$2=0,0,B9/B$2)</f>
        <v>0.23809523809523808</v>
      </c>
      <c r="E9" s="63" t="s">
        <v>90</v>
      </c>
      <c r="F9" s="60" t="s">
        <v>45</v>
      </c>
      <c r="G9" s="47">
        <v>66</v>
      </c>
      <c r="H9" s="133">
        <f>IF(B$17=0,0,G9/B$17)</f>
        <v>0.15865384615384615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0.10204081632653061</v>
      </c>
      <c r="E10" s="63" t="s">
        <v>66</v>
      </c>
      <c r="F10" s="60" t="s">
        <v>22</v>
      </c>
      <c r="G10" s="47">
        <v>53</v>
      </c>
      <c r="H10" s="133">
        <f>IF(B$17=0,0,G10/B$17)</f>
        <v>0.12740384615384615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13.712765957446809</v>
      </c>
      <c r="P10" s="118">
        <v>47</v>
      </c>
      <c r="Q10" s="106">
        <v>644.5</v>
      </c>
    </row>
    <row r="11" spans="1:17" x14ac:dyDescent="0.4">
      <c r="A11" s="56" t="s">
        <v>140</v>
      </c>
      <c r="B11" s="48">
        <v>25</v>
      </c>
      <c r="C11" s="40">
        <f>IF(B$2=0,0,B11/B$2)</f>
        <v>0.17006802721088435</v>
      </c>
      <c r="E11" s="63" t="s">
        <v>71</v>
      </c>
      <c r="F11" s="60" t="s">
        <v>26</v>
      </c>
      <c r="G11" s="47">
        <v>37</v>
      </c>
      <c r="H11" s="133">
        <f>IF(B$17=0,0,G11/B$17)</f>
        <v>8.8942307692307696E-2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10.183720930232557</v>
      </c>
      <c r="P11" s="119">
        <v>43</v>
      </c>
      <c r="Q11" s="107">
        <v>437.9</v>
      </c>
    </row>
    <row r="12" spans="1:17" x14ac:dyDescent="0.4">
      <c r="A12" s="57" t="s">
        <v>160</v>
      </c>
      <c r="B12" s="49">
        <v>21</v>
      </c>
      <c r="C12" s="42">
        <f>IF(B$2=0,0,B12/B$2)</f>
        <v>0.14285714285714285</v>
      </c>
      <c r="E12" s="63" t="s">
        <v>87</v>
      </c>
      <c r="F12" s="60" t="s">
        <v>42</v>
      </c>
      <c r="G12" s="47">
        <v>30</v>
      </c>
      <c r="H12" s="133">
        <f>IF(B$17=0,0,G12/B$17)</f>
        <v>7.2115384615384609E-2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11.438596491228072</v>
      </c>
      <c r="P12" s="120">
        <v>57</v>
      </c>
      <c r="Q12" s="108">
        <v>652.00000000000011</v>
      </c>
    </row>
    <row r="13" spans="1:17" x14ac:dyDescent="0.4">
      <c r="A13" s="58" t="s">
        <v>122</v>
      </c>
      <c r="B13" s="50">
        <v>374</v>
      </c>
      <c r="C13" s="44">
        <f>IF(B$3=0,0,B13/B$3)</f>
        <v>0.3101160862354892</v>
      </c>
      <c r="E13" s="63" t="s">
        <v>72</v>
      </c>
      <c r="F13" s="60" t="s">
        <v>27</v>
      </c>
      <c r="G13" s="47">
        <v>29</v>
      </c>
      <c r="H13" s="133">
        <f>IF(B$17=0,0,G13/B$17)</f>
        <v>6.9711538461538464E-2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267</v>
      </c>
      <c r="C14" s="39">
        <f>IF(B$3=0,0,B14/B$3)</f>
        <v>0.22139303482587064</v>
      </c>
      <c r="E14" s="63" t="s">
        <v>84</v>
      </c>
      <c r="F14" s="60" t="s">
        <v>39</v>
      </c>
      <c r="G14" s="47">
        <v>25</v>
      </c>
      <c r="H14" s="133">
        <f>IF(B$17=0,0,G14/B$17)</f>
        <v>6.0096153846153848E-2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215</v>
      </c>
      <c r="C15" s="37">
        <f>IF(B$13=0,0,B15/B$13)</f>
        <v>0.57486631016042777</v>
      </c>
      <c r="E15" s="63" t="s">
        <v>180</v>
      </c>
      <c r="F15" s="60" t="s">
        <v>181</v>
      </c>
      <c r="G15" s="47">
        <v>14</v>
      </c>
      <c r="H15" s="133">
        <f>IF(B$17=0,0,G15/B$17)</f>
        <v>3.3653846153846152E-2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138</v>
      </c>
      <c r="C16" s="37">
        <f>IF(B$14=0,0,B16/B$14)</f>
        <v>0.5168539325842697</v>
      </c>
      <c r="E16" s="63" t="s">
        <v>82</v>
      </c>
      <c r="F16" s="60" t="s">
        <v>37</v>
      </c>
      <c r="G16" s="47">
        <v>12</v>
      </c>
      <c r="H16" s="133">
        <f>IF(B$17=0,0,G16/B$17)</f>
        <v>2.8846153846153848E-2</v>
      </c>
      <c r="I16" s="94">
        <v>6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416</v>
      </c>
      <c r="C17" s="37">
        <f>IF(B$3=0,0,B17/B$3)</f>
        <v>0.34494195688225537</v>
      </c>
      <c r="E17" s="63" t="s">
        <v>79</v>
      </c>
      <c r="F17" s="60" t="s">
        <v>34</v>
      </c>
      <c r="G17" s="47">
        <v>9</v>
      </c>
      <c r="H17" s="133">
        <f>IF(B$17=0,0,G17/B$17)</f>
        <v>2.1634615384615384E-2</v>
      </c>
      <c r="I17" s="94">
        <v>7</v>
      </c>
      <c r="K17" s="38">
        <v>15</v>
      </c>
      <c r="L17" s="99">
        <v>481.50000000000006</v>
      </c>
      <c r="N17" s="115" t="s">
        <v>129</v>
      </c>
      <c r="O17" s="125">
        <f>IF(P17=0,0,Q17/P17)</f>
        <v>27.518181818181823</v>
      </c>
      <c r="P17" s="119">
        <v>55</v>
      </c>
      <c r="Q17" s="107">
        <v>1513.5000000000002</v>
      </c>
    </row>
    <row r="18" spans="1:17" x14ac:dyDescent="0.4">
      <c r="A18" s="55" t="s">
        <v>12</v>
      </c>
      <c r="B18" s="47">
        <v>170</v>
      </c>
      <c r="C18" s="39">
        <f>IF(B$17=0,0,B18/B$17)</f>
        <v>0.40865384615384615</v>
      </c>
      <c r="E18" s="63" t="s">
        <v>92</v>
      </c>
      <c r="F18" s="60" t="s">
        <v>47</v>
      </c>
      <c r="G18" s="47">
        <v>8</v>
      </c>
      <c r="H18" s="133">
        <f>IF(B$17=0,0,G18/B$17)</f>
        <v>1.9230769230769232E-2</v>
      </c>
      <c r="I18" s="94">
        <v>4</v>
      </c>
      <c r="K18" s="38">
        <v>16</v>
      </c>
      <c r="L18" s="99">
        <v>425.50000000000006</v>
      </c>
      <c r="N18" s="115" t="s">
        <v>172</v>
      </c>
      <c r="O18" s="125">
        <f>IF(P18=0,0,Q18/P18)</f>
        <v>22.645</v>
      </c>
      <c r="P18" s="119">
        <v>40</v>
      </c>
      <c r="Q18" s="107">
        <v>905.8</v>
      </c>
    </row>
    <row r="19" spans="1:17" x14ac:dyDescent="0.4">
      <c r="A19" s="55" t="s">
        <v>11</v>
      </c>
      <c r="B19" s="47">
        <v>246</v>
      </c>
      <c r="C19" s="39">
        <f>IF(B$17=0,0,B19/B$17)</f>
        <v>0.59134615384615385</v>
      </c>
      <c r="E19" s="63" t="s">
        <v>80</v>
      </c>
      <c r="F19" s="60" t="s">
        <v>35</v>
      </c>
      <c r="G19" s="47">
        <v>5</v>
      </c>
      <c r="H19" s="133">
        <f>IF(B$17=0,0,G19/B$17)</f>
        <v>1.201923076923077E-2</v>
      </c>
      <c r="I19" s="94">
        <v>9</v>
      </c>
      <c r="K19" s="38">
        <v>17</v>
      </c>
      <c r="L19" s="99">
        <v>427.40000000000003</v>
      </c>
      <c r="N19" s="115" t="s">
        <v>177</v>
      </c>
      <c r="O19" s="125">
        <f>IF(P19=0,0,Q19/P19)</f>
        <v>22.326923076923087</v>
      </c>
      <c r="P19" s="119">
        <v>26</v>
      </c>
      <c r="Q19" s="107">
        <v>580.50000000000023</v>
      </c>
    </row>
    <row r="20" spans="1:17" x14ac:dyDescent="0.4">
      <c r="A20" s="55" t="s">
        <v>13</v>
      </c>
      <c r="B20" s="47">
        <v>192</v>
      </c>
      <c r="C20" s="39">
        <f>IF(B$3=0,0,B20/B$3)</f>
        <v>0.15920398009950248</v>
      </c>
      <c r="E20" s="63" t="s">
        <v>86</v>
      </c>
      <c r="F20" s="60" t="s">
        <v>41</v>
      </c>
      <c r="G20" s="47">
        <v>4</v>
      </c>
      <c r="H20" s="133">
        <f>IF(B$17=0,0,G20/B$17)</f>
        <v>9.6153846153846159E-3</v>
      </c>
      <c r="I20" s="94">
        <v>2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7.2115384615384619E-3</v>
      </c>
      <c r="I21" s="94">
        <v>5</v>
      </c>
      <c r="K21" s="38">
        <v>19</v>
      </c>
      <c r="L21" s="99">
        <v>405.40000000000003</v>
      </c>
      <c r="N21" s="115" t="s">
        <v>184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192</v>
      </c>
      <c r="B22" s="47">
        <v>39</v>
      </c>
      <c r="C22" s="135">
        <v>2</v>
      </c>
      <c r="E22" s="63" t="s">
        <v>78</v>
      </c>
      <c r="F22" s="60" t="s">
        <v>33</v>
      </c>
      <c r="G22" s="47">
        <v>2</v>
      </c>
      <c r="H22" s="133">
        <f>IF(B$17=0,0,G22/B$17)</f>
        <v>4.807692307692308E-3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17.972941176470588</v>
      </c>
      <c r="P22" s="119">
        <v>85</v>
      </c>
      <c r="Q22" s="107">
        <v>1527.7</v>
      </c>
    </row>
    <row r="23" spans="1:17" x14ac:dyDescent="0.4">
      <c r="A23" s="55" t="s">
        <v>5</v>
      </c>
      <c r="B23" s="51">
        <f>IF(B$17=0,0,C23/B$17)</f>
        <v>9089.1826923076915</v>
      </c>
      <c r="C23" s="41">
        <v>3781100</v>
      </c>
      <c r="E23" s="63" t="s">
        <v>91</v>
      </c>
      <c r="F23" s="60" t="s">
        <v>46</v>
      </c>
      <c r="G23" s="47">
        <v>2</v>
      </c>
      <c r="H23" s="133">
        <f>IF(B$17=0,0,G23/B$17)</f>
        <v>4.807692307692308E-3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0.47499999999999731</v>
      </c>
      <c r="P23" s="119">
        <v>52</v>
      </c>
      <c r="Q23" s="107">
        <v>24.699999999999861</v>
      </c>
    </row>
    <row r="24" spans="1:17" x14ac:dyDescent="0.4">
      <c r="A24" s="57" t="s">
        <v>14</v>
      </c>
      <c r="B24" s="52">
        <f>IF(B$20=0,0,C24/B$20)</f>
        <v>-8268.2291666666661</v>
      </c>
      <c r="C24" s="45">
        <v>-1587500</v>
      </c>
      <c r="E24" s="63" t="s">
        <v>93</v>
      </c>
      <c r="F24" s="60" t="s">
        <v>48</v>
      </c>
      <c r="G24" s="47">
        <v>2</v>
      </c>
      <c r="H24" s="133">
        <f>IF(B$17=0,0,G24/B$17)</f>
        <v>4.807692307692308E-3</v>
      </c>
      <c r="I24" s="94">
        <v>4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76</v>
      </c>
      <c r="F25" s="60" t="s">
        <v>31</v>
      </c>
      <c r="G25" s="47">
        <v>1</v>
      </c>
      <c r="H25" s="133">
        <f>IF(B$17=0,0,G25/B$17)</f>
        <v>2.403846153846154E-3</v>
      </c>
      <c r="I25" s="94">
        <v>7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85</v>
      </c>
      <c r="F26" s="60" t="s">
        <v>40</v>
      </c>
      <c r="G26" s="47">
        <v>1</v>
      </c>
      <c r="H26" s="133">
        <f>IF(B$17=0,0,G26/B$17)</f>
        <v>2.403846153846154E-3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8.2918739635157548E-4</v>
      </c>
      <c r="E27" s="63" t="s">
        <v>88</v>
      </c>
      <c r="F27" s="60" t="s">
        <v>43</v>
      </c>
      <c r="G27" s="47">
        <v>1</v>
      </c>
      <c r="H27" s="133">
        <f>IF(B$17=0,0,G27/B$17)</f>
        <v>2.403846153846154E-3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2.403846153846154E-3</v>
      </c>
      <c r="I28" s="94">
        <v>6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2.403846153846154E-3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1770.8000000000009</v>
      </c>
    </row>
    <row r="149" spans="11:12" x14ac:dyDescent="0.4">
      <c r="K149" s="38">
        <v>147</v>
      </c>
      <c r="L149" s="99">
        <v>1734.4000000000008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7C4CD-E6F7-4F94-ABDC-40827B007B05}">
  <sheetPr codeName="Sheet9"/>
  <dimension ref="A1:Q12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123</v>
      </c>
      <c r="C2" s="151"/>
      <c r="E2" s="62" t="s">
        <v>67</v>
      </c>
      <c r="F2" s="59" t="s">
        <v>23</v>
      </c>
      <c r="G2" s="46">
        <v>214</v>
      </c>
      <c r="H2" s="132">
        <f>IF(B$17=0,0,G2/B$17)</f>
        <v>0.7781818181818182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278.04878048780489</v>
      </c>
      <c r="P2" s="118">
        <v>123</v>
      </c>
      <c r="Q2" s="102">
        <v>34200</v>
      </c>
    </row>
    <row r="3" spans="1:17" x14ac:dyDescent="0.4">
      <c r="A3" s="55" t="s">
        <v>8</v>
      </c>
      <c r="B3" s="152">
        <v>1019</v>
      </c>
      <c r="C3" s="153"/>
      <c r="E3" s="63" t="s">
        <v>65</v>
      </c>
      <c r="F3" s="60" t="s">
        <v>21</v>
      </c>
      <c r="G3" s="47">
        <v>168</v>
      </c>
      <c r="H3" s="133">
        <f>IF(B$17=0,0,G3/B$17)</f>
        <v>0.61090909090909096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-2251.2605042016808</v>
      </c>
      <c r="P3" s="119">
        <v>119</v>
      </c>
      <c r="Q3" s="103">
        <v>-267900</v>
      </c>
    </row>
    <row r="4" spans="1:17" x14ac:dyDescent="0.4">
      <c r="A4" s="55" t="s">
        <v>6</v>
      </c>
      <c r="B4" s="154">
        <v>-426.70000000000005</v>
      </c>
      <c r="C4" s="155"/>
      <c r="E4" s="63" t="s">
        <v>73</v>
      </c>
      <c r="F4" s="60" t="s">
        <v>28</v>
      </c>
      <c r="G4" s="47">
        <v>127</v>
      </c>
      <c r="H4" s="133">
        <f>IF(B$17=0,0,G4/B$17)</f>
        <v>0.46181818181818179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430.43478260869563</v>
      </c>
      <c r="P4" s="119">
        <v>115</v>
      </c>
      <c r="Q4" s="103">
        <v>49500</v>
      </c>
    </row>
    <row r="5" spans="1:17" x14ac:dyDescent="0.4">
      <c r="A5" s="55" t="s">
        <v>7</v>
      </c>
      <c r="B5" s="156">
        <f>IF(B$2=0,0,B$4/B$2)</f>
        <v>-3.4691056910569111</v>
      </c>
      <c r="C5" s="157"/>
      <c r="E5" s="63" t="s">
        <v>245</v>
      </c>
      <c r="F5" s="60" t="s">
        <v>246</v>
      </c>
      <c r="G5" s="47">
        <v>120</v>
      </c>
      <c r="H5" s="133">
        <f>IF(B$17=0,0,G5/B$17)</f>
        <v>0.43636363636363634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-105.88235294117646</v>
      </c>
      <c r="P5" s="119">
        <v>102</v>
      </c>
      <c r="Q5" s="103">
        <v>-10800</v>
      </c>
    </row>
    <row r="6" spans="1:17" x14ac:dyDescent="0.4">
      <c r="A6" s="55" t="s">
        <v>1</v>
      </c>
      <c r="B6" s="146">
        <f>IF(B$2=0,0,(B$7*1+B$8*2+B$9*3)/B$2)</f>
        <v>2.0975609756097562</v>
      </c>
      <c r="C6" s="147"/>
      <c r="E6" s="63" t="s">
        <v>68</v>
      </c>
      <c r="F6" s="60" t="s">
        <v>24</v>
      </c>
      <c r="G6" s="47">
        <v>102</v>
      </c>
      <c r="H6" s="133">
        <f>IF(B$17=0,0,G6/B$17)</f>
        <v>0.37090909090909091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243.95604395604394</v>
      </c>
      <c r="P6" s="119">
        <v>91</v>
      </c>
      <c r="Q6" s="103">
        <v>22200</v>
      </c>
    </row>
    <row r="7" spans="1:17" x14ac:dyDescent="0.4">
      <c r="A7" s="55" t="s">
        <v>2</v>
      </c>
      <c r="B7" s="47">
        <v>32</v>
      </c>
      <c r="C7" s="39">
        <f>IF(B$2=0,0,B7/B$2)</f>
        <v>0.26016260162601629</v>
      </c>
      <c r="E7" s="63" t="s">
        <v>69</v>
      </c>
      <c r="F7" s="60" t="s">
        <v>12</v>
      </c>
      <c r="G7" s="47">
        <v>93</v>
      </c>
      <c r="H7" s="133">
        <f>IF(B$17=0,0,G7/B$17)</f>
        <v>0.33818181818181819</v>
      </c>
      <c r="I7" s="94">
        <v>7</v>
      </c>
      <c r="K7" s="38">
        <v>5</v>
      </c>
      <c r="L7" s="99">
        <v>-16.600000000000005</v>
      </c>
      <c r="N7" s="116" t="s">
        <v>137</v>
      </c>
      <c r="O7" s="123">
        <f t="shared" si="0"/>
        <v>271.76470588235293</v>
      </c>
      <c r="P7" s="120">
        <v>85</v>
      </c>
      <c r="Q7" s="104">
        <v>23100</v>
      </c>
    </row>
    <row r="8" spans="1:17" x14ac:dyDescent="0.4">
      <c r="A8" s="55" t="s">
        <v>3</v>
      </c>
      <c r="B8" s="47">
        <v>47</v>
      </c>
      <c r="C8" s="39">
        <f>IF(B$2=0,0,B8/B$2)</f>
        <v>0.38211382113821141</v>
      </c>
      <c r="E8" s="63" t="s">
        <v>70</v>
      </c>
      <c r="F8" s="60" t="s">
        <v>25</v>
      </c>
      <c r="G8" s="47">
        <v>60</v>
      </c>
      <c r="H8" s="133">
        <f>IF(B$17=0,0,G8/B$17)</f>
        <v>0.21818181818181817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44</v>
      </c>
      <c r="C9" s="40">
        <f t="shared" ref="C9" si="1">IF(B$2=0,0,B9/B$2)</f>
        <v>0.35772357723577236</v>
      </c>
      <c r="E9" s="63" t="s">
        <v>66</v>
      </c>
      <c r="F9" s="60" t="s">
        <v>22</v>
      </c>
      <c r="G9" s="47">
        <v>44</v>
      </c>
      <c r="H9" s="133">
        <f>IF(B$17=0,0,G9/B$17)</f>
        <v>0.16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16</v>
      </c>
      <c r="C10" s="40">
        <f>IF(B$2=0,0,B10/B$2)</f>
        <v>0.13008130081300814</v>
      </c>
      <c r="E10" s="63" t="s">
        <v>71</v>
      </c>
      <c r="F10" s="60" t="s">
        <v>26</v>
      </c>
      <c r="G10" s="47">
        <v>34</v>
      </c>
      <c r="H10" s="133">
        <f>IF(B$17=0,0,G10/B$17)</f>
        <v>0.12363636363636364</v>
      </c>
      <c r="I10" s="94">
        <v>2</v>
      </c>
      <c r="K10" s="38">
        <v>8</v>
      </c>
      <c r="L10" s="99">
        <v>-49.6</v>
      </c>
      <c r="N10" s="114" t="s">
        <v>164</v>
      </c>
      <c r="O10" s="124">
        <f>IF(P10=0,0,Q10/P10)</f>
        <v>-7.6725806451612915</v>
      </c>
      <c r="P10" s="118">
        <v>62</v>
      </c>
      <c r="Q10" s="106">
        <v>-475.70000000000005</v>
      </c>
    </row>
    <row r="11" spans="1:17" x14ac:dyDescent="0.4">
      <c r="A11" s="56" t="s">
        <v>140</v>
      </c>
      <c r="B11" s="48">
        <v>11</v>
      </c>
      <c r="C11" s="40">
        <f>IF(B$2=0,0,B11/B$2)</f>
        <v>8.943089430894309E-2</v>
      </c>
      <c r="E11" s="63" t="s">
        <v>90</v>
      </c>
      <c r="F11" s="60" t="s">
        <v>45</v>
      </c>
      <c r="G11" s="47">
        <v>29</v>
      </c>
      <c r="H11" s="133">
        <f>IF(B$17=0,0,G11/B$17)</f>
        <v>0.10545454545454545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-2.713333333333332</v>
      </c>
      <c r="P11" s="119">
        <v>30</v>
      </c>
      <c r="Q11" s="107">
        <v>-81.399999999999963</v>
      </c>
    </row>
    <row r="12" spans="1:17" x14ac:dyDescent="0.4">
      <c r="A12" s="57" t="s">
        <v>160</v>
      </c>
      <c r="B12" s="49">
        <v>8</v>
      </c>
      <c r="C12" s="42">
        <f>IF(B$2=0,0,B12/B$2)</f>
        <v>6.5040650406504072E-2</v>
      </c>
      <c r="E12" s="63" t="s">
        <v>72</v>
      </c>
      <c r="F12" s="60" t="s">
        <v>27</v>
      </c>
      <c r="G12" s="47">
        <v>17</v>
      </c>
      <c r="H12" s="133">
        <f>IF(B$17=0,0,G12/B$17)</f>
        <v>6.1818181818181821E-2</v>
      </c>
      <c r="I12" s="94">
        <v>6</v>
      </c>
      <c r="K12" s="38">
        <v>10</v>
      </c>
      <c r="L12" s="99">
        <v>-80.900000000000006</v>
      </c>
      <c r="N12" s="116" t="s">
        <v>166</v>
      </c>
      <c r="O12" s="126">
        <f>IF(P12=0,0,Q12/P12)</f>
        <v>4.2064516129032254</v>
      </c>
      <c r="P12" s="120">
        <v>31</v>
      </c>
      <c r="Q12" s="108">
        <v>130.39999999999998</v>
      </c>
    </row>
    <row r="13" spans="1:17" x14ac:dyDescent="0.4">
      <c r="A13" s="58" t="s">
        <v>122</v>
      </c>
      <c r="B13" s="50">
        <v>307</v>
      </c>
      <c r="C13" s="44">
        <f>IF(B$3=0,0,B13/B$3)</f>
        <v>0.3012757605495584</v>
      </c>
      <c r="E13" s="63" t="s">
        <v>87</v>
      </c>
      <c r="F13" s="60" t="s">
        <v>42</v>
      </c>
      <c r="G13" s="47">
        <v>15</v>
      </c>
      <c r="H13" s="133">
        <f>IF(B$17=0,0,G13/B$17)</f>
        <v>5.4545454545454543E-2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183</v>
      </c>
      <c r="C14" s="39">
        <f>IF(B$3=0,0,B14/B$3)</f>
        <v>0.17958783120706576</v>
      </c>
      <c r="E14" s="63" t="s">
        <v>84</v>
      </c>
      <c r="F14" s="60" t="s">
        <v>39</v>
      </c>
      <c r="G14" s="47">
        <v>10</v>
      </c>
      <c r="H14" s="133">
        <f>IF(B$17=0,0,G14/B$17)</f>
        <v>3.6363636363636362E-2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177</v>
      </c>
      <c r="C15" s="37">
        <f>IF(B$13=0,0,B15/B$13)</f>
        <v>0.57654723127035834</v>
      </c>
      <c r="E15" s="63" t="s">
        <v>82</v>
      </c>
      <c r="F15" s="60" t="s">
        <v>37</v>
      </c>
      <c r="G15" s="47">
        <v>8</v>
      </c>
      <c r="H15" s="133">
        <f>IF(B$17=0,0,G15/B$17)</f>
        <v>2.9090909090909091E-2</v>
      </c>
      <c r="I15" s="94">
        <v>5</v>
      </c>
      <c r="K15" s="38">
        <v>13</v>
      </c>
      <c r="L15" s="99">
        <v>-81.900000000000006</v>
      </c>
      <c r="N15" s="114" t="s">
        <v>184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53</v>
      </c>
      <c r="C16" s="37">
        <f>IF(B$14=0,0,B16/B$14)</f>
        <v>0.2896174863387978</v>
      </c>
      <c r="E16" s="63" t="s">
        <v>80</v>
      </c>
      <c r="F16" s="60" t="s">
        <v>35</v>
      </c>
      <c r="G16" s="47">
        <v>6</v>
      </c>
      <c r="H16" s="133">
        <f>IF(B$17=0,0,G16/B$17)</f>
        <v>2.181818181818182E-2</v>
      </c>
      <c r="I16" s="94">
        <v>3</v>
      </c>
      <c r="K16" s="38">
        <v>14</v>
      </c>
      <c r="L16" s="99">
        <v>-25.600000000000009</v>
      </c>
      <c r="N16" s="115" t="s">
        <v>129</v>
      </c>
      <c r="O16" s="125">
        <f>IF(P16=0,0,Q16/P16)</f>
        <v>13.074999999999999</v>
      </c>
      <c r="P16" s="119">
        <v>40</v>
      </c>
      <c r="Q16" s="107">
        <v>523</v>
      </c>
    </row>
    <row r="17" spans="1:17" x14ac:dyDescent="0.4">
      <c r="A17" s="54" t="s">
        <v>10</v>
      </c>
      <c r="B17" s="46">
        <f>B19+B18</f>
        <v>275</v>
      </c>
      <c r="C17" s="37">
        <f>IF(B$3=0,0,B17/B$3)</f>
        <v>0.26987242394504418</v>
      </c>
      <c r="E17" s="63" t="s">
        <v>92</v>
      </c>
      <c r="F17" s="60" t="s">
        <v>47</v>
      </c>
      <c r="G17" s="47">
        <v>6</v>
      </c>
      <c r="H17" s="133">
        <f>IF(B$17=0,0,G17/B$17)</f>
        <v>2.181818181818182E-2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>IF(P17=0,0,Q17/P17)</f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116</v>
      </c>
      <c r="C18" s="39">
        <f>IF(B$17=0,0,B18/B$17)</f>
        <v>0.42181818181818181</v>
      </c>
      <c r="E18" s="63" t="s">
        <v>79</v>
      </c>
      <c r="F18" s="60" t="s">
        <v>34</v>
      </c>
      <c r="G18" s="47">
        <v>5</v>
      </c>
      <c r="H18" s="133">
        <f>IF(B$17=0,0,G18/B$17)</f>
        <v>1.8181818181818181E-2</v>
      </c>
      <c r="I18" s="94">
        <v>8</v>
      </c>
      <c r="K18" s="38">
        <v>16</v>
      </c>
      <c r="L18" s="99">
        <v>41.699999999999989</v>
      </c>
      <c r="N18" s="115" t="s">
        <v>172</v>
      </c>
      <c r="O18" s="125">
        <f>IF(P18=0,0,Q18/P18)</f>
        <v>-1.5424242424242416</v>
      </c>
      <c r="P18" s="119">
        <v>33</v>
      </c>
      <c r="Q18" s="107">
        <v>-50.89999999999997</v>
      </c>
    </row>
    <row r="19" spans="1:17" x14ac:dyDescent="0.4">
      <c r="A19" s="55" t="s">
        <v>11</v>
      </c>
      <c r="B19" s="47">
        <v>159</v>
      </c>
      <c r="C19" s="39">
        <f>IF(B$17=0,0,B19/B$17)</f>
        <v>0.57818181818181813</v>
      </c>
      <c r="E19" s="63" t="s">
        <v>180</v>
      </c>
      <c r="F19" s="60" t="s">
        <v>181</v>
      </c>
      <c r="G19" s="47">
        <v>5</v>
      </c>
      <c r="H19" s="133">
        <f>IF(B$17=0,0,G19/B$17)</f>
        <v>1.8181818181818181E-2</v>
      </c>
      <c r="I19" s="94">
        <v>3</v>
      </c>
      <c r="K19" s="38">
        <v>17</v>
      </c>
      <c r="L19" s="99">
        <v>94.6</v>
      </c>
      <c r="N19" s="115" t="s">
        <v>171</v>
      </c>
      <c r="O19" s="125">
        <f>IF(P19=0,0,Q19/P19)</f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175</v>
      </c>
      <c r="C20" s="39">
        <f>IF(B$3=0,0,B20/B$3)</f>
        <v>0.1717369970559372</v>
      </c>
      <c r="E20" s="63" t="s">
        <v>74</v>
      </c>
      <c r="F20" s="60" t="s">
        <v>29</v>
      </c>
      <c r="G20" s="47">
        <v>2</v>
      </c>
      <c r="H20" s="133">
        <f>IF(B$17=0,0,G20/B$17)</f>
        <v>7.2727272727272727E-3</v>
      </c>
      <c r="I20" s="94">
        <v>4</v>
      </c>
      <c r="K20" s="38">
        <v>18</v>
      </c>
      <c r="L20" s="99">
        <v>116.69999999999999</v>
      </c>
      <c r="N20" s="115" t="s">
        <v>200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75</v>
      </c>
      <c r="F21" s="60" t="s">
        <v>30</v>
      </c>
      <c r="G21" s="47">
        <v>2</v>
      </c>
      <c r="H21" s="133">
        <f>IF(B$17=0,0,G21/B$17)</f>
        <v>7.2727272727272727E-3</v>
      </c>
      <c r="I21" s="94">
        <v>2</v>
      </c>
      <c r="K21" s="38">
        <v>19</v>
      </c>
      <c r="L21" s="99">
        <v>138.79999999999998</v>
      </c>
      <c r="N21" s="115" t="s">
        <v>177</v>
      </c>
      <c r="O21" s="125">
        <f>IF(P21=0,0,Q21/P21)</f>
        <v>-13.466666666666667</v>
      </c>
      <c r="P21" s="119">
        <v>24</v>
      </c>
      <c r="Q21" s="107">
        <v>-323.2</v>
      </c>
    </row>
    <row r="22" spans="1:17" x14ac:dyDescent="0.4">
      <c r="A22" s="55" t="s">
        <v>192</v>
      </c>
      <c r="B22" s="47">
        <v>24</v>
      </c>
      <c r="C22" s="135">
        <v>3</v>
      </c>
      <c r="E22" s="63" t="s">
        <v>76</v>
      </c>
      <c r="F22" s="60" t="s">
        <v>31</v>
      </c>
      <c r="G22" s="47">
        <v>2</v>
      </c>
      <c r="H22" s="133">
        <f>IF(B$17=0,0,G22/B$17)</f>
        <v>7.2727272727272727E-3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>IF(P22=0,0,Q22/P22)</f>
        <v>-17.972941176470588</v>
      </c>
      <c r="P22" s="119">
        <v>85</v>
      </c>
      <c r="Q22" s="107">
        <v>-1527.7</v>
      </c>
    </row>
    <row r="23" spans="1:17" x14ac:dyDescent="0.4">
      <c r="A23" s="55" t="s">
        <v>5</v>
      </c>
      <c r="B23" s="51">
        <f>IF(B$17=0,0,C23/B$17)</f>
        <v>9285.454545454546</v>
      </c>
      <c r="C23" s="41">
        <v>2553500</v>
      </c>
      <c r="E23" s="63" t="s">
        <v>78</v>
      </c>
      <c r="F23" s="60" t="s">
        <v>33</v>
      </c>
      <c r="G23" s="47">
        <v>1</v>
      </c>
      <c r="H23" s="133">
        <f>IF(B$17=0,0,G23/B$17)</f>
        <v>3.6363636363636364E-3</v>
      </c>
      <c r="I23" s="94">
        <v>3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-7819.4285714285716</v>
      </c>
      <c r="C24" s="45">
        <v>-1368400</v>
      </c>
      <c r="E24" s="63" t="s">
        <v>85</v>
      </c>
      <c r="F24" s="60" t="s">
        <v>40</v>
      </c>
      <c r="G24" s="47">
        <v>1</v>
      </c>
      <c r="H24" s="133">
        <f>IF(B$17=0,0,G24/B$17)</f>
        <v>3.6363636363636364E-3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3.6363636363636364E-3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97300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3.6363636363636364E-3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4.9067713444553487E-3</v>
      </c>
      <c r="E27" s="63" t="s">
        <v>94</v>
      </c>
      <c r="F27" s="60" t="s">
        <v>49</v>
      </c>
      <c r="G27" s="47">
        <v>1</v>
      </c>
      <c r="H27" s="133">
        <f>IF(B$17=0,0,G27/B$17)</f>
        <v>3.6363636363636364E-3</v>
      </c>
      <c r="I27" s="94">
        <v>5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3.6363636363636364E-3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2B541-49DD-4440-B6EB-50F4C010DD9B}">
  <sheetPr codeName="Sheet11"/>
  <dimension ref="A1:Q9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88</v>
      </c>
      <c r="C2" s="151"/>
      <c r="E2" s="62" t="s">
        <v>65</v>
      </c>
      <c r="F2" s="59" t="s">
        <v>21</v>
      </c>
      <c r="G2" s="46">
        <v>106</v>
      </c>
      <c r="H2" s="132">
        <f>IF(B$17=0,0,G2/B$17)</f>
        <v>0.60571428571428576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-3288.6363636363635</v>
      </c>
      <c r="P2" s="118">
        <v>88</v>
      </c>
      <c r="Q2" s="102">
        <v>-289400</v>
      </c>
    </row>
    <row r="3" spans="1:17" x14ac:dyDescent="0.4">
      <c r="A3" s="55" t="s">
        <v>8</v>
      </c>
      <c r="B3" s="152">
        <v>736</v>
      </c>
      <c r="C3" s="153"/>
      <c r="E3" s="63" t="s">
        <v>66</v>
      </c>
      <c r="F3" s="60" t="s">
        <v>22</v>
      </c>
      <c r="G3" s="47">
        <v>18</v>
      </c>
      <c r="H3" s="133">
        <f>IF(B$17=0,0,G3/B$17)</f>
        <v>0.10285714285714286</v>
      </c>
      <c r="I3" s="94">
        <v>7</v>
      </c>
      <c r="K3" s="38">
        <v>1</v>
      </c>
      <c r="L3" s="99">
        <v>-40.4</v>
      </c>
      <c r="N3" s="115" t="s">
        <v>133</v>
      </c>
      <c r="O3" s="122">
        <f t="shared" si="0"/>
        <v>-1413.953488372093</v>
      </c>
      <c r="P3" s="119">
        <v>86</v>
      </c>
      <c r="Q3" s="103">
        <v>-121600</v>
      </c>
    </row>
    <row r="4" spans="1:17" x14ac:dyDescent="0.4">
      <c r="A4" s="55" t="s">
        <v>6</v>
      </c>
      <c r="B4" s="154">
        <v>-1241.1000000000001</v>
      </c>
      <c r="C4" s="155"/>
      <c r="E4" s="63" t="s">
        <v>67</v>
      </c>
      <c r="F4" s="60" t="s">
        <v>23</v>
      </c>
      <c r="G4" s="47">
        <v>141</v>
      </c>
      <c r="H4" s="133">
        <f>IF(B$17=0,0,G4/B$17)</f>
        <v>0.80571428571428572</v>
      </c>
      <c r="I4" s="94">
        <v>4</v>
      </c>
      <c r="K4" s="38">
        <v>2</v>
      </c>
      <c r="L4" s="99">
        <v>-3.3999999999999986</v>
      </c>
      <c r="N4" s="115" t="s">
        <v>134</v>
      </c>
      <c r="O4" s="122">
        <f t="shared" si="0"/>
        <v>386.41975308641975</v>
      </c>
      <c r="P4" s="119">
        <v>81</v>
      </c>
      <c r="Q4" s="103">
        <v>31300</v>
      </c>
    </row>
    <row r="5" spans="1:17" x14ac:dyDescent="0.4">
      <c r="A5" s="55" t="s">
        <v>7</v>
      </c>
      <c r="B5" s="156">
        <f>IF(B$2=0,0,B$4/B$2)</f>
        <v>-14.103409090909093</v>
      </c>
      <c r="C5" s="157"/>
      <c r="E5" s="63" t="s">
        <v>68</v>
      </c>
      <c r="F5" s="60" t="s">
        <v>24</v>
      </c>
      <c r="G5" s="47">
        <v>62</v>
      </c>
      <c r="H5" s="133">
        <f>IF(B$17=0,0,G5/B$17)</f>
        <v>0.35428571428571426</v>
      </c>
      <c r="I5" s="94">
        <v>6</v>
      </c>
      <c r="K5" s="38">
        <v>3</v>
      </c>
      <c r="L5" s="99">
        <v>-23.099999999999998</v>
      </c>
      <c r="N5" s="115" t="s">
        <v>135</v>
      </c>
      <c r="O5" s="122">
        <f t="shared" si="0"/>
        <v>-4704.2253521126759</v>
      </c>
      <c r="P5" s="119">
        <v>71</v>
      </c>
      <c r="Q5" s="103">
        <v>-334000</v>
      </c>
    </row>
    <row r="6" spans="1:17" x14ac:dyDescent="0.4">
      <c r="A6" s="55" t="s">
        <v>1</v>
      </c>
      <c r="B6" s="146">
        <f>IF(B$2=0,0,(B$7*1+B$8*2+B$9*3)/B$2)</f>
        <v>2.2272727272727271</v>
      </c>
      <c r="C6" s="147"/>
      <c r="E6" s="63" t="s">
        <v>69</v>
      </c>
      <c r="F6" s="60" t="s">
        <v>12</v>
      </c>
      <c r="G6" s="47">
        <v>66</v>
      </c>
      <c r="H6" s="133">
        <f>IF(B$17=0,0,G6/B$17)</f>
        <v>0.37714285714285717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-859.375</v>
      </c>
      <c r="P6" s="119">
        <v>64</v>
      </c>
      <c r="Q6" s="103">
        <v>-55000</v>
      </c>
    </row>
    <row r="7" spans="1:17" x14ac:dyDescent="0.4">
      <c r="A7" s="55" t="s">
        <v>2</v>
      </c>
      <c r="B7" s="47">
        <v>22</v>
      </c>
      <c r="C7" s="39">
        <f>IF(B$2=0,0,B7/B$2)</f>
        <v>0.25</v>
      </c>
      <c r="E7" s="63" t="s">
        <v>70</v>
      </c>
      <c r="F7" s="60" t="s">
        <v>25</v>
      </c>
      <c r="G7" s="47">
        <v>35</v>
      </c>
      <c r="H7" s="133">
        <f>IF(B$17=0,0,G7/B$17)</f>
        <v>0.2</v>
      </c>
      <c r="I7" s="94">
        <v>2</v>
      </c>
      <c r="K7" s="38">
        <v>5</v>
      </c>
      <c r="L7" s="99">
        <v>-32.199999999999996</v>
      </c>
      <c r="N7" s="116" t="s">
        <v>137</v>
      </c>
      <c r="O7" s="123">
        <f t="shared" si="0"/>
        <v>-1129.3103448275863</v>
      </c>
      <c r="P7" s="120">
        <v>58</v>
      </c>
      <c r="Q7" s="104">
        <v>-65500</v>
      </c>
    </row>
    <row r="8" spans="1:17" x14ac:dyDescent="0.4">
      <c r="A8" s="55" t="s">
        <v>3</v>
      </c>
      <c r="B8" s="47">
        <v>24</v>
      </c>
      <c r="C8" s="39">
        <f>IF(B$2=0,0,B8/B$2)</f>
        <v>0.27272727272727271</v>
      </c>
      <c r="E8" s="63" t="s">
        <v>71</v>
      </c>
      <c r="F8" s="60" t="s">
        <v>26</v>
      </c>
      <c r="G8" s="47">
        <v>28</v>
      </c>
      <c r="H8" s="133">
        <f>IF(B$17=0,0,G8/B$17)</f>
        <v>0.16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42</v>
      </c>
      <c r="C9" s="40">
        <f t="shared" ref="C9" si="1">IF(B$2=0,0,B9/B$2)</f>
        <v>0.47727272727272729</v>
      </c>
      <c r="E9" s="63" t="s">
        <v>72</v>
      </c>
      <c r="F9" s="60" t="s">
        <v>27</v>
      </c>
      <c r="G9" s="47">
        <v>20</v>
      </c>
      <c r="H9" s="133">
        <f>IF(B$17=0,0,G9/B$17)</f>
        <v>0.11428571428571428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0.19318181818181818</v>
      </c>
      <c r="E10" s="63" t="s">
        <v>73</v>
      </c>
      <c r="F10" s="60" t="s">
        <v>28</v>
      </c>
      <c r="G10" s="47">
        <v>59</v>
      </c>
      <c r="H10" s="133">
        <f>IF(B$17=0,0,G10/B$17)</f>
        <v>0.33714285714285713</v>
      </c>
      <c r="I10" s="94">
        <v>12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-17.74444444444444</v>
      </c>
      <c r="P10" s="118">
        <v>27</v>
      </c>
      <c r="Q10" s="106">
        <v>-479.09999999999985</v>
      </c>
    </row>
    <row r="11" spans="1:17" x14ac:dyDescent="0.4">
      <c r="A11" s="56" t="s">
        <v>140</v>
      </c>
      <c r="B11" s="48">
        <v>9</v>
      </c>
      <c r="C11" s="40">
        <f>IF(B$2=0,0,B11/B$2)</f>
        <v>0.10227272727272728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-127.6</v>
      </c>
      <c r="N11" s="115" t="s">
        <v>165</v>
      </c>
      <c r="O11" s="125">
        <f>IF(P11=0,0,Q11/P11)</f>
        <v>-12.160000000000004</v>
      </c>
      <c r="P11" s="119">
        <v>35</v>
      </c>
      <c r="Q11" s="107">
        <v>-425.60000000000014</v>
      </c>
    </row>
    <row r="12" spans="1:17" x14ac:dyDescent="0.4">
      <c r="A12" s="57" t="s">
        <v>160</v>
      </c>
      <c r="B12" s="49">
        <v>7</v>
      </c>
      <c r="C12" s="42">
        <f>IF(B$2=0,0,B12/B$2)</f>
        <v>7.9545454545454544E-2</v>
      </c>
      <c r="E12" s="63" t="s">
        <v>75</v>
      </c>
      <c r="F12" s="60" t="s">
        <v>30</v>
      </c>
      <c r="G12" s="47">
        <v>2</v>
      </c>
      <c r="H12" s="133">
        <f>IF(B$17=0,0,G12/B$17)</f>
        <v>1.1428571428571429E-2</v>
      </c>
      <c r="I12" s="94">
        <v>1</v>
      </c>
      <c r="K12" s="38">
        <v>10</v>
      </c>
      <c r="L12" s="99">
        <v>-231.39999999999998</v>
      </c>
      <c r="N12" s="116" t="s">
        <v>166</v>
      </c>
      <c r="O12" s="126">
        <f>IF(P12=0,0,Q12/P12)</f>
        <v>-12.938461538461535</v>
      </c>
      <c r="P12" s="120">
        <v>26</v>
      </c>
      <c r="Q12" s="108">
        <v>-336.39999999999992</v>
      </c>
    </row>
    <row r="13" spans="1:17" x14ac:dyDescent="0.4">
      <c r="A13" s="58" t="s">
        <v>122</v>
      </c>
      <c r="B13" s="50">
        <v>209</v>
      </c>
      <c r="C13" s="44">
        <f>IF(B$3=0,0,B13/B$3)</f>
        <v>0.28396739130434784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121</v>
      </c>
      <c r="C14" s="39">
        <f>IF(B$3=0,0,B14/B$3)</f>
        <v>0.16440217391304349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109</v>
      </c>
      <c r="C15" s="37">
        <f>IF(B$13=0,0,B15/B$13)</f>
        <v>0.52153110047846885</v>
      </c>
      <c r="E15" s="63" t="s">
        <v>78</v>
      </c>
      <c r="F15" s="60" t="s">
        <v>33</v>
      </c>
      <c r="G15" s="47">
        <v>1</v>
      </c>
      <c r="H15" s="133">
        <f>IF(B$17=0,0,G15/B$17)</f>
        <v>5.7142857142857143E-3</v>
      </c>
      <c r="I15" s="94">
        <v>1</v>
      </c>
      <c r="K15" s="38">
        <v>13</v>
      </c>
      <c r="L15" s="99">
        <v>-369.1</v>
      </c>
      <c r="N15" s="114" t="s">
        <v>223</v>
      </c>
      <c r="O15" s="124">
        <f t="shared" ref="O15:O22" si="2"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30</v>
      </c>
      <c r="C16" s="37">
        <f>IF(B$14=0,0,B16/B$14)</f>
        <v>0.24793388429752067</v>
      </c>
      <c r="E16" s="63" t="s">
        <v>79</v>
      </c>
      <c r="F16" s="60" t="s">
        <v>34</v>
      </c>
      <c r="G16" s="47">
        <v>5</v>
      </c>
      <c r="H16" s="133">
        <f>IF(B$17=0,0,G16/B$17)</f>
        <v>2.8571428571428571E-2</v>
      </c>
      <c r="I16" s="94">
        <v>5</v>
      </c>
      <c r="K16" s="38">
        <v>14</v>
      </c>
      <c r="L16" s="99">
        <v>-394.6</v>
      </c>
      <c r="N16" s="115" t="s">
        <v>177</v>
      </c>
      <c r="O16" s="125">
        <f t="shared" si="2"/>
        <v>-12.031578947368423</v>
      </c>
      <c r="P16" s="119">
        <v>19</v>
      </c>
      <c r="Q16" s="107">
        <v>-228.60000000000005</v>
      </c>
    </row>
    <row r="17" spans="1:17" x14ac:dyDescent="0.4">
      <c r="A17" s="54" t="s">
        <v>10</v>
      </c>
      <c r="B17" s="46">
        <f>B19+B18</f>
        <v>175</v>
      </c>
      <c r="C17" s="37">
        <f>IF(B$3=0,0,B17/B$3)</f>
        <v>0.23777173913043478</v>
      </c>
      <c r="E17" s="63" t="s">
        <v>80</v>
      </c>
      <c r="F17" s="60" t="s">
        <v>35</v>
      </c>
      <c r="G17" s="47">
        <v>1</v>
      </c>
      <c r="H17" s="133">
        <f>IF(B$17=0,0,G17/B$17)</f>
        <v>5.7142857142857143E-3</v>
      </c>
      <c r="I17" s="94">
        <v>10</v>
      </c>
      <c r="K17" s="38">
        <v>15</v>
      </c>
      <c r="L17" s="99">
        <v>-424.5</v>
      </c>
      <c r="N17" s="115" t="s">
        <v>128</v>
      </c>
      <c r="O17" s="125">
        <f t="shared" si="2"/>
        <v>-13.074999999999998</v>
      </c>
      <c r="P17" s="119">
        <v>40</v>
      </c>
      <c r="Q17" s="107">
        <v>-522.99999999999989</v>
      </c>
    </row>
    <row r="18" spans="1:17" x14ac:dyDescent="0.4">
      <c r="A18" s="55" t="s">
        <v>12</v>
      </c>
      <c r="B18" s="47">
        <v>76</v>
      </c>
      <c r="C18" s="39">
        <f>IF(B$17=0,0,B18/B$17)</f>
        <v>0.43428571428571427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171</v>
      </c>
      <c r="O18" s="125">
        <f t="shared" si="2"/>
        <v>-20.678571428571423</v>
      </c>
      <c r="P18" s="119">
        <v>28</v>
      </c>
      <c r="Q18" s="107">
        <v>-578.99999999999989</v>
      </c>
    </row>
    <row r="19" spans="1:17" x14ac:dyDescent="0.4">
      <c r="A19" s="55" t="s">
        <v>11</v>
      </c>
      <c r="B19" s="47">
        <v>99</v>
      </c>
      <c r="C19" s="39">
        <f>IF(B$17=0,0,B19/B$17)</f>
        <v>0.56571428571428573</v>
      </c>
      <c r="E19" s="63" t="s">
        <v>82</v>
      </c>
      <c r="F19" s="60" t="s">
        <v>37</v>
      </c>
      <c r="G19" s="47">
        <v>4</v>
      </c>
      <c r="H19" s="133">
        <f>IF(B$17=0,0,G19/B$17)</f>
        <v>2.2857142857142857E-2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 t="shared" si="2"/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143</v>
      </c>
      <c r="C20" s="39">
        <f>IF(B$3=0,0,B20/B$3)</f>
        <v>0.19429347826086957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 t="shared" si="2"/>
        <v>-27.518181818181827</v>
      </c>
      <c r="P20" s="119">
        <v>55</v>
      </c>
      <c r="Q20" s="107">
        <v>-1513.5000000000005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7</v>
      </c>
      <c r="H21" s="133">
        <f>IF(B$17=0,0,G21/B$17)</f>
        <v>0.04</v>
      </c>
      <c r="I21" s="94">
        <v>8</v>
      </c>
      <c r="K21" s="38">
        <v>19</v>
      </c>
      <c r="L21" s="99">
        <v>-569.49999999999989</v>
      </c>
      <c r="N21" s="115" t="s">
        <v>172</v>
      </c>
      <c r="O21" s="125">
        <f t="shared" si="2"/>
        <v>-32.104761904761901</v>
      </c>
      <c r="P21" s="119">
        <v>21</v>
      </c>
      <c r="Q21" s="107">
        <v>-674.19999999999993</v>
      </c>
    </row>
    <row r="22" spans="1:17" x14ac:dyDescent="0.4">
      <c r="A22" s="55" t="s">
        <v>192</v>
      </c>
      <c r="B22" s="47">
        <v>31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-632.99999999999989</v>
      </c>
      <c r="N22" s="115" t="s">
        <v>184</v>
      </c>
      <c r="O22" s="125">
        <f t="shared" si="2"/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8818.2857142857138</v>
      </c>
      <c r="C23" s="41">
        <v>1543200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-9054.545454545454</v>
      </c>
      <c r="C24" s="45">
        <v>-1294800</v>
      </c>
      <c r="E24" s="63" t="s">
        <v>87</v>
      </c>
      <c r="F24" s="60" t="s">
        <v>42</v>
      </c>
      <c r="G24" s="47">
        <v>10</v>
      </c>
      <c r="H24" s="133">
        <f>IF(B$17=0,0,G24/B$17)</f>
        <v>5.7142857142857141E-2</v>
      </c>
      <c r="I24" s="94">
        <v>5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2</v>
      </c>
      <c r="H25" s="133">
        <f>IF(B$17=0,0,G25/B$17)</f>
        <v>1.1428571428571429E-2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5.7142857142857143E-3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1.358695652173913E-3</v>
      </c>
      <c r="E27" s="63" t="s">
        <v>90</v>
      </c>
      <c r="F27" s="60" t="s">
        <v>45</v>
      </c>
      <c r="G27" s="47">
        <v>16</v>
      </c>
      <c r="H27" s="133">
        <f>IF(B$17=0,0,G27/B$17)</f>
        <v>9.1428571428571428E-2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5.7142857142857143E-3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5.7142857142857143E-3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1.1428571428571429E-2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136" t="s">
        <v>245</v>
      </c>
      <c r="F51" s="137" t="s">
        <v>246</v>
      </c>
      <c r="G51" s="48">
        <v>68</v>
      </c>
      <c r="H51" s="138">
        <f>IF(B$17=0,0,G51/B$17)</f>
        <v>0.38857142857142857</v>
      </c>
      <c r="I51" s="139">
        <v>9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</sheetData>
  <sortState ref="E2:I90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411BF-85C0-401F-931E-DE71759594A9}">
  <sheetPr codeName="Sheet13"/>
  <dimension ref="A1:Q9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88</v>
      </c>
      <c r="C2" s="151"/>
      <c r="E2" s="62" t="s">
        <v>65</v>
      </c>
      <c r="F2" s="59" t="s">
        <v>21</v>
      </c>
      <c r="G2" s="46">
        <v>112</v>
      </c>
      <c r="H2" s="132">
        <f>IF(B$17=0,0,G2/B$17)</f>
        <v>0.54634146341463419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-618.18181818181813</v>
      </c>
      <c r="P2" s="118">
        <v>88</v>
      </c>
      <c r="Q2" s="102">
        <v>-54400</v>
      </c>
    </row>
    <row r="3" spans="1:17" x14ac:dyDescent="0.4">
      <c r="A3" s="55" t="s">
        <v>8</v>
      </c>
      <c r="B3" s="152">
        <v>728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0.13658536585365855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496.51162790697674</v>
      </c>
      <c r="P3" s="119">
        <v>86</v>
      </c>
      <c r="Q3" s="103">
        <v>42700</v>
      </c>
    </row>
    <row r="4" spans="1:17" x14ac:dyDescent="0.4">
      <c r="A4" s="55" t="s">
        <v>6</v>
      </c>
      <c r="B4" s="154">
        <v>46.300000000000026</v>
      </c>
      <c r="C4" s="155"/>
      <c r="E4" s="63" t="s">
        <v>67</v>
      </c>
      <c r="F4" s="60" t="s">
        <v>23</v>
      </c>
      <c r="G4" s="47">
        <v>173</v>
      </c>
      <c r="H4" s="133">
        <f>IF(B$17=0,0,G4/B$17)</f>
        <v>0.84390243902439022</v>
      </c>
      <c r="I4" s="94">
        <v>2</v>
      </c>
      <c r="K4" s="38">
        <v>2</v>
      </c>
      <c r="L4" s="99">
        <v>-93.300000000000011</v>
      </c>
      <c r="N4" s="115" t="s">
        <v>134</v>
      </c>
      <c r="O4" s="122">
        <f t="shared" si="0"/>
        <v>1178.4810126582279</v>
      </c>
      <c r="P4" s="119">
        <v>79</v>
      </c>
      <c r="Q4" s="103">
        <v>93100</v>
      </c>
    </row>
    <row r="5" spans="1:17" x14ac:dyDescent="0.4">
      <c r="A5" s="55" t="s">
        <v>7</v>
      </c>
      <c r="B5" s="156">
        <f>IF(B$2=0,0,B$4/B$2)</f>
        <v>0.52613636363636396</v>
      </c>
      <c r="C5" s="157"/>
      <c r="E5" s="63" t="s">
        <v>68</v>
      </c>
      <c r="F5" s="60" t="s">
        <v>24</v>
      </c>
      <c r="G5" s="47">
        <v>70</v>
      </c>
      <c r="H5" s="133">
        <f>IF(B$17=0,0,G5/B$17)</f>
        <v>0.34146341463414637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998.52941176470586</v>
      </c>
      <c r="P5" s="119">
        <v>68</v>
      </c>
      <c r="Q5" s="103">
        <v>67900</v>
      </c>
    </row>
    <row r="6" spans="1:17" x14ac:dyDescent="0.4">
      <c r="A6" s="55" t="s">
        <v>1</v>
      </c>
      <c r="B6" s="146">
        <f>IF(B$2=0,0,(B$7*1+B$8*2+B$9*3)/B$2)</f>
        <v>2.0454545454545454</v>
      </c>
      <c r="C6" s="147"/>
      <c r="E6" s="63" t="s">
        <v>69</v>
      </c>
      <c r="F6" s="60" t="s">
        <v>12</v>
      </c>
      <c r="G6" s="47">
        <v>61</v>
      </c>
      <c r="H6" s="133">
        <f>IF(B$17=0,0,G6/B$17)</f>
        <v>0.29756097560975608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-588.33333333333337</v>
      </c>
      <c r="P6" s="119">
        <v>60</v>
      </c>
      <c r="Q6" s="103">
        <v>-35300</v>
      </c>
    </row>
    <row r="7" spans="1:17" x14ac:dyDescent="0.4">
      <c r="A7" s="55" t="s">
        <v>2</v>
      </c>
      <c r="B7" s="47">
        <v>27</v>
      </c>
      <c r="C7" s="39">
        <f>IF(B$2=0,0,B7/B$2)</f>
        <v>0.30681818181818182</v>
      </c>
      <c r="E7" s="63" t="s">
        <v>70</v>
      </c>
      <c r="F7" s="60" t="s">
        <v>25</v>
      </c>
      <c r="G7" s="47">
        <v>40</v>
      </c>
      <c r="H7" s="133">
        <f>IF(B$17=0,0,G7/B$17)</f>
        <v>0.1951219512195122</v>
      </c>
      <c r="I7" s="94">
        <v>4</v>
      </c>
      <c r="K7" s="38">
        <v>5</v>
      </c>
      <c r="L7" s="99">
        <v>-36.100000000000009</v>
      </c>
      <c r="N7" s="116" t="s">
        <v>137</v>
      </c>
      <c r="O7" s="123">
        <f t="shared" si="0"/>
        <v>-303.63636363636363</v>
      </c>
      <c r="P7" s="120">
        <v>55</v>
      </c>
      <c r="Q7" s="104">
        <v>-16700</v>
      </c>
    </row>
    <row r="8" spans="1:17" x14ac:dyDescent="0.4">
      <c r="A8" s="55" t="s">
        <v>3</v>
      </c>
      <c r="B8" s="47">
        <v>30</v>
      </c>
      <c r="C8" s="39">
        <f>IF(B$2=0,0,B8/B$2)</f>
        <v>0.34090909090909088</v>
      </c>
      <c r="E8" s="63" t="s">
        <v>71</v>
      </c>
      <c r="F8" s="60" t="s">
        <v>26</v>
      </c>
      <c r="G8" s="47">
        <v>21</v>
      </c>
      <c r="H8" s="133">
        <f>IF(B$17=0,0,G8/B$17)</f>
        <v>0.1024390243902439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0.35227272727272729</v>
      </c>
      <c r="E9" s="63" t="s">
        <v>72</v>
      </c>
      <c r="F9" s="60" t="s">
        <v>27</v>
      </c>
      <c r="G9" s="47">
        <v>12</v>
      </c>
      <c r="H9" s="133">
        <f>IF(B$17=0,0,G9/B$17)</f>
        <v>5.8536585365853662E-2</v>
      </c>
      <c r="I9" s="94">
        <v>8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0.10227272727272728</v>
      </c>
      <c r="E10" s="63" t="s">
        <v>73</v>
      </c>
      <c r="F10" s="60" t="s">
        <v>28</v>
      </c>
      <c r="G10" s="47">
        <v>107</v>
      </c>
      <c r="H10" s="133">
        <f>IF(B$17=0,0,G10/B$17)</f>
        <v>0.52195121951219514</v>
      </c>
      <c r="I10" s="94">
        <v>7</v>
      </c>
      <c r="K10" s="38">
        <v>8</v>
      </c>
      <c r="L10" s="99">
        <v>-1.7000000000000028</v>
      </c>
      <c r="N10" s="114" t="s">
        <v>164</v>
      </c>
      <c r="O10" s="124">
        <f>IF(P10=0,0,Q10/P10)</f>
        <v>6.1739130434782608</v>
      </c>
      <c r="P10" s="118">
        <v>23</v>
      </c>
      <c r="Q10" s="106">
        <v>142</v>
      </c>
    </row>
    <row r="11" spans="1:17" x14ac:dyDescent="0.4">
      <c r="A11" s="56" t="s">
        <v>140</v>
      </c>
      <c r="B11" s="48">
        <v>12</v>
      </c>
      <c r="C11" s="40">
        <f>IF(B$2=0,0,B11/B$2)</f>
        <v>0.13636363636363635</v>
      </c>
      <c r="E11" s="63" t="s">
        <v>74</v>
      </c>
      <c r="F11" s="60" t="s">
        <v>29</v>
      </c>
      <c r="G11" s="47">
        <v>2</v>
      </c>
      <c r="H11" s="133">
        <f>IF(B$17=0,0,G11/B$17)</f>
        <v>9.7560975609756097E-3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6.8181818181818177E-2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-0.65483870967741953</v>
      </c>
      <c r="P12" s="120">
        <v>31</v>
      </c>
      <c r="Q12" s="108">
        <v>-20.300000000000004</v>
      </c>
    </row>
    <row r="13" spans="1:17" x14ac:dyDescent="0.4">
      <c r="A13" s="58" t="s">
        <v>122</v>
      </c>
      <c r="B13" s="50">
        <v>212</v>
      </c>
      <c r="C13" s="44">
        <f>IF(B$3=0,0,B13/B$3)</f>
        <v>0.29120879120879123</v>
      </c>
      <c r="E13" s="63" t="s">
        <v>76</v>
      </c>
      <c r="F13" s="60" t="s">
        <v>31</v>
      </c>
      <c r="G13" s="47">
        <v>3</v>
      </c>
      <c r="H13" s="133">
        <f>IF(B$17=0,0,G13/B$17)</f>
        <v>1.4634146341463415E-2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137</v>
      </c>
      <c r="C14" s="39">
        <f>IF(B$3=0,0,B14/B$3)</f>
        <v>0.18818681318681318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120</v>
      </c>
      <c r="C15" s="37">
        <f>IF(B$13=0,0,B15/B$13)</f>
        <v>0.56603773584905659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184</v>
      </c>
      <c r="O15" s="124">
        <f t="shared" ref="O15:O23" si="2"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57</v>
      </c>
      <c r="C16" s="37">
        <f>IF(B$14=0,0,B16/B$14)</f>
        <v>0.41605839416058393</v>
      </c>
      <c r="E16" s="63" t="s">
        <v>79</v>
      </c>
      <c r="F16" s="60" t="s">
        <v>34</v>
      </c>
      <c r="G16" s="47">
        <v>9</v>
      </c>
      <c r="H16" s="133">
        <f>IF(B$17=0,0,G16/B$17)</f>
        <v>4.3902439024390241E-2</v>
      </c>
      <c r="I16" s="94">
        <v>3</v>
      </c>
      <c r="K16" s="38">
        <v>14</v>
      </c>
      <c r="L16" s="99">
        <v>-29.400000000000002</v>
      </c>
      <c r="N16" s="115" t="s">
        <v>129</v>
      </c>
      <c r="O16" s="125">
        <f t="shared" si="2"/>
        <v>20.67857142857142</v>
      </c>
      <c r="P16" s="119">
        <v>28</v>
      </c>
      <c r="Q16" s="107">
        <v>578.99999999999977</v>
      </c>
    </row>
    <row r="17" spans="1:17" x14ac:dyDescent="0.4">
      <c r="A17" s="54" t="s">
        <v>10</v>
      </c>
      <c r="B17" s="46">
        <f>B19+B18</f>
        <v>205</v>
      </c>
      <c r="C17" s="37">
        <f>IF(B$3=0,0,B17/B$3)</f>
        <v>0.28159340659340659</v>
      </c>
      <c r="E17" s="63" t="s">
        <v>80</v>
      </c>
      <c r="F17" s="60" t="s">
        <v>35</v>
      </c>
      <c r="G17" s="47">
        <v>3</v>
      </c>
      <c r="H17" s="133">
        <f>IF(B$17=0,0,G17/B$17)</f>
        <v>1.4634146341463415E-2</v>
      </c>
      <c r="I17" s="94">
        <v>6</v>
      </c>
      <c r="K17" s="38">
        <v>15</v>
      </c>
      <c r="L17" s="99">
        <v>-26.3</v>
      </c>
      <c r="N17" s="115" t="s">
        <v>173</v>
      </c>
      <c r="O17" s="125">
        <f t="shared" si="2"/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84</v>
      </c>
      <c r="C18" s="39">
        <f>IF(B$17=0,0,B18/B$17)</f>
        <v>0.40975609756097559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121</v>
      </c>
      <c r="C19" s="39">
        <f>IF(B$17=0,0,B19/B$17)</f>
        <v>0.59024390243902436</v>
      </c>
      <c r="E19" s="63" t="s">
        <v>82</v>
      </c>
      <c r="F19" s="60" t="s">
        <v>37</v>
      </c>
      <c r="G19" s="47">
        <v>8</v>
      </c>
      <c r="H19" s="133">
        <f>IF(B$17=0,0,G19/B$17)</f>
        <v>3.9024390243902439E-2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127</v>
      </c>
      <c r="C20" s="39">
        <f>IF(B$3=0,0,B20/B$3)</f>
        <v>0.17445054945054944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-0.4749999999999957</v>
      </c>
      <c r="P20" s="119">
        <v>52</v>
      </c>
      <c r="Q20" s="107">
        <v>-24.699999999999775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5.3658536585365853E-2</v>
      </c>
      <c r="I21" s="94">
        <v>5</v>
      </c>
      <c r="K21" s="38">
        <v>19</v>
      </c>
      <c r="L21" s="99">
        <v>0.60000000000000853</v>
      </c>
      <c r="N21" s="115" t="s">
        <v>200</v>
      </c>
      <c r="O21" s="125">
        <f t="shared" si="2"/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1</v>
      </c>
      <c r="E22" s="63" t="s">
        <v>85</v>
      </c>
      <c r="F22" s="60" t="s">
        <v>40</v>
      </c>
      <c r="G22" s="47">
        <v>2</v>
      </c>
      <c r="H22" s="133">
        <f>IF(B$17=0,0,G22/B$17)</f>
        <v>9.7560975609756097E-3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-39.917647058823533</v>
      </c>
      <c r="P22" s="119">
        <v>17</v>
      </c>
      <c r="Q22" s="107">
        <v>-678.6</v>
      </c>
    </row>
    <row r="23" spans="1:17" x14ac:dyDescent="0.4">
      <c r="A23" s="55" t="s">
        <v>5</v>
      </c>
      <c r="B23" s="51">
        <f>IF(B$17=0,0,C23/B$17)</f>
        <v>10010.731707317073</v>
      </c>
      <c r="C23" s="41">
        <v>2052200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-8534.645669291338</v>
      </c>
      <c r="C24" s="45">
        <v>-1083900</v>
      </c>
      <c r="E24" s="63" t="s">
        <v>87</v>
      </c>
      <c r="F24" s="60" t="s">
        <v>42</v>
      </c>
      <c r="G24" s="47">
        <v>15</v>
      </c>
      <c r="H24" s="133">
        <f>IF(B$17=0,0,G24/B$17)</f>
        <v>7.3170731707317069E-2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4.8780487804878049E-3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1.3736263736263737E-3</v>
      </c>
      <c r="E27" s="63" t="s">
        <v>90</v>
      </c>
      <c r="F27" s="60" t="s">
        <v>45</v>
      </c>
      <c r="G27" s="47">
        <v>35</v>
      </c>
      <c r="H27" s="133">
        <f>IF(B$17=0,0,G27/B$17)</f>
        <v>0.17073170731707318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2.9268292682926831E-2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9.7560975609756097E-3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4.8780487804878049E-3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1.9512195121951219E-2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136" t="s">
        <v>245</v>
      </c>
      <c r="F51" s="137" t="s">
        <v>246</v>
      </c>
      <c r="G51" s="48">
        <v>79</v>
      </c>
      <c r="H51" s="138">
        <f>IF(B$17=0,0,G51/B$17)</f>
        <v>0.38536585365853659</v>
      </c>
      <c r="I51" s="139">
        <v>10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</sheetData>
  <sortState ref="E2:I90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3F029-E954-4D90-B119-DB73F4F60D46}">
  <sheetPr codeName="Sheet15"/>
  <dimension ref="A1:Q7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75</v>
      </c>
      <c r="C2" s="151"/>
      <c r="E2" s="62" t="s">
        <v>67</v>
      </c>
      <c r="F2" s="59" t="s">
        <v>23</v>
      </c>
      <c r="G2" s="46">
        <v>144</v>
      </c>
      <c r="H2" s="132">
        <f>IF(B$17=0,0,G2/B$17)</f>
        <v>0.65454545454545454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722.66666666666663</v>
      </c>
      <c r="P2" s="118">
        <v>75</v>
      </c>
      <c r="Q2" s="102">
        <v>54200</v>
      </c>
    </row>
    <row r="3" spans="1:17" x14ac:dyDescent="0.4">
      <c r="A3" s="55" t="s">
        <v>8</v>
      </c>
      <c r="B3" s="152">
        <v>642</v>
      </c>
      <c r="C3" s="153"/>
      <c r="E3" s="63" t="s">
        <v>73</v>
      </c>
      <c r="F3" s="60" t="s">
        <v>28</v>
      </c>
      <c r="G3" s="47">
        <v>126</v>
      </c>
      <c r="H3" s="133">
        <f>IF(B$17=0,0,G3/B$17)</f>
        <v>0.57272727272727275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-766.66666666666663</v>
      </c>
      <c r="P3" s="119">
        <v>75</v>
      </c>
      <c r="Q3" s="103">
        <v>-57500</v>
      </c>
    </row>
    <row r="4" spans="1:17" x14ac:dyDescent="0.4">
      <c r="A4" s="55" t="s">
        <v>6</v>
      </c>
      <c r="B4" s="154">
        <v>-76.40000000000002</v>
      </c>
      <c r="C4" s="155"/>
      <c r="E4" s="63" t="s">
        <v>245</v>
      </c>
      <c r="F4" s="60" t="s">
        <v>246</v>
      </c>
      <c r="G4" s="47">
        <v>98</v>
      </c>
      <c r="H4" s="133">
        <f>IF(B$17=0,0,G4/B$17)</f>
        <v>0.44545454545454544</v>
      </c>
      <c r="I4" s="94">
        <v>2</v>
      </c>
      <c r="K4" s="38">
        <v>2</v>
      </c>
      <c r="L4" s="99">
        <v>-7.7000000000000011</v>
      </c>
      <c r="N4" s="115" t="s">
        <v>134</v>
      </c>
      <c r="O4" s="122">
        <f t="shared" si="0"/>
        <v>-1613.4328358208954</v>
      </c>
      <c r="P4" s="119">
        <v>67</v>
      </c>
      <c r="Q4" s="103">
        <v>-108100</v>
      </c>
    </row>
    <row r="5" spans="1:17" x14ac:dyDescent="0.4">
      <c r="A5" s="55" t="s">
        <v>7</v>
      </c>
      <c r="B5" s="156">
        <f>IF(B$2=0,0,B$4/B$2)</f>
        <v>-1.0186666666666668</v>
      </c>
      <c r="C5" s="157"/>
      <c r="E5" s="63" t="s">
        <v>65</v>
      </c>
      <c r="F5" s="60" t="s">
        <v>21</v>
      </c>
      <c r="G5" s="47">
        <v>77</v>
      </c>
      <c r="H5" s="133">
        <f>IF(B$17=0,0,G5/B$17)</f>
        <v>0.35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814.0625</v>
      </c>
      <c r="P5" s="119">
        <v>64</v>
      </c>
      <c r="Q5" s="103">
        <v>52100</v>
      </c>
    </row>
    <row r="6" spans="1:17" x14ac:dyDescent="0.4">
      <c r="A6" s="55" t="s">
        <v>1</v>
      </c>
      <c r="B6" s="146">
        <f>IF(B$2=0,0,(B$7*1+B$8*2+B$9*3)/B$2)</f>
        <v>2.0533333333333332</v>
      </c>
      <c r="C6" s="147"/>
      <c r="E6" s="63" t="s">
        <v>69</v>
      </c>
      <c r="F6" s="60" t="s">
        <v>12</v>
      </c>
      <c r="G6" s="47">
        <v>57</v>
      </c>
      <c r="H6" s="133">
        <f>IF(B$17=0,0,G6/B$17)</f>
        <v>0.25909090909090909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606.66666666666663</v>
      </c>
      <c r="P6" s="119">
        <v>60</v>
      </c>
      <c r="Q6" s="103">
        <v>36400</v>
      </c>
    </row>
    <row r="7" spans="1:17" x14ac:dyDescent="0.4">
      <c r="A7" s="55" t="s">
        <v>2</v>
      </c>
      <c r="B7" s="47">
        <v>20</v>
      </c>
      <c r="C7" s="39">
        <f>IF(B$2=0,0,B7/B$2)</f>
        <v>0.26666666666666666</v>
      </c>
      <c r="E7" s="63" t="s">
        <v>68</v>
      </c>
      <c r="F7" s="60" t="s">
        <v>24</v>
      </c>
      <c r="G7" s="47">
        <v>38</v>
      </c>
      <c r="H7" s="133">
        <f>IF(B$17=0,0,G7/B$17)</f>
        <v>0.17272727272727273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-492.30769230769232</v>
      </c>
      <c r="P7" s="120">
        <v>52</v>
      </c>
      <c r="Q7" s="104">
        <v>-25600</v>
      </c>
    </row>
    <row r="8" spans="1:17" x14ac:dyDescent="0.4">
      <c r="A8" s="55" t="s">
        <v>3</v>
      </c>
      <c r="B8" s="47">
        <v>31</v>
      </c>
      <c r="C8" s="39">
        <f>IF(B$2=0,0,B8/B$2)</f>
        <v>0.41333333333333333</v>
      </c>
      <c r="E8" s="63" t="s">
        <v>70</v>
      </c>
      <c r="F8" s="60" t="s">
        <v>25</v>
      </c>
      <c r="G8" s="47">
        <v>31</v>
      </c>
      <c r="H8" s="133">
        <f>IF(B$17=0,0,G8/B$17)</f>
        <v>0.1409090909090909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ref="C9" si="1">IF(B$2=0,0,B9/B$2)</f>
        <v>0.32</v>
      </c>
      <c r="E9" s="63" t="s">
        <v>66</v>
      </c>
      <c r="F9" s="60" t="s">
        <v>22</v>
      </c>
      <c r="G9" s="47">
        <v>26</v>
      </c>
      <c r="H9" s="133">
        <f>IF(B$17=0,0,G9/B$17)</f>
        <v>0.11818181818181818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5.3333333333333337E-2</v>
      </c>
      <c r="E10" s="63" t="s">
        <v>72</v>
      </c>
      <c r="F10" s="60" t="s">
        <v>27</v>
      </c>
      <c r="G10" s="47">
        <v>18</v>
      </c>
      <c r="H10" s="133">
        <f>IF(B$17=0,0,G10/B$17)</f>
        <v>8.1818181818181818E-2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-9.9285714285714306</v>
      </c>
      <c r="P10" s="118">
        <v>21</v>
      </c>
      <c r="Q10" s="106">
        <v>-208.50000000000006</v>
      </c>
    </row>
    <row r="11" spans="1:17" x14ac:dyDescent="0.4">
      <c r="A11" s="56" t="s">
        <v>140</v>
      </c>
      <c r="B11" s="48">
        <v>8</v>
      </c>
      <c r="C11" s="40">
        <f>IF(B$2=0,0,B11/B$2)</f>
        <v>0.10666666666666667</v>
      </c>
      <c r="E11" s="63" t="s">
        <v>90</v>
      </c>
      <c r="F11" s="60" t="s">
        <v>45</v>
      </c>
      <c r="G11" s="47">
        <v>17</v>
      </c>
      <c r="H11" s="133">
        <f>IF(B$17=0,0,G11/B$17)</f>
        <v>7.7272727272727271E-2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5.0640000000000001</v>
      </c>
      <c r="P11" s="119">
        <v>25</v>
      </c>
      <c r="Q11" s="107">
        <v>126.6</v>
      </c>
    </row>
    <row r="12" spans="1:17" x14ac:dyDescent="0.4">
      <c r="A12" s="57" t="s">
        <v>160</v>
      </c>
      <c r="B12" s="49">
        <v>5</v>
      </c>
      <c r="C12" s="42">
        <f>IF(B$2=0,0,B12/B$2)</f>
        <v>6.6666666666666666E-2</v>
      </c>
      <c r="E12" s="63" t="s">
        <v>71</v>
      </c>
      <c r="F12" s="60" t="s">
        <v>26</v>
      </c>
      <c r="G12" s="47">
        <v>14</v>
      </c>
      <c r="H12" s="133">
        <f>IF(B$17=0,0,G12/B$17)</f>
        <v>6.363636363636363E-2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0.18965517241379304</v>
      </c>
      <c r="P12" s="120">
        <v>29</v>
      </c>
      <c r="Q12" s="108">
        <v>5.4999999999999982</v>
      </c>
    </row>
    <row r="13" spans="1:17" x14ac:dyDescent="0.4">
      <c r="A13" s="58" t="s">
        <v>122</v>
      </c>
      <c r="B13" s="50">
        <v>137</v>
      </c>
      <c r="C13" s="44">
        <f>IF(B$3=0,0,B13/B$3)</f>
        <v>0.21339563862928349</v>
      </c>
      <c r="E13" s="63" t="s">
        <v>84</v>
      </c>
      <c r="F13" s="60" t="s">
        <v>39</v>
      </c>
      <c r="G13" s="47">
        <v>14</v>
      </c>
      <c r="H13" s="133">
        <f>IF(B$17=0,0,G13/B$17)</f>
        <v>6.363636363636363E-2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186</v>
      </c>
      <c r="C14" s="39">
        <f>IF(B$3=0,0,B14/B$3)</f>
        <v>0.28971962616822428</v>
      </c>
      <c r="E14" s="63" t="s">
        <v>82</v>
      </c>
      <c r="F14" s="60" t="s">
        <v>37</v>
      </c>
      <c r="G14" s="47">
        <v>8</v>
      </c>
      <c r="H14" s="133">
        <f>IF(B$17=0,0,G14/B$17)</f>
        <v>3.6363636363636362E-2</v>
      </c>
      <c r="I14" s="94">
        <v>3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77</v>
      </c>
      <c r="C15" s="37">
        <f>IF(B$13=0,0,B15/B$13)</f>
        <v>0.56204379562043794</v>
      </c>
      <c r="E15" s="63" t="s">
        <v>87</v>
      </c>
      <c r="F15" s="60" t="s">
        <v>42</v>
      </c>
      <c r="G15" s="47">
        <v>8</v>
      </c>
      <c r="H15" s="133">
        <f>IF(B$17=0,0,G15/B$17)</f>
        <v>3.6363636363636362E-2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32.104761904761894</v>
      </c>
      <c r="P15" s="118">
        <v>21</v>
      </c>
      <c r="Q15" s="106">
        <v>674.19999999999982</v>
      </c>
    </row>
    <row r="16" spans="1:17" x14ac:dyDescent="0.4">
      <c r="A16" s="54" t="s">
        <v>125</v>
      </c>
      <c r="B16" s="46">
        <v>78</v>
      </c>
      <c r="C16" s="37">
        <f>IF(B$14=0,0,B16/B$14)</f>
        <v>0.41935483870967744</v>
      </c>
      <c r="E16" s="63" t="s">
        <v>79</v>
      </c>
      <c r="F16" s="60" t="s">
        <v>34</v>
      </c>
      <c r="G16" s="47">
        <v>3</v>
      </c>
      <c r="H16" s="133">
        <f>IF(B$17=0,0,G16/B$17)</f>
        <v>1.3636363636363636E-2</v>
      </c>
      <c r="I16" s="94">
        <v>10</v>
      </c>
      <c r="K16" s="38">
        <v>14</v>
      </c>
      <c r="L16" s="99">
        <v>-12.3</v>
      </c>
      <c r="N16" s="115" t="s">
        <v>223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220</v>
      </c>
      <c r="C17" s="37">
        <f>IF(B$3=0,0,B17/B$3)</f>
        <v>0.34267912772585668</v>
      </c>
      <c r="E17" s="63" t="s">
        <v>80</v>
      </c>
      <c r="F17" s="60" t="s">
        <v>35</v>
      </c>
      <c r="G17" s="47">
        <v>3</v>
      </c>
      <c r="H17" s="133">
        <f>IF(B$17=0,0,G17/B$17)</f>
        <v>1.3636363636363636E-2</v>
      </c>
      <c r="I17" s="94">
        <v>7</v>
      </c>
      <c r="K17" s="38">
        <v>15</v>
      </c>
      <c r="L17" s="99">
        <v>-80.3</v>
      </c>
      <c r="N17" s="115" t="s">
        <v>184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93</v>
      </c>
      <c r="C18" s="39">
        <f>IF(B$17=0,0,B18/B$17)</f>
        <v>0.42272727272727273</v>
      </c>
      <c r="E18" s="63" t="s">
        <v>92</v>
      </c>
      <c r="F18" s="60" t="s">
        <v>47</v>
      </c>
      <c r="G18" s="47">
        <v>3</v>
      </c>
      <c r="H18" s="133">
        <f>IF(B$17=0,0,G18/B$17)</f>
        <v>1.3636363636363636E-2</v>
      </c>
      <c r="I18" s="94">
        <v>7</v>
      </c>
      <c r="K18" s="38">
        <v>16</v>
      </c>
      <c r="L18" s="99">
        <v>-87.6</v>
      </c>
      <c r="N18" s="115" t="s">
        <v>173</v>
      </c>
      <c r="O18" s="125">
        <f>IF(P18=0,0,Q18/P18)</f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127</v>
      </c>
      <c r="C19" s="39">
        <f>IF(B$17=0,0,B19/B$17)</f>
        <v>0.57727272727272727</v>
      </c>
      <c r="E19" s="63" t="s">
        <v>74</v>
      </c>
      <c r="F19" s="60" t="s">
        <v>29</v>
      </c>
      <c r="G19" s="47">
        <v>1</v>
      </c>
      <c r="H19" s="133">
        <f>IF(B$17=0,0,G19/B$17)</f>
        <v>4.5454545454545452E-3</v>
      </c>
      <c r="I19" s="94">
        <v>7</v>
      </c>
      <c r="K19" s="38">
        <v>17</v>
      </c>
      <c r="L19" s="99">
        <v>-55.099999999999994</v>
      </c>
      <c r="N19" s="115" t="s">
        <v>128</v>
      </c>
      <c r="O19" s="125">
        <f>IF(P19=0,0,Q19/P19)</f>
        <v>1.5424242424242423</v>
      </c>
      <c r="P19" s="119">
        <v>33</v>
      </c>
      <c r="Q19" s="107">
        <v>50.899999999999991</v>
      </c>
    </row>
    <row r="20" spans="1:17" x14ac:dyDescent="0.4">
      <c r="A20" s="55" t="s">
        <v>13</v>
      </c>
      <c r="B20" s="47">
        <v>89</v>
      </c>
      <c r="C20" s="39">
        <f>IF(B$3=0,0,B20/B$3)</f>
        <v>0.13862928348909656</v>
      </c>
      <c r="E20" s="63" t="s">
        <v>75</v>
      </c>
      <c r="F20" s="60" t="s">
        <v>30</v>
      </c>
      <c r="G20" s="47">
        <v>1</v>
      </c>
      <c r="H20" s="133">
        <f>IF(B$17=0,0,G20/B$17)</f>
        <v>4.5454545454545452E-3</v>
      </c>
      <c r="I20" s="94">
        <v>4</v>
      </c>
      <c r="K20" s="38">
        <v>18</v>
      </c>
      <c r="L20" s="99">
        <v>-28.199999999999996</v>
      </c>
      <c r="N20" s="115" t="s">
        <v>200</v>
      </c>
      <c r="O20" s="125">
        <f>IF(P20=0,0,Q20/P20)</f>
        <v>-2.7400000000000033</v>
      </c>
      <c r="P20" s="119">
        <v>5</v>
      </c>
      <c r="Q20" s="107">
        <v>-13.700000000000017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4.5454545454545452E-3</v>
      </c>
      <c r="I21" s="94">
        <v>6</v>
      </c>
      <c r="K21" s="38">
        <v>19</v>
      </c>
      <c r="L21" s="99">
        <v>29.200000000000003</v>
      </c>
      <c r="N21" s="115" t="s">
        <v>171</v>
      </c>
      <c r="O21" s="125">
        <f>IF(P21=0,0,Q21/P21)</f>
        <v>-4.6450000000000005</v>
      </c>
      <c r="P21" s="119">
        <v>20</v>
      </c>
      <c r="Q21" s="107">
        <v>-92.9</v>
      </c>
    </row>
    <row r="22" spans="1:17" x14ac:dyDescent="0.4">
      <c r="A22" s="55" t="s">
        <v>192</v>
      </c>
      <c r="B22" s="47">
        <v>23</v>
      </c>
      <c r="C22" s="135">
        <v>1</v>
      </c>
      <c r="E22" s="63" t="s">
        <v>88</v>
      </c>
      <c r="F22" s="60" t="s">
        <v>43</v>
      </c>
      <c r="G22" s="47">
        <v>1</v>
      </c>
      <c r="H22" s="133">
        <f>IF(B$17=0,0,G22/B$17)</f>
        <v>4.5454545454545452E-3</v>
      </c>
      <c r="I22" s="94">
        <v>4</v>
      </c>
      <c r="K22" s="38">
        <v>20</v>
      </c>
      <c r="L22" s="99">
        <v>43</v>
      </c>
      <c r="N22" s="115" t="s">
        <v>177</v>
      </c>
      <c r="O22" s="125">
        <f>IF(P22=0,0,Q22/P22)</f>
        <v>-5.4062500000000009</v>
      </c>
      <c r="P22" s="119">
        <v>16</v>
      </c>
      <c r="Q22" s="107">
        <v>-86.500000000000014</v>
      </c>
    </row>
    <row r="23" spans="1:17" x14ac:dyDescent="0.4">
      <c r="A23" s="55" t="s">
        <v>5</v>
      </c>
      <c r="B23" s="51">
        <f>IF(B$17=0,0,C23/B$17)</f>
        <v>6727.727272727273</v>
      </c>
      <c r="C23" s="41">
        <v>1480100</v>
      </c>
      <c r="E23" s="63" t="s">
        <v>91</v>
      </c>
      <c r="F23" s="60" t="s">
        <v>46</v>
      </c>
      <c r="G23" s="47">
        <v>1</v>
      </c>
      <c r="H23" s="133">
        <f>IF(B$17=0,0,G23/B$17)</f>
        <v>4.5454545454545452E-3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-22.645</v>
      </c>
      <c r="P23" s="119">
        <v>40</v>
      </c>
      <c r="Q23" s="107">
        <v>-905.8</v>
      </c>
    </row>
    <row r="24" spans="1:17" x14ac:dyDescent="0.4">
      <c r="A24" s="57" t="s">
        <v>14</v>
      </c>
      <c r="B24" s="52">
        <f>IF(B$20=0,0,C24/B$20)</f>
        <v>-8564.0449438202249</v>
      </c>
      <c r="C24" s="45">
        <v>-762200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1.557632398753894E-3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9C69A-1D11-4802-B038-119E86B40E2A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44</v>
      </c>
      <c r="C2" s="151"/>
      <c r="E2" s="62" t="s">
        <v>65</v>
      </c>
      <c r="F2" s="59" t="s">
        <v>21</v>
      </c>
      <c r="G2" s="46">
        <v>50</v>
      </c>
      <c r="H2" s="132">
        <f>IF(B$17=0,0,G2/B$17)</f>
        <v>0.43859649122807015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52">
        <v>382</v>
      </c>
      <c r="C3" s="153"/>
      <c r="E3" s="63" t="s">
        <v>66</v>
      </c>
      <c r="F3" s="60" t="s">
        <v>22</v>
      </c>
      <c r="G3" s="47">
        <v>9</v>
      </c>
      <c r="H3" s="133">
        <f>IF(B$17=0,0,G3/B$17)</f>
        <v>7.8947368421052627E-2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4">
        <v>-262.59999999999997</v>
      </c>
      <c r="C4" s="155"/>
      <c r="E4" s="63" t="s">
        <v>67</v>
      </c>
      <c r="F4" s="60" t="s">
        <v>23</v>
      </c>
      <c r="G4" s="47">
        <v>77</v>
      </c>
      <c r="H4" s="133">
        <f>IF(B$17=0,0,G4/B$17)</f>
        <v>0.67543859649122806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6">
        <f>IF(B$2=0,0,B$4/B$2)</f>
        <v>-5.9681818181818178</v>
      </c>
      <c r="C5" s="157"/>
      <c r="E5" s="63" t="s">
        <v>68</v>
      </c>
      <c r="F5" s="60" t="s">
        <v>24</v>
      </c>
      <c r="G5" s="47">
        <v>28</v>
      </c>
      <c r="H5" s="133">
        <f>IF(B$17=0,0,G5/B$17)</f>
        <v>0.24561403508771928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6">
        <f>IF(B$2=0,0,(B$7*1+B$8*2+B$9*3)/B$2)</f>
        <v>2.0681818181818183</v>
      </c>
      <c r="C6" s="147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70</v>
      </c>
      <c r="F7" s="60" t="s">
        <v>25</v>
      </c>
      <c r="G7" s="47">
        <v>13</v>
      </c>
      <c r="H7" s="133">
        <f>IF(B$17=0,0,G7/B$17)</f>
        <v>0.11403508771929824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72</v>
      </c>
      <c r="F9" s="60" t="s">
        <v>27</v>
      </c>
      <c r="G9" s="47">
        <v>6</v>
      </c>
      <c r="H9" s="133">
        <f>IF(B$17=0,0,G9/B$17)</f>
        <v>5.2631578947368418E-2</v>
      </c>
      <c r="I9" s="94">
        <v>10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73</v>
      </c>
      <c r="F10" s="60" t="s">
        <v>28</v>
      </c>
      <c r="G10" s="47">
        <v>59</v>
      </c>
      <c r="H10" s="133">
        <f>IF(B$17=0,0,G10/B$17)</f>
        <v>0.51754385964912286</v>
      </c>
      <c r="I10" s="94">
        <v>8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74</v>
      </c>
      <c r="F11" s="60" t="s">
        <v>29</v>
      </c>
      <c r="G11" s="47">
        <v>2</v>
      </c>
      <c r="H11" s="133">
        <f>IF(B$17=0,0,G11/B$17)</f>
        <v>1.7543859649122806E-2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1.7543859649122806E-2</v>
      </c>
      <c r="I16" s="94">
        <v>9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80</v>
      </c>
      <c r="F17" s="60" t="s">
        <v>35</v>
      </c>
      <c r="G17" s="47">
        <v>2</v>
      </c>
      <c r="H17" s="133">
        <f>IF(B$17=0,0,G17/B$17)</f>
        <v>1.7543859649122806E-2</v>
      </c>
      <c r="I17" s="94">
        <v>4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177</v>
      </c>
      <c r="O18" s="125">
        <f t="shared" si="2"/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1.7543859649122806E-2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87</v>
      </c>
      <c r="F24" s="60" t="s">
        <v>42</v>
      </c>
      <c r="G24" s="47">
        <v>4</v>
      </c>
      <c r="H24" s="133">
        <f>IF(B$17=0,0,G24/B$17)</f>
        <v>3.5087719298245612E-2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90</v>
      </c>
      <c r="F27" s="60" t="s">
        <v>45</v>
      </c>
      <c r="G27" s="47">
        <v>14</v>
      </c>
      <c r="H27" s="133">
        <f>IF(B$17=0,0,G27/B$17)</f>
        <v>0.12280701754385964</v>
      </c>
      <c r="I27" s="94">
        <v>8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1.7543859649122806E-2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1.7543859649122806E-2</v>
      </c>
      <c r="I50" s="94">
        <v>4</v>
      </c>
    </row>
    <row r="51" spans="5:9" x14ac:dyDescent="0.4">
      <c r="E51" s="136" t="s">
        <v>245</v>
      </c>
      <c r="F51" s="137" t="s">
        <v>246</v>
      </c>
      <c r="G51" s="48">
        <v>45</v>
      </c>
      <c r="H51" s="138">
        <f>IF(B$17=0,0,G51/B$17)</f>
        <v>0.39473684210526316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F7A80-F288-4765-963B-E9561A163206}">
  <sheetPr codeName="Sheet19"/>
  <dimension ref="A1:Q6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60</v>
      </c>
      <c r="C2" s="151"/>
      <c r="E2" s="62" t="s">
        <v>65</v>
      </c>
      <c r="F2" s="59" t="s">
        <v>21</v>
      </c>
      <c r="G2" s="46">
        <v>90</v>
      </c>
      <c r="H2" s="132">
        <f>IF(B$17=0,0,G2/B$17)</f>
        <v>0.60810810810810811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1060</v>
      </c>
      <c r="P2" s="118">
        <v>60</v>
      </c>
      <c r="Q2" s="102">
        <v>63600</v>
      </c>
    </row>
    <row r="3" spans="1:17" x14ac:dyDescent="0.4">
      <c r="A3" s="55" t="s">
        <v>8</v>
      </c>
      <c r="B3" s="152">
        <v>480</v>
      </c>
      <c r="C3" s="153"/>
      <c r="E3" s="63" t="s">
        <v>66</v>
      </c>
      <c r="F3" s="60" t="s">
        <v>22</v>
      </c>
      <c r="G3" s="47">
        <v>17</v>
      </c>
      <c r="H3" s="133">
        <f>IF(B$17=0,0,G3/B$17)</f>
        <v>0.11486486486486487</v>
      </c>
      <c r="I3" s="94">
        <v>6</v>
      </c>
      <c r="K3" s="38">
        <v>1</v>
      </c>
      <c r="L3" s="99">
        <v>-1.9</v>
      </c>
      <c r="N3" s="115" t="s">
        <v>133</v>
      </c>
      <c r="O3" s="122">
        <f t="shared" si="0"/>
        <v>1717.5438596491229</v>
      </c>
      <c r="P3" s="119">
        <v>57</v>
      </c>
      <c r="Q3" s="103">
        <v>97900</v>
      </c>
    </row>
    <row r="4" spans="1:17" x14ac:dyDescent="0.4">
      <c r="A4" s="55" t="s">
        <v>6</v>
      </c>
      <c r="B4" s="154">
        <v>297.10000000000002</v>
      </c>
      <c r="C4" s="155"/>
      <c r="E4" s="63" t="s">
        <v>67</v>
      </c>
      <c r="F4" s="60" t="s">
        <v>23</v>
      </c>
      <c r="G4" s="47">
        <v>88</v>
      </c>
      <c r="H4" s="133">
        <f>IF(B$17=0,0,G4/B$17)</f>
        <v>0.59459459459459463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-1045.0980392156862</v>
      </c>
      <c r="P4" s="119">
        <v>51</v>
      </c>
      <c r="Q4" s="103">
        <v>-53300</v>
      </c>
    </row>
    <row r="5" spans="1:17" x14ac:dyDescent="0.4">
      <c r="A5" s="55" t="s">
        <v>7</v>
      </c>
      <c r="B5" s="156">
        <f>IF(B$2=0,0,B$4/B$2)</f>
        <v>4.9516666666666671</v>
      </c>
      <c r="C5" s="157"/>
      <c r="E5" s="63" t="s">
        <v>68</v>
      </c>
      <c r="F5" s="60" t="s">
        <v>24</v>
      </c>
      <c r="G5" s="47">
        <v>54</v>
      </c>
      <c r="H5" s="133">
        <f>IF(B$17=0,0,G5/B$17)</f>
        <v>0.36486486486486486</v>
      </c>
      <c r="I5" s="94">
        <v>5</v>
      </c>
      <c r="K5" s="38">
        <v>3</v>
      </c>
      <c r="L5" s="99">
        <v>-10</v>
      </c>
      <c r="N5" s="115" t="s">
        <v>135</v>
      </c>
      <c r="O5" s="122">
        <f t="shared" si="0"/>
        <v>2569.387755102041</v>
      </c>
      <c r="P5" s="119">
        <v>49</v>
      </c>
      <c r="Q5" s="103">
        <v>125900</v>
      </c>
    </row>
    <row r="6" spans="1:17" x14ac:dyDescent="0.4">
      <c r="A6" s="55" t="s">
        <v>1</v>
      </c>
      <c r="B6" s="146">
        <f>IF(B$2=0,0,(B$7*1+B$8*2+B$9*3)/B$2)</f>
        <v>1.8833333333333333</v>
      </c>
      <c r="C6" s="147"/>
      <c r="E6" s="63" t="s">
        <v>69</v>
      </c>
      <c r="F6" s="60" t="s">
        <v>12</v>
      </c>
      <c r="G6" s="47">
        <v>45</v>
      </c>
      <c r="H6" s="133">
        <f>IF(B$17=0,0,G6/B$17)</f>
        <v>0.30405405405405406</v>
      </c>
      <c r="I6" s="94">
        <v>9</v>
      </c>
      <c r="K6" s="38">
        <v>4</v>
      </c>
      <c r="L6" s="99">
        <v>40</v>
      </c>
      <c r="N6" s="115" t="s">
        <v>136</v>
      </c>
      <c r="O6" s="122">
        <f t="shared" si="0"/>
        <v>-1288.3720930232557</v>
      </c>
      <c r="P6" s="119">
        <v>43</v>
      </c>
      <c r="Q6" s="103">
        <v>-55400</v>
      </c>
    </row>
    <row r="7" spans="1:17" x14ac:dyDescent="0.4">
      <c r="A7" s="55" t="s">
        <v>2</v>
      </c>
      <c r="B7" s="47">
        <v>24</v>
      </c>
      <c r="C7" s="39">
        <f>IF(B$2=0,0,B7/B$2)</f>
        <v>0.4</v>
      </c>
      <c r="E7" s="63" t="s">
        <v>70</v>
      </c>
      <c r="F7" s="60" t="s">
        <v>25</v>
      </c>
      <c r="G7" s="47">
        <v>27</v>
      </c>
      <c r="H7" s="133">
        <f>IF(B$17=0,0,G7/B$17)</f>
        <v>0.18243243243243243</v>
      </c>
      <c r="I7" s="94">
        <v>5</v>
      </c>
      <c r="K7" s="38">
        <v>5</v>
      </c>
      <c r="L7" s="99">
        <v>35.4</v>
      </c>
      <c r="N7" s="116" t="s">
        <v>137</v>
      </c>
      <c r="O7" s="123">
        <f t="shared" si="0"/>
        <v>531.42857142857144</v>
      </c>
      <c r="P7" s="120">
        <v>35</v>
      </c>
      <c r="Q7" s="104">
        <v>18600</v>
      </c>
    </row>
    <row r="8" spans="1:17" x14ac:dyDescent="0.4">
      <c r="A8" s="55" t="s">
        <v>3</v>
      </c>
      <c r="B8" s="47">
        <v>19</v>
      </c>
      <c r="C8" s="39">
        <f>IF(B$2=0,0,B8/B$2)</f>
        <v>0.31666666666666665</v>
      </c>
      <c r="E8" s="63" t="s">
        <v>71</v>
      </c>
      <c r="F8" s="60" t="s">
        <v>26</v>
      </c>
      <c r="G8" s="47">
        <v>10</v>
      </c>
      <c r="H8" s="133">
        <f>IF(B$17=0,0,G8/B$17)</f>
        <v>6.7567567567567571E-2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0.28333333333333333</v>
      </c>
      <c r="E9" s="63" t="s">
        <v>72</v>
      </c>
      <c r="F9" s="60" t="s">
        <v>27</v>
      </c>
      <c r="G9" s="47">
        <v>8</v>
      </c>
      <c r="H9" s="133">
        <f>IF(B$17=0,0,G9/B$17)</f>
        <v>5.4054054054054057E-2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0.15</v>
      </c>
      <c r="E10" s="63" t="s">
        <v>73</v>
      </c>
      <c r="F10" s="60" t="s">
        <v>28</v>
      </c>
      <c r="G10" s="47">
        <v>60</v>
      </c>
      <c r="H10" s="133">
        <f>IF(B$17=0,0,G10/B$17)</f>
        <v>0.40540540540540543</v>
      </c>
      <c r="I10" s="94">
        <v>11</v>
      </c>
      <c r="K10" s="38">
        <v>8</v>
      </c>
      <c r="L10" s="99">
        <v>-87.1</v>
      </c>
      <c r="N10" s="114" t="s">
        <v>164</v>
      </c>
      <c r="O10" s="124">
        <f>IF(P10=0,0,Q10/P10)</f>
        <v>5.511764705882352</v>
      </c>
      <c r="P10" s="118">
        <v>17</v>
      </c>
      <c r="Q10" s="106">
        <v>93.699999999999989</v>
      </c>
    </row>
    <row r="11" spans="1:17" x14ac:dyDescent="0.4">
      <c r="A11" s="56" t="s">
        <v>140</v>
      </c>
      <c r="B11" s="48">
        <v>9</v>
      </c>
      <c r="C11" s="40">
        <f>IF(B$2=0,0,B11/B$2)</f>
        <v>0.15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12.200000000000001</v>
      </c>
      <c r="P11" s="119">
        <v>23</v>
      </c>
      <c r="Q11" s="107">
        <v>280.60000000000002</v>
      </c>
    </row>
    <row r="12" spans="1:17" x14ac:dyDescent="0.4">
      <c r="A12" s="57" t="s">
        <v>160</v>
      </c>
      <c r="B12" s="49">
        <v>5</v>
      </c>
      <c r="C12" s="42">
        <f>IF(B$2=0,0,B12/B$2)</f>
        <v>8.3333333333333329E-2</v>
      </c>
      <c r="E12" s="63" t="s">
        <v>75</v>
      </c>
      <c r="F12" s="60" t="s">
        <v>30</v>
      </c>
      <c r="G12" s="47">
        <v>1</v>
      </c>
      <c r="H12" s="133">
        <f>IF(B$17=0,0,G12/B$17)</f>
        <v>6.7567567567567571E-3</v>
      </c>
      <c r="I12" s="94">
        <v>3</v>
      </c>
      <c r="K12" s="38">
        <v>10</v>
      </c>
      <c r="L12" s="99">
        <v>-183.7</v>
      </c>
      <c r="N12" s="116" t="s">
        <v>166</v>
      </c>
      <c r="O12" s="126">
        <f>IF(P12=0,0,Q12/P12)</f>
        <v>-3.8600000000000003</v>
      </c>
      <c r="P12" s="120">
        <v>20</v>
      </c>
      <c r="Q12" s="108">
        <v>-77.2</v>
      </c>
    </row>
    <row r="13" spans="1:17" x14ac:dyDescent="0.4">
      <c r="A13" s="58" t="s">
        <v>122</v>
      </c>
      <c r="B13" s="50">
        <v>136</v>
      </c>
      <c r="C13" s="44">
        <f>IF(B$3=0,0,B13/B$3)</f>
        <v>0.28333333333333333</v>
      </c>
      <c r="E13" s="63" t="s">
        <v>76</v>
      </c>
      <c r="F13" s="60" t="s">
        <v>31</v>
      </c>
      <c r="G13" s="47">
        <v>1</v>
      </c>
      <c r="H13" s="133">
        <f>IF(B$17=0,0,G13/B$17)</f>
        <v>6.7567567567567571E-3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89</v>
      </c>
      <c r="C14" s="39">
        <f>IF(B$3=0,0,B14/B$3)</f>
        <v>0.18541666666666667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90</v>
      </c>
      <c r="C15" s="37">
        <f>IF(B$13=0,0,B15/B$13)</f>
        <v>0.66176470588235292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171</v>
      </c>
      <c r="O15" s="124">
        <f>IF(P15=0,0,Q15/P15)</f>
        <v>39.91764705882354</v>
      </c>
      <c r="P15" s="118">
        <v>17</v>
      </c>
      <c r="Q15" s="106">
        <v>678.60000000000014</v>
      </c>
    </row>
    <row r="16" spans="1:17" x14ac:dyDescent="0.4">
      <c r="A16" s="54" t="s">
        <v>125</v>
      </c>
      <c r="B16" s="46">
        <v>33</v>
      </c>
      <c r="C16" s="37">
        <f>IF(B$14=0,0,B16/B$14)</f>
        <v>0.3707865168539326</v>
      </c>
      <c r="E16" s="63" t="s">
        <v>79</v>
      </c>
      <c r="F16" s="60" t="s">
        <v>34</v>
      </c>
      <c r="G16" s="47">
        <v>5</v>
      </c>
      <c r="H16" s="133">
        <f>IF(B$17=0,0,G16/B$17)</f>
        <v>3.3783783783783786E-2</v>
      </c>
      <c r="I16" s="94">
        <v>4</v>
      </c>
      <c r="K16" s="38">
        <v>14</v>
      </c>
      <c r="L16" s="99">
        <v>-178.49999999999997</v>
      </c>
      <c r="N16" s="115" t="s">
        <v>200</v>
      </c>
      <c r="O16" s="125">
        <f>IF(P16=0,0,Q16/P16)</f>
        <v>32.625</v>
      </c>
      <c r="P16" s="119">
        <v>4</v>
      </c>
      <c r="Q16" s="107">
        <v>130.5</v>
      </c>
    </row>
    <row r="17" spans="1:17" x14ac:dyDescent="0.4">
      <c r="A17" s="54" t="s">
        <v>10</v>
      </c>
      <c r="B17" s="46">
        <f>B19+B18</f>
        <v>148</v>
      </c>
      <c r="C17" s="37">
        <f>IF(B$3=0,0,B17/B$3)</f>
        <v>0.30833333333333335</v>
      </c>
      <c r="E17" s="63" t="s">
        <v>80</v>
      </c>
      <c r="F17" s="60" t="s">
        <v>35</v>
      </c>
      <c r="G17" s="47">
        <v>2</v>
      </c>
      <c r="H17" s="133">
        <f>IF(B$17=0,0,G17/B$17)</f>
        <v>1.3513513513513514E-2</v>
      </c>
      <c r="I17" s="94">
        <v>8</v>
      </c>
      <c r="K17" s="38">
        <v>15</v>
      </c>
      <c r="L17" s="99">
        <v>-146.19999999999999</v>
      </c>
      <c r="N17" s="115" t="s">
        <v>184</v>
      </c>
      <c r="O17" s="125">
        <f>IF(P17=0,0,Q17/P17)</f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65</v>
      </c>
      <c r="C18" s="39">
        <f>IF(B$17=0,0,B18/B$17)</f>
        <v>0.4391891891891892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>IF(P18=0,0,Q18/P18)</f>
        <v>13.466666666666667</v>
      </c>
      <c r="P18" s="119">
        <v>24</v>
      </c>
      <c r="Q18" s="107">
        <v>323.2</v>
      </c>
    </row>
    <row r="19" spans="1:17" x14ac:dyDescent="0.4">
      <c r="A19" s="55" t="s">
        <v>11</v>
      </c>
      <c r="B19" s="47">
        <v>83</v>
      </c>
      <c r="C19" s="39">
        <f>IF(B$17=0,0,B19/B$17)</f>
        <v>0.56081081081081086</v>
      </c>
      <c r="E19" s="63" t="s">
        <v>82</v>
      </c>
      <c r="F19" s="60" t="s">
        <v>37</v>
      </c>
      <c r="G19" s="47">
        <v>4</v>
      </c>
      <c r="H19" s="133">
        <f>IF(B$17=0,0,G19/B$17)</f>
        <v>2.7027027027027029E-2</v>
      </c>
      <c r="I19" s="94">
        <v>8</v>
      </c>
      <c r="K19" s="38">
        <v>17</v>
      </c>
      <c r="L19" s="99">
        <v>-161.19999999999999</v>
      </c>
      <c r="N19" s="115" t="s">
        <v>129</v>
      </c>
      <c r="O19" s="125">
        <f>IF(P19=0,0,Q19/P19)</f>
        <v>12.031578947368422</v>
      </c>
      <c r="P19" s="119">
        <v>19</v>
      </c>
      <c r="Q19" s="107">
        <v>228.60000000000002</v>
      </c>
    </row>
    <row r="20" spans="1:17" x14ac:dyDescent="0.4">
      <c r="A20" s="55" t="s">
        <v>13</v>
      </c>
      <c r="B20" s="47">
        <v>72</v>
      </c>
      <c r="C20" s="39">
        <f>IF(B$3=0,0,B20/B$3)</f>
        <v>0.15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173</v>
      </c>
      <c r="O20" s="125">
        <f>IF(P20=0,0,Q20/P20)</f>
        <v>10.050000000000002</v>
      </c>
      <c r="P20" s="119">
        <v>6</v>
      </c>
      <c r="Q20" s="107">
        <v>60.300000000000011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7</v>
      </c>
      <c r="H21" s="133">
        <f>IF(B$17=0,0,G21/B$17)</f>
        <v>4.72972972972973E-2</v>
      </c>
      <c r="I21" s="94">
        <v>7</v>
      </c>
      <c r="K21" s="38">
        <v>19</v>
      </c>
      <c r="L21" s="99">
        <v>-235.6</v>
      </c>
      <c r="N21" s="115" t="s">
        <v>172</v>
      </c>
      <c r="O21" s="125">
        <f>IF(P21=0,0,Q21/P21)</f>
        <v>5.4062499999999973</v>
      </c>
      <c r="P21" s="119">
        <v>16</v>
      </c>
      <c r="Q21" s="107">
        <v>86.499999999999957</v>
      </c>
    </row>
    <row r="22" spans="1:17" x14ac:dyDescent="0.4">
      <c r="A22" s="55" t="s">
        <v>192</v>
      </c>
      <c r="B22" s="47">
        <v>45</v>
      </c>
      <c r="C22" s="135">
        <v>15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>IF(P22=0,0,Q22/P22)</f>
        <v>-22.326923076923087</v>
      </c>
      <c r="P22" s="119">
        <v>26</v>
      </c>
      <c r="Q22" s="107">
        <v>-580.50000000000023</v>
      </c>
    </row>
    <row r="23" spans="1:17" x14ac:dyDescent="0.4">
      <c r="A23" s="55" t="s">
        <v>5</v>
      </c>
      <c r="B23" s="51">
        <f>IF(B$17=0,0,C23/B$17)</f>
        <v>8881.0810810810817</v>
      </c>
      <c r="C23" s="41">
        <v>1314400</v>
      </c>
      <c r="E23" s="63" t="s">
        <v>86</v>
      </c>
      <c r="F23" s="60" t="s">
        <v>41</v>
      </c>
      <c r="G23" s="47">
        <v>3</v>
      </c>
      <c r="H23" s="133">
        <f>IF(B$17=0,0,G23/B$17)</f>
        <v>2.0270270270270271E-2</v>
      </c>
      <c r="I23" s="94">
        <v>1</v>
      </c>
      <c r="K23" s="38">
        <v>21</v>
      </c>
      <c r="L23" s="99">
        <v>-188.60000000000002</v>
      </c>
      <c r="N23" s="115" t="s">
        <v>183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-7793.0555555555557</v>
      </c>
      <c r="C24" s="45">
        <v>-561100</v>
      </c>
      <c r="E24" s="63" t="s">
        <v>87</v>
      </c>
      <c r="F24" s="60" t="s">
        <v>42</v>
      </c>
      <c r="G24" s="47">
        <v>4</v>
      </c>
      <c r="H24" s="133">
        <f>IF(B$17=0,0,G24/B$17)</f>
        <v>2.7027027027027029E-2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6.2500000000000003E-3</v>
      </c>
      <c r="E27" s="63" t="s">
        <v>90</v>
      </c>
      <c r="F27" s="60" t="s">
        <v>45</v>
      </c>
      <c r="G27" s="47">
        <v>17</v>
      </c>
      <c r="H27" s="133">
        <f>IF(B$17=0,0,G27/B$17)</f>
        <v>0.11486486486486487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1.3513513513513514E-2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3.3783783783783786E-2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6.7567567567567571E-3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6.7567567567567571E-3</v>
      </c>
      <c r="I31" s="94">
        <v>2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6.7567567567567571E-3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40.899999999999991</v>
      </c>
    </row>
    <row r="51" spans="5:12" x14ac:dyDescent="0.4">
      <c r="E51" s="136" t="s">
        <v>245</v>
      </c>
      <c r="F51" s="137" t="s">
        <v>246</v>
      </c>
      <c r="G51" s="48">
        <v>62</v>
      </c>
      <c r="H51" s="138">
        <f>IF(B$17=0,0,G51/B$17)</f>
        <v>0.41891891891891891</v>
      </c>
      <c r="I51" s="139">
        <v>4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309</v>
      </c>
    </row>
    <row r="62" spans="5:12" x14ac:dyDescent="0.4">
      <c r="K62" s="38">
        <v>60</v>
      </c>
      <c r="L62" s="99">
        <v>297.10000000000002</v>
      </c>
    </row>
  </sheetData>
  <sortState ref="E2:I6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B1F44-2752-4BB7-83C8-CA4F156E31F7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79940-EDD2-4F09-9A84-D7F0D24D34E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</v>
      </c>
      <c r="C2" s="151"/>
      <c r="E2" s="62" t="s">
        <v>65</v>
      </c>
      <c r="F2" s="59" t="s">
        <v>21</v>
      </c>
      <c r="G2" s="46">
        <v>19</v>
      </c>
      <c r="H2" s="132">
        <f>IF(B$17=0,0,G2/B$17)</f>
        <v>0.55882352941176472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52">
        <v>118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2.9411764705882353E-2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4">
        <v>-138.69999999999999</v>
      </c>
      <c r="C4" s="155"/>
      <c r="E4" s="63" t="s">
        <v>67</v>
      </c>
      <c r="F4" s="60" t="s">
        <v>23</v>
      </c>
      <c r="G4" s="47">
        <v>28</v>
      </c>
      <c r="H4" s="133">
        <f>IF(B$17=0,0,G4/B$17)</f>
        <v>0.82352941176470584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6">
        <f>IF(B$2=0,0,B$4/B$2)</f>
        <v>-9.9071428571428566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69</v>
      </c>
      <c r="F6" s="60" t="s">
        <v>12</v>
      </c>
      <c r="G6" s="47">
        <v>12</v>
      </c>
      <c r="H6" s="133">
        <f>IF(B$17=0,0,G6/B$17)</f>
        <v>0.35294117647058826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70</v>
      </c>
      <c r="F7" s="60" t="s">
        <v>25</v>
      </c>
      <c r="G7" s="47">
        <v>6</v>
      </c>
      <c r="H7" s="133">
        <f>IF(B$17=0,0,G7/B$17)</f>
        <v>0.17647058823529413</v>
      </c>
      <c r="I7" s="94">
        <v>6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71</v>
      </c>
      <c r="F8" s="60" t="s">
        <v>26</v>
      </c>
      <c r="G8" s="47">
        <v>4</v>
      </c>
      <c r="H8" s="133">
        <f>IF(B$17=0,0,G8/B$17)</f>
        <v>0.11764705882352941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5.8823529411764705E-2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21</v>
      </c>
      <c r="H10" s="133">
        <f>IF(B$17=0,0,G10/B$17)</f>
        <v>0.61764705882352944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2.9411764705882353E-2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80</v>
      </c>
      <c r="F17" s="60" t="s">
        <v>35</v>
      </c>
      <c r="G17" s="47">
        <v>2</v>
      </c>
      <c r="H17" s="133">
        <f>IF(B$17=0,0,G17/B$17)</f>
        <v>5.8823529411764705E-2</v>
      </c>
      <c r="I17" s="94">
        <v>1</v>
      </c>
      <c r="N17" s="115" t="s">
        <v>127</v>
      </c>
      <c r="O17" s="125">
        <f t="shared" si="2"/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4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0.11764705882352941</v>
      </c>
      <c r="I21" s="94">
        <v>2</v>
      </c>
      <c r="N21" s="115" t="s">
        <v>183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192</v>
      </c>
      <c r="B22" s="47">
        <v>17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62700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0.14705882352941177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12</v>
      </c>
      <c r="H51" s="138">
        <f>IF(B$17=0,0,G51/B$17)</f>
        <v>0.35294117647058826</v>
      </c>
      <c r="I51" s="139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1688B-6EF6-4B62-9D75-85FBCB91B4D4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</v>
      </c>
      <c r="C2" s="151"/>
      <c r="E2" s="62" t="s">
        <v>65</v>
      </c>
      <c r="F2" s="59" t="s">
        <v>21</v>
      </c>
      <c r="G2" s="46">
        <v>14</v>
      </c>
      <c r="H2" s="132">
        <f>IF(B$17=0,0,G2/B$17)</f>
        <v>0.48275862068965519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6.8965517241379309E-2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0.55172413793103448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2.0111111111111106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0.31034482758620691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1.8888888888888888</v>
      </c>
      <c r="C6" s="147"/>
      <c r="E6" s="63" t="s">
        <v>69</v>
      </c>
      <c r="F6" s="60" t="s">
        <v>12</v>
      </c>
      <c r="G6" s="47">
        <v>11</v>
      </c>
      <c r="H6" s="133">
        <f>IF(B$17=0,0,G6/B$17)</f>
        <v>0.37931034482758619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2</v>
      </c>
      <c r="C7" s="39">
        <f>IF(B$2=0,0,B7/B$2)</f>
        <v>0.22222222222222221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8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0.66666666666666663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0.1111111111111111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19</v>
      </c>
      <c r="H10" s="133">
        <f>IF(B$17=0,0,G10/B$17)</f>
        <v>0.65517241379310343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3.4333333333333322</v>
      </c>
      <c r="P10" s="118">
        <v>3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2</v>
      </c>
      <c r="H16" s="133">
        <f>IF(B$17=0,0,G16/B$17)</f>
        <v>6.8965517241379309E-2</v>
      </c>
      <c r="I16" s="94">
        <v>2</v>
      </c>
      <c r="N16" s="115" t="s">
        <v>171</v>
      </c>
      <c r="O16" s="125">
        <f t="shared" si="2"/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80</v>
      </c>
      <c r="F17" s="60" t="s">
        <v>35</v>
      </c>
      <c r="G17" s="47">
        <v>1</v>
      </c>
      <c r="H17" s="133">
        <f>IF(B$17=0,0,G17/B$17)</f>
        <v>3.4482758620689655E-2</v>
      </c>
      <c r="I17" s="94">
        <v>2</v>
      </c>
      <c r="N17" s="115" t="s">
        <v>127</v>
      </c>
      <c r="O17" s="125">
        <f t="shared" si="2"/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-32.625</v>
      </c>
      <c r="P20" s="119">
        <v>4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3.4482758620689655E-2</v>
      </c>
      <c r="I21" s="94">
        <v>10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87</v>
      </c>
      <c r="F24" s="60" t="s">
        <v>42</v>
      </c>
      <c r="G24" s="47">
        <v>3</v>
      </c>
      <c r="H24" s="133">
        <f>IF(B$17=0,0,G24/B$17)</f>
        <v>0.10344827586206896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54800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0.13793103448275862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9</v>
      </c>
      <c r="H51" s="138">
        <f>IF(B$17=0,0,G51/B$17)</f>
        <v>0.31034482758620691</v>
      </c>
      <c r="I51" s="139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50D6A-E3CD-4727-A5D3-3EC731432EC8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11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36A6D-40A6-49EA-90C6-7F157F91FD42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11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47300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0.2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5A82D-10B7-44FC-AF7A-CF7CD7951E5F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E9287-E733-44CD-863C-D15A4585F356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CA7EA-99B5-4281-9CCA-CB946C428604}">
  <sheetPr codeName="Sheet26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33B7A-6635-4FC8-A20A-1AA5C08E89D6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784C5-2985-4B4D-A73D-26BF3A064052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F88DA-6375-4C47-893F-F8E14A08559A}">
  <sheetPr codeName="Sheet20"/>
  <dimension ref="A1:Q6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309</v>
      </c>
      <c r="C62" s="66">
        <v>5.2372881355932206</v>
      </c>
      <c r="D62" s="71">
        <v>1.8813559322033899</v>
      </c>
      <c r="E62" s="67">
        <v>0.40677966101694918</v>
      </c>
      <c r="F62" s="67">
        <v>0.28813559322033899</v>
      </c>
      <c r="G62" s="67">
        <v>0.31092436974789917</v>
      </c>
      <c r="H62" s="67">
        <v>0.15126050420168066</v>
      </c>
      <c r="I62" s="68">
        <v>8881.0810810810817</v>
      </c>
      <c r="J62" s="68">
        <v>-7793.0555555555557</v>
      </c>
      <c r="K62" s="67">
        <v>0.15254237288135594</v>
      </c>
      <c r="L62" s="67">
        <v>0.15254237288135594</v>
      </c>
      <c r="M62" s="67">
        <v>0.28361344537815125</v>
      </c>
      <c r="N62" s="67">
        <v>0.18277310924369747</v>
      </c>
      <c r="O62" s="67">
        <v>0.66666666666666663</v>
      </c>
      <c r="P62" s="67">
        <v>0.37931034482758619</v>
      </c>
      <c r="Q62" s="67">
        <v>0.4391891891891892</v>
      </c>
    </row>
    <row r="63" spans="1:17" x14ac:dyDescent="0.4">
      <c r="A63" s="69">
        <v>60</v>
      </c>
      <c r="B63" s="66">
        <v>297.10000000000002</v>
      </c>
      <c r="C63" s="66">
        <v>4.9516666666666671</v>
      </c>
      <c r="D63" s="71">
        <v>1.8833333333333333</v>
      </c>
      <c r="E63" s="67">
        <v>0.4</v>
      </c>
      <c r="F63" s="67">
        <v>0.28333333333333333</v>
      </c>
      <c r="G63" s="67">
        <v>0.30833333333333335</v>
      </c>
      <c r="H63" s="67">
        <v>0.15</v>
      </c>
      <c r="I63" s="68">
        <v>8881.0810810810817</v>
      </c>
      <c r="J63" s="68">
        <v>-7793.0555555555557</v>
      </c>
      <c r="K63" s="67">
        <v>0.15</v>
      </c>
      <c r="L63" s="67">
        <v>0.15</v>
      </c>
      <c r="M63" s="67">
        <v>0.28333333333333333</v>
      </c>
      <c r="N63" s="67">
        <v>0.18541666666666667</v>
      </c>
      <c r="O63" s="67">
        <v>0.66176470588235292</v>
      </c>
      <c r="P63" s="67">
        <v>0.3707865168539326</v>
      </c>
      <c r="Q63" s="67">
        <v>0.4391891891891892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70BDC-E4FE-4DE5-A975-386CA2736BB8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FC852-3E38-4317-B719-E413074EC7D7}">
  <sheetPr codeName="Sheet16"/>
  <dimension ref="A1:Q7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A1CE1-9F1E-4BD7-A84C-A8E4A56B7D1A}">
  <sheetPr codeName="Sheet14"/>
  <dimension ref="A1:Q9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D5299-F15A-48A2-8FDC-C9EAF91F4AAF}">
  <sheetPr codeName="Sheet12"/>
  <dimension ref="A1:Q9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47F53-95F8-4BE6-B7C3-73AB3F2A0327}">
  <sheetPr codeName="Sheet10"/>
  <dimension ref="A1:Q12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C2-3F5B-4AF6-9116-3B0F964D2B47}">
  <sheetPr codeName="Sheet8"/>
  <dimension ref="A1:Q1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1770.8000000000009</v>
      </c>
      <c r="C149" s="66">
        <v>12.128767123287677</v>
      </c>
      <c r="D149" s="71">
        <v>1.7465753424657535</v>
      </c>
      <c r="E149" s="67">
        <v>0.4863013698630137</v>
      </c>
      <c r="F149" s="67">
        <v>0.23287671232876711</v>
      </c>
      <c r="G149" s="67">
        <v>0.34698996655518394</v>
      </c>
      <c r="H149" s="67">
        <v>0.15886287625418061</v>
      </c>
      <c r="I149" s="68">
        <v>9091.8072289156626</v>
      </c>
      <c r="J149" s="68">
        <v>-8250.5263157894733</v>
      </c>
      <c r="K149" s="67">
        <v>0.10273972602739725</v>
      </c>
      <c r="L149" s="67">
        <v>0.17123287671232876</v>
      </c>
      <c r="M149" s="67">
        <v>0.31187290969899667</v>
      </c>
      <c r="N149" s="67">
        <v>0.22157190635451504</v>
      </c>
      <c r="O149" s="67">
        <v>0.57640750670241292</v>
      </c>
      <c r="P149" s="67">
        <v>0.51698113207547169</v>
      </c>
      <c r="Q149" s="67">
        <v>0.40963855421686746</v>
      </c>
    </row>
    <row r="150" spans="1:17" x14ac:dyDescent="0.4">
      <c r="A150" s="69">
        <v>147</v>
      </c>
      <c r="B150" s="66">
        <v>1734.4000000000008</v>
      </c>
      <c r="C150" s="66">
        <v>11.798639455782318</v>
      </c>
      <c r="D150" s="71">
        <v>1.7551020408163265</v>
      </c>
      <c r="E150" s="67">
        <v>0.48299319727891155</v>
      </c>
      <c r="F150" s="67">
        <v>0.23809523809523808</v>
      </c>
      <c r="G150" s="67">
        <v>0.34494195688225537</v>
      </c>
      <c r="H150" s="67">
        <v>0.15920398009950248</v>
      </c>
      <c r="I150" s="68">
        <v>9089.1826923076915</v>
      </c>
      <c r="J150" s="68">
        <v>-8268.2291666666661</v>
      </c>
      <c r="K150" s="67">
        <v>0.10204081632653061</v>
      </c>
      <c r="L150" s="67">
        <v>0.17006802721088435</v>
      </c>
      <c r="M150" s="67">
        <v>0.3101160862354892</v>
      </c>
      <c r="N150" s="67">
        <v>0.22139303482587064</v>
      </c>
      <c r="O150" s="67">
        <v>0.57486631016042777</v>
      </c>
      <c r="P150" s="67">
        <v>0.5168539325842697</v>
      </c>
      <c r="Q150" s="67">
        <v>0.40865384615384615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1AB76-8F79-4853-985F-264631E33986}">
  <sheetPr codeName="Sheet6"/>
  <dimension ref="A1:Q2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-1.4210854715202004E-14</v>
      </c>
      <c r="C219" s="66">
        <v>-2.1930331350620375E-17</v>
      </c>
      <c r="D219" s="71">
        <v>2</v>
      </c>
      <c r="E219" s="67">
        <v>0.33333333333333331</v>
      </c>
      <c r="F219" s="67">
        <v>0.33333333333333331</v>
      </c>
      <c r="G219" s="67">
        <v>0.29927817878956137</v>
      </c>
      <c r="H219" s="67">
        <v>0.16805478437904867</v>
      </c>
      <c r="I219" s="68">
        <v>8646.1966604823756</v>
      </c>
      <c r="J219" s="68">
        <v>-8275.3303964757706</v>
      </c>
      <c r="K219" s="67">
        <v>0.11728395061728394</v>
      </c>
      <c r="L219" s="67">
        <v>0.11728395061728394</v>
      </c>
      <c r="M219" s="67">
        <v>0.27984453081621319</v>
      </c>
      <c r="N219" s="67">
        <v>0.20914306866555618</v>
      </c>
      <c r="O219" s="67">
        <v>0.57870370370370372</v>
      </c>
      <c r="P219" s="67">
        <v>0.39292035398230091</v>
      </c>
      <c r="Q219" s="67">
        <v>0.43228200371057512</v>
      </c>
    </row>
    <row r="220" spans="1:17" x14ac:dyDescent="0.4">
      <c r="A220" s="69">
        <v>217</v>
      </c>
      <c r="B220" s="66">
        <v>-1.4210854715202004E-14</v>
      </c>
      <c r="C220" s="66">
        <v>-2.182926991582489E-17</v>
      </c>
      <c r="D220" s="71">
        <v>2</v>
      </c>
      <c r="E220" s="67">
        <v>0.33333333333333331</v>
      </c>
      <c r="F220" s="67">
        <v>0.33333333333333331</v>
      </c>
      <c r="G220" s="67">
        <v>0.29935364727608493</v>
      </c>
      <c r="H220" s="67">
        <v>0.16805170821791321</v>
      </c>
      <c r="I220" s="68">
        <v>8651.8815545959278</v>
      </c>
      <c r="J220" s="68">
        <v>-8283.5164835164833</v>
      </c>
      <c r="K220" s="67">
        <v>0.11827956989247312</v>
      </c>
      <c r="L220" s="67">
        <v>0.11827956989247312</v>
      </c>
      <c r="M220" s="67">
        <v>0.27959372114496767</v>
      </c>
      <c r="N220" s="67">
        <v>0.20941828254847644</v>
      </c>
      <c r="O220" s="67">
        <v>0.57859973579920743</v>
      </c>
      <c r="P220" s="67">
        <v>0.39329805996472661</v>
      </c>
      <c r="Q220" s="67">
        <v>0.43244910549043802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0.29898989898989897</v>
      </c>
      <c r="H221" s="67">
        <v>0.16822773186409551</v>
      </c>
      <c r="I221" s="68">
        <v>8656.7567567567567</v>
      </c>
      <c r="J221" s="68">
        <v>-8284.3886462882092</v>
      </c>
      <c r="K221" s="67">
        <v>0.11773700305810397</v>
      </c>
      <c r="L221" s="67">
        <v>0.11773700305810397</v>
      </c>
      <c r="M221" s="67">
        <v>0.27952249770431586</v>
      </c>
      <c r="N221" s="67">
        <v>0.20936639118457301</v>
      </c>
      <c r="O221" s="67">
        <v>0.57818659658344285</v>
      </c>
      <c r="P221" s="67">
        <v>0.39298245614035088</v>
      </c>
      <c r="Q221" s="67">
        <v>0.43120393120393119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2019-06-13T15:53:17Z</dcterms:modified>
</cp:coreProperties>
</file>