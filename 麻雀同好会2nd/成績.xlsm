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BCF60AF-8B1B-4F03-938B-785F57333E1A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53" r:id="rId6"/>
    <sheet name="だいち" sheetId="4955" r:id="rId7"/>
    <sheet name="りくと" sheetId="4957" r:id="rId8"/>
    <sheet name="ただ" sheetId="4959" r:id="rId9"/>
    <sheet name="れんたろう" sheetId="4961" r:id="rId10"/>
    <sheet name="たかの" sheetId="4963" r:id="rId11"/>
    <sheet name="ぱぱ" sheetId="4965" r:id="rId12"/>
    <sheet name="まっつん" sheetId="4967" r:id="rId13"/>
    <sheet name="あさひ" sheetId="4969" r:id="rId14"/>
    <sheet name="いっしー" sheetId="4971" r:id="rId15"/>
    <sheet name="ほたに" sheetId="4973" r:id="rId16"/>
    <sheet name="ほたに2" sheetId="4974" state="hidden" r:id="rId17"/>
    <sheet name="いっしー2" sheetId="4972" state="hidden" r:id="rId18"/>
    <sheet name="あさひ2" sheetId="4970" state="hidden" r:id="rId19"/>
    <sheet name="まっつん2" sheetId="4968" state="hidden" r:id="rId20"/>
    <sheet name="ぱぱ2" sheetId="4966" state="hidden" r:id="rId21"/>
    <sheet name="たかの2" sheetId="4964" state="hidden" r:id="rId22"/>
    <sheet name="れんたろう2" sheetId="4962" state="hidden" r:id="rId23"/>
    <sheet name="ただ2" sheetId="4960" state="hidden" r:id="rId24"/>
    <sheet name="りくと2" sheetId="4958" state="hidden" r:id="rId25"/>
    <sheet name="だいち2" sheetId="4956" state="hidden" r:id="rId26"/>
    <sheet name="全体2" sheetId="495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4955" l="1"/>
  <c r="O18" i="4973"/>
  <c r="O20" i="4965"/>
  <c r="O16" i="4973"/>
  <c r="O15" i="4973" l="1"/>
  <c r="O17" i="4973"/>
  <c r="H44" i="4973"/>
  <c r="H36" i="4973"/>
  <c r="H35" i="4973"/>
  <c r="C27" i="4973"/>
  <c r="H27" i="4973"/>
  <c r="B24" i="4973"/>
  <c r="C20" i="4973"/>
  <c r="B17" i="4973"/>
  <c r="H50" i="4973" s="1"/>
  <c r="H11" i="4973"/>
  <c r="C16" i="4973"/>
  <c r="C15" i="4973"/>
  <c r="C14" i="4973"/>
  <c r="C13" i="4973"/>
  <c r="O12" i="4973"/>
  <c r="C12" i="4973"/>
  <c r="O11" i="4973"/>
  <c r="C11" i="4973"/>
  <c r="O10" i="4973"/>
  <c r="C10" i="4973"/>
  <c r="H14" i="4973"/>
  <c r="C9" i="4973"/>
  <c r="C8" i="4973"/>
  <c r="O7" i="4973"/>
  <c r="C7" i="4973"/>
  <c r="O6" i="4973"/>
  <c r="H6" i="4973"/>
  <c r="B6" i="4973"/>
  <c r="O5" i="4973"/>
  <c r="B5" i="4973"/>
  <c r="O4" i="4973"/>
  <c r="O3" i="4973"/>
  <c r="H10" i="4973"/>
  <c r="O2" i="4973"/>
  <c r="O22" i="4961"/>
  <c r="O18" i="4963"/>
  <c r="O22" i="4953"/>
  <c r="H16" i="4973" l="1"/>
  <c r="H22" i="4973"/>
  <c r="H45" i="4973"/>
  <c r="H46" i="4973"/>
  <c r="H2" i="4973"/>
  <c r="C17" i="4973"/>
  <c r="H47" i="4973"/>
  <c r="H20" i="4973"/>
  <c r="H9" i="4973"/>
  <c r="H25" i="4973"/>
  <c r="H39" i="4973"/>
  <c r="C18" i="4973"/>
  <c r="H49" i="4973"/>
  <c r="H24" i="4973"/>
  <c r="H8" i="4973"/>
  <c r="H29" i="4973"/>
  <c r="H30" i="4973"/>
  <c r="H5" i="4973"/>
  <c r="H18" i="4973"/>
  <c r="H31" i="4973"/>
  <c r="H13" i="4973"/>
  <c r="H32" i="4973"/>
  <c r="H51" i="4973"/>
  <c r="H4" i="4973"/>
  <c r="H37" i="4973"/>
  <c r="H17" i="4973"/>
  <c r="H38" i="4973"/>
  <c r="B23" i="4973"/>
  <c r="H48" i="4973"/>
  <c r="H15" i="4973"/>
  <c r="H26" i="4973"/>
  <c r="H40" i="4973"/>
  <c r="H3" i="4973"/>
  <c r="H21" i="4973"/>
  <c r="H41" i="4973"/>
  <c r="H19" i="4973"/>
  <c r="C19" i="4973"/>
  <c r="H12" i="4973"/>
  <c r="H33" i="4973"/>
  <c r="H43" i="4973"/>
  <c r="H7" i="4973"/>
  <c r="H23" i="4973"/>
  <c r="H28" i="4973"/>
  <c r="H34" i="4973"/>
  <c r="H42" i="4973"/>
  <c r="O16" i="4963" l="1"/>
  <c r="O15" i="4959"/>
  <c r="O20" i="4967"/>
  <c r="O19" i="4967"/>
  <c r="O17" i="4955" l="1"/>
  <c r="O17" i="4971"/>
  <c r="O16" i="4971" l="1"/>
  <c r="O15" i="4971"/>
  <c r="O16" i="4961"/>
  <c r="O20" i="4959"/>
  <c r="O17" i="4969" l="1"/>
  <c r="O21" i="4965"/>
  <c r="O15" i="4969"/>
  <c r="O20" i="4971"/>
  <c r="O15" i="4957"/>
  <c r="O15" i="4967"/>
  <c r="O16" i="4953"/>
  <c r="O19" i="4971"/>
  <c r="O18" i="4971"/>
  <c r="C27" i="4971"/>
  <c r="B24" i="4971"/>
  <c r="C20" i="4971"/>
  <c r="B17" i="4971"/>
  <c r="H50" i="4971" s="1"/>
  <c r="C16" i="4971"/>
  <c r="C15" i="4971"/>
  <c r="C14" i="4971"/>
  <c r="C13" i="4971"/>
  <c r="O12" i="4971"/>
  <c r="C12" i="4971"/>
  <c r="O11" i="4971"/>
  <c r="C11" i="4971"/>
  <c r="O10" i="4971"/>
  <c r="C10" i="4971"/>
  <c r="C9" i="4971"/>
  <c r="C8" i="4971"/>
  <c r="O7" i="4971"/>
  <c r="C7" i="4971"/>
  <c r="O6" i="4971"/>
  <c r="B6" i="4971"/>
  <c r="O5" i="4971"/>
  <c r="B5" i="4971"/>
  <c r="O4" i="4971"/>
  <c r="O3" i="4971"/>
  <c r="O2" i="4971"/>
  <c r="O16" i="4969"/>
  <c r="O18" i="4969"/>
  <c r="C27" i="4969"/>
  <c r="B24" i="4969"/>
  <c r="C20" i="4969"/>
  <c r="B17" i="4969"/>
  <c r="H50" i="4969" s="1"/>
  <c r="C16" i="4969"/>
  <c r="C15" i="4969"/>
  <c r="C14" i="4969"/>
  <c r="C13" i="4969"/>
  <c r="O12" i="4969"/>
  <c r="C12" i="4969"/>
  <c r="O11" i="4969"/>
  <c r="C11" i="4969"/>
  <c r="O10" i="4969"/>
  <c r="C10" i="4969"/>
  <c r="C9" i="4969"/>
  <c r="C8" i="4969"/>
  <c r="O7" i="4969"/>
  <c r="C7" i="4969"/>
  <c r="O6" i="4969"/>
  <c r="B6" i="4969"/>
  <c r="O5" i="4969"/>
  <c r="B5" i="4969"/>
  <c r="O4" i="4969"/>
  <c r="O3" i="4969"/>
  <c r="O2" i="4969"/>
  <c r="O22" i="4967"/>
  <c r="O21" i="4967"/>
  <c r="O15" i="4955"/>
  <c r="O19" i="4955"/>
  <c r="O23" i="4953"/>
  <c r="H14" i="4971" l="1"/>
  <c r="H7" i="4971"/>
  <c r="H12" i="4971"/>
  <c r="H6" i="4971"/>
  <c r="H35" i="4971"/>
  <c r="H20" i="4971"/>
  <c r="H19" i="4969"/>
  <c r="H7" i="4969"/>
  <c r="H27" i="4969"/>
  <c r="C19" i="4969"/>
  <c r="H22" i="4969"/>
  <c r="H43" i="4969"/>
  <c r="H15" i="4969"/>
  <c r="H33" i="4969"/>
  <c r="H4" i="4969"/>
  <c r="H44" i="4969"/>
  <c r="H10" i="4969"/>
  <c r="H35" i="4969"/>
  <c r="H8" i="4969"/>
  <c r="H36" i="4969"/>
  <c r="H12" i="4969"/>
  <c r="H24" i="4969"/>
  <c r="H18" i="4969"/>
  <c r="H3" i="4969"/>
  <c r="H11" i="4969"/>
  <c r="H45" i="4969"/>
  <c r="H46" i="4969"/>
  <c r="H29" i="4969"/>
  <c r="H37" i="4969"/>
  <c r="H25" i="4969"/>
  <c r="B23" i="4969"/>
  <c r="H30" i="4969"/>
  <c r="H39" i="4969"/>
  <c r="H48" i="4969"/>
  <c r="C17" i="4969"/>
  <c r="H38" i="4969"/>
  <c r="H20" i="4969"/>
  <c r="H14" i="4969"/>
  <c r="H17" i="4969"/>
  <c r="H26" i="4969"/>
  <c r="H31" i="4969"/>
  <c r="H40" i="4969"/>
  <c r="H49" i="4969"/>
  <c r="H6" i="4969"/>
  <c r="H9" i="4969"/>
  <c r="H16" i="4969"/>
  <c r="H47" i="4969"/>
  <c r="H5" i="4969"/>
  <c r="C18" i="4969"/>
  <c r="H2" i="4969"/>
  <c r="H13" i="4969"/>
  <c r="H21" i="4969"/>
  <c r="H32" i="4969"/>
  <c r="H41" i="4969"/>
  <c r="H51" i="4969"/>
  <c r="H27" i="4971"/>
  <c r="H2" i="4971"/>
  <c r="H44" i="4971"/>
  <c r="H36" i="4971"/>
  <c r="H16" i="4971"/>
  <c r="H10" i="4971"/>
  <c r="H45" i="4971"/>
  <c r="H37" i="4971"/>
  <c r="H46" i="4971"/>
  <c r="H17" i="4971"/>
  <c r="H24" i="4971"/>
  <c r="H29" i="4971"/>
  <c r="H38" i="4971"/>
  <c r="H47" i="4971"/>
  <c r="H30" i="4971"/>
  <c r="H3" i="4971"/>
  <c r="H8" i="4971"/>
  <c r="H48" i="4971"/>
  <c r="H15" i="4971"/>
  <c r="C18" i="4971"/>
  <c r="H31" i="4971"/>
  <c r="H40" i="4971"/>
  <c r="H49" i="4971"/>
  <c r="H11" i="4971"/>
  <c r="H21" i="4971"/>
  <c r="H39" i="4971"/>
  <c r="H18" i="4971"/>
  <c r="H4" i="4971"/>
  <c r="H9" i="4971"/>
  <c r="H32" i="4971"/>
  <c r="H41" i="4971"/>
  <c r="H51" i="4971"/>
  <c r="C17" i="4971"/>
  <c r="B23" i="4971"/>
  <c r="H13" i="4971"/>
  <c r="H25" i="4971"/>
  <c r="H22" i="4971"/>
  <c r="H19" i="4971"/>
  <c r="C19" i="4971"/>
  <c r="H26" i="4971"/>
  <c r="H33" i="4971"/>
  <c r="H43" i="4971"/>
  <c r="H5" i="4971"/>
  <c r="H23" i="4971"/>
  <c r="H28" i="4971"/>
  <c r="H34" i="4971"/>
  <c r="H42" i="4971"/>
  <c r="H23" i="4969"/>
  <c r="H28" i="4969"/>
  <c r="H34" i="4969"/>
  <c r="H42" i="4969"/>
  <c r="O16" i="4967" l="1"/>
  <c r="O18" i="4965"/>
  <c r="O16" i="4965"/>
  <c r="O18" i="4957"/>
  <c r="O17" i="4963" l="1"/>
  <c r="O17" i="4961"/>
  <c r="O19" i="4965"/>
  <c r="O17" i="4965"/>
  <c r="O15" i="4963" l="1"/>
  <c r="O15" i="4961"/>
  <c r="O19" i="4959"/>
  <c r="O21" i="4959"/>
  <c r="O17" i="4967"/>
  <c r="O18" i="4967"/>
  <c r="H36" i="4967"/>
  <c r="C27" i="4967"/>
  <c r="B24" i="4967"/>
  <c r="C20" i="4967"/>
  <c r="B17" i="4967"/>
  <c r="H51" i="4967" s="1"/>
  <c r="C16" i="4967"/>
  <c r="C15" i="4967"/>
  <c r="C14" i="4967"/>
  <c r="C13" i="4967"/>
  <c r="O12" i="4967"/>
  <c r="C12" i="4967"/>
  <c r="O11" i="4967"/>
  <c r="C11" i="4967"/>
  <c r="O10" i="4967"/>
  <c r="C10" i="4967"/>
  <c r="C9" i="4967"/>
  <c r="C8" i="4967"/>
  <c r="O7" i="4967"/>
  <c r="C7" i="4967"/>
  <c r="O6" i="4967"/>
  <c r="B6" i="4967"/>
  <c r="O5" i="4967"/>
  <c r="B5" i="4967"/>
  <c r="O4" i="4967"/>
  <c r="O3" i="4967"/>
  <c r="O2" i="4967"/>
  <c r="O19" i="4961"/>
  <c r="O20" i="4957"/>
  <c r="O18" i="4953"/>
  <c r="H37" i="4967" l="1"/>
  <c r="H21" i="4967"/>
  <c r="H18" i="4967"/>
  <c r="H9" i="4967"/>
  <c r="H16" i="4967"/>
  <c r="H15" i="4967"/>
  <c r="H20" i="4967"/>
  <c r="H33" i="4967"/>
  <c r="C18" i="4967"/>
  <c r="H45" i="4967"/>
  <c r="H4" i="4967"/>
  <c r="H12" i="4967"/>
  <c r="H27" i="4967"/>
  <c r="H6" i="4967"/>
  <c r="H44" i="4967"/>
  <c r="H19" i="4967"/>
  <c r="H46" i="4967"/>
  <c r="H41" i="4967"/>
  <c r="H28" i="4967"/>
  <c r="H8" i="4967"/>
  <c r="H23" i="4967"/>
  <c r="C19" i="4967"/>
  <c r="H31" i="4967"/>
  <c r="H17" i="4967"/>
  <c r="H24" i="4967"/>
  <c r="H32" i="4967"/>
  <c r="H47" i="4967"/>
  <c r="H14" i="4967"/>
  <c r="H38" i="4967"/>
  <c r="H48" i="4967"/>
  <c r="H2" i="4967"/>
  <c r="C17" i="4967"/>
  <c r="H26" i="4967"/>
  <c r="H30" i="4967"/>
  <c r="H39" i="4967"/>
  <c r="H49" i="4967"/>
  <c r="H3" i="4967"/>
  <c r="H10" i="4967"/>
  <c r="H7" i="4967"/>
  <c r="H13" i="4967"/>
  <c r="H22" i="4967"/>
  <c r="B23" i="4967"/>
  <c r="H11" i="4967"/>
  <c r="H40" i="4967"/>
  <c r="H5" i="4967"/>
  <c r="H25" i="4967"/>
  <c r="H29" i="4967"/>
  <c r="H34" i="4967"/>
  <c r="H42" i="4967"/>
  <c r="H50" i="4967"/>
  <c r="H35" i="4967"/>
  <c r="H43" i="4967"/>
  <c r="O16" i="4959" l="1"/>
  <c r="O22" i="4965"/>
  <c r="O15" i="4965"/>
  <c r="H36" i="4965"/>
  <c r="H35" i="4965"/>
  <c r="C27" i="4965"/>
  <c r="B24" i="4965"/>
  <c r="C20" i="4965"/>
  <c r="B17" i="4965"/>
  <c r="H50" i="4965" s="1"/>
  <c r="H22" i="4965"/>
  <c r="C16" i="4965"/>
  <c r="C15" i="4965"/>
  <c r="C14" i="4965"/>
  <c r="C13" i="4965"/>
  <c r="O12" i="4965"/>
  <c r="C12" i="4965"/>
  <c r="O11" i="4965"/>
  <c r="C11" i="4965"/>
  <c r="O10" i="4965"/>
  <c r="C10" i="4965"/>
  <c r="C9" i="4965"/>
  <c r="C8" i="4965"/>
  <c r="O7" i="4965"/>
  <c r="C7" i="4965"/>
  <c r="O6" i="4965"/>
  <c r="H5" i="4965"/>
  <c r="B6" i="4965"/>
  <c r="O5" i="4965"/>
  <c r="B5" i="4965"/>
  <c r="O4" i="4965"/>
  <c r="O3" i="4965"/>
  <c r="H13" i="4965"/>
  <c r="O2" i="4965"/>
  <c r="O18" i="4955"/>
  <c r="O17" i="4953"/>
  <c r="O20" i="4963"/>
  <c r="O17" i="4957"/>
  <c r="O19" i="4957"/>
  <c r="O20" i="4961"/>
  <c r="O19" i="4963"/>
  <c r="O21" i="4963"/>
  <c r="C27" i="4963"/>
  <c r="B24" i="4963"/>
  <c r="C20" i="4963"/>
  <c r="B17" i="4963"/>
  <c r="H50" i="4963" s="1"/>
  <c r="C16" i="4963"/>
  <c r="C15" i="4963"/>
  <c r="C14" i="4963"/>
  <c r="C13" i="4963"/>
  <c r="O12" i="4963"/>
  <c r="C12" i="4963"/>
  <c r="O11" i="4963"/>
  <c r="C11" i="4963"/>
  <c r="O10" i="4963"/>
  <c r="C10" i="4963"/>
  <c r="C9" i="4963"/>
  <c r="C8" i="4963"/>
  <c r="O7" i="4963"/>
  <c r="C7" i="4963"/>
  <c r="O6" i="4963"/>
  <c r="B6" i="4963"/>
  <c r="O5" i="4963"/>
  <c r="B5" i="4963"/>
  <c r="O4" i="4963"/>
  <c r="O3" i="4963"/>
  <c r="O2" i="4963"/>
  <c r="O21" i="4961"/>
  <c r="O18" i="4961"/>
  <c r="C27" i="4961"/>
  <c r="B24" i="4961"/>
  <c r="C20" i="4961"/>
  <c r="B17" i="4961"/>
  <c r="H51" i="4961" s="1"/>
  <c r="C16" i="4961"/>
  <c r="C15" i="4961"/>
  <c r="C14" i="4961"/>
  <c r="C13" i="4961"/>
  <c r="O12" i="4961"/>
  <c r="C12" i="4961"/>
  <c r="O11" i="4961"/>
  <c r="C11" i="4961"/>
  <c r="O10" i="4961"/>
  <c r="C10" i="4961"/>
  <c r="C9" i="4961"/>
  <c r="C8" i="4961"/>
  <c r="O7" i="4961"/>
  <c r="C7" i="4961"/>
  <c r="O6" i="4961"/>
  <c r="B6" i="4961"/>
  <c r="O5" i="4961"/>
  <c r="B5" i="4961"/>
  <c r="O4" i="4961"/>
  <c r="O3" i="4961"/>
  <c r="O2" i="4961"/>
  <c r="O20" i="4955"/>
  <c r="O22" i="4955"/>
  <c r="O21" i="4953"/>
  <c r="O19" i="4953"/>
  <c r="H15" i="4961" l="1"/>
  <c r="H16" i="4963"/>
  <c r="H24" i="4965"/>
  <c r="H11" i="4965"/>
  <c r="H2" i="4965"/>
  <c r="H44" i="4965"/>
  <c r="H18" i="4965"/>
  <c r="H45" i="4965"/>
  <c r="H28" i="4965"/>
  <c r="H35" i="4963"/>
  <c r="H9" i="4963"/>
  <c r="H36" i="4963"/>
  <c r="H3" i="4961"/>
  <c r="H28" i="4961"/>
  <c r="H34" i="4961"/>
  <c r="H23" i="4961"/>
  <c r="H20" i="4961"/>
  <c r="H36" i="4961"/>
  <c r="H39" i="4961"/>
  <c r="H11" i="4961"/>
  <c r="H21" i="4961"/>
  <c r="H37" i="4961"/>
  <c r="H7" i="4961"/>
  <c r="H18" i="4961"/>
  <c r="H49" i="4961"/>
  <c r="H14" i="4965"/>
  <c r="H9" i="4965"/>
  <c r="H37" i="4965"/>
  <c r="H46" i="4965"/>
  <c r="H19" i="4965"/>
  <c r="C17" i="4965"/>
  <c r="H26" i="4965"/>
  <c r="H30" i="4965"/>
  <c r="H38" i="4965"/>
  <c r="H47" i="4965"/>
  <c r="H17" i="4965"/>
  <c r="H48" i="4965"/>
  <c r="H3" i="4965"/>
  <c r="H10" i="4965"/>
  <c r="B23" i="4965"/>
  <c r="H15" i="4965"/>
  <c r="C18" i="4965"/>
  <c r="H31" i="4965"/>
  <c r="H40" i="4965"/>
  <c r="H8" i="4965"/>
  <c r="H23" i="4965"/>
  <c r="H32" i="4965"/>
  <c r="H41" i="4965"/>
  <c r="H51" i="4965"/>
  <c r="H16" i="4965"/>
  <c r="H39" i="4965"/>
  <c r="H7" i="4965"/>
  <c r="H20" i="4965"/>
  <c r="H27" i="4965"/>
  <c r="H49" i="4965"/>
  <c r="H4" i="4965"/>
  <c r="H21" i="4965"/>
  <c r="C19" i="4965"/>
  <c r="H12" i="4965"/>
  <c r="H33" i="4965"/>
  <c r="H43" i="4965"/>
  <c r="H6" i="4965"/>
  <c r="H25" i="4965"/>
  <c r="H29" i="4965"/>
  <c r="H34" i="4965"/>
  <c r="H42" i="4965"/>
  <c r="H20" i="4963"/>
  <c r="H28" i="4963"/>
  <c r="H44" i="4963"/>
  <c r="H12" i="4963"/>
  <c r="H15" i="4963"/>
  <c r="H6" i="4963"/>
  <c r="H45" i="4961"/>
  <c r="H13" i="4961"/>
  <c r="H9" i="4961"/>
  <c r="C18" i="4961"/>
  <c r="H47" i="4961"/>
  <c r="H12" i="4961"/>
  <c r="H44" i="4961"/>
  <c r="H6" i="4961"/>
  <c r="H29" i="4961"/>
  <c r="H25" i="4961"/>
  <c r="H2" i="4961"/>
  <c r="H22" i="4961"/>
  <c r="C19" i="4961"/>
  <c r="H33" i="4961"/>
  <c r="H48" i="4961"/>
  <c r="H45" i="4963"/>
  <c r="H11" i="4963"/>
  <c r="H46" i="4963"/>
  <c r="H3" i="4963"/>
  <c r="C17" i="4963"/>
  <c r="H30" i="4963"/>
  <c r="H38" i="4963"/>
  <c r="H47" i="4963"/>
  <c r="H13" i="4963"/>
  <c r="H48" i="4963"/>
  <c r="H2" i="4963"/>
  <c r="H26" i="4963"/>
  <c r="B23" i="4963"/>
  <c r="H7" i="4963"/>
  <c r="H22" i="4963"/>
  <c r="H27" i="4963"/>
  <c r="H40" i="4963"/>
  <c r="H49" i="4963"/>
  <c r="H37" i="4963"/>
  <c r="H17" i="4963"/>
  <c r="H39" i="4963"/>
  <c r="C18" i="4963"/>
  <c r="H4" i="4963"/>
  <c r="H10" i="4963"/>
  <c r="H24" i="4963"/>
  <c r="H41" i="4963"/>
  <c r="H51" i="4963"/>
  <c r="H8" i="4963"/>
  <c r="H21" i="4963"/>
  <c r="H18" i="4963"/>
  <c r="H19" i="4963"/>
  <c r="H31" i="4963"/>
  <c r="H32" i="4963"/>
  <c r="H23" i="4963"/>
  <c r="C19" i="4963"/>
  <c r="H14" i="4963"/>
  <c r="H33" i="4963"/>
  <c r="H43" i="4963"/>
  <c r="H5" i="4963"/>
  <c r="H25" i="4963"/>
  <c r="H29" i="4963"/>
  <c r="H34" i="4963"/>
  <c r="H42" i="4963"/>
  <c r="H50" i="4961"/>
  <c r="H4" i="4961"/>
  <c r="H14" i="4961"/>
  <c r="C17" i="4961"/>
  <c r="H17" i="4961"/>
  <c r="H10" i="4961"/>
  <c r="H40" i="4961"/>
  <c r="H8" i="4961"/>
  <c r="H16" i="4961"/>
  <c r="H27" i="4961"/>
  <c r="H32" i="4961"/>
  <c r="H41" i="4961"/>
  <c r="H24" i="4961"/>
  <c r="B23" i="4961"/>
  <c r="H19" i="4961"/>
  <c r="H42" i="4961"/>
  <c r="H5" i="4961"/>
  <c r="H31" i="4961"/>
  <c r="H38" i="4961"/>
  <c r="H46" i="4961"/>
  <c r="H26" i="4961"/>
  <c r="H30" i="4961"/>
  <c r="H35" i="4961"/>
  <c r="H43" i="4961"/>
  <c r="O17" i="4959" l="1"/>
  <c r="O18" i="4959"/>
  <c r="C27" i="4959"/>
  <c r="B24" i="4959"/>
  <c r="C20" i="4959"/>
  <c r="B17" i="4959"/>
  <c r="H50" i="4959" s="1"/>
  <c r="C16" i="4959"/>
  <c r="C15" i="4959"/>
  <c r="C14" i="4959"/>
  <c r="C13" i="4959"/>
  <c r="O12" i="4959"/>
  <c r="C12" i="4959"/>
  <c r="O11" i="4959"/>
  <c r="C11" i="4959"/>
  <c r="O10" i="4959"/>
  <c r="C10" i="4959"/>
  <c r="C9" i="4959"/>
  <c r="C8" i="4959"/>
  <c r="O7" i="4959"/>
  <c r="C7" i="4959"/>
  <c r="O6" i="4959"/>
  <c r="B6" i="4959"/>
  <c r="O5" i="4959"/>
  <c r="B5" i="4959"/>
  <c r="O4" i="4959"/>
  <c r="O3" i="4959"/>
  <c r="O2" i="4959"/>
  <c r="O21" i="4957"/>
  <c r="O16" i="4957"/>
  <c r="C27" i="4957"/>
  <c r="B24" i="4957"/>
  <c r="C20" i="4957"/>
  <c r="B17" i="4957"/>
  <c r="H51" i="4957" s="1"/>
  <c r="C16" i="4957"/>
  <c r="C15" i="4957"/>
  <c r="C14" i="4957"/>
  <c r="C13" i="4957"/>
  <c r="O12" i="4957"/>
  <c r="C12" i="4957"/>
  <c r="O11" i="4957"/>
  <c r="C11" i="4957"/>
  <c r="O10" i="4957"/>
  <c r="C10" i="4957"/>
  <c r="C9" i="4957"/>
  <c r="C8" i="4957"/>
  <c r="O7" i="4957"/>
  <c r="C7" i="4957"/>
  <c r="O6" i="4957"/>
  <c r="B6" i="4957"/>
  <c r="O5" i="4957"/>
  <c r="B5" i="4957"/>
  <c r="O4" i="4957"/>
  <c r="O3" i="4957"/>
  <c r="O2" i="4957"/>
  <c r="O24" i="4953"/>
  <c r="O16" i="4955"/>
  <c r="O21" i="4955"/>
  <c r="C27" i="4955"/>
  <c r="B24" i="4955"/>
  <c r="C20" i="4955"/>
  <c r="B17" i="4955"/>
  <c r="H51" i="4955" s="1"/>
  <c r="H16" i="4955"/>
  <c r="C16" i="4955"/>
  <c r="C15" i="4955"/>
  <c r="C14" i="4955"/>
  <c r="C13" i="4955"/>
  <c r="O12" i="4955"/>
  <c r="C12" i="4955"/>
  <c r="O11" i="4955"/>
  <c r="C11" i="4955"/>
  <c r="O10" i="4955"/>
  <c r="C10" i="4955"/>
  <c r="C9" i="4955"/>
  <c r="C8" i="4955"/>
  <c r="O7" i="4955"/>
  <c r="C7" i="4955"/>
  <c r="O6" i="4955"/>
  <c r="B6" i="4955"/>
  <c r="O5" i="4955"/>
  <c r="B5" i="4955"/>
  <c r="O4" i="4955"/>
  <c r="O3" i="4955"/>
  <c r="O2" i="4955"/>
  <c r="O15" i="4953"/>
  <c r="O20" i="4953"/>
  <c r="C27" i="4953"/>
  <c r="B24" i="4953"/>
  <c r="C20" i="4953"/>
  <c r="B17" i="4953"/>
  <c r="H51" i="4953" s="1"/>
  <c r="C16" i="4953"/>
  <c r="C15" i="4953"/>
  <c r="C14" i="4953"/>
  <c r="C13" i="4953"/>
  <c r="O12" i="4953"/>
  <c r="C12" i="4953"/>
  <c r="O11" i="4953"/>
  <c r="C11" i="4953"/>
  <c r="O10" i="4953"/>
  <c r="C10" i="4953"/>
  <c r="C9" i="4953"/>
  <c r="C8" i="4953"/>
  <c r="O7" i="4953"/>
  <c r="C7" i="4953"/>
  <c r="O6" i="4953"/>
  <c r="B6" i="4953"/>
  <c r="O5" i="4953"/>
  <c r="B5" i="4953"/>
  <c r="O4" i="4953"/>
  <c r="O3" i="4953"/>
  <c r="O2" i="4953"/>
  <c r="H9" i="4959" l="1"/>
  <c r="H30" i="4959"/>
  <c r="H2" i="4959"/>
  <c r="H28" i="4959"/>
  <c r="H7" i="4959"/>
  <c r="H19" i="4959"/>
  <c r="H12" i="4959"/>
  <c r="H44" i="4959"/>
  <c r="H35" i="4959"/>
  <c r="H18" i="4959"/>
  <c r="H24" i="4959"/>
  <c r="C17" i="4959"/>
  <c r="H10" i="4959"/>
  <c r="H4" i="4959"/>
  <c r="H9" i="4957"/>
  <c r="H10" i="4955"/>
  <c r="H23" i="4955"/>
  <c r="H8" i="4955"/>
  <c r="H13" i="4955"/>
  <c r="H7" i="4955"/>
  <c r="H36" i="4955"/>
  <c r="H14" i="4959"/>
  <c r="H36" i="4959"/>
  <c r="H45" i="4959"/>
  <c r="H15" i="4959"/>
  <c r="H11" i="4959"/>
  <c r="H37" i="4959"/>
  <c r="H46" i="4959"/>
  <c r="H26" i="4959"/>
  <c r="H29" i="4959"/>
  <c r="H38" i="4959"/>
  <c r="H47" i="4959"/>
  <c r="C18" i="4959"/>
  <c r="H31" i="4959"/>
  <c r="H40" i="4959"/>
  <c r="H49" i="4959"/>
  <c r="H22" i="4959"/>
  <c r="B23" i="4959"/>
  <c r="H39" i="4959"/>
  <c r="H48" i="4959"/>
  <c r="H5" i="4959"/>
  <c r="H17" i="4959"/>
  <c r="H20" i="4959"/>
  <c r="H27" i="4959"/>
  <c r="H3" i="4959"/>
  <c r="H8" i="4959"/>
  <c r="H23" i="4959"/>
  <c r="H32" i="4959"/>
  <c r="H41" i="4959"/>
  <c r="H51" i="4959"/>
  <c r="H21" i="4959"/>
  <c r="C19" i="4959"/>
  <c r="H13" i="4959"/>
  <c r="H33" i="4959"/>
  <c r="H43" i="4959"/>
  <c r="H6" i="4959"/>
  <c r="H25" i="4959"/>
  <c r="H16" i="4959"/>
  <c r="H34" i="4959"/>
  <c r="H42" i="4959"/>
  <c r="H17" i="4953"/>
  <c r="H44" i="4953"/>
  <c r="H45" i="4953"/>
  <c r="H13" i="4957"/>
  <c r="H18" i="4957"/>
  <c r="H14" i="4957"/>
  <c r="H31" i="4957"/>
  <c r="H7" i="4957"/>
  <c r="H36" i="4957"/>
  <c r="H23" i="4957"/>
  <c r="H45" i="4957"/>
  <c r="H46" i="4957"/>
  <c r="H47" i="4957"/>
  <c r="H8" i="4957"/>
  <c r="H19" i="4957"/>
  <c r="H39" i="4957"/>
  <c r="B23" i="4957"/>
  <c r="H49" i="4957"/>
  <c r="H2" i="4957"/>
  <c r="H15" i="4957"/>
  <c r="H24" i="4957"/>
  <c r="H21" i="4957"/>
  <c r="H4" i="4957"/>
  <c r="H11" i="4957"/>
  <c r="C17" i="4957"/>
  <c r="H32" i="4957"/>
  <c r="H20" i="4957"/>
  <c r="H16" i="4957"/>
  <c r="C18" i="4957"/>
  <c r="H42" i="4957"/>
  <c r="H17" i="4957"/>
  <c r="H37" i="4957"/>
  <c r="H38" i="4957"/>
  <c r="H48" i="4957"/>
  <c r="H40" i="4957"/>
  <c r="H6" i="4957"/>
  <c r="H27" i="4957"/>
  <c r="H30" i="4957"/>
  <c r="H26" i="4957"/>
  <c r="H41" i="4957"/>
  <c r="H50" i="4957"/>
  <c r="H3" i="4957"/>
  <c r="H10" i="4957"/>
  <c r="H28" i="4957"/>
  <c r="H33" i="4957"/>
  <c r="H22" i="4957"/>
  <c r="C19" i="4957"/>
  <c r="H12" i="4957"/>
  <c r="H34" i="4957"/>
  <c r="H44" i="4957"/>
  <c r="H5" i="4957"/>
  <c r="H29" i="4957"/>
  <c r="H25" i="4957"/>
  <c r="H35" i="4957"/>
  <c r="H43" i="4957"/>
  <c r="H23" i="4953"/>
  <c r="H11" i="4953"/>
  <c r="B23" i="4953"/>
  <c r="H7" i="4953"/>
  <c r="H28" i="4953"/>
  <c r="C18" i="4953"/>
  <c r="H49" i="4953"/>
  <c r="H33" i="4953"/>
  <c r="H32" i="4953"/>
  <c r="H35" i="4953"/>
  <c r="H47" i="4953"/>
  <c r="H4" i="4953"/>
  <c r="H16" i="4953"/>
  <c r="C19" i="4953"/>
  <c r="H30" i="4953"/>
  <c r="H21" i="4953"/>
  <c r="H15" i="4953"/>
  <c r="H2" i="4953"/>
  <c r="H24" i="4953"/>
  <c r="H37" i="4953"/>
  <c r="H13" i="4953"/>
  <c r="H38" i="4953"/>
  <c r="H10" i="4953"/>
  <c r="H6" i="4953"/>
  <c r="H20" i="4953"/>
  <c r="H12" i="4953"/>
  <c r="H42" i="4953"/>
  <c r="H37" i="4955"/>
  <c r="H2" i="4955"/>
  <c r="H28" i="4955"/>
  <c r="H45" i="4955"/>
  <c r="H15" i="4955"/>
  <c r="H46" i="4955"/>
  <c r="H3" i="4955"/>
  <c r="H47" i="4955"/>
  <c r="H14" i="4955"/>
  <c r="H9" i="4955"/>
  <c r="C17" i="4955"/>
  <c r="H32" i="4955"/>
  <c r="H24" i="4955"/>
  <c r="H39" i="4955"/>
  <c r="H48" i="4955"/>
  <c r="H49" i="4955"/>
  <c r="H38" i="4955"/>
  <c r="H17" i="4955"/>
  <c r="H6" i="4955"/>
  <c r="H29" i="4955"/>
  <c r="H41" i="4955"/>
  <c r="H4" i="4955"/>
  <c r="H30" i="4955"/>
  <c r="H42" i="4955"/>
  <c r="H19" i="4955"/>
  <c r="H20" i="4955"/>
  <c r="H22" i="4955"/>
  <c r="B23" i="4955"/>
  <c r="H40" i="4955"/>
  <c r="H18" i="4955"/>
  <c r="C18" i="4955"/>
  <c r="H33" i="4955"/>
  <c r="H25" i="4955"/>
  <c r="H50" i="4955"/>
  <c r="H12" i="4955"/>
  <c r="H26" i="4955"/>
  <c r="H21" i="4955"/>
  <c r="C19" i="4955"/>
  <c r="H11" i="4955"/>
  <c r="H35" i="4955"/>
  <c r="H44" i="4955"/>
  <c r="H5" i="4955"/>
  <c r="H31" i="4955"/>
  <c r="H34" i="4955"/>
  <c r="H27" i="4955"/>
  <c r="H43" i="4955"/>
  <c r="H27" i="4953"/>
  <c r="H36" i="4953"/>
  <c r="H50" i="4953"/>
  <c r="H9" i="4953"/>
  <c r="H39" i="4953"/>
  <c r="H18" i="4953"/>
  <c r="H3" i="4953"/>
  <c r="H14" i="4953"/>
  <c r="H8" i="4953"/>
  <c r="H19" i="4953"/>
  <c r="C17" i="4953"/>
  <c r="H26" i="4953"/>
  <c r="H29" i="4953"/>
  <c r="H41" i="4953"/>
  <c r="H5" i="4953"/>
  <c r="H46" i="4953"/>
  <c r="H22" i="4953"/>
  <c r="H40" i="4953"/>
  <c r="H48" i="4953"/>
  <c r="H34" i="4953"/>
  <c r="H25" i="4953"/>
  <c r="H31" i="4953"/>
  <c r="H43" i="4953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<sst xmlns="http://schemas.openxmlformats.org/spreadsheetml/2006/main" count="2676" uniqueCount="208">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</sst>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全体!$K$2:$K$266</c:f>
              <c:numCache>
                <c:formatCode>General</c:formatCode>
                <c:ptCount val="2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</c:numCache>
            </c:numRef>
          </c:xVal>
          <c:yVal>
            <c:numRef>
              <c:f>全体!$L$2:$L$266</c:f>
              <c:numCache>
                <c:formatCode>\+0.0;\-0.0;\±0</c:formatCode>
                <c:ptCount val="26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08-44AC-A816-88E11D083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-18.939393939393938</c:v>
                </c:pt>
                <c:pt idx="1">
                  <c:v>-11.494252873563218</c:v>
                </c:pt>
                <c:pt idx="2">
                  <c:v>16.460905349794238</c:v>
                </c:pt>
                <c:pt idx="3">
                  <c:v>13.698630136986301</c:v>
                </c:pt>
                <c:pt idx="4">
                  <c:v>-24.875621890547265</c:v>
                </c:pt>
                <c:pt idx="5">
                  <c:v>31.746031746031747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22-4B8D-8057-604017DC0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だいち!$L$2:$L$63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1-4482-89CC-50E93E3C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3604.9180327868853</c:v>
                </c:pt>
                <c:pt idx="1">
                  <c:v>3693.3333333333335</c:v>
                </c:pt>
                <c:pt idx="2">
                  <c:v>3062.5</c:v>
                </c:pt>
                <c:pt idx="3">
                  <c:v>5732.6530612244896</c:v>
                </c:pt>
                <c:pt idx="4">
                  <c:v>1188.6363636363637</c:v>
                </c:pt>
                <c:pt idx="5">
                  <c:v>834.14634146341461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E9-4ED7-8A0C-4C3A13088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りくと!$L$2:$L$64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E-4CD7-8140-CC8652793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1103.2258064516129</c:v>
                </c:pt>
                <c:pt idx="1">
                  <c:v>-1524.5901639344263</c:v>
                </c:pt>
                <c:pt idx="2">
                  <c:v>-1910.1694915254238</c:v>
                </c:pt>
                <c:pt idx="3">
                  <c:v>184.61538461538461</c:v>
                </c:pt>
                <c:pt idx="4">
                  <c:v>1227.0833333333333</c:v>
                </c:pt>
                <c:pt idx="5">
                  <c:v>702.22222222222217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B-448C-8C9E-5785301E1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03-4740-AACC-44561B52B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-3515.3846153846152</c:v>
                </c:pt>
                <c:pt idx="1">
                  <c:v>-4453.8461538461543</c:v>
                </c:pt>
                <c:pt idx="2">
                  <c:v>-3691.304347826087</c:v>
                </c:pt>
                <c:pt idx="3">
                  <c:v>-7305</c:v>
                </c:pt>
                <c:pt idx="4">
                  <c:v>-2405.5555555555557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2-4165-BBF3-0FA980367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れんたろう!$L$2:$L$38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C9-4B22-83F5-E16D182FF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-205.55555555555554</c:v>
                </c:pt>
                <c:pt idx="1">
                  <c:v>852.77777777777783</c:v>
                </c:pt>
                <c:pt idx="2">
                  <c:v>1055.8823529411766</c:v>
                </c:pt>
                <c:pt idx="3">
                  <c:v>-2183.8709677419356</c:v>
                </c:pt>
                <c:pt idx="4">
                  <c:v>-913.79310344827582</c:v>
                </c:pt>
                <c:pt idx="5">
                  <c:v>455.55555555555554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46-42C5-8504-EBB79A789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FA-4704-804C-D142C6FD4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161.53846153846155</c:v>
                </c:pt>
                <c:pt idx="1">
                  <c:v>992.30769230769226</c:v>
                </c:pt>
                <c:pt idx="2">
                  <c:v>2240.909090909091</c:v>
                </c:pt>
                <c:pt idx="3">
                  <c:v>1405</c:v>
                </c:pt>
                <c:pt idx="4">
                  <c:v>-4752.6315789473683</c:v>
                </c:pt>
                <c:pt idx="5">
                  <c:v>-1076.4705882352941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DA-4F42-BCD2-D412E2D67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09-42D6-99D2-1BB23B92B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-3575</c:v>
                </c:pt>
                <c:pt idx="1">
                  <c:v>-745.83333333333337</c:v>
                </c:pt>
                <c:pt idx="2">
                  <c:v>-2377.2727272727275</c:v>
                </c:pt>
                <c:pt idx="3">
                  <c:v>-3452.3809523809523</c:v>
                </c:pt>
                <c:pt idx="4">
                  <c:v>1684.2105263157894</c:v>
                </c:pt>
                <c:pt idx="5">
                  <c:v>-633.33333333333337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6C-4E7F-B193-D4DB80F60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AA-46EC-9064-1FCBBE965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CB-4779-BBEB-CEE9CA2AC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EF-4CE5-86F2-B1A1EF684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1B-414E-8A6E-B218D44C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3E-4341-9F78-5E85368FA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7-4986-96A5-A96805462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7-4EF8-95C3-180AB0438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0-41E3-B6DB-5CCEEFA51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121590383726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983356449375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7.89799072642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29.83870967741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272727272727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2272727272727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02866389274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821544151641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50266429840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3474576271186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310664605873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151A8D-E7EB-4045-887B-E0B168E8C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BD921F-2C81-4EDC-B35D-F7BA3FE84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EBC796-A341-4829-AFB9-E24161878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14144B-F4F1-4264-AE7A-8C1A1FDDDC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6EBF2E-81FD-4BEC-B6AE-725E53B6A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464EF62-4974-4713-A67C-296A0ED30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EEEEC6-B6D4-4CA7-90B8-2733AF8D7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E607E3-BF7C-4B78-A932-ED8FD1EC8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18DCF3-C672-495D-A4E3-78C1DBCED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B0635B-0AFA-40E9-BD33-8455BDD0E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CA8A14-5BAF-4706-8545-35E46411F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14936C-66C2-4B33-943A-C359D2BC49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EA50A7-CA64-4A34-8D38-3607E2C923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918FEF-4DB2-4738-A95C-AD31EA7D3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70A554-6E44-4BD1-B072-B17044F8F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6AFBD4-50AD-40F8-A7D6-04B19A9335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8C8755-7CBB-45BB-8CE8-B3A0A6895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B5EF53-9FB3-4398-9D97-E65D5A2EB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8FEBEE-5DA0-47A1-9EBF-56AA59F74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23CFE4-3EDA-413C-9C1E-80160EEB8A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7CF15D-1A5A-44EA-9A83-1CAE6E0B30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C9BD0B-D756-4F08-BEAC-9185A616F1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43555.865243055552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43557.861886574072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43559.023634259262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43560.077002314814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43561.108229166668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43562.38486111111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43566.4999537037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43565.03292824074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43566.030462962961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43567.091620370367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43568.067812499998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43569.100613425922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43570.006145833337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43571.043113425927</v>
      </c>
      <c r="C16" s="30" t="s">
        <v>130</v>
      </c>
      <c r="D16" s="30" t="s">
        <v>131</v>
      </c>
    </row>
    <row r="17" spans="1:8" x14ac:dyDescent="0.4">
      <c r="A17" s="30" t="s">
        <v>202</v>
      </c>
      <c r="B17" s="31">
        <v>43573.057604166665</v>
      </c>
      <c r="C17" s="30" t="s">
        <v>130</v>
      </c>
      <c r="D17" s="30" t="s">
        <v>131</v>
      </c>
      <c r="E17" s="30" t="s">
        <v>170</v>
      </c>
    </row>
    <row r="18" spans="1:8" x14ac:dyDescent="0.4">
      <c r="A18" s="30" t="s">
        <v>204</v>
      </c>
      <c r="B18" s="31">
        <v>43574.063946759263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  <row r="19" spans="1:8" x14ac:dyDescent="0.4">
      <c r="A19" s="30" t="s">
        <v>205</v>
      </c>
      <c r="B19" s="31">
        <v>43575.082013888888</v>
      </c>
      <c r="C19" s="30" t="s">
        <v>130</v>
      </c>
      <c r="D19" s="30" t="s">
        <v>131</v>
      </c>
      <c r="E19" s="30" t="s">
        <v>170</v>
      </c>
    </row>
    <row r="20" spans="1:8" x14ac:dyDescent="0.4">
      <c r="A20" s="30" t="s">
        <v>206</v>
      </c>
      <c r="B20" s="31">
        <v>43576.05164351852</v>
      </c>
      <c r="C20" s="30" t="s">
        <v>130</v>
      </c>
      <c r="D20" s="30" t="s">
        <v>131</v>
      </c>
      <c r="E20" s="30" t="s">
        <v>170</v>
      </c>
      <c r="F20" s="30" t="s">
        <v>175</v>
      </c>
      <c r="G20" s="30" t="s">
        <v>176</v>
      </c>
      <c r="H20" s="30" t="s">
        <v>188</v>
      </c>
    </row>
    <row r="21" spans="1:8" x14ac:dyDescent="0.4">
      <c r="A21" s="30" t="s">
        <v>207</v>
      </c>
      <c r="B21" s="31">
        <v>43576.739386574074</v>
      </c>
      <c r="C21" s="30" t="s">
        <v>130</v>
      </c>
      <c r="D21" s="30" t="s">
        <v>131</v>
      </c>
      <c r="E21" s="30" t="s">
        <v>170</v>
      </c>
      <c r="F21" s="30" t="s">
        <v>175</v>
      </c>
      <c r="G21" s="30" t="s">
        <v>176</v>
      </c>
      <c r="H21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  <c r="AJ1" s="156" t="s">
        <v>163</v>
      </c>
      <c r="AK1" s="157"/>
    </row>
    <row r="2" spans="1:37" x14ac:dyDescent="0.4">
      <c r="A2" s="72" t="s">
        <v>161</v>
      </c>
      <c r="B2" s="158"/>
      <c r="C2" s="159"/>
      <c r="D2" s="158"/>
      <c r="E2" s="159"/>
      <c r="F2" s="160">
        <v>0.98687084251343526</v>
      </c>
      <c r="G2" s="161"/>
      <c r="H2" s="160">
        <v>0.92354478794197503</v>
      </c>
      <c r="I2" s="161"/>
      <c r="J2" s="160">
        <v>0.96223402919209478</v>
      </c>
      <c r="K2" s="161"/>
      <c r="L2" s="160">
        <v>0.91122153127739935</v>
      </c>
      <c r="M2" s="161"/>
      <c r="N2" s="160">
        <v>0.85711105440227042</v>
      </c>
      <c r="O2" s="161"/>
      <c r="P2" s="160">
        <v>0.55013035119574016</v>
      </c>
      <c r="Q2" s="161"/>
      <c r="R2" s="160">
        <v>0.56289176199349766</v>
      </c>
      <c r="S2" s="161"/>
      <c r="T2" s="160">
        <v>0.81592512535788386</v>
      </c>
      <c r="U2" s="161"/>
      <c r="V2" s="160">
        <v>0.92031861147570526</v>
      </c>
      <c r="W2" s="161"/>
      <c r="X2" s="160">
        <v>0.64924827043220756</v>
      </c>
      <c r="Y2" s="161"/>
      <c r="Z2" s="160">
        <v>0.45293696117516641</v>
      </c>
      <c r="AA2" s="161"/>
      <c r="AB2" s="160">
        <v>0.88051335449254275</v>
      </c>
      <c r="AC2" s="161"/>
      <c r="AD2" s="160">
        <v>0.89566491751960076</v>
      </c>
      <c r="AE2" s="161"/>
      <c r="AF2" s="160">
        <v>-0.58082826715311031</v>
      </c>
      <c r="AG2" s="161"/>
      <c r="AH2" s="160">
        <v>0.91837276251237721</v>
      </c>
      <c r="AI2" s="161"/>
      <c r="AJ2" s="160">
        <v>-0.19764757765831559</v>
      </c>
      <c r="AK2" s="161"/>
    </row>
    <row r="3" spans="1:37" x14ac:dyDescent="0.4">
      <c r="A3" s="74">
        <v>1</v>
      </c>
      <c r="B3" s="75" t="s">
        <v>127</v>
      </c>
      <c r="C3" s="76">
        <v>1585.4000000000003</v>
      </c>
      <c r="D3" s="77" t="s">
        <v>127</v>
      </c>
      <c r="E3" s="98">
        <v>25.990163934426235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0.41249999999999998</v>
      </c>
      <c r="N3" s="77" t="s">
        <v>186</v>
      </c>
      <c r="O3" s="80">
        <v>0.10526315789473684</v>
      </c>
      <c r="P3" s="77" t="s">
        <v>203</v>
      </c>
      <c r="Q3" s="81">
        <v>9555.5555555555547</v>
      </c>
      <c r="R3" s="77" t="s">
        <v>186</v>
      </c>
      <c r="S3" s="81">
        <v>-5150</v>
      </c>
      <c r="T3" s="77" t="s">
        <v>186</v>
      </c>
      <c r="U3" s="79">
        <v>0</v>
      </c>
      <c r="V3" s="77" t="s">
        <v>127</v>
      </c>
      <c r="W3" s="79">
        <v>0.22950819672131148</v>
      </c>
      <c r="X3" s="77" t="s">
        <v>127</v>
      </c>
      <c r="Y3" s="80">
        <v>0.33124999999999999</v>
      </c>
      <c r="Z3" s="77" t="s">
        <v>173</v>
      </c>
      <c r="AA3" s="80">
        <v>0.32710280373831774</v>
      </c>
      <c r="AB3" s="77" t="s">
        <v>187</v>
      </c>
      <c r="AC3" s="80">
        <v>0.7142857142857143</v>
      </c>
      <c r="AD3" s="77" t="s">
        <v>127</v>
      </c>
      <c r="AE3" s="80">
        <v>0.57391304347826089</v>
      </c>
      <c r="AF3" s="77" t="s">
        <v>203</v>
      </c>
      <c r="AG3" s="80">
        <v>0.66666666666666663</v>
      </c>
      <c r="AH3" s="77" t="s">
        <v>127</v>
      </c>
      <c r="AI3" s="93">
        <v>116000</v>
      </c>
      <c r="AJ3" s="77" t="s">
        <v>145</v>
      </c>
      <c r="AK3" s="82">
        <v>8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1.5081967213114753</v>
      </c>
      <c r="H4" s="86" t="s">
        <v>127</v>
      </c>
      <c r="I4" s="88">
        <v>0.62295081967213117</v>
      </c>
      <c r="J4" s="86" t="s">
        <v>203</v>
      </c>
      <c r="K4" s="88">
        <v>0</v>
      </c>
      <c r="L4" s="86" t="s">
        <v>173</v>
      </c>
      <c r="M4" s="89">
        <v>0.34579439252336447</v>
      </c>
      <c r="N4" s="86" t="s">
        <v>127</v>
      </c>
      <c r="O4" s="89">
        <v>0.13541666666666666</v>
      </c>
      <c r="P4" s="86" t="s">
        <v>127</v>
      </c>
      <c r="Q4" s="90">
        <v>9479.2929292929293</v>
      </c>
      <c r="R4" s="86" t="s">
        <v>203</v>
      </c>
      <c r="S4" s="90">
        <v>-5866.666666666667</v>
      </c>
      <c r="T4" s="86" t="s">
        <v>203</v>
      </c>
      <c r="U4" s="88">
        <v>0</v>
      </c>
      <c r="V4" s="86" t="s">
        <v>173</v>
      </c>
      <c r="W4" s="88">
        <v>0.11538461538461539</v>
      </c>
      <c r="X4" s="86" t="s">
        <v>203</v>
      </c>
      <c r="Y4" s="89">
        <v>0.30555555555555558</v>
      </c>
      <c r="Z4" s="86" t="s">
        <v>178</v>
      </c>
      <c r="AA4" s="89">
        <v>0.29203539823008851</v>
      </c>
      <c r="AB4" s="86" t="s">
        <v>127</v>
      </c>
      <c r="AC4" s="89">
        <v>0.62893081761006286</v>
      </c>
      <c r="AD4" s="86" t="s">
        <v>186</v>
      </c>
      <c r="AE4" s="89">
        <v>0.5</v>
      </c>
      <c r="AF4" s="86" t="s">
        <v>129</v>
      </c>
      <c r="AG4" s="89">
        <v>0.51219512195121952</v>
      </c>
      <c r="AH4" s="86" t="s">
        <v>145</v>
      </c>
      <c r="AI4" s="94">
        <v>116000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173</v>
      </c>
      <c r="C5" s="85">
        <v>32.900000000000006</v>
      </c>
      <c r="D5" s="86" t="s">
        <v>203</v>
      </c>
      <c r="E5" s="99">
        <v>4.8499999999999988</v>
      </c>
      <c r="F5" s="86" t="s">
        <v>203</v>
      </c>
      <c r="G5" s="87">
        <v>1.75</v>
      </c>
      <c r="H5" s="86" t="s">
        <v>178</v>
      </c>
      <c r="I5" s="88">
        <v>0.33333333333333331</v>
      </c>
      <c r="J5" s="86" t="s">
        <v>127</v>
      </c>
      <c r="K5" s="88">
        <v>0.13114754098360656</v>
      </c>
      <c r="L5" s="86" t="s">
        <v>145</v>
      </c>
      <c r="M5" s="89">
        <v>0.29912159038372632</v>
      </c>
      <c r="N5" s="86" t="s">
        <v>173</v>
      </c>
      <c r="O5" s="89">
        <v>0.14018691588785046</v>
      </c>
      <c r="P5" s="86" t="s">
        <v>128</v>
      </c>
      <c r="Q5" s="90">
        <v>9083.9160839160832</v>
      </c>
      <c r="R5" s="86" t="s">
        <v>172</v>
      </c>
      <c r="S5" s="90">
        <v>-7222.4489795918371</v>
      </c>
      <c r="T5" s="86" t="s">
        <v>172</v>
      </c>
      <c r="U5" s="88">
        <v>2.7777777777777776E-2</v>
      </c>
      <c r="V5" s="86" t="s">
        <v>172</v>
      </c>
      <c r="W5" s="88">
        <v>0.1111111111111111</v>
      </c>
      <c r="X5" s="86" t="s">
        <v>128</v>
      </c>
      <c r="Y5" s="89">
        <v>0.26862745098039215</v>
      </c>
      <c r="Z5" s="86" t="s">
        <v>203</v>
      </c>
      <c r="AA5" s="89">
        <v>0.27777777777777779</v>
      </c>
      <c r="AB5" s="86" t="s">
        <v>128</v>
      </c>
      <c r="AC5" s="89">
        <v>0.62773722627737227</v>
      </c>
      <c r="AD5" s="86" t="s">
        <v>173</v>
      </c>
      <c r="AE5" s="89">
        <v>0.41428571428571431</v>
      </c>
      <c r="AF5" s="86" t="s">
        <v>174</v>
      </c>
      <c r="AG5" s="89">
        <v>0.5</v>
      </c>
      <c r="AH5" s="86" t="s">
        <v>173</v>
      </c>
      <c r="AI5" s="94">
        <v>95700</v>
      </c>
      <c r="AJ5" s="86" t="s">
        <v>129</v>
      </c>
      <c r="AK5" s="91">
        <v>1</v>
      </c>
    </row>
    <row r="6" spans="1:37" x14ac:dyDescent="0.4">
      <c r="A6" s="83">
        <v>4</v>
      </c>
      <c r="B6" s="84" t="s">
        <v>203</v>
      </c>
      <c r="C6" s="85">
        <v>19.399999999999995</v>
      </c>
      <c r="D6" s="86" t="s">
        <v>173</v>
      </c>
      <c r="E6" s="99">
        <v>1.2653846153846156</v>
      </c>
      <c r="F6" s="86" t="s">
        <v>145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0.30645161290322581</v>
      </c>
      <c r="L6" s="86" t="s">
        <v>174</v>
      </c>
      <c r="M6" s="89">
        <v>0.28837209302325584</v>
      </c>
      <c r="N6" s="86" t="s">
        <v>172</v>
      </c>
      <c r="O6" s="89">
        <v>0.15960912052117263</v>
      </c>
      <c r="P6" s="86" t="s">
        <v>172</v>
      </c>
      <c r="Q6" s="90">
        <v>8487.8378378378384</v>
      </c>
      <c r="R6" s="86" t="s">
        <v>178</v>
      </c>
      <c r="S6" s="90">
        <v>-7250</v>
      </c>
      <c r="T6" s="86" t="s">
        <v>127</v>
      </c>
      <c r="U6" s="88">
        <v>3.2786885245901641E-2</v>
      </c>
      <c r="V6" s="86" t="s">
        <v>145</v>
      </c>
      <c r="W6" s="88">
        <v>0.10227272727272728</v>
      </c>
      <c r="X6" s="86" t="s">
        <v>186</v>
      </c>
      <c r="Y6" s="89">
        <v>0.26315789473684209</v>
      </c>
      <c r="Z6" s="86" t="s">
        <v>127</v>
      </c>
      <c r="AA6" s="89">
        <v>0.23958333333333334</v>
      </c>
      <c r="AB6" s="86" t="s">
        <v>186</v>
      </c>
      <c r="AC6" s="89">
        <v>0.6</v>
      </c>
      <c r="AD6" s="86" t="s">
        <v>178</v>
      </c>
      <c r="AE6" s="89">
        <v>0.39393939393939392</v>
      </c>
      <c r="AF6" s="86" t="s">
        <v>187</v>
      </c>
      <c r="AG6" s="89">
        <v>0.5</v>
      </c>
      <c r="AH6" s="86" t="s">
        <v>128</v>
      </c>
      <c r="AI6" s="94">
        <v>94000</v>
      </c>
      <c r="AJ6" s="86" t="s">
        <v>172</v>
      </c>
      <c r="AK6" s="91">
        <v>1</v>
      </c>
    </row>
    <row r="7" spans="1:37" x14ac:dyDescent="0.4">
      <c r="A7" s="83">
        <v>5</v>
      </c>
      <c r="B7" s="84" t="s">
        <v>145</v>
      </c>
      <c r="C7" s="85">
        <v>0</v>
      </c>
      <c r="D7" s="86" t="s">
        <v>145</v>
      </c>
      <c r="E7" s="99">
        <v>0</v>
      </c>
      <c r="F7" s="86" t="s">
        <v>173</v>
      </c>
      <c r="G7" s="87">
        <v>2.0384615384615383</v>
      </c>
      <c r="H7" s="86" t="s">
        <v>173</v>
      </c>
      <c r="I7" s="88">
        <v>0.30769230769230771</v>
      </c>
      <c r="J7" s="86" t="s">
        <v>145</v>
      </c>
      <c r="K7" s="88">
        <v>0.33333333333333331</v>
      </c>
      <c r="L7" s="86" t="s">
        <v>128</v>
      </c>
      <c r="M7" s="89">
        <v>0.2803921568627451</v>
      </c>
      <c r="N7" s="86" t="s">
        <v>203</v>
      </c>
      <c r="O7" s="89">
        <v>0.16666666666666666</v>
      </c>
      <c r="P7" s="86" t="s">
        <v>145</v>
      </c>
      <c r="Q7" s="90">
        <v>8377.8979907264293</v>
      </c>
      <c r="R7" s="86" t="s">
        <v>128</v>
      </c>
      <c r="S7" s="90">
        <v>-7253.9325842696626</v>
      </c>
      <c r="T7" s="86" t="s">
        <v>173</v>
      </c>
      <c r="U7" s="88">
        <v>7.6923076923076927E-2</v>
      </c>
      <c r="V7" s="86" t="s">
        <v>128</v>
      </c>
      <c r="W7" s="88">
        <v>8.0645161290322578E-2</v>
      </c>
      <c r="X7" s="86" t="s">
        <v>145</v>
      </c>
      <c r="Y7" s="89">
        <v>0.2602866389274156</v>
      </c>
      <c r="Z7" s="86" t="s">
        <v>187</v>
      </c>
      <c r="AA7" s="89">
        <v>0.22807017543859648</v>
      </c>
      <c r="AB7" s="86" t="s">
        <v>145</v>
      </c>
      <c r="AC7" s="89">
        <v>0.5950266429840142</v>
      </c>
      <c r="AD7" s="86" t="s">
        <v>187</v>
      </c>
      <c r="AE7" s="89">
        <v>0.38461538461538464</v>
      </c>
      <c r="AF7" s="86" t="s">
        <v>173</v>
      </c>
      <c r="AG7" s="89">
        <v>0.41891891891891891</v>
      </c>
      <c r="AH7" s="86" t="s">
        <v>172</v>
      </c>
      <c r="AI7" s="94">
        <v>91700</v>
      </c>
      <c r="AJ7" s="86" t="s">
        <v>174</v>
      </c>
      <c r="AK7" s="91">
        <v>1</v>
      </c>
    </row>
    <row r="8" spans="1:37" x14ac:dyDescent="0.4">
      <c r="A8" s="83">
        <v>6</v>
      </c>
      <c r="B8" s="84" t="s">
        <v>128</v>
      </c>
      <c r="C8" s="85">
        <v>-97.200000000000045</v>
      </c>
      <c r="D8" s="86" t="s">
        <v>128</v>
      </c>
      <c r="E8" s="99">
        <v>-1.5677419354838718</v>
      </c>
      <c r="F8" s="86" t="s">
        <v>128</v>
      </c>
      <c r="G8" s="87">
        <v>2.0483870967741935</v>
      </c>
      <c r="H8" s="86" t="s">
        <v>128</v>
      </c>
      <c r="I8" s="88">
        <v>0.25806451612903225</v>
      </c>
      <c r="J8" s="86" t="s">
        <v>173</v>
      </c>
      <c r="K8" s="88">
        <v>0.34615384615384615</v>
      </c>
      <c r="L8" s="86" t="s">
        <v>186</v>
      </c>
      <c r="M8" s="89">
        <v>0.26315789473684209</v>
      </c>
      <c r="N8" s="86" t="s">
        <v>145</v>
      </c>
      <c r="O8" s="89">
        <v>0.17198335644937587</v>
      </c>
      <c r="P8" s="86" t="s">
        <v>186</v>
      </c>
      <c r="Q8" s="90">
        <v>7860</v>
      </c>
      <c r="R8" s="86" t="s">
        <v>127</v>
      </c>
      <c r="S8" s="90">
        <v>-7740</v>
      </c>
      <c r="T8" s="86" t="s">
        <v>145</v>
      </c>
      <c r="U8" s="88">
        <v>0.10227272727272728</v>
      </c>
      <c r="V8" s="86" t="s">
        <v>174</v>
      </c>
      <c r="W8" s="88">
        <v>4.1666666666666664E-2</v>
      </c>
      <c r="X8" s="86" t="s">
        <v>129</v>
      </c>
      <c r="Y8" s="89">
        <v>0.24528301886792453</v>
      </c>
      <c r="Z8" s="86" t="s">
        <v>174</v>
      </c>
      <c r="AA8" s="89">
        <v>0.22790697674418606</v>
      </c>
      <c r="AB8" s="86" t="s">
        <v>173</v>
      </c>
      <c r="AC8" s="89">
        <v>0.57999999999999996</v>
      </c>
      <c r="AD8" s="86" t="s">
        <v>145</v>
      </c>
      <c r="AE8" s="89">
        <v>0.38347457627118642</v>
      </c>
      <c r="AF8" s="86" t="s">
        <v>145</v>
      </c>
      <c r="AG8" s="89">
        <v>0.41731066460587324</v>
      </c>
      <c r="AH8" s="86" t="s">
        <v>178</v>
      </c>
      <c r="AI8" s="94">
        <v>65000</v>
      </c>
      <c r="AJ8" s="86" t="s">
        <v>178</v>
      </c>
      <c r="AK8" s="91">
        <v>1</v>
      </c>
    </row>
    <row r="9" spans="1:37" x14ac:dyDescent="0.4">
      <c r="A9" s="83">
        <v>7</v>
      </c>
      <c r="B9" s="84" t="s">
        <v>172</v>
      </c>
      <c r="C9" s="85">
        <v>-130.69999999999999</v>
      </c>
      <c r="D9" s="86" t="s">
        <v>172</v>
      </c>
      <c r="E9" s="99">
        <v>-3.6305555555555551</v>
      </c>
      <c r="F9" s="86" t="s">
        <v>178</v>
      </c>
      <c r="G9" s="87">
        <v>2.1333333333333333</v>
      </c>
      <c r="H9" s="86" t="s">
        <v>172</v>
      </c>
      <c r="I9" s="88">
        <v>0.25</v>
      </c>
      <c r="J9" s="86" t="s">
        <v>174</v>
      </c>
      <c r="K9" s="88">
        <v>0.375</v>
      </c>
      <c r="L9" s="86" t="s">
        <v>178</v>
      </c>
      <c r="M9" s="89">
        <v>0.25663716814159293</v>
      </c>
      <c r="N9" s="86" t="s">
        <v>128</v>
      </c>
      <c r="O9" s="89">
        <v>0.17450980392156862</v>
      </c>
      <c r="P9" s="86" t="s">
        <v>129</v>
      </c>
      <c r="Q9" s="90">
        <v>7680.4878048780483</v>
      </c>
      <c r="R9" s="86" t="s">
        <v>145</v>
      </c>
      <c r="S9" s="90">
        <v>-8029.8387096774195</v>
      </c>
      <c r="T9" s="86" t="s">
        <v>174</v>
      </c>
      <c r="U9" s="88">
        <v>0.125</v>
      </c>
      <c r="V9" s="86" t="s">
        <v>129</v>
      </c>
      <c r="W9" s="88">
        <v>0</v>
      </c>
      <c r="X9" s="86" t="s">
        <v>172</v>
      </c>
      <c r="Y9" s="89">
        <v>0.24429967426710097</v>
      </c>
      <c r="Z9" s="86" t="s">
        <v>145</v>
      </c>
      <c r="AA9" s="89">
        <v>0.2182154415164124</v>
      </c>
      <c r="AB9" s="86" t="s">
        <v>172</v>
      </c>
      <c r="AC9" s="89">
        <v>0.57333333333333336</v>
      </c>
      <c r="AD9" s="86" t="s">
        <v>174</v>
      </c>
      <c r="AE9" s="89">
        <v>0.32653061224489793</v>
      </c>
      <c r="AF9" s="86" t="s">
        <v>128</v>
      </c>
      <c r="AG9" s="89">
        <v>0.40559440559440557</v>
      </c>
      <c r="AH9" s="86" t="s">
        <v>174</v>
      </c>
      <c r="AI9" s="94">
        <v>58900</v>
      </c>
      <c r="AJ9" s="86" t="s">
        <v>127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178</v>
      </c>
      <c r="E10" s="99">
        <v>-9.7466666666666661</v>
      </c>
      <c r="F10" s="86" t="s">
        <v>172</v>
      </c>
      <c r="G10" s="87">
        <v>2.1388888888888888</v>
      </c>
      <c r="H10" s="86" t="s">
        <v>203</v>
      </c>
      <c r="I10" s="88">
        <v>0.25</v>
      </c>
      <c r="J10" s="86" t="s">
        <v>172</v>
      </c>
      <c r="K10" s="88">
        <v>0.3888888888888889</v>
      </c>
      <c r="L10" s="86" t="s">
        <v>203</v>
      </c>
      <c r="M10" s="89">
        <v>0.25</v>
      </c>
      <c r="N10" s="86" t="s">
        <v>178</v>
      </c>
      <c r="O10" s="89">
        <v>0.17699115044247787</v>
      </c>
      <c r="P10" s="86" t="s">
        <v>173</v>
      </c>
      <c r="Q10" s="90">
        <v>6987.8378378378375</v>
      </c>
      <c r="R10" s="86" t="s">
        <v>174</v>
      </c>
      <c r="S10" s="90">
        <v>-8182.9787234042551</v>
      </c>
      <c r="T10" s="86" t="s">
        <v>128</v>
      </c>
      <c r="U10" s="88">
        <v>0.12903225806451613</v>
      </c>
      <c r="V10" s="86" t="s">
        <v>178</v>
      </c>
      <c r="W10" s="88">
        <v>0</v>
      </c>
      <c r="X10" s="86" t="s">
        <v>173</v>
      </c>
      <c r="Y10" s="89">
        <v>0.23364485981308411</v>
      </c>
      <c r="Z10" s="86" t="s">
        <v>186</v>
      </c>
      <c r="AA10" s="89">
        <v>0.21052631578947367</v>
      </c>
      <c r="AB10" s="86" t="s">
        <v>174</v>
      </c>
      <c r="AC10" s="89">
        <v>0.55319148936170215</v>
      </c>
      <c r="AD10" s="86" t="s">
        <v>172</v>
      </c>
      <c r="AE10" s="89">
        <v>0.30769230769230771</v>
      </c>
      <c r="AF10" s="86" t="s">
        <v>127</v>
      </c>
      <c r="AG10" s="89">
        <v>0.39898989898989901</v>
      </c>
      <c r="AH10" s="86" t="s">
        <v>203</v>
      </c>
      <c r="AI10" s="94">
        <v>54800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187</v>
      </c>
      <c r="C11" s="85">
        <v>-218.2</v>
      </c>
      <c r="D11" s="86" t="s">
        <v>174</v>
      </c>
      <c r="E11" s="99">
        <v>-11.995833333333332</v>
      </c>
      <c r="F11" s="86" t="s">
        <v>174</v>
      </c>
      <c r="G11" s="87">
        <v>2.1666666666666665</v>
      </c>
      <c r="H11" s="86" t="s">
        <v>174</v>
      </c>
      <c r="I11" s="88">
        <v>0.20833333333333334</v>
      </c>
      <c r="J11" s="86" t="s">
        <v>178</v>
      </c>
      <c r="K11" s="88">
        <v>0.46666666666666667</v>
      </c>
      <c r="L11" s="86" t="s">
        <v>172</v>
      </c>
      <c r="M11" s="89">
        <v>0.24104234527687296</v>
      </c>
      <c r="N11" s="86" t="s">
        <v>174</v>
      </c>
      <c r="O11" s="89">
        <v>0.21860465116279071</v>
      </c>
      <c r="P11" s="86" t="s">
        <v>187</v>
      </c>
      <c r="Q11" s="90">
        <v>6500</v>
      </c>
      <c r="R11" s="86" t="s">
        <v>187</v>
      </c>
      <c r="S11" s="90">
        <v>-8762.5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174</v>
      </c>
      <c r="Y11" s="89">
        <v>0.21860465116279071</v>
      </c>
      <c r="Z11" s="86" t="s">
        <v>128</v>
      </c>
      <c r="AA11" s="89">
        <v>0.19607843137254902</v>
      </c>
      <c r="AB11" s="86" t="s">
        <v>178</v>
      </c>
      <c r="AC11" s="89">
        <v>0.55000000000000004</v>
      </c>
      <c r="AD11" s="86" t="s">
        <v>203</v>
      </c>
      <c r="AE11" s="89">
        <v>0.3</v>
      </c>
      <c r="AF11" s="86" t="s">
        <v>178</v>
      </c>
      <c r="AG11" s="89">
        <v>0.37931034482758619</v>
      </c>
      <c r="AH11" s="86" t="s">
        <v>186</v>
      </c>
      <c r="AI11" s="94">
        <v>53500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174</v>
      </c>
      <c r="C12" s="85">
        <v>-287.89999999999998</v>
      </c>
      <c r="D12" s="86" t="s">
        <v>187</v>
      </c>
      <c r="E12" s="99">
        <v>-31.171428571428571</v>
      </c>
      <c r="F12" s="86" t="s">
        <v>129</v>
      </c>
      <c r="G12" s="87">
        <v>2.5384615384615383</v>
      </c>
      <c r="H12" s="86" t="s">
        <v>187</v>
      </c>
      <c r="I12" s="88">
        <v>0.14285714285714285</v>
      </c>
      <c r="J12" s="86" t="s">
        <v>129</v>
      </c>
      <c r="K12" s="88">
        <v>0.65384615384615385</v>
      </c>
      <c r="L12" s="86" t="s">
        <v>187</v>
      </c>
      <c r="M12" s="89">
        <v>0.21052631578947367</v>
      </c>
      <c r="N12" s="86" t="s">
        <v>129</v>
      </c>
      <c r="O12" s="89">
        <v>0.22641509433962265</v>
      </c>
      <c r="P12" s="86" t="s">
        <v>174</v>
      </c>
      <c r="Q12" s="90">
        <v>6398.3870967741932</v>
      </c>
      <c r="R12" s="86" t="s">
        <v>173</v>
      </c>
      <c r="S12" s="90">
        <v>-8900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172</v>
      </c>
      <c r="AA12" s="89">
        <v>0.16938110749185667</v>
      </c>
      <c r="AB12" s="86" t="s">
        <v>203</v>
      </c>
      <c r="AC12" s="89">
        <v>0.54545454545454541</v>
      </c>
      <c r="AD12" s="86" t="s">
        <v>128</v>
      </c>
      <c r="AE12" s="89">
        <v>0.27</v>
      </c>
      <c r="AF12" s="86" t="s">
        <v>172</v>
      </c>
      <c r="AG12" s="89">
        <v>0.35135135135135137</v>
      </c>
      <c r="AH12" s="86" t="s">
        <v>129</v>
      </c>
      <c r="AI12" s="94">
        <v>52200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-818.49999999999989</v>
      </c>
      <c r="D13" s="86" t="s">
        <v>129</v>
      </c>
      <c r="E13" s="99">
        <v>-31.480769230769226</v>
      </c>
      <c r="F13" s="86" t="s">
        <v>187</v>
      </c>
      <c r="G13" s="87">
        <v>2.5714285714285716</v>
      </c>
      <c r="H13" s="86" t="s">
        <v>129</v>
      </c>
      <c r="I13" s="88">
        <v>0.11538461538461539</v>
      </c>
      <c r="J13" s="86" t="s">
        <v>187</v>
      </c>
      <c r="K13" s="88">
        <v>0.7142857142857143</v>
      </c>
      <c r="L13" s="86" t="s">
        <v>129</v>
      </c>
      <c r="M13" s="89">
        <v>0.19339622641509435</v>
      </c>
      <c r="N13" s="86" t="s">
        <v>187</v>
      </c>
      <c r="O13" s="89">
        <v>0.2807017543859649</v>
      </c>
      <c r="P13" s="86" t="s">
        <v>178</v>
      </c>
      <c r="Q13" s="90">
        <v>6362.0689655172409</v>
      </c>
      <c r="R13" s="86" t="s">
        <v>129</v>
      </c>
      <c r="S13" s="90">
        <v>-10462.5</v>
      </c>
      <c r="T13" s="86" t="s">
        <v>129</v>
      </c>
      <c r="U13" s="88">
        <v>0.26923076923076922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0.12264150943396226</v>
      </c>
      <c r="AB13" s="86" t="s">
        <v>129</v>
      </c>
      <c r="AC13" s="89">
        <v>0.5</v>
      </c>
      <c r="AD13" s="86" t="s">
        <v>129</v>
      </c>
      <c r="AE13" s="89">
        <v>0.15384615384615385</v>
      </c>
      <c r="AF13" s="86" t="s">
        <v>186</v>
      </c>
      <c r="AG13" s="89">
        <v>0.2</v>
      </c>
      <c r="AH13" s="86" t="s">
        <v>187</v>
      </c>
      <c r="AI13" s="94">
        <v>43600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38D89-9AB0-4B7E-A1EB-FB5CDBCE2F9A}">
  <sheetPr codeName="Sheet4"/>
  <dimension ref="A1:Q266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264</v>
      </c>
      <c r="C2" s="149"/>
      <c r="E2" s="62" t="s">
        <v>67</v>
      </c>
      <c r="F2" s="59" t="s">
        <v>23</v>
      </c>
      <c r="G2" s="46">
        <v>475</v>
      </c>
      <c r="H2" s="134">
        <f>IF(B$17=0,0,G2/B$17)</f>
        <v>0.73415765069551775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-18.939393939393938</v>
      </c>
      <c r="P2" s="120">
        <v>264</v>
      </c>
      <c r="Q2" s="104">
        <v>-5000</v>
      </c>
    </row>
    <row r="3" spans="1:17" x14ac:dyDescent="0.4">
      <c r="A3" s="55" t="s">
        <v>8</v>
      </c>
      <c r="B3" s="150">
        <v>2163</v>
      </c>
      <c r="C3" s="151"/>
      <c r="E3" s="63" t="s">
        <v>73</v>
      </c>
      <c r="F3" s="60" t="s">
        <v>28</v>
      </c>
      <c r="G3" s="47">
        <v>346</v>
      </c>
      <c r="H3" s="135">
        <f>IF(B$17=0,0,G3/B$17)</f>
        <v>0.53477588871715609</v>
      </c>
      <c r="I3" s="96">
        <v>7</v>
      </c>
      <c r="K3" s="38">
        <v>1</v>
      </c>
      <c r="L3" s="101">
        <v>-5.0999999999999996</v>
      </c>
      <c r="N3" s="117" t="s">
        <v>133</v>
      </c>
      <c r="O3" s="124">
        <f t="shared" si="0"/>
        <v>-11.494252873563218</v>
      </c>
      <c r="P3" s="121">
        <v>261</v>
      </c>
      <c r="Q3" s="105">
        <v>-3000</v>
      </c>
    </row>
    <row r="4" spans="1:17" x14ac:dyDescent="0.4">
      <c r="A4" s="55" t="s">
        <v>6</v>
      </c>
      <c r="B4" s="152">
        <v>0</v>
      </c>
      <c r="C4" s="153"/>
      <c r="E4" s="63" t="s">
        <v>65</v>
      </c>
      <c r="F4" s="60" t="s">
        <v>21</v>
      </c>
      <c r="G4" s="47">
        <v>321</v>
      </c>
      <c r="H4" s="135">
        <f>IF(B$17=0,0,G4/B$17)</f>
        <v>0.49613601236476046</v>
      </c>
      <c r="I4" s="96">
        <v>6</v>
      </c>
      <c r="K4" s="38">
        <v>2</v>
      </c>
      <c r="L4" s="101">
        <v>40.4</v>
      </c>
      <c r="N4" s="117" t="s">
        <v>134</v>
      </c>
      <c r="O4" s="124">
        <f t="shared" si="0"/>
        <v>16.460905349794238</v>
      </c>
      <c r="P4" s="121">
        <v>243</v>
      </c>
      <c r="Q4" s="105">
        <v>4000</v>
      </c>
    </row>
    <row r="5" spans="1:17" x14ac:dyDescent="0.4">
      <c r="A5" s="55" t="s">
        <v>7</v>
      </c>
      <c r="B5" s="154">
        <f>IF(B$2=0,0,B$4/B$2)</f>
        <v>0</v>
      </c>
      <c r="C5" s="155"/>
      <c r="E5" s="63" t="s">
        <v>182</v>
      </c>
      <c r="F5" s="60" t="s">
        <v>183</v>
      </c>
      <c r="G5" s="47">
        <v>246</v>
      </c>
      <c r="H5" s="135">
        <f>IF(B$17=0,0,G5/B$17)</f>
        <v>0.3802163833075734</v>
      </c>
      <c r="I5" s="96">
        <v>5</v>
      </c>
      <c r="K5" s="38">
        <v>3</v>
      </c>
      <c r="L5" s="101">
        <v>0</v>
      </c>
      <c r="N5" s="117" t="s">
        <v>135</v>
      </c>
      <c r="O5" s="124">
        <f t="shared" si="0"/>
        <v>13.698630136986301</v>
      </c>
      <c r="P5" s="121">
        <v>219</v>
      </c>
      <c r="Q5" s="105">
        <v>3000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185</v>
      </c>
      <c r="H6" s="135">
        <f>IF(B$17=0,0,G6/B$17)</f>
        <v>0.28593508500772796</v>
      </c>
      <c r="I6" s="96">
        <v>5</v>
      </c>
      <c r="K6" s="38">
        <v>4</v>
      </c>
      <c r="L6" s="101">
        <v>2.2000000000000002</v>
      </c>
      <c r="N6" s="117" t="s">
        <v>136</v>
      </c>
      <c r="O6" s="124">
        <f t="shared" si="0"/>
        <v>-24.875621890547265</v>
      </c>
      <c r="P6" s="121">
        <v>201</v>
      </c>
      <c r="Q6" s="105">
        <v>-5000</v>
      </c>
    </row>
    <row r="7" spans="1:17" x14ac:dyDescent="0.4">
      <c r="A7" s="55" t="s">
        <v>2</v>
      </c>
      <c r="B7" s="47">
        <v>88</v>
      </c>
      <c r="C7" s="39">
        <f>IF(B$2=0,0,B7/B$2)</f>
        <v>0.33333333333333331</v>
      </c>
      <c r="E7" s="63" t="s">
        <v>68</v>
      </c>
      <c r="F7" s="60" t="s">
        <v>24</v>
      </c>
      <c r="G7" s="47">
        <v>183</v>
      </c>
      <c r="H7" s="135">
        <f>IF(B$17=0,0,G7/B$17)</f>
        <v>0.28284389489953632</v>
      </c>
      <c r="I7" s="96">
        <v>6</v>
      </c>
      <c r="K7" s="38">
        <v>5</v>
      </c>
      <c r="L7" s="101">
        <v>-37</v>
      </c>
      <c r="N7" s="118" t="s">
        <v>137</v>
      </c>
      <c r="O7" s="125">
        <f t="shared" si="0"/>
        <v>31.746031746031747</v>
      </c>
      <c r="P7" s="122">
        <v>189</v>
      </c>
      <c r="Q7" s="106">
        <v>6000</v>
      </c>
    </row>
    <row r="8" spans="1:17" x14ac:dyDescent="0.4">
      <c r="A8" s="55" t="s">
        <v>3</v>
      </c>
      <c r="B8" s="47">
        <v>88</v>
      </c>
      <c r="C8" s="39">
        <f>IF(B$2=0,0,B8/B$2)</f>
        <v>0.33333333333333331</v>
      </c>
      <c r="E8" s="63" t="s">
        <v>70</v>
      </c>
      <c r="F8" s="60" t="s">
        <v>25</v>
      </c>
      <c r="G8" s="47">
        <v>117</v>
      </c>
      <c r="H8" s="135">
        <f>IF(B$17=0,0,G8/B$17)</f>
        <v>0.18083462132921174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88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92</v>
      </c>
      <c r="H9" s="135">
        <f>IF(B$17=0,0,G9/B$17)</f>
        <v>0.14219474497681608</v>
      </c>
      <c r="I9" s="96">
        <v>6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27</v>
      </c>
      <c r="C10" s="40">
        <f>IF(B$2=0,0,B10/B$2)</f>
        <v>0.10227272727272728</v>
      </c>
      <c r="E10" s="63" t="s">
        <v>66</v>
      </c>
      <c r="F10" s="60" t="s">
        <v>22</v>
      </c>
      <c r="G10" s="47">
        <v>79</v>
      </c>
      <c r="H10" s="135">
        <f>IF(B$17=0,0,G10/B$17)</f>
        <v>0.12210200927357033</v>
      </c>
      <c r="I10" s="96">
        <v>5</v>
      </c>
      <c r="K10" s="38">
        <v>8</v>
      </c>
      <c r="L10" s="101">
        <v>19.699999999999996</v>
      </c>
      <c r="N10" s="116" t="s">
        <v>165</v>
      </c>
      <c r="O10" s="126">
        <f>IF(P10=0,0,Q10/P10)</f>
        <v>-5.0215909090909099</v>
      </c>
      <c r="P10" s="120">
        <v>88</v>
      </c>
      <c r="Q10" s="108">
        <v>-441.90000000000003</v>
      </c>
    </row>
    <row r="11" spans="1:17" x14ac:dyDescent="0.4">
      <c r="A11" s="56" t="s">
        <v>140</v>
      </c>
      <c r="B11" s="48">
        <v>27</v>
      </c>
      <c r="C11" s="40">
        <f>IF(B$2=0,0,B11/B$2)</f>
        <v>0.10227272727272728</v>
      </c>
      <c r="E11" s="63" t="s">
        <v>71</v>
      </c>
      <c r="F11" s="60" t="s">
        <v>26</v>
      </c>
      <c r="G11" s="47">
        <v>70</v>
      </c>
      <c r="H11" s="135">
        <f>IF(B$17=0,0,G11/B$17)</f>
        <v>0.10819165378670788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-5.7522727272727288</v>
      </c>
      <c r="P11" s="121">
        <v>88</v>
      </c>
      <c r="Q11" s="109">
        <v>-506.2000000000001</v>
      </c>
    </row>
    <row r="12" spans="1:17" x14ac:dyDescent="0.4">
      <c r="A12" s="57" t="s">
        <v>160</v>
      </c>
      <c r="B12" s="49">
        <v>26</v>
      </c>
      <c r="C12" s="42">
        <f>IF(B$2=0,0,B12/B$2)</f>
        <v>9.8484848484848481E-2</v>
      </c>
      <c r="E12" s="63" t="s">
        <v>87</v>
      </c>
      <c r="F12" s="60" t="s">
        <v>42</v>
      </c>
      <c r="G12" s="47">
        <v>43</v>
      </c>
      <c r="H12" s="135">
        <f>IF(B$17=0,0,G12/B$17)</f>
        <v>6.6460587326120563E-2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10.773863636363636</v>
      </c>
      <c r="P12" s="122">
        <v>88</v>
      </c>
      <c r="Q12" s="110">
        <v>948.09999999999991</v>
      </c>
    </row>
    <row r="13" spans="1:17" x14ac:dyDescent="0.4">
      <c r="A13" s="58" t="s">
        <v>122</v>
      </c>
      <c r="B13" s="50">
        <v>563</v>
      </c>
      <c r="C13" s="44">
        <f>IF(B$3=0,0,B13/B$3)</f>
        <v>0.2602866389274156</v>
      </c>
      <c r="E13" s="63" t="s">
        <v>72</v>
      </c>
      <c r="F13" s="60" t="s">
        <v>27</v>
      </c>
      <c r="G13" s="47">
        <v>35</v>
      </c>
      <c r="H13" s="135">
        <f>IF(B$17=0,0,G13/B$17)</f>
        <v>5.4095826893353939E-2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472</v>
      </c>
      <c r="C14" s="39">
        <f>IF(B$3=0,0,B14/B$3)</f>
        <v>0.2182154415164124</v>
      </c>
      <c r="E14" s="63" t="s">
        <v>84</v>
      </c>
      <c r="F14" s="60" t="s">
        <v>39</v>
      </c>
      <c r="G14" s="47">
        <v>27</v>
      </c>
      <c r="H14" s="135">
        <f>IF(B$17=0,0,G14/B$17)</f>
        <v>4.1731066460587329E-2</v>
      </c>
      <c r="I14" s="96">
        <v>4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335</v>
      </c>
      <c r="C15" s="37">
        <f>IF(B$13=0,0,B15/B$13)</f>
        <v>0.5950266429840142</v>
      </c>
      <c r="E15" s="63" t="s">
        <v>82</v>
      </c>
      <c r="F15" s="60" t="s">
        <v>37</v>
      </c>
      <c r="G15" s="47">
        <v>17</v>
      </c>
      <c r="H15" s="135">
        <f>IF(B$17=0,0,G15/B$17)</f>
        <v>2.6275115919629059E-2</v>
      </c>
      <c r="I15" s="96">
        <v>4</v>
      </c>
      <c r="K15" s="38">
        <v>13</v>
      </c>
      <c r="L15" s="101">
        <v>-42.100000000000009</v>
      </c>
      <c r="N15" s="116" t="s">
        <v>129</v>
      </c>
      <c r="O15" s="126">
        <f>IF(P15=0,0,Q15/P15)</f>
        <v>47.221153846153861</v>
      </c>
      <c r="P15" s="120">
        <v>52</v>
      </c>
      <c r="Q15" s="108">
        <v>2455.5000000000009</v>
      </c>
    </row>
    <row r="16" spans="1:17" x14ac:dyDescent="0.4">
      <c r="A16" s="54" t="s">
        <v>125</v>
      </c>
      <c r="B16" s="46">
        <v>181</v>
      </c>
      <c r="C16" s="37">
        <f>IF(B$14=0,0,B16/B$14)</f>
        <v>0.38347457627118642</v>
      </c>
      <c r="E16" s="63" t="s">
        <v>92</v>
      </c>
      <c r="F16" s="60" t="s">
        <v>47</v>
      </c>
      <c r="G16" s="47">
        <v>12</v>
      </c>
      <c r="H16" s="135">
        <f>IF(B$17=0,0,G16/B$17)</f>
        <v>1.8547140649149921E-2</v>
      </c>
      <c r="I16" s="96">
        <v>3</v>
      </c>
      <c r="K16" s="38">
        <v>14</v>
      </c>
      <c r="L16" s="101">
        <v>18.79999999999999</v>
      </c>
      <c r="N16" s="117" t="s">
        <v>187</v>
      </c>
      <c r="O16" s="127">
        <f>IF(P16=0,0,Q16/P16)</f>
        <v>46.75714285714286</v>
      </c>
      <c r="P16" s="121">
        <v>14</v>
      </c>
      <c r="Q16" s="109">
        <v>654.6</v>
      </c>
    </row>
    <row r="17" spans="1:17" x14ac:dyDescent="0.4">
      <c r="A17" s="54" t="s">
        <v>10</v>
      </c>
      <c r="B17" s="46">
        <f>B19+B18</f>
        <v>647</v>
      </c>
      <c r="C17" s="37">
        <f>IF(B$3=0,0,B17/B$3)</f>
        <v>0.29912159038372632</v>
      </c>
      <c r="E17" s="63" t="s">
        <v>79</v>
      </c>
      <c r="F17" s="60" t="s">
        <v>34</v>
      </c>
      <c r="G17" s="47">
        <v>11</v>
      </c>
      <c r="H17" s="135">
        <f>IF(B$17=0,0,G17/B$17)</f>
        <v>1.7001545595054096E-2</v>
      </c>
      <c r="I17" s="96">
        <v>5</v>
      </c>
      <c r="K17" s="38">
        <v>15</v>
      </c>
      <c r="L17" s="101">
        <v>-1.0658141036401503E-14</v>
      </c>
      <c r="N17" s="117" t="s">
        <v>174</v>
      </c>
      <c r="O17" s="127">
        <f>IF(P17=0,0,Q17/P17)</f>
        <v>17.993750000000002</v>
      </c>
      <c r="P17" s="121">
        <v>48</v>
      </c>
      <c r="Q17" s="109">
        <v>863.70000000000016</v>
      </c>
    </row>
    <row r="18" spans="1:17" x14ac:dyDescent="0.4">
      <c r="A18" s="55" t="s">
        <v>12</v>
      </c>
      <c r="B18" s="47">
        <v>270</v>
      </c>
      <c r="C18" s="39">
        <f>IF(B$17=0,0,B18/B$17)</f>
        <v>0.41731066460587324</v>
      </c>
      <c r="E18" s="63" t="s">
        <v>181</v>
      </c>
      <c r="F18" s="60" t="s">
        <v>184</v>
      </c>
      <c r="G18" s="47">
        <v>7</v>
      </c>
      <c r="H18" s="135">
        <f>IF(B$17=0,0,G18/B$17)</f>
        <v>1.0819165378670788E-2</v>
      </c>
      <c r="I18" s="96">
        <v>3</v>
      </c>
      <c r="K18" s="38">
        <v>16</v>
      </c>
      <c r="L18" s="101">
        <v>90.899999999999991</v>
      </c>
      <c r="N18" s="117" t="s">
        <v>178</v>
      </c>
      <c r="O18" s="127">
        <f>IF(P18=0,0,Q18/P18)</f>
        <v>14.619999999999997</v>
      </c>
      <c r="P18" s="121">
        <v>30</v>
      </c>
      <c r="Q18" s="109">
        <v>438.59999999999991</v>
      </c>
    </row>
    <row r="19" spans="1:17" x14ac:dyDescent="0.4">
      <c r="A19" s="55" t="s">
        <v>11</v>
      </c>
      <c r="B19" s="47">
        <v>377</v>
      </c>
      <c r="C19" s="39">
        <f>IF(B$17=0,0,B19/B$17)</f>
        <v>0.58268933539412671</v>
      </c>
      <c r="E19" s="63" t="s">
        <v>76</v>
      </c>
      <c r="F19" s="60" t="s">
        <v>31</v>
      </c>
      <c r="G19" s="47">
        <v>6</v>
      </c>
      <c r="H19" s="135">
        <f>IF(B$17=0,0,G19/B$17)</f>
        <v>9.2735703245749607E-3</v>
      </c>
      <c r="I19" s="96">
        <v>4</v>
      </c>
      <c r="K19" s="38">
        <v>17</v>
      </c>
      <c r="L19" s="101">
        <v>8.2999999999999972</v>
      </c>
      <c r="N19" s="117" t="s">
        <v>172</v>
      </c>
      <c r="O19" s="127">
        <f>IF(P19=0,0,Q19/P19)</f>
        <v>5.4458333333333364</v>
      </c>
      <c r="P19" s="121">
        <v>72</v>
      </c>
      <c r="Q19" s="109">
        <v>392.10000000000019</v>
      </c>
    </row>
    <row r="20" spans="1:17" x14ac:dyDescent="0.4">
      <c r="A20" s="55" t="s">
        <v>13</v>
      </c>
      <c r="B20" s="47">
        <v>372</v>
      </c>
      <c r="C20" s="39">
        <f>IF(B$3=0,0,B20/B$3)</f>
        <v>0.17198335644937587</v>
      </c>
      <c r="E20" s="63" t="s">
        <v>80</v>
      </c>
      <c r="F20" s="60" t="s">
        <v>35</v>
      </c>
      <c r="G20" s="47">
        <v>6</v>
      </c>
      <c r="H20" s="135">
        <f>IF(B$17=0,0,G20/B$17)</f>
        <v>9.2735703245749607E-3</v>
      </c>
      <c r="I20" s="96">
        <v>4</v>
      </c>
      <c r="K20" s="38">
        <v>18</v>
      </c>
      <c r="L20" s="101">
        <v>-3.5527136788005009E-15</v>
      </c>
      <c r="N20" s="117" t="s">
        <v>128</v>
      </c>
      <c r="O20" s="127">
        <f>IF(P20=0,0,Q20/P20)</f>
        <v>2.3516129032258046</v>
      </c>
      <c r="P20" s="121">
        <v>124</v>
      </c>
      <c r="Q20" s="109">
        <v>291.5999999999998</v>
      </c>
    </row>
    <row r="21" spans="1:17" x14ac:dyDescent="0.4">
      <c r="A21" s="55" t="s">
        <v>194</v>
      </c>
      <c r="B21" s="47">
        <v>7</v>
      </c>
      <c r="C21" s="137">
        <v>2</v>
      </c>
      <c r="E21" s="63" t="s">
        <v>74</v>
      </c>
      <c r="F21" s="60" t="s">
        <v>29</v>
      </c>
      <c r="G21" s="47">
        <v>4</v>
      </c>
      <c r="H21" s="135">
        <f>IF(B$17=0,0,G21/B$17)</f>
        <v>6.1823802163833074E-3</v>
      </c>
      <c r="I21" s="96">
        <v>4</v>
      </c>
      <c r="K21" s="38">
        <v>19</v>
      </c>
      <c r="L21" s="101">
        <v>30.999999999999996</v>
      </c>
      <c r="N21" s="117" t="s">
        <v>173</v>
      </c>
      <c r="O21" s="127">
        <f>IF(P21=0,0,Q21/P21)</f>
        <v>-1.8980769230769252</v>
      </c>
      <c r="P21" s="121">
        <v>52</v>
      </c>
      <c r="Q21" s="109">
        <v>-98.700000000000117</v>
      </c>
    </row>
    <row r="22" spans="1:17" x14ac:dyDescent="0.4">
      <c r="A22" s="55" t="s">
        <v>195</v>
      </c>
      <c r="B22" s="47">
        <v>31</v>
      </c>
      <c r="C22" s="137">
        <v>9</v>
      </c>
      <c r="E22" s="63" t="s">
        <v>93</v>
      </c>
      <c r="F22" s="60" t="s">
        <v>48</v>
      </c>
      <c r="G22" s="47">
        <v>3</v>
      </c>
      <c r="H22" s="135">
        <f>IF(B$17=0,0,G22/B$17)</f>
        <v>4.6367851622874804E-3</v>
      </c>
      <c r="I22" s="96">
        <v>4</v>
      </c>
      <c r="K22" s="38">
        <v>20</v>
      </c>
      <c r="L22" s="101">
        <v>0.79999999999999716</v>
      </c>
      <c r="N22" s="117" t="s">
        <v>203</v>
      </c>
      <c r="O22" s="127">
        <f>IF(P22=0,0,Q22/P22)</f>
        <v>-7.2750000000000021</v>
      </c>
      <c r="P22" s="121">
        <v>8</v>
      </c>
      <c r="Q22" s="109">
        <v>-58.200000000000017</v>
      </c>
    </row>
    <row r="23" spans="1:17" x14ac:dyDescent="0.4">
      <c r="A23" s="55" t="s">
        <v>5</v>
      </c>
      <c r="B23" s="51">
        <f>IF(B$17=0,0,C23/B$17)</f>
        <v>8377.8979907264293</v>
      </c>
      <c r="C23" s="41">
        <v>5420500</v>
      </c>
      <c r="E23" s="63" t="s">
        <v>75</v>
      </c>
      <c r="F23" s="60" t="s">
        <v>30</v>
      </c>
      <c r="G23" s="47">
        <v>2</v>
      </c>
      <c r="H23" s="135">
        <f>IF(B$17=0,0,G23/B$17)</f>
        <v>3.0911901081916537E-3</v>
      </c>
      <c r="I23" s="96">
        <v>2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-8029.8387096774195</v>
      </c>
      <c r="C24" s="45">
        <v>-2987100</v>
      </c>
      <c r="E24" s="63" t="s">
        <v>78</v>
      </c>
      <c r="F24" s="60" t="s">
        <v>33</v>
      </c>
      <c r="G24" s="47">
        <v>2</v>
      </c>
      <c r="H24" s="135">
        <f>IF(B$17=0,0,G24/B$17)</f>
        <v>3.0911901081916537E-3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-38.985245901639331</v>
      </c>
      <c r="P24" s="121">
        <v>122</v>
      </c>
      <c r="Q24" s="109">
        <v>-4756.199999999998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2</v>
      </c>
      <c r="H25" s="135">
        <f>IF(B$17=0,0,G25/B$17)</f>
        <v>3.0911901081916537E-3</v>
      </c>
      <c r="I25" s="96">
        <v>3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116000</v>
      </c>
      <c r="C26" s="141"/>
      <c r="E26" s="63" t="s">
        <v>85</v>
      </c>
      <c r="F26" s="60" t="s">
        <v>40</v>
      </c>
      <c r="G26" s="47">
        <v>1</v>
      </c>
      <c r="H26" s="135">
        <f>IF(B$17=0,0,G26/B$17)</f>
        <v>1.5455950540958269E-3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8</v>
      </c>
      <c r="C27" s="42">
        <f>IF(B$3=0,0,B27/B$3)</f>
        <v>3.6985668053629217E-3</v>
      </c>
      <c r="E27" s="63" t="s">
        <v>86</v>
      </c>
      <c r="F27" s="60" t="s">
        <v>41</v>
      </c>
      <c r="G27" s="47">
        <v>1</v>
      </c>
      <c r="H27" s="135">
        <f>IF(B$17=0,0,G27/B$17)</f>
        <v>1.5455950540958269E-3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5">
        <f>IF(B$17=0,0,G28/B$17)</f>
        <v>1.5455950540958269E-3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1.5455950540958269E-3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5">
        <f>IF(B$17=0,0,G30/B$17)</f>
        <v>1.5455950540958269E-3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5">
        <f>IF(B$17=0,0,G31/B$17)</f>
        <v>1.5455950540958269E-3</v>
      </c>
      <c r="I31" s="96">
        <v>2</v>
      </c>
      <c r="K31" s="38">
        <v>29</v>
      </c>
      <c r="L31" s="101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  <row r="222" spans="11:12" x14ac:dyDescent="0.4">
      <c r="K222" s="38">
        <v>220</v>
      </c>
      <c r="L222" s="101">
        <v>-28.599999999999994</v>
      </c>
    </row>
    <row r="223" spans="11:12" x14ac:dyDescent="0.4">
      <c r="K223" s="38">
        <v>221</v>
      </c>
      <c r="L223" s="101">
        <v>1.3000000000000043</v>
      </c>
    </row>
    <row r="224" spans="11:12" x14ac:dyDescent="0.4">
      <c r="K224" s="38">
        <v>222</v>
      </c>
      <c r="L224" s="101">
        <v>4.2188474935755949E-15</v>
      </c>
    </row>
    <row r="225" spans="11:12" x14ac:dyDescent="0.4">
      <c r="K225" s="38">
        <v>223</v>
      </c>
      <c r="L225" s="101">
        <v>-26.299999999999997</v>
      </c>
    </row>
    <row r="226" spans="11:12" x14ac:dyDescent="0.4">
      <c r="K226" s="38">
        <v>224</v>
      </c>
      <c r="L226" s="101">
        <v>4.1000000000000014</v>
      </c>
    </row>
    <row r="227" spans="11:12" x14ac:dyDescent="0.4">
      <c r="K227" s="38">
        <v>225</v>
      </c>
      <c r="L227" s="101">
        <v>1.7763568394002505E-15</v>
      </c>
    </row>
    <row r="228" spans="11:12" x14ac:dyDescent="0.4">
      <c r="K228" s="38">
        <v>226</v>
      </c>
      <c r="L228" s="101">
        <v>-39.5</v>
      </c>
    </row>
    <row r="229" spans="11:12" x14ac:dyDescent="0.4">
      <c r="K229" s="38">
        <v>227</v>
      </c>
      <c r="L229" s="101">
        <v>-33.700000000000003</v>
      </c>
    </row>
    <row r="230" spans="11:12" x14ac:dyDescent="0.4">
      <c r="K230" s="38">
        <v>228</v>
      </c>
      <c r="L230" s="101">
        <v>0</v>
      </c>
    </row>
    <row r="231" spans="11:12" x14ac:dyDescent="0.4">
      <c r="K231" s="38">
        <v>229</v>
      </c>
      <c r="L231" s="101">
        <v>4.0999999999999996</v>
      </c>
    </row>
    <row r="232" spans="11:12" x14ac:dyDescent="0.4">
      <c r="K232" s="38">
        <v>230</v>
      </c>
      <c r="L232" s="101">
        <v>-56</v>
      </c>
    </row>
    <row r="233" spans="11:12" x14ac:dyDescent="0.4">
      <c r="K233" s="38">
        <v>231</v>
      </c>
      <c r="L233" s="101">
        <v>0</v>
      </c>
    </row>
    <row r="234" spans="11:12" x14ac:dyDescent="0.4">
      <c r="K234" s="38">
        <v>232</v>
      </c>
      <c r="L234" s="101">
        <v>-21</v>
      </c>
    </row>
    <row r="235" spans="11:12" x14ac:dyDescent="0.4">
      <c r="K235" s="38">
        <v>233</v>
      </c>
      <c r="L235" s="101">
        <v>58</v>
      </c>
    </row>
    <row r="236" spans="11:12" x14ac:dyDescent="0.4">
      <c r="K236" s="38">
        <v>234</v>
      </c>
      <c r="L236" s="101">
        <v>0</v>
      </c>
    </row>
    <row r="237" spans="11:12" x14ac:dyDescent="0.4">
      <c r="K237" s="38">
        <v>235</v>
      </c>
      <c r="L237" s="101">
        <v>-34</v>
      </c>
    </row>
    <row r="238" spans="11:12" x14ac:dyDescent="0.4">
      <c r="K238" s="38">
        <v>236</v>
      </c>
      <c r="L238" s="101">
        <v>-101</v>
      </c>
    </row>
    <row r="239" spans="11:12" x14ac:dyDescent="0.4">
      <c r="K239" s="38">
        <v>237</v>
      </c>
      <c r="L239" s="101">
        <v>0</v>
      </c>
    </row>
    <row r="240" spans="11:12" x14ac:dyDescent="0.4">
      <c r="K240" s="38">
        <v>238</v>
      </c>
      <c r="L240" s="101">
        <v>-13</v>
      </c>
    </row>
    <row r="241" spans="11:12" x14ac:dyDescent="0.4">
      <c r="K241" s="38">
        <v>239</v>
      </c>
      <c r="L241" s="101">
        <v>-92.9</v>
      </c>
    </row>
    <row r="242" spans="11:12" x14ac:dyDescent="0.4">
      <c r="K242" s="38">
        <v>240</v>
      </c>
      <c r="L242" s="101">
        <v>0</v>
      </c>
    </row>
    <row r="243" spans="11:12" x14ac:dyDescent="0.4">
      <c r="K243" s="38">
        <v>241</v>
      </c>
      <c r="L243" s="101">
        <v>-3.1</v>
      </c>
    </row>
    <row r="244" spans="11:12" x14ac:dyDescent="0.4">
      <c r="K244" s="38">
        <v>242</v>
      </c>
      <c r="L244" s="101">
        <v>30.299999999999997</v>
      </c>
    </row>
    <row r="245" spans="11:12" x14ac:dyDescent="0.4">
      <c r="K245" s="38">
        <v>243</v>
      </c>
      <c r="L245" s="101">
        <v>-3.5527136788005009E-15</v>
      </c>
    </row>
    <row r="246" spans="11:12" x14ac:dyDescent="0.4">
      <c r="K246" s="38">
        <v>244</v>
      </c>
      <c r="L246" s="101">
        <v>5.3999999999999968</v>
      </c>
    </row>
    <row r="247" spans="11:12" x14ac:dyDescent="0.4">
      <c r="K247" s="38">
        <v>245</v>
      </c>
      <c r="L247" s="101">
        <v>-29.4</v>
      </c>
    </row>
    <row r="248" spans="11:12" x14ac:dyDescent="0.4">
      <c r="K248" s="38">
        <v>246</v>
      </c>
      <c r="L248" s="101">
        <v>0</v>
      </c>
    </row>
    <row r="249" spans="11:12" x14ac:dyDescent="0.4">
      <c r="K249" s="38">
        <v>247</v>
      </c>
      <c r="L249" s="101">
        <v>-61.2</v>
      </c>
    </row>
    <row r="250" spans="11:12" x14ac:dyDescent="0.4">
      <c r="K250" s="38">
        <v>248</v>
      </c>
      <c r="L250" s="101">
        <v>-9</v>
      </c>
    </row>
    <row r="251" spans="11:12" x14ac:dyDescent="0.4">
      <c r="K251" s="38">
        <v>249</v>
      </c>
      <c r="L251" s="101">
        <v>0</v>
      </c>
    </row>
    <row r="252" spans="11:12" x14ac:dyDescent="0.4">
      <c r="K252" s="38">
        <v>250</v>
      </c>
      <c r="L252" s="101">
        <v>-15.6</v>
      </c>
    </row>
    <row r="253" spans="11:12" x14ac:dyDescent="0.4">
      <c r="K253" s="38">
        <v>251</v>
      </c>
      <c r="L253" s="101">
        <v>-74.3</v>
      </c>
    </row>
    <row r="254" spans="11:12" x14ac:dyDescent="0.4">
      <c r="K254" s="38">
        <v>252</v>
      </c>
      <c r="L254" s="101">
        <v>0</v>
      </c>
    </row>
    <row r="255" spans="11:12" x14ac:dyDescent="0.4">
      <c r="K255" s="38">
        <v>253</v>
      </c>
      <c r="L255" s="101">
        <v>7.7</v>
      </c>
    </row>
    <row r="256" spans="11:12" x14ac:dyDescent="0.4">
      <c r="K256" s="38">
        <v>254</v>
      </c>
      <c r="L256" s="101">
        <v>38.5</v>
      </c>
    </row>
    <row r="257" spans="11:12" x14ac:dyDescent="0.4">
      <c r="K257" s="38">
        <v>255</v>
      </c>
      <c r="L257" s="101">
        <v>0</v>
      </c>
    </row>
    <row r="258" spans="11:12" x14ac:dyDescent="0.4">
      <c r="K258" s="38">
        <v>256</v>
      </c>
      <c r="L258" s="101">
        <v>3.4</v>
      </c>
    </row>
    <row r="259" spans="11:12" x14ac:dyDescent="0.4">
      <c r="K259" s="38">
        <v>257</v>
      </c>
      <c r="L259" s="101">
        <v>-28.3</v>
      </c>
    </row>
    <row r="260" spans="11:12" x14ac:dyDescent="0.4">
      <c r="K260" s="38">
        <v>258</v>
      </c>
      <c r="L260" s="101">
        <v>0</v>
      </c>
    </row>
    <row r="261" spans="11:12" x14ac:dyDescent="0.4">
      <c r="K261" s="38">
        <v>259</v>
      </c>
      <c r="L261" s="101">
        <v>-42.3</v>
      </c>
    </row>
    <row r="262" spans="11:12" x14ac:dyDescent="0.4">
      <c r="K262" s="38">
        <v>260</v>
      </c>
      <c r="L262" s="101">
        <v>-2.5</v>
      </c>
    </row>
    <row r="263" spans="11:12" x14ac:dyDescent="0.4">
      <c r="K263" s="38">
        <v>261</v>
      </c>
      <c r="L263" s="101">
        <v>0</v>
      </c>
    </row>
    <row r="264" spans="11:12" x14ac:dyDescent="0.4">
      <c r="K264" s="38">
        <v>262</v>
      </c>
      <c r="L264" s="101">
        <v>-28.8</v>
      </c>
    </row>
    <row r="265" spans="11:12" x14ac:dyDescent="0.4">
      <c r="K265" s="38">
        <v>263</v>
      </c>
      <c r="L265" s="101">
        <v>-36.4</v>
      </c>
    </row>
    <row r="266" spans="11:12" x14ac:dyDescent="0.4">
      <c r="K266" s="38">
        <v>264</v>
      </c>
      <c r="L266" s="101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9DD5-3073-4474-8510-5272EF73A132}">
  <sheetPr codeName="Sheet7"/>
  <dimension ref="A1:Q63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61</v>
      </c>
      <c r="C2" s="149"/>
      <c r="E2" s="62" t="s">
        <v>67</v>
      </c>
      <c r="F2" s="59" t="s">
        <v>23</v>
      </c>
      <c r="G2" s="46">
        <v>154</v>
      </c>
      <c r="H2" s="134">
        <f>IF(B$17=0,0,G2/B$17)</f>
        <v>0.77777777777777779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3604.9180327868853</v>
      </c>
      <c r="P2" s="120">
        <v>61</v>
      </c>
      <c r="Q2" s="104">
        <v>219900</v>
      </c>
    </row>
    <row r="3" spans="1:17" x14ac:dyDescent="0.4">
      <c r="A3" s="55" t="s">
        <v>8</v>
      </c>
      <c r="B3" s="150">
        <v>480</v>
      </c>
      <c r="C3" s="151"/>
      <c r="E3" s="63" t="s">
        <v>73</v>
      </c>
      <c r="F3" s="60" t="s">
        <v>28</v>
      </c>
      <c r="G3" s="47">
        <v>109</v>
      </c>
      <c r="H3" s="135">
        <f>IF(B$17=0,0,G3/B$17)</f>
        <v>0.5505050505050505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3693.3333333333335</v>
      </c>
      <c r="P3" s="121">
        <v>60</v>
      </c>
      <c r="Q3" s="105">
        <v>221600</v>
      </c>
    </row>
    <row r="4" spans="1:17" x14ac:dyDescent="0.4">
      <c r="A4" s="55" t="s">
        <v>6</v>
      </c>
      <c r="B4" s="152">
        <v>1585.4000000000003</v>
      </c>
      <c r="C4" s="153"/>
      <c r="E4" s="63" t="s">
        <v>65</v>
      </c>
      <c r="F4" s="60" t="s">
        <v>21</v>
      </c>
      <c r="G4" s="47">
        <v>96</v>
      </c>
      <c r="H4" s="135">
        <f>IF(B$17=0,0,G4/B$17)</f>
        <v>0.48484848484848486</v>
      </c>
      <c r="I4" s="96">
        <v>7</v>
      </c>
      <c r="K4" s="38">
        <v>2</v>
      </c>
      <c r="L4" s="101">
        <v>-2.8999999999999995</v>
      </c>
      <c r="N4" s="117" t="s">
        <v>134</v>
      </c>
      <c r="O4" s="124">
        <f t="shared" si="0"/>
        <v>3062.5</v>
      </c>
      <c r="P4" s="121">
        <v>56</v>
      </c>
      <c r="Q4" s="105">
        <v>171500</v>
      </c>
    </row>
    <row r="5" spans="1:17" x14ac:dyDescent="0.4">
      <c r="A5" s="55" t="s">
        <v>7</v>
      </c>
      <c r="B5" s="154">
        <f>IF(B$2=0,0,B$4/B$2)</f>
        <v>25.990163934426235</v>
      </c>
      <c r="C5" s="155"/>
      <c r="E5" s="63" t="s">
        <v>182</v>
      </c>
      <c r="F5" s="60" t="s">
        <v>183</v>
      </c>
      <c r="G5" s="47">
        <v>84</v>
      </c>
      <c r="H5" s="135">
        <f>IF(B$17=0,0,G5/B$17)</f>
        <v>0.42424242424242425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5732.6530612244896</v>
      </c>
      <c r="P5" s="121">
        <v>49</v>
      </c>
      <c r="Q5" s="105">
        <v>280900</v>
      </c>
    </row>
    <row r="6" spans="1:17" x14ac:dyDescent="0.4">
      <c r="A6" s="55" t="s">
        <v>1</v>
      </c>
      <c r="B6" s="144">
        <f>IF(B$2=0,0,(B$7*1+B$8*2+B$9*3)/B$2)</f>
        <v>1.5081967213114753</v>
      </c>
      <c r="C6" s="145"/>
      <c r="E6" s="63" t="s">
        <v>68</v>
      </c>
      <c r="F6" s="60" t="s">
        <v>24</v>
      </c>
      <c r="G6" s="47">
        <v>62</v>
      </c>
      <c r="H6" s="135">
        <f>IF(B$17=0,0,G6/B$17)</f>
        <v>0.31313131313131315</v>
      </c>
      <c r="I6" s="96">
        <v>5</v>
      </c>
      <c r="K6" s="38">
        <v>4</v>
      </c>
      <c r="L6" s="101">
        <v>110.5</v>
      </c>
      <c r="N6" s="117" t="s">
        <v>136</v>
      </c>
      <c r="O6" s="124">
        <f t="shared" si="0"/>
        <v>1188.6363636363637</v>
      </c>
      <c r="P6" s="121">
        <v>44</v>
      </c>
      <c r="Q6" s="105">
        <v>52300</v>
      </c>
    </row>
    <row r="7" spans="1:17" x14ac:dyDescent="0.4">
      <c r="A7" s="55" t="s">
        <v>2</v>
      </c>
      <c r="B7" s="47">
        <v>38</v>
      </c>
      <c r="C7" s="39">
        <f>IF(B$2=0,0,B7/B$2)</f>
        <v>0.62295081967213117</v>
      </c>
      <c r="E7" s="63" t="s">
        <v>69</v>
      </c>
      <c r="F7" s="60" t="s">
        <v>12</v>
      </c>
      <c r="G7" s="47">
        <v>45</v>
      </c>
      <c r="H7" s="135">
        <f>IF(B$17=0,0,G7/B$17)</f>
        <v>0.22727272727272727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834.14634146341461</v>
      </c>
      <c r="P7" s="122">
        <v>41</v>
      </c>
      <c r="Q7" s="106">
        <v>34200</v>
      </c>
    </row>
    <row r="8" spans="1:17" x14ac:dyDescent="0.4">
      <c r="A8" s="55" t="s">
        <v>3</v>
      </c>
      <c r="B8" s="47">
        <v>15</v>
      </c>
      <c r="C8" s="39">
        <f>IF(B$2=0,0,B8/B$2)</f>
        <v>0.24590163934426229</v>
      </c>
      <c r="E8" s="63" t="s">
        <v>90</v>
      </c>
      <c r="F8" s="60" t="s">
        <v>45</v>
      </c>
      <c r="G8" s="47">
        <v>38</v>
      </c>
      <c r="H8" s="135">
        <f>IF(B$17=0,0,G8/B$17)</f>
        <v>0.19191919191919191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0.13114754098360656</v>
      </c>
      <c r="E9" s="63" t="s">
        <v>70</v>
      </c>
      <c r="F9" s="60" t="s">
        <v>25</v>
      </c>
      <c r="G9" s="47">
        <v>34</v>
      </c>
      <c r="H9" s="135">
        <f>IF(B$17=0,0,G9/B$17)</f>
        <v>0.17171717171717171</v>
      </c>
      <c r="I9" s="96">
        <v>8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3.2786885245901641E-2</v>
      </c>
      <c r="E10" s="63" t="s">
        <v>66</v>
      </c>
      <c r="F10" s="60" t="s">
        <v>22</v>
      </c>
      <c r="G10" s="47">
        <v>28</v>
      </c>
      <c r="H10" s="135">
        <f>IF(B$17=0,0,G10/B$17)</f>
        <v>0.14141414141414141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22.222222222222221</v>
      </c>
      <c r="P10" s="120">
        <v>18</v>
      </c>
      <c r="Q10" s="108">
        <v>400</v>
      </c>
    </row>
    <row r="11" spans="1:17" x14ac:dyDescent="0.4">
      <c r="A11" s="56" t="s">
        <v>140</v>
      </c>
      <c r="B11" s="48">
        <v>14</v>
      </c>
      <c r="C11" s="40">
        <f>IF(B$2=0,0,B11/B$2)</f>
        <v>0.22950819672131148</v>
      </c>
      <c r="E11" s="63" t="s">
        <v>87</v>
      </c>
      <c r="F11" s="60" t="s">
        <v>42</v>
      </c>
      <c r="G11" s="47">
        <v>18</v>
      </c>
      <c r="H11" s="135">
        <f>IF(B$17=0,0,G11/B$17)</f>
        <v>9.0909090909090912E-2</v>
      </c>
      <c r="I11" s="96">
        <v>3</v>
      </c>
      <c r="K11" s="38">
        <v>9</v>
      </c>
      <c r="L11" s="101">
        <v>277.90000000000003</v>
      </c>
      <c r="N11" s="117" t="s">
        <v>166</v>
      </c>
      <c r="O11" s="127">
        <f>IF(P11=0,0,Q11/P11)</f>
        <v>19.033333333333331</v>
      </c>
      <c r="P11" s="121">
        <v>18</v>
      </c>
      <c r="Q11" s="109">
        <v>342.59999999999997</v>
      </c>
    </row>
    <row r="12" spans="1:17" x14ac:dyDescent="0.4">
      <c r="A12" s="57" t="s">
        <v>160</v>
      </c>
      <c r="B12" s="49">
        <v>14</v>
      </c>
      <c r="C12" s="42">
        <f>IF(B$2=0,0,B12/B$2)</f>
        <v>0.22950819672131148</v>
      </c>
      <c r="E12" s="63" t="s">
        <v>71</v>
      </c>
      <c r="F12" s="60" t="s">
        <v>26</v>
      </c>
      <c r="G12" s="47">
        <v>17</v>
      </c>
      <c r="H12" s="135">
        <f>IF(B$17=0,0,G12/B$17)</f>
        <v>8.5858585858585856E-2</v>
      </c>
      <c r="I12" s="96">
        <v>6</v>
      </c>
      <c r="K12" s="38">
        <v>10</v>
      </c>
      <c r="L12" s="101">
        <v>246.20000000000005</v>
      </c>
      <c r="N12" s="118" t="s">
        <v>167</v>
      </c>
      <c r="O12" s="128">
        <f>IF(P12=0,0,Q12/P12)</f>
        <v>33.712000000000003</v>
      </c>
      <c r="P12" s="122">
        <v>25</v>
      </c>
      <c r="Q12" s="110">
        <v>842.80000000000007</v>
      </c>
    </row>
    <row r="13" spans="1:17" x14ac:dyDescent="0.4">
      <c r="A13" s="58" t="s">
        <v>122</v>
      </c>
      <c r="B13" s="50">
        <v>159</v>
      </c>
      <c r="C13" s="44">
        <f>IF(B$3=0,0,B13/B$3)</f>
        <v>0.33124999999999999</v>
      </c>
      <c r="E13" s="63" t="s">
        <v>72</v>
      </c>
      <c r="F13" s="60" t="s">
        <v>27</v>
      </c>
      <c r="G13" s="47">
        <v>11</v>
      </c>
      <c r="H13" s="135">
        <f>IF(B$17=0,0,G13/B$17)</f>
        <v>5.5555555555555552E-2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115</v>
      </c>
      <c r="C14" s="39">
        <f>IF(B$3=0,0,B14/B$3)</f>
        <v>0.23958333333333334</v>
      </c>
      <c r="E14" s="63" t="s">
        <v>84</v>
      </c>
      <c r="F14" s="60" t="s">
        <v>39</v>
      </c>
      <c r="G14" s="47">
        <v>10</v>
      </c>
      <c r="H14" s="135">
        <f>IF(B$17=0,0,G14/B$17)</f>
        <v>5.0505050505050504E-2</v>
      </c>
      <c r="I14" s="96">
        <v>3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100</v>
      </c>
      <c r="C15" s="37">
        <f>IF(B$13=0,0,B15/B$13)</f>
        <v>0.62893081761006286</v>
      </c>
      <c r="E15" s="63" t="s">
        <v>82</v>
      </c>
      <c r="F15" s="60" t="s">
        <v>37</v>
      </c>
      <c r="G15" s="47">
        <v>5</v>
      </c>
      <c r="H15" s="135">
        <f>IF(B$17=0,0,G15/B$17)</f>
        <v>2.5252525252525252E-2</v>
      </c>
      <c r="I15" s="96">
        <v>5</v>
      </c>
      <c r="K15" s="38">
        <v>13</v>
      </c>
      <c r="L15" s="101">
        <v>418.90000000000003</v>
      </c>
      <c r="N15" s="116" t="s">
        <v>186</v>
      </c>
      <c r="O15" s="126">
        <f>IF(P15=0,0,Q15/P15)</f>
        <v>69.2</v>
      </c>
      <c r="P15" s="120">
        <v>1</v>
      </c>
      <c r="Q15" s="108">
        <v>69.2</v>
      </c>
    </row>
    <row r="16" spans="1:17" x14ac:dyDescent="0.4">
      <c r="A16" s="54" t="s">
        <v>125</v>
      </c>
      <c r="B16" s="46">
        <v>66</v>
      </c>
      <c r="C16" s="37">
        <f>IF(B$14=0,0,B16/B$14)</f>
        <v>0.57391304347826089</v>
      </c>
      <c r="E16" s="63" t="s">
        <v>79</v>
      </c>
      <c r="F16" s="60" t="s">
        <v>34</v>
      </c>
      <c r="G16" s="47">
        <v>3</v>
      </c>
      <c r="H16" s="135">
        <f>IF(B$17=0,0,G16/B$17)</f>
        <v>1.5151515151515152E-2</v>
      </c>
      <c r="I16" s="96">
        <v>6</v>
      </c>
      <c r="K16" s="38">
        <v>14</v>
      </c>
      <c r="L16" s="101">
        <v>473.50000000000006</v>
      </c>
      <c r="N16" s="117" t="s">
        <v>129</v>
      </c>
      <c r="O16" s="127">
        <f>IF(P16=0,0,Q16/P16)</f>
        <v>62.058823529411768</v>
      </c>
      <c r="P16" s="121">
        <v>17</v>
      </c>
      <c r="Q16" s="109">
        <v>1055</v>
      </c>
    </row>
    <row r="17" spans="1:17" x14ac:dyDescent="0.4">
      <c r="A17" s="54" t="s">
        <v>10</v>
      </c>
      <c r="B17" s="46">
        <f>B19+B18</f>
        <v>198</v>
      </c>
      <c r="C17" s="37">
        <f>IF(B$3=0,0,B17/B$3)</f>
        <v>0.41249999999999998</v>
      </c>
      <c r="E17" s="63" t="s">
        <v>92</v>
      </c>
      <c r="F17" s="60" t="s">
        <v>47</v>
      </c>
      <c r="G17" s="47">
        <v>3</v>
      </c>
      <c r="H17" s="135">
        <f>IF(B$17=0,0,G17/B$17)</f>
        <v>1.5151515151515152E-2</v>
      </c>
      <c r="I17" s="96">
        <v>5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79</v>
      </c>
      <c r="C18" s="39">
        <f>IF(B$17=0,0,B18/B$17)</f>
        <v>0.39898989898989901</v>
      </c>
      <c r="E18" s="63" t="s">
        <v>74</v>
      </c>
      <c r="F18" s="60" t="s">
        <v>29</v>
      </c>
      <c r="G18" s="47">
        <v>2</v>
      </c>
      <c r="H18" s="135">
        <f>IF(B$17=0,0,G18/B$17)</f>
        <v>1.0101010101010102E-2</v>
      </c>
      <c r="I18" s="96">
        <v>2</v>
      </c>
      <c r="K18" s="38">
        <v>16</v>
      </c>
      <c r="L18" s="101">
        <v>425.50000000000006</v>
      </c>
      <c r="N18" s="117" t="s">
        <v>174</v>
      </c>
      <c r="O18" s="127">
        <f>IF(P18=0,0,Q18/P18)</f>
        <v>49.41</v>
      </c>
      <c r="P18" s="121">
        <v>10</v>
      </c>
      <c r="Q18" s="109">
        <v>494.09999999999997</v>
      </c>
    </row>
    <row r="19" spans="1:17" x14ac:dyDescent="0.4">
      <c r="A19" s="55" t="s">
        <v>11</v>
      </c>
      <c r="B19" s="47">
        <v>119</v>
      </c>
      <c r="C19" s="39">
        <f>IF(B$17=0,0,B19/B$17)</f>
        <v>0.60101010101010099</v>
      </c>
      <c r="E19" s="63" t="s">
        <v>181</v>
      </c>
      <c r="F19" s="60" t="s">
        <v>184</v>
      </c>
      <c r="G19" s="47">
        <v>2</v>
      </c>
      <c r="H19" s="135">
        <f>IF(B$17=0,0,G19/B$17)</f>
        <v>1.0101010101010102E-2</v>
      </c>
      <c r="I19" s="96">
        <v>4</v>
      </c>
      <c r="K19" s="38">
        <v>17</v>
      </c>
      <c r="L19" s="101">
        <v>427.40000000000003</v>
      </c>
      <c r="N19" s="117" t="s">
        <v>178</v>
      </c>
      <c r="O19" s="127">
        <f>IF(P19=0,0,Q19/P19)</f>
        <v>48.9375</v>
      </c>
      <c r="P19" s="121">
        <v>8</v>
      </c>
      <c r="Q19" s="109">
        <v>391.5</v>
      </c>
    </row>
    <row r="20" spans="1:17" x14ac:dyDescent="0.4">
      <c r="A20" s="55" t="s">
        <v>13</v>
      </c>
      <c r="B20" s="47">
        <v>65</v>
      </c>
      <c r="C20" s="39">
        <f>IF(B$3=0,0,B20/B$3)</f>
        <v>0.13541666666666666</v>
      </c>
      <c r="E20" s="63" t="s">
        <v>76</v>
      </c>
      <c r="F20" s="60" t="s">
        <v>31</v>
      </c>
      <c r="G20" s="47">
        <v>1</v>
      </c>
      <c r="H20" s="135">
        <f>IF(B$17=0,0,G20/B$17)</f>
        <v>5.0505050505050509E-3</v>
      </c>
      <c r="I20" s="96">
        <v>5</v>
      </c>
      <c r="K20" s="38">
        <v>18</v>
      </c>
      <c r="L20" s="101">
        <v>429.3</v>
      </c>
      <c r="N20" s="117" t="s">
        <v>173</v>
      </c>
      <c r="O20" s="127">
        <f>IF(P20=0,0,Q20/P20)</f>
        <v>48.616666666666667</v>
      </c>
      <c r="P20" s="121">
        <v>12</v>
      </c>
      <c r="Q20" s="109">
        <v>583.4</v>
      </c>
    </row>
    <row r="21" spans="1:17" x14ac:dyDescent="0.4">
      <c r="A21" s="55" t="s">
        <v>194</v>
      </c>
      <c r="B21" s="47">
        <v>7</v>
      </c>
      <c r="C21" s="137">
        <v>2</v>
      </c>
      <c r="E21" s="63" t="s">
        <v>78</v>
      </c>
      <c r="F21" s="60" t="s">
        <v>33</v>
      </c>
      <c r="G21" s="47">
        <v>1</v>
      </c>
      <c r="H21" s="135">
        <f>IF(B$17=0,0,G21/B$17)</f>
        <v>5.0505050505050509E-3</v>
      </c>
      <c r="I21" s="96">
        <v>2</v>
      </c>
      <c r="K21" s="38">
        <v>19</v>
      </c>
      <c r="L21" s="101">
        <v>405.40000000000003</v>
      </c>
      <c r="N21" s="117" t="s">
        <v>128</v>
      </c>
      <c r="O21" s="127">
        <f>IF(P21=0,0,Q21/P21)</f>
        <v>28.472340425531922</v>
      </c>
      <c r="P21" s="121">
        <v>47</v>
      </c>
      <c r="Q21" s="109">
        <v>1338.2000000000003</v>
      </c>
    </row>
    <row r="22" spans="1:17" x14ac:dyDescent="0.4">
      <c r="A22" s="55" t="s">
        <v>195</v>
      </c>
      <c r="B22" s="47">
        <v>27</v>
      </c>
      <c r="C22" s="137">
        <v>19</v>
      </c>
      <c r="E22" s="63" t="s">
        <v>80</v>
      </c>
      <c r="F22" s="60" t="s">
        <v>35</v>
      </c>
      <c r="G22" s="47">
        <v>1</v>
      </c>
      <c r="H22" s="135">
        <f>IF(B$17=0,0,G22/B$17)</f>
        <v>5.0505050505050509E-3</v>
      </c>
      <c r="I22" s="96">
        <v>5</v>
      </c>
      <c r="K22" s="38">
        <v>20</v>
      </c>
      <c r="L22" s="101">
        <v>469.6</v>
      </c>
      <c r="N22" s="117" t="s">
        <v>172</v>
      </c>
      <c r="O22" s="127">
        <f>IF(P22=0,0,Q22/P22)</f>
        <v>26.11363636363636</v>
      </c>
      <c r="P22" s="121">
        <v>22</v>
      </c>
      <c r="Q22" s="109">
        <v>574.49999999999989</v>
      </c>
    </row>
    <row r="23" spans="1:17" x14ac:dyDescent="0.4">
      <c r="A23" s="55" t="s">
        <v>5</v>
      </c>
      <c r="B23" s="51">
        <f>IF(B$17=0,0,C23/B$17)</f>
        <v>9479.2929292929293</v>
      </c>
      <c r="C23" s="41">
        <v>1876900</v>
      </c>
      <c r="E23" s="63" t="s">
        <v>88</v>
      </c>
      <c r="F23" s="60" t="s">
        <v>43</v>
      </c>
      <c r="G23" s="47">
        <v>1</v>
      </c>
      <c r="H23" s="135">
        <f>IF(B$17=0,0,G23/B$17)</f>
        <v>5.0505050505050509E-3</v>
      </c>
      <c r="I23" s="96">
        <v>1</v>
      </c>
      <c r="K23" s="38">
        <v>21</v>
      </c>
      <c r="L23" s="101">
        <v>468.3</v>
      </c>
      <c r="N23" s="117" t="s">
        <v>203</v>
      </c>
      <c r="O23" s="127">
        <f>IF(P23=0,0,Q23/P23)</f>
        <v>23.1</v>
      </c>
      <c r="P23" s="121">
        <v>1</v>
      </c>
      <c r="Q23" s="109">
        <v>23.1</v>
      </c>
    </row>
    <row r="24" spans="1:17" x14ac:dyDescent="0.4">
      <c r="A24" s="57" t="s">
        <v>14</v>
      </c>
      <c r="B24" s="52">
        <f>IF(B$20=0,0,C24/B$20)</f>
        <v>-7740</v>
      </c>
      <c r="C24" s="45">
        <v>-503100</v>
      </c>
      <c r="E24" s="63" t="s">
        <v>91</v>
      </c>
      <c r="F24" s="60" t="s">
        <v>46</v>
      </c>
      <c r="G24" s="47">
        <v>1</v>
      </c>
      <c r="H24" s="135">
        <f>IF(B$17=0,0,G24/B$17)</f>
        <v>5.0505050505050509E-3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93</v>
      </c>
      <c r="F25" s="60" t="s">
        <v>48</v>
      </c>
      <c r="G25" s="47">
        <v>1</v>
      </c>
      <c r="H25" s="135">
        <f>IF(B$17=0,0,G25/B$17)</f>
        <v>5.0505050505050509E-3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116000</v>
      </c>
      <c r="C26" s="141"/>
      <c r="E26" s="63" t="s">
        <v>94</v>
      </c>
      <c r="F26" s="60" t="s">
        <v>49</v>
      </c>
      <c r="G26" s="47">
        <v>1</v>
      </c>
      <c r="H26" s="135">
        <f>IF(B$17=0,0,G26/B$17)</f>
        <v>5.0505050505050509E-3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5">
        <f>IF(B$17=0,0,G27/B$17)</f>
        <v>5.0505050505050509E-3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5">
        <f>IF(B$17=0,0,G34/B$17)</f>
        <v>0</v>
      </c>
      <c r="I34" s="96">
        <v>4</v>
      </c>
      <c r="K34" s="38">
        <v>32</v>
      </c>
      <c r="L34" s="101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1289.8999999999999</v>
      </c>
    </row>
    <row r="52" spans="5:12" x14ac:dyDescent="0.4">
      <c r="K52" s="38">
        <v>50</v>
      </c>
      <c r="L52" s="101">
        <v>1288.5999999999999</v>
      </c>
    </row>
    <row r="53" spans="5:12" x14ac:dyDescent="0.4">
      <c r="K53" s="38">
        <v>51</v>
      </c>
      <c r="L53" s="101">
        <v>1284.5</v>
      </c>
    </row>
    <row r="54" spans="5:12" x14ac:dyDescent="0.4">
      <c r="K54" s="38">
        <v>52</v>
      </c>
      <c r="L54" s="101">
        <v>1318.2</v>
      </c>
    </row>
    <row r="55" spans="5:12" x14ac:dyDescent="0.4">
      <c r="K55" s="38">
        <v>53</v>
      </c>
      <c r="L55" s="101">
        <v>1374.2</v>
      </c>
    </row>
    <row r="56" spans="5:12" x14ac:dyDescent="0.4">
      <c r="K56" s="38">
        <v>54</v>
      </c>
      <c r="L56" s="101">
        <v>1316.2</v>
      </c>
    </row>
    <row r="57" spans="5:12" x14ac:dyDescent="0.4">
      <c r="K57" s="38">
        <v>55</v>
      </c>
      <c r="L57" s="101">
        <v>1417.2</v>
      </c>
    </row>
    <row r="58" spans="5:12" x14ac:dyDescent="0.4">
      <c r="K58" s="38">
        <v>56</v>
      </c>
      <c r="L58" s="101">
        <v>1510.1000000000001</v>
      </c>
    </row>
    <row r="59" spans="5:12" x14ac:dyDescent="0.4">
      <c r="K59" s="38">
        <v>57</v>
      </c>
      <c r="L59" s="101">
        <v>1479.8000000000002</v>
      </c>
    </row>
    <row r="60" spans="5:12" x14ac:dyDescent="0.4">
      <c r="K60" s="38">
        <v>58</v>
      </c>
      <c r="L60" s="101">
        <v>1509.2000000000003</v>
      </c>
    </row>
    <row r="61" spans="5:12" x14ac:dyDescent="0.4">
      <c r="K61" s="38">
        <v>59</v>
      </c>
      <c r="L61" s="101">
        <v>1518.2000000000003</v>
      </c>
    </row>
    <row r="62" spans="5:12" x14ac:dyDescent="0.4">
      <c r="K62" s="38">
        <v>60</v>
      </c>
      <c r="L62" s="101">
        <v>1549.0000000000002</v>
      </c>
    </row>
    <row r="63" spans="5:12" x14ac:dyDescent="0.4">
      <c r="K63" s="38">
        <v>61</v>
      </c>
      <c r="L63" s="101">
        <v>1585.4000000000003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8DE24-CB81-43C1-8407-3B3BCC08028D}">
  <sheetPr codeName="Sheet9"/>
  <dimension ref="A1:Q64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62</v>
      </c>
      <c r="C2" s="149"/>
      <c r="E2" s="62" t="s">
        <v>67</v>
      </c>
      <c r="F2" s="59" t="s">
        <v>23</v>
      </c>
      <c r="G2" s="46">
        <v>99</v>
      </c>
      <c r="H2" s="134">
        <f>IF(B$17=0,0,G2/B$17)</f>
        <v>0.69230769230769229</v>
      </c>
      <c r="I2" s="95">
        <v>9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1103.2258064516129</v>
      </c>
      <c r="P2" s="120">
        <v>62</v>
      </c>
      <c r="Q2" s="104">
        <v>68400</v>
      </c>
    </row>
    <row r="3" spans="1:17" x14ac:dyDescent="0.4">
      <c r="A3" s="55" t="s">
        <v>8</v>
      </c>
      <c r="B3" s="150">
        <v>510</v>
      </c>
      <c r="C3" s="151"/>
      <c r="E3" s="63" t="s">
        <v>65</v>
      </c>
      <c r="F3" s="60" t="s">
        <v>21</v>
      </c>
      <c r="G3" s="47">
        <v>81</v>
      </c>
      <c r="H3" s="135">
        <f>IF(B$17=0,0,G3/B$17)</f>
        <v>0.56643356643356646</v>
      </c>
      <c r="I3" s="96">
        <v>4</v>
      </c>
      <c r="K3" s="38">
        <v>1</v>
      </c>
      <c r="L3" s="101">
        <v>45.5</v>
      </c>
      <c r="N3" s="117" t="s">
        <v>133</v>
      </c>
      <c r="O3" s="124">
        <f t="shared" si="0"/>
        <v>-1524.5901639344263</v>
      </c>
      <c r="P3" s="121">
        <v>61</v>
      </c>
      <c r="Q3" s="105">
        <v>-93000</v>
      </c>
    </row>
    <row r="4" spans="1:17" x14ac:dyDescent="0.4">
      <c r="A4" s="55" t="s">
        <v>6</v>
      </c>
      <c r="B4" s="152">
        <v>-97.200000000000045</v>
      </c>
      <c r="C4" s="153"/>
      <c r="E4" s="63" t="s">
        <v>73</v>
      </c>
      <c r="F4" s="60" t="s">
        <v>28</v>
      </c>
      <c r="G4" s="47">
        <v>65</v>
      </c>
      <c r="H4" s="135">
        <f>IF(B$17=0,0,G4/B$17)</f>
        <v>0.45454545454545453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-1910.1694915254238</v>
      </c>
      <c r="P4" s="121">
        <v>59</v>
      </c>
      <c r="Q4" s="105">
        <v>-112700</v>
      </c>
    </row>
    <row r="5" spans="1:17" x14ac:dyDescent="0.4">
      <c r="A5" s="55" t="s">
        <v>7</v>
      </c>
      <c r="B5" s="154">
        <f>IF(B$2=0,0,B$4/B$2)</f>
        <v>-1.5677419354838718</v>
      </c>
      <c r="C5" s="155"/>
      <c r="E5" s="63" t="s">
        <v>182</v>
      </c>
      <c r="F5" s="60" t="s">
        <v>183</v>
      </c>
      <c r="G5" s="47">
        <v>59</v>
      </c>
      <c r="H5" s="135">
        <f>IF(B$17=0,0,G5/B$17)</f>
        <v>0.41258741258741261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184.61538461538461</v>
      </c>
      <c r="P5" s="121">
        <v>52</v>
      </c>
      <c r="Q5" s="105">
        <v>9600</v>
      </c>
    </row>
    <row r="6" spans="1:17" x14ac:dyDescent="0.4">
      <c r="A6" s="55" t="s">
        <v>1</v>
      </c>
      <c r="B6" s="144">
        <f>IF(B$2=0,0,(B$7*1+B$8*2+B$9*3)/B$2)</f>
        <v>2.0483870967741935</v>
      </c>
      <c r="C6" s="145"/>
      <c r="E6" s="63" t="s">
        <v>68</v>
      </c>
      <c r="F6" s="60" t="s">
        <v>24</v>
      </c>
      <c r="G6" s="47">
        <v>51</v>
      </c>
      <c r="H6" s="135">
        <f>IF(B$17=0,0,G6/B$17)</f>
        <v>0.35664335664335667</v>
      </c>
      <c r="I6" s="96">
        <v>4</v>
      </c>
      <c r="K6" s="38">
        <v>4</v>
      </c>
      <c r="L6" s="101">
        <v>13.599999999999994</v>
      </c>
      <c r="N6" s="117" t="s">
        <v>136</v>
      </c>
      <c r="O6" s="124">
        <f t="shared" si="0"/>
        <v>1227.0833333333333</v>
      </c>
      <c r="P6" s="121">
        <v>48</v>
      </c>
      <c r="Q6" s="105">
        <v>58900</v>
      </c>
    </row>
    <row r="7" spans="1:17" x14ac:dyDescent="0.4">
      <c r="A7" s="55" t="s">
        <v>2</v>
      </c>
      <c r="B7" s="47">
        <v>16</v>
      </c>
      <c r="C7" s="39">
        <f>IF(B$2=0,0,B7/B$2)</f>
        <v>0.25806451612903225</v>
      </c>
      <c r="E7" s="63" t="s">
        <v>69</v>
      </c>
      <c r="F7" s="60" t="s">
        <v>12</v>
      </c>
      <c r="G7" s="47">
        <v>48</v>
      </c>
      <c r="H7" s="135">
        <f>IF(B$17=0,0,G7/B$17)</f>
        <v>0.33566433566433568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702.22222222222217</v>
      </c>
      <c r="P7" s="122">
        <v>45</v>
      </c>
      <c r="Q7" s="106">
        <v>31600</v>
      </c>
    </row>
    <row r="8" spans="1:17" x14ac:dyDescent="0.4">
      <c r="A8" s="55" t="s">
        <v>3</v>
      </c>
      <c r="B8" s="47">
        <v>27</v>
      </c>
      <c r="C8" s="39">
        <f>IF(B$2=0,0,B8/B$2)</f>
        <v>0.43548387096774194</v>
      </c>
      <c r="E8" s="63" t="s">
        <v>70</v>
      </c>
      <c r="F8" s="60" t="s">
        <v>25</v>
      </c>
      <c r="G8" s="47">
        <v>31</v>
      </c>
      <c r="H8" s="135">
        <f>IF(B$17=0,0,G8/B$17)</f>
        <v>0.21678321678321677</v>
      </c>
      <c r="I8" s="96">
        <v>2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19</v>
      </c>
      <c r="C9" s="40">
        <f t="shared" ref="C9" si="1">IF(B$2=0,0,B9/B$2)</f>
        <v>0.30645161290322581</v>
      </c>
      <c r="E9" s="63" t="s">
        <v>66</v>
      </c>
      <c r="F9" s="60" t="s">
        <v>22</v>
      </c>
      <c r="G9" s="47">
        <v>21</v>
      </c>
      <c r="H9" s="135">
        <f>IF(B$17=0,0,G9/B$17)</f>
        <v>0.14685314685314685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0.12903225806451613</v>
      </c>
      <c r="E10" s="63" t="s">
        <v>71</v>
      </c>
      <c r="F10" s="60" t="s">
        <v>26</v>
      </c>
      <c r="G10" s="47">
        <v>20</v>
      </c>
      <c r="H10" s="135">
        <f>IF(B$17=0,0,G10/B$17)</f>
        <v>0.13986013986013987</v>
      </c>
      <c r="I10" s="96">
        <v>2</v>
      </c>
      <c r="K10" s="38">
        <v>8</v>
      </c>
      <c r="L10" s="101">
        <v>-49.6</v>
      </c>
      <c r="N10" s="116" t="s">
        <v>165</v>
      </c>
      <c r="O10" s="126">
        <f>IF(P10=0,0,Q10/P10)</f>
        <v>-4.580000000000001</v>
      </c>
      <c r="P10" s="120">
        <v>30</v>
      </c>
      <c r="Q10" s="108">
        <v>-137.40000000000003</v>
      </c>
    </row>
    <row r="11" spans="1:17" x14ac:dyDescent="0.4">
      <c r="A11" s="56" t="s">
        <v>140</v>
      </c>
      <c r="B11" s="48">
        <v>5</v>
      </c>
      <c r="C11" s="40">
        <f>IF(B$2=0,0,B11/B$2)</f>
        <v>8.0645161290322578E-2</v>
      </c>
      <c r="E11" s="63" t="s">
        <v>90</v>
      </c>
      <c r="F11" s="60" t="s">
        <v>45</v>
      </c>
      <c r="G11" s="47">
        <v>16</v>
      </c>
      <c r="H11" s="135">
        <f>IF(B$17=0,0,G11/B$17)</f>
        <v>0.11188811188811189</v>
      </c>
      <c r="I11" s="96">
        <v>9</v>
      </c>
      <c r="K11" s="38">
        <v>9</v>
      </c>
      <c r="L11" s="101">
        <v>-79.5</v>
      </c>
      <c r="N11" s="117" t="s">
        <v>166</v>
      </c>
      <c r="O11" s="127">
        <f>IF(P11=0,0,Q11/P11)</f>
        <v>-9.0833333333333321</v>
      </c>
      <c r="P11" s="121">
        <v>18</v>
      </c>
      <c r="Q11" s="109">
        <v>-163.49999999999997</v>
      </c>
    </row>
    <row r="12" spans="1:17" x14ac:dyDescent="0.4">
      <c r="A12" s="57" t="s">
        <v>160</v>
      </c>
      <c r="B12" s="49">
        <v>4</v>
      </c>
      <c r="C12" s="42">
        <f>IF(B$2=0,0,B12/B$2)</f>
        <v>6.4516129032258063E-2</v>
      </c>
      <c r="E12" s="63" t="s">
        <v>87</v>
      </c>
      <c r="F12" s="60" t="s">
        <v>42</v>
      </c>
      <c r="G12" s="47">
        <v>9</v>
      </c>
      <c r="H12" s="135">
        <f>IF(B$17=0,0,G12/B$17)</f>
        <v>6.2937062937062943E-2</v>
      </c>
      <c r="I12" s="96">
        <v>6</v>
      </c>
      <c r="K12" s="38">
        <v>10</v>
      </c>
      <c r="L12" s="101">
        <v>-80.900000000000006</v>
      </c>
      <c r="N12" s="118" t="s">
        <v>167</v>
      </c>
      <c r="O12" s="128">
        <f>IF(P12=0,0,Q12/P12)</f>
        <v>14.55</v>
      </c>
      <c r="P12" s="122">
        <v>14</v>
      </c>
      <c r="Q12" s="110">
        <v>203.70000000000002</v>
      </c>
    </row>
    <row r="13" spans="1:17" x14ac:dyDescent="0.4">
      <c r="A13" s="58" t="s">
        <v>122</v>
      </c>
      <c r="B13" s="50">
        <v>137</v>
      </c>
      <c r="C13" s="44">
        <f>IF(B$3=0,0,B13/B$3)</f>
        <v>0.26862745098039215</v>
      </c>
      <c r="E13" s="63" t="s">
        <v>82</v>
      </c>
      <c r="F13" s="60" t="s">
        <v>37</v>
      </c>
      <c r="G13" s="47">
        <v>7</v>
      </c>
      <c r="H13" s="135">
        <f>IF(B$17=0,0,G13/B$17)</f>
        <v>4.8951048951048952E-2</v>
      </c>
      <c r="I13" s="96">
        <v>2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100</v>
      </c>
      <c r="C14" s="39">
        <f>IF(B$3=0,0,B14/B$3)</f>
        <v>0.19607843137254902</v>
      </c>
      <c r="E14" s="63" t="s">
        <v>72</v>
      </c>
      <c r="F14" s="60" t="s">
        <v>27</v>
      </c>
      <c r="G14" s="47">
        <v>5</v>
      </c>
      <c r="H14" s="135">
        <f>IF(B$17=0,0,G14/B$17)</f>
        <v>3.4965034965034968E-2</v>
      </c>
      <c r="I14" s="96">
        <v>7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86</v>
      </c>
      <c r="C15" s="37">
        <f>IF(B$13=0,0,B15/B$13)</f>
        <v>0.62773722627737227</v>
      </c>
      <c r="E15" s="63" t="s">
        <v>84</v>
      </c>
      <c r="F15" s="60" t="s">
        <v>39</v>
      </c>
      <c r="G15" s="47">
        <v>5</v>
      </c>
      <c r="H15" s="135">
        <f>IF(B$17=0,0,G15/B$17)</f>
        <v>3.4965034965034968E-2</v>
      </c>
      <c r="I15" s="96">
        <v>6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27</v>
      </c>
      <c r="C16" s="37">
        <f>IF(B$14=0,0,B16/B$14)</f>
        <v>0.27</v>
      </c>
      <c r="E16" s="63" t="s">
        <v>92</v>
      </c>
      <c r="F16" s="60" t="s">
        <v>47</v>
      </c>
      <c r="G16" s="47">
        <v>5</v>
      </c>
      <c r="H16" s="135">
        <f>IF(B$17=0,0,G16/B$17)</f>
        <v>3.4965034965034968E-2</v>
      </c>
      <c r="I16" s="96">
        <v>2</v>
      </c>
      <c r="K16" s="38">
        <v>14</v>
      </c>
      <c r="L16" s="101">
        <v>-25.600000000000009</v>
      </c>
      <c r="N16" s="117" t="s">
        <v>129</v>
      </c>
      <c r="O16" s="127">
        <f>IF(P16=0,0,Q16/P16)</f>
        <v>23.638888888888886</v>
      </c>
      <c r="P16" s="121">
        <v>18</v>
      </c>
      <c r="Q16" s="109">
        <v>425.49999999999994</v>
      </c>
    </row>
    <row r="17" spans="1:17" x14ac:dyDescent="0.4">
      <c r="A17" s="54" t="s">
        <v>10</v>
      </c>
      <c r="B17" s="46">
        <f>B19+B18</f>
        <v>143</v>
      </c>
      <c r="C17" s="37">
        <f>IF(B$3=0,0,B17/B$3)</f>
        <v>0.2803921568627451</v>
      </c>
      <c r="E17" s="63" t="s">
        <v>181</v>
      </c>
      <c r="F17" s="60" t="s">
        <v>184</v>
      </c>
      <c r="G17" s="47">
        <v>3</v>
      </c>
      <c r="H17" s="135">
        <f>IF(B$17=0,0,G17/B$17)</f>
        <v>2.097902097902098E-2</v>
      </c>
      <c r="I17" s="96">
        <v>2</v>
      </c>
      <c r="K17" s="38">
        <v>15</v>
      </c>
      <c r="L17" s="101">
        <v>47.999999999999986</v>
      </c>
      <c r="N17" s="117" t="s">
        <v>172</v>
      </c>
      <c r="O17" s="127">
        <f>IF(P17=0,0,Q17/P17)</f>
        <v>16.305555555555564</v>
      </c>
      <c r="P17" s="121">
        <v>18</v>
      </c>
      <c r="Q17" s="109">
        <v>293.50000000000017</v>
      </c>
    </row>
    <row r="18" spans="1:17" x14ac:dyDescent="0.4">
      <c r="A18" s="55" t="s">
        <v>12</v>
      </c>
      <c r="B18" s="47">
        <v>58</v>
      </c>
      <c r="C18" s="39">
        <f>IF(B$17=0,0,B18/B$17)</f>
        <v>0.40559440559440557</v>
      </c>
      <c r="E18" s="63" t="s">
        <v>75</v>
      </c>
      <c r="F18" s="60" t="s">
        <v>30</v>
      </c>
      <c r="G18" s="47">
        <v>2</v>
      </c>
      <c r="H18" s="135">
        <f>IF(B$17=0,0,G18/B$17)</f>
        <v>1.3986013986013986E-2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>IF(P18=0,0,Q18/P18)</f>
        <v>4.9499999999999984</v>
      </c>
      <c r="P18" s="121">
        <v>14</v>
      </c>
      <c r="Q18" s="109">
        <v>69.299999999999983</v>
      </c>
    </row>
    <row r="19" spans="1:17" x14ac:dyDescent="0.4">
      <c r="A19" s="55" t="s">
        <v>11</v>
      </c>
      <c r="B19" s="47">
        <v>85</v>
      </c>
      <c r="C19" s="39">
        <f>IF(B$17=0,0,B19/B$17)</f>
        <v>0.59440559440559437</v>
      </c>
      <c r="E19" s="63" t="s">
        <v>76</v>
      </c>
      <c r="F19" s="60" t="s">
        <v>31</v>
      </c>
      <c r="G19" s="47">
        <v>2</v>
      </c>
      <c r="H19" s="135">
        <f>IF(B$17=0,0,G19/B$17)</f>
        <v>1.3986013986013986E-2</v>
      </c>
      <c r="I19" s="96">
        <v>3</v>
      </c>
      <c r="K19" s="38">
        <v>17</v>
      </c>
      <c r="L19" s="101">
        <v>94.6</v>
      </c>
      <c r="N19" s="117" t="s">
        <v>173</v>
      </c>
      <c r="O19" s="127">
        <f>IF(P19=0,0,Q19/P19)</f>
        <v>0.62307692307692375</v>
      </c>
      <c r="P19" s="121">
        <v>13</v>
      </c>
      <c r="Q19" s="109">
        <v>8.1000000000000085</v>
      </c>
    </row>
    <row r="20" spans="1:17" x14ac:dyDescent="0.4">
      <c r="A20" s="55" t="s">
        <v>13</v>
      </c>
      <c r="B20" s="47">
        <v>89</v>
      </c>
      <c r="C20" s="39">
        <f>IF(B$3=0,0,B20/B$3)</f>
        <v>0.17450980392156862</v>
      </c>
      <c r="E20" s="63" t="s">
        <v>80</v>
      </c>
      <c r="F20" s="60" t="s">
        <v>35</v>
      </c>
      <c r="G20" s="47">
        <v>2</v>
      </c>
      <c r="H20" s="135">
        <f>IF(B$17=0,0,G20/B$17)</f>
        <v>1.3986013986013986E-2</v>
      </c>
      <c r="I20" s="96">
        <v>3</v>
      </c>
      <c r="K20" s="38">
        <v>18</v>
      </c>
      <c r="L20" s="101">
        <v>116.69999999999999</v>
      </c>
      <c r="N20" s="117" t="s">
        <v>178</v>
      </c>
      <c r="O20" s="127">
        <f>IF(P20=0,0,Q20/P20)</f>
        <v>-0.75</v>
      </c>
      <c r="P20" s="121">
        <v>10</v>
      </c>
      <c r="Q20" s="109">
        <v>-7.5</v>
      </c>
    </row>
    <row r="21" spans="1:17" x14ac:dyDescent="0.4">
      <c r="A21" s="55" t="s">
        <v>194</v>
      </c>
      <c r="B21" s="47">
        <v>5</v>
      </c>
      <c r="C21" s="137">
        <v>0</v>
      </c>
      <c r="E21" s="63" t="s">
        <v>74</v>
      </c>
      <c r="F21" s="60" t="s">
        <v>29</v>
      </c>
      <c r="G21" s="47">
        <v>1</v>
      </c>
      <c r="H21" s="135">
        <f>IF(B$17=0,0,G21/B$17)</f>
        <v>6.993006993006993E-3</v>
      </c>
      <c r="I21" s="96">
        <v>3</v>
      </c>
      <c r="K21" s="38">
        <v>19</v>
      </c>
      <c r="L21" s="101">
        <v>138.79999999999998</v>
      </c>
      <c r="N21" s="117" t="s">
        <v>127</v>
      </c>
      <c r="O21" s="127">
        <f>IF(P21=0,0,Q21/P21)</f>
        <v>-28.472340425531922</v>
      </c>
      <c r="P21" s="121">
        <v>47</v>
      </c>
      <c r="Q21" s="109">
        <v>-1338.2000000000003</v>
      </c>
    </row>
    <row r="22" spans="1:17" x14ac:dyDescent="0.4">
      <c r="A22" s="55" t="s">
        <v>195</v>
      </c>
      <c r="B22" s="47">
        <v>24</v>
      </c>
      <c r="C22" s="137">
        <v>0</v>
      </c>
      <c r="E22" s="63" t="s">
        <v>78</v>
      </c>
      <c r="F22" s="60" t="s">
        <v>33</v>
      </c>
      <c r="G22" s="47">
        <v>1</v>
      </c>
      <c r="H22" s="135">
        <f>IF(B$17=0,0,G22/B$17)</f>
        <v>6.993006993006993E-3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9083.9160839160832</v>
      </c>
      <c r="C23" s="41">
        <v>1299000</v>
      </c>
      <c r="E23" s="63" t="s">
        <v>79</v>
      </c>
      <c r="F23" s="60" t="s">
        <v>34</v>
      </c>
      <c r="G23" s="47">
        <v>1</v>
      </c>
      <c r="H23" s="135">
        <f>IF(B$17=0,0,G23/B$17)</f>
        <v>6.993006993006993E-3</v>
      </c>
      <c r="I23" s="96">
        <v>7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-7253.9325842696626</v>
      </c>
      <c r="C24" s="45">
        <v>-645600</v>
      </c>
      <c r="E24" s="63" t="s">
        <v>85</v>
      </c>
      <c r="F24" s="60" t="s">
        <v>40</v>
      </c>
      <c r="G24" s="47">
        <v>1</v>
      </c>
      <c r="H24" s="135">
        <f>IF(B$17=0,0,G24/B$17)</f>
        <v>6.993006993006993E-3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6.993006993006993E-3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94000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6.993006993006993E-3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7.8431372549019607E-3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  <row r="53" spans="5:12" x14ac:dyDescent="0.4">
      <c r="K53" s="38">
        <v>51</v>
      </c>
      <c r="L53" s="101">
        <v>-29.30000000000004</v>
      </c>
    </row>
    <row r="54" spans="5:12" x14ac:dyDescent="0.4">
      <c r="K54" s="38">
        <v>52</v>
      </c>
      <c r="L54" s="101">
        <v>-55.600000000000037</v>
      </c>
    </row>
    <row r="55" spans="5:12" x14ac:dyDescent="0.4">
      <c r="K55" s="38">
        <v>53</v>
      </c>
      <c r="L55" s="101">
        <v>-95.100000000000037</v>
      </c>
    </row>
    <row r="56" spans="5:12" x14ac:dyDescent="0.4">
      <c r="K56" s="38">
        <v>54</v>
      </c>
      <c r="L56" s="101">
        <v>-91.000000000000043</v>
      </c>
    </row>
    <row r="57" spans="5:12" x14ac:dyDescent="0.4">
      <c r="K57" s="38">
        <v>55</v>
      </c>
      <c r="L57" s="101">
        <v>-12.000000000000043</v>
      </c>
    </row>
    <row r="58" spans="5:12" x14ac:dyDescent="0.4">
      <c r="K58" s="38">
        <v>56</v>
      </c>
      <c r="L58" s="101">
        <v>-46.000000000000043</v>
      </c>
    </row>
    <row r="59" spans="5:12" x14ac:dyDescent="0.4">
      <c r="K59" s="38">
        <v>57</v>
      </c>
      <c r="L59" s="101">
        <v>-59.000000000000043</v>
      </c>
    </row>
    <row r="60" spans="5:12" x14ac:dyDescent="0.4">
      <c r="K60" s="38">
        <v>58</v>
      </c>
      <c r="L60" s="101">
        <v>-62.100000000000044</v>
      </c>
    </row>
    <row r="61" spans="5:12" x14ac:dyDescent="0.4">
      <c r="K61" s="38">
        <v>59</v>
      </c>
      <c r="L61" s="101">
        <v>-56.700000000000045</v>
      </c>
    </row>
    <row r="62" spans="5:12" x14ac:dyDescent="0.4">
      <c r="K62" s="38">
        <v>60</v>
      </c>
      <c r="L62" s="101">
        <v>-117.90000000000005</v>
      </c>
    </row>
    <row r="63" spans="5:12" x14ac:dyDescent="0.4">
      <c r="K63" s="38">
        <v>61</v>
      </c>
      <c r="L63" s="101">
        <v>-89.600000000000051</v>
      </c>
    </row>
    <row r="64" spans="5:12" x14ac:dyDescent="0.4">
      <c r="K64" s="38">
        <v>62</v>
      </c>
      <c r="L64" s="101">
        <v>-97.200000000000045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F9CAB-D1EC-481E-B50C-F6E4BDEF355C}">
  <sheetPr codeName="Sheet11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</v>
      </c>
      <c r="C2" s="149"/>
      <c r="E2" s="62" t="s">
        <v>67</v>
      </c>
      <c r="F2" s="59" t="s">
        <v>23</v>
      </c>
      <c r="G2" s="46">
        <v>36</v>
      </c>
      <c r="H2" s="134">
        <f>IF(B$17=0,0,G2/B$17)</f>
        <v>0.87804878048780488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-3515.3846153846152</v>
      </c>
      <c r="P2" s="120">
        <v>26</v>
      </c>
      <c r="Q2" s="104">
        <v>-91400</v>
      </c>
    </row>
    <row r="3" spans="1:17" x14ac:dyDescent="0.4">
      <c r="A3" s="55" t="s">
        <v>8</v>
      </c>
      <c r="B3" s="150">
        <v>212</v>
      </c>
      <c r="C3" s="151"/>
      <c r="E3" s="63" t="s">
        <v>65</v>
      </c>
      <c r="F3" s="60" t="s">
        <v>21</v>
      </c>
      <c r="G3" s="47">
        <v>25</v>
      </c>
      <c r="H3" s="135">
        <f>IF(B$17=0,0,G3/B$17)</f>
        <v>0.6097560975609756</v>
      </c>
      <c r="I3" s="96">
        <v>2</v>
      </c>
      <c r="K3" s="38">
        <v>1</v>
      </c>
      <c r="L3" s="101">
        <v>-40.4</v>
      </c>
      <c r="N3" s="117" t="s">
        <v>133</v>
      </c>
      <c r="O3" s="124">
        <f t="shared" si="0"/>
        <v>-4453.8461538461543</v>
      </c>
      <c r="P3" s="121">
        <v>26</v>
      </c>
      <c r="Q3" s="105">
        <v>-115800</v>
      </c>
    </row>
    <row r="4" spans="1:17" x14ac:dyDescent="0.4">
      <c r="A4" s="55" t="s">
        <v>6</v>
      </c>
      <c r="B4" s="152">
        <v>-818.49999999999989</v>
      </c>
      <c r="C4" s="153"/>
      <c r="E4" s="63" t="s">
        <v>69</v>
      </c>
      <c r="F4" s="60" t="s">
        <v>12</v>
      </c>
      <c r="G4" s="47">
        <v>17</v>
      </c>
      <c r="H4" s="135">
        <f>IF(B$17=0,0,G4/B$17)</f>
        <v>0.41463414634146339</v>
      </c>
      <c r="I4" s="96">
        <v>2</v>
      </c>
      <c r="K4" s="38">
        <v>2</v>
      </c>
      <c r="L4" s="101">
        <v>-3.3999999999999986</v>
      </c>
      <c r="N4" s="117" t="s">
        <v>134</v>
      </c>
      <c r="O4" s="124">
        <f t="shared" si="0"/>
        <v>-3691.304347826087</v>
      </c>
      <c r="P4" s="121">
        <v>23</v>
      </c>
      <c r="Q4" s="105">
        <v>-84900</v>
      </c>
    </row>
    <row r="5" spans="1:17" x14ac:dyDescent="0.4">
      <c r="A5" s="55" t="s">
        <v>7</v>
      </c>
      <c r="B5" s="154">
        <f>IF(B$2=0,0,B$4/B$2)</f>
        <v>-31.480769230769226</v>
      </c>
      <c r="C5" s="155"/>
      <c r="E5" s="63" t="s">
        <v>68</v>
      </c>
      <c r="F5" s="60" t="s">
        <v>24</v>
      </c>
      <c r="G5" s="47">
        <v>15</v>
      </c>
      <c r="H5" s="135">
        <f>IF(B$17=0,0,G5/B$17)</f>
        <v>0.36585365853658536</v>
      </c>
      <c r="I5" s="96">
        <v>3</v>
      </c>
      <c r="K5" s="38">
        <v>3</v>
      </c>
      <c r="L5" s="101">
        <v>-23.099999999999998</v>
      </c>
      <c r="N5" s="117" t="s">
        <v>135</v>
      </c>
      <c r="O5" s="124">
        <f t="shared" si="0"/>
        <v>-7305</v>
      </c>
      <c r="P5" s="121">
        <v>20</v>
      </c>
      <c r="Q5" s="105">
        <v>-146100</v>
      </c>
    </row>
    <row r="6" spans="1:17" x14ac:dyDescent="0.4">
      <c r="A6" s="55" t="s">
        <v>1</v>
      </c>
      <c r="B6" s="144">
        <f>IF(B$2=0,0,(B$7*1+B$8*2+B$9*3)/B$2)</f>
        <v>2.5384615384615383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0.34146341463414637</v>
      </c>
      <c r="I6" s="96">
        <v>8</v>
      </c>
      <c r="K6" s="38">
        <v>4</v>
      </c>
      <c r="L6" s="101">
        <v>-31.4</v>
      </c>
      <c r="N6" s="117" t="s">
        <v>136</v>
      </c>
      <c r="O6" s="124">
        <f t="shared" si="0"/>
        <v>-2405.5555555555557</v>
      </c>
      <c r="P6" s="121">
        <v>18</v>
      </c>
      <c r="Q6" s="105">
        <v>-43300</v>
      </c>
    </row>
    <row r="7" spans="1:17" x14ac:dyDescent="0.4">
      <c r="A7" s="55" t="s">
        <v>2</v>
      </c>
      <c r="B7" s="47">
        <v>3</v>
      </c>
      <c r="C7" s="39">
        <f>IF(B$2=0,0,B7/B$2)</f>
        <v>0.11538461538461539</v>
      </c>
      <c r="E7" s="63" t="s">
        <v>73</v>
      </c>
      <c r="F7" s="60" t="s">
        <v>28</v>
      </c>
      <c r="G7" s="47">
        <v>12</v>
      </c>
      <c r="H7" s="135">
        <f>IF(B$17=0,0,G7/B$17)</f>
        <v>0.29268292682926828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-2116.6666666666665</v>
      </c>
      <c r="P7" s="122">
        <v>18</v>
      </c>
      <c r="Q7" s="106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0.23076923076923078</v>
      </c>
      <c r="E8" s="63" t="s">
        <v>71</v>
      </c>
      <c r="F8" s="60" t="s">
        <v>26</v>
      </c>
      <c r="G8" s="47">
        <v>9</v>
      </c>
      <c r="H8" s="135">
        <f>IF(B$17=0,0,G8/B$17)</f>
        <v>0.21951219512195122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17</v>
      </c>
      <c r="C9" s="40">
        <f t="shared" ref="C9" si="1">IF(B$2=0,0,B9/B$2)</f>
        <v>0.65384615384615385</v>
      </c>
      <c r="E9" s="63" t="s">
        <v>70</v>
      </c>
      <c r="F9" s="60" t="s">
        <v>25</v>
      </c>
      <c r="G9" s="47">
        <v>8</v>
      </c>
      <c r="H9" s="135">
        <f>IF(B$17=0,0,G9/B$17)</f>
        <v>0.1951219512195122</v>
      </c>
      <c r="I9" s="96">
        <v>5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0.26923076923076922</v>
      </c>
      <c r="E10" s="63" t="s">
        <v>72</v>
      </c>
      <c r="F10" s="60" t="s">
        <v>27</v>
      </c>
      <c r="G10" s="47">
        <v>5</v>
      </c>
      <c r="H10" s="135">
        <f>IF(B$17=0,0,G10/B$17)</f>
        <v>0.12195121951219512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-29.977777777777774</v>
      </c>
      <c r="P10" s="120">
        <v>9</v>
      </c>
      <c r="Q10" s="108">
        <v>-269.79999999999995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0.12195121951219512</v>
      </c>
      <c r="I11" s="96">
        <v>7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3.8461538461538464E-2</v>
      </c>
      <c r="E12" s="63" t="s">
        <v>66</v>
      </c>
      <c r="F12" s="60" t="s">
        <v>22</v>
      </c>
      <c r="G12" s="47">
        <v>4</v>
      </c>
      <c r="H12" s="135">
        <f>IF(B$17=0,0,G12/B$17)</f>
        <v>9.7560975609756101E-2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-33.971428571428568</v>
      </c>
      <c r="P12" s="122">
        <v>7</v>
      </c>
      <c r="Q12" s="110">
        <v>-237.79999999999998</v>
      </c>
    </row>
    <row r="13" spans="1:17" x14ac:dyDescent="0.4">
      <c r="A13" s="58" t="s">
        <v>122</v>
      </c>
      <c r="B13" s="50">
        <v>52</v>
      </c>
      <c r="C13" s="44">
        <f>IF(B$3=0,0,B13/B$3)</f>
        <v>0.24528301886792453</v>
      </c>
      <c r="E13" s="63" t="s">
        <v>87</v>
      </c>
      <c r="F13" s="60" t="s">
        <v>42</v>
      </c>
      <c r="G13" s="47">
        <v>2</v>
      </c>
      <c r="H13" s="135">
        <f>IF(B$17=0,0,G13/B$17)</f>
        <v>4.878048780487805E-2</v>
      </c>
      <c r="I13" s="96">
        <v>7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26</v>
      </c>
      <c r="C14" s="39">
        <f>IF(B$3=0,0,B14/B$3)</f>
        <v>0.12264150943396226</v>
      </c>
      <c r="E14" s="63" t="s">
        <v>79</v>
      </c>
      <c r="F14" s="60" t="s">
        <v>34</v>
      </c>
      <c r="G14" s="47">
        <v>1</v>
      </c>
      <c r="H14" s="135">
        <f>IF(B$17=0,0,G14/B$17)</f>
        <v>2.4390243902439025E-2</v>
      </c>
      <c r="I14" s="96">
        <v>4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</v>
      </c>
      <c r="E15" s="63" t="s">
        <v>84</v>
      </c>
      <c r="F15" s="60" t="s">
        <v>39</v>
      </c>
      <c r="G15" s="47">
        <v>1</v>
      </c>
      <c r="H15" s="135">
        <f>IF(B$17=0,0,G15/B$17)</f>
        <v>2.4390243902439025E-2</v>
      </c>
      <c r="I15" s="96">
        <v>9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0.15384615384615385</v>
      </c>
      <c r="E16" s="63" t="s">
        <v>89</v>
      </c>
      <c r="F16" s="60" t="s">
        <v>44</v>
      </c>
      <c r="G16" s="47">
        <v>1</v>
      </c>
      <c r="H16" s="135">
        <f>IF(B$17=0,0,G16/B$17)</f>
        <v>2.4390243902439025E-2</v>
      </c>
      <c r="I16" s="96">
        <v>1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0.19339622641509435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-424.5</v>
      </c>
      <c r="N17" s="117" t="s">
        <v>128</v>
      </c>
      <c r="O17" s="127">
        <f>IF(P17=0,0,Q17/P17)</f>
        <v>-23.638888888888886</v>
      </c>
      <c r="P17" s="121">
        <v>18</v>
      </c>
      <c r="Q17" s="109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-472</v>
      </c>
      <c r="N18" s="117" t="s">
        <v>127</v>
      </c>
      <c r="O18" s="127">
        <f>IF(P18=0,0,Q18/P18)</f>
        <v>-62.058823529411775</v>
      </c>
      <c r="P18" s="121">
        <v>17</v>
      </c>
      <c r="Q18" s="109">
        <v>-1055.0000000000002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48</v>
      </c>
      <c r="C20" s="39">
        <f>IF(B$3=0,0,B20/B$3)</f>
        <v>0.22641509433962265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-10462.5</v>
      </c>
      <c r="C24" s="45">
        <v>-502200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-737.19999999999993</v>
      </c>
    </row>
    <row r="26" spans="1:17" x14ac:dyDescent="0.4">
      <c r="A26" s="58" t="s">
        <v>152</v>
      </c>
      <c r="B26" s="140">
        <v>52200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4.7169811320754715E-3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4F0CE-1A2B-4406-9CB7-D9F1D6E1D9DB}">
  <sheetPr codeName="Sheet13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36</v>
      </c>
      <c r="C2" s="149"/>
      <c r="E2" s="62" t="s">
        <v>67</v>
      </c>
      <c r="F2" s="59" t="s">
        <v>23</v>
      </c>
      <c r="G2" s="46">
        <v>54</v>
      </c>
      <c r="H2" s="134">
        <f>IF(B$17=0,0,G2/B$17)</f>
        <v>0.72972972972972971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-205.55555555555554</v>
      </c>
      <c r="P2" s="120">
        <v>36</v>
      </c>
      <c r="Q2" s="104">
        <v>-7400</v>
      </c>
    </row>
    <row r="3" spans="1:17" x14ac:dyDescent="0.4">
      <c r="A3" s="55" t="s">
        <v>8</v>
      </c>
      <c r="B3" s="150">
        <v>307</v>
      </c>
      <c r="C3" s="151"/>
      <c r="E3" s="63" t="s">
        <v>65</v>
      </c>
      <c r="F3" s="60" t="s">
        <v>21</v>
      </c>
      <c r="G3" s="47">
        <v>40</v>
      </c>
      <c r="H3" s="135">
        <f>IF(B$17=0,0,G3/B$17)</f>
        <v>0.54054054054054057</v>
      </c>
      <c r="I3" s="96">
        <v>5</v>
      </c>
      <c r="K3" s="38">
        <v>1</v>
      </c>
      <c r="L3" s="101">
        <v>-51.2</v>
      </c>
      <c r="N3" s="117" t="s">
        <v>133</v>
      </c>
      <c r="O3" s="124">
        <f t="shared" si="0"/>
        <v>852.77777777777783</v>
      </c>
      <c r="P3" s="121">
        <v>36</v>
      </c>
      <c r="Q3" s="105">
        <v>30700</v>
      </c>
    </row>
    <row r="4" spans="1:17" x14ac:dyDescent="0.4">
      <c r="A4" s="55" t="s">
        <v>6</v>
      </c>
      <c r="B4" s="152">
        <v>-130.69999999999999</v>
      </c>
      <c r="C4" s="153"/>
      <c r="E4" s="63" t="s">
        <v>73</v>
      </c>
      <c r="F4" s="60" t="s">
        <v>28</v>
      </c>
      <c r="G4" s="47">
        <v>37</v>
      </c>
      <c r="H4" s="135">
        <f>IF(B$17=0,0,G4/B$17)</f>
        <v>0.5</v>
      </c>
      <c r="I4" s="96">
        <v>8</v>
      </c>
      <c r="K4" s="38">
        <v>2</v>
      </c>
      <c r="L4" s="101">
        <v>-93.300000000000011</v>
      </c>
      <c r="N4" s="117" t="s">
        <v>134</v>
      </c>
      <c r="O4" s="124">
        <f t="shared" si="0"/>
        <v>1055.8823529411766</v>
      </c>
      <c r="P4" s="121">
        <v>34</v>
      </c>
      <c r="Q4" s="105">
        <v>35900</v>
      </c>
    </row>
    <row r="5" spans="1:17" x14ac:dyDescent="0.4">
      <c r="A5" s="55" t="s">
        <v>7</v>
      </c>
      <c r="B5" s="154">
        <f>IF(B$2=0,0,B$4/B$2)</f>
        <v>-3.6305555555555551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0.29729729729729731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-2183.8709677419356</v>
      </c>
      <c r="P5" s="121">
        <v>31</v>
      </c>
      <c r="Q5" s="105">
        <v>-67700</v>
      </c>
    </row>
    <row r="6" spans="1:17" x14ac:dyDescent="0.4">
      <c r="A6" s="55" t="s">
        <v>1</v>
      </c>
      <c r="B6" s="144">
        <f>IF(B$2=0,0,(B$7*1+B$8*2+B$9*3)/B$2)</f>
        <v>2.1388888888888888</v>
      </c>
      <c r="C6" s="145"/>
      <c r="E6" s="63" t="s">
        <v>69</v>
      </c>
      <c r="F6" s="60" t="s">
        <v>12</v>
      </c>
      <c r="G6" s="47">
        <v>18</v>
      </c>
      <c r="H6" s="135">
        <f>IF(B$17=0,0,G6/B$17)</f>
        <v>0.24324324324324326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-913.79310344827582</v>
      </c>
      <c r="P6" s="121">
        <v>29</v>
      </c>
      <c r="Q6" s="105">
        <v>-26500</v>
      </c>
    </row>
    <row r="7" spans="1:17" x14ac:dyDescent="0.4">
      <c r="A7" s="55" t="s">
        <v>2</v>
      </c>
      <c r="B7" s="47">
        <v>9</v>
      </c>
      <c r="C7" s="39">
        <f>IF(B$2=0,0,B7/B$2)</f>
        <v>0.25</v>
      </c>
      <c r="E7" s="63" t="s">
        <v>68</v>
      </c>
      <c r="F7" s="60" t="s">
        <v>24</v>
      </c>
      <c r="G7" s="47">
        <v>17</v>
      </c>
      <c r="H7" s="135">
        <f>IF(B$17=0,0,G7/B$17)</f>
        <v>0.22972972972972974</v>
      </c>
      <c r="I7" s="96">
        <v>7</v>
      </c>
      <c r="K7" s="38">
        <v>5</v>
      </c>
      <c r="L7" s="101">
        <v>-36.100000000000009</v>
      </c>
      <c r="N7" s="118" t="s">
        <v>137</v>
      </c>
      <c r="O7" s="125">
        <f t="shared" si="0"/>
        <v>455.55555555555554</v>
      </c>
      <c r="P7" s="122">
        <v>27</v>
      </c>
      <c r="Q7" s="106">
        <v>12300</v>
      </c>
    </row>
    <row r="8" spans="1:17" x14ac:dyDescent="0.4">
      <c r="A8" s="55" t="s">
        <v>3</v>
      </c>
      <c r="B8" s="47">
        <v>13</v>
      </c>
      <c r="C8" s="39">
        <f>IF(B$2=0,0,B8/B$2)</f>
        <v>0.3611111111111111</v>
      </c>
      <c r="E8" s="63" t="s">
        <v>70</v>
      </c>
      <c r="F8" s="60" t="s">
        <v>25</v>
      </c>
      <c r="G8" s="47">
        <v>16</v>
      </c>
      <c r="H8" s="135">
        <f>IF(B$17=0,0,G8/B$17)</f>
        <v>0.21621621621621623</v>
      </c>
      <c r="I8" s="96">
        <v>3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0.3888888888888889</v>
      </c>
      <c r="E9" s="63" t="s">
        <v>66</v>
      </c>
      <c r="F9" s="60" t="s">
        <v>22</v>
      </c>
      <c r="G9" s="47">
        <v>13</v>
      </c>
      <c r="H9" s="135">
        <f>IF(B$17=0,0,G9/B$17)</f>
        <v>0.17567567567567569</v>
      </c>
      <c r="I9" s="96">
        <v>1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2.7777777777777776E-2</v>
      </c>
      <c r="E10" s="63" t="s">
        <v>90</v>
      </c>
      <c r="F10" s="60" t="s">
        <v>45</v>
      </c>
      <c r="G10" s="47">
        <v>11</v>
      </c>
      <c r="H10" s="135">
        <f>IF(B$17=0,0,G10/B$17)</f>
        <v>0.14864864864864866</v>
      </c>
      <c r="I10" s="96">
        <v>5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4</v>
      </c>
      <c r="C11" s="40">
        <f>IF(B$2=0,0,B11/B$2)</f>
        <v>0.1111111111111111</v>
      </c>
      <c r="E11" s="63" t="s">
        <v>71</v>
      </c>
      <c r="F11" s="60" t="s">
        <v>26</v>
      </c>
      <c r="G11" s="47">
        <v>10</v>
      </c>
      <c r="H11" s="135">
        <f>IF(B$17=0,0,G11/B$17)</f>
        <v>0.13513513513513514</v>
      </c>
      <c r="I11" s="96">
        <v>3</v>
      </c>
      <c r="K11" s="38">
        <v>9</v>
      </c>
      <c r="L11" s="101">
        <v>-5.8000000000000025</v>
      </c>
      <c r="N11" s="117" t="s">
        <v>166</v>
      </c>
      <c r="O11" s="127">
        <f>IF(P11=0,0,Q11/P11)</f>
        <v>-8.639999999999997</v>
      </c>
      <c r="P11" s="121">
        <v>15</v>
      </c>
      <c r="Q11" s="109">
        <v>-129.59999999999997</v>
      </c>
    </row>
    <row r="12" spans="1:17" x14ac:dyDescent="0.4">
      <c r="A12" s="57" t="s">
        <v>160</v>
      </c>
      <c r="B12" s="49">
        <v>3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6</v>
      </c>
      <c r="H12" s="135">
        <f>IF(B$17=0,0,G12/B$17)</f>
        <v>8.1081081081081086E-2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75</v>
      </c>
      <c r="C13" s="44">
        <f>IF(B$3=0,0,B13/B$3)</f>
        <v>0.24429967426710097</v>
      </c>
      <c r="E13" s="63" t="s">
        <v>87</v>
      </c>
      <c r="F13" s="60" t="s">
        <v>42</v>
      </c>
      <c r="G13" s="47">
        <v>6</v>
      </c>
      <c r="H13" s="135">
        <f>IF(B$17=0,0,G13/B$17)</f>
        <v>8.1081081081081086E-2</v>
      </c>
      <c r="I13" s="96">
        <v>4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52</v>
      </c>
      <c r="C14" s="39">
        <f>IF(B$3=0,0,B14/B$3)</f>
        <v>0.16938110749185667</v>
      </c>
      <c r="E14" s="63" t="s">
        <v>84</v>
      </c>
      <c r="F14" s="60" t="s">
        <v>39</v>
      </c>
      <c r="G14" s="47">
        <v>4</v>
      </c>
      <c r="H14" s="135">
        <f>IF(B$17=0,0,G14/B$17)</f>
        <v>5.4054054054054057E-2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43</v>
      </c>
      <c r="C15" s="37">
        <f>IF(B$13=0,0,B15/B$13)</f>
        <v>0.57333333333333336</v>
      </c>
      <c r="E15" s="63" t="s">
        <v>79</v>
      </c>
      <c r="F15" s="60" t="s">
        <v>34</v>
      </c>
      <c r="G15" s="47">
        <v>3</v>
      </c>
      <c r="H15" s="135">
        <f>IF(B$17=0,0,G15/B$17)</f>
        <v>4.0540540540540543E-2</v>
      </c>
      <c r="I15" s="96">
        <v>2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0.30769230769230771</v>
      </c>
      <c r="E16" s="63" t="s">
        <v>76</v>
      </c>
      <c r="F16" s="60" t="s">
        <v>31</v>
      </c>
      <c r="G16" s="47">
        <v>2</v>
      </c>
      <c r="H16" s="135">
        <f>IF(B$17=0,0,G16/B$17)</f>
        <v>2.7027027027027029E-2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0.24104234527687296</v>
      </c>
      <c r="E17" s="63" t="s">
        <v>181</v>
      </c>
      <c r="F17" s="60" t="s">
        <v>184</v>
      </c>
      <c r="G17" s="47">
        <v>2</v>
      </c>
      <c r="H17" s="135">
        <f>IF(B$17=0,0,G17/B$17)</f>
        <v>2.7027027027027029E-2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10.618181818181817</v>
      </c>
      <c r="P17" s="121">
        <v>11</v>
      </c>
      <c r="Q17" s="109">
        <v>116.8</v>
      </c>
    </row>
    <row r="18" spans="1:17" x14ac:dyDescent="0.4">
      <c r="A18" s="55" t="s">
        <v>12</v>
      </c>
      <c r="B18" s="47">
        <v>26</v>
      </c>
      <c r="C18" s="39">
        <f>IF(B$17=0,0,B18/B$17)</f>
        <v>0.35135135135135137</v>
      </c>
      <c r="E18" s="63" t="s">
        <v>82</v>
      </c>
      <c r="F18" s="60" t="s">
        <v>37</v>
      </c>
      <c r="G18" s="47">
        <v>1</v>
      </c>
      <c r="H18" s="135">
        <f>IF(B$17=0,0,G18/B$17)</f>
        <v>1.3513513513513514E-2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0.24999999999999928</v>
      </c>
      <c r="P18" s="121">
        <v>10</v>
      </c>
      <c r="Q18" s="109">
        <v>2.4999999999999929</v>
      </c>
    </row>
    <row r="19" spans="1:17" x14ac:dyDescent="0.4">
      <c r="A19" s="55" t="s">
        <v>11</v>
      </c>
      <c r="B19" s="47">
        <v>48</v>
      </c>
      <c r="C19" s="39">
        <f>IF(B$17=0,0,B19/B$17)</f>
        <v>0.64864864864864868</v>
      </c>
      <c r="E19" s="63" t="s">
        <v>93</v>
      </c>
      <c r="F19" s="60" t="s">
        <v>48</v>
      </c>
      <c r="G19" s="47">
        <v>1</v>
      </c>
      <c r="H19" s="135">
        <f>IF(B$17=0,0,G19/B$17)</f>
        <v>1.3513513513513514E-2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49</v>
      </c>
      <c r="C20" s="39">
        <f>IF(B$3=0,0,B20/B$3)</f>
        <v>0.15960912052117263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5</v>
      </c>
      <c r="K20" s="38">
        <v>18</v>
      </c>
      <c r="L20" s="101">
        <v>-76.099999999999994</v>
      </c>
      <c r="N20" s="117" t="s">
        <v>128</v>
      </c>
      <c r="O20" s="127">
        <f>IF(P20=0,0,Q20/P20)</f>
        <v>-16.305555555555564</v>
      </c>
      <c r="P20" s="121">
        <v>18</v>
      </c>
      <c r="Q20" s="109">
        <v>-293.50000000000017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127</v>
      </c>
      <c r="O21" s="127">
        <f>IF(P21=0,0,Q21/P21)</f>
        <v>-26.113636363636363</v>
      </c>
      <c r="P21" s="121">
        <v>22</v>
      </c>
      <c r="Q21" s="109">
        <v>-574.5</v>
      </c>
    </row>
    <row r="22" spans="1:17" x14ac:dyDescent="0.4">
      <c r="A22" s="55" t="s">
        <v>195</v>
      </c>
      <c r="B22" s="47">
        <v>20</v>
      </c>
      <c r="C22" s="137">
        <v>7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203</v>
      </c>
      <c r="O22" s="127">
        <f>IF(P22=0,0,Q22/P22)</f>
        <v>-51.999999999999993</v>
      </c>
      <c r="P22" s="121">
        <v>2</v>
      </c>
      <c r="Q22" s="109">
        <v>-103.99999999999999</v>
      </c>
    </row>
    <row r="23" spans="1:17" x14ac:dyDescent="0.4">
      <c r="A23" s="55" t="s">
        <v>5</v>
      </c>
      <c r="B23" s="51">
        <f>IF(B$17=0,0,C23/B$17)</f>
        <v>8487.8378378378384</v>
      </c>
      <c r="C23" s="41">
        <v>628100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-7222.4489795918371</v>
      </c>
      <c r="C24" s="45">
        <v>-353900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3.2573289902280132E-3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4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7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3130D-1E40-4942-AEC1-3C8883FF1D0C}">
  <sheetPr codeName="Sheet15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</v>
      </c>
      <c r="C2" s="149"/>
      <c r="E2" s="62" t="s">
        <v>67</v>
      </c>
      <c r="F2" s="59" t="s">
        <v>23</v>
      </c>
      <c r="G2" s="46">
        <v>52</v>
      </c>
      <c r="H2" s="134">
        <f>IF(B$17=0,0,G2/B$17)</f>
        <v>0.70270270270270274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161.53846153846155</v>
      </c>
      <c r="P2" s="120">
        <v>26</v>
      </c>
      <c r="Q2" s="104">
        <v>4200</v>
      </c>
    </row>
    <row r="3" spans="1:17" x14ac:dyDescent="0.4">
      <c r="A3" s="55" t="s">
        <v>8</v>
      </c>
      <c r="B3" s="150">
        <v>214</v>
      </c>
      <c r="C3" s="151"/>
      <c r="E3" s="63" t="s">
        <v>73</v>
      </c>
      <c r="F3" s="60" t="s">
        <v>28</v>
      </c>
      <c r="G3" s="47">
        <v>52</v>
      </c>
      <c r="H3" s="135">
        <f>IF(B$17=0,0,G3/B$17)</f>
        <v>0.70270270270270274</v>
      </c>
      <c r="I3" s="96">
        <v>3</v>
      </c>
      <c r="K3" s="38">
        <v>1</v>
      </c>
      <c r="L3" s="101">
        <v>11.1</v>
      </c>
      <c r="N3" s="117" t="s">
        <v>133</v>
      </c>
      <c r="O3" s="124">
        <f t="shared" si="0"/>
        <v>992.30769230769226</v>
      </c>
      <c r="P3" s="121">
        <v>26</v>
      </c>
      <c r="Q3" s="105">
        <v>25800</v>
      </c>
    </row>
    <row r="4" spans="1:17" x14ac:dyDescent="0.4">
      <c r="A4" s="55" t="s">
        <v>6</v>
      </c>
      <c r="B4" s="152">
        <v>32.900000000000006</v>
      </c>
      <c r="C4" s="153"/>
      <c r="E4" s="63" t="s">
        <v>65</v>
      </c>
      <c r="F4" s="60" t="s">
        <v>21</v>
      </c>
      <c r="G4" s="47">
        <v>28</v>
      </c>
      <c r="H4" s="135">
        <f>IF(B$17=0,0,G4/B$17)</f>
        <v>0.3783783783783784</v>
      </c>
      <c r="I4" s="96">
        <v>11</v>
      </c>
      <c r="K4" s="38">
        <v>2</v>
      </c>
      <c r="L4" s="101">
        <v>-7.7000000000000011</v>
      </c>
      <c r="N4" s="117" t="s">
        <v>134</v>
      </c>
      <c r="O4" s="124">
        <f t="shared" si="0"/>
        <v>2240.909090909091</v>
      </c>
      <c r="P4" s="121">
        <v>22</v>
      </c>
      <c r="Q4" s="105">
        <v>49300</v>
      </c>
    </row>
    <row r="5" spans="1:17" x14ac:dyDescent="0.4">
      <c r="A5" s="55" t="s">
        <v>7</v>
      </c>
      <c r="B5" s="154">
        <f>IF(B$2=0,0,B$4/B$2)</f>
        <v>1.2653846153846156</v>
      </c>
      <c r="C5" s="155"/>
      <c r="E5" s="63" t="s">
        <v>182</v>
      </c>
      <c r="F5" s="60" t="s">
        <v>183</v>
      </c>
      <c r="G5" s="47">
        <v>28</v>
      </c>
      <c r="H5" s="135">
        <f>IF(B$17=0,0,G5/B$17)</f>
        <v>0.3783783783783784</v>
      </c>
      <c r="I5" s="96">
        <v>6</v>
      </c>
      <c r="K5" s="38">
        <v>3</v>
      </c>
      <c r="L5" s="101">
        <v>1.7999999999999989</v>
      </c>
      <c r="N5" s="117" t="s">
        <v>135</v>
      </c>
      <c r="O5" s="124">
        <f t="shared" si="0"/>
        <v>1405</v>
      </c>
      <c r="P5" s="121">
        <v>20</v>
      </c>
      <c r="Q5" s="105">
        <v>28100</v>
      </c>
    </row>
    <row r="6" spans="1:17" x14ac:dyDescent="0.4">
      <c r="A6" s="55" t="s">
        <v>1</v>
      </c>
      <c r="B6" s="144">
        <f>IF(B$2=0,0,(B$7*1+B$8*2+B$9*3)/B$2)</f>
        <v>2.0384615384615383</v>
      </c>
      <c r="C6" s="145"/>
      <c r="E6" s="63" t="s">
        <v>69</v>
      </c>
      <c r="F6" s="60" t="s">
        <v>12</v>
      </c>
      <c r="G6" s="47">
        <v>20</v>
      </c>
      <c r="H6" s="135">
        <f>IF(B$17=0,0,G6/B$17)</f>
        <v>0.27027027027027029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-4752.6315789473683</v>
      </c>
      <c r="P6" s="121">
        <v>19</v>
      </c>
      <c r="Q6" s="105">
        <v>-90300</v>
      </c>
    </row>
    <row r="7" spans="1:17" x14ac:dyDescent="0.4">
      <c r="A7" s="55" t="s">
        <v>2</v>
      </c>
      <c r="B7" s="47">
        <v>8</v>
      </c>
      <c r="C7" s="39">
        <f>IF(B$2=0,0,B7/B$2)</f>
        <v>0.30769230769230771</v>
      </c>
      <c r="E7" s="63" t="s">
        <v>68</v>
      </c>
      <c r="F7" s="60" t="s">
        <v>24</v>
      </c>
      <c r="G7" s="47">
        <v>16</v>
      </c>
      <c r="H7" s="135">
        <f>IF(B$17=0,0,G7/B$17)</f>
        <v>0.21621621621621623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-1076.4705882352941</v>
      </c>
      <c r="P7" s="122">
        <v>17</v>
      </c>
      <c r="Q7" s="106">
        <v>-18300</v>
      </c>
    </row>
    <row r="8" spans="1:17" x14ac:dyDescent="0.4">
      <c r="A8" s="55" t="s">
        <v>3</v>
      </c>
      <c r="B8" s="47">
        <v>9</v>
      </c>
      <c r="C8" s="39">
        <f>IF(B$2=0,0,B8/B$2)</f>
        <v>0.34615384615384615</v>
      </c>
      <c r="E8" s="63" t="s">
        <v>70</v>
      </c>
      <c r="F8" s="60" t="s">
        <v>25</v>
      </c>
      <c r="G8" s="47">
        <v>11</v>
      </c>
      <c r="H8" s="135">
        <f>IF(B$17=0,0,G8/B$17)</f>
        <v>0.14864864864864866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9</v>
      </c>
      <c r="C9" s="40">
        <f t="shared" ref="C9" si="1">IF(B$2=0,0,B9/B$2)</f>
        <v>0.34615384615384615</v>
      </c>
      <c r="E9" s="63" t="s">
        <v>66</v>
      </c>
      <c r="F9" s="60" t="s">
        <v>22</v>
      </c>
      <c r="G9" s="47">
        <v>6</v>
      </c>
      <c r="H9" s="135">
        <f>IF(B$17=0,0,G9/B$17)</f>
        <v>8.1081081081081086E-2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7.6923076923076927E-2</v>
      </c>
      <c r="E10" s="63" t="s">
        <v>71</v>
      </c>
      <c r="F10" s="60" t="s">
        <v>26</v>
      </c>
      <c r="G10" s="47">
        <v>6</v>
      </c>
      <c r="H10" s="135">
        <f>IF(B$17=0,0,G10/B$17)</f>
        <v>8.1081081081081086E-2</v>
      </c>
      <c r="I10" s="96">
        <v>8</v>
      </c>
      <c r="K10" s="38">
        <v>8</v>
      </c>
      <c r="L10" s="101">
        <v>-29.5</v>
      </c>
      <c r="N10" s="116" t="s">
        <v>165</v>
      </c>
      <c r="O10" s="126">
        <f>IF(P10=0,0,Q10/P10)</f>
        <v>-18.020000000000003</v>
      </c>
      <c r="P10" s="120">
        <v>10</v>
      </c>
      <c r="Q10" s="108">
        <v>-180.20000000000002</v>
      </c>
    </row>
    <row r="11" spans="1:17" x14ac:dyDescent="0.4">
      <c r="A11" s="56" t="s">
        <v>140</v>
      </c>
      <c r="B11" s="48">
        <v>3</v>
      </c>
      <c r="C11" s="40">
        <f>IF(B$2=0,0,B11/B$2)</f>
        <v>0.11538461538461539</v>
      </c>
      <c r="E11" s="63" t="s">
        <v>90</v>
      </c>
      <c r="F11" s="60" t="s">
        <v>45</v>
      </c>
      <c r="G11" s="47">
        <v>5</v>
      </c>
      <c r="H11" s="135">
        <f>IF(B$17=0,0,G11/B$17)</f>
        <v>6.7567567567567571E-2</v>
      </c>
      <c r="I11" s="96">
        <v>11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3.8461538461538464E-2</v>
      </c>
      <c r="E12" s="63" t="s">
        <v>82</v>
      </c>
      <c r="F12" s="60" t="s">
        <v>37</v>
      </c>
      <c r="G12" s="47">
        <v>3</v>
      </c>
      <c r="H12" s="135">
        <f>IF(B$17=0,0,G12/B$17)</f>
        <v>4.0540540540540543E-2</v>
      </c>
      <c r="I12" s="96">
        <v>3</v>
      </c>
      <c r="K12" s="38">
        <v>10</v>
      </c>
      <c r="L12" s="101">
        <v>24.200000000000003</v>
      </c>
      <c r="N12" s="118" t="s">
        <v>167</v>
      </c>
      <c r="O12" s="128">
        <f>IF(P12=0,0,Q12/P12)</f>
        <v>8.89</v>
      </c>
      <c r="P12" s="122">
        <v>10</v>
      </c>
      <c r="Q12" s="110">
        <v>88.9</v>
      </c>
    </row>
    <row r="13" spans="1:17" x14ac:dyDescent="0.4">
      <c r="A13" s="58" t="s">
        <v>122</v>
      </c>
      <c r="B13" s="50">
        <v>50</v>
      </c>
      <c r="C13" s="44">
        <f>IF(B$3=0,0,B13/B$3)</f>
        <v>0.23364485981308411</v>
      </c>
      <c r="E13" s="63" t="s">
        <v>84</v>
      </c>
      <c r="F13" s="60" t="s">
        <v>39</v>
      </c>
      <c r="G13" s="47">
        <v>3</v>
      </c>
      <c r="H13" s="135">
        <f>IF(B$17=0,0,G13/B$17)</f>
        <v>4.0540540540540543E-2</v>
      </c>
      <c r="I13" s="96">
        <v>5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70</v>
      </c>
      <c r="C14" s="39">
        <f>IF(B$3=0,0,B14/B$3)</f>
        <v>0.32710280373831774</v>
      </c>
      <c r="E14" s="63" t="s">
        <v>87</v>
      </c>
      <c r="F14" s="60" t="s">
        <v>42</v>
      </c>
      <c r="G14" s="47">
        <v>3</v>
      </c>
      <c r="H14" s="135">
        <f>IF(B$17=0,0,G14/B$17)</f>
        <v>4.0540540540540543E-2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0.57999999999999996</v>
      </c>
      <c r="E15" s="63" t="s">
        <v>72</v>
      </c>
      <c r="F15" s="60" t="s">
        <v>27</v>
      </c>
      <c r="G15" s="47">
        <v>2</v>
      </c>
      <c r="H15" s="135">
        <f>IF(B$17=0,0,G15/B$17)</f>
        <v>2.7027027027027029E-2</v>
      </c>
      <c r="I15" s="96">
        <v>9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29</v>
      </c>
      <c r="C16" s="37">
        <f>IF(B$14=0,0,B16/B$14)</f>
        <v>0.41428571428571431</v>
      </c>
      <c r="E16" s="63" t="s">
        <v>79</v>
      </c>
      <c r="F16" s="60" t="s">
        <v>34</v>
      </c>
      <c r="G16" s="47">
        <v>2</v>
      </c>
      <c r="H16" s="135">
        <f>IF(B$17=0,0,G16/B$17)</f>
        <v>2.7027027027027029E-2</v>
      </c>
      <c r="I16" s="96">
        <v>3</v>
      </c>
      <c r="K16" s="38">
        <v>14</v>
      </c>
      <c r="L16" s="101">
        <v>-12.3</v>
      </c>
      <c r="N16" s="117" t="s">
        <v>178</v>
      </c>
      <c r="O16" s="127">
        <f>IF(P16=0,0,Q16/P16)</f>
        <v>34.799999999999997</v>
      </c>
      <c r="P16" s="121">
        <v>2</v>
      </c>
      <c r="Q16" s="109">
        <v>69.599999999999994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0.34579439252336447</v>
      </c>
      <c r="E17" s="63" t="s">
        <v>80</v>
      </c>
      <c r="F17" s="60" t="s">
        <v>35</v>
      </c>
      <c r="G17" s="47">
        <v>2</v>
      </c>
      <c r="H17" s="135">
        <f>IF(B$17=0,0,G17/B$17)</f>
        <v>2.7027027027027029E-2</v>
      </c>
      <c r="I17" s="96">
        <v>1</v>
      </c>
      <c r="K17" s="38">
        <v>15</v>
      </c>
      <c r="L17" s="101">
        <v>-80.3</v>
      </c>
      <c r="N17" s="117" t="s">
        <v>174</v>
      </c>
      <c r="O17" s="127">
        <f>IF(P17=0,0,Q17/P17)</f>
        <v>27.24</v>
      </c>
      <c r="P17" s="121">
        <v>5</v>
      </c>
      <c r="Q17" s="109">
        <v>136.19999999999999</v>
      </c>
    </row>
    <row r="18" spans="1:17" x14ac:dyDescent="0.4">
      <c r="A18" s="55" t="s">
        <v>12</v>
      </c>
      <c r="B18" s="47">
        <v>31</v>
      </c>
      <c r="C18" s="39">
        <f>IF(B$17=0,0,B18/B$17)</f>
        <v>0.41891891891891891</v>
      </c>
      <c r="E18" s="63" t="s">
        <v>92</v>
      </c>
      <c r="F18" s="60" t="s">
        <v>47</v>
      </c>
      <c r="G18" s="47">
        <v>1</v>
      </c>
      <c r="H18" s="135">
        <f>IF(B$17=0,0,G18/B$17)</f>
        <v>1.3513513513513514E-2</v>
      </c>
      <c r="I18" s="96">
        <v>6</v>
      </c>
      <c r="K18" s="38">
        <v>16</v>
      </c>
      <c r="L18" s="101">
        <v>-87.6</v>
      </c>
      <c r="N18" s="117" t="s">
        <v>203</v>
      </c>
      <c r="O18" s="127">
        <f>IF(P18=0,0,Q18/P18)</f>
        <v>16.449999999999996</v>
      </c>
      <c r="P18" s="121">
        <v>4</v>
      </c>
      <c r="Q18" s="109">
        <v>65.799999999999983</v>
      </c>
    </row>
    <row r="19" spans="1:17" x14ac:dyDescent="0.4">
      <c r="A19" s="55" t="s">
        <v>11</v>
      </c>
      <c r="B19" s="47">
        <v>43</v>
      </c>
      <c r="C19" s="39">
        <f>IF(B$17=0,0,B19/B$17)</f>
        <v>0.58108108108108103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5</v>
      </c>
      <c r="K19" s="38">
        <v>17</v>
      </c>
      <c r="L19" s="101">
        <v>-55.099999999999994</v>
      </c>
      <c r="N19" s="117" t="s">
        <v>172</v>
      </c>
      <c r="O19" s="127">
        <f>IF(P19=0,0,Q19/P19)</f>
        <v>-0.25000000000000211</v>
      </c>
      <c r="P19" s="121">
        <v>10</v>
      </c>
      <c r="Q19" s="109">
        <v>-2.5000000000000213</v>
      </c>
    </row>
    <row r="20" spans="1:17" x14ac:dyDescent="0.4">
      <c r="A20" s="55" t="s">
        <v>13</v>
      </c>
      <c r="B20" s="47">
        <v>30</v>
      </c>
      <c r="C20" s="39">
        <f>IF(B$3=0,0,B20/B$3)</f>
        <v>0.14018691588785046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128</v>
      </c>
      <c r="O20" s="127">
        <f>IF(P20=0,0,Q20/P20)</f>
        <v>-0.6230769230769263</v>
      </c>
      <c r="P20" s="121">
        <v>13</v>
      </c>
      <c r="Q20" s="109">
        <v>-8.1000000000000423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-48.616666666666667</v>
      </c>
      <c r="P21" s="121">
        <v>12</v>
      </c>
      <c r="Q21" s="109">
        <v>-583.4</v>
      </c>
    </row>
    <row r="22" spans="1:17" x14ac:dyDescent="0.4">
      <c r="A22" s="55" t="s">
        <v>195</v>
      </c>
      <c r="B22" s="47">
        <v>23</v>
      </c>
      <c r="C22" s="137">
        <v>8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6987.8378378378375</v>
      </c>
      <c r="C23" s="41">
        <v>517100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-8900</v>
      </c>
      <c r="C24" s="45">
        <v>-267000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-5.3999999999999986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68.900000000000006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8FC2D-F327-4F5E-B842-D18E0FC7A3E6}">
  <sheetPr codeName="Sheet17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24</v>
      </c>
      <c r="C2" s="149"/>
      <c r="E2" s="62" t="s">
        <v>67</v>
      </c>
      <c r="F2" s="59" t="s">
        <v>23</v>
      </c>
      <c r="G2" s="46">
        <v>48</v>
      </c>
      <c r="H2" s="134">
        <f>IF(B$17=0,0,G2/B$17)</f>
        <v>0.77419354838709675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-3575</v>
      </c>
      <c r="P2" s="120">
        <v>24</v>
      </c>
      <c r="Q2" s="104">
        <v>-85800</v>
      </c>
    </row>
    <row r="3" spans="1:17" x14ac:dyDescent="0.4">
      <c r="A3" s="55" t="s">
        <v>8</v>
      </c>
      <c r="B3" s="150">
        <v>215</v>
      </c>
      <c r="C3" s="151"/>
      <c r="E3" s="63" t="s">
        <v>73</v>
      </c>
      <c r="F3" s="60" t="s">
        <v>28</v>
      </c>
      <c r="G3" s="47">
        <v>30</v>
      </c>
      <c r="H3" s="135">
        <f>IF(B$17=0,0,G3/B$17)</f>
        <v>0.4838709677419355</v>
      </c>
      <c r="I3" s="96">
        <v>9</v>
      </c>
      <c r="K3" s="38">
        <v>1</v>
      </c>
      <c r="L3" s="101">
        <v>-82.6</v>
      </c>
      <c r="N3" s="117" t="s">
        <v>133</v>
      </c>
      <c r="O3" s="124">
        <f t="shared" si="0"/>
        <v>-745.83333333333337</v>
      </c>
      <c r="P3" s="121">
        <v>24</v>
      </c>
      <c r="Q3" s="105">
        <v>-17900</v>
      </c>
    </row>
    <row r="4" spans="1:17" x14ac:dyDescent="0.4">
      <c r="A4" s="55" t="s">
        <v>6</v>
      </c>
      <c r="B4" s="152">
        <v>-287.89999999999998</v>
      </c>
      <c r="C4" s="153"/>
      <c r="E4" s="63" t="s">
        <v>65</v>
      </c>
      <c r="F4" s="60" t="s">
        <v>21</v>
      </c>
      <c r="G4" s="47">
        <v>26</v>
      </c>
      <c r="H4" s="135">
        <f>IF(B$17=0,0,G4/B$17)</f>
        <v>0.41935483870967744</v>
      </c>
      <c r="I4" s="96">
        <v>8</v>
      </c>
      <c r="K4" s="38">
        <v>2</v>
      </c>
      <c r="L4" s="101">
        <v>-122.3</v>
      </c>
      <c r="N4" s="117" t="s">
        <v>134</v>
      </c>
      <c r="O4" s="124">
        <f t="shared" si="0"/>
        <v>-2377.2727272727275</v>
      </c>
      <c r="P4" s="121">
        <v>22</v>
      </c>
      <c r="Q4" s="105">
        <v>-52300</v>
      </c>
    </row>
    <row r="5" spans="1:17" x14ac:dyDescent="0.4">
      <c r="A5" s="55" t="s">
        <v>7</v>
      </c>
      <c r="B5" s="154">
        <f>IF(B$2=0,0,B$4/B$2)</f>
        <v>-11.995833333333332</v>
      </c>
      <c r="C5" s="155"/>
      <c r="E5" s="63" t="s">
        <v>69</v>
      </c>
      <c r="F5" s="60" t="s">
        <v>12</v>
      </c>
      <c r="G5" s="47">
        <v>24</v>
      </c>
      <c r="H5" s="135">
        <f>IF(B$17=0,0,G5/B$17)</f>
        <v>0.38709677419354838</v>
      </c>
      <c r="I5" s="96">
        <v>3</v>
      </c>
      <c r="K5" s="38">
        <v>3</v>
      </c>
      <c r="L5" s="101">
        <v>-149</v>
      </c>
      <c r="N5" s="117" t="s">
        <v>135</v>
      </c>
      <c r="O5" s="124">
        <f t="shared" si="0"/>
        <v>-3452.3809523809523</v>
      </c>
      <c r="P5" s="121">
        <v>21</v>
      </c>
      <c r="Q5" s="105">
        <v>-72500</v>
      </c>
    </row>
    <row r="6" spans="1:17" x14ac:dyDescent="0.4">
      <c r="A6" s="55" t="s">
        <v>1</v>
      </c>
      <c r="B6" s="144">
        <f>IF(B$2=0,0,(B$7*1+B$8*2+B$9*3)/B$2)</f>
        <v>2.1666666666666665</v>
      </c>
      <c r="C6" s="145"/>
      <c r="E6" s="63" t="s">
        <v>182</v>
      </c>
      <c r="F6" s="60" t="s">
        <v>183</v>
      </c>
      <c r="G6" s="47">
        <v>18</v>
      </c>
      <c r="H6" s="135">
        <f>IF(B$17=0,0,G6/B$17)</f>
        <v>0.29032258064516131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1684.2105263157894</v>
      </c>
      <c r="P6" s="121">
        <v>19</v>
      </c>
      <c r="Q6" s="105">
        <v>32000</v>
      </c>
    </row>
    <row r="7" spans="1:17" x14ac:dyDescent="0.4">
      <c r="A7" s="55" t="s">
        <v>2</v>
      </c>
      <c r="B7" s="47">
        <v>5</v>
      </c>
      <c r="C7" s="39">
        <f>IF(B$2=0,0,B7/B$2)</f>
        <v>0.20833333333333334</v>
      </c>
      <c r="E7" s="63" t="s">
        <v>68</v>
      </c>
      <c r="F7" s="60" t="s">
        <v>24</v>
      </c>
      <c r="G7" s="47">
        <v>11</v>
      </c>
      <c r="H7" s="135">
        <f>IF(B$17=0,0,G7/B$17)</f>
        <v>0.17741935483870969</v>
      </c>
      <c r="I7" s="96">
        <v>9</v>
      </c>
      <c r="K7" s="38">
        <v>5</v>
      </c>
      <c r="L7" s="101">
        <v>-184.89999999999998</v>
      </c>
      <c r="N7" s="118" t="s">
        <v>137</v>
      </c>
      <c r="O7" s="125">
        <f t="shared" si="0"/>
        <v>-633.33333333333337</v>
      </c>
      <c r="P7" s="122">
        <v>18</v>
      </c>
      <c r="Q7" s="106">
        <v>-11400</v>
      </c>
    </row>
    <row r="8" spans="1:17" x14ac:dyDescent="0.4">
      <c r="A8" s="55" t="s">
        <v>3</v>
      </c>
      <c r="B8" s="47">
        <v>10</v>
      </c>
      <c r="C8" s="39">
        <f>IF(B$2=0,0,B8/B$2)</f>
        <v>0.41666666666666669</v>
      </c>
      <c r="E8" s="63" t="s">
        <v>71</v>
      </c>
      <c r="F8" s="60" t="s">
        <v>26</v>
      </c>
      <c r="G8" s="47">
        <v>7</v>
      </c>
      <c r="H8" s="135">
        <f>IF(B$17=0,0,G8/B$17)</f>
        <v>0.11290322580645161</v>
      </c>
      <c r="I8" s="96">
        <v>4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7</v>
      </c>
      <c r="H9" s="135">
        <f>IF(B$17=0,0,G9/B$17)</f>
        <v>0.11290322580645161</v>
      </c>
      <c r="I9" s="96">
        <v>8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0.125</v>
      </c>
      <c r="E10" s="63" t="s">
        <v>70</v>
      </c>
      <c r="F10" s="60" t="s">
        <v>25</v>
      </c>
      <c r="G10" s="47">
        <v>6</v>
      </c>
      <c r="H10" s="135">
        <f>IF(B$17=0,0,G10/B$17)</f>
        <v>9.6774193548387094E-2</v>
      </c>
      <c r="I10" s="96">
        <v>11</v>
      </c>
      <c r="K10" s="38">
        <v>8</v>
      </c>
      <c r="L10" s="101">
        <v>-219.59999999999997</v>
      </c>
      <c r="N10" s="116" t="s">
        <v>165</v>
      </c>
      <c r="O10" s="126">
        <f>IF(P10=0,0,Q10/P10)</f>
        <v>-13.285714285714286</v>
      </c>
      <c r="P10" s="120">
        <v>7</v>
      </c>
      <c r="Q10" s="108">
        <v>-93</v>
      </c>
    </row>
    <row r="11" spans="1:17" x14ac:dyDescent="0.4">
      <c r="A11" s="56" t="s">
        <v>140</v>
      </c>
      <c r="B11" s="48">
        <v>1</v>
      </c>
      <c r="C11" s="40">
        <f>IF(B$2=0,0,B11/B$2)</f>
        <v>4.1666666666666664E-2</v>
      </c>
      <c r="E11" s="63" t="s">
        <v>72</v>
      </c>
      <c r="F11" s="60" t="s">
        <v>27</v>
      </c>
      <c r="G11" s="47">
        <v>4</v>
      </c>
      <c r="H11" s="135">
        <f>IF(B$17=0,0,G11/B$17)</f>
        <v>6.4516129032258063E-2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-9.8769230769230756</v>
      </c>
      <c r="P11" s="121">
        <v>13</v>
      </c>
      <c r="Q11" s="109">
        <v>-128.39999999999998</v>
      </c>
    </row>
    <row r="12" spans="1:17" x14ac:dyDescent="0.4">
      <c r="A12" s="57" t="s">
        <v>160</v>
      </c>
      <c r="B12" s="49">
        <v>1</v>
      </c>
      <c r="C12" s="42">
        <f>IF(B$2=0,0,B12/B$2)</f>
        <v>4.1666666666666664E-2</v>
      </c>
      <c r="E12" s="63" t="s">
        <v>87</v>
      </c>
      <c r="F12" s="60" t="s">
        <v>42</v>
      </c>
      <c r="G12" s="47">
        <v>3</v>
      </c>
      <c r="H12" s="135">
        <f>IF(B$17=0,0,G12/B$17)</f>
        <v>4.8387096774193547E-2</v>
      </c>
      <c r="I12" s="96">
        <v>8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47</v>
      </c>
      <c r="C13" s="44">
        <f>IF(B$3=0,0,B13/B$3)</f>
        <v>0.21860465116279071</v>
      </c>
      <c r="E13" s="63" t="s">
        <v>66</v>
      </c>
      <c r="F13" s="60" t="s">
        <v>22</v>
      </c>
      <c r="G13" s="47">
        <v>2</v>
      </c>
      <c r="H13" s="135">
        <f>IF(B$17=0,0,G13/B$17)</f>
        <v>3.2258064516129031E-2</v>
      </c>
      <c r="I13" s="96">
        <v>9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49</v>
      </c>
      <c r="C14" s="39">
        <f>IF(B$3=0,0,B14/B$3)</f>
        <v>0.22790697674418606</v>
      </c>
      <c r="E14" s="63" t="s">
        <v>84</v>
      </c>
      <c r="F14" s="60" t="s">
        <v>39</v>
      </c>
      <c r="G14" s="47">
        <v>2</v>
      </c>
      <c r="H14" s="135">
        <f>IF(B$17=0,0,G14/B$17)</f>
        <v>3.2258064516129031E-2</v>
      </c>
      <c r="I14" s="96">
        <v>8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0.55319148936170215</v>
      </c>
      <c r="E15" s="63" t="s">
        <v>74</v>
      </c>
      <c r="F15" s="60" t="s">
        <v>29</v>
      </c>
      <c r="G15" s="47">
        <v>1</v>
      </c>
      <c r="H15" s="135">
        <f>IF(B$17=0,0,G15/B$17)</f>
        <v>1.6129032258064516E-2</v>
      </c>
      <c r="I15" s="96">
        <v>1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16</v>
      </c>
      <c r="C16" s="37">
        <f>IF(B$14=0,0,B16/B$14)</f>
        <v>0.32653061224489793</v>
      </c>
      <c r="E16" s="63" t="s">
        <v>80</v>
      </c>
      <c r="F16" s="60" t="s">
        <v>35</v>
      </c>
      <c r="G16" s="47">
        <v>1</v>
      </c>
      <c r="H16" s="135">
        <f>IF(B$17=0,0,G16/B$17)</f>
        <v>1.6129032258064516E-2</v>
      </c>
      <c r="I16" s="96">
        <v>2</v>
      </c>
      <c r="K16" s="38">
        <v>14</v>
      </c>
      <c r="L16" s="101">
        <v>-269.99999999999994</v>
      </c>
      <c r="N16" s="117" t="s">
        <v>128</v>
      </c>
      <c r="O16" s="127">
        <f>IF(P16=0,0,Q16/P16)</f>
        <v>-4.9499999999999984</v>
      </c>
      <c r="P16" s="121">
        <v>14</v>
      </c>
      <c r="Q16" s="109">
        <v>-69.299999999999983</v>
      </c>
    </row>
    <row r="17" spans="1:17" x14ac:dyDescent="0.4">
      <c r="A17" s="54" t="s">
        <v>10</v>
      </c>
      <c r="B17" s="46">
        <f>B19+B18</f>
        <v>62</v>
      </c>
      <c r="C17" s="37">
        <f>IF(B$3=0,0,B17/B$3)</f>
        <v>0.28837209302325584</v>
      </c>
      <c r="E17" s="63" t="s">
        <v>92</v>
      </c>
      <c r="F17" s="60" t="s">
        <v>47</v>
      </c>
      <c r="G17" s="47">
        <v>1</v>
      </c>
      <c r="H17" s="135">
        <f>IF(B$17=0,0,G17/B$17)</f>
        <v>1.6129032258064516E-2</v>
      </c>
      <c r="I17" s="96">
        <v>4</v>
      </c>
      <c r="K17" s="38">
        <v>15</v>
      </c>
      <c r="L17" s="101">
        <v>-264.59999999999997</v>
      </c>
      <c r="N17" s="117" t="s">
        <v>172</v>
      </c>
      <c r="O17" s="127">
        <f>IF(P17=0,0,Q17/P17)</f>
        <v>-10.618181818181816</v>
      </c>
      <c r="P17" s="121">
        <v>11</v>
      </c>
      <c r="Q17" s="109">
        <v>-116.79999999999997</v>
      </c>
    </row>
    <row r="18" spans="1:17" x14ac:dyDescent="0.4">
      <c r="A18" s="55" t="s">
        <v>12</v>
      </c>
      <c r="B18" s="47">
        <v>31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-292.79999999999995</v>
      </c>
      <c r="N18" s="117" t="s">
        <v>178</v>
      </c>
      <c r="O18" s="127">
        <f>IF(P18=0,0,Q18/P18)</f>
        <v>-17.950000000000003</v>
      </c>
      <c r="P18" s="121">
        <v>2</v>
      </c>
      <c r="Q18" s="109">
        <v>-35.900000000000006</v>
      </c>
    </row>
    <row r="19" spans="1:17" x14ac:dyDescent="0.4">
      <c r="A19" s="55" t="s">
        <v>11</v>
      </c>
      <c r="B19" s="47">
        <v>31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-248.89999999999995</v>
      </c>
      <c r="N19" s="117" t="s">
        <v>173</v>
      </c>
      <c r="O19" s="127">
        <f>IF(P19=0,0,Q19/P19)</f>
        <v>-27.24</v>
      </c>
      <c r="P19" s="121">
        <v>5</v>
      </c>
      <c r="Q19" s="109">
        <v>-136.19999999999999</v>
      </c>
    </row>
    <row r="20" spans="1:17" x14ac:dyDescent="0.4">
      <c r="A20" s="55" t="s">
        <v>13</v>
      </c>
      <c r="B20" s="47">
        <v>47</v>
      </c>
      <c r="C20" s="39">
        <f>IF(B$3=0,0,B20/B$3)</f>
        <v>0.21860465116279071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-218.99999999999994</v>
      </c>
      <c r="N20" s="117" t="s">
        <v>203</v>
      </c>
      <c r="O20" s="127">
        <f>IF(P20=0,0,Q20/P20)</f>
        <v>-43.1</v>
      </c>
      <c r="P20" s="121">
        <v>1</v>
      </c>
      <c r="Q20" s="109">
        <v>-43.1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-188.59999999999994</v>
      </c>
      <c r="N21" s="117" t="s">
        <v>186</v>
      </c>
      <c r="O21" s="127">
        <f>IF(P21=0,0,Q21/P21)</f>
        <v>-45.5</v>
      </c>
      <c r="P21" s="121">
        <v>1</v>
      </c>
      <c r="Q21" s="109">
        <v>-45.5</v>
      </c>
    </row>
    <row r="22" spans="1:17" x14ac:dyDescent="0.4">
      <c r="A22" s="55" t="s">
        <v>195</v>
      </c>
      <c r="B22" s="47">
        <v>14</v>
      </c>
      <c r="C22" s="137">
        <v>5</v>
      </c>
      <c r="E22" s="63" t="s">
        <v>79</v>
      </c>
      <c r="F22" s="60" t="s">
        <v>34</v>
      </c>
      <c r="G22" s="47">
        <v>0</v>
      </c>
      <c r="H22" s="135">
        <f>IF(B$17=0,0,G22/B$17)</f>
        <v>0</v>
      </c>
      <c r="I22" s="96">
        <v>8</v>
      </c>
      <c r="K22" s="38">
        <v>20</v>
      </c>
      <c r="L22" s="101">
        <v>-182.79999999999993</v>
      </c>
      <c r="N22" s="117" t="s">
        <v>127</v>
      </c>
      <c r="O22" s="127">
        <f>IF(P22=0,0,Q22/P22)</f>
        <v>-49.409999999999989</v>
      </c>
      <c r="P22" s="121">
        <v>10</v>
      </c>
      <c r="Q22" s="109">
        <v>-494.09999999999991</v>
      </c>
    </row>
    <row r="23" spans="1:17" x14ac:dyDescent="0.4">
      <c r="A23" s="55" t="s">
        <v>5</v>
      </c>
      <c r="B23" s="51">
        <f>IF(B$17=0,0,C23/B$17)</f>
        <v>6398.3870967741932</v>
      </c>
      <c r="C23" s="41">
        <v>396700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-203.79999999999993</v>
      </c>
    </row>
    <row r="24" spans="1:17" x14ac:dyDescent="0.4">
      <c r="A24" s="57" t="s">
        <v>14</v>
      </c>
      <c r="B24" s="52">
        <f>IF(B$20=0,0,C24/B$20)</f>
        <v>-8182.9787234042551</v>
      </c>
      <c r="C24" s="45">
        <v>-384600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  <c r="K24" s="38">
        <v>22</v>
      </c>
      <c r="L24" s="101">
        <v>-262.49999999999994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-259.09999999999997</v>
      </c>
    </row>
    <row r="26" spans="1:17" x14ac:dyDescent="0.4">
      <c r="A26" s="58" t="s">
        <v>152</v>
      </c>
      <c r="B26" s="140">
        <v>58900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4.6511627906976744E-3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3A56-BC1D-4EAA-955F-EA1DBB19CA6B}">
  <sheetPr codeName="Sheet19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10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7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10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10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8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7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8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7002D-7F82-4A69-8497-AE1ECBFF686D}">
  <sheetPr codeName="Sheet21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5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1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8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FAC6B-C5E2-4FAC-A150-F5FB17FB0384}">
  <sheetPr codeName="Sheet23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9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7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8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42EB9-7650-4BD7-867A-C4A0E23CDF60}">
  <sheetPr codeName="Sheet25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4</v>
      </c>
      <c r="C2" s="149"/>
      <c r="E2" s="62" t="s">
        <v>67</v>
      </c>
      <c r="F2" s="59" t="s">
        <v>23</v>
      </c>
      <c r="G2" s="46">
        <v>7</v>
      </c>
      <c r="H2" s="134">
        <f>IF(B$17=0,0,G2/B$17)</f>
        <v>0.77777777777777779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-6025</v>
      </c>
      <c r="P2" s="120">
        <v>4</v>
      </c>
      <c r="Q2" s="104">
        <v>-24100</v>
      </c>
    </row>
    <row r="3" spans="1:17" x14ac:dyDescent="0.4">
      <c r="A3" s="55" t="s">
        <v>8</v>
      </c>
      <c r="B3" s="150">
        <v>36</v>
      </c>
      <c r="C3" s="151"/>
      <c r="E3" s="63" t="s">
        <v>65</v>
      </c>
      <c r="F3" s="60" t="s">
        <v>21</v>
      </c>
      <c r="G3" s="47">
        <v>6</v>
      </c>
      <c r="H3" s="135">
        <f>IF(B$17=0,0,G3/B$17)</f>
        <v>0.66666666666666663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3450</v>
      </c>
      <c r="P3" s="121">
        <v>4</v>
      </c>
      <c r="Q3" s="105">
        <v>13800</v>
      </c>
    </row>
    <row r="4" spans="1:17" x14ac:dyDescent="0.4">
      <c r="A4" s="55" t="s">
        <v>6</v>
      </c>
      <c r="B4" s="152">
        <v>19.399999999999995</v>
      </c>
      <c r="C4" s="153"/>
      <c r="E4" s="63" t="s">
        <v>73</v>
      </c>
      <c r="F4" s="60" t="s">
        <v>28</v>
      </c>
      <c r="G4" s="47">
        <v>6</v>
      </c>
      <c r="H4" s="135">
        <f>IF(B$17=0,0,G4/B$17)</f>
        <v>0.66666666666666663</v>
      </c>
      <c r="I4" s="96">
        <v>4</v>
      </c>
      <c r="K4" s="38">
        <v>2</v>
      </c>
      <c r="L4" s="101">
        <v>-28.1</v>
      </c>
      <c r="N4" s="117" t="s">
        <v>134</v>
      </c>
      <c r="O4" s="124">
        <f t="shared" si="0"/>
        <v>-3650</v>
      </c>
      <c r="P4" s="121">
        <v>4</v>
      </c>
      <c r="Q4" s="105">
        <v>-14600</v>
      </c>
    </row>
    <row r="5" spans="1:17" x14ac:dyDescent="0.4">
      <c r="A5" s="55" t="s">
        <v>7</v>
      </c>
      <c r="B5" s="154">
        <f>IF(B$2=0,0,B$4/B$2)</f>
        <v>4.8499999999999988</v>
      </c>
      <c r="C5" s="155"/>
      <c r="E5" s="63" t="s">
        <v>68</v>
      </c>
      <c r="F5" s="60" t="s">
        <v>24</v>
      </c>
      <c r="G5" s="47">
        <v>5</v>
      </c>
      <c r="H5" s="135">
        <f>IF(B$17=0,0,G5/B$17)</f>
        <v>0.55555555555555558</v>
      </c>
      <c r="I5" s="96">
        <v>1</v>
      </c>
      <c r="K5" s="38">
        <v>3</v>
      </c>
      <c r="L5" s="101">
        <v>-20.400000000000002</v>
      </c>
      <c r="N5" s="117" t="s">
        <v>135</v>
      </c>
      <c r="O5" s="124">
        <f t="shared" si="0"/>
        <v>-1250</v>
      </c>
      <c r="P5" s="121">
        <v>4</v>
      </c>
      <c r="Q5" s="105">
        <v>-5000</v>
      </c>
    </row>
    <row r="6" spans="1:17" x14ac:dyDescent="0.4">
      <c r="A6" s="55" t="s">
        <v>1</v>
      </c>
      <c r="B6" s="144">
        <f>IF(B$2=0,0,(B$7*1+B$8*2+B$9*3)/B$2)</f>
        <v>1.75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0.55555555555555558</v>
      </c>
      <c r="I6" s="96">
        <v>1</v>
      </c>
      <c r="K6" s="38">
        <v>4</v>
      </c>
      <c r="L6" s="101">
        <v>19.399999999999995</v>
      </c>
      <c r="N6" s="117" t="s">
        <v>136</v>
      </c>
      <c r="O6" s="124">
        <f t="shared" si="0"/>
        <v>11266.666666666666</v>
      </c>
      <c r="P6" s="121">
        <v>3</v>
      </c>
      <c r="Q6" s="105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182</v>
      </c>
      <c r="F7" s="60" t="s">
        <v>183</v>
      </c>
      <c r="G7" s="47">
        <v>5</v>
      </c>
      <c r="H7" s="135">
        <f>IF(B$17=0,0,G7/B$17)</f>
        <v>0.55555555555555558</v>
      </c>
      <c r="I7" s="96">
        <v>1</v>
      </c>
      <c r="N7" s="118" t="s">
        <v>137</v>
      </c>
      <c r="O7" s="125">
        <f t="shared" si="0"/>
        <v>-1500</v>
      </c>
      <c r="P7" s="122">
        <v>3</v>
      </c>
      <c r="Q7" s="106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5">
        <f>IF(B$17=0,0,G8/B$17)</f>
        <v>0.33333333333333331</v>
      </c>
      <c r="I8" s="96">
        <v>1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5">
        <f>IF(B$17=0,0,G9/B$17)</f>
        <v>0.22222222222222221</v>
      </c>
      <c r="I9" s="96">
        <v>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5">
        <f>IF(B$17=0,0,G10/B$17)</f>
        <v>0.1111111111111111</v>
      </c>
      <c r="I10" s="96">
        <v>6</v>
      </c>
      <c r="N10" s="116" t="s">
        <v>165</v>
      </c>
      <c r="O10" s="126">
        <f>IF(P10=0,0,Q10/P10)</f>
        <v>-15.6</v>
      </c>
      <c r="P10" s="120">
        <v>1</v>
      </c>
      <c r="Q10" s="108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5">
        <f>IF(B$17=0,0,G11/B$17)</f>
        <v>0.1111111111111111</v>
      </c>
      <c r="I11" s="96">
        <v>1</v>
      </c>
      <c r="N11" s="117" t="s">
        <v>166</v>
      </c>
      <c r="O11" s="127">
        <f>IF(P11=0,0,Q11/P11)</f>
        <v>7.7</v>
      </c>
      <c r="P11" s="121">
        <v>1</v>
      </c>
      <c r="Q11" s="109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5">
        <f>IF(B$17=0,0,G12/B$17)</f>
        <v>0.1111111111111111</v>
      </c>
      <c r="I12" s="96">
        <v>2</v>
      </c>
      <c r="N12" s="118" t="s">
        <v>167</v>
      </c>
      <c r="O12" s="128">
        <f>IF(P12=0,0,Q12/P12)</f>
        <v>13.649999999999999</v>
      </c>
      <c r="P12" s="122">
        <v>2</v>
      </c>
      <c r="Q12" s="110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172</v>
      </c>
      <c r="O15" s="126">
        <f>IF(P15=0,0,Q15/P15)</f>
        <v>52</v>
      </c>
      <c r="P15" s="120">
        <v>2</v>
      </c>
      <c r="Q15" s="108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43.1</v>
      </c>
      <c r="P16" s="121">
        <v>1</v>
      </c>
      <c r="Q16" s="109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173</v>
      </c>
      <c r="O17" s="127">
        <f>IF(P17=0,0,Q17/P17)</f>
        <v>-16.450000000000006</v>
      </c>
      <c r="P17" s="121">
        <v>4</v>
      </c>
      <c r="Q17" s="109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127</v>
      </c>
      <c r="O18" s="127">
        <f>IF(P18=0,0,Q18/P18)</f>
        <v>-23.1</v>
      </c>
      <c r="P18" s="121">
        <v>1</v>
      </c>
      <c r="Q18" s="109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3</v>
      </c>
      <c r="C21" s="137">
        <v>3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8</v>
      </c>
      <c r="C22" s="137">
        <v>4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4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54800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2C62A-FCFF-4D08-95D4-D430D58AAB4C}">
  <sheetPr codeName="Sheet26"/>
  <dimension ref="A1:Q7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E2CB-4683-41F4-A936-F3BAFECCACE2}">
  <sheetPr codeName="Sheet24"/>
  <dimension ref="A1:Q10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AC464-BDFC-4011-82AB-A387D23AC48C}">
  <sheetPr codeName="Sheet22"/>
  <dimension ref="A1:Q6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181B-9442-4B34-8ACB-C5F139EC681C}">
  <sheetPr codeName="Sheet20"/>
  <dimension ref="A1:Q18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C64A5-2475-4335-A58D-3DB0A1A809B2}">
  <sheetPr codeName="Sheet18"/>
  <dimension ref="A1:Q27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73E2-84F5-45F8-8E01-6C48C1C4D0A7}">
  <sheetPr codeName="Sheet16"/>
  <dimension ref="A1:Q29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67EB-AA78-49E2-8F0B-A54604B24264}">
  <sheetPr codeName="Sheet14"/>
  <dimension ref="A1:Q39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2F91A-8F1E-4991-AFFB-BD8510F81425}">
  <sheetPr codeName="Sheet12"/>
  <dimension ref="A1:Q29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CBFA5-46CF-442F-9A02-CBEC763CAA49}">
  <sheetPr codeName="Sheet10"/>
  <dimension ref="A1:Q65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BA80C-CE8D-4B94-9C79-5D3B993D0DD4}">
  <sheetPr codeName="Sheet8"/>
  <dimension ref="A1:Q64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AF2A3-1567-4C20-A8D8-41B434A60F68}">
  <sheetPr codeName="Sheet6"/>
  <dimension ref="A1:Q91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2019-04-21T08:45:18Z</dcterms:modified>
</cp:coreProperties>
</file>