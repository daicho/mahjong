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4FB62D6-9199-4923-BF77-5BEA9AD67FF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610" r:id="rId6"/>
    <sheet name="だいち" sheetId="4612" r:id="rId7"/>
    <sheet name="りくと" sheetId="4614" r:id="rId8"/>
    <sheet name="ただ" sheetId="4616" r:id="rId9"/>
    <sheet name="れんたろう" sheetId="4618" r:id="rId10"/>
    <sheet name="たかの" sheetId="4620" r:id="rId11"/>
    <sheet name="ぱぱ" sheetId="4622" r:id="rId12"/>
    <sheet name="まっつん" sheetId="4624" r:id="rId13"/>
    <sheet name="あさひ" sheetId="4626" r:id="rId14"/>
    <sheet name="いっしー" sheetId="4628" r:id="rId15"/>
    <sheet name="いっしー2" sheetId="4629" state="hidden" r:id="rId16"/>
    <sheet name="あさひ2" sheetId="4627" state="hidden" r:id="rId17"/>
    <sheet name="まっつん2" sheetId="4625" state="hidden" r:id="rId18"/>
    <sheet name="ぱぱ2" sheetId="4623" state="hidden" r:id="rId19"/>
    <sheet name="たかの2" sheetId="4621" state="hidden" r:id="rId20"/>
    <sheet name="れんたろう2" sheetId="4619" state="hidden" r:id="rId21"/>
    <sheet name="ただ2" sheetId="4617" state="hidden" r:id="rId22"/>
    <sheet name="りくと2" sheetId="4615" state="hidden" r:id="rId23"/>
    <sheet name="だいち2" sheetId="4613" state="hidden" r:id="rId24"/>
    <sheet name="全体2" sheetId="461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2" i="4612" l="1"/>
  <c r="O16" i="4628"/>
  <c r="O17" i="4628" l="1"/>
  <c r="O15" i="4628"/>
  <c r="O17" i="4618"/>
  <c r="O19" i="4616"/>
  <c r="O17" i="4626" l="1"/>
  <c r="O19" i="4622"/>
  <c r="O15" i="4626"/>
  <c r="O20" i="4628"/>
  <c r="O16" i="4614"/>
  <c r="O15" i="4624"/>
  <c r="O18" i="4610"/>
  <c r="O18" i="4628"/>
  <c r="O19" i="4628"/>
  <c r="C27" i="4628"/>
  <c r="B24" i="4628"/>
  <c r="C20" i="4628"/>
  <c r="B17" i="4628"/>
  <c r="H51" i="4628" s="1"/>
  <c r="C16" i="4628"/>
  <c r="C15" i="4628"/>
  <c r="C14" i="4628"/>
  <c r="C13" i="4628"/>
  <c r="O12" i="4628"/>
  <c r="C12" i="4628"/>
  <c r="O11" i="4628"/>
  <c r="C11" i="4628"/>
  <c r="O10" i="4628"/>
  <c r="C10" i="4628"/>
  <c r="C9" i="4628"/>
  <c r="H12" i="4628"/>
  <c r="C8" i="4628"/>
  <c r="O7" i="4628"/>
  <c r="C7" i="4628"/>
  <c r="O6" i="4628"/>
  <c r="B6" i="4628"/>
  <c r="O5" i="4628"/>
  <c r="B5" i="4628"/>
  <c r="O4" i="4628"/>
  <c r="O3" i="4628"/>
  <c r="O2" i="4628"/>
  <c r="O16" i="4626"/>
  <c r="O18" i="4626"/>
  <c r="C27" i="4626"/>
  <c r="B24" i="4626"/>
  <c r="H26" i="4626"/>
  <c r="C20" i="4626"/>
  <c r="B17" i="4626"/>
  <c r="H7" i="4626" s="1"/>
  <c r="C16" i="4626"/>
  <c r="C15" i="4626"/>
  <c r="C14" i="4626"/>
  <c r="C13" i="4626"/>
  <c r="O12" i="4626"/>
  <c r="C12" i="4626"/>
  <c r="O11" i="4626"/>
  <c r="C11" i="4626"/>
  <c r="O10" i="4626"/>
  <c r="C10" i="4626"/>
  <c r="C9" i="4626"/>
  <c r="C8" i="4626"/>
  <c r="O7" i="4626"/>
  <c r="C7" i="4626"/>
  <c r="O6" i="4626"/>
  <c r="B6" i="4626"/>
  <c r="O5" i="4626"/>
  <c r="B5" i="4626"/>
  <c r="O4" i="4626"/>
  <c r="O3" i="4626"/>
  <c r="O2" i="4626"/>
  <c r="O20" i="4624"/>
  <c r="O19" i="4624"/>
  <c r="O16" i="4612"/>
  <c r="O17" i="4612"/>
  <c r="O22" i="4610"/>
  <c r="H19" i="4626" l="1"/>
  <c r="H2" i="4626"/>
  <c r="H48" i="4626"/>
  <c r="H17" i="4626"/>
  <c r="H34" i="4626"/>
  <c r="H32" i="4626"/>
  <c r="H52" i="4626"/>
  <c r="H5" i="4626"/>
  <c r="H13" i="4626"/>
  <c r="C18" i="4626"/>
  <c r="H3" i="4626"/>
  <c r="H9" i="4626"/>
  <c r="H14" i="4626"/>
  <c r="C19" i="4626"/>
  <c r="H28" i="4626"/>
  <c r="H40" i="4626"/>
  <c r="H25" i="4626"/>
  <c r="H42" i="4626"/>
  <c r="H29" i="4626"/>
  <c r="H44" i="4626"/>
  <c r="H36" i="4626"/>
  <c r="H4" i="4626"/>
  <c r="H16" i="4626"/>
  <c r="H18" i="4626"/>
  <c r="C17" i="4626"/>
  <c r="H24" i="4626"/>
  <c r="H27" i="4626"/>
  <c r="H30" i="4626"/>
  <c r="H38" i="4626"/>
  <c r="H46" i="4626"/>
  <c r="H11" i="4628"/>
  <c r="H17" i="4628"/>
  <c r="C17" i="4628"/>
  <c r="H40" i="4628"/>
  <c r="H24" i="4628"/>
  <c r="H29" i="4628"/>
  <c r="H44" i="4628"/>
  <c r="H3" i="4628"/>
  <c r="H14" i="4628"/>
  <c r="C18" i="4628"/>
  <c r="H32" i="4628"/>
  <c r="H48" i="4628"/>
  <c r="H4" i="4628"/>
  <c r="H2" i="4628"/>
  <c r="H19" i="4628"/>
  <c r="H26" i="4628"/>
  <c r="H36" i="4628"/>
  <c r="H52" i="4628"/>
  <c r="H21" i="4628"/>
  <c r="H9" i="4628"/>
  <c r="B23" i="4628"/>
  <c r="H27" i="4628"/>
  <c r="H5" i="4628"/>
  <c r="H33" i="4628"/>
  <c r="H37" i="4628"/>
  <c r="H41" i="4628"/>
  <c r="H45" i="4628"/>
  <c r="H49" i="4628"/>
  <c r="H6" i="4628"/>
  <c r="H8" i="4628"/>
  <c r="H16" i="4628"/>
  <c r="H18" i="4628"/>
  <c r="C19" i="4628"/>
  <c r="H23" i="4628"/>
  <c r="H25" i="4628"/>
  <c r="H28" i="4628"/>
  <c r="H30" i="4628"/>
  <c r="H34" i="4628"/>
  <c r="H38" i="4628"/>
  <c r="H42" i="4628"/>
  <c r="H46" i="4628"/>
  <c r="H50" i="4628"/>
  <c r="H10" i="4628"/>
  <c r="H7" i="4628"/>
  <c r="H13" i="4628"/>
  <c r="H15" i="4628"/>
  <c r="H20" i="4628"/>
  <c r="H22" i="4628"/>
  <c r="H31" i="4628"/>
  <c r="H35" i="4628"/>
  <c r="H39" i="4628"/>
  <c r="H43" i="4628"/>
  <c r="H47" i="4628"/>
  <c r="H50" i="4626"/>
  <c r="H12" i="4626"/>
  <c r="H8" i="4626"/>
  <c r="H10" i="4626"/>
  <c r="H15" i="4626"/>
  <c r="H20" i="4626"/>
  <c r="H22" i="4626"/>
  <c r="H31" i="4626"/>
  <c r="H35" i="4626"/>
  <c r="H39" i="4626"/>
  <c r="H43" i="4626"/>
  <c r="H47" i="4626"/>
  <c r="H51" i="4626"/>
  <c r="H21" i="4626"/>
  <c r="H23" i="4626"/>
  <c r="B23" i="4626"/>
  <c r="H11" i="4626"/>
  <c r="H6" i="4626"/>
  <c r="H33" i="4626"/>
  <c r="H37" i="4626"/>
  <c r="H41" i="4626"/>
  <c r="H45" i="4626"/>
  <c r="H49" i="4626"/>
  <c r="O16" i="4624" l="1"/>
  <c r="O17" i="4622"/>
  <c r="O20" i="4622"/>
  <c r="O15" i="4614"/>
  <c r="O16" i="4620" l="1"/>
  <c r="O18" i="4618"/>
  <c r="O16" i="4622"/>
  <c r="O18" i="4622"/>
  <c r="O15" i="4620" l="1"/>
  <c r="O15" i="4618"/>
  <c r="O18" i="4616"/>
  <c r="O20" i="4616"/>
  <c r="O18" i="4624"/>
  <c r="O17" i="4624"/>
  <c r="C27" i="4624"/>
  <c r="B24" i="4624"/>
  <c r="C20" i="4624"/>
  <c r="B17" i="4624"/>
  <c r="H51" i="4624" s="1"/>
  <c r="C16" i="4624"/>
  <c r="C15" i="4624"/>
  <c r="C14" i="4624"/>
  <c r="C13" i="4624"/>
  <c r="O12" i="4624"/>
  <c r="C12" i="4624"/>
  <c r="O11" i="4624"/>
  <c r="C11" i="4624"/>
  <c r="O10" i="4624"/>
  <c r="C10" i="4624"/>
  <c r="C9" i="4624"/>
  <c r="C8" i="4624"/>
  <c r="O7" i="4624"/>
  <c r="C7" i="4624"/>
  <c r="O6" i="4624"/>
  <c r="B6" i="4624"/>
  <c r="O5" i="4624"/>
  <c r="B5" i="4624"/>
  <c r="O4" i="4624"/>
  <c r="O3" i="4624"/>
  <c r="O2" i="4624"/>
  <c r="O16" i="4618"/>
  <c r="O20" i="4614"/>
  <c r="O17" i="4610"/>
  <c r="H15" i="4624" l="1"/>
  <c r="H4" i="4624"/>
  <c r="H3" i="4624"/>
  <c r="H21" i="4624"/>
  <c r="H40" i="4624"/>
  <c r="H19" i="4624"/>
  <c r="H44" i="4624"/>
  <c r="H12" i="4624"/>
  <c r="H30" i="4624"/>
  <c r="H9" i="4624"/>
  <c r="C17" i="4624"/>
  <c r="H32" i="4624"/>
  <c r="H48" i="4624"/>
  <c r="H2" i="4624"/>
  <c r="H17" i="4624"/>
  <c r="C18" i="4624"/>
  <c r="H13" i="4624"/>
  <c r="H36" i="4624"/>
  <c r="H52" i="4624"/>
  <c r="H23" i="4624"/>
  <c r="H25" i="4624"/>
  <c r="B23" i="4624"/>
  <c r="H28" i="4624"/>
  <c r="H10" i="4624"/>
  <c r="H33" i="4624"/>
  <c r="H37" i="4624"/>
  <c r="H41" i="4624"/>
  <c r="H45" i="4624"/>
  <c r="H49" i="4624"/>
  <c r="H5" i="4624"/>
  <c r="H7" i="4624"/>
  <c r="H11" i="4624"/>
  <c r="H20" i="4624"/>
  <c r="C19" i="4624"/>
  <c r="H26" i="4624"/>
  <c r="H27" i="4624"/>
  <c r="H29" i="4624"/>
  <c r="H31" i="4624"/>
  <c r="H34" i="4624"/>
  <c r="H38" i="4624"/>
  <c r="H42" i="4624"/>
  <c r="H46" i="4624"/>
  <c r="H50" i="4624"/>
  <c r="H8" i="4624"/>
  <c r="H6" i="4624"/>
  <c r="H16" i="4624"/>
  <c r="H18" i="4624"/>
  <c r="H22" i="4624"/>
  <c r="H24" i="4624"/>
  <c r="H14" i="4624"/>
  <c r="H35" i="4624"/>
  <c r="H39" i="4624"/>
  <c r="H43" i="4624"/>
  <c r="H47" i="4624"/>
  <c r="O16" i="4616" l="1"/>
  <c r="O21" i="4622"/>
  <c r="O15" i="4622"/>
  <c r="C27" i="4622"/>
  <c r="B24" i="4622"/>
  <c r="C20" i="4622"/>
  <c r="B17" i="4622"/>
  <c r="H6" i="4622" s="1"/>
  <c r="C16" i="4622"/>
  <c r="C15" i="4622"/>
  <c r="C14" i="4622"/>
  <c r="C13" i="4622"/>
  <c r="O12" i="4622"/>
  <c r="C12" i="4622"/>
  <c r="O11" i="4622"/>
  <c r="C11" i="4622"/>
  <c r="O10" i="4622"/>
  <c r="C10" i="4622"/>
  <c r="C9" i="4622"/>
  <c r="H8" i="4622"/>
  <c r="C8" i="4622"/>
  <c r="O7" i="4622"/>
  <c r="C7" i="4622"/>
  <c r="O6" i="4622"/>
  <c r="B6" i="4622"/>
  <c r="O5" i="4622"/>
  <c r="B5" i="4622"/>
  <c r="O4" i="4622"/>
  <c r="O3" i="4622"/>
  <c r="O2" i="4622"/>
  <c r="O15" i="4612"/>
  <c r="O16" i="4610"/>
  <c r="O19" i="4620"/>
  <c r="O18" i="4614"/>
  <c r="O17" i="4614"/>
  <c r="O20" i="4618"/>
  <c r="O17" i="4620"/>
  <c r="O18" i="4620"/>
  <c r="C27" i="4620"/>
  <c r="B24" i="4620"/>
  <c r="C20" i="4620"/>
  <c r="B17" i="4620"/>
  <c r="H51" i="4620" s="1"/>
  <c r="C16" i="4620"/>
  <c r="C15" i="4620"/>
  <c r="C14" i="4620"/>
  <c r="C13" i="4620"/>
  <c r="O12" i="4620"/>
  <c r="C12" i="4620"/>
  <c r="O11" i="4620"/>
  <c r="C11" i="4620"/>
  <c r="O10" i="4620"/>
  <c r="C10" i="4620"/>
  <c r="C9" i="4620"/>
  <c r="C8" i="4620"/>
  <c r="O7" i="4620"/>
  <c r="C7" i="4620"/>
  <c r="O6" i="4620"/>
  <c r="B6" i="4620"/>
  <c r="O5" i="4620"/>
  <c r="B5" i="4620"/>
  <c r="O4" i="4620"/>
  <c r="O3" i="4620"/>
  <c r="O2" i="4620"/>
  <c r="O21" i="4618"/>
  <c r="O19" i="4618"/>
  <c r="C27" i="4618"/>
  <c r="B24" i="4618"/>
  <c r="C20" i="4618"/>
  <c r="B17" i="4618"/>
  <c r="H51" i="4618" s="1"/>
  <c r="C16" i="4618"/>
  <c r="C15" i="4618"/>
  <c r="C14" i="4618"/>
  <c r="C13" i="4618"/>
  <c r="O12" i="4618"/>
  <c r="C12" i="4618"/>
  <c r="O11" i="4618"/>
  <c r="C11" i="4618"/>
  <c r="O10" i="4618"/>
  <c r="C10" i="4618"/>
  <c r="C9" i="4618"/>
  <c r="C8" i="4618"/>
  <c r="O7" i="4618"/>
  <c r="C7" i="4618"/>
  <c r="O6" i="4618"/>
  <c r="B6" i="4618"/>
  <c r="O5" i="4618"/>
  <c r="B5" i="4618"/>
  <c r="O4" i="4618"/>
  <c r="O3" i="4618"/>
  <c r="O2" i="4618"/>
  <c r="O21" i="4612"/>
  <c r="O19" i="4612"/>
  <c r="O19" i="4610"/>
  <c r="O20" i="4610"/>
  <c r="H19" i="4622" l="1"/>
  <c r="H16" i="4622"/>
  <c r="H52" i="4622"/>
  <c r="H11" i="4622"/>
  <c r="C18" i="4622"/>
  <c r="H2" i="4622"/>
  <c r="H29" i="4622"/>
  <c r="H5" i="4622"/>
  <c r="H3" i="4622"/>
  <c r="H21" i="4622"/>
  <c r="H25" i="4622"/>
  <c r="H36" i="4622"/>
  <c r="H44" i="4622"/>
  <c r="H21" i="4620"/>
  <c r="H3" i="4618"/>
  <c r="H4" i="4620"/>
  <c r="H2" i="4620"/>
  <c r="C19" i="4622"/>
  <c r="H27" i="4622"/>
  <c r="H30" i="4622"/>
  <c r="H38" i="4622"/>
  <c r="H46" i="4622"/>
  <c r="H18" i="4622"/>
  <c r="C17" i="4622"/>
  <c r="H23" i="4622"/>
  <c r="H12" i="4622"/>
  <c r="H28" i="4622"/>
  <c r="H32" i="4622"/>
  <c r="H40" i="4622"/>
  <c r="H48" i="4622"/>
  <c r="H9" i="4622"/>
  <c r="H20" i="4622"/>
  <c r="H15" i="4622"/>
  <c r="H4" i="4622"/>
  <c r="H10" i="4622"/>
  <c r="H17" i="4622"/>
  <c r="H13" i="4622"/>
  <c r="H26" i="4622"/>
  <c r="H34" i="4622"/>
  <c r="H42" i="4622"/>
  <c r="H50" i="4622"/>
  <c r="H31" i="4622"/>
  <c r="H35" i="4622"/>
  <c r="H39" i="4622"/>
  <c r="H43" i="4622"/>
  <c r="H47" i="4622"/>
  <c r="H51" i="4622"/>
  <c r="H22" i="4622"/>
  <c r="H24" i="4622"/>
  <c r="B23" i="4622"/>
  <c r="H14" i="4622"/>
  <c r="H7" i="4622"/>
  <c r="H33" i="4622"/>
  <c r="H37" i="4622"/>
  <c r="H41" i="4622"/>
  <c r="H45" i="4622"/>
  <c r="H49" i="4622"/>
  <c r="H4" i="4618"/>
  <c r="H21" i="4618"/>
  <c r="H11" i="4618"/>
  <c r="H16" i="4618"/>
  <c r="H40" i="4620"/>
  <c r="H44" i="4620"/>
  <c r="H14" i="4620"/>
  <c r="H12" i="4620"/>
  <c r="C17" i="4620"/>
  <c r="H32" i="4620"/>
  <c r="H48" i="4620"/>
  <c r="H19" i="4620"/>
  <c r="H29" i="4620"/>
  <c r="H6" i="4620"/>
  <c r="H5" i="4620"/>
  <c r="H16" i="4620"/>
  <c r="C18" i="4620"/>
  <c r="H27" i="4620"/>
  <c r="H36" i="4620"/>
  <c r="H52" i="4620"/>
  <c r="H23" i="4620"/>
  <c r="H11" i="4620"/>
  <c r="B23" i="4620"/>
  <c r="H13" i="4620"/>
  <c r="H9" i="4620"/>
  <c r="H33" i="4620"/>
  <c r="H37" i="4620"/>
  <c r="H41" i="4620"/>
  <c r="H45" i="4620"/>
  <c r="H49" i="4620"/>
  <c r="H3" i="4620"/>
  <c r="H10" i="4620"/>
  <c r="H18" i="4620"/>
  <c r="H20" i="4620"/>
  <c r="C19" i="4620"/>
  <c r="H25" i="4620"/>
  <c r="H26" i="4620"/>
  <c r="H28" i="4620"/>
  <c r="H30" i="4620"/>
  <c r="H34" i="4620"/>
  <c r="H38" i="4620"/>
  <c r="H42" i="4620"/>
  <c r="H46" i="4620"/>
  <c r="H50" i="4620"/>
  <c r="H8" i="4620"/>
  <c r="H7" i="4620"/>
  <c r="H15" i="4620"/>
  <c r="H17" i="4620"/>
  <c r="H22" i="4620"/>
  <c r="H24" i="4620"/>
  <c r="H31" i="4620"/>
  <c r="H35" i="4620"/>
  <c r="H39" i="4620"/>
  <c r="H43" i="4620"/>
  <c r="H47" i="4620"/>
  <c r="H40" i="4618"/>
  <c r="H44" i="4618"/>
  <c r="H13" i="4618"/>
  <c r="H30" i="4618"/>
  <c r="H9" i="4618"/>
  <c r="C17" i="4618"/>
  <c r="H18" i="4618"/>
  <c r="H48" i="4618"/>
  <c r="H2" i="4618"/>
  <c r="H19" i="4618"/>
  <c r="C18" i="4618"/>
  <c r="H28" i="4618"/>
  <c r="H36" i="4618"/>
  <c r="H52" i="4618"/>
  <c r="H24" i="4618"/>
  <c r="H17" i="4618"/>
  <c r="B23" i="4618"/>
  <c r="H14" i="4618"/>
  <c r="H8" i="4618"/>
  <c r="H33" i="4618"/>
  <c r="H37" i="4618"/>
  <c r="H41" i="4618"/>
  <c r="H45" i="4618"/>
  <c r="H49" i="4618"/>
  <c r="H5" i="4618"/>
  <c r="H6" i="4618"/>
  <c r="H15" i="4618"/>
  <c r="H22" i="4618"/>
  <c r="C19" i="4618"/>
  <c r="H26" i="4618"/>
  <c r="H27" i="4618"/>
  <c r="H29" i="4618"/>
  <c r="H31" i="4618"/>
  <c r="H34" i="4618"/>
  <c r="H38" i="4618"/>
  <c r="H42" i="4618"/>
  <c r="H46" i="4618"/>
  <c r="H50" i="4618"/>
  <c r="H10" i="4618"/>
  <c r="H7" i="4618"/>
  <c r="H12" i="4618"/>
  <c r="H20" i="4618"/>
  <c r="H23" i="4618"/>
  <c r="H25" i="4618"/>
  <c r="H32" i="4618"/>
  <c r="H35" i="4618"/>
  <c r="H39" i="4618"/>
  <c r="H43" i="4618"/>
  <c r="H47" i="4618"/>
  <c r="O15" i="4616" l="1"/>
  <c r="O17" i="4616"/>
  <c r="C27" i="4616"/>
  <c r="B24" i="4616"/>
  <c r="C20" i="4616"/>
  <c r="B17" i="4616"/>
  <c r="H51" i="4616" s="1"/>
  <c r="C16" i="4616"/>
  <c r="C15" i="4616"/>
  <c r="C14" i="4616"/>
  <c r="C13" i="4616"/>
  <c r="O12" i="4616"/>
  <c r="C12" i="4616"/>
  <c r="O11" i="4616"/>
  <c r="C11" i="4616"/>
  <c r="O10" i="4616"/>
  <c r="C10" i="4616"/>
  <c r="C9" i="4616"/>
  <c r="C8" i="4616"/>
  <c r="O7" i="4616"/>
  <c r="C7" i="4616"/>
  <c r="O6" i="4616"/>
  <c r="B6" i="4616"/>
  <c r="O5" i="4616"/>
  <c r="B5" i="4616"/>
  <c r="O4" i="4616"/>
  <c r="O3" i="4616"/>
  <c r="O2" i="4616"/>
  <c r="O21" i="4614"/>
  <c r="O19" i="4614"/>
  <c r="C27" i="4614"/>
  <c r="B24" i="4614"/>
  <c r="C20" i="4614"/>
  <c r="B17" i="4614"/>
  <c r="H52" i="4614" s="1"/>
  <c r="C16" i="4614"/>
  <c r="C15" i="4614"/>
  <c r="C14" i="4614"/>
  <c r="C13" i="4614"/>
  <c r="O12" i="4614"/>
  <c r="C12" i="4614"/>
  <c r="O11" i="4614"/>
  <c r="C11" i="4614"/>
  <c r="O10" i="4614"/>
  <c r="C10" i="4614"/>
  <c r="C9" i="4614"/>
  <c r="C8" i="4614"/>
  <c r="O7" i="4614"/>
  <c r="C7" i="4614"/>
  <c r="O6" i="4614"/>
  <c r="B6" i="4614"/>
  <c r="O5" i="4614"/>
  <c r="B5" i="4614"/>
  <c r="O4" i="4614"/>
  <c r="O3" i="4614"/>
  <c r="O2" i="4614"/>
  <c r="O23" i="4610"/>
  <c r="O18" i="4612"/>
  <c r="O20" i="4612"/>
  <c r="C27" i="4612"/>
  <c r="B24" i="4612"/>
  <c r="C20" i="4612"/>
  <c r="B17" i="4612"/>
  <c r="H51" i="4612" s="1"/>
  <c r="C16" i="4612"/>
  <c r="C15" i="4612"/>
  <c r="C14" i="4612"/>
  <c r="C13" i="4612"/>
  <c r="O12" i="4612"/>
  <c r="C12" i="4612"/>
  <c r="O11" i="4612"/>
  <c r="C11" i="4612"/>
  <c r="O10" i="4612"/>
  <c r="C10" i="4612"/>
  <c r="C9" i="4612"/>
  <c r="C8" i="4612"/>
  <c r="O7" i="4612"/>
  <c r="C7" i="4612"/>
  <c r="O6" i="4612"/>
  <c r="B6" i="4612"/>
  <c r="O5" i="4612"/>
  <c r="B5" i="4612"/>
  <c r="O4" i="4612"/>
  <c r="O3" i="4612"/>
  <c r="O2" i="4612"/>
  <c r="O15" i="4610"/>
  <c r="O21" i="4610"/>
  <c r="C27" i="4610"/>
  <c r="B24" i="4610"/>
  <c r="C20" i="4610"/>
  <c r="B17" i="4610"/>
  <c r="H5" i="4610" s="1"/>
  <c r="C16" i="4610"/>
  <c r="C15" i="4610"/>
  <c r="C14" i="4610"/>
  <c r="C13" i="4610"/>
  <c r="O12" i="4610"/>
  <c r="C12" i="4610"/>
  <c r="O11" i="4610"/>
  <c r="C11" i="4610"/>
  <c r="O10" i="4610"/>
  <c r="C10" i="4610"/>
  <c r="C9" i="4610"/>
  <c r="C8" i="4610"/>
  <c r="O7" i="4610"/>
  <c r="C7" i="4610"/>
  <c r="O6" i="4610"/>
  <c r="B6" i="4610"/>
  <c r="O5" i="4610"/>
  <c r="B5" i="4610"/>
  <c r="O4" i="4610"/>
  <c r="O3" i="4610"/>
  <c r="O2" i="4610"/>
  <c r="H6" i="4616" l="1"/>
  <c r="H36" i="4616"/>
  <c r="H52" i="4616"/>
  <c r="H2" i="4616"/>
  <c r="H16" i="4616"/>
  <c r="H14" i="4616"/>
  <c r="H27" i="4616"/>
  <c r="H3" i="4616"/>
  <c r="H8" i="4616"/>
  <c r="C18" i="4616"/>
  <c r="H32" i="4612"/>
  <c r="H12" i="4612"/>
  <c r="H15" i="4612"/>
  <c r="H40" i="4616"/>
  <c r="H15" i="4616"/>
  <c r="H29" i="4616"/>
  <c r="H44" i="4616"/>
  <c r="H19" i="4616"/>
  <c r="H5" i="4616"/>
  <c r="C17" i="4616"/>
  <c r="H32" i="4616"/>
  <c r="H48" i="4616"/>
  <c r="H22" i="4616"/>
  <c r="H24" i="4616"/>
  <c r="B23" i="4616"/>
  <c r="H12" i="4616"/>
  <c r="H10" i="4616"/>
  <c r="H33" i="4616"/>
  <c r="H37" i="4616"/>
  <c r="H41" i="4616"/>
  <c r="H45" i="4616"/>
  <c r="H49" i="4616"/>
  <c r="H7" i="4616"/>
  <c r="H11" i="4616"/>
  <c r="H18" i="4616"/>
  <c r="H20" i="4616"/>
  <c r="C19" i="4616"/>
  <c r="H25" i="4616"/>
  <c r="H26" i="4616"/>
  <c r="H28" i="4616"/>
  <c r="H30" i="4616"/>
  <c r="H34" i="4616"/>
  <c r="H38" i="4616"/>
  <c r="H42" i="4616"/>
  <c r="H46" i="4616"/>
  <c r="H50" i="4616"/>
  <c r="H13" i="4616"/>
  <c r="H4" i="4616"/>
  <c r="H9" i="4616"/>
  <c r="H17" i="4616"/>
  <c r="H21" i="4616"/>
  <c r="H23" i="4616"/>
  <c r="H31" i="4616"/>
  <c r="H35" i="4616"/>
  <c r="H39" i="4616"/>
  <c r="H43" i="4616"/>
  <c r="H47" i="4616"/>
  <c r="H3" i="4614"/>
  <c r="H6" i="4614"/>
  <c r="H20" i="4614"/>
  <c r="H41" i="4614"/>
  <c r="H9" i="4614"/>
  <c r="H24" i="4614"/>
  <c r="H15" i="4614"/>
  <c r="H32" i="4614"/>
  <c r="C17" i="4614"/>
  <c r="H49" i="4614"/>
  <c r="H45" i="4614"/>
  <c r="H5" i="4614"/>
  <c r="H22" i="4614"/>
  <c r="H2" i="4614"/>
  <c r="H17" i="4614"/>
  <c r="C18" i="4614"/>
  <c r="H30" i="4614"/>
  <c r="H37" i="4614"/>
  <c r="H23" i="4614"/>
  <c r="H26" i="4614"/>
  <c r="H13" i="4614"/>
  <c r="B23" i="4614"/>
  <c r="H11" i="4614"/>
  <c r="H12" i="4614"/>
  <c r="H34" i="4614"/>
  <c r="H38" i="4614"/>
  <c r="H42" i="4614"/>
  <c r="H46" i="4614"/>
  <c r="H50" i="4614"/>
  <c r="H4" i="4614"/>
  <c r="H8" i="4614"/>
  <c r="H19" i="4614"/>
  <c r="H25" i="4614"/>
  <c r="C19" i="4614"/>
  <c r="H28" i="4614"/>
  <c r="H29" i="4614"/>
  <c r="H31" i="4614"/>
  <c r="H33" i="4614"/>
  <c r="H35" i="4614"/>
  <c r="H39" i="4614"/>
  <c r="H43" i="4614"/>
  <c r="H47" i="4614"/>
  <c r="H51" i="4614"/>
  <c r="H10" i="4614"/>
  <c r="H7" i="4614"/>
  <c r="H16" i="4614"/>
  <c r="H18" i="4614"/>
  <c r="H21" i="4614"/>
  <c r="H27" i="4614"/>
  <c r="H14" i="4614"/>
  <c r="H36" i="4614"/>
  <c r="H40" i="4614"/>
  <c r="H44" i="4614"/>
  <c r="H48" i="4614"/>
  <c r="H36" i="4612"/>
  <c r="H13" i="4612"/>
  <c r="H44" i="4612"/>
  <c r="H3" i="4612"/>
  <c r="H25" i="4612"/>
  <c r="H4" i="4612"/>
  <c r="C17" i="4612"/>
  <c r="H31" i="4612"/>
  <c r="H6" i="4612"/>
  <c r="H52" i="4612"/>
  <c r="H40" i="4612"/>
  <c r="H2" i="4612"/>
  <c r="H17" i="4612"/>
  <c r="C18" i="4612"/>
  <c r="H33" i="4612"/>
  <c r="H48" i="4612"/>
  <c r="H27" i="4612"/>
  <c r="H16" i="4612"/>
  <c r="B23" i="4612"/>
  <c r="H11" i="4612"/>
  <c r="H8" i="4612"/>
  <c r="H34" i="4612"/>
  <c r="H37" i="4612"/>
  <c r="H41" i="4612"/>
  <c r="H45" i="4612"/>
  <c r="H49" i="4612"/>
  <c r="H5" i="4612"/>
  <c r="H9" i="4612"/>
  <c r="H18" i="4612"/>
  <c r="H19" i="4612"/>
  <c r="C19" i="4612"/>
  <c r="H29" i="4612"/>
  <c r="H30" i="4612"/>
  <c r="H20" i="4612"/>
  <c r="H21" i="4612"/>
  <c r="H35" i="4612"/>
  <c r="H38" i="4612"/>
  <c r="H42" i="4612"/>
  <c r="H46" i="4612"/>
  <c r="H50" i="4612"/>
  <c r="H10" i="4612"/>
  <c r="H7" i="4612"/>
  <c r="H14" i="4612"/>
  <c r="H24" i="4612"/>
  <c r="H26" i="4612"/>
  <c r="H28" i="4612"/>
  <c r="H22" i="4612"/>
  <c r="H23" i="4612"/>
  <c r="H39" i="4612"/>
  <c r="H43" i="4612"/>
  <c r="H47" i="4612"/>
  <c r="H41" i="4610"/>
  <c r="H11" i="4610"/>
  <c r="H29" i="4610"/>
  <c r="H6" i="4610"/>
  <c r="H34" i="4610"/>
  <c r="H19" i="4610"/>
  <c r="H49" i="4610"/>
  <c r="C17" i="4610"/>
  <c r="H14" i="4610"/>
  <c r="H45" i="4610"/>
  <c r="H2" i="4610"/>
  <c r="C18" i="4610"/>
  <c r="H21" i="4610"/>
  <c r="H4" i="4610"/>
  <c r="H3" i="4610"/>
  <c r="H16" i="4610"/>
  <c r="H24" i="4610"/>
  <c r="H37" i="4610"/>
  <c r="H28" i="4610"/>
  <c r="C19" i="4610"/>
  <c r="H32" i="4610"/>
  <c r="H33" i="4610"/>
  <c r="H25" i="4610"/>
  <c r="H26" i="4610"/>
  <c r="H36" i="4610"/>
  <c r="H39" i="4610"/>
  <c r="H43" i="4610"/>
  <c r="H47" i="4610"/>
  <c r="H51" i="4610"/>
  <c r="H8" i="4610"/>
  <c r="H18" i="4610"/>
  <c r="H23" i="4610"/>
  <c r="H10" i="4610"/>
  <c r="H7" i="4610"/>
  <c r="H13" i="4610"/>
  <c r="H22" i="4610"/>
  <c r="H20" i="4610"/>
  <c r="H31" i="4610"/>
  <c r="H17" i="4610"/>
  <c r="H27" i="4610"/>
  <c r="H40" i="4610"/>
  <c r="H44" i="4610"/>
  <c r="H48" i="4610"/>
  <c r="H52" i="4610"/>
  <c r="H30" i="4610"/>
  <c r="H15" i="4610"/>
  <c r="B23" i="4610"/>
  <c r="H12" i="4610"/>
  <c r="H9" i="4610"/>
  <c r="H35" i="4610"/>
  <c r="H38" i="4610"/>
  <c r="H42" i="4610"/>
  <c r="H46" i="4610"/>
  <c r="H50" i="461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<sst xmlns="http://schemas.openxmlformats.org/spreadsheetml/2006/main" count="2411" uniqueCount="199">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</sst>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全体!$L$2:$L$134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F8-4E84-AC9E-84573B05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-37.878787878787875</c:v>
                </c:pt>
                <c:pt idx="1">
                  <c:v>-15.503875968992247</c:v>
                </c:pt>
                <c:pt idx="2">
                  <c:v>56.91056910569106</c:v>
                </c:pt>
                <c:pt idx="3">
                  <c:v>0</c:v>
                </c:pt>
                <c:pt idx="4">
                  <c:v>-54.054054054054056</c:v>
                </c:pt>
                <c:pt idx="5">
                  <c:v>57.142857142857146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5-46A5-8F30-6C56DCBA9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だいち!$L$2:$L$31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F-4C49-A3E4-431E02968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3634.4827586206898</c:v>
                </c:pt>
                <c:pt idx="1">
                  <c:v>4475</c:v>
                </c:pt>
                <c:pt idx="2">
                  <c:v>2840.7407407407409</c:v>
                </c:pt>
                <c:pt idx="3">
                  <c:v>4780.7692307692305</c:v>
                </c:pt>
                <c:pt idx="4">
                  <c:v>1273.9130434782608</c:v>
                </c:pt>
                <c:pt idx="5">
                  <c:v>-131.81818181818181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1-4773-9914-31EF6B737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りくと!$L$2:$L$31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EF-44F2-97CD-7E0248F77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1203.4482758620691</c:v>
                </c:pt>
                <c:pt idx="1">
                  <c:v>-1310.7142857142858</c:v>
                </c:pt>
                <c:pt idx="2">
                  <c:v>-632.14285714285711</c:v>
                </c:pt>
                <c:pt idx="3">
                  <c:v>2332.1428571428573</c:v>
                </c:pt>
                <c:pt idx="4">
                  <c:v>2426.9230769230771</c:v>
                </c:pt>
                <c:pt idx="5">
                  <c:v>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3-4781-89E0-EBF021FA2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C-4A3D-B919-5E5635B19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-4961.5384615384619</c:v>
                </c:pt>
                <c:pt idx="1">
                  <c:v>-2661.5384615384614</c:v>
                </c:pt>
                <c:pt idx="2">
                  <c:v>-5163.636363636364</c:v>
                </c:pt>
                <c:pt idx="3">
                  <c:v>-3863.6363636363635</c:v>
                </c:pt>
                <c:pt idx="4">
                  <c:v>-3154.5454545454545</c:v>
                </c:pt>
                <c:pt idx="5">
                  <c:v>-1454.5454545454545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3-4D55-B0EA-147BA8C23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れんたろう!$L$2:$L$25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D-4ADA-A09E-583534385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360.86956521739131</c:v>
                </c:pt>
                <c:pt idx="1">
                  <c:v>1539.1304347826087</c:v>
                </c:pt>
                <c:pt idx="2">
                  <c:v>-168.18181818181819</c:v>
                </c:pt>
                <c:pt idx="3">
                  <c:v>-3919.0476190476193</c:v>
                </c:pt>
                <c:pt idx="4">
                  <c:v>215.78947368421052</c:v>
                </c:pt>
                <c:pt idx="5">
                  <c:v>617.64705882352939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B1-456D-9AE7-27E7F6755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たかの!$L$2:$L$10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76-45AB-864B-59CEFD8C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1237.5</c:v>
                </c:pt>
                <c:pt idx="1">
                  <c:v>1362.5</c:v>
                </c:pt>
                <c:pt idx="2">
                  <c:v>-1257.1428571428571</c:v>
                </c:pt>
                <c:pt idx="3">
                  <c:v>2914.2857142857142</c:v>
                </c:pt>
                <c:pt idx="4">
                  <c:v>-4257.1428571428569</c:v>
                </c:pt>
                <c:pt idx="5">
                  <c:v>-2516.6666666666665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8-49CA-8E46-5AE982063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E-4F57-B9B9-C5D55390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-3433.3333333333335</c:v>
                </c:pt>
                <c:pt idx="1">
                  <c:v>-3808.3333333333335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F-4A88-9381-5D7833E06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まっつん!$L$2:$L$13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E0-4A49-A5A6-566E24B08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-7000</c:v>
                </c:pt>
                <c:pt idx="1">
                  <c:v>-4580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F-4407-9FFD-98318E4AB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55-45EE-B4B5-13E39CC80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3C-4C36-BC43-3FF8B346C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D-4B26-9175-A356D3DD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2550</c:v>
                </c:pt>
                <c:pt idx="1">
                  <c:v>-4375</c:v>
                </c:pt>
                <c:pt idx="2">
                  <c:v>725</c:v>
                </c:pt>
                <c:pt idx="3">
                  <c:v>-5750</c:v>
                </c:pt>
                <c:pt idx="4">
                  <c:v>2050</c:v>
                </c:pt>
                <c:pt idx="5">
                  <c:v>-2650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3-450B-8714-25C97256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いっしー2!$C$3:$C$7</c:f>
              <c:numCache>
                <c:formatCode>\+0.0;\-0.0;\±0</c:formatCode>
                <c:ptCount val="5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いっしー2!$F$3:$F$7</c:f>
              <c:numCache>
                <c:formatCode>0.0%</c:formatCode>
                <c:ptCount val="5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いっしー2!$G$3:$G$7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いっしー2!$H$3:$H$7</c:f>
              <c:numCache>
                <c:formatCode>0</c:formatCode>
                <c:ptCount val="5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いっしー2!$I$3:$I$7</c:f>
              <c:numCache>
                <c:formatCode>0</c:formatCode>
                <c:ptCount val="5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いっしー2!$J$3:$J$7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いっしー2!$L$3:$L$7</c:f>
              <c:numCache>
                <c:formatCode>0.0%</c:formatCode>
                <c:ptCount val="5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いっしー2!$M$3:$M$7</c:f>
              <c:numCache>
                <c:formatCode>0.0%</c:formatCode>
                <c:ptCount val="5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いっしー2!$N$3:$N$7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いっしー2!$O$3:$O$7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いっしー2!$P$3:$P$7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140D2A-DD75-41D7-9536-0D0B18452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6C8EAF-2035-48DD-A64F-548E3F544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F5C08B-89A5-4237-9D00-A00484192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F3A207-AF2E-4BE2-B259-345D6620F4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84B5EF-2416-4C25-960F-F86F6CED6C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0B0E46-84BD-4786-B197-760230A6EB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FEB71A-DCA3-4337-B695-2BCE2DCEC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B3973C4-2B48-400C-971E-994392F7A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536A22-05D6-4BE8-9E33-ABD4F5CF41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C8A399-4E15-4386-ACCF-66EBB5D70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CAB5BE-6004-4416-A6B0-DBE9C6705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4053ED0-FD6E-4981-94E4-EEEB5D1A46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4BDC57-FC46-4C3F-947C-29B9D8634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AB4E64-F49B-4AC9-A0F7-33BAE1127F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074288-74FD-44E8-81D7-9BFF64F25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079433-E6BA-406F-96C3-B85B1584E1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8C2861-B631-4339-938F-2F84312B63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898F69-CA2D-4F78-B88F-B60747B91B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21CC25-753F-4379-8295-3372083D9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9DAC33-0176-4554-9EF3-4E5B67630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48">
        <v>0</v>
      </c>
      <c r="C2" s="149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2">
        <v>0</v>
      </c>
      <c r="C25" s="143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0">
        <v>0</v>
      </c>
      <c r="C26" s="141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43560.923958333333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43560.923958333333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43560.923958333333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43560.923958333333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43561.114791666667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43563.354502314818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43566.043888888889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43566.04109953704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43566.04109953704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43566.04109953704</v>
      </c>
      <c r="C11" s="30" t="s">
        <v>132</v>
      </c>
      <c r="D11" s="30" t="s">
        <v>133</v>
      </c>
      <c r="E11" s="30" t="s">
        <v>172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164</v>
      </c>
      <c r="K1" s="157"/>
      <c r="L1" s="156" t="s">
        <v>151</v>
      </c>
      <c r="M1" s="157"/>
      <c r="N1" s="156" t="s">
        <v>152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143</v>
      </c>
      <c r="W1" s="157"/>
      <c r="X1" s="156" t="s">
        <v>125</v>
      </c>
      <c r="Y1" s="157"/>
      <c r="Z1" s="156" t="s">
        <v>122</v>
      </c>
      <c r="AA1" s="157"/>
      <c r="AB1" s="156" t="s">
        <v>128</v>
      </c>
      <c r="AC1" s="157"/>
      <c r="AD1" s="156" t="s">
        <v>153</v>
      </c>
      <c r="AE1" s="157"/>
      <c r="AF1" s="156" t="s">
        <v>146</v>
      </c>
      <c r="AG1" s="157"/>
      <c r="AH1" s="156" t="s">
        <v>155</v>
      </c>
      <c r="AI1" s="157"/>
      <c r="AJ1" s="156" t="s">
        <v>165</v>
      </c>
      <c r="AK1" s="157"/>
    </row>
    <row r="2" spans="1:37" x14ac:dyDescent="0.4">
      <c r="A2" s="72" t="s">
        <v>163</v>
      </c>
      <c r="B2" s="158"/>
      <c r="C2" s="159"/>
      <c r="D2" s="158"/>
      <c r="E2" s="159"/>
      <c r="F2" s="160">
        <v>0.99848615396444873</v>
      </c>
      <c r="G2" s="161"/>
      <c r="H2" s="160">
        <v>0.95873189693763416</v>
      </c>
      <c r="I2" s="161"/>
      <c r="J2" s="160">
        <v>0.95454726358646858</v>
      </c>
      <c r="K2" s="161"/>
      <c r="L2" s="160">
        <v>0.82952985369301968</v>
      </c>
      <c r="M2" s="161"/>
      <c r="N2" s="160">
        <v>0.81958185094988067</v>
      </c>
      <c r="O2" s="161"/>
      <c r="P2" s="160">
        <v>0.78974918914243331</v>
      </c>
      <c r="Q2" s="161"/>
      <c r="R2" s="160">
        <v>0.62793155126320244</v>
      </c>
      <c r="S2" s="161"/>
      <c r="T2" s="160">
        <v>0.86637801938161507</v>
      </c>
      <c r="U2" s="161"/>
      <c r="V2" s="160">
        <v>0.94369341398318751</v>
      </c>
      <c r="W2" s="161"/>
      <c r="X2" s="160">
        <v>0.89855926837252276</v>
      </c>
      <c r="Y2" s="161"/>
      <c r="Z2" s="160">
        <v>0.51495740991662586</v>
      </c>
      <c r="AA2" s="161"/>
      <c r="AB2" s="160">
        <v>0.64970011323250632</v>
      </c>
      <c r="AC2" s="161"/>
      <c r="AD2" s="160">
        <v>0.5340941815552982</v>
      </c>
      <c r="AE2" s="161"/>
      <c r="AF2" s="160">
        <v>-0.35409818290433903</v>
      </c>
      <c r="AG2" s="161"/>
      <c r="AH2" s="160">
        <v>0.96429593880190168</v>
      </c>
      <c r="AI2" s="161"/>
      <c r="AJ2" s="160">
        <v>0.24014338492425341</v>
      </c>
      <c r="AK2" s="161"/>
    </row>
    <row r="3" spans="1:37" x14ac:dyDescent="0.4">
      <c r="A3" s="74">
        <v>1</v>
      </c>
      <c r="B3" s="75" t="s">
        <v>129</v>
      </c>
      <c r="C3" s="76">
        <v>703.1</v>
      </c>
      <c r="D3" s="77" t="s">
        <v>129</v>
      </c>
      <c r="E3" s="98">
        <v>24.244827586206899</v>
      </c>
      <c r="F3" s="77" t="s">
        <v>188</v>
      </c>
      <c r="G3" s="78">
        <v>1.3333333333333333</v>
      </c>
      <c r="H3" s="77" t="s">
        <v>188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0.4219409282700422</v>
      </c>
      <c r="N3" s="77" t="s">
        <v>188</v>
      </c>
      <c r="O3" s="80">
        <v>0.10526315789473684</v>
      </c>
      <c r="P3" s="77" t="s">
        <v>130</v>
      </c>
      <c r="Q3" s="81">
        <v>8922.0779220779223</v>
      </c>
      <c r="R3" s="77" t="s">
        <v>188</v>
      </c>
      <c r="S3" s="81">
        <v>-5150</v>
      </c>
      <c r="T3" s="77" t="s">
        <v>130</v>
      </c>
      <c r="U3" s="79">
        <v>0</v>
      </c>
      <c r="V3" s="77" t="s">
        <v>129</v>
      </c>
      <c r="W3" s="79">
        <v>0.17241379310344829</v>
      </c>
      <c r="X3" s="77" t="s">
        <v>129</v>
      </c>
      <c r="Y3" s="80">
        <v>0.34599156118143459</v>
      </c>
      <c r="Z3" s="77" t="s">
        <v>175</v>
      </c>
      <c r="AA3" s="80">
        <v>0.34426229508196721</v>
      </c>
      <c r="AB3" s="77" t="s">
        <v>189</v>
      </c>
      <c r="AC3" s="80">
        <v>0.7142857142857143</v>
      </c>
      <c r="AD3" s="77" t="s">
        <v>189</v>
      </c>
      <c r="AE3" s="80">
        <v>0.66666666666666663</v>
      </c>
      <c r="AF3" s="77" t="s">
        <v>189</v>
      </c>
      <c r="AG3" s="80">
        <v>0.6</v>
      </c>
      <c r="AH3" s="77" t="s">
        <v>129</v>
      </c>
      <c r="AI3" s="93">
        <v>105900</v>
      </c>
      <c r="AJ3" s="77" t="s">
        <v>147</v>
      </c>
      <c r="AK3" s="82">
        <v>6</v>
      </c>
    </row>
    <row r="4" spans="1:37" x14ac:dyDescent="0.4">
      <c r="A4" s="83">
        <v>2</v>
      </c>
      <c r="B4" s="84" t="s">
        <v>130</v>
      </c>
      <c r="C4" s="85">
        <v>182.49999999999997</v>
      </c>
      <c r="D4" s="86" t="s">
        <v>188</v>
      </c>
      <c r="E4" s="99">
        <v>20.333333333333332</v>
      </c>
      <c r="F4" s="86" t="s">
        <v>129</v>
      </c>
      <c r="G4" s="87">
        <v>1.5862068965517242</v>
      </c>
      <c r="H4" s="86" t="s">
        <v>129</v>
      </c>
      <c r="I4" s="88">
        <v>0.58620689655172409</v>
      </c>
      <c r="J4" s="86" t="s">
        <v>129</v>
      </c>
      <c r="K4" s="88">
        <v>0.17241379310344829</v>
      </c>
      <c r="L4" s="86" t="s">
        <v>130</v>
      </c>
      <c r="M4" s="89">
        <v>0.30555555555555558</v>
      </c>
      <c r="N4" s="86" t="s">
        <v>130</v>
      </c>
      <c r="O4" s="89">
        <v>0.15476190476190477</v>
      </c>
      <c r="P4" s="86" t="s">
        <v>129</v>
      </c>
      <c r="Q4" s="90">
        <v>8832</v>
      </c>
      <c r="R4" s="86" t="s">
        <v>189</v>
      </c>
      <c r="S4" s="90">
        <v>-6700</v>
      </c>
      <c r="T4" s="86" t="s">
        <v>175</v>
      </c>
      <c r="U4" s="88">
        <v>0</v>
      </c>
      <c r="V4" s="86" t="s">
        <v>174</v>
      </c>
      <c r="W4" s="88">
        <v>8.6956521739130432E-2</v>
      </c>
      <c r="X4" s="86" t="s">
        <v>130</v>
      </c>
      <c r="Y4" s="89">
        <v>0.30555555555555558</v>
      </c>
      <c r="Z4" s="86" t="s">
        <v>129</v>
      </c>
      <c r="AA4" s="89">
        <v>0.26582278481012656</v>
      </c>
      <c r="AB4" s="86" t="s">
        <v>175</v>
      </c>
      <c r="AC4" s="89">
        <v>0.63636363636363635</v>
      </c>
      <c r="AD4" s="86" t="s">
        <v>129</v>
      </c>
      <c r="AE4" s="89">
        <v>0.5714285714285714</v>
      </c>
      <c r="AF4" s="86" t="s">
        <v>176</v>
      </c>
      <c r="AG4" s="89">
        <v>0.53125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130</v>
      </c>
      <c r="E5" s="99">
        <v>6.2931034482758612</v>
      </c>
      <c r="F5" s="86" t="s">
        <v>130</v>
      </c>
      <c r="G5" s="87">
        <v>1.896551724137931</v>
      </c>
      <c r="H5" s="86" t="s">
        <v>130</v>
      </c>
      <c r="I5" s="88">
        <v>0.34482758620689657</v>
      </c>
      <c r="J5" s="86" t="s">
        <v>130</v>
      </c>
      <c r="K5" s="88">
        <v>0.2413793103448276</v>
      </c>
      <c r="L5" s="86" t="s">
        <v>147</v>
      </c>
      <c r="M5" s="89">
        <v>0.29955555555555557</v>
      </c>
      <c r="N5" s="86" t="s">
        <v>174</v>
      </c>
      <c r="O5" s="89">
        <v>0.1625615763546798</v>
      </c>
      <c r="P5" s="86" t="s">
        <v>174</v>
      </c>
      <c r="Q5" s="90">
        <v>7983.6734693877552</v>
      </c>
      <c r="R5" s="86" t="s">
        <v>180</v>
      </c>
      <c r="S5" s="90">
        <v>-7141.1764705882351</v>
      </c>
      <c r="T5" s="86" t="s">
        <v>188</v>
      </c>
      <c r="U5" s="88">
        <v>0</v>
      </c>
      <c r="V5" s="86" t="s">
        <v>130</v>
      </c>
      <c r="W5" s="88">
        <v>6.8965517241379309E-2</v>
      </c>
      <c r="X5" s="86" t="s">
        <v>188</v>
      </c>
      <c r="Y5" s="89">
        <v>0.26315789473684209</v>
      </c>
      <c r="Z5" s="86" t="s">
        <v>180</v>
      </c>
      <c r="AA5" s="89">
        <v>0.24691358024691357</v>
      </c>
      <c r="AB5" s="86" t="s">
        <v>130</v>
      </c>
      <c r="AC5" s="89">
        <v>0.62337662337662336</v>
      </c>
      <c r="AD5" s="86" t="s">
        <v>188</v>
      </c>
      <c r="AE5" s="89">
        <v>0.5</v>
      </c>
      <c r="AF5" s="86" t="s">
        <v>129</v>
      </c>
      <c r="AG5" s="89">
        <v>0.41</v>
      </c>
      <c r="AH5" s="86" t="s">
        <v>174</v>
      </c>
      <c r="AI5" s="94">
        <v>91700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147</v>
      </c>
      <c r="C6" s="85">
        <v>1.4210854715202004E-14</v>
      </c>
      <c r="D6" s="86" t="s">
        <v>147</v>
      </c>
      <c r="E6" s="99">
        <v>1.0765799026668185E-16</v>
      </c>
      <c r="F6" s="86" t="s">
        <v>147</v>
      </c>
      <c r="G6" s="87">
        <v>2</v>
      </c>
      <c r="H6" s="86" t="s">
        <v>147</v>
      </c>
      <c r="I6" s="88">
        <v>0.33333333333333331</v>
      </c>
      <c r="J6" s="86" t="s">
        <v>175</v>
      </c>
      <c r="K6" s="88">
        <v>0.25</v>
      </c>
      <c r="L6" s="86" t="s">
        <v>176</v>
      </c>
      <c r="M6" s="89">
        <v>0.2831858407079646</v>
      </c>
      <c r="N6" s="86" t="s">
        <v>175</v>
      </c>
      <c r="O6" s="89">
        <v>0.16393442622950818</v>
      </c>
      <c r="P6" s="86" t="s">
        <v>147</v>
      </c>
      <c r="Q6" s="90">
        <v>7872.106824925816</v>
      </c>
      <c r="R6" s="86" t="s">
        <v>175</v>
      </c>
      <c r="S6" s="90">
        <v>-7190</v>
      </c>
      <c r="T6" s="86" t="s">
        <v>189</v>
      </c>
      <c r="U6" s="88">
        <v>0</v>
      </c>
      <c r="V6" s="86" t="s">
        <v>147</v>
      </c>
      <c r="W6" s="88">
        <v>6.8181818181818177E-2</v>
      </c>
      <c r="X6" s="86" t="s">
        <v>147</v>
      </c>
      <c r="Y6" s="89">
        <v>0.26222222222222225</v>
      </c>
      <c r="Z6" s="86" t="s">
        <v>176</v>
      </c>
      <c r="AA6" s="89">
        <v>0.23008849557522124</v>
      </c>
      <c r="AB6" s="86" t="s">
        <v>188</v>
      </c>
      <c r="AC6" s="89">
        <v>0.6</v>
      </c>
      <c r="AD6" s="86" t="s">
        <v>147</v>
      </c>
      <c r="AE6" s="89">
        <v>0.4050632911392405</v>
      </c>
      <c r="AF6" s="86" t="s">
        <v>131</v>
      </c>
      <c r="AG6" s="89">
        <v>0.40740740740740738</v>
      </c>
      <c r="AH6" s="86" t="s">
        <v>130</v>
      </c>
      <c r="AI6" s="94">
        <v>88600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175</v>
      </c>
      <c r="C7" s="85">
        <v>-29.5</v>
      </c>
      <c r="D7" s="86" t="s">
        <v>174</v>
      </c>
      <c r="E7" s="99">
        <v>-2.4217391304347822</v>
      </c>
      <c r="F7" s="86" t="s">
        <v>174</v>
      </c>
      <c r="G7" s="87">
        <v>2.0434782608695654</v>
      </c>
      <c r="H7" s="86" t="s">
        <v>174</v>
      </c>
      <c r="I7" s="88">
        <v>0.30434782608695654</v>
      </c>
      <c r="J7" s="86" t="s">
        <v>147</v>
      </c>
      <c r="K7" s="88">
        <v>0.33333333333333331</v>
      </c>
      <c r="L7" s="86" t="s">
        <v>175</v>
      </c>
      <c r="M7" s="89">
        <v>0.27868852459016391</v>
      </c>
      <c r="N7" s="86" t="s">
        <v>129</v>
      </c>
      <c r="O7" s="89">
        <v>0.16455696202531644</v>
      </c>
      <c r="P7" s="86" t="s">
        <v>188</v>
      </c>
      <c r="Q7" s="90">
        <v>7860</v>
      </c>
      <c r="R7" s="86" t="s">
        <v>174</v>
      </c>
      <c r="S7" s="90">
        <v>-7372.727272727273</v>
      </c>
      <c r="T7" s="86" t="s">
        <v>129</v>
      </c>
      <c r="U7" s="88">
        <v>3.4482758620689655E-2</v>
      </c>
      <c r="V7" s="86" t="s">
        <v>131</v>
      </c>
      <c r="W7" s="88">
        <v>0</v>
      </c>
      <c r="X7" s="86" t="s">
        <v>174</v>
      </c>
      <c r="Y7" s="89">
        <v>0.24630541871921183</v>
      </c>
      <c r="Z7" s="86" t="s">
        <v>147</v>
      </c>
      <c r="AA7" s="89">
        <v>0.21066666666666667</v>
      </c>
      <c r="AB7" s="86" t="s">
        <v>129</v>
      </c>
      <c r="AC7" s="89">
        <v>0.57317073170731703</v>
      </c>
      <c r="AD7" s="86" t="s">
        <v>176</v>
      </c>
      <c r="AE7" s="89">
        <v>0.38461538461538464</v>
      </c>
      <c r="AF7" s="86" t="s">
        <v>147</v>
      </c>
      <c r="AG7" s="89">
        <v>0.39465875370919884</v>
      </c>
      <c r="AH7" s="86" t="s">
        <v>180</v>
      </c>
      <c r="AI7" s="94">
        <v>65000</v>
      </c>
      <c r="AJ7" s="86" t="s">
        <v>129</v>
      </c>
      <c r="AK7" s="91">
        <v>0</v>
      </c>
    </row>
    <row r="8" spans="1:37" x14ac:dyDescent="0.4">
      <c r="A8" s="83">
        <v>6</v>
      </c>
      <c r="B8" s="84" t="s">
        <v>189</v>
      </c>
      <c r="C8" s="85">
        <v>-49.800000000000004</v>
      </c>
      <c r="D8" s="86" t="s">
        <v>175</v>
      </c>
      <c r="E8" s="99">
        <v>-3.6875</v>
      </c>
      <c r="F8" s="86" t="s">
        <v>175</v>
      </c>
      <c r="G8" s="87">
        <v>2.125</v>
      </c>
      <c r="H8" s="86" t="s">
        <v>180</v>
      </c>
      <c r="I8" s="88">
        <v>0.27272727272727271</v>
      </c>
      <c r="J8" s="86" t="s">
        <v>174</v>
      </c>
      <c r="K8" s="88">
        <v>0.34782608695652173</v>
      </c>
      <c r="L8" s="86" t="s">
        <v>189</v>
      </c>
      <c r="M8" s="89">
        <v>0.27027027027027029</v>
      </c>
      <c r="N8" s="86" t="s">
        <v>147</v>
      </c>
      <c r="O8" s="89">
        <v>0.17955555555555555</v>
      </c>
      <c r="P8" s="86" t="s">
        <v>131</v>
      </c>
      <c r="Q8" s="90">
        <v>7314.8148148148148</v>
      </c>
      <c r="R8" s="86" t="s">
        <v>130</v>
      </c>
      <c r="S8" s="90">
        <v>-7502.5641025641025</v>
      </c>
      <c r="T8" s="86" t="s">
        <v>174</v>
      </c>
      <c r="U8" s="88">
        <v>4.3478260869565216E-2</v>
      </c>
      <c r="V8" s="86" t="s">
        <v>176</v>
      </c>
      <c r="W8" s="88">
        <v>0</v>
      </c>
      <c r="X8" s="86" t="s">
        <v>131</v>
      </c>
      <c r="Y8" s="89">
        <v>0.22950819672131148</v>
      </c>
      <c r="Z8" s="86" t="s">
        <v>188</v>
      </c>
      <c r="AA8" s="89">
        <v>0.21052631578947367</v>
      </c>
      <c r="AB8" s="86" t="s">
        <v>147</v>
      </c>
      <c r="AC8" s="89">
        <v>0.56271186440677967</v>
      </c>
      <c r="AD8" s="86" t="s">
        <v>174</v>
      </c>
      <c r="AE8" s="89">
        <v>0.35</v>
      </c>
      <c r="AF8" s="86" t="s">
        <v>130</v>
      </c>
      <c r="AG8" s="89">
        <v>0.36363636363636365</v>
      </c>
      <c r="AH8" s="86" t="s">
        <v>188</v>
      </c>
      <c r="AI8" s="94">
        <v>53500</v>
      </c>
      <c r="AJ8" s="86" t="s">
        <v>131</v>
      </c>
      <c r="AK8" s="91">
        <v>0</v>
      </c>
    </row>
    <row r="9" spans="1:37" x14ac:dyDescent="0.4">
      <c r="A9" s="83">
        <v>7</v>
      </c>
      <c r="B9" s="84" t="s">
        <v>174</v>
      </c>
      <c r="C9" s="85">
        <v>-55.699999999999989</v>
      </c>
      <c r="D9" s="86" t="s">
        <v>189</v>
      </c>
      <c r="E9" s="99">
        <v>-12.450000000000001</v>
      </c>
      <c r="F9" s="86" t="s">
        <v>189</v>
      </c>
      <c r="G9" s="87">
        <v>2.25</v>
      </c>
      <c r="H9" s="86" t="s">
        <v>189</v>
      </c>
      <c r="I9" s="88">
        <v>0.25</v>
      </c>
      <c r="J9" s="86" t="s">
        <v>176</v>
      </c>
      <c r="K9" s="88">
        <v>0.5</v>
      </c>
      <c r="L9" s="86" t="s">
        <v>188</v>
      </c>
      <c r="M9" s="89">
        <v>0.26315789473684209</v>
      </c>
      <c r="N9" s="86" t="s">
        <v>180</v>
      </c>
      <c r="O9" s="89">
        <v>0.20987654320987653</v>
      </c>
      <c r="P9" s="86" t="s">
        <v>180</v>
      </c>
      <c r="Q9" s="90">
        <v>6480</v>
      </c>
      <c r="R9" s="86" t="s">
        <v>129</v>
      </c>
      <c r="S9" s="90">
        <v>-7628.2051282051279</v>
      </c>
      <c r="T9" s="86" t="s">
        <v>147</v>
      </c>
      <c r="U9" s="88">
        <v>6.8181818181818177E-2</v>
      </c>
      <c r="V9" s="86" t="s">
        <v>180</v>
      </c>
      <c r="W9" s="88">
        <v>0</v>
      </c>
      <c r="X9" s="86" t="s">
        <v>180</v>
      </c>
      <c r="Y9" s="89">
        <v>0.20987654320987653</v>
      </c>
      <c r="Z9" s="86" t="s">
        <v>174</v>
      </c>
      <c r="AA9" s="89">
        <v>0.19704433497536947</v>
      </c>
      <c r="AB9" s="86" t="s">
        <v>180</v>
      </c>
      <c r="AC9" s="89">
        <v>0.52941176470588236</v>
      </c>
      <c r="AD9" s="86" t="s">
        <v>180</v>
      </c>
      <c r="AE9" s="89">
        <v>0.35</v>
      </c>
      <c r="AF9" s="86" t="s">
        <v>175</v>
      </c>
      <c r="AG9" s="89">
        <v>0.35294117647058826</v>
      </c>
      <c r="AH9" s="86" t="s">
        <v>131</v>
      </c>
      <c r="AI9" s="94">
        <v>52200</v>
      </c>
      <c r="AJ9" s="86" t="s">
        <v>180</v>
      </c>
      <c r="AK9" s="91">
        <v>0</v>
      </c>
    </row>
    <row r="10" spans="1:37" x14ac:dyDescent="0.4">
      <c r="A10" s="83">
        <v>8</v>
      </c>
      <c r="B10" s="84" t="s">
        <v>180</v>
      </c>
      <c r="C10" s="85">
        <v>-152.89999999999998</v>
      </c>
      <c r="D10" s="86" t="s">
        <v>180</v>
      </c>
      <c r="E10" s="99">
        <v>-13.899999999999999</v>
      </c>
      <c r="F10" s="86" t="s">
        <v>180</v>
      </c>
      <c r="G10" s="87">
        <v>2.2727272727272729</v>
      </c>
      <c r="H10" s="86" t="s">
        <v>131</v>
      </c>
      <c r="I10" s="88">
        <v>0.15384615384615385</v>
      </c>
      <c r="J10" s="86" t="s">
        <v>189</v>
      </c>
      <c r="K10" s="88">
        <v>0.5</v>
      </c>
      <c r="L10" s="86" t="s">
        <v>180</v>
      </c>
      <c r="M10" s="89">
        <v>0.24691358024691357</v>
      </c>
      <c r="N10" s="86" t="s">
        <v>131</v>
      </c>
      <c r="O10" s="89">
        <v>0.21311475409836064</v>
      </c>
      <c r="P10" s="86" t="s">
        <v>189</v>
      </c>
      <c r="Q10" s="90">
        <v>6070</v>
      </c>
      <c r="R10" s="86" t="s">
        <v>147</v>
      </c>
      <c r="S10" s="90">
        <v>-7860.8910891089108</v>
      </c>
      <c r="T10" s="86" t="s">
        <v>176</v>
      </c>
      <c r="U10" s="88">
        <v>0.16666666666666666</v>
      </c>
      <c r="V10" s="86" t="s">
        <v>175</v>
      </c>
      <c r="W10" s="88">
        <v>0</v>
      </c>
      <c r="X10" s="86" t="s">
        <v>189</v>
      </c>
      <c r="Y10" s="89">
        <v>0.1891891891891892</v>
      </c>
      <c r="Z10" s="86" t="s">
        <v>130</v>
      </c>
      <c r="AA10" s="89">
        <v>0.17857142857142858</v>
      </c>
      <c r="AB10" s="86" t="s">
        <v>131</v>
      </c>
      <c r="AC10" s="89">
        <v>0.5</v>
      </c>
      <c r="AD10" s="86" t="s">
        <v>131</v>
      </c>
      <c r="AE10" s="89">
        <v>0.33333333333333331</v>
      </c>
      <c r="AF10" s="86" t="s">
        <v>180</v>
      </c>
      <c r="AG10" s="89">
        <v>0.35</v>
      </c>
      <c r="AH10" s="86" t="s">
        <v>176</v>
      </c>
      <c r="AI10" s="94">
        <v>50800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176</v>
      </c>
      <c r="C11" s="85">
        <v>-289.59999999999997</v>
      </c>
      <c r="D11" s="86" t="s">
        <v>176</v>
      </c>
      <c r="E11" s="99">
        <v>-24.133333333333329</v>
      </c>
      <c r="F11" s="86" t="s">
        <v>176</v>
      </c>
      <c r="G11" s="87">
        <v>2.4166666666666665</v>
      </c>
      <c r="H11" s="86" t="s">
        <v>175</v>
      </c>
      <c r="I11" s="88">
        <v>0.125</v>
      </c>
      <c r="J11" s="86" t="s">
        <v>180</v>
      </c>
      <c r="K11" s="88">
        <v>0.54545454545454541</v>
      </c>
      <c r="L11" s="86" t="s">
        <v>174</v>
      </c>
      <c r="M11" s="89">
        <v>0.2413793103448276</v>
      </c>
      <c r="N11" s="86" t="s">
        <v>189</v>
      </c>
      <c r="O11" s="89">
        <v>0.21621621621621623</v>
      </c>
      <c r="P11" s="86" t="s">
        <v>175</v>
      </c>
      <c r="Q11" s="90">
        <v>5858.8235294117649</v>
      </c>
      <c r="R11" s="86" t="s">
        <v>176</v>
      </c>
      <c r="S11" s="90">
        <v>-8521.4285714285706</v>
      </c>
      <c r="T11" s="86" t="s">
        <v>180</v>
      </c>
      <c r="U11" s="88">
        <v>0.18181818181818182</v>
      </c>
      <c r="V11" s="86" t="s">
        <v>188</v>
      </c>
      <c r="W11" s="88">
        <v>0</v>
      </c>
      <c r="X11" s="86" t="s">
        <v>175</v>
      </c>
      <c r="Y11" s="89">
        <v>0.18032786885245902</v>
      </c>
      <c r="Z11" s="86" t="s">
        <v>189</v>
      </c>
      <c r="AA11" s="89">
        <v>0.16216216216216217</v>
      </c>
      <c r="AB11" s="86" t="s">
        <v>176</v>
      </c>
      <c r="AC11" s="89">
        <v>0.5</v>
      </c>
      <c r="AD11" s="86" t="s">
        <v>175</v>
      </c>
      <c r="AE11" s="89">
        <v>0.33333333333333331</v>
      </c>
      <c r="AF11" s="86" t="s">
        <v>174</v>
      </c>
      <c r="AG11" s="89">
        <v>0.32653061224489793</v>
      </c>
      <c r="AH11" s="86" t="s">
        <v>175</v>
      </c>
      <c r="AI11" s="94">
        <v>48100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131</v>
      </c>
      <c r="C12" s="85">
        <v>-369.1</v>
      </c>
      <c r="D12" s="86" t="s">
        <v>131</v>
      </c>
      <c r="E12" s="99">
        <v>-28.392307692307693</v>
      </c>
      <c r="F12" s="86" t="s">
        <v>131</v>
      </c>
      <c r="G12" s="87">
        <v>2.4615384615384617</v>
      </c>
      <c r="H12" s="86" t="s">
        <v>176</v>
      </c>
      <c r="I12" s="88">
        <v>8.3333333333333329E-2</v>
      </c>
      <c r="J12" s="86" t="s">
        <v>131</v>
      </c>
      <c r="K12" s="88">
        <v>0.61538461538461542</v>
      </c>
      <c r="L12" s="86" t="s">
        <v>131</v>
      </c>
      <c r="M12" s="89">
        <v>0.22131147540983606</v>
      </c>
      <c r="N12" s="86" t="s">
        <v>176</v>
      </c>
      <c r="O12" s="89">
        <v>0.24778761061946902</v>
      </c>
      <c r="P12" s="86" t="s">
        <v>176</v>
      </c>
      <c r="Q12" s="90">
        <v>5150</v>
      </c>
      <c r="R12" s="86" t="s">
        <v>131</v>
      </c>
      <c r="S12" s="90">
        <v>-9950</v>
      </c>
      <c r="T12" s="86" t="s">
        <v>131</v>
      </c>
      <c r="U12" s="88">
        <v>0.23076923076923078</v>
      </c>
      <c r="V12" s="86" t="s">
        <v>189</v>
      </c>
      <c r="W12" s="88">
        <v>0</v>
      </c>
      <c r="X12" s="86" t="s">
        <v>176</v>
      </c>
      <c r="Y12" s="89">
        <v>0.15929203539823009</v>
      </c>
      <c r="Z12" s="86" t="s">
        <v>131</v>
      </c>
      <c r="AA12" s="89">
        <v>9.8360655737704916E-2</v>
      </c>
      <c r="AB12" s="86" t="s">
        <v>174</v>
      </c>
      <c r="AC12" s="89">
        <v>0.48</v>
      </c>
      <c r="AD12" s="86" t="s">
        <v>130</v>
      </c>
      <c r="AE12" s="89">
        <v>0.26666666666666666</v>
      </c>
      <c r="AF12" s="86" t="s">
        <v>188</v>
      </c>
      <c r="AG12" s="89">
        <v>0.2</v>
      </c>
      <c r="AH12" s="86" t="s">
        <v>189</v>
      </c>
      <c r="AI12" s="94">
        <v>43600</v>
      </c>
      <c r="AJ12" s="86" t="s">
        <v>189</v>
      </c>
      <c r="AK12" s="91">
        <v>0</v>
      </c>
    </row>
  </sheetData>
  <sortState ref="AJ3:AK40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519D-02CE-4EF9-819B-048373C15F16}">
  <sheetPr codeName="Sheet4"/>
  <dimension ref="A1:Q13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147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132</v>
      </c>
      <c r="C2" s="149"/>
      <c r="E2" s="62" t="s">
        <v>68</v>
      </c>
      <c r="F2" s="59" t="s">
        <v>23</v>
      </c>
      <c r="G2" s="46">
        <v>232</v>
      </c>
      <c r="H2" s="134">
        <f>IF(B$17=0,0,G2/B$17)</f>
        <v>0.68842729970326411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-37.878787878787875</v>
      </c>
      <c r="P2" s="120">
        <v>132</v>
      </c>
      <c r="Q2" s="104">
        <v>-5000</v>
      </c>
    </row>
    <row r="3" spans="1:17" x14ac:dyDescent="0.4">
      <c r="A3" s="55" t="s">
        <v>8</v>
      </c>
      <c r="B3" s="150">
        <v>1125</v>
      </c>
      <c r="C3" s="151"/>
      <c r="E3" s="63" t="s">
        <v>74</v>
      </c>
      <c r="F3" s="60" t="s">
        <v>28</v>
      </c>
      <c r="G3" s="47">
        <v>186</v>
      </c>
      <c r="H3" s="135">
        <f>IF(B$17=0,0,G3/B$17)</f>
        <v>0.55192878338278928</v>
      </c>
      <c r="I3" s="96">
        <v>6</v>
      </c>
      <c r="K3" s="38">
        <v>1</v>
      </c>
      <c r="L3" s="101">
        <v>-5.0999999999999996</v>
      </c>
      <c r="N3" s="117" t="s">
        <v>135</v>
      </c>
      <c r="O3" s="124">
        <f t="shared" si="0"/>
        <v>-15.503875968992247</v>
      </c>
      <c r="P3" s="121">
        <v>129</v>
      </c>
      <c r="Q3" s="105">
        <v>-2000</v>
      </c>
    </row>
    <row r="4" spans="1:17" x14ac:dyDescent="0.4">
      <c r="A4" s="55" t="s">
        <v>6</v>
      </c>
      <c r="B4" s="152">
        <v>1.4210854715202004E-14</v>
      </c>
      <c r="C4" s="153"/>
      <c r="E4" s="63" t="s">
        <v>66</v>
      </c>
      <c r="F4" s="60" t="s">
        <v>21</v>
      </c>
      <c r="G4" s="47">
        <v>161</v>
      </c>
      <c r="H4" s="135">
        <f>IF(B$17=0,0,G4/B$17)</f>
        <v>0.47774480712166173</v>
      </c>
      <c r="I4" s="96">
        <v>5</v>
      </c>
      <c r="K4" s="38">
        <v>2</v>
      </c>
      <c r="L4" s="101">
        <v>40.4</v>
      </c>
      <c r="N4" s="117" t="s">
        <v>136</v>
      </c>
      <c r="O4" s="124">
        <f t="shared" si="0"/>
        <v>56.91056910569106</v>
      </c>
      <c r="P4" s="121">
        <v>123</v>
      </c>
      <c r="Q4" s="105">
        <v>7000</v>
      </c>
    </row>
    <row r="5" spans="1:17" x14ac:dyDescent="0.4">
      <c r="A5" s="55" t="s">
        <v>7</v>
      </c>
      <c r="B5" s="154">
        <f>IF(B$2=0,0,B$4/B$2)</f>
        <v>1.0765799026668185E-16</v>
      </c>
      <c r="C5" s="155"/>
      <c r="E5" s="63" t="s">
        <v>184</v>
      </c>
      <c r="F5" s="60" t="s">
        <v>185</v>
      </c>
      <c r="G5" s="47">
        <v>120</v>
      </c>
      <c r="H5" s="135">
        <f>IF(B$17=0,0,G5/B$17)</f>
        <v>0.35608308605341249</v>
      </c>
      <c r="I5" s="96">
        <v>5</v>
      </c>
      <c r="K5" s="38">
        <v>3</v>
      </c>
      <c r="L5" s="101">
        <v>0</v>
      </c>
      <c r="N5" s="117" t="s">
        <v>137</v>
      </c>
      <c r="O5" s="124">
        <f t="shared" si="0"/>
        <v>0</v>
      </c>
      <c r="P5" s="121">
        <v>120</v>
      </c>
      <c r="Q5" s="105">
        <v>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24</v>
      </c>
      <c r="G6" s="47">
        <v>87</v>
      </c>
      <c r="H6" s="135">
        <f>IF(B$17=0,0,G6/B$17)</f>
        <v>0.25816023738872401</v>
      </c>
      <c r="I6" s="96">
        <v>6</v>
      </c>
      <c r="K6" s="38">
        <v>4</v>
      </c>
      <c r="L6" s="101">
        <v>2.2000000000000002</v>
      </c>
      <c r="N6" s="117" t="s">
        <v>138</v>
      </c>
      <c r="O6" s="124">
        <f t="shared" si="0"/>
        <v>-54.054054054054056</v>
      </c>
      <c r="P6" s="121">
        <v>111</v>
      </c>
      <c r="Q6" s="105">
        <v>-6000</v>
      </c>
    </row>
    <row r="7" spans="1:17" x14ac:dyDescent="0.4">
      <c r="A7" s="55" t="s">
        <v>2</v>
      </c>
      <c r="B7" s="47">
        <v>44</v>
      </c>
      <c r="C7" s="39">
        <f>IF(B$2=0,0,B7/B$2)</f>
        <v>0.33333333333333331</v>
      </c>
      <c r="E7" s="63" t="s">
        <v>70</v>
      </c>
      <c r="F7" s="60" t="s">
        <v>12</v>
      </c>
      <c r="G7" s="47">
        <v>87</v>
      </c>
      <c r="H7" s="135">
        <f>IF(B$17=0,0,G7/B$17)</f>
        <v>0.25816023738872401</v>
      </c>
      <c r="I7" s="96">
        <v>4</v>
      </c>
      <c r="K7" s="38">
        <v>5</v>
      </c>
      <c r="L7" s="101">
        <v>-37</v>
      </c>
      <c r="N7" s="118" t="s">
        <v>139</v>
      </c>
      <c r="O7" s="125">
        <f t="shared" si="0"/>
        <v>57.142857142857146</v>
      </c>
      <c r="P7" s="122">
        <v>105</v>
      </c>
      <c r="Q7" s="106">
        <v>6000</v>
      </c>
    </row>
    <row r="8" spans="1:17" x14ac:dyDescent="0.4">
      <c r="A8" s="55" t="s">
        <v>3</v>
      </c>
      <c r="B8" s="47">
        <v>44</v>
      </c>
      <c r="C8" s="39">
        <f>IF(B$2=0,0,B8/B$2)</f>
        <v>0.33333333333333331</v>
      </c>
      <c r="E8" s="63" t="s">
        <v>71</v>
      </c>
      <c r="F8" s="60" t="s">
        <v>25</v>
      </c>
      <c r="G8" s="47">
        <v>61</v>
      </c>
      <c r="H8" s="135">
        <f>IF(B$17=0,0,G8/B$17)</f>
        <v>0.18100890207715134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44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52</v>
      </c>
      <c r="H9" s="135">
        <f>IF(B$17=0,0,G9/B$17)</f>
        <v>0.1543026706231454</v>
      </c>
      <c r="I9" s="96">
        <v>6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9</v>
      </c>
      <c r="C10" s="40">
        <f>IF(B$2=0,0,B10/B$2)</f>
        <v>6.8181818181818177E-2</v>
      </c>
      <c r="E10" s="63" t="s">
        <v>67</v>
      </c>
      <c r="F10" s="60" t="s">
        <v>22</v>
      </c>
      <c r="G10" s="47">
        <v>36</v>
      </c>
      <c r="H10" s="135">
        <f>IF(B$17=0,0,G10/B$17)</f>
        <v>0.10682492581602374</v>
      </c>
      <c r="I10" s="96">
        <v>6</v>
      </c>
      <c r="K10" s="38">
        <v>8</v>
      </c>
      <c r="L10" s="101">
        <v>19.699999999999996</v>
      </c>
      <c r="N10" s="116" t="s">
        <v>167</v>
      </c>
      <c r="O10" s="126">
        <f>IF(P10=0,0,Q10/P10)</f>
        <v>3.2931818181818184</v>
      </c>
      <c r="P10" s="120">
        <v>44</v>
      </c>
      <c r="Q10" s="108">
        <v>144.9</v>
      </c>
    </row>
    <row r="11" spans="1:17" x14ac:dyDescent="0.4">
      <c r="A11" s="56" t="s">
        <v>142</v>
      </c>
      <c r="B11" s="48">
        <v>9</v>
      </c>
      <c r="C11" s="40">
        <f>IF(B$2=0,0,B11/B$2)</f>
        <v>6.8181818181818177E-2</v>
      </c>
      <c r="E11" s="63" t="s">
        <v>72</v>
      </c>
      <c r="F11" s="60" t="s">
        <v>26</v>
      </c>
      <c r="G11" s="47">
        <v>28</v>
      </c>
      <c r="H11" s="135">
        <f>IF(B$17=0,0,G11/B$17)</f>
        <v>8.3086053412462904E-2</v>
      </c>
      <c r="I11" s="96">
        <v>5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-9.3431818181818187</v>
      </c>
      <c r="P11" s="121">
        <v>44</v>
      </c>
      <c r="Q11" s="109">
        <v>-411.1</v>
      </c>
    </row>
    <row r="12" spans="1:17" x14ac:dyDescent="0.4">
      <c r="A12" s="57" t="s">
        <v>162</v>
      </c>
      <c r="B12" s="49">
        <v>14</v>
      </c>
      <c r="C12" s="42">
        <f>IF(B$2=0,0,B12/B$2)</f>
        <v>0.10606060606060606</v>
      </c>
      <c r="E12" s="63" t="s">
        <v>89</v>
      </c>
      <c r="F12" s="60" t="s">
        <v>43</v>
      </c>
      <c r="G12" s="47">
        <v>19</v>
      </c>
      <c r="H12" s="135">
        <f>IF(B$17=0,0,G12/B$17)</f>
        <v>5.637982195845697E-2</v>
      </c>
      <c r="I12" s="96">
        <v>7</v>
      </c>
      <c r="K12" s="38">
        <v>10</v>
      </c>
      <c r="L12" s="101">
        <v>40.099999999999994</v>
      </c>
      <c r="N12" s="118" t="s">
        <v>169</v>
      </c>
      <c r="O12" s="128">
        <f>IF(P12=0,0,Q12/P12)</f>
        <v>6.0500000000000007</v>
      </c>
      <c r="P12" s="122">
        <v>44</v>
      </c>
      <c r="Q12" s="110">
        <v>266.20000000000005</v>
      </c>
    </row>
    <row r="13" spans="1:17" x14ac:dyDescent="0.4">
      <c r="A13" s="58" t="s">
        <v>124</v>
      </c>
      <c r="B13" s="50">
        <v>295</v>
      </c>
      <c r="C13" s="44">
        <f>IF(B$3=0,0,B13/B$3)</f>
        <v>0.26222222222222225</v>
      </c>
      <c r="E13" s="63" t="s">
        <v>73</v>
      </c>
      <c r="F13" s="60" t="s">
        <v>27</v>
      </c>
      <c r="G13" s="47">
        <v>18</v>
      </c>
      <c r="H13" s="135">
        <f>IF(B$17=0,0,G13/B$17)</f>
        <v>5.3412462908011868E-2</v>
      </c>
      <c r="I13" s="96">
        <v>5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237</v>
      </c>
      <c r="C14" s="39">
        <f>IF(B$3=0,0,B14/B$3)</f>
        <v>0.21066666666666667</v>
      </c>
      <c r="E14" s="63" t="s">
        <v>86</v>
      </c>
      <c r="F14" s="60" t="s">
        <v>40</v>
      </c>
      <c r="G14" s="47">
        <v>16</v>
      </c>
      <c r="H14" s="135">
        <f>IF(B$17=0,0,G14/B$17)</f>
        <v>4.7477744807121663E-2</v>
      </c>
      <c r="I14" s="96">
        <v>6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166</v>
      </c>
      <c r="C15" s="37">
        <f>IF(B$13=0,0,B15/B$13)</f>
        <v>0.56271186440677967</v>
      </c>
      <c r="E15" s="63" t="s">
        <v>84</v>
      </c>
      <c r="F15" s="60" t="s">
        <v>38</v>
      </c>
      <c r="G15" s="47">
        <v>9</v>
      </c>
      <c r="H15" s="135">
        <f>IF(B$17=0,0,G15/B$17)</f>
        <v>2.6706231454005934E-2</v>
      </c>
      <c r="I15" s="96">
        <v>5</v>
      </c>
      <c r="K15" s="38">
        <v>13</v>
      </c>
      <c r="L15" s="101">
        <v>-42.100000000000009</v>
      </c>
      <c r="N15" s="116" t="s">
        <v>131</v>
      </c>
      <c r="O15" s="126">
        <f>IF(P15=0,0,Q15/P15)</f>
        <v>42.588461538461537</v>
      </c>
      <c r="P15" s="120">
        <v>26</v>
      </c>
      <c r="Q15" s="108">
        <v>1107.3</v>
      </c>
    </row>
    <row r="16" spans="1:17" x14ac:dyDescent="0.4">
      <c r="A16" s="54" t="s">
        <v>127</v>
      </c>
      <c r="B16" s="46">
        <v>96</v>
      </c>
      <c r="C16" s="37">
        <f>IF(B$14=0,0,B16/B$14)</f>
        <v>0.4050632911392405</v>
      </c>
      <c r="E16" s="63" t="s">
        <v>80</v>
      </c>
      <c r="F16" s="60" t="s">
        <v>34</v>
      </c>
      <c r="G16" s="47">
        <v>6</v>
      </c>
      <c r="H16" s="135">
        <f>IF(B$17=0,0,G16/B$17)</f>
        <v>1.7804154302670624E-2</v>
      </c>
      <c r="I16" s="96">
        <v>4</v>
      </c>
      <c r="K16" s="38">
        <v>14</v>
      </c>
      <c r="L16" s="101">
        <v>18.79999999999999</v>
      </c>
      <c r="N16" s="117" t="s">
        <v>176</v>
      </c>
      <c r="O16" s="127">
        <f>IF(P16=0,0,Q16/P16)</f>
        <v>36.199999999999996</v>
      </c>
      <c r="P16" s="121">
        <v>24</v>
      </c>
      <c r="Q16" s="109">
        <v>868.8</v>
      </c>
    </row>
    <row r="17" spans="1:17" x14ac:dyDescent="0.4">
      <c r="A17" s="54" t="s">
        <v>10</v>
      </c>
      <c r="B17" s="46">
        <f>B19+B18</f>
        <v>337</v>
      </c>
      <c r="C17" s="37">
        <f>IF(B$3=0,0,B17/B$3)</f>
        <v>0.29955555555555557</v>
      </c>
      <c r="E17" s="63" t="s">
        <v>94</v>
      </c>
      <c r="F17" s="60" t="s">
        <v>48</v>
      </c>
      <c r="G17" s="47">
        <v>5</v>
      </c>
      <c r="H17" s="135">
        <f>IF(B$17=0,0,G17/B$17)</f>
        <v>1.483679525222552E-2</v>
      </c>
      <c r="I17" s="96">
        <v>3</v>
      </c>
      <c r="K17" s="38">
        <v>15</v>
      </c>
      <c r="L17" s="101">
        <v>-1.0658141036401503E-14</v>
      </c>
      <c r="N17" s="117" t="s">
        <v>180</v>
      </c>
      <c r="O17" s="127">
        <f>IF(P17=0,0,Q17/P17)</f>
        <v>20.85</v>
      </c>
      <c r="P17" s="121">
        <v>22</v>
      </c>
      <c r="Q17" s="109">
        <v>458.70000000000005</v>
      </c>
    </row>
    <row r="18" spans="1:17" x14ac:dyDescent="0.4">
      <c r="A18" s="55" t="s">
        <v>12</v>
      </c>
      <c r="B18" s="47">
        <v>133</v>
      </c>
      <c r="C18" s="39">
        <f>IF(B$17=0,0,B18/B$17)</f>
        <v>0.39465875370919884</v>
      </c>
      <c r="E18" s="63" t="s">
        <v>77</v>
      </c>
      <c r="F18" s="60" t="s">
        <v>31</v>
      </c>
      <c r="G18" s="47">
        <v>4</v>
      </c>
      <c r="H18" s="135">
        <f>IF(B$17=0,0,G18/B$17)</f>
        <v>1.1869436201780416E-2</v>
      </c>
      <c r="I18" s="96">
        <v>4</v>
      </c>
      <c r="K18" s="38">
        <v>16</v>
      </c>
      <c r="L18" s="101">
        <v>90.899999999999991</v>
      </c>
      <c r="N18" s="117" t="s">
        <v>189</v>
      </c>
      <c r="O18" s="127">
        <f>IF(P18=0,0,Q18/P18)</f>
        <v>18.675000000000001</v>
      </c>
      <c r="P18" s="121">
        <v>8</v>
      </c>
      <c r="Q18" s="109">
        <v>149.4</v>
      </c>
    </row>
    <row r="19" spans="1:17" x14ac:dyDescent="0.4">
      <c r="A19" s="55" t="s">
        <v>11</v>
      </c>
      <c r="B19" s="47">
        <v>204</v>
      </c>
      <c r="C19" s="39">
        <f>IF(B$17=0,0,B19/B$17)</f>
        <v>0.60534124629080122</v>
      </c>
      <c r="E19" s="63" t="s">
        <v>75</v>
      </c>
      <c r="F19" s="60" t="s">
        <v>29</v>
      </c>
      <c r="G19" s="47">
        <v>3</v>
      </c>
      <c r="H19" s="135">
        <f>IF(B$17=0,0,G19/B$17)</f>
        <v>8.9020771513353119E-3</v>
      </c>
      <c r="I19" s="96">
        <v>3</v>
      </c>
      <c r="K19" s="38">
        <v>17</v>
      </c>
      <c r="L19" s="101">
        <v>8.2999999999999972</v>
      </c>
      <c r="N19" s="117" t="s">
        <v>175</v>
      </c>
      <c r="O19" s="127">
        <f>IF(P19=0,0,Q19/P19)</f>
        <v>5.5312499999999973</v>
      </c>
      <c r="P19" s="121">
        <v>16</v>
      </c>
      <c r="Q19" s="109">
        <v>88.499999999999957</v>
      </c>
    </row>
    <row r="20" spans="1:17" x14ac:dyDescent="0.4">
      <c r="A20" s="55" t="s">
        <v>13</v>
      </c>
      <c r="B20" s="47">
        <v>202</v>
      </c>
      <c r="C20" s="39">
        <f>IF(B$3=0,0,B20/B$3)</f>
        <v>0.17955555555555555</v>
      </c>
      <c r="E20" s="63" t="s">
        <v>81</v>
      </c>
      <c r="F20" s="60" t="s">
        <v>35</v>
      </c>
      <c r="G20" s="47">
        <v>2</v>
      </c>
      <c r="H20" s="135">
        <f>IF(B$17=0,0,G20/B$17)</f>
        <v>5.9347181008902079E-3</v>
      </c>
      <c r="I20" s="96">
        <v>3</v>
      </c>
      <c r="K20" s="38">
        <v>18</v>
      </c>
      <c r="L20" s="101">
        <v>-3.5527136788005009E-15</v>
      </c>
      <c r="N20" s="117" t="s">
        <v>174</v>
      </c>
      <c r="O20" s="127">
        <f>IF(P20=0,0,Q20/P20)</f>
        <v>3.6326086956521744</v>
      </c>
      <c r="P20" s="121">
        <v>46</v>
      </c>
      <c r="Q20" s="109">
        <v>167.10000000000002</v>
      </c>
    </row>
    <row r="21" spans="1:17" x14ac:dyDescent="0.4">
      <c r="A21" s="55" t="s">
        <v>196</v>
      </c>
      <c r="B21" s="47">
        <v>7</v>
      </c>
      <c r="C21" s="137">
        <v>3</v>
      </c>
      <c r="E21" s="63" t="s">
        <v>95</v>
      </c>
      <c r="F21" s="60" t="s">
        <v>49</v>
      </c>
      <c r="G21" s="47">
        <v>2</v>
      </c>
      <c r="H21" s="135">
        <f>IF(B$17=0,0,G21/B$17)</f>
        <v>5.9347181008902079E-3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>IF(P21=0,0,Q21/P21)</f>
        <v>-9.4396551724137971</v>
      </c>
      <c r="P21" s="121">
        <v>58</v>
      </c>
      <c r="Q21" s="109">
        <v>-547.50000000000023</v>
      </c>
    </row>
    <row r="22" spans="1:17" x14ac:dyDescent="0.4">
      <c r="A22" s="55" t="s">
        <v>197</v>
      </c>
      <c r="B22" s="47">
        <v>28</v>
      </c>
      <c r="C22" s="137">
        <v>7</v>
      </c>
      <c r="E22" s="63" t="s">
        <v>76</v>
      </c>
      <c r="F22" s="60" t="s">
        <v>30</v>
      </c>
      <c r="G22" s="47">
        <v>1</v>
      </c>
      <c r="H22" s="135">
        <f>IF(B$17=0,0,G22/B$17)</f>
        <v>2.967359050445104E-3</v>
      </c>
      <c r="I22" s="96">
        <v>2</v>
      </c>
      <c r="K22" s="38">
        <v>20</v>
      </c>
      <c r="L22" s="101">
        <v>0.79999999999999716</v>
      </c>
      <c r="N22" s="117" t="s">
        <v>188</v>
      </c>
      <c r="O22" s="127">
        <f>IF(P22=0,0,Q22/P22)</f>
        <v>-30.5</v>
      </c>
      <c r="P22" s="121">
        <v>6</v>
      </c>
      <c r="Q22" s="109">
        <v>-183</v>
      </c>
    </row>
    <row r="23" spans="1:17" x14ac:dyDescent="0.4">
      <c r="A23" s="55" t="s">
        <v>5</v>
      </c>
      <c r="B23" s="51">
        <f>IF(B$17=0,0,C23/B$17)</f>
        <v>7872.106824925816</v>
      </c>
      <c r="C23" s="41">
        <v>2652900</v>
      </c>
      <c r="E23" s="63" t="s">
        <v>79</v>
      </c>
      <c r="F23" s="60" t="s">
        <v>33</v>
      </c>
      <c r="G23" s="47">
        <v>1</v>
      </c>
      <c r="H23" s="135">
        <f>IF(B$17=0,0,G23/B$17)</f>
        <v>2.967359050445104E-3</v>
      </c>
      <c r="I23" s="96">
        <v>2</v>
      </c>
      <c r="K23" s="38">
        <v>21</v>
      </c>
      <c r="L23" s="101">
        <v>-2.886579864025407E-15</v>
      </c>
      <c r="N23" s="117" t="s">
        <v>129</v>
      </c>
      <c r="O23" s="127">
        <f>IF(P23=0,0,Q23/P23)</f>
        <v>-36.367241379310357</v>
      </c>
      <c r="P23" s="121">
        <v>58</v>
      </c>
      <c r="Q23" s="109">
        <v>-2109.3000000000006</v>
      </c>
    </row>
    <row r="24" spans="1:17" x14ac:dyDescent="0.4">
      <c r="A24" s="57" t="s">
        <v>14</v>
      </c>
      <c r="B24" s="52">
        <f>IF(B$20=0,0,C24/B$20)</f>
        <v>-7860.8910891089108</v>
      </c>
      <c r="C24" s="45">
        <v>-1587900</v>
      </c>
      <c r="E24" s="63" t="s">
        <v>88</v>
      </c>
      <c r="F24" s="60" t="s">
        <v>42</v>
      </c>
      <c r="G24" s="47">
        <v>1</v>
      </c>
      <c r="H24" s="135">
        <f>IF(B$17=0,0,G24/B$17)</f>
        <v>2.967359050445104E-3</v>
      </c>
      <c r="I24" s="96">
        <v>2</v>
      </c>
      <c r="K24" s="38">
        <v>22</v>
      </c>
      <c r="L24" s="101">
        <v>23.699999999999996</v>
      </c>
    </row>
    <row r="25" spans="1:17" x14ac:dyDescent="0.4">
      <c r="A25" s="92" t="s">
        <v>144</v>
      </c>
      <c r="B25" s="142">
        <v>7</v>
      </c>
      <c r="C25" s="143"/>
      <c r="E25" s="63" t="s">
        <v>90</v>
      </c>
      <c r="F25" s="60" t="s">
        <v>44</v>
      </c>
      <c r="G25" s="47">
        <v>1</v>
      </c>
      <c r="H25" s="135">
        <f>IF(B$17=0,0,G25/B$17)</f>
        <v>2.967359050445104E-3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0">
        <v>105900</v>
      </c>
      <c r="C26" s="141"/>
      <c r="E26" s="63" t="s">
        <v>93</v>
      </c>
      <c r="F26" s="60" t="s">
        <v>47</v>
      </c>
      <c r="G26" s="47">
        <v>1</v>
      </c>
      <c r="H26" s="135">
        <f>IF(B$17=0,0,G26/B$17)</f>
        <v>2.967359050445104E-3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6</v>
      </c>
      <c r="C27" s="42">
        <f>IF(B$3=0,0,B27/B$3)</f>
        <v>5.3333333333333332E-3</v>
      </c>
      <c r="E27" s="63" t="s">
        <v>98</v>
      </c>
      <c r="F27" s="60" t="s">
        <v>52</v>
      </c>
      <c r="G27" s="47">
        <v>1</v>
      </c>
      <c r="H27" s="135">
        <f>IF(B$17=0,0,G27/B$17)</f>
        <v>2.967359050445104E-3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183</v>
      </c>
      <c r="F28" s="60" t="s">
        <v>186</v>
      </c>
      <c r="G28" s="47">
        <v>1</v>
      </c>
      <c r="H28" s="135">
        <f>IF(B$17=0,0,G28/B$17)</f>
        <v>2.967359050445104E-3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78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14B6E-DB74-4646-B776-EB433844ACBA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29</v>
      </c>
      <c r="C2" s="149"/>
      <c r="E2" s="62" t="s">
        <v>68</v>
      </c>
      <c r="F2" s="59" t="s">
        <v>23</v>
      </c>
      <c r="G2" s="46">
        <v>69</v>
      </c>
      <c r="H2" s="134">
        <f>IF(B$17=0,0,G2/B$17)</f>
        <v>0.69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3634.4827586206898</v>
      </c>
      <c r="P2" s="120">
        <v>29</v>
      </c>
      <c r="Q2" s="104">
        <v>105400</v>
      </c>
    </row>
    <row r="3" spans="1:17" x14ac:dyDescent="0.4">
      <c r="A3" s="55" t="s">
        <v>8</v>
      </c>
      <c r="B3" s="150">
        <v>237</v>
      </c>
      <c r="C3" s="151"/>
      <c r="E3" s="63" t="s">
        <v>74</v>
      </c>
      <c r="F3" s="60" t="s">
        <v>28</v>
      </c>
      <c r="G3" s="47">
        <v>67</v>
      </c>
      <c r="H3" s="135">
        <f>IF(B$17=0,0,G3/B$17)</f>
        <v>0.67</v>
      </c>
      <c r="I3" s="96">
        <v>3</v>
      </c>
      <c r="K3" s="38">
        <v>1</v>
      </c>
      <c r="L3" s="101">
        <v>-5.0999999999999996</v>
      </c>
      <c r="N3" s="117" t="s">
        <v>135</v>
      </c>
      <c r="O3" s="124">
        <f t="shared" si="0"/>
        <v>4475</v>
      </c>
      <c r="P3" s="121">
        <v>28</v>
      </c>
      <c r="Q3" s="105">
        <v>125300</v>
      </c>
    </row>
    <row r="4" spans="1:17" x14ac:dyDescent="0.4">
      <c r="A4" s="55" t="s">
        <v>6</v>
      </c>
      <c r="B4" s="152">
        <v>703.1</v>
      </c>
      <c r="C4" s="153"/>
      <c r="E4" s="63" t="s">
        <v>66</v>
      </c>
      <c r="F4" s="60" t="s">
        <v>21</v>
      </c>
      <c r="G4" s="47">
        <v>46</v>
      </c>
      <c r="H4" s="135">
        <f>IF(B$17=0,0,G4/B$17)</f>
        <v>0.46</v>
      </c>
      <c r="I4" s="96">
        <v>7</v>
      </c>
      <c r="K4" s="38">
        <v>2</v>
      </c>
      <c r="L4" s="101">
        <v>-2.8999999999999995</v>
      </c>
      <c r="N4" s="117" t="s">
        <v>136</v>
      </c>
      <c r="O4" s="124">
        <f t="shared" si="0"/>
        <v>2840.7407407407409</v>
      </c>
      <c r="P4" s="121">
        <v>27</v>
      </c>
      <c r="Q4" s="105">
        <v>76700</v>
      </c>
    </row>
    <row r="5" spans="1:17" x14ac:dyDescent="0.4">
      <c r="A5" s="55" t="s">
        <v>7</v>
      </c>
      <c r="B5" s="154">
        <f>IF(B$2=0,0,B$4/B$2)</f>
        <v>24.244827586206899</v>
      </c>
      <c r="C5" s="155"/>
      <c r="E5" s="63" t="s">
        <v>184</v>
      </c>
      <c r="F5" s="60" t="s">
        <v>185</v>
      </c>
      <c r="G5" s="47">
        <v>38</v>
      </c>
      <c r="H5" s="135">
        <f>IF(B$17=0,0,G5/B$17)</f>
        <v>0.38</v>
      </c>
      <c r="I5" s="96">
        <v>4</v>
      </c>
      <c r="K5" s="38">
        <v>3</v>
      </c>
      <c r="L5" s="101">
        <v>70.399999999999991</v>
      </c>
      <c r="N5" s="117" t="s">
        <v>137</v>
      </c>
      <c r="O5" s="124">
        <f t="shared" si="0"/>
        <v>4780.7692307692305</v>
      </c>
      <c r="P5" s="121">
        <v>26</v>
      </c>
      <c r="Q5" s="105">
        <v>124300</v>
      </c>
    </row>
    <row r="6" spans="1:17" x14ac:dyDescent="0.4">
      <c r="A6" s="55" t="s">
        <v>1</v>
      </c>
      <c r="B6" s="144">
        <f>IF(B$2=0,0,(B$7*1+B$8*2+B$9*3)/B$2)</f>
        <v>1.5862068965517242</v>
      </c>
      <c r="C6" s="145"/>
      <c r="E6" s="63" t="s">
        <v>69</v>
      </c>
      <c r="F6" s="60" t="s">
        <v>24</v>
      </c>
      <c r="G6" s="47">
        <v>27</v>
      </c>
      <c r="H6" s="135">
        <f>IF(B$17=0,0,G6/B$17)</f>
        <v>0.27</v>
      </c>
      <c r="I6" s="96">
        <v>5</v>
      </c>
      <c r="K6" s="38">
        <v>4</v>
      </c>
      <c r="L6" s="101">
        <v>110.5</v>
      </c>
      <c r="N6" s="117" t="s">
        <v>138</v>
      </c>
      <c r="O6" s="124">
        <f t="shared" si="0"/>
        <v>1273.9130434782608</v>
      </c>
      <c r="P6" s="121">
        <v>23</v>
      </c>
      <c r="Q6" s="105">
        <v>29300</v>
      </c>
    </row>
    <row r="7" spans="1:17" x14ac:dyDescent="0.4">
      <c r="A7" s="55" t="s">
        <v>2</v>
      </c>
      <c r="B7" s="47">
        <v>17</v>
      </c>
      <c r="C7" s="39">
        <f>IF(B$2=0,0,B7/B$2)</f>
        <v>0.58620689655172409</v>
      </c>
      <c r="E7" s="63" t="s">
        <v>70</v>
      </c>
      <c r="F7" s="60" t="s">
        <v>12</v>
      </c>
      <c r="G7" s="47">
        <v>22</v>
      </c>
      <c r="H7" s="135">
        <f>IF(B$17=0,0,G7/B$17)</f>
        <v>0.22</v>
      </c>
      <c r="I7" s="96">
        <v>6</v>
      </c>
      <c r="K7" s="38">
        <v>5</v>
      </c>
      <c r="L7" s="101">
        <v>201.4</v>
      </c>
      <c r="N7" s="118" t="s">
        <v>139</v>
      </c>
      <c r="O7" s="125">
        <f t="shared" si="0"/>
        <v>-131.81818181818181</v>
      </c>
      <c r="P7" s="122">
        <v>22</v>
      </c>
      <c r="Q7" s="106">
        <v>-2900</v>
      </c>
    </row>
    <row r="8" spans="1:17" x14ac:dyDescent="0.4">
      <c r="A8" s="55" t="s">
        <v>3</v>
      </c>
      <c r="B8" s="47">
        <v>7</v>
      </c>
      <c r="C8" s="39">
        <f>IF(B$2=0,0,B8/B$2)</f>
        <v>0.2413793103448276</v>
      </c>
      <c r="E8" s="63" t="s">
        <v>92</v>
      </c>
      <c r="F8" s="60" t="s">
        <v>46</v>
      </c>
      <c r="G8" s="47">
        <v>20</v>
      </c>
      <c r="H8" s="135">
        <f>IF(B$17=0,0,G8/B$17)</f>
        <v>0.2</v>
      </c>
      <c r="I8" s="96">
        <v>3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0.17241379310344829</v>
      </c>
      <c r="E9" s="63" t="s">
        <v>71</v>
      </c>
      <c r="F9" s="60" t="s">
        <v>25</v>
      </c>
      <c r="G9" s="47">
        <v>18</v>
      </c>
      <c r="H9" s="135">
        <f>IF(B$17=0,0,G9/B$17)</f>
        <v>0.18</v>
      </c>
      <c r="I9" s="96">
        <v>7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3.4482758620689655E-2</v>
      </c>
      <c r="E10" s="63" t="s">
        <v>67</v>
      </c>
      <c r="F10" s="60" t="s">
        <v>22</v>
      </c>
      <c r="G10" s="47">
        <v>15</v>
      </c>
      <c r="H10" s="135">
        <f>IF(B$17=0,0,G10/B$17)</f>
        <v>0.15</v>
      </c>
      <c r="I10" s="96">
        <v>1</v>
      </c>
      <c r="K10" s="38">
        <v>8</v>
      </c>
      <c r="L10" s="101">
        <v>285.20000000000005</v>
      </c>
      <c r="N10" s="116" t="s">
        <v>167</v>
      </c>
      <c r="O10" s="126">
        <f>IF(P10=0,0,Q10/P10)</f>
        <v>22.922222222222221</v>
      </c>
      <c r="P10" s="120">
        <v>9</v>
      </c>
      <c r="Q10" s="108">
        <v>206.29999999999998</v>
      </c>
    </row>
    <row r="11" spans="1:17" x14ac:dyDescent="0.4">
      <c r="A11" s="56" t="s">
        <v>142</v>
      </c>
      <c r="B11" s="48">
        <v>5</v>
      </c>
      <c r="C11" s="40">
        <f>IF(B$2=0,0,B11/B$2)</f>
        <v>0.17241379310344829</v>
      </c>
      <c r="E11" s="63" t="s">
        <v>89</v>
      </c>
      <c r="F11" s="60" t="s">
        <v>43</v>
      </c>
      <c r="G11" s="47">
        <v>6</v>
      </c>
      <c r="H11" s="135">
        <f>IF(B$17=0,0,G11/B$17)</f>
        <v>0.06</v>
      </c>
      <c r="I11" s="96">
        <v>5</v>
      </c>
      <c r="K11" s="38">
        <v>9</v>
      </c>
      <c r="L11" s="101">
        <v>277.90000000000003</v>
      </c>
      <c r="N11" s="117" t="s">
        <v>168</v>
      </c>
      <c r="O11" s="127">
        <f>IF(P11=0,0,Q11/P11)</f>
        <v>11.34</v>
      </c>
      <c r="P11" s="121">
        <v>10</v>
      </c>
      <c r="Q11" s="109">
        <v>113.39999999999999</v>
      </c>
    </row>
    <row r="12" spans="1:17" x14ac:dyDescent="0.4">
      <c r="A12" s="57" t="s">
        <v>162</v>
      </c>
      <c r="B12" s="49">
        <v>5</v>
      </c>
      <c r="C12" s="42">
        <f>IF(B$2=0,0,B12/B$2)</f>
        <v>0.17241379310344829</v>
      </c>
      <c r="E12" s="63" t="s">
        <v>86</v>
      </c>
      <c r="F12" s="60" t="s">
        <v>40</v>
      </c>
      <c r="G12" s="47">
        <v>5</v>
      </c>
      <c r="H12" s="135">
        <f>IF(B$17=0,0,G12/B$17)</f>
        <v>0.05</v>
      </c>
      <c r="I12" s="96">
        <v>4</v>
      </c>
      <c r="K12" s="38">
        <v>10</v>
      </c>
      <c r="L12" s="101">
        <v>246.20000000000005</v>
      </c>
      <c r="N12" s="118" t="s">
        <v>169</v>
      </c>
      <c r="O12" s="128">
        <f>IF(P12=0,0,Q12/P12)</f>
        <v>38.340000000000003</v>
      </c>
      <c r="P12" s="122">
        <v>10</v>
      </c>
      <c r="Q12" s="110">
        <v>383.40000000000003</v>
      </c>
    </row>
    <row r="13" spans="1:17" x14ac:dyDescent="0.4">
      <c r="A13" s="58" t="s">
        <v>124</v>
      </c>
      <c r="B13" s="50">
        <v>82</v>
      </c>
      <c r="C13" s="44">
        <f>IF(B$3=0,0,B13/B$3)</f>
        <v>0.34599156118143459</v>
      </c>
      <c r="E13" s="63" t="s">
        <v>72</v>
      </c>
      <c r="F13" s="60" t="s">
        <v>26</v>
      </c>
      <c r="G13" s="47">
        <v>4</v>
      </c>
      <c r="H13" s="135">
        <f>IF(B$17=0,0,G13/B$17)</f>
        <v>0.04</v>
      </c>
      <c r="I13" s="96">
        <v>6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63</v>
      </c>
      <c r="C14" s="39">
        <f>IF(B$3=0,0,B14/B$3)</f>
        <v>0.26582278481012656</v>
      </c>
      <c r="E14" s="63" t="s">
        <v>73</v>
      </c>
      <c r="F14" s="60" t="s">
        <v>27</v>
      </c>
      <c r="G14" s="47">
        <v>4</v>
      </c>
      <c r="H14" s="135">
        <f>IF(B$17=0,0,G14/B$17)</f>
        <v>0.04</v>
      </c>
      <c r="I14" s="96">
        <v>6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47</v>
      </c>
      <c r="C15" s="37">
        <f>IF(B$13=0,0,B15/B$13)</f>
        <v>0.57317073170731703</v>
      </c>
      <c r="E15" s="63" t="s">
        <v>80</v>
      </c>
      <c r="F15" s="60" t="s">
        <v>34</v>
      </c>
      <c r="G15" s="47">
        <v>3</v>
      </c>
      <c r="H15" s="135">
        <f>IF(B$17=0,0,G15/B$17)</f>
        <v>0.03</v>
      </c>
      <c r="I15" s="96">
        <v>2</v>
      </c>
      <c r="K15" s="38">
        <v>13</v>
      </c>
      <c r="L15" s="101">
        <v>418.90000000000003</v>
      </c>
      <c r="N15" s="116" t="s">
        <v>176</v>
      </c>
      <c r="O15" s="126">
        <f>IF(P15=0,0,Q15/P15)</f>
        <v>120</v>
      </c>
      <c r="P15" s="120">
        <v>3</v>
      </c>
      <c r="Q15" s="108">
        <v>360</v>
      </c>
    </row>
    <row r="16" spans="1:17" x14ac:dyDescent="0.4">
      <c r="A16" s="54" t="s">
        <v>127</v>
      </c>
      <c r="B16" s="46">
        <v>36</v>
      </c>
      <c r="C16" s="37">
        <f>IF(B$14=0,0,B16/B$14)</f>
        <v>0.5714285714285714</v>
      </c>
      <c r="E16" s="63" t="s">
        <v>84</v>
      </c>
      <c r="F16" s="60" t="s">
        <v>38</v>
      </c>
      <c r="G16" s="47">
        <v>3</v>
      </c>
      <c r="H16" s="135">
        <f>IF(B$17=0,0,G16/B$17)</f>
        <v>0.03</v>
      </c>
      <c r="I16" s="96">
        <v>4</v>
      </c>
      <c r="K16" s="38">
        <v>14</v>
      </c>
      <c r="L16" s="101">
        <v>473.50000000000006</v>
      </c>
      <c r="N16" s="117" t="s">
        <v>188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100</v>
      </c>
      <c r="C17" s="37">
        <f>IF(B$3=0,0,B17/B$3)</f>
        <v>0.4219409282700422</v>
      </c>
      <c r="E17" s="63" t="s">
        <v>75</v>
      </c>
      <c r="F17" s="60" t="s">
        <v>29</v>
      </c>
      <c r="G17" s="47">
        <v>2</v>
      </c>
      <c r="H17" s="135">
        <f>IF(B$17=0,0,G17/B$17)</f>
        <v>0.02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>IF(P17=0,0,Q17/P17)</f>
        <v>61.75</v>
      </c>
      <c r="P17" s="121">
        <v>6</v>
      </c>
      <c r="Q17" s="109">
        <v>370.5</v>
      </c>
    </row>
    <row r="18" spans="1:17" x14ac:dyDescent="0.4">
      <c r="A18" s="55" t="s">
        <v>12</v>
      </c>
      <c r="B18" s="47">
        <v>41</v>
      </c>
      <c r="C18" s="39">
        <f>IF(B$17=0,0,B18/B$17)</f>
        <v>0.41</v>
      </c>
      <c r="E18" s="63" t="s">
        <v>77</v>
      </c>
      <c r="F18" s="60" t="s">
        <v>31</v>
      </c>
      <c r="G18" s="47">
        <v>1</v>
      </c>
      <c r="H18" s="135">
        <f>IF(B$17=0,0,G18/B$17)</f>
        <v>0.01</v>
      </c>
      <c r="I18" s="96">
        <v>5</v>
      </c>
      <c r="K18" s="38">
        <v>16</v>
      </c>
      <c r="L18" s="101">
        <v>425.50000000000006</v>
      </c>
      <c r="N18" s="117" t="s">
        <v>131</v>
      </c>
      <c r="O18" s="127">
        <f>IF(P18=0,0,Q18/P18)</f>
        <v>51.81111111111111</v>
      </c>
      <c r="P18" s="121">
        <v>9</v>
      </c>
      <c r="Q18" s="109">
        <v>466.3</v>
      </c>
    </row>
    <row r="19" spans="1:17" x14ac:dyDescent="0.4">
      <c r="A19" s="55" t="s">
        <v>11</v>
      </c>
      <c r="B19" s="47">
        <v>59</v>
      </c>
      <c r="C19" s="39">
        <f>IF(B$17=0,0,B19/B$17)</f>
        <v>0.59</v>
      </c>
      <c r="E19" s="63" t="s">
        <v>79</v>
      </c>
      <c r="F19" s="60" t="s">
        <v>33</v>
      </c>
      <c r="G19" s="47">
        <v>1</v>
      </c>
      <c r="H19" s="135">
        <f>IF(B$17=0,0,G19/B$17)</f>
        <v>0.01</v>
      </c>
      <c r="I19" s="96">
        <v>1</v>
      </c>
      <c r="K19" s="38">
        <v>17</v>
      </c>
      <c r="L19" s="101">
        <v>427.40000000000003</v>
      </c>
      <c r="N19" s="117" t="s">
        <v>174</v>
      </c>
      <c r="O19" s="127">
        <f>IF(P19=0,0,Q19/P19)</f>
        <v>39.399999999999991</v>
      </c>
      <c r="P19" s="121">
        <v>13</v>
      </c>
      <c r="Q19" s="109">
        <v>512.19999999999993</v>
      </c>
    </row>
    <row r="20" spans="1:17" x14ac:dyDescent="0.4">
      <c r="A20" s="55" t="s">
        <v>13</v>
      </c>
      <c r="B20" s="47">
        <v>39</v>
      </c>
      <c r="C20" s="39">
        <f>IF(B$3=0,0,B20/B$3)</f>
        <v>0.16455696202531644</v>
      </c>
      <c r="E20" s="63" t="s">
        <v>90</v>
      </c>
      <c r="F20" s="60" t="s">
        <v>44</v>
      </c>
      <c r="G20" s="47">
        <v>1</v>
      </c>
      <c r="H20" s="135">
        <f>IF(B$17=0,0,G20/B$17)</f>
        <v>0.01</v>
      </c>
      <c r="I20" s="96">
        <v>1</v>
      </c>
      <c r="K20" s="38">
        <v>18</v>
      </c>
      <c r="L20" s="101">
        <v>429.3</v>
      </c>
      <c r="N20" s="117" t="s">
        <v>130</v>
      </c>
      <c r="O20" s="127">
        <f>IF(P20=0,0,Q20/P20)</f>
        <v>15.980952380952379</v>
      </c>
      <c r="P20" s="121">
        <v>21</v>
      </c>
      <c r="Q20" s="109">
        <v>335.59999999999997</v>
      </c>
    </row>
    <row r="21" spans="1:17" x14ac:dyDescent="0.4">
      <c r="A21" s="55" t="s">
        <v>196</v>
      </c>
      <c r="B21" s="47">
        <v>7</v>
      </c>
      <c r="C21" s="137">
        <v>3</v>
      </c>
      <c r="E21" s="63" t="s">
        <v>93</v>
      </c>
      <c r="F21" s="60" t="s">
        <v>47</v>
      </c>
      <c r="G21" s="47">
        <v>1</v>
      </c>
      <c r="H21" s="135">
        <f>IF(B$17=0,0,G21/B$17)</f>
        <v>0.01</v>
      </c>
      <c r="I21" s="96">
        <v>1</v>
      </c>
      <c r="K21" s="38">
        <v>19</v>
      </c>
      <c r="L21" s="101">
        <v>405.40000000000003</v>
      </c>
      <c r="N21" s="117" t="s">
        <v>175</v>
      </c>
      <c r="O21" s="127">
        <f>IF(P21=0,0,Q21/P21)</f>
        <v>13.3</v>
      </c>
      <c r="P21" s="121">
        <v>4</v>
      </c>
      <c r="Q21" s="109">
        <v>53.2</v>
      </c>
    </row>
    <row r="22" spans="1:17" x14ac:dyDescent="0.4">
      <c r="A22" s="55" t="s">
        <v>197</v>
      </c>
      <c r="B22" s="47">
        <v>26</v>
      </c>
      <c r="C22" s="137">
        <v>10</v>
      </c>
      <c r="E22" s="63" t="s">
        <v>94</v>
      </c>
      <c r="F22" s="60" t="s">
        <v>48</v>
      </c>
      <c r="G22" s="47">
        <v>1</v>
      </c>
      <c r="H22" s="135">
        <f>IF(B$17=0,0,G22/B$17)</f>
        <v>0.01</v>
      </c>
      <c r="I22" s="96">
        <v>4</v>
      </c>
      <c r="K22" s="38">
        <v>20</v>
      </c>
      <c r="L22" s="101">
        <v>469.6</v>
      </c>
      <c r="N22" s="117" t="s">
        <v>189</v>
      </c>
      <c r="O22" s="127">
        <f>IF(P22=0,0,Q22/P22)</f>
        <v>-57.7</v>
      </c>
      <c r="P22" s="121">
        <v>1</v>
      </c>
      <c r="Q22" s="109">
        <v>-57.7</v>
      </c>
    </row>
    <row r="23" spans="1:17" x14ac:dyDescent="0.4">
      <c r="A23" s="55" t="s">
        <v>5</v>
      </c>
      <c r="B23" s="51">
        <f>IF(B$17=0,0,C23/B$17)</f>
        <v>8832</v>
      </c>
      <c r="C23" s="41">
        <v>883200</v>
      </c>
      <c r="E23" s="63" t="s">
        <v>98</v>
      </c>
      <c r="F23" s="60" t="s">
        <v>52</v>
      </c>
      <c r="G23" s="47">
        <v>1</v>
      </c>
      <c r="H23" s="135">
        <f>IF(B$17=0,0,G23/B$17)</f>
        <v>0.01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-7628.2051282051279</v>
      </c>
      <c r="C24" s="45">
        <v>-297500</v>
      </c>
      <c r="E24" s="63" t="s">
        <v>76</v>
      </c>
      <c r="F24" s="60" t="s">
        <v>30</v>
      </c>
      <c r="G24" s="47">
        <v>0</v>
      </c>
      <c r="H24" s="135">
        <f>IF(B$17=0,0,G24/B$17)</f>
        <v>0</v>
      </c>
      <c r="I24" s="96">
        <v>3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2">
        <v>5</v>
      </c>
      <c r="C25" s="143"/>
      <c r="E25" s="63" t="s">
        <v>78</v>
      </c>
      <c r="F25" s="60" t="s">
        <v>32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0">
        <v>105900</v>
      </c>
      <c r="C26" s="141"/>
      <c r="E26" s="63" t="s">
        <v>81</v>
      </c>
      <c r="F26" s="60" t="s">
        <v>35</v>
      </c>
      <c r="G26" s="47">
        <v>0</v>
      </c>
      <c r="H26" s="135">
        <f>IF(B$17=0,0,G26/B$17)</f>
        <v>0</v>
      </c>
      <c r="I26" s="96">
        <v>4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49</v>
      </c>
      <c r="G33" s="47">
        <v>0</v>
      </c>
      <c r="H33" s="135">
        <f>IF(B$17=0,0,G33/B$17)</f>
        <v>0</v>
      </c>
      <c r="I33" s="96">
        <v>4</v>
      </c>
    </row>
    <row r="34" spans="5:9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4154-6907-47F3-A217-F18E18A98915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29</v>
      </c>
      <c r="C2" s="149"/>
      <c r="E2" s="62" t="s">
        <v>68</v>
      </c>
      <c r="F2" s="59" t="s">
        <v>23</v>
      </c>
      <c r="G2" s="46">
        <v>53</v>
      </c>
      <c r="H2" s="134">
        <f>IF(B$17=0,0,G2/B$17)</f>
        <v>0.68831168831168832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1203.4482758620691</v>
      </c>
      <c r="P2" s="120">
        <v>29</v>
      </c>
      <c r="Q2" s="104">
        <v>34900</v>
      </c>
    </row>
    <row r="3" spans="1:17" x14ac:dyDescent="0.4">
      <c r="A3" s="55" t="s">
        <v>8</v>
      </c>
      <c r="B3" s="150">
        <v>252</v>
      </c>
      <c r="C3" s="151"/>
      <c r="E3" s="63" t="s">
        <v>66</v>
      </c>
      <c r="F3" s="60" t="s">
        <v>21</v>
      </c>
      <c r="G3" s="47">
        <v>46</v>
      </c>
      <c r="H3" s="135">
        <f>IF(B$17=0,0,G3/B$17)</f>
        <v>0.59740259740259738</v>
      </c>
      <c r="I3" s="96">
        <v>2</v>
      </c>
      <c r="K3" s="38">
        <v>1</v>
      </c>
      <c r="L3" s="101">
        <v>45.5</v>
      </c>
      <c r="N3" s="117" t="s">
        <v>135</v>
      </c>
      <c r="O3" s="124">
        <f t="shared" si="0"/>
        <v>-1310.7142857142858</v>
      </c>
      <c r="P3" s="121">
        <v>28</v>
      </c>
      <c r="Q3" s="105">
        <v>-36700</v>
      </c>
    </row>
    <row r="4" spans="1:17" x14ac:dyDescent="0.4">
      <c r="A4" s="55" t="s">
        <v>6</v>
      </c>
      <c r="B4" s="152">
        <v>182.49999999999997</v>
      </c>
      <c r="C4" s="153"/>
      <c r="E4" s="63" t="s">
        <v>184</v>
      </c>
      <c r="F4" s="60" t="s">
        <v>185</v>
      </c>
      <c r="G4" s="47">
        <v>33</v>
      </c>
      <c r="H4" s="135">
        <f>IF(B$17=0,0,G4/B$17)</f>
        <v>0.42857142857142855</v>
      </c>
      <c r="I4" s="96">
        <v>2</v>
      </c>
      <c r="K4" s="38">
        <v>2</v>
      </c>
      <c r="L4" s="101">
        <v>6.2999999999999972</v>
      </c>
      <c r="N4" s="117" t="s">
        <v>136</v>
      </c>
      <c r="O4" s="124">
        <f t="shared" si="0"/>
        <v>-632.14285714285711</v>
      </c>
      <c r="P4" s="121">
        <v>28</v>
      </c>
      <c r="Q4" s="105">
        <v>-17700</v>
      </c>
    </row>
    <row r="5" spans="1:17" x14ac:dyDescent="0.4">
      <c r="A5" s="55" t="s">
        <v>7</v>
      </c>
      <c r="B5" s="154">
        <f>IF(B$2=0,0,B$4/B$2)</f>
        <v>6.2931034482758612</v>
      </c>
      <c r="C5" s="155"/>
      <c r="E5" s="63" t="s">
        <v>69</v>
      </c>
      <c r="F5" s="60" t="s">
        <v>24</v>
      </c>
      <c r="G5" s="47">
        <v>32</v>
      </c>
      <c r="H5" s="135">
        <f>IF(B$17=0,0,G5/B$17)</f>
        <v>0.41558441558441561</v>
      </c>
      <c r="I5" s="96">
        <v>1</v>
      </c>
      <c r="K5" s="38">
        <v>3</v>
      </c>
      <c r="L5" s="101">
        <v>-47.300000000000004</v>
      </c>
      <c r="N5" s="117" t="s">
        <v>137</v>
      </c>
      <c r="O5" s="124">
        <f t="shared" si="0"/>
        <v>2332.1428571428573</v>
      </c>
      <c r="P5" s="121">
        <v>28</v>
      </c>
      <c r="Q5" s="105">
        <v>65300</v>
      </c>
    </row>
    <row r="6" spans="1:17" x14ac:dyDescent="0.4">
      <c r="A6" s="55" t="s">
        <v>1</v>
      </c>
      <c r="B6" s="144">
        <f>IF(B$2=0,0,(B$7*1+B$8*2+B$9*3)/B$2)</f>
        <v>1.896551724137931</v>
      </c>
      <c r="C6" s="145"/>
      <c r="E6" s="63" t="s">
        <v>74</v>
      </c>
      <c r="F6" s="60" t="s">
        <v>28</v>
      </c>
      <c r="G6" s="47">
        <v>32</v>
      </c>
      <c r="H6" s="135">
        <f>IF(B$17=0,0,G6/B$17)</f>
        <v>0.41558441558441561</v>
      </c>
      <c r="I6" s="96">
        <v>9</v>
      </c>
      <c r="K6" s="38">
        <v>4</v>
      </c>
      <c r="L6" s="101">
        <v>13.599999999999994</v>
      </c>
      <c r="N6" s="117" t="s">
        <v>138</v>
      </c>
      <c r="O6" s="124">
        <f t="shared" si="0"/>
        <v>2426.9230769230771</v>
      </c>
      <c r="P6" s="121">
        <v>26</v>
      </c>
      <c r="Q6" s="105">
        <v>63100</v>
      </c>
    </row>
    <row r="7" spans="1:17" x14ac:dyDescent="0.4">
      <c r="A7" s="55" t="s">
        <v>2</v>
      </c>
      <c r="B7" s="47">
        <v>10</v>
      </c>
      <c r="C7" s="39">
        <f>IF(B$2=0,0,B7/B$2)</f>
        <v>0.34482758620689657</v>
      </c>
      <c r="E7" s="63" t="s">
        <v>70</v>
      </c>
      <c r="F7" s="60" t="s">
        <v>12</v>
      </c>
      <c r="G7" s="47">
        <v>24</v>
      </c>
      <c r="H7" s="135">
        <f>IF(B$17=0,0,G7/B$17)</f>
        <v>0.31168831168831168</v>
      </c>
      <c r="I7" s="96">
        <v>3</v>
      </c>
      <c r="K7" s="38">
        <v>5</v>
      </c>
      <c r="L7" s="101">
        <v>-16.600000000000005</v>
      </c>
      <c r="N7" s="118" t="s">
        <v>139</v>
      </c>
      <c r="O7" s="125">
        <f t="shared" si="0"/>
        <v>544</v>
      </c>
      <c r="P7" s="122">
        <v>25</v>
      </c>
      <c r="Q7" s="106">
        <v>13600</v>
      </c>
    </row>
    <row r="8" spans="1:17" x14ac:dyDescent="0.4">
      <c r="A8" s="55" t="s">
        <v>3</v>
      </c>
      <c r="B8" s="47">
        <v>12</v>
      </c>
      <c r="C8" s="39">
        <f>IF(B$2=0,0,B8/B$2)</f>
        <v>0.41379310344827586</v>
      </c>
      <c r="E8" s="63" t="s">
        <v>71</v>
      </c>
      <c r="F8" s="60" t="s">
        <v>25</v>
      </c>
      <c r="G8" s="47">
        <v>18</v>
      </c>
      <c r="H8" s="135">
        <f>IF(B$17=0,0,G8/B$17)</f>
        <v>0.23376623376623376</v>
      </c>
      <c r="I8" s="96">
        <v>1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0.2413793103448276</v>
      </c>
      <c r="E9" s="63" t="s">
        <v>72</v>
      </c>
      <c r="F9" s="60" t="s">
        <v>26</v>
      </c>
      <c r="G9" s="47">
        <v>10</v>
      </c>
      <c r="H9" s="135">
        <f>IF(B$17=0,0,G9/B$17)</f>
        <v>0.12987012987012986</v>
      </c>
      <c r="I9" s="96">
        <v>2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9</v>
      </c>
      <c r="H10" s="135">
        <f>IF(B$17=0,0,G10/B$17)</f>
        <v>0.11688311688311688</v>
      </c>
      <c r="I10" s="96">
        <v>5</v>
      </c>
      <c r="K10" s="38">
        <v>8</v>
      </c>
      <c r="L10" s="101">
        <v>-49.6</v>
      </c>
      <c r="N10" s="116" t="s">
        <v>167</v>
      </c>
      <c r="O10" s="126">
        <f>IF(P10=0,0,Q10/P10)</f>
        <v>12.231249999999998</v>
      </c>
      <c r="P10" s="120">
        <v>16</v>
      </c>
      <c r="Q10" s="108">
        <v>195.69999999999996</v>
      </c>
    </row>
    <row r="11" spans="1:17" x14ac:dyDescent="0.4">
      <c r="A11" s="56" t="s">
        <v>142</v>
      </c>
      <c r="B11" s="48">
        <v>2</v>
      </c>
      <c r="C11" s="40">
        <f>IF(B$2=0,0,B11/B$2)</f>
        <v>6.8965517241379309E-2</v>
      </c>
      <c r="E11" s="63" t="s">
        <v>89</v>
      </c>
      <c r="F11" s="60" t="s">
        <v>43</v>
      </c>
      <c r="G11" s="47">
        <v>5</v>
      </c>
      <c r="H11" s="135">
        <f>IF(B$17=0,0,G11/B$17)</f>
        <v>6.4935064935064929E-2</v>
      </c>
      <c r="I11" s="96">
        <v>3</v>
      </c>
      <c r="K11" s="38">
        <v>9</v>
      </c>
      <c r="L11" s="101">
        <v>-79.5</v>
      </c>
      <c r="N11" s="117" t="s">
        <v>168</v>
      </c>
      <c r="O11" s="127">
        <f>IF(P11=0,0,Q11/P11)</f>
        <v>-5.4555555555555539</v>
      </c>
      <c r="P11" s="121">
        <v>9</v>
      </c>
      <c r="Q11" s="109">
        <v>-49.099999999999987</v>
      </c>
    </row>
    <row r="12" spans="1:17" x14ac:dyDescent="0.4">
      <c r="A12" s="57" t="s">
        <v>162</v>
      </c>
      <c r="B12" s="49">
        <v>4</v>
      </c>
      <c r="C12" s="42">
        <f>IF(B$2=0,0,B12/B$2)</f>
        <v>0.13793103448275862</v>
      </c>
      <c r="E12" s="63" t="s">
        <v>92</v>
      </c>
      <c r="F12" s="60" t="s">
        <v>46</v>
      </c>
      <c r="G12" s="47">
        <v>5</v>
      </c>
      <c r="H12" s="135">
        <f>IF(B$17=0,0,G12/B$17)</f>
        <v>6.4935064935064929E-2</v>
      </c>
      <c r="I12" s="96">
        <v>10</v>
      </c>
      <c r="K12" s="38">
        <v>10</v>
      </c>
      <c r="L12" s="101">
        <v>-80.900000000000006</v>
      </c>
      <c r="N12" s="118" t="s">
        <v>169</v>
      </c>
      <c r="O12" s="128">
        <f>IF(P12=0,0,Q12/P12)</f>
        <v>8.9750000000000014</v>
      </c>
      <c r="P12" s="122">
        <v>4</v>
      </c>
      <c r="Q12" s="110">
        <v>35.900000000000006</v>
      </c>
    </row>
    <row r="13" spans="1:17" x14ac:dyDescent="0.4">
      <c r="A13" s="58" t="s">
        <v>124</v>
      </c>
      <c r="B13" s="50">
        <v>77</v>
      </c>
      <c r="C13" s="44">
        <f>IF(B$3=0,0,B13/B$3)</f>
        <v>0.30555555555555558</v>
      </c>
      <c r="E13" s="63" t="s">
        <v>84</v>
      </c>
      <c r="F13" s="60" t="s">
        <v>38</v>
      </c>
      <c r="G13" s="47">
        <v>3</v>
      </c>
      <c r="H13" s="135">
        <f>IF(B$17=0,0,G13/B$17)</f>
        <v>3.896103896103896E-2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45</v>
      </c>
      <c r="C14" s="39">
        <f>IF(B$3=0,0,B14/B$3)</f>
        <v>0.17857142857142858</v>
      </c>
      <c r="E14" s="63" t="s">
        <v>94</v>
      </c>
      <c r="F14" s="60" t="s">
        <v>48</v>
      </c>
      <c r="G14" s="47">
        <v>3</v>
      </c>
      <c r="H14" s="135">
        <f>IF(B$17=0,0,G14/B$17)</f>
        <v>3.896103896103896E-2</v>
      </c>
      <c r="I14" s="96">
        <v>2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48</v>
      </c>
      <c r="C15" s="37">
        <f>IF(B$13=0,0,B15/B$13)</f>
        <v>0.62337662337662336</v>
      </c>
      <c r="E15" s="63" t="s">
        <v>86</v>
      </c>
      <c r="F15" s="60" t="s">
        <v>40</v>
      </c>
      <c r="G15" s="47">
        <v>2</v>
      </c>
      <c r="H15" s="135">
        <f>IF(B$17=0,0,G15/B$17)</f>
        <v>2.5974025974025976E-2</v>
      </c>
      <c r="I15" s="96">
        <v>8</v>
      </c>
      <c r="K15" s="38">
        <v>13</v>
      </c>
      <c r="L15" s="101">
        <v>-81.900000000000006</v>
      </c>
      <c r="N15" s="116" t="s">
        <v>176</v>
      </c>
      <c r="O15" s="126">
        <f>IF(P15=0,0,Q15/P15)</f>
        <v>52.48</v>
      </c>
      <c r="P15" s="120">
        <v>5</v>
      </c>
      <c r="Q15" s="108">
        <v>262.39999999999998</v>
      </c>
    </row>
    <row r="16" spans="1:17" x14ac:dyDescent="0.4">
      <c r="A16" s="54" t="s">
        <v>127</v>
      </c>
      <c r="B16" s="46">
        <v>12</v>
      </c>
      <c r="C16" s="37">
        <f>IF(B$14=0,0,B16/B$14)</f>
        <v>0.26666666666666666</v>
      </c>
      <c r="E16" s="63" t="s">
        <v>73</v>
      </c>
      <c r="F16" s="60" t="s">
        <v>27</v>
      </c>
      <c r="G16" s="47">
        <v>1</v>
      </c>
      <c r="H16" s="135">
        <f>IF(B$17=0,0,G16/B$17)</f>
        <v>1.2987012987012988E-2</v>
      </c>
      <c r="I16" s="96">
        <v>7</v>
      </c>
      <c r="K16" s="38">
        <v>14</v>
      </c>
      <c r="L16" s="101">
        <v>-25.600000000000009</v>
      </c>
      <c r="N16" s="117" t="s">
        <v>189</v>
      </c>
      <c r="O16" s="127">
        <f>IF(P16=0,0,Q16/P16)</f>
        <v>37.400000000000006</v>
      </c>
      <c r="P16" s="121">
        <v>1</v>
      </c>
      <c r="Q16" s="109">
        <v>37.400000000000006</v>
      </c>
    </row>
    <row r="17" spans="1:17" x14ac:dyDescent="0.4">
      <c r="A17" s="54" t="s">
        <v>10</v>
      </c>
      <c r="B17" s="46">
        <f>B19+B18</f>
        <v>77</v>
      </c>
      <c r="C17" s="37">
        <f>IF(B$3=0,0,B17/B$3)</f>
        <v>0.30555555555555558</v>
      </c>
      <c r="E17" s="63" t="s">
        <v>75</v>
      </c>
      <c r="F17" s="60" t="s">
        <v>29</v>
      </c>
      <c r="G17" s="47">
        <v>1</v>
      </c>
      <c r="H17" s="135">
        <f>IF(B$17=0,0,G17/B$17)</f>
        <v>1.2987012987012988E-2</v>
      </c>
      <c r="I17" s="96">
        <v>2</v>
      </c>
      <c r="K17" s="38">
        <v>15</v>
      </c>
      <c r="L17" s="101">
        <v>47.999999999999986</v>
      </c>
      <c r="N17" s="117" t="s">
        <v>175</v>
      </c>
      <c r="O17" s="127">
        <f>IF(P17=0,0,Q17/P17)</f>
        <v>32.699999999999996</v>
      </c>
      <c r="P17" s="121">
        <v>3</v>
      </c>
      <c r="Q17" s="109">
        <v>98.1</v>
      </c>
    </row>
    <row r="18" spans="1:17" x14ac:dyDescent="0.4">
      <c r="A18" s="55" t="s">
        <v>12</v>
      </c>
      <c r="B18" s="47">
        <v>28</v>
      </c>
      <c r="C18" s="39">
        <f>IF(B$17=0,0,B18/B$17)</f>
        <v>0.36363636363636365</v>
      </c>
      <c r="E18" s="63" t="s">
        <v>76</v>
      </c>
      <c r="F18" s="60" t="s">
        <v>30</v>
      </c>
      <c r="G18" s="47">
        <v>1</v>
      </c>
      <c r="H18" s="135">
        <f>IF(B$17=0,0,G18/B$17)</f>
        <v>1.2987012987012988E-2</v>
      </c>
      <c r="I18" s="96">
        <v>1</v>
      </c>
      <c r="K18" s="38">
        <v>16</v>
      </c>
      <c r="L18" s="101">
        <v>41.699999999999989</v>
      </c>
      <c r="N18" s="117" t="s">
        <v>174</v>
      </c>
      <c r="O18" s="127">
        <f>IF(P18=0,0,Q18/P18)</f>
        <v>27.800000000000008</v>
      </c>
      <c r="P18" s="121">
        <v>12</v>
      </c>
      <c r="Q18" s="109">
        <v>333.60000000000008</v>
      </c>
    </row>
    <row r="19" spans="1:17" x14ac:dyDescent="0.4">
      <c r="A19" s="55" t="s">
        <v>11</v>
      </c>
      <c r="B19" s="47">
        <v>49</v>
      </c>
      <c r="C19" s="39">
        <f>IF(B$17=0,0,B19/B$17)</f>
        <v>0.63636363636363635</v>
      </c>
      <c r="E19" s="63" t="s">
        <v>77</v>
      </c>
      <c r="F19" s="60" t="s">
        <v>31</v>
      </c>
      <c r="G19" s="47">
        <v>1</v>
      </c>
      <c r="H19" s="135">
        <f>IF(B$17=0,0,G19/B$17)</f>
        <v>1.2987012987012988E-2</v>
      </c>
      <c r="I19" s="96">
        <v>3</v>
      </c>
      <c r="K19" s="38">
        <v>17</v>
      </c>
      <c r="L19" s="101">
        <v>94.6</v>
      </c>
      <c r="N19" s="117" t="s">
        <v>131</v>
      </c>
      <c r="O19" s="127">
        <f>IF(P19=0,0,Q19/P19)</f>
        <v>9.7624999999999993</v>
      </c>
      <c r="P19" s="121">
        <v>8</v>
      </c>
      <c r="Q19" s="109">
        <v>78.099999999999994</v>
      </c>
    </row>
    <row r="20" spans="1:17" x14ac:dyDescent="0.4">
      <c r="A20" s="55" t="s">
        <v>13</v>
      </c>
      <c r="B20" s="47">
        <v>39</v>
      </c>
      <c r="C20" s="39">
        <f>IF(B$3=0,0,B20/B$3)</f>
        <v>0.15476190476190477</v>
      </c>
      <c r="E20" s="63" t="s">
        <v>80</v>
      </c>
      <c r="F20" s="60" t="s">
        <v>34</v>
      </c>
      <c r="G20" s="47">
        <v>1</v>
      </c>
      <c r="H20" s="135">
        <f>IF(B$17=0,0,G20/B$17)</f>
        <v>1.2987012987012988E-2</v>
      </c>
      <c r="I20" s="96">
        <v>5</v>
      </c>
      <c r="K20" s="38">
        <v>18</v>
      </c>
      <c r="L20" s="101">
        <v>116.69999999999999</v>
      </c>
      <c r="N20" s="117" t="s">
        <v>180</v>
      </c>
      <c r="O20" s="127">
        <f>IF(P20=0,0,Q20/P20)</f>
        <v>9.1875</v>
      </c>
      <c r="P20" s="121">
        <v>8</v>
      </c>
      <c r="Q20" s="109">
        <v>73.5</v>
      </c>
    </row>
    <row r="21" spans="1:17" x14ac:dyDescent="0.4">
      <c r="A21" s="55" t="s">
        <v>196</v>
      </c>
      <c r="B21" s="47">
        <v>5</v>
      </c>
      <c r="C21" s="137">
        <v>0</v>
      </c>
      <c r="E21" s="63" t="s">
        <v>81</v>
      </c>
      <c r="F21" s="60" t="s">
        <v>35</v>
      </c>
      <c r="G21" s="47">
        <v>1</v>
      </c>
      <c r="H21" s="135">
        <f>IF(B$17=0,0,G21/B$17)</f>
        <v>1.2987012987012988E-2</v>
      </c>
      <c r="I21" s="96">
        <v>2</v>
      </c>
      <c r="K21" s="38">
        <v>19</v>
      </c>
      <c r="L21" s="101">
        <v>138.79999999999998</v>
      </c>
      <c r="N21" s="117" t="s">
        <v>129</v>
      </c>
      <c r="O21" s="127">
        <f>IF(P21=0,0,Q21/P21)</f>
        <v>-15.980952380952379</v>
      </c>
      <c r="P21" s="121">
        <v>21</v>
      </c>
      <c r="Q21" s="109">
        <v>-335.59999999999997</v>
      </c>
    </row>
    <row r="22" spans="1:17" x14ac:dyDescent="0.4">
      <c r="A22" s="55" t="s">
        <v>197</v>
      </c>
      <c r="B22" s="47">
        <v>24</v>
      </c>
      <c r="C22" s="137">
        <v>4</v>
      </c>
      <c r="E22" s="63" t="s">
        <v>95</v>
      </c>
      <c r="F22" s="60" t="s">
        <v>49</v>
      </c>
      <c r="G22" s="47">
        <v>1</v>
      </c>
      <c r="H22" s="135">
        <f>IF(B$17=0,0,G22/B$17)</f>
        <v>1.2987012987012988E-2</v>
      </c>
      <c r="I22" s="96">
        <v>2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8922.0779220779223</v>
      </c>
      <c r="C23" s="41">
        <v>687000</v>
      </c>
      <c r="E23" s="63" t="s">
        <v>183</v>
      </c>
      <c r="F23" s="60" t="s">
        <v>186</v>
      </c>
      <c r="G23" s="47">
        <v>1</v>
      </c>
      <c r="H23" s="135">
        <f>IF(B$17=0,0,G23/B$17)</f>
        <v>1.2987012987012988E-2</v>
      </c>
      <c r="I23" s="96">
        <v>1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-7502.5641025641025</v>
      </c>
      <c r="C24" s="45">
        <v>-292600</v>
      </c>
      <c r="E24" s="63" t="s">
        <v>78</v>
      </c>
      <c r="F24" s="60" t="s">
        <v>32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2">
        <v>5</v>
      </c>
      <c r="C25" s="143"/>
      <c r="E25" s="63" t="s">
        <v>79</v>
      </c>
      <c r="F25" s="60" t="s">
        <v>33</v>
      </c>
      <c r="G25" s="47">
        <v>0</v>
      </c>
      <c r="H25" s="135">
        <f>IF(B$17=0,0,G25/B$17)</f>
        <v>0</v>
      </c>
      <c r="I25" s="96">
        <v>3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0">
        <v>88600</v>
      </c>
      <c r="C26" s="141"/>
      <c r="E26" s="63" t="s">
        <v>82</v>
      </c>
      <c r="F26" s="60" t="s">
        <v>36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1.5873015873015872E-2</v>
      </c>
      <c r="E27" s="63" t="s">
        <v>83</v>
      </c>
      <c r="F27" s="60" t="s">
        <v>37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85</v>
      </c>
      <c r="F28" s="60" t="s">
        <v>39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87</v>
      </c>
      <c r="F29" s="60" t="s">
        <v>41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88</v>
      </c>
      <c r="F30" s="60" t="s">
        <v>42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90</v>
      </c>
      <c r="F31" s="60" t="s">
        <v>44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93</v>
      </c>
      <c r="F33" s="60" t="s">
        <v>47</v>
      </c>
      <c r="G33" s="47">
        <v>0</v>
      </c>
      <c r="H33" s="135">
        <f>IF(B$17=0,0,G33/B$17)</f>
        <v>0</v>
      </c>
      <c r="I33" s="96">
        <v>3</v>
      </c>
    </row>
    <row r="34" spans="5:9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</row>
    <row r="37" spans="5:9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BB8-354E-42F7-8BE5-5521FCBD475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131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13</v>
      </c>
      <c r="C2" s="149"/>
      <c r="E2" s="62" t="s">
        <v>68</v>
      </c>
      <c r="F2" s="59" t="s">
        <v>23</v>
      </c>
      <c r="G2" s="46">
        <v>29</v>
      </c>
      <c r="H2" s="134">
        <f>IF(B$17=0,0,G2/B$17)</f>
        <v>1.0740740740740742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-4961.5384615384619</v>
      </c>
      <c r="P2" s="120">
        <v>13</v>
      </c>
      <c r="Q2" s="104">
        <v>-64500</v>
      </c>
    </row>
    <row r="3" spans="1:17" x14ac:dyDescent="0.4">
      <c r="A3" s="55" t="s">
        <v>8</v>
      </c>
      <c r="B3" s="150">
        <v>122</v>
      </c>
      <c r="C3" s="151"/>
      <c r="E3" s="63" t="s">
        <v>66</v>
      </c>
      <c r="F3" s="60" t="s">
        <v>21</v>
      </c>
      <c r="G3" s="47">
        <v>13</v>
      </c>
      <c r="H3" s="135">
        <f>IF(B$17=0,0,G3/B$17)</f>
        <v>0.48148148148148145</v>
      </c>
      <c r="I3" s="96">
        <v>4</v>
      </c>
      <c r="K3" s="38">
        <v>1</v>
      </c>
      <c r="L3" s="101">
        <v>-40.4</v>
      </c>
      <c r="N3" s="117" t="s">
        <v>135</v>
      </c>
      <c r="O3" s="124">
        <f t="shared" si="0"/>
        <v>-2661.5384615384614</v>
      </c>
      <c r="P3" s="121">
        <v>13</v>
      </c>
      <c r="Q3" s="105">
        <v>-34600</v>
      </c>
    </row>
    <row r="4" spans="1:17" x14ac:dyDescent="0.4">
      <c r="A4" s="55" t="s">
        <v>6</v>
      </c>
      <c r="B4" s="152">
        <v>-369.1</v>
      </c>
      <c r="C4" s="153"/>
      <c r="E4" s="63" t="s">
        <v>70</v>
      </c>
      <c r="F4" s="60" t="s">
        <v>12</v>
      </c>
      <c r="G4" s="47">
        <v>9</v>
      </c>
      <c r="H4" s="135">
        <f>IF(B$17=0,0,G4/B$17)</f>
        <v>0.33333333333333331</v>
      </c>
      <c r="I4" s="96">
        <v>2</v>
      </c>
      <c r="K4" s="38">
        <v>2</v>
      </c>
      <c r="L4" s="101">
        <v>-3.3999999999999986</v>
      </c>
      <c r="N4" s="117" t="s">
        <v>136</v>
      </c>
      <c r="O4" s="124">
        <f t="shared" si="0"/>
        <v>-5163.636363636364</v>
      </c>
      <c r="P4" s="121">
        <v>11</v>
      </c>
      <c r="Q4" s="105">
        <v>-56800</v>
      </c>
    </row>
    <row r="5" spans="1:17" x14ac:dyDescent="0.4">
      <c r="A5" s="55" t="s">
        <v>7</v>
      </c>
      <c r="B5" s="154">
        <f>IF(B$2=0,0,B$4/B$2)</f>
        <v>-28.392307692307693</v>
      </c>
      <c r="C5" s="155"/>
      <c r="E5" s="63" t="s">
        <v>69</v>
      </c>
      <c r="F5" s="60" t="s">
        <v>24</v>
      </c>
      <c r="G5" s="47">
        <v>8</v>
      </c>
      <c r="H5" s="135">
        <f>IF(B$17=0,0,G5/B$17)</f>
        <v>0.29629629629629628</v>
      </c>
      <c r="I5" s="96">
        <v>3</v>
      </c>
      <c r="K5" s="38">
        <v>3</v>
      </c>
      <c r="L5" s="101">
        <v>-23.099999999999998</v>
      </c>
      <c r="N5" s="117" t="s">
        <v>137</v>
      </c>
      <c r="O5" s="124">
        <f t="shared" si="0"/>
        <v>-3863.6363636363635</v>
      </c>
      <c r="P5" s="121">
        <v>11</v>
      </c>
      <c r="Q5" s="105">
        <v>-42500</v>
      </c>
    </row>
    <row r="6" spans="1:17" x14ac:dyDescent="0.4">
      <c r="A6" s="55" t="s">
        <v>1</v>
      </c>
      <c r="B6" s="144">
        <f>IF(B$2=0,0,(B$7*1+B$8*2+B$9*3)/B$2)</f>
        <v>2.4615384615384617</v>
      </c>
      <c r="C6" s="145"/>
      <c r="E6" s="63" t="s">
        <v>74</v>
      </c>
      <c r="F6" s="60" t="s">
        <v>28</v>
      </c>
      <c r="G6" s="47">
        <v>8</v>
      </c>
      <c r="H6" s="135">
        <f>IF(B$17=0,0,G6/B$17)</f>
        <v>0.29629629629629628</v>
      </c>
      <c r="I6" s="96">
        <v>10</v>
      </c>
      <c r="K6" s="38">
        <v>4</v>
      </c>
      <c r="L6" s="101">
        <v>-31.4</v>
      </c>
      <c r="N6" s="117" t="s">
        <v>138</v>
      </c>
      <c r="O6" s="124">
        <f t="shared" si="0"/>
        <v>-3154.5454545454545</v>
      </c>
      <c r="P6" s="121">
        <v>11</v>
      </c>
      <c r="Q6" s="105">
        <v>-34700</v>
      </c>
    </row>
    <row r="7" spans="1:17" x14ac:dyDescent="0.4">
      <c r="A7" s="55" t="s">
        <v>2</v>
      </c>
      <c r="B7" s="47">
        <v>2</v>
      </c>
      <c r="C7" s="39">
        <f>IF(B$2=0,0,B7/B$2)</f>
        <v>0.15384615384615385</v>
      </c>
      <c r="E7" s="63" t="s">
        <v>184</v>
      </c>
      <c r="F7" s="60" t="s">
        <v>185</v>
      </c>
      <c r="G7" s="47">
        <v>8</v>
      </c>
      <c r="H7" s="135">
        <f>IF(B$17=0,0,G7/B$17)</f>
        <v>0.29629629629629628</v>
      </c>
      <c r="I7" s="96">
        <v>9</v>
      </c>
      <c r="K7" s="38">
        <v>5</v>
      </c>
      <c r="L7" s="101">
        <v>-32.199999999999996</v>
      </c>
      <c r="N7" s="118" t="s">
        <v>139</v>
      </c>
      <c r="O7" s="125">
        <f t="shared" si="0"/>
        <v>-1454.5454545454545</v>
      </c>
      <c r="P7" s="122">
        <v>11</v>
      </c>
      <c r="Q7" s="106">
        <v>-16000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72</v>
      </c>
      <c r="F8" s="60" t="s">
        <v>26</v>
      </c>
      <c r="G8" s="47">
        <v>4</v>
      </c>
      <c r="H8" s="135">
        <f>IF(B$17=0,0,G8/B$17)</f>
        <v>0.14814814814814814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0.61538461538461542</v>
      </c>
      <c r="E9" s="63" t="s">
        <v>73</v>
      </c>
      <c r="F9" s="60" t="s">
        <v>27</v>
      </c>
      <c r="G9" s="47">
        <v>4</v>
      </c>
      <c r="H9" s="135">
        <f>IF(B$17=0,0,G9/B$17)</f>
        <v>0.14814814814814814</v>
      </c>
      <c r="I9" s="96">
        <v>2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0.23076923076923078</v>
      </c>
      <c r="E10" s="63" t="s">
        <v>92</v>
      </c>
      <c r="F10" s="60" t="s">
        <v>46</v>
      </c>
      <c r="G10" s="47">
        <v>4</v>
      </c>
      <c r="H10" s="135">
        <f>IF(B$17=0,0,G10/B$17)</f>
        <v>0.14814814814814814</v>
      </c>
      <c r="I10" s="96">
        <v>7</v>
      </c>
      <c r="K10" s="38">
        <v>8</v>
      </c>
      <c r="L10" s="101">
        <v>-79.599999999999994</v>
      </c>
      <c r="N10" s="116" t="s">
        <v>167</v>
      </c>
      <c r="O10" s="126">
        <f>IF(P10=0,0,Q10/P10)</f>
        <v>-30.919999999999998</v>
      </c>
      <c r="P10" s="120">
        <v>5</v>
      </c>
      <c r="Q10" s="108">
        <v>-154.6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71</v>
      </c>
      <c r="F11" s="60" t="s">
        <v>25</v>
      </c>
      <c r="G11" s="47">
        <v>3</v>
      </c>
      <c r="H11" s="135">
        <f>IF(B$17=0,0,G11/B$17)</f>
        <v>0.1111111111111111</v>
      </c>
      <c r="I11" s="96">
        <v>8</v>
      </c>
      <c r="K11" s="38">
        <v>9</v>
      </c>
      <c r="L11" s="101">
        <v>-127.6</v>
      </c>
      <c r="N11" s="117" t="s">
        <v>168</v>
      </c>
      <c r="O11" s="127">
        <f>IF(P11=0,0,Q11/P11)</f>
        <v>-38.975000000000001</v>
      </c>
      <c r="P11" s="121">
        <v>4</v>
      </c>
      <c r="Q11" s="109">
        <v>-155.9</v>
      </c>
    </row>
    <row r="12" spans="1:17" x14ac:dyDescent="0.4">
      <c r="A12" s="57" t="s">
        <v>162</v>
      </c>
      <c r="B12" s="49">
        <v>1</v>
      </c>
      <c r="C12" s="42">
        <f>IF(B$2=0,0,B12/B$2)</f>
        <v>7.6923076923076927E-2</v>
      </c>
      <c r="E12" s="63" t="s">
        <v>89</v>
      </c>
      <c r="F12" s="60" t="s">
        <v>43</v>
      </c>
      <c r="G12" s="47">
        <v>2</v>
      </c>
      <c r="H12" s="135">
        <f>IF(B$17=0,0,G12/B$17)</f>
        <v>7.407407407407407E-2</v>
      </c>
      <c r="I12" s="96">
        <v>2</v>
      </c>
      <c r="K12" s="38">
        <v>10</v>
      </c>
      <c r="L12" s="101">
        <v>-231.39999999999998</v>
      </c>
      <c r="N12" s="118" t="s">
        <v>169</v>
      </c>
      <c r="O12" s="128">
        <f>IF(P12=0,0,Q12/P12)</f>
        <v>-14.649999999999999</v>
      </c>
      <c r="P12" s="122">
        <v>4</v>
      </c>
      <c r="Q12" s="110">
        <v>-58.599999999999994</v>
      </c>
    </row>
    <row r="13" spans="1:17" x14ac:dyDescent="0.4">
      <c r="A13" s="58" t="s">
        <v>124</v>
      </c>
      <c r="B13" s="50">
        <v>28</v>
      </c>
      <c r="C13" s="44">
        <f>IF(B$3=0,0,B13/B$3)</f>
        <v>0.22950819672131148</v>
      </c>
      <c r="E13" s="63" t="s">
        <v>67</v>
      </c>
      <c r="F13" s="60" t="s">
        <v>22</v>
      </c>
      <c r="G13" s="47">
        <v>1</v>
      </c>
      <c r="H13" s="135">
        <f>IF(B$17=0,0,G13/B$17)</f>
        <v>3.7037037037037035E-2</v>
      </c>
      <c r="I13" s="96">
        <v>7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12</v>
      </c>
      <c r="C14" s="39">
        <f>IF(B$3=0,0,B14/B$3)</f>
        <v>9.8360655737704916E-2</v>
      </c>
      <c r="E14" s="63" t="s">
        <v>80</v>
      </c>
      <c r="F14" s="60" t="s">
        <v>34</v>
      </c>
      <c r="G14" s="47">
        <v>1</v>
      </c>
      <c r="H14" s="135">
        <f>IF(B$17=0,0,G14/B$17)</f>
        <v>3.7037037037037035E-2</v>
      </c>
      <c r="I14" s="96">
        <v>1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14</v>
      </c>
      <c r="C15" s="37">
        <f>IF(B$13=0,0,B15/B$13)</f>
        <v>0.5</v>
      </c>
      <c r="E15" s="63" t="s">
        <v>86</v>
      </c>
      <c r="F15" s="60" t="s">
        <v>40</v>
      </c>
      <c r="G15" s="47">
        <v>1</v>
      </c>
      <c r="H15" s="135">
        <f>IF(B$17=0,0,G15/B$17)</f>
        <v>3.7037037037037035E-2</v>
      </c>
      <c r="I15" s="96">
        <v>7</v>
      </c>
      <c r="K15" s="38">
        <v>13</v>
      </c>
      <c r="L15" s="101">
        <v>-369.1</v>
      </c>
      <c r="N15" s="116" t="s">
        <v>130</v>
      </c>
      <c r="O15" s="126">
        <f>IF(P15=0,0,Q15/P15)</f>
        <v>-9.7625000000000028</v>
      </c>
      <c r="P15" s="120">
        <v>8</v>
      </c>
      <c r="Q15" s="108">
        <v>-78.100000000000023</v>
      </c>
    </row>
    <row r="16" spans="1:17" x14ac:dyDescent="0.4">
      <c r="A16" s="54" t="s">
        <v>127</v>
      </c>
      <c r="B16" s="46">
        <v>4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N16" s="117" t="s">
        <v>176</v>
      </c>
      <c r="O16" s="127">
        <f>IF(P16=0,0,Q16/P16)</f>
        <v>-13.166666666666666</v>
      </c>
      <c r="P16" s="121">
        <v>3</v>
      </c>
      <c r="Q16" s="109">
        <v>-39.5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N17" s="117" t="s">
        <v>129</v>
      </c>
      <c r="O17" s="127">
        <f>IF(P17=0,0,Q17/P17)</f>
        <v>-51.81111111111111</v>
      </c>
      <c r="P17" s="121">
        <v>9</v>
      </c>
      <c r="Q17" s="109">
        <v>-466.3</v>
      </c>
    </row>
    <row r="18" spans="1:17" x14ac:dyDescent="0.4">
      <c r="A18" s="55" t="s">
        <v>12</v>
      </c>
      <c r="B18" s="47">
        <v>11</v>
      </c>
      <c r="C18" s="39">
        <f>IF(B$17=0,0,B18/B$17)</f>
        <v>0.40740740740740738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N18" s="117" t="s">
        <v>175</v>
      </c>
      <c r="O18" s="127">
        <f>IF(P18=0,0,Q18/P18)</f>
        <v>-67.8</v>
      </c>
      <c r="P18" s="121">
        <v>1</v>
      </c>
      <c r="Q18" s="109">
        <v>-67.8</v>
      </c>
    </row>
    <row r="19" spans="1:17" x14ac:dyDescent="0.4">
      <c r="A19" s="55" t="s">
        <v>11</v>
      </c>
      <c r="B19" s="47">
        <v>16</v>
      </c>
      <c r="C19" s="39">
        <f>IF(B$17=0,0,B19/B$17)</f>
        <v>0.59259259259259256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189</v>
      </c>
      <c r="O19" s="127">
        <f>IF(P19=0,0,Q19/P19)</f>
        <v>-72.3</v>
      </c>
      <c r="P19" s="121">
        <v>1</v>
      </c>
      <c r="Q19" s="109">
        <v>-72.3</v>
      </c>
    </row>
    <row r="20" spans="1:17" x14ac:dyDescent="0.4">
      <c r="A20" s="55" t="s">
        <v>13</v>
      </c>
      <c r="B20" s="47">
        <v>26</v>
      </c>
      <c r="C20" s="39">
        <f>IF(B$3=0,0,B20/B$3)</f>
        <v>0.21311475409836064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174</v>
      </c>
      <c r="O20" s="127">
        <f>IF(P20=0,0,Q20/P20)</f>
        <v>-95.825000000000003</v>
      </c>
      <c r="P20" s="121">
        <v>4</v>
      </c>
      <c r="Q20" s="109">
        <v>-383.3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4</v>
      </c>
    </row>
    <row r="22" spans="1:17" x14ac:dyDescent="0.4">
      <c r="A22" s="55" t="s">
        <v>197</v>
      </c>
      <c r="B22" s="47">
        <v>19</v>
      </c>
      <c r="C22" s="137">
        <v>1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7314.8148148148148</v>
      </c>
      <c r="C23" s="41">
        <v>197500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-9950</v>
      </c>
      <c r="C24" s="45">
        <v>-258700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7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52200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1534B-2FDA-4844-93FF-8E9FBA8CD9B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23</v>
      </c>
      <c r="C2" s="149"/>
      <c r="E2" s="62" t="s">
        <v>68</v>
      </c>
      <c r="F2" s="59" t="s">
        <v>23</v>
      </c>
      <c r="G2" s="46">
        <v>29</v>
      </c>
      <c r="H2" s="134">
        <f>IF(B$17=0,0,G2/B$17)</f>
        <v>0.59183673469387754</v>
      </c>
      <c r="I2" s="95">
        <v>8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360.86956521739131</v>
      </c>
      <c r="P2" s="120">
        <v>23</v>
      </c>
      <c r="Q2" s="104">
        <v>8300</v>
      </c>
    </row>
    <row r="3" spans="1:17" x14ac:dyDescent="0.4">
      <c r="A3" s="55" t="s">
        <v>8</v>
      </c>
      <c r="B3" s="150">
        <v>203</v>
      </c>
      <c r="C3" s="151"/>
      <c r="E3" s="63" t="s">
        <v>74</v>
      </c>
      <c r="F3" s="60" t="s">
        <v>28</v>
      </c>
      <c r="G3" s="47">
        <v>29</v>
      </c>
      <c r="H3" s="135">
        <f>IF(B$17=0,0,G3/B$17)</f>
        <v>0.59183673469387754</v>
      </c>
      <c r="I3" s="96">
        <v>5</v>
      </c>
      <c r="K3" s="38">
        <v>1</v>
      </c>
      <c r="L3" s="101">
        <v>-51.2</v>
      </c>
      <c r="N3" s="117" t="s">
        <v>135</v>
      </c>
      <c r="O3" s="124">
        <f t="shared" si="0"/>
        <v>1539.1304347826087</v>
      </c>
      <c r="P3" s="121">
        <v>23</v>
      </c>
      <c r="Q3" s="105">
        <v>35400</v>
      </c>
    </row>
    <row r="4" spans="1:17" x14ac:dyDescent="0.4">
      <c r="A4" s="55" t="s">
        <v>6</v>
      </c>
      <c r="B4" s="152">
        <v>-55.699999999999989</v>
      </c>
      <c r="C4" s="153"/>
      <c r="E4" s="63" t="s">
        <v>66</v>
      </c>
      <c r="F4" s="60" t="s">
        <v>21</v>
      </c>
      <c r="G4" s="47">
        <v>23</v>
      </c>
      <c r="H4" s="135">
        <f>IF(B$17=0,0,G4/B$17)</f>
        <v>0.46938775510204084</v>
      </c>
      <c r="I4" s="96">
        <v>6</v>
      </c>
      <c r="K4" s="38">
        <v>2</v>
      </c>
      <c r="L4" s="101">
        <v>-93.300000000000011</v>
      </c>
      <c r="N4" s="117" t="s">
        <v>136</v>
      </c>
      <c r="O4" s="124">
        <f t="shared" si="0"/>
        <v>-168.18181818181819</v>
      </c>
      <c r="P4" s="121">
        <v>22</v>
      </c>
      <c r="Q4" s="105">
        <v>-3700</v>
      </c>
    </row>
    <row r="5" spans="1:17" x14ac:dyDescent="0.4">
      <c r="A5" s="55" t="s">
        <v>7</v>
      </c>
      <c r="B5" s="154">
        <f>IF(B$2=0,0,B$4/B$2)</f>
        <v>-2.4217391304347822</v>
      </c>
      <c r="C5" s="155"/>
      <c r="E5" s="63" t="s">
        <v>184</v>
      </c>
      <c r="F5" s="60" t="s">
        <v>185</v>
      </c>
      <c r="G5" s="47">
        <v>15</v>
      </c>
      <c r="H5" s="135">
        <f>IF(B$17=0,0,G5/B$17)</f>
        <v>0.30612244897959184</v>
      </c>
      <c r="I5" s="96">
        <v>6</v>
      </c>
      <c r="K5" s="38">
        <v>3</v>
      </c>
      <c r="L5" s="101">
        <v>-60.100000000000009</v>
      </c>
      <c r="N5" s="117" t="s">
        <v>137</v>
      </c>
      <c r="O5" s="124">
        <f t="shared" si="0"/>
        <v>-3919.0476190476193</v>
      </c>
      <c r="P5" s="121">
        <v>21</v>
      </c>
      <c r="Q5" s="105">
        <v>-82300</v>
      </c>
    </row>
    <row r="6" spans="1:17" x14ac:dyDescent="0.4">
      <c r="A6" s="55" t="s">
        <v>1</v>
      </c>
      <c r="B6" s="144">
        <f>IF(B$2=0,0,(B$7*1+B$8*2+B$9*3)/B$2)</f>
        <v>2.0434782608695654</v>
      </c>
      <c r="C6" s="145"/>
      <c r="E6" s="63" t="s">
        <v>71</v>
      </c>
      <c r="F6" s="60" t="s">
        <v>25</v>
      </c>
      <c r="G6" s="47">
        <v>11</v>
      </c>
      <c r="H6" s="135">
        <f>IF(B$17=0,0,G6/B$17)</f>
        <v>0.22448979591836735</v>
      </c>
      <c r="I6" s="96">
        <v>2</v>
      </c>
      <c r="K6" s="38">
        <v>4</v>
      </c>
      <c r="L6" s="101">
        <v>-11.300000000000011</v>
      </c>
      <c r="N6" s="117" t="s">
        <v>138</v>
      </c>
      <c r="O6" s="124">
        <f t="shared" si="0"/>
        <v>215.78947368421052</v>
      </c>
      <c r="P6" s="121">
        <v>19</v>
      </c>
      <c r="Q6" s="105">
        <v>4100</v>
      </c>
    </row>
    <row r="7" spans="1:17" x14ac:dyDescent="0.4">
      <c r="A7" s="55" t="s">
        <v>2</v>
      </c>
      <c r="B7" s="47">
        <v>7</v>
      </c>
      <c r="C7" s="39">
        <f>IF(B$2=0,0,B7/B$2)</f>
        <v>0.30434782608695654</v>
      </c>
      <c r="E7" s="63" t="s">
        <v>70</v>
      </c>
      <c r="F7" s="60" t="s">
        <v>12</v>
      </c>
      <c r="G7" s="47">
        <v>9</v>
      </c>
      <c r="H7" s="135">
        <f>IF(B$17=0,0,G7/B$17)</f>
        <v>0.18367346938775511</v>
      </c>
      <c r="I7" s="96">
        <v>9</v>
      </c>
      <c r="K7" s="38">
        <v>5</v>
      </c>
      <c r="L7" s="101">
        <v>-36.100000000000009</v>
      </c>
      <c r="N7" s="118" t="s">
        <v>139</v>
      </c>
      <c r="O7" s="125">
        <f t="shared" si="0"/>
        <v>617.64705882352939</v>
      </c>
      <c r="P7" s="122">
        <v>17</v>
      </c>
      <c r="Q7" s="106">
        <v>10500</v>
      </c>
    </row>
    <row r="8" spans="1:17" x14ac:dyDescent="0.4">
      <c r="A8" s="55" t="s">
        <v>3</v>
      </c>
      <c r="B8" s="47">
        <v>8</v>
      </c>
      <c r="C8" s="39">
        <f>IF(B$2=0,0,B8/B$2)</f>
        <v>0.34782608695652173</v>
      </c>
      <c r="E8" s="63" t="s">
        <v>92</v>
      </c>
      <c r="F8" s="60" t="s">
        <v>46</v>
      </c>
      <c r="G8" s="47">
        <v>9</v>
      </c>
      <c r="H8" s="135">
        <f>IF(B$17=0,0,G8/B$17)</f>
        <v>0.18367346938775511</v>
      </c>
      <c r="I8" s="96">
        <v>4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0.34782608695652173</v>
      </c>
      <c r="E9" s="63" t="s">
        <v>69</v>
      </c>
      <c r="F9" s="60" t="s">
        <v>24</v>
      </c>
      <c r="G9" s="47">
        <v>8</v>
      </c>
      <c r="H9" s="135">
        <f>IF(B$17=0,0,G9/B$17)</f>
        <v>0.16326530612244897</v>
      </c>
      <c r="I9" s="96">
        <v>7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4.3478260869565216E-2</v>
      </c>
      <c r="E10" s="63" t="s">
        <v>67</v>
      </c>
      <c r="F10" s="60" t="s">
        <v>22</v>
      </c>
      <c r="G10" s="47">
        <v>6</v>
      </c>
      <c r="H10" s="135">
        <f>IF(B$17=0,0,G10/B$17)</f>
        <v>0.12244897959183673</v>
      </c>
      <c r="I10" s="96">
        <v>3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8.6956521739130432E-2</v>
      </c>
      <c r="E11" s="63" t="s">
        <v>72</v>
      </c>
      <c r="F11" s="60" t="s">
        <v>26</v>
      </c>
      <c r="G11" s="47">
        <v>6</v>
      </c>
      <c r="H11" s="135">
        <f>IF(B$17=0,0,G11/B$17)</f>
        <v>0.12244897959183673</v>
      </c>
      <c r="I11" s="96">
        <v>4</v>
      </c>
      <c r="K11" s="38">
        <v>9</v>
      </c>
      <c r="L11" s="101">
        <v>-5.8000000000000025</v>
      </c>
      <c r="N11" s="117" t="s">
        <v>168</v>
      </c>
      <c r="O11" s="127">
        <f>IF(P11=0,0,Q11/P11)</f>
        <v>-0.39999999999999974</v>
      </c>
      <c r="P11" s="121">
        <v>6</v>
      </c>
      <c r="Q11" s="109">
        <v>-2.3999999999999986</v>
      </c>
    </row>
    <row r="12" spans="1:17" x14ac:dyDescent="0.4">
      <c r="A12" s="57" t="s">
        <v>162</v>
      </c>
      <c r="B12" s="49">
        <v>2</v>
      </c>
      <c r="C12" s="42">
        <f>IF(B$2=0,0,B12/B$2)</f>
        <v>8.6956521739130432E-2</v>
      </c>
      <c r="E12" s="63" t="s">
        <v>73</v>
      </c>
      <c r="F12" s="60" t="s">
        <v>27</v>
      </c>
      <c r="G12" s="47">
        <v>5</v>
      </c>
      <c r="H12" s="135">
        <f>IF(B$17=0,0,G12/B$17)</f>
        <v>0.10204081632653061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-6.1899999999999995</v>
      </c>
      <c r="P12" s="122">
        <v>10</v>
      </c>
      <c r="Q12" s="110">
        <v>-61.9</v>
      </c>
    </row>
    <row r="13" spans="1:17" x14ac:dyDescent="0.4">
      <c r="A13" s="58" t="s">
        <v>124</v>
      </c>
      <c r="B13" s="50">
        <v>50</v>
      </c>
      <c r="C13" s="44">
        <f>IF(B$3=0,0,B13/B$3)</f>
        <v>0.24630541871921183</v>
      </c>
      <c r="E13" s="63" t="s">
        <v>86</v>
      </c>
      <c r="F13" s="60" t="s">
        <v>40</v>
      </c>
      <c r="G13" s="47">
        <v>4</v>
      </c>
      <c r="H13" s="135">
        <f>IF(B$17=0,0,G13/B$17)</f>
        <v>8.1632653061224483E-2</v>
      </c>
      <c r="I13" s="96">
        <v>1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40</v>
      </c>
      <c r="C14" s="39">
        <f>IF(B$3=0,0,B14/B$3)</f>
        <v>0.19704433497536947</v>
      </c>
      <c r="E14" s="63" t="s">
        <v>89</v>
      </c>
      <c r="F14" s="60" t="s">
        <v>43</v>
      </c>
      <c r="G14" s="47">
        <v>3</v>
      </c>
      <c r="H14" s="135">
        <f>IF(B$17=0,0,G14/B$17)</f>
        <v>6.1224489795918366E-2</v>
      </c>
      <c r="I14" s="96">
        <v>4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24</v>
      </c>
      <c r="C15" s="37">
        <f>IF(B$13=0,0,B15/B$13)</f>
        <v>0.48</v>
      </c>
      <c r="E15" s="63" t="s">
        <v>77</v>
      </c>
      <c r="F15" s="60" t="s">
        <v>31</v>
      </c>
      <c r="G15" s="47">
        <v>1</v>
      </c>
      <c r="H15" s="135">
        <f>IF(B$17=0,0,G15/B$17)</f>
        <v>2.0408163265306121E-2</v>
      </c>
      <c r="I15" s="96">
        <v>2</v>
      </c>
      <c r="K15" s="38">
        <v>13</v>
      </c>
      <c r="L15" s="101">
        <v>-58.7</v>
      </c>
      <c r="N15" s="116" t="s">
        <v>131</v>
      </c>
      <c r="O15" s="126">
        <f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14</v>
      </c>
      <c r="C16" s="37">
        <f>IF(B$14=0,0,B16/B$14)</f>
        <v>0.35</v>
      </c>
      <c r="E16" s="63" t="s">
        <v>80</v>
      </c>
      <c r="F16" s="60" t="s">
        <v>34</v>
      </c>
      <c r="G16" s="47">
        <v>1</v>
      </c>
      <c r="H16" s="135">
        <f>IF(B$17=0,0,G16/B$17)</f>
        <v>2.0408163265306121E-2</v>
      </c>
      <c r="I16" s="96">
        <v>3</v>
      </c>
      <c r="K16" s="38">
        <v>14</v>
      </c>
      <c r="L16" s="101">
        <v>-29.400000000000002</v>
      </c>
      <c r="N16" s="117" t="s">
        <v>180</v>
      </c>
      <c r="O16" s="127">
        <f>IF(P16=0,0,Q16/P16)</f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49</v>
      </c>
      <c r="C17" s="37">
        <f>IF(B$3=0,0,B17/B$3)</f>
        <v>0.2413793103448276</v>
      </c>
      <c r="E17" s="63" t="s">
        <v>84</v>
      </c>
      <c r="F17" s="60" t="s">
        <v>38</v>
      </c>
      <c r="G17" s="47">
        <v>1</v>
      </c>
      <c r="H17" s="135">
        <f>IF(B$17=0,0,G17/B$17)</f>
        <v>2.0408163265306121E-2</v>
      </c>
      <c r="I17" s="96">
        <v>6</v>
      </c>
      <c r="K17" s="38">
        <v>15</v>
      </c>
      <c r="L17" s="101">
        <v>-26.3</v>
      </c>
      <c r="N17" s="117" t="s">
        <v>189</v>
      </c>
      <c r="O17" s="127">
        <f>IF(P17=0,0,Q17/P17)</f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16</v>
      </c>
      <c r="C18" s="39">
        <f>IF(B$17=0,0,B18/B$17)</f>
        <v>0.32653061224489793</v>
      </c>
      <c r="E18" s="63" t="s">
        <v>95</v>
      </c>
      <c r="F18" s="60" t="s">
        <v>49</v>
      </c>
      <c r="G18" s="47">
        <v>1</v>
      </c>
      <c r="H18" s="135">
        <f>IF(B$17=0,0,G18/B$17)</f>
        <v>2.0408163265306121E-2</v>
      </c>
      <c r="I18" s="96">
        <v>1</v>
      </c>
      <c r="K18" s="38">
        <v>16</v>
      </c>
      <c r="L18" s="101">
        <v>-50.3</v>
      </c>
      <c r="N18" s="117" t="s">
        <v>176</v>
      </c>
      <c r="O18" s="127">
        <f>IF(P18=0,0,Q18/P18)</f>
        <v>24.087499999999999</v>
      </c>
      <c r="P18" s="121">
        <v>8</v>
      </c>
      <c r="Q18" s="109">
        <v>192.7</v>
      </c>
    </row>
    <row r="19" spans="1:17" x14ac:dyDescent="0.4">
      <c r="A19" s="55" t="s">
        <v>11</v>
      </c>
      <c r="B19" s="47">
        <v>33</v>
      </c>
      <c r="C19" s="39">
        <f>IF(B$17=0,0,B19/B$17)</f>
        <v>0.67346938775510201</v>
      </c>
      <c r="E19" s="63" t="s">
        <v>75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-74.3</v>
      </c>
      <c r="N19" s="117" t="s">
        <v>175</v>
      </c>
      <c r="O19" s="127">
        <f>IF(P19=0,0,Q19/P19)</f>
        <v>2.7999999999999976</v>
      </c>
      <c r="P19" s="121">
        <v>6</v>
      </c>
      <c r="Q19" s="109">
        <v>16.799999999999986</v>
      </c>
    </row>
    <row r="20" spans="1:17" x14ac:dyDescent="0.4">
      <c r="A20" s="55" t="s">
        <v>13</v>
      </c>
      <c r="B20" s="47">
        <v>33</v>
      </c>
      <c r="C20" s="39">
        <f>IF(B$3=0,0,B20/B$3)</f>
        <v>0.1625615763546798</v>
      </c>
      <c r="E20" s="63" t="s">
        <v>76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-76.099999999999994</v>
      </c>
      <c r="N20" s="117" t="s">
        <v>130</v>
      </c>
      <c r="O20" s="127">
        <f>IF(P20=0,0,Q20/P20)</f>
        <v>-27.800000000000008</v>
      </c>
      <c r="P20" s="121">
        <v>12</v>
      </c>
      <c r="Q20" s="109">
        <v>-333.60000000000008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78</v>
      </c>
      <c r="F21" s="60" t="s">
        <v>32</v>
      </c>
      <c r="G21" s="47">
        <v>0</v>
      </c>
      <c r="H21" s="135">
        <f>IF(B$17=0,0,G21/B$17)</f>
        <v>0</v>
      </c>
      <c r="I21" s="96">
        <v>1</v>
      </c>
      <c r="K21" s="38">
        <v>19</v>
      </c>
      <c r="L21" s="101">
        <v>0.60000000000000853</v>
      </c>
      <c r="N21" s="117" t="s">
        <v>129</v>
      </c>
      <c r="O21" s="127">
        <f>IF(P21=0,0,Q21/P21)</f>
        <v>-39.400000000000006</v>
      </c>
      <c r="P21" s="121">
        <v>13</v>
      </c>
      <c r="Q21" s="109">
        <v>-512.20000000000005</v>
      </c>
    </row>
    <row r="22" spans="1:17" x14ac:dyDescent="0.4">
      <c r="A22" s="55" t="s">
        <v>197</v>
      </c>
      <c r="B22" s="47">
        <v>20</v>
      </c>
      <c r="C22" s="137">
        <v>0</v>
      </c>
      <c r="E22" s="63" t="s">
        <v>79</v>
      </c>
      <c r="F22" s="60" t="s">
        <v>33</v>
      </c>
      <c r="G22" s="47">
        <v>0</v>
      </c>
      <c r="H22" s="135">
        <f>IF(B$17=0,0,G22/B$17)</f>
        <v>0</v>
      </c>
      <c r="I22" s="96">
        <v>3</v>
      </c>
      <c r="K22" s="38">
        <v>20</v>
      </c>
      <c r="L22" s="101">
        <v>-3.5999999999999917</v>
      </c>
    </row>
    <row r="23" spans="1:17" x14ac:dyDescent="0.4">
      <c r="A23" s="55" t="s">
        <v>5</v>
      </c>
      <c r="B23" s="51">
        <f>IF(B$17=0,0,C23/B$17)</f>
        <v>7983.6734693877552</v>
      </c>
      <c r="C23" s="41">
        <v>391200</v>
      </c>
      <c r="E23" s="63" t="s">
        <v>81</v>
      </c>
      <c r="F23" s="60" t="s">
        <v>35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-7372.727272727273</v>
      </c>
      <c r="C24" s="45">
        <v>-243300</v>
      </c>
      <c r="E24" s="63" t="s">
        <v>82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2">
        <v>4</v>
      </c>
      <c r="C25" s="143"/>
      <c r="E25" s="63" t="s">
        <v>83</v>
      </c>
      <c r="F25" s="60" t="s">
        <v>37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0">
        <v>91700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4.9261083743842365E-3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5">
        <f>IF(B$17=0,0,G32/B$17)</f>
        <v>0</v>
      </c>
      <c r="I32" s="96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08EE-D9E8-4624-9CE2-F8FFBAB72DF4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175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8</v>
      </c>
      <c r="C2" s="149"/>
      <c r="E2" s="62" t="s">
        <v>74</v>
      </c>
      <c r="F2" s="59" t="s">
        <v>28</v>
      </c>
      <c r="G2" s="46">
        <v>12</v>
      </c>
      <c r="H2" s="134">
        <f>IF(B$17=0,0,G2/B$17)</f>
        <v>0.70588235294117652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1237.5</v>
      </c>
      <c r="P2" s="120">
        <v>8</v>
      </c>
      <c r="Q2" s="104">
        <v>9900</v>
      </c>
    </row>
    <row r="3" spans="1:17" x14ac:dyDescent="0.4">
      <c r="A3" s="55" t="s">
        <v>8</v>
      </c>
      <c r="B3" s="150">
        <v>61</v>
      </c>
      <c r="C3" s="151"/>
      <c r="E3" s="63" t="s">
        <v>184</v>
      </c>
      <c r="F3" s="60" t="s">
        <v>185</v>
      </c>
      <c r="G3" s="47">
        <v>8</v>
      </c>
      <c r="H3" s="135">
        <f>IF(B$17=0,0,G3/B$17)</f>
        <v>0.47058823529411764</v>
      </c>
      <c r="I3" s="96">
        <v>1</v>
      </c>
      <c r="K3" s="38">
        <v>1</v>
      </c>
      <c r="L3" s="101">
        <v>11.1</v>
      </c>
      <c r="N3" s="117" t="s">
        <v>135</v>
      </c>
      <c r="O3" s="124">
        <f t="shared" si="0"/>
        <v>1362.5</v>
      </c>
      <c r="P3" s="121">
        <v>8</v>
      </c>
      <c r="Q3" s="105">
        <v>10900</v>
      </c>
    </row>
    <row r="4" spans="1:17" x14ac:dyDescent="0.4">
      <c r="A4" s="55" t="s">
        <v>6</v>
      </c>
      <c r="B4" s="152">
        <v>-29.5</v>
      </c>
      <c r="C4" s="153"/>
      <c r="E4" s="63" t="s">
        <v>66</v>
      </c>
      <c r="F4" s="60" t="s">
        <v>21</v>
      </c>
      <c r="G4" s="47">
        <v>7</v>
      </c>
      <c r="H4" s="135">
        <f>IF(B$17=0,0,G4/B$17)</f>
        <v>0.41176470588235292</v>
      </c>
      <c r="I4" s="96">
        <v>9</v>
      </c>
      <c r="K4" s="38">
        <v>2</v>
      </c>
      <c r="L4" s="101">
        <v>-7.7000000000000011</v>
      </c>
      <c r="N4" s="117" t="s">
        <v>136</v>
      </c>
      <c r="O4" s="124">
        <f t="shared" si="0"/>
        <v>-1257.1428571428571</v>
      </c>
      <c r="P4" s="121">
        <v>7</v>
      </c>
      <c r="Q4" s="105">
        <v>-8800</v>
      </c>
    </row>
    <row r="5" spans="1:17" x14ac:dyDescent="0.4">
      <c r="A5" s="55" t="s">
        <v>7</v>
      </c>
      <c r="B5" s="154">
        <f>IF(B$2=0,0,B$4/B$2)</f>
        <v>-3.6875</v>
      </c>
      <c r="C5" s="155"/>
      <c r="E5" s="63" t="s">
        <v>68</v>
      </c>
      <c r="F5" s="60" t="s">
        <v>23</v>
      </c>
      <c r="G5" s="47">
        <v>7</v>
      </c>
      <c r="H5" s="135">
        <f>IF(B$17=0,0,G5/B$17)</f>
        <v>0.41176470588235292</v>
      </c>
      <c r="I5" s="96">
        <v>10</v>
      </c>
      <c r="K5" s="38">
        <v>3</v>
      </c>
      <c r="L5" s="101">
        <v>1.7999999999999989</v>
      </c>
      <c r="N5" s="117" t="s">
        <v>137</v>
      </c>
      <c r="O5" s="124">
        <f t="shared" si="0"/>
        <v>2914.2857142857142</v>
      </c>
      <c r="P5" s="121">
        <v>7</v>
      </c>
      <c r="Q5" s="105">
        <v>20400</v>
      </c>
    </row>
    <row r="6" spans="1:17" x14ac:dyDescent="0.4">
      <c r="A6" s="55" t="s">
        <v>1</v>
      </c>
      <c r="B6" s="144">
        <f>IF(B$2=0,0,(B$7*1+B$8*2+B$9*3)/B$2)</f>
        <v>2.125</v>
      </c>
      <c r="C6" s="145"/>
      <c r="E6" s="63" t="s">
        <v>69</v>
      </c>
      <c r="F6" s="60" t="s">
        <v>24</v>
      </c>
      <c r="G6" s="47">
        <v>5</v>
      </c>
      <c r="H6" s="135">
        <f>IF(B$17=0,0,G6/B$17)</f>
        <v>0.29411764705882354</v>
      </c>
      <c r="I6" s="96">
        <v>4</v>
      </c>
      <c r="K6" s="38">
        <v>4</v>
      </c>
      <c r="L6" s="101">
        <v>34.9</v>
      </c>
      <c r="N6" s="117" t="s">
        <v>138</v>
      </c>
      <c r="O6" s="124">
        <f t="shared" si="0"/>
        <v>-4257.1428571428569</v>
      </c>
      <c r="P6" s="121">
        <v>7</v>
      </c>
      <c r="Q6" s="105">
        <v>-29800</v>
      </c>
    </row>
    <row r="7" spans="1:17" x14ac:dyDescent="0.4">
      <c r="A7" s="55" t="s">
        <v>2</v>
      </c>
      <c r="B7" s="47">
        <v>1</v>
      </c>
      <c r="C7" s="39">
        <f>IF(B$2=0,0,B7/B$2)</f>
        <v>0.125</v>
      </c>
      <c r="E7" s="63" t="s">
        <v>70</v>
      </c>
      <c r="F7" s="60" t="s">
        <v>12</v>
      </c>
      <c r="G7" s="47">
        <v>3</v>
      </c>
      <c r="H7" s="135">
        <f>IF(B$17=0,0,G7/B$17)</f>
        <v>0.17647058823529413</v>
      </c>
      <c r="I7" s="96">
        <v>10</v>
      </c>
      <c r="K7" s="38">
        <v>5</v>
      </c>
      <c r="L7" s="101">
        <v>29.4</v>
      </c>
      <c r="N7" s="118" t="s">
        <v>139</v>
      </c>
      <c r="O7" s="125">
        <f t="shared" si="0"/>
        <v>-2516.6666666666665</v>
      </c>
      <c r="P7" s="122">
        <v>6</v>
      </c>
      <c r="Q7" s="106">
        <v>-15100</v>
      </c>
    </row>
    <row r="8" spans="1:17" x14ac:dyDescent="0.4">
      <c r="A8" s="55" t="s">
        <v>3</v>
      </c>
      <c r="B8" s="47">
        <v>5</v>
      </c>
      <c r="C8" s="39">
        <f>IF(B$2=0,0,B8/B$2)</f>
        <v>0.625</v>
      </c>
      <c r="E8" s="63" t="s">
        <v>67</v>
      </c>
      <c r="F8" s="60" t="s">
        <v>22</v>
      </c>
      <c r="G8" s="47">
        <v>2</v>
      </c>
      <c r="H8" s="135">
        <f>IF(B$17=0,0,G8/B$17)</f>
        <v>0.11764705882352941</v>
      </c>
      <c r="I8" s="96">
        <v>4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2</v>
      </c>
      <c r="C9" s="40">
        <f t="shared" ref="C9" si="1">IF(B$2=0,0,B9/B$2)</f>
        <v>0.25</v>
      </c>
      <c r="E9" s="63" t="s">
        <v>92</v>
      </c>
      <c r="F9" s="60" t="s">
        <v>46</v>
      </c>
      <c r="G9" s="47">
        <v>2</v>
      </c>
      <c r="H9" s="135">
        <f>IF(B$17=0,0,G9/B$17)</f>
        <v>0.11764705882352941</v>
      </c>
      <c r="I9" s="96">
        <v>8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5">
        <f>IF(B$17=0,0,G10/B$17)</f>
        <v>5.8823529411764705E-2</v>
      </c>
      <c r="I10" s="96">
        <v>10</v>
      </c>
      <c r="K10" s="38">
        <v>8</v>
      </c>
      <c r="L10" s="101">
        <v>-29.5</v>
      </c>
      <c r="N10" s="116" t="s">
        <v>167</v>
      </c>
      <c r="O10" s="126">
        <f>IF(P10=0,0,Q10/P10)</f>
        <v>-37.299999999999997</v>
      </c>
      <c r="P10" s="120">
        <v>1</v>
      </c>
      <c r="Q10" s="108">
        <v>-37.299999999999997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5">
        <f>IF(B$17=0,0,G11/B$17)</f>
        <v>5.8823529411764705E-2</v>
      </c>
      <c r="I11" s="96">
        <v>2</v>
      </c>
      <c r="N11" s="117" t="s">
        <v>168</v>
      </c>
      <c r="O11" s="127">
        <f>IF(P11=0,0,Q11/P11)</f>
        <v>8.0333333333333332</v>
      </c>
      <c r="P11" s="121">
        <v>3</v>
      </c>
      <c r="Q11" s="109">
        <v>24.1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5">
        <f>IF(B$17=0,0,G12/B$17)</f>
        <v>5.8823529411764705E-2</v>
      </c>
      <c r="I12" s="96">
        <v>3</v>
      </c>
      <c r="N12" s="118" t="s">
        <v>169</v>
      </c>
      <c r="O12" s="128">
        <f>IF(P12=0,0,Q12/P12)</f>
        <v>-4.0750000000000002</v>
      </c>
      <c r="P12" s="122">
        <v>4</v>
      </c>
      <c r="Q12" s="110">
        <v>-16.3</v>
      </c>
    </row>
    <row r="13" spans="1:17" x14ac:dyDescent="0.4">
      <c r="A13" s="58" t="s">
        <v>124</v>
      </c>
      <c r="B13" s="50">
        <v>11</v>
      </c>
      <c r="C13" s="44">
        <f>IF(B$3=0,0,B13/B$3)</f>
        <v>0.18032786885245902</v>
      </c>
      <c r="E13" s="63" t="s">
        <v>89</v>
      </c>
      <c r="F13" s="60" t="s">
        <v>43</v>
      </c>
      <c r="G13" s="47">
        <v>1</v>
      </c>
      <c r="H13" s="135">
        <f>IF(B$17=0,0,G13/B$17)</f>
        <v>5.8823529411764705E-2</v>
      </c>
      <c r="I13" s="96">
        <v>6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21</v>
      </c>
      <c r="C14" s="39">
        <f>IF(B$3=0,0,B14/B$3)</f>
        <v>0.34426229508196721</v>
      </c>
      <c r="E14" s="63" t="s">
        <v>72</v>
      </c>
      <c r="F14" s="60" t="s">
        <v>26</v>
      </c>
      <c r="G14" s="47">
        <v>0</v>
      </c>
      <c r="H14" s="135">
        <f>IF(B$17=0,0,G14/B$17)</f>
        <v>0</v>
      </c>
      <c r="I14" s="96">
        <v>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7</v>
      </c>
      <c r="C15" s="37">
        <f>IF(B$13=0,0,B15/B$13)</f>
        <v>0.63636363636363635</v>
      </c>
      <c r="E15" s="63" t="s">
        <v>73</v>
      </c>
      <c r="F15" s="60" t="s">
        <v>27</v>
      </c>
      <c r="G15" s="47">
        <v>0</v>
      </c>
      <c r="H15" s="135">
        <f>IF(B$17=0,0,G15/B$17)</f>
        <v>0</v>
      </c>
      <c r="I15" s="96">
        <v>8</v>
      </c>
      <c r="N15" s="116" t="s">
        <v>131</v>
      </c>
      <c r="O15" s="126">
        <f>IF(P15=0,0,Q15/P15)</f>
        <v>67.8</v>
      </c>
      <c r="P15" s="120">
        <v>1</v>
      </c>
      <c r="Q15" s="108">
        <v>67.8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N16" s="117" t="s">
        <v>176</v>
      </c>
      <c r="O16" s="127">
        <f>IF(P16=0,0,Q16/P16)</f>
        <v>5.9</v>
      </c>
      <c r="P16" s="121">
        <v>2</v>
      </c>
      <c r="Q16" s="109">
        <v>11.8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0.27868852459016391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N17" s="117" t="s">
        <v>174</v>
      </c>
      <c r="O17" s="127">
        <f>IF(P17=0,0,Q17/P17)</f>
        <v>-2.8000000000000003</v>
      </c>
      <c r="P17" s="121">
        <v>6</v>
      </c>
      <c r="Q17" s="109">
        <v>-16.8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N18" s="117" t="s">
        <v>129</v>
      </c>
      <c r="O18" s="127">
        <f>IF(P18=0,0,Q18/P18)</f>
        <v>-13.3</v>
      </c>
      <c r="P18" s="121">
        <v>4</v>
      </c>
      <c r="Q18" s="109">
        <v>-53.2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130</v>
      </c>
      <c r="O19" s="127">
        <f>IF(P19=0,0,Q19/P19)</f>
        <v>-32.700000000000003</v>
      </c>
      <c r="P19" s="121">
        <v>3</v>
      </c>
      <c r="Q19" s="109">
        <v>-98.100000000000009</v>
      </c>
    </row>
    <row r="20" spans="1:17" x14ac:dyDescent="0.4">
      <c r="A20" s="55" t="s">
        <v>13</v>
      </c>
      <c r="B20" s="47">
        <v>10</v>
      </c>
      <c r="C20" s="39">
        <f>IF(B$3=0,0,B20/B$3)</f>
        <v>0.16393442622950818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</row>
    <row r="21" spans="1:17" x14ac:dyDescent="0.4">
      <c r="A21" s="55" t="s">
        <v>196</v>
      </c>
      <c r="B21" s="47">
        <v>3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197</v>
      </c>
      <c r="B22" s="47">
        <v>16</v>
      </c>
      <c r="C22" s="137">
        <v>5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4</v>
      </c>
    </row>
    <row r="23" spans="1:17" x14ac:dyDescent="0.4">
      <c r="A23" s="55" t="s">
        <v>5</v>
      </c>
      <c r="B23" s="51">
        <f>IF(B$17=0,0,C23/B$17)</f>
        <v>5858.8235294117649</v>
      </c>
      <c r="C23" s="41">
        <v>99600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-7190</v>
      </c>
      <c r="C24" s="45">
        <v>-71900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48100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E5CA7-1230-4F75-BDD7-8FBBB24A3A77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176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25</v>
      </c>
      <c r="H2" s="134">
        <f>IF(B$17=0,0,G2/B$17)</f>
        <v>0.78125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-3433.3333333333335</v>
      </c>
      <c r="P2" s="120">
        <v>12</v>
      </c>
      <c r="Q2" s="104">
        <v>-41200</v>
      </c>
    </row>
    <row r="3" spans="1:17" x14ac:dyDescent="0.4">
      <c r="A3" s="55" t="s">
        <v>8</v>
      </c>
      <c r="B3" s="150">
        <v>113</v>
      </c>
      <c r="C3" s="151"/>
      <c r="E3" s="63" t="s">
        <v>74</v>
      </c>
      <c r="F3" s="60" t="s">
        <v>28</v>
      </c>
      <c r="G3" s="47">
        <v>15</v>
      </c>
      <c r="H3" s="135">
        <f>IF(B$17=0,0,G3/B$17)</f>
        <v>0.46875</v>
      </c>
      <c r="I3" s="96">
        <v>8</v>
      </c>
      <c r="K3" s="38">
        <v>1</v>
      </c>
      <c r="L3" s="101">
        <v>-82.6</v>
      </c>
      <c r="N3" s="117" t="s">
        <v>135</v>
      </c>
      <c r="O3" s="124">
        <f t="shared" si="0"/>
        <v>-3808.3333333333335</v>
      </c>
      <c r="P3" s="121">
        <v>12</v>
      </c>
      <c r="Q3" s="105">
        <v>-45700</v>
      </c>
    </row>
    <row r="4" spans="1:17" x14ac:dyDescent="0.4">
      <c r="A4" s="55" t="s">
        <v>6</v>
      </c>
      <c r="B4" s="152">
        <v>-289.59999999999997</v>
      </c>
      <c r="C4" s="153"/>
      <c r="E4" s="63" t="s">
        <v>70</v>
      </c>
      <c r="F4" s="60" t="s">
        <v>12</v>
      </c>
      <c r="G4" s="47">
        <v>12</v>
      </c>
      <c r="H4" s="135">
        <f>IF(B$17=0,0,G4/B$17)</f>
        <v>0.375</v>
      </c>
      <c r="I4" s="96">
        <v>1</v>
      </c>
      <c r="K4" s="38">
        <v>2</v>
      </c>
      <c r="L4" s="101">
        <v>-122.3</v>
      </c>
      <c r="N4" s="117" t="s">
        <v>136</v>
      </c>
      <c r="O4" s="124">
        <f t="shared" si="0"/>
        <v>272.72727272727275</v>
      </c>
      <c r="P4" s="121">
        <v>11</v>
      </c>
      <c r="Q4" s="105">
        <v>3000</v>
      </c>
    </row>
    <row r="5" spans="1:17" x14ac:dyDescent="0.4">
      <c r="A5" s="55" t="s">
        <v>7</v>
      </c>
      <c r="B5" s="154">
        <f>IF(B$2=0,0,B$4/B$2)</f>
        <v>-24.133333333333329</v>
      </c>
      <c r="C5" s="155"/>
      <c r="E5" s="63" t="s">
        <v>66</v>
      </c>
      <c r="F5" s="60" t="s">
        <v>21</v>
      </c>
      <c r="G5" s="47">
        <v>9</v>
      </c>
      <c r="H5" s="135">
        <f>IF(B$17=0,0,G5/B$17)</f>
        <v>0.28125</v>
      </c>
      <c r="I5" s="96">
        <v>10</v>
      </c>
      <c r="K5" s="38">
        <v>3</v>
      </c>
      <c r="L5" s="101">
        <v>-149</v>
      </c>
      <c r="N5" s="117" t="s">
        <v>137</v>
      </c>
      <c r="O5" s="124">
        <f t="shared" si="0"/>
        <v>-6430</v>
      </c>
      <c r="P5" s="121">
        <v>10</v>
      </c>
      <c r="Q5" s="105">
        <v>-64300</v>
      </c>
    </row>
    <row r="6" spans="1:17" x14ac:dyDescent="0.4">
      <c r="A6" s="55" t="s">
        <v>1</v>
      </c>
      <c r="B6" s="144">
        <f>IF(B$2=0,0,(B$7*1+B$8*2+B$9*3)/B$2)</f>
        <v>2.4166666666666665</v>
      </c>
      <c r="C6" s="145"/>
      <c r="E6" s="63" t="s">
        <v>184</v>
      </c>
      <c r="F6" s="60" t="s">
        <v>185</v>
      </c>
      <c r="G6" s="47">
        <v>7</v>
      </c>
      <c r="H6" s="135">
        <f>IF(B$17=0,0,G6/B$17)</f>
        <v>0.21875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0"/>
        <v>-3900</v>
      </c>
      <c r="P6" s="121">
        <v>9</v>
      </c>
      <c r="Q6" s="105">
        <v>-35100</v>
      </c>
    </row>
    <row r="7" spans="1:17" x14ac:dyDescent="0.4">
      <c r="A7" s="55" t="s">
        <v>2</v>
      </c>
      <c r="B7" s="47">
        <v>1</v>
      </c>
      <c r="C7" s="39">
        <f>IF(B$2=0,0,B7/B$2)</f>
        <v>8.3333333333333329E-2</v>
      </c>
      <c r="E7" s="63" t="s">
        <v>92</v>
      </c>
      <c r="F7" s="60" t="s">
        <v>46</v>
      </c>
      <c r="G7" s="47">
        <v>5</v>
      </c>
      <c r="H7" s="135">
        <f>IF(B$17=0,0,G7/B$17)</f>
        <v>0.15625</v>
      </c>
      <c r="I7" s="96">
        <v>5</v>
      </c>
      <c r="K7" s="38">
        <v>5</v>
      </c>
      <c r="L7" s="101">
        <v>-184.89999999999998</v>
      </c>
      <c r="N7" s="118" t="s">
        <v>139</v>
      </c>
      <c r="O7" s="125">
        <f t="shared" si="0"/>
        <v>-787.5</v>
      </c>
      <c r="P7" s="122">
        <v>8</v>
      </c>
      <c r="Q7" s="106">
        <v>-6300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72</v>
      </c>
      <c r="F8" s="60" t="s">
        <v>26</v>
      </c>
      <c r="G8" s="47">
        <v>4</v>
      </c>
      <c r="H8" s="135">
        <f>IF(B$17=0,0,G8/B$17)</f>
        <v>0.125</v>
      </c>
      <c r="I8" s="96">
        <v>3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71</v>
      </c>
      <c r="F9" s="60" t="s">
        <v>25</v>
      </c>
      <c r="G9" s="47">
        <v>3</v>
      </c>
      <c r="H9" s="135">
        <f>IF(B$17=0,0,G9/B$17)</f>
        <v>9.375E-2</v>
      </c>
      <c r="I9" s="96">
        <v>9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27</v>
      </c>
      <c r="G10" s="47">
        <v>3</v>
      </c>
      <c r="H10" s="135">
        <f>IF(B$17=0,0,G10/B$17)</f>
        <v>9.375E-2</v>
      </c>
      <c r="I10" s="96">
        <v>4</v>
      </c>
      <c r="K10" s="38">
        <v>8</v>
      </c>
      <c r="L10" s="101">
        <v>-219.59999999999997</v>
      </c>
      <c r="N10" s="116" t="s">
        <v>167</v>
      </c>
      <c r="O10" s="126">
        <f>IF(P10=0,0,Q10/P10)</f>
        <v>-9.8500000000000014</v>
      </c>
      <c r="P10" s="120">
        <v>4</v>
      </c>
      <c r="Q10" s="108">
        <v>-39.400000000000006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5">
        <f>IF(B$17=0,0,G11/B$17)</f>
        <v>6.25E-2</v>
      </c>
      <c r="I11" s="96">
        <v>9</v>
      </c>
      <c r="K11" s="38">
        <v>9</v>
      </c>
      <c r="L11" s="101">
        <v>-260.59999999999997</v>
      </c>
      <c r="N11" s="117" t="s">
        <v>168</v>
      </c>
      <c r="O11" s="127">
        <f>IF(P11=0,0,Q11/P11)</f>
        <v>-27.349999999999998</v>
      </c>
      <c r="P11" s="121">
        <v>6</v>
      </c>
      <c r="Q11" s="109">
        <v>-164.1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5">
        <f>IF(B$17=0,0,G12/B$17)</f>
        <v>6.25E-2</v>
      </c>
      <c r="I12" s="96">
        <v>2</v>
      </c>
      <c r="K12" s="38">
        <v>10</v>
      </c>
      <c r="L12" s="101">
        <v>-318.39999999999998</v>
      </c>
      <c r="N12" s="118" t="s">
        <v>169</v>
      </c>
      <c r="O12" s="128">
        <f>IF(P12=0,0,Q12/P12)</f>
        <v>-43.05</v>
      </c>
      <c r="P12" s="122">
        <v>2</v>
      </c>
      <c r="Q12" s="110">
        <v>-86.1</v>
      </c>
    </row>
    <row r="13" spans="1:17" x14ac:dyDescent="0.4">
      <c r="A13" s="58" t="s">
        <v>124</v>
      </c>
      <c r="B13" s="50">
        <v>18</v>
      </c>
      <c r="C13" s="44">
        <f>IF(B$3=0,0,B13/B$3)</f>
        <v>0.15929203539823009</v>
      </c>
      <c r="E13" s="63" t="s">
        <v>81</v>
      </c>
      <c r="F13" s="60" t="s">
        <v>35</v>
      </c>
      <c r="G13" s="47">
        <v>1</v>
      </c>
      <c r="H13" s="135">
        <f>IF(B$17=0,0,G13/B$17)</f>
        <v>3.125E-2</v>
      </c>
      <c r="I13" s="96">
        <v>1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26</v>
      </c>
      <c r="C14" s="39">
        <f>IF(B$3=0,0,B14/B$3)</f>
        <v>0.23008849557522124</v>
      </c>
      <c r="E14" s="63" t="s">
        <v>89</v>
      </c>
      <c r="F14" s="60" t="s">
        <v>43</v>
      </c>
      <c r="G14" s="47">
        <v>1</v>
      </c>
      <c r="H14" s="135">
        <f>IF(B$17=0,0,G14/B$17)</f>
        <v>3.125E-2</v>
      </c>
      <c r="I14" s="96">
        <v>8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</v>
      </c>
      <c r="E15" s="63" t="s">
        <v>67</v>
      </c>
      <c r="F15" s="60" t="s">
        <v>22</v>
      </c>
      <c r="G15" s="47">
        <v>0</v>
      </c>
      <c r="H15" s="135">
        <f>IF(B$17=0,0,G15/B$17)</f>
        <v>0</v>
      </c>
      <c r="I15" s="96">
        <v>8</v>
      </c>
      <c r="N15" s="116" t="s">
        <v>131</v>
      </c>
      <c r="O15" s="126">
        <f>IF(P15=0,0,Q15/P15)</f>
        <v>13.16666666666667</v>
      </c>
      <c r="P15" s="120">
        <v>3</v>
      </c>
      <c r="Q15" s="108">
        <v>39.500000000000007</v>
      </c>
    </row>
    <row r="16" spans="1:17" x14ac:dyDescent="0.4">
      <c r="A16" s="54" t="s">
        <v>127</v>
      </c>
      <c r="B16" s="46">
        <v>10</v>
      </c>
      <c r="C16" s="37">
        <f>IF(B$14=0,0,B16/B$14)</f>
        <v>0.38461538461538464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N16" s="117" t="s">
        <v>175</v>
      </c>
      <c r="O16" s="127">
        <f>IF(P16=0,0,Q16/P16)</f>
        <v>-5.9000000000000021</v>
      </c>
      <c r="P16" s="121">
        <v>2</v>
      </c>
      <c r="Q16" s="109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0.2831858407079646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N17" s="117" t="s">
        <v>180</v>
      </c>
      <c r="O17" s="127">
        <f>IF(P17=0,0,Q17/P17)</f>
        <v>-17.950000000000003</v>
      </c>
      <c r="P17" s="121">
        <v>2</v>
      </c>
      <c r="Q17" s="109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N18" s="117" t="s">
        <v>174</v>
      </c>
      <c r="O18" s="127">
        <f>IF(P18=0,0,Q18/P18)</f>
        <v>-24.087499999999999</v>
      </c>
      <c r="P18" s="121">
        <v>8</v>
      </c>
      <c r="Q18" s="109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188</v>
      </c>
      <c r="O19" s="127">
        <f>IF(P19=0,0,Q19/P19)</f>
        <v>-45.5</v>
      </c>
      <c r="P19" s="121">
        <v>1</v>
      </c>
      <c r="Q19" s="109">
        <v>-45.5</v>
      </c>
    </row>
    <row r="20" spans="1:17" x14ac:dyDescent="0.4">
      <c r="A20" s="55" t="s">
        <v>13</v>
      </c>
      <c r="B20" s="47">
        <v>28</v>
      </c>
      <c r="C20" s="39">
        <f>IF(B$3=0,0,B20/B$3)</f>
        <v>0.24778761061946902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130</v>
      </c>
      <c r="O20" s="127">
        <f>IF(P20=0,0,Q20/P20)</f>
        <v>-52.48</v>
      </c>
      <c r="P20" s="121">
        <v>5</v>
      </c>
      <c r="Q20" s="109">
        <v>-262.39999999999998</v>
      </c>
    </row>
    <row r="21" spans="1:17" x14ac:dyDescent="0.4">
      <c r="A21" s="55" t="s">
        <v>196</v>
      </c>
      <c r="B21" s="47">
        <v>4</v>
      </c>
      <c r="C21" s="137">
        <v>1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6</v>
      </c>
      <c r="N21" s="117" t="s">
        <v>129</v>
      </c>
      <c r="O21" s="127">
        <f>IF(P21=0,0,Q21/P21)</f>
        <v>-119.99999999999999</v>
      </c>
      <c r="P21" s="121">
        <v>3</v>
      </c>
      <c r="Q21" s="109">
        <v>-359.99999999999994</v>
      </c>
    </row>
    <row r="22" spans="1:17" x14ac:dyDescent="0.4">
      <c r="A22" s="55" t="s">
        <v>197</v>
      </c>
      <c r="B22" s="47">
        <v>11</v>
      </c>
      <c r="C22" s="137">
        <v>2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5150</v>
      </c>
      <c r="C23" s="41">
        <v>164800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-8521.4285714285706</v>
      </c>
      <c r="C24" s="45">
        <v>-238600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6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50800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8.8495575221238937E-3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0E6DD-5B7D-48B1-8B27-B965B42B583C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11</v>
      </c>
      <c r="C2" s="149"/>
      <c r="E2" s="62" t="s">
        <v>68</v>
      </c>
      <c r="F2" s="59" t="s">
        <v>23</v>
      </c>
      <c r="G2" s="46">
        <v>11</v>
      </c>
      <c r="H2" s="134">
        <f>IF(B$17=0,0,G2/B$17)</f>
        <v>0.55000000000000004</v>
      </c>
      <c r="I2" s="95">
        <v>9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-7000</v>
      </c>
      <c r="P2" s="120">
        <v>11</v>
      </c>
      <c r="Q2" s="104">
        <v>-77000</v>
      </c>
    </row>
    <row r="3" spans="1:17" x14ac:dyDescent="0.4">
      <c r="A3" s="55" t="s">
        <v>8</v>
      </c>
      <c r="B3" s="150">
        <v>81</v>
      </c>
      <c r="C3" s="151"/>
      <c r="E3" s="63" t="s">
        <v>74</v>
      </c>
      <c r="F3" s="60" t="s">
        <v>28</v>
      </c>
      <c r="G3" s="47">
        <v>11</v>
      </c>
      <c r="H3" s="135">
        <f>IF(B$17=0,0,G3/B$17)</f>
        <v>0.55000000000000004</v>
      </c>
      <c r="I3" s="96">
        <v>7</v>
      </c>
      <c r="K3" s="38">
        <v>1</v>
      </c>
      <c r="L3" s="101">
        <v>-1.9</v>
      </c>
      <c r="N3" s="117" t="s">
        <v>135</v>
      </c>
      <c r="O3" s="124">
        <f t="shared" si="0"/>
        <v>-4580</v>
      </c>
      <c r="P3" s="121">
        <v>10</v>
      </c>
      <c r="Q3" s="105">
        <v>-45800</v>
      </c>
    </row>
    <row r="4" spans="1:17" x14ac:dyDescent="0.4">
      <c r="A4" s="55" t="s">
        <v>6</v>
      </c>
      <c r="B4" s="152">
        <v>-152.89999999999998</v>
      </c>
      <c r="C4" s="153"/>
      <c r="E4" s="63" t="s">
        <v>66</v>
      </c>
      <c r="F4" s="60" t="s">
        <v>21</v>
      </c>
      <c r="G4" s="47">
        <v>9</v>
      </c>
      <c r="H4" s="135">
        <f>IF(B$17=0,0,G4/B$17)</f>
        <v>0.45</v>
      </c>
      <c r="I4" s="96">
        <v>8</v>
      </c>
      <c r="K4" s="38">
        <v>2</v>
      </c>
      <c r="L4" s="101">
        <v>30</v>
      </c>
      <c r="N4" s="117" t="s">
        <v>136</v>
      </c>
      <c r="O4" s="124">
        <f t="shared" si="0"/>
        <v>1440</v>
      </c>
      <c r="P4" s="121">
        <v>10</v>
      </c>
      <c r="Q4" s="105">
        <v>14400</v>
      </c>
    </row>
    <row r="5" spans="1:17" x14ac:dyDescent="0.4">
      <c r="A5" s="55" t="s">
        <v>7</v>
      </c>
      <c r="B5" s="154">
        <f>IF(B$2=0,0,B$4/B$2)</f>
        <v>-13.899999999999999</v>
      </c>
      <c r="C5" s="155"/>
      <c r="E5" s="63" t="s">
        <v>184</v>
      </c>
      <c r="F5" s="60" t="s">
        <v>185</v>
      </c>
      <c r="G5" s="47">
        <v>6</v>
      </c>
      <c r="H5" s="135">
        <f>IF(B$17=0,0,G5/B$17)</f>
        <v>0.3</v>
      </c>
      <c r="I5" s="96">
        <v>7</v>
      </c>
      <c r="K5" s="38">
        <v>3</v>
      </c>
      <c r="L5" s="101">
        <v>-10</v>
      </c>
      <c r="N5" s="117" t="s">
        <v>137</v>
      </c>
      <c r="O5" s="124">
        <f t="shared" si="0"/>
        <v>-1660</v>
      </c>
      <c r="P5" s="121">
        <v>10</v>
      </c>
      <c r="Q5" s="105">
        <v>-16600</v>
      </c>
    </row>
    <row r="6" spans="1:17" x14ac:dyDescent="0.4">
      <c r="A6" s="55" t="s">
        <v>1</v>
      </c>
      <c r="B6" s="144">
        <f>IF(B$2=0,0,(B$7*1+B$8*2+B$9*3)/B$2)</f>
        <v>2.2727272727272729</v>
      </c>
      <c r="C6" s="145"/>
      <c r="E6" s="63" t="s">
        <v>70</v>
      </c>
      <c r="F6" s="60" t="s">
        <v>12</v>
      </c>
      <c r="G6" s="47">
        <v>5</v>
      </c>
      <c r="H6" s="135">
        <f>IF(B$17=0,0,G6/B$17)</f>
        <v>0.25</v>
      </c>
      <c r="I6" s="96">
        <v>5</v>
      </c>
      <c r="K6" s="38">
        <v>4</v>
      </c>
      <c r="L6" s="101">
        <v>40</v>
      </c>
      <c r="N6" s="117" t="s">
        <v>138</v>
      </c>
      <c r="O6" s="124">
        <f t="shared" si="0"/>
        <v>-1266.6666666666667</v>
      </c>
      <c r="P6" s="121">
        <v>9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0.27272727272727271</v>
      </c>
      <c r="E7" s="63" t="s">
        <v>71</v>
      </c>
      <c r="F7" s="60" t="s">
        <v>25</v>
      </c>
      <c r="G7" s="47">
        <v>4</v>
      </c>
      <c r="H7" s="135">
        <f>IF(B$17=0,0,G7/B$17)</f>
        <v>0.2</v>
      </c>
      <c r="I7" s="96">
        <v>3</v>
      </c>
      <c r="K7" s="38">
        <v>5</v>
      </c>
      <c r="L7" s="101">
        <v>35.4</v>
      </c>
      <c r="N7" s="118" t="s">
        <v>139</v>
      </c>
      <c r="O7" s="125">
        <f t="shared" si="0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2</v>
      </c>
      <c r="C8" s="39">
        <f>IF(B$2=0,0,B8/B$2)</f>
        <v>0.18181818181818182</v>
      </c>
      <c r="E8" s="63" t="s">
        <v>67</v>
      </c>
      <c r="F8" s="60" t="s">
        <v>22</v>
      </c>
      <c r="G8" s="47">
        <v>3</v>
      </c>
      <c r="H8" s="135">
        <f>IF(B$17=0,0,G8/B$17)</f>
        <v>0.15</v>
      </c>
      <c r="I8" s="96">
        <v>1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0.54545454545454541</v>
      </c>
      <c r="E9" s="63" t="s">
        <v>69</v>
      </c>
      <c r="F9" s="60" t="s">
        <v>24</v>
      </c>
      <c r="G9" s="47">
        <v>3</v>
      </c>
      <c r="H9" s="135">
        <f>IF(B$17=0,0,G9/B$17)</f>
        <v>0.15</v>
      </c>
      <c r="I9" s="96">
        <v>8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0.18181818181818182</v>
      </c>
      <c r="E10" s="63" t="s">
        <v>92</v>
      </c>
      <c r="F10" s="60" t="s">
        <v>46</v>
      </c>
      <c r="G10" s="47">
        <v>2</v>
      </c>
      <c r="H10" s="135">
        <f>IF(B$17=0,0,G10/B$17)</f>
        <v>0.1</v>
      </c>
      <c r="I10" s="96">
        <v>9</v>
      </c>
      <c r="K10" s="38">
        <v>8</v>
      </c>
      <c r="L10" s="101">
        <v>-87.1</v>
      </c>
      <c r="N10" s="116" t="s">
        <v>167</v>
      </c>
      <c r="O10" s="126">
        <f>IF(P10=0,0,Q10/P10)</f>
        <v>-1.9</v>
      </c>
      <c r="P10" s="120">
        <v>1</v>
      </c>
      <c r="Q10" s="108">
        <v>-1.9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>IF(B$17=0,0,G11/B$17)</f>
        <v>0.05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0.18181818181818182</v>
      </c>
      <c r="E12" s="63" t="s">
        <v>86</v>
      </c>
      <c r="F12" s="60" t="s">
        <v>40</v>
      </c>
      <c r="G12" s="47">
        <v>1</v>
      </c>
      <c r="H12" s="135">
        <f>IF(B$17=0,0,G12/B$17)</f>
        <v>0.05</v>
      </c>
      <c r="I12" s="96">
        <v>4</v>
      </c>
      <c r="K12" s="38">
        <v>10</v>
      </c>
      <c r="L12" s="101">
        <v>-183.7</v>
      </c>
      <c r="N12" s="118" t="s">
        <v>169</v>
      </c>
      <c r="O12" s="128">
        <f>IF(P12=0,0,Q12/P12)</f>
        <v>-3.2999999999999989</v>
      </c>
      <c r="P12" s="122">
        <v>6</v>
      </c>
      <c r="Q12" s="110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0.20987654320987653</v>
      </c>
      <c r="E13" s="63" t="s">
        <v>88</v>
      </c>
      <c r="F13" s="60" t="s">
        <v>42</v>
      </c>
      <c r="G13" s="47">
        <v>1</v>
      </c>
      <c r="H13" s="135">
        <f>IF(B$17=0,0,G13/B$17)</f>
        <v>0.05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20</v>
      </c>
      <c r="C14" s="39">
        <f>IF(B$3=0,0,B14/B$3)</f>
        <v>0.24691358024691357</v>
      </c>
      <c r="E14" s="63" t="s">
        <v>94</v>
      </c>
      <c r="F14" s="60" t="s">
        <v>48</v>
      </c>
      <c r="G14" s="47">
        <v>1</v>
      </c>
      <c r="H14" s="135">
        <f>IF(B$17=0,0,G14/B$17)</f>
        <v>0.05</v>
      </c>
      <c r="I14" s="96">
        <v>1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>IF(B$17=0,0,G15/B$17)</f>
        <v>0</v>
      </c>
      <c r="I15" s="96">
        <v>7</v>
      </c>
      <c r="N15" s="116" t="s">
        <v>189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0.35</v>
      </c>
      <c r="E16" s="63" t="s">
        <v>73</v>
      </c>
      <c r="F16" s="60" t="s">
        <v>27</v>
      </c>
      <c r="G16" s="47">
        <v>0</v>
      </c>
      <c r="H16" s="135">
        <f>IF(B$17=0,0,G16/B$17)</f>
        <v>0</v>
      </c>
      <c r="I16" s="96">
        <v>8</v>
      </c>
      <c r="N16" s="117" t="s">
        <v>176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0.24691358024691357</v>
      </c>
      <c r="E17" s="63" t="s">
        <v>75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N17" s="117" t="s">
        <v>130</v>
      </c>
      <c r="O17" s="127">
        <f>IF(P17=0,0,Q17/P17)</f>
        <v>-9.1875</v>
      </c>
      <c r="P17" s="121">
        <v>8</v>
      </c>
      <c r="Q17" s="109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174</v>
      </c>
      <c r="O18" s="127">
        <f>IF(P18=0,0,Q18/P18)</f>
        <v>-35.1</v>
      </c>
      <c r="P18" s="121">
        <v>1</v>
      </c>
      <c r="Q18" s="109">
        <v>-35.1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188</v>
      </c>
      <c r="O19" s="127">
        <f>IF(P19=0,0,Q19/P19)</f>
        <v>-45.699999999999996</v>
      </c>
      <c r="P19" s="121">
        <v>3</v>
      </c>
      <c r="Q19" s="109">
        <v>-137.1</v>
      </c>
    </row>
    <row r="20" spans="1:17" x14ac:dyDescent="0.4">
      <c r="A20" s="55" t="s">
        <v>13</v>
      </c>
      <c r="B20" s="47">
        <v>17</v>
      </c>
      <c r="C20" s="39">
        <f>IF(B$3=0,0,B20/B$3)</f>
        <v>0.20987654320987653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129</v>
      </c>
      <c r="O20" s="127">
        <f>IF(P20=0,0,Q20/P20)</f>
        <v>-61.750000000000007</v>
      </c>
      <c r="P20" s="121">
        <v>6</v>
      </c>
      <c r="Q20" s="109">
        <v>-370.50000000000006</v>
      </c>
    </row>
    <row r="21" spans="1:17" x14ac:dyDescent="0.4">
      <c r="A21" s="55" t="s">
        <v>196</v>
      </c>
      <c r="B21" s="47">
        <v>4</v>
      </c>
      <c r="C21" s="137">
        <v>2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197</v>
      </c>
      <c r="B22" s="47">
        <v>16</v>
      </c>
      <c r="C22" s="137">
        <v>4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4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-7141.1764705882351</v>
      </c>
      <c r="C24" s="45">
        <v>-121400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84</v>
      </c>
      <c r="F25" s="60" t="s">
        <v>38</v>
      </c>
      <c r="G25" s="47">
        <v>0</v>
      </c>
      <c r="H25" s="135">
        <f>IF(B$17=0,0,G25/B$17)</f>
        <v>0</v>
      </c>
      <c r="I25" s="96">
        <v>7</v>
      </c>
    </row>
    <row r="26" spans="1:17" x14ac:dyDescent="0.4">
      <c r="A26" s="58" t="s">
        <v>154</v>
      </c>
      <c r="B26" s="140">
        <v>65000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>IF(B$17=0,0,G28/B$17)</f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4EC3-5142-41C3-A3F4-54613F3DF19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188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</v>
      </c>
      <c r="C2" s="149"/>
      <c r="E2" s="62" t="s">
        <v>66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68</v>
      </c>
      <c r="F3" s="60" t="s">
        <v>23</v>
      </c>
      <c r="G3" s="47">
        <v>3</v>
      </c>
      <c r="H3" s="135">
        <f>IF(B$17=0,0,G3/B$17)</f>
        <v>0.6</v>
      </c>
      <c r="I3" s="96">
        <v>6</v>
      </c>
      <c r="K3" s="38">
        <v>1</v>
      </c>
      <c r="L3" s="101">
        <v>-14.6</v>
      </c>
      <c r="N3" s="117" t="s">
        <v>135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74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136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69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137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92</v>
      </c>
      <c r="F6" s="60" t="s">
        <v>46</v>
      </c>
      <c r="G6" s="47">
        <v>2</v>
      </c>
      <c r="H6" s="135">
        <f>IF(B$17=0,0,G6/B$17)</f>
        <v>0.4</v>
      </c>
      <c r="I6" s="96">
        <v>1</v>
      </c>
      <c r="N6" s="117" t="s">
        <v>138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>IF(B$17=0,0,G7/B$17)</f>
        <v>0.4</v>
      </c>
      <c r="I7" s="96">
        <v>3</v>
      </c>
      <c r="N7" s="118" t="s">
        <v>139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>IF(B$17=0,0,G8/B$17)</f>
        <v>0.2</v>
      </c>
      <c r="I8" s="96">
        <v>7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5">
        <f>IF(B$17=0,0,G9/B$17)</f>
        <v>0.2</v>
      </c>
      <c r="I9" s="96">
        <v>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>IF(B$17=0,0,G11/B$17)</f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8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>IF(B$17=0,0,G13/B$17)</f>
        <v>0</v>
      </c>
      <c r="I13" s="96">
        <v>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>IF(B$17=0,0,G18/B$17)</f>
        <v>0</v>
      </c>
      <c r="I18" s="96">
        <v>3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>IF(B$17=0,0,G19/B$17)</f>
        <v>0</v>
      </c>
      <c r="I19" s="96">
        <v>6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>IF(B$17=0,0,G20/B$17)</f>
        <v>0</v>
      </c>
      <c r="I20" s="96">
        <v>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86</v>
      </c>
      <c r="F25" s="60" t="s">
        <v>40</v>
      </c>
      <c r="G25" s="47">
        <v>0</v>
      </c>
      <c r="H25" s="135">
        <f>IF(B$17=0,0,G25/B$17)</f>
        <v>0</v>
      </c>
      <c r="I25" s="96">
        <v>9</v>
      </c>
    </row>
    <row r="26" spans="1:17" x14ac:dyDescent="0.4">
      <c r="A26" s="58" t="s">
        <v>154</v>
      </c>
      <c r="B26" s="140">
        <v>53500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198C-9898-4638-8597-D22BDEBBE57C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4</v>
      </c>
      <c r="C2" s="149"/>
      <c r="E2" s="62" t="s">
        <v>74</v>
      </c>
      <c r="F2" s="59" t="s">
        <v>28</v>
      </c>
      <c r="G2" s="46">
        <v>9</v>
      </c>
      <c r="H2" s="134">
        <f>IF(B$17=0,0,G2/B$17)</f>
        <v>0.9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2550</v>
      </c>
      <c r="P2" s="120">
        <v>4</v>
      </c>
      <c r="Q2" s="104">
        <v>10200</v>
      </c>
    </row>
    <row r="3" spans="1:17" x14ac:dyDescent="0.4">
      <c r="A3" s="55" t="s">
        <v>8</v>
      </c>
      <c r="B3" s="150">
        <v>37</v>
      </c>
      <c r="C3" s="151"/>
      <c r="E3" s="63" t="s">
        <v>68</v>
      </c>
      <c r="F3" s="60" t="s">
        <v>23</v>
      </c>
      <c r="G3" s="47">
        <v>6</v>
      </c>
      <c r="H3" s="135">
        <f>IF(B$17=0,0,G3/B$17)</f>
        <v>0.6</v>
      </c>
      <c r="I3" s="96">
        <v>6</v>
      </c>
      <c r="K3" s="38">
        <v>1</v>
      </c>
      <c r="L3" s="101">
        <v>-43.7</v>
      </c>
      <c r="N3" s="117" t="s">
        <v>135</v>
      </c>
      <c r="O3" s="124">
        <f t="shared" si="0"/>
        <v>-4375</v>
      </c>
      <c r="P3" s="121">
        <v>4</v>
      </c>
      <c r="Q3" s="105">
        <v>-17500</v>
      </c>
    </row>
    <row r="4" spans="1:17" x14ac:dyDescent="0.4">
      <c r="A4" s="55" t="s">
        <v>6</v>
      </c>
      <c r="B4" s="152">
        <v>-49.800000000000004</v>
      </c>
      <c r="C4" s="153"/>
      <c r="E4" s="63" t="s">
        <v>66</v>
      </c>
      <c r="F4" s="60" t="s">
        <v>21</v>
      </c>
      <c r="G4" s="47">
        <v>5</v>
      </c>
      <c r="H4" s="135">
        <f>IF(B$17=0,0,G4/B$17)</f>
        <v>0.5</v>
      </c>
      <c r="I4" s="96">
        <v>3</v>
      </c>
      <c r="K4" s="38">
        <v>2</v>
      </c>
      <c r="L4" s="101">
        <v>-76.2</v>
      </c>
      <c r="N4" s="117" t="s">
        <v>136</v>
      </c>
      <c r="O4" s="124">
        <f t="shared" si="0"/>
        <v>725</v>
      </c>
      <c r="P4" s="121">
        <v>4</v>
      </c>
      <c r="Q4" s="105">
        <v>2900</v>
      </c>
    </row>
    <row r="5" spans="1:17" x14ac:dyDescent="0.4">
      <c r="A5" s="55" t="s">
        <v>7</v>
      </c>
      <c r="B5" s="154">
        <f>IF(B$2=0,0,B$4/B$2)</f>
        <v>-12.450000000000001</v>
      </c>
      <c r="C5" s="155"/>
      <c r="E5" s="63" t="s">
        <v>92</v>
      </c>
      <c r="F5" s="60" t="s">
        <v>46</v>
      </c>
      <c r="G5" s="47">
        <v>3</v>
      </c>
      <c r="H5" s="135">
        <f>IF(B$17=0,0,G5/B$17)</f>
        <v>0.3</v>
      </c>
      <c r="I5" s="96">
        <v>2</v>
      </c>
      <c r="K5" s="38">
        <v>3</v>
      </c>
      <c r="L5" s="101">
        <v>-78.400000000000006</v>
      </c>
      <c r="N5" s="117" t="s">
        <v>137</v>
      </c>
      <c r="O5" s="124">
        <f t="shared" si="0"/>
        <v>-5750</v>
      </c>
      <c r="P5" s="121">
        <v>4</v>
      </c>
      <c r="Q5" s="105">
        <v>-23000</v>
      </c>
    </row>
    <row r="6" spans="1:17" x14ac:dyDescent="0.4">
      <c r="A6" s="55" t="s">
        <v>1</v>
      </c>
      <c r="B6" s="144">
        <f>IF(B$2=0,0,(B$7*1+B$8*2+B$9*3)/B$2)</f>
        <v>2.25</v>
      </c>
      <c r="C6" s="145"/>
      <c r="E6" s="63" t="s">
        <v>184</v>
      </c>
      <c r="F6" s="60" t="s">
        <v>185</v>
      </c>
      <c r="G6" s="47">
        <v>3</v>
      </c>
      <c r="H6" s="135">
        <f>IF(B$17=0,0,G6/B$17)</f>
        <v>0.3</v>
      </c>
      <c r="I6" s="96">
        <v>7</v>
      </c>
      <c r="K6" s="38">
        <v>4</v>
      </c>
      <c r="L6" s="101">
        <v>-49.800000000000004</v>
      </c>
      <c r="N6" s="117" t="s">
        <v>138</v>
      </c>
      <c r="O6" s="124">
        <f t="shared" si="0"/>
        <v>2050</v>
      </c>
      <c r="P6" s="121">
        <v>4</v>
      </c>
      <c r="Q6" s="105">
        <v>8200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70</v>
      </c>
      <c r="F7" s="60" t="s">
        <v>12</v>
      </c>
      <c r="G7" s="47">
        <v>2</v>
      </c>
      <c r="H7" s="135">
        <f>IF(B$17=0,0,G7/B$17)</f>
        <v>0.2</v>
      </c>
      <c r="I7" s="96">
        <v>7</v>
      </c>
      <c r="N7" s="118" t="s">
        <v>139</v>
      </c>
      <c r="O7" s="125">
        <f t="shared" si="0"/>
        <v>-2650</v>
      </c>
      <c r="P7" s="122">
        <v>4</v>
      </c>
      <c r="Q7" s="106">
        <v>-10600</v>
      </c>
    </row>
    <row r="8" spans="1:17" x14ac:dyDescent="0.4">
      <c r="A8" s="55" t="s">
        <v>3</v>
      </c>
      <c r="B8" s="47">
        <v>1</v>
      </c>
      <c r="C8" s="39">
        <f>IF(B$2=0,0,B8/B$2)</f>
        <v>0.25</v>
      </c>
      <c r="E8" s="63" t="s">
        <v>71</v>
      </c>
      <c r="F8" s="60" t="s">
        <v>25</v>
      </c>
      <c r="G8" s="47">
        <v>2</v>
      </c>
      <c r="H8" s="135">
        <f>IF(B$17=0,0,G8/B$17)</f>
        <v>0.2</v>
      </c>
      <c r="I8" s="96">
        <v>3</v>
      </c>
      <c r="N8" s="43"/>
      <c r="O8" s="129"/>
      <c r="P8" s="113"/>
      <c r="Q8" s="111"/>
    </row>
    <row r="9" spans="1:17" x14ac:dyDescent="0.4">
      <c r="A9" s="56" t="s">
        <v>4</v>
      </c>
      <c r="B9" s="48">
        <v>2</v>
      </c>
      <c r="C9" s="40">
        <f t="shared" ref="C9" si="1">IF(B$2=0,0,B9/B$2)</f>
        <v>0.5</v>
      </c>
      <c r="E9" s="63" t="s">
        <v>84</v>
      </c>
      <c r="F9" s="60" t="s">
        <v>38</v>
      </c>
      <c r="G9" s="47">
        <v>1</v>
      </c>
      <c r="H9" s="135">
        <f>IF(B$17=0,0,G9/B$17)</f>
        <v>0.1</v>
      </c>
      <c r="I9" s="96">
        <v>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0</v>
      </c>
      <c r="H10" s="135">
        <f>IF(B$17=0,0,G10/B$17)</f>
        <v>0</v>
      </c>
      <c r="I10" s="96">
        <v>8</v>
      </c>
      <c r="N10" s="116" t="s">
        <v>167</v>
      </c>
      <c r="O10" s="126">
        <f>IF(P10=0,0,Q10/P10)</f>
        <v>-32.5</v>
      </c>
      <c r="P10" s="120">
        <v>1</v>
      </c>
      <c r="Q10" s="108">
        <v>-32.5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0</v>
      </c>
      <c r="H11" s="135">
        <f>IF(B$17=0,0,G11/B$17)</f>
        <v>0</v>
      </c>
      <c r="I11" s="96">
        <v>10</v>
      </c>
      <c r="N11" s="117" t="s">
        <v>168</v>
      </c>
      <c r="O11" s="127">
        <f>IF(P11=0,0,Q11/P11)</f>
        <v>-22.950000000000003</v>
      </c>
      <c r="P11" s="121">
        <v>2</v>
      </c>
      <c r="Q11" s="109">
        <v>-45.900000000000006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72</v>
      </c>
      <c r="F12" s="60" t="s">
        <v>26</v>
      </c>
      <c r="G12" s="47">
        <v>0</v>
      </c>
      <c r="H12" s="135">
        <f>IF(B$17=0,0,G12/B$17)</f>
        <v>0</v>
      </c>
      <c r="I12" s="96">
        <v>7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0.1891891891891892</v>
      </c>
      <c r="E13" s="63" t="s">
        <v>73</v>
      </c>
      <c r="F13" s="60" t="s">
        <v>27</v>
      </c>
      <c r="G13" s="47">
        <v>0</v>
      </c>
      <c r="H13" s="135">
        <f>IF(B$17=0,0,G13/B$17)</f>
        <v>0</v>
      </c>
      <c r="I13" s="96">
        <v>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6</v>
      </c>
      <c r="C14" s="39">
        <f>IF(B$3=0,0,B14/B$3)</f>
        <v>0.16216216216216217</v>
      </c>
      <c r="E14" s="63" t="s">
        <v>75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76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131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4</v>
      </c>
      <c r="C16" s="37">
        <f>IF(B$14=0,0,B16/B$14)</f>
        <v>0.66666666666666663</v>
      </c>
      <c r="E16" s="63" t="s">
        <v>77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129</v>
      </c>
      <c r="O16" s="127">
        <f>IF(P16=0,0,Q16/P16)</f>
        <v>57.7</v>
      </c>
      <c r="P16" s="121">
        <v>1</v>
      </c>
      <c r="Q16" s="109">
        <v>57.7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0.27027027027027029</v>
      </c>
      <c r="E17" s="63" t="s">
        <v>78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-25.400000000000002</v>
      </c>
      <c r="P17" s="121">
        <v>2</v>
      </c>
      <c r="Q17" s="109">
        <v>-50.800000000000004</v>
      </c>
    </row>
    <row r="18" spans="1:17" x14ac:dyDescent="0.4">
      <c r="A18" s="55" t="s">
        <v>12</v>
      </c>
      <c r="B18" s="47">
        <v>6</v>
      </c>
      <c r="C18" s="39">
        <f>IF(B$17=0,0,B18/B$17)</f>
        <v>0.6</v>
      </c>
      <c r="E18" s="63" t="s">
        <v>79</v>
      </c>
      <c r="F18" s="60" t="s">
        <v>33</v>
      </c>
      <c r="G18" s="47">
        <v>0</v>
      </c>
      <c r="H18" s="135">
        <f>IF(B$17=0,0,G18/B$17)</f>
        <v>0</v>
      </c>
      <c r="I18" s="96">
        <v>3</v>
      </c>
      <c r="N18" s="117" t="s">
        <v>130</v>
      </c>
      <c r="O18" s="127">
        <f>IF(P18=0,0,Q18/P18)</f>
        <v>-37.400000000000006</v>
      </c>
      <c r="P18" s="121">
        <v>1</v>
      </c>
      <c r="Q18" s="109">
        <v>-37.400000000000006</v>
      </c>
    </row>
    <row r="19" spans="1:17" x14ac:dyDescent="0.4">
      <c r="A19" s="55" t="s">
        <v>11</v>
      </c>
      <c r="B19" s="47">
        <v>4</v>
      </c>
      <c r="C19" s="39">
        <f>IF(B$17=0,0,B19/B$17)</f>
        <v>0.4</v>
      </c>
      <c r="E19" s="63" t="s">
        <v>80</v>
      </c>
      <c r="F19" s="60" t="s">
        <v>34</v>
      </c>
      <c r="G19" s="47">
        <v>0</v>
      </c>
      <c r="H19" s="135">
        <f>IF(B$17=0,0,G19/B$17)</f>
        <v>0</v>
      </c>
      <c r="I19" s="96">
        <v>6</v>
      </c>
      <c r="N19" s="117" t="s">
        <v>180</v>
      </c>
      <c r="O19" s="127">
        <f>IF(P19=0,0,Q19/P19)</f>
        <v>-60.800000000000004</v>
      </c>
      <c r="P19" s="121">
        <v>2</v>
      </c>
      <c r="Q19" s="109">
        <v>-121.60000000000001</v>
      </c>
    </row>
    <row r="20" spans="1:17" x14ac:dyDescent="0.4">
      <c r="A20" s="55" t="s">
        <v>13</v>
      </c>
      <c r="B20" s="47">
        <v>8</v>
      </c>
      <c r="C20" s="39">
        <f>IF(B$3=0,0,B20/B$3)</f>
        <v>0.21621621621621623</v>
      </c>
      <c r="E20" s="63" t="s">
        <v>81</v>
      </c>
      <c r="F20" s="60" t="s">
        <v>35</v>
      </c>
      <c r="G20" s="47">
        <v>0</v>
      </c>
      <c r="H20" s="135">
        <f>IF(B$17=0,0,G20/B$17)</f>
        <v>0</v>
      </c>
      <c r="I20" s="96">
        <v>4</v>
      </c>
      <c r="N20" s="117" t="s">
        <v>188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2</v>
      </c>
      <c r="E21" s="63" t="s">
        <v>82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10</v>
      </c>
      <c r="C22" s="137">
        <v>3</v>
      </c>
      <c r="E22" s="63" t="s">
        <v>83</v>
      </c>
      <c r="F22" s="60" t="s">
        <v>37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6070</v>
      </c>
      <c r="C23" s="41">
        <v>60700</v>
      </c>
      <c r="E23" s="63" t="s">
        <v>85</v>
      </c>
      <c r="F23" s="60" t="s">
        <v>39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-6700</v>
      </c>
      <c r="C24" s="45">
        <v>-53600</v>
      </c>
      <c r="E24" s="63" t="s">
        <v>86</v>
      </c>
      <c r="F24" s="60" t="s">
        <v>40</v>
      </c>
      <c r="G24" s="47">
        <v>0</v>
      </c>
      <c r="H24" s="135">
        <f>IF(B$17=0,0,G24/B$17)</f>
        <v>0</v>
      </c>
      <c r="I24" s="96">
        <v>9</v>
      </c>
    </row>
    <row r="25" spans="1:17" x14ac:dyDescent="0.4">
      <c r="A25" s="92" t="s">
        <v>144</v>
      </c>
      <c r="B25" s="142">
        <v>4</v>
      </c>
      <c r="C25" s="143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43600</v>
      </c>
      <c r="C26" s="141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97D1-27F1-43CD-9867-02CD99D9F581}">
  <sheetPr codeName="Sheet24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C075-9EE8-47E3-BD1C-6649008D4E85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7D31-7B72-4421-932F-B81AC7E4CC57}">
  <sheetPr codeName="Sheet20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64B5-8350-4E79-8895-FF9ECCF9C763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504D3-9357-4209-84E7-56A654A16F5A}">
  <sheetPr codeName="Sheet16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EB9AE-131D-428E-8577-B89A5F95251D}">
  <sheetPr codeName="Sheet14"/>
  <dimension ref="A1:Q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0AD8C-64C2-48BD-8359-8506234262DD}">
  <sheetPr codeName="Sheet12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1595-701D-495E-AECF-8772539E3569}">
  <sheetPr codeName="Sheet10"/>
  <dimension ref="A1:Q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CB7DB-9197-4FEA-84AC-6019AB8097DE}">
  <sheetPr codeName="Sheet8"/>
  <dimension ref="A1:Q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34E-9C89-44B5-8EC4-B1718AC10DDA}">
  <sheetPr codeName="Sheet6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</vt:vector>
  </HeadingPairs>
  <TitlesOfParts>
    <vt:vector size="40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2019-04-10T16:18:16Z</dcterms:modified>
</cp:coreProperties>
</file>