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83F60792-66F8-4949-BF54-1250AF51AE2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のり" sheetId="5531" r:id="rId19"/>
    <sheet name="のり2" sheetId="5532" state="hidden" r:id="rId20"/>
    <sheet name="やがさき2" sheetId="5530" state="hidden" r:id="rId21"/>
    <sheet name="かわたつ2" sheetId="5528" state="hidden" r:id="rId22"/>
    <sheet name="ほたに2" sheetId="5526" state="hidden" r:id="rId23"/>
    <sheet name="いっしー2" sheetId="5524" state="hidden" r:id="rId24"/>
    <sheet name="あさひ2" sheetId="5522" state="hidden" r:id="rId25"/>
    <sheet name="まっつん2" sheetId="5520" state="hidden" r:id="rId26"/>
    <sheet name="ぱぱ2" sheetId="5518" state="hidden" r:id="rId27"/>
    <sheet name="たかの2" sheetId="5516" state="hidden" r:id="rId28"/>
    <sheet name="れんたろう2" sheetId="5514" state="hidden" r:id="rId29"/>
    <sheet name="ただ2" sheetId="5512" state="hidden" r:id="rId30"/>
    <sheet name="りくと2" sheetId="5510" state="hidden" r:id="rId31"/>
    <sheet name="だいち2" sheetId="5508" state="hidden" r:id="rId32"/>
    <sheet name="全体2" sheetId="550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ふっとばし率" sheetId="3523" state="hidden" r:id="rId44"/>
    <sheet name="リーチ率" sheetId="3524" state="hidden" r:id="rId45"/>
    <sheet name="副露率" sheetId="3525" state="hidden" r:id="rId46"/>
    <sheet name="リーチ成功率" sheetId="4841" state="hidden" r:id="rId47"/>
    <sheet name="副露成功率" sheetId="3527" state="hidden" r:id="rId48"/>
    <sheet name="ツモ率" sheetId="3528" state="hidden" r:id="rId49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517" l="1"/>
  <c r="O18" i="5531"/>
  <c r="O16" i="5525" l="1"/>
  <c r="O15" i="5531"/>
  <c r="O15" i="5511" l="1"/>
  <c r="O15" i="5519"/>
  <c r="O15" i="5505"/>
  <c r="O17" i="5531"/>
  <c r="O16" i="5531"/>
  <c r="H39" i="5531"/>
  <c r="H29" i="5531"/>
  <c r="C27" i="5531"/>
  <c r="B24" i="5531"/>
  <c r="C20" i="5531"/>
  <c r="B17" i="5531"/>
  <c r="H51" i="5531" s="1"/>
  <c r="C16" i="5531"/>
  <c r="C15" i="5531"/>
  <c r="C14" i="5531"/>
  <c r="C13" i="5531"/>
  <c r="O12" i="5531"/>
  <c r="C12" i="5531"/>
  <c r="O11" i="5531"/>
  <c r="C11" i="5531"/>
  <c r="O10" i="5531"/>
  <c r="C10" i="5531"/>
  <c r="C9" i="5531"/>
  <c r="C8" i="5531"/>
  <c r="O7" i="5531"/>
  <c r="C7" i="5531"/>
  <c r="O6" i="5531"/>
  <c r="B6" i="5531"/>
  <c r="O5" i="5531"/>
  <c r="B5" i="5531"/>
  <c r="O4" i="5531"/>
  <c r="H4" i="5531"/>
  <c r="O3" i="5531"/>
  <c r="O2" i="5531"/>
  <c r="H16" i="5531" l="1"/>
  <c r="H3" i="5531"/>
  <c r="H9" i="5531"/>
  <c r="H40" i="5531"/>
  <c r="H12" i="5531"/>
  <c r="H21" i="5531"/>
  <c r="H6" i="5531"/>
  <c r="H28" i="5531"/>
  <c r="B23" i="5531"/>
  <c r="H23" i="5531"/>
  <c r="H10" i="5531"/>
  <c r="C17" i="5531"/>
  <c r="H47" i="5531"/>
  <c r="H30" i="5531"/>
  <c r="H7" i="5531"/>
  <c r="H13" i="5531"/>
  <c r="H45" i="5531"/>
  <c r="C18" i="5531"/>
  <c r="H46" i="5531"/>
  <c r="H5" i="5531"/>
  <c r="H14" i="5531"/>
  <c r="H24" i="5531"/>
  <c r="C19" i="5531"/>
  <c r="H48" i="5531"/>
  <c r="H44" i="5531"/>
  <c r="H31" i="5531"/>
  <c r="H32" i="5531"/>
  <c r="H11" i="5531"/>
  <c r="H18" i="5531"/>
  <c r="H36" i="5531"/>
  <c r="H2" i="5531"/>
  <c r="H8" i="5531"/>
  <c r="H25" i="5531"/>
  <c r="H37" i="5531"/>
  <c r="H15" i="5531"/>
  <c r="H19" i="5531"/>
  <c r="H38" i="5531"/>
  <c r="H52" i="5531"/>
  <c r="H20" i="5531"/>
  <c r="H26" i="5531"/>
  <c r="H33" i="5531"/>
  <c r="H41" i="5531"/>
  <c r="H49" i="5531"/>
  <c r="H34" i="5531"/>
  <c r="H42" i="5531"/>
  <c r="H50" i="5531"/>
  <c r="H17" i="5531"/>
  <c r="H22" i="5531"/>
  <c r="H27" i="5531"/>
  <c r="H35" i="5531"/>
  <c r="H43" i="5531"/>
  <c r="O22" i="5525" l="1"/>
  <c r="O17" i="5511"/>
  <c r="O23" i="5523" l="1"/>
  <c r="O15" i="5529"/>
  <c r="O24" i="5517" l="1"/>
  <c r="O15" i="5523"/>
  <c r="O25" i="5507" l="1"/>
  <c r="O17" i="5529"/>
  <c r="O16" i="5511" l="1"/>
  <c r="O23" i="5515"/>
  <c r="O26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5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1" i="5525" l="1"/>
  <c r="O20" i="5525"/>
  <c r="O20" i="5519"/>
  <c r="O21" i="5509"/>
  <c r="O24" i="5507" l="1"/>
  <c r="O18" i="5525"/>
  <c r="O23" i="5517"/>
  <c r="O15" i="5525"/>
  <c r="O19" i="5525" l="1"/>
  <c r="O17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3" i="5505"/>
  <c r="H13" i="5525" l="1"/>
  <c r="H8" i="5525"/>
  <c r="H3" i="5525"/>
  <c r="H10" i="5525"/>
  <c r="H5" i="5525"/>
  <c r="C17" i="5525"/>
  <c r="H2" i="5525"/>
  <c r="H4" i="5525"/>
  <c r="H7" i="5525"/>
  <c r="H15" i="5525"/>
  <c r="H18" i="5525"/>
  <c r="H20" i="5525"/>
  <c r="H23" i="5525"/>
  <c r="H26" i="5525"/>
  <c r="H29" i="5525"/>
  <c r="H33" i="5525"/>
  <c r="H37" i="5525"/>
  <c r="H41" i="5525"/>
  <c r="H45" i="5525"/>
  <c r="H49" i="5525"/>
  <c r="C19" i="5525"/>
  <c r="H21" i="5525"/>
  <c r="H30" i="5525"/>
  <c r="H34" i="5525"/>
  <c r="H38" i="5525"/>
  <c r="H42" i="5525"/>
  <c r="H46" i="5525"/>
  <c r="H50" i="5525"/>
  <c r="H6" i="5525"/>
  <c r="H9" i="5525"/>
  <c r="H12" i="5525"/>
  <c r="H17" i="5525"/>
  <c r="H19" i="5525"/>
  <c r="H22" i="5525"/>
  <c r="H24" i="5525"/>
  <c r="H27" i="5525"/>
  <c r="H31" i="5525"/>
  <c r="H35" i="5525"/>
  <c r="H39" i="5525"/>
  <c r="H43" i="5525"/>
  <c r="H47" i="5525"/>
  <c r="H51" i="5525"/>
  <c r="H11" i="5525"/>
  <c r="H14" i="5525"/>
  <c r="H16" i="5525"/>
  <c r="C18" i="5525"/>
  <c r="B23" i="5525"/>
  <c r="H25" i="5525"/>
  <c r="H28" i="5525"/>
  <c r="H32" i="5525"/>
  <c r="H36" i="5525"/>
  <c r="H40" i="5525"/>
  <c r="H44" i="5525"/>
  <c r="H48" i="5525"/>
  <c r="O18" i="5515" l="1"/>
  <c r="O18" i="5511"/>
  <c r="O21" i="5519"/>
  <c r="O22" i="5519"/>
  <c r="O17" i="5507" l="1"/>
  <c r="O20" i="5523"/>
  <c r="O18" i="5523" l="1"/>
  <c r="O16" i="5523"/>
  <c r="O16" i="5513"/>
  <c r="O24" i="5511"/>
  <c r="O17" i="5521" l="1"/>
  <c r="O22" i="5517"/>
  <c r="O15" i="5521"/>
  <c r="O22" i="5523"/>
  <c r="O15" i="5509"/>
  <c r="O18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3" i="5519"/>
  <c r="O24" i="5519"/>
  <c r="O15" i="5507"/>
  <c r="O20" i="5507"/>
  <c r="O27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7" i="5519" l="1"/>
  <c r="O21" i="5517"/>
  <c r="O18" i="5517"/>
  <c r="O16" i="5509"/>
  <c r="O17" i="5515" l="1"/>
  <c r="O17" i="5513"/>
  <c r="O17" i="5517"/>
  <c r="O19" i="5517"/>
  <c r="O16" i="5515" l="1"/>
  <c r="O15" i="5513"/>
  <c r="O21" i="5511"/>
  <c r="O22" i="5511"/>
  <c r="O16" i="5519"/>
  <c r="O19" i="5519"/>
  <c r="C27" i="5519"/>
  <c r="B24" i="5519"/>
  <c r="C20" i="5519"/>
  <c r="B17" i="5519"/>
  <c r="H51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0" i="5509"/>
  <c r="O22" i="5505"/>
  <c r="H17" i="5519" l="1"/>
  <c r="H4" i="5519"/>
  <c r="H28" i="5519"/>
  <c r="H11" i="5519"/>
  <c r="H34" i="5519"/>
  <c r="H23" i="5519"/>
  <c r="H2" i="5519"/>
  <c r="H26" i="5519"/>
  <c r="H32" i="5519"/>
  <c r="H6" i="5519"/>
  <c r="C18" i="5519"/>
  <c r="H31" i="5519"/>
  <c r="H41" i="5519"/>
  <c r="H3" i="5519"/>
  <c r="H12" i="5519"/>
  <c r="H19" i="5519"/>
  <c r="B23" i="5519"/>
  <c r="H25" i="5519"/>
  <c r="H48" i="5519"/>
  <c r="H49" i="5519"/>
  <c r="H16" i="5519"/>
  <c r="H10" i="5519"/>
  <c r="H37" i="5519"/>
  <c r="H44" i="5519"/>
  <c r="H5" i="5519"/>
  <c r="H9" i="5519"/>
  <c r="H7" i="5519"/>
  <c r="H27" i="5519"/>
  <c r="C17" i="5519"/>
  <c r="H14" i="5519"/>
  <c r="H22" i="5519"/>
  <c r="H38" i="5519"/>
  <c r="H45" i="5519"/>
  <c r="H52" i="5519"/>
  <c r="H29" i="5519"/>
  <c r="H30" i="5519"/>
  <c r="H18" i="5519"/>
  <c r="H33" i="5519"/>
  <c r="H15" i="5519"/>
  <c r="H35" i="5519"/>
  <c r="H39" i="5519"/>
  <c r="H42" i="5519"/>
  <c r="H46" i="5519"/>
  <c r="H50" i="5519"/>
  <c r="H8" i="5519"/>
  <c r="H20" i="5519"/>
  <c r="H21" i="5519"/>
  <c r="C19" i="5519"/>
  <c r="H13" i="5519"/>
  <c r="H24" i="5519"/>
  <c r="H36" i="5519"/>
  <c r="H40" i="5519"/>
  <c r="H43" i="5519"/>
  <c r="H47" i="5519"/>
  <c r="O20" i="5511" l="1"/>
  <c r="O20" i="5517"/>
  <c r="O16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7" i="5505"/>
  <c r="O19" i="5515"/>
  <c r="O18" i="5509"/>
  <c r="O19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20" i="5505"/>
  <c r="O21" i="5505"/>
  <c r="H8" i="5515" l="1"/>
  <c r="H2" i="5515"/>
  <c r="H4" i="5515"/>
  <c r="H10" i="5515"/>
  <c r="H6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18" i="5515"/>
  <c r="H26" i="5515"/>
  <c r="H29" i="5515"/>
  <c r="H33" i="5515"/>
  <c r="H37" i="5515"/>
  <c r="H49" i="5515"/>
  <c r="H7" i="5515"/>
  <c r="H13" i="5515"/>
  <c r="H15" i="5515"/>
  <c r="C19" i="5515"/>
  <c r="H21" i="5515"/>
  <c r="H30" i="5515"/>
  <c r="H34" i="5515"/>
  <c r="H38" i="5515"/>
  <c r="H42" i="5515"/>
  <c r="H46" i="5515"/>
  <c r="H50" i="5515"/>
  <c r="H23" i="5515"/>
  <c r="H41" i="5515"/>
  <c r="H3" i="5515"/>
  <c r="H6" i="5515"/>
  <c r="H9" i="5515"/>
  <c r="H12" i="5515"/>
  <c r="H17" i="5515"/>
  <c r="H19" i="5515"/>
  <c r="H22" i="5515"/>
  <c r="H24" i="5515"/>
  <c r="H27" i="5515"/>
  <c r="H31" i="5515"/>
  <c r="H35" i="5515"/>
  <c r="H39" i="5515"/>
  <c r="H43" i="5515"/>
  <c r="H47" i="5515"/>
  <c r="H51" i="5515"/>
  <c r="H20" i="5515"/>
  <c r="H45" i="5515"/>
  <c r="H5" i="5515"/>
  <c r="H11" i="5515"/>
  <c r="H14" i="5515"/>
  <c r="H16" i="5515"/>
  <c r="C18" i="5515"/>
  <c r="B23" i="5515"/>
  <c r="H25" i="5515"/>
  <c r="H28" i="5515"/>
  <c r="H32" i="5515"/>
  <c r="H36" i="5515"/>
  <c r="H40" i="5515"/>
  <c r="H44" i="5515"/>
  <c r="H48" i="5515"/>
  <c r="H28" i="5513"/>
  <c r="H14" i="5513"/>
  <c r="H41" i="5513"/>
  <c r="H45" i="5513"/>
  <c r="H20" i="5513"/>
  <c r="H15" i="5513"/>
  <c r="C18" i="5513"/>
  <c r="H4" i="5513"/>
  <c r="H2" i="5513"/>
  <c r="H11" i="5513"/>
  <c r="H3" i="5513"/>
  <c r="C19" i="5513"/>
  <c r="H23" i="5513"/>
  <c r="H9" i="5513"/>
  <c r="H8" i="5513"/>
  <c r="H21" i="5513"/>
  <c r="H22" i="5513"/>
  <c r="C17" i="5513"/>
  <c r="H16" i="5513"/>
  <c r="H26" i="5513"/>
  <c r="H49" i="5513"/>
  <c r="H10" i="5513"/>
  <c r="H7" i="5513"/>
  <c r="H13" i="5513"/>
  <c r="H27" i="5513"/>
  <c r="H18" i="5513"/>
  <c r="H12" i="5513"/>
  <c r="H37" i="5513"/>
  <c r="H5" i="5513"/>
  <c r="H29" i="5513"/>
  <c r="H30" i="5513"/>
  <c r="H31" i="5513"/>
  <c r="H32" i="5513"/>
  <c r="H17" i="5513"/>
  <c r="H35" i="5513"/>
  <c r="H39" i="5513"/>
  <c r="H43" i="5513"/>
  <c r="H47" i="5513"/>
  <c r="H51" i="5513"/>
  <c r="H24" i="5513"/>
  <c r="H36" i="5513"/>
  <c r="H40" i="5513"/>
  <c r="H44" i="5513"/>
  <c r="H48" i="5513"/>
  <c r="H19" i="5513"/>
  <c r="B23" i="5513"/>
  <c r="H25" i="5513"/>
  <c r="H33" i="5513"/>
  <c r="H34" i="5513"/>
  <c r="H38" i="5513"/>
  <c r="H42" i="5513"/>
  <c r="H46" i="5513"/>
  <c r="H50" i="5513"/>
  <c r="O19" i="5511" l="1"/>
  <c r="O23" i="5511"/>
  <c r="C27" i="5511"/>
  <c r="B24" i="5511"/>
  <c r="C20" i="5511"/>
  <c r="B17" i="5511"/>
  <c r="H28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7" i="5509"/>
  <c r="C27" i="5509"/>
  <c r="B24" i="5509"/>
  <c r="C20" i="5509"/>
  <c r="B17" i="5509"/>
  <c r="H51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4" i="5505"/>
  <c r="O19" i="5507"/>
  <c r="O21" i="5507"/>
  <c r="C27" i="5507"/>
  <c r="B24" i="5507"/>
  <c r="C20" i="5507"/>
  <c r="B17" i="5507"/>
  <c r="H15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8" i="5505"/>
  <c r="O19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4" i="5509" l="1"/>
  <c r="H16" i="5509"/>
  <c r="H2" i="5509"/>
  <c r="H3" i="5509"/>
  <c r="H12" i="5509"/>
  <c r="H14" i="5509"/>
  <c r="H6" i="5509"/>
  <c r="H9" i="5509"/>
  <c r="H11" i="5509"/>
  <c r="C18" i="5509"/>
  <c r="H5" i="5509"/>
  <c r="H8" i="5509"/>
  <c r="H10" i="5509"/>
  <c r="C19" i="5509"/>
  <c r="H11" i="5507"/>
  <c r="H16" i="5507"/>
  <c r="H29" i="5507"/>
  <c r="H2" i="5511"/>
  <c r="H3" i="5511"/>
  <c r="H20" i="5505"/>
  <c r="H6" i="5507"/>
  <c r="H3" i="5507"/>
  <c r="H4" i="5511"/>
  <c r="H22" i="5511"/>
  <c r="H23" i="5511"/>
  <c r="C17" i="5511"/>
  <c r="B23" i="5511"/>
  <c r="H34" i="5511"/>
  <c r="H42" i="5511"/>
  <c r="H50" i="5511"/>
  <c r="H24" i="5511"/>
  <c r="H21" i="5511"/>
  <c r="H41" i="5511"/>
  <c r="H17" i="5511"/>
  <c r="H12" i="5511"/>
  <c r="H6" i="5511"/>
  <c r="H11" i="5511"/>
  <c r="H19" i="5511"/>
  <c r="H20" i="5511"/>
  <c r="H10" i="5511"/>
  <c r="H37" i="5511"/>
  <c r="H45" i="5511"/>
  <c r="H5" i="5511"/>
  <c r="H9" i="5511"/>
  <c r="C19" i="5511"/>
  <c r="H49" i="5511"/>
  <c r="H8" i="5511"/>
  <c r="H16" i="5511"/>
  <c r="H7" i="5511"/>
  <c r="H29" i="5511"/>
  <c r="H30" i="5511"/>
  <c r="H14" i="5511"/>
  <c r="C18" i="5511"/>
  <c r="H15" i="5511"/>
  <c r="H13" i="5511"/>
  <c r="H33" i="5511"/>
  <c r="H38" i="5511"/>
  <c r="H46" i="5511"/>
  <c r="H52" i="5511"/>
  <c r="H31" i="5511"/>
  <c r="H32" i="5511"/>
  <c r="H25" i="5511"/>
  <c r="H26" i="5511"/>
  <c r="H18" i="5511"/>
  <c r="H35" i="5511"/>
  <c r="H39" i="5511"/>
  <c r="H43" i="5511"/>
  <c r="H47" i="5511"/>
  <c r="H51" i="5511"/>
  <c r="H27" i="5511"/>
  <c r="H36" i="5511"/>
  <c r="H40" i="5511"/>
  <c r="H44" i="5511"/>
  <c r="H48" i="5511"/>
  <c r="H32" i="5509"/>
  <c r="B23" i="5509"/>
  <c r="H40" i="5509"/>
  <c r="H44" i="5509"/>
  <c r="H7" i="5509"/>
  <c r="H13" i="5509"/>
  <c r="H15" i="5509"/>
  <c r="C17" i="5509"/>
  <c r="H21" i="5509"/>
  <c r="H28" i="5509"/>
  <c r="H48" i="5509"/>
  <c r="H25" i="5509"/>
  <c r="H36" i="5509"/>
  <c r="H52" i="5509"/>
  <c r="H18" i="5509"/>
  <c r="H20" i="5509"/>
  <c r="H23" i="5509"/>
  <c r="H26" i="5509"/>
  <c r="H29" i="5509"/>
  <c r="H33" i="5509"/>
  <c r="H37" i="5509"/>
  <c r="H41" i="5509"/>
  <c r="H45" i="5509"/>
  <c r="H49" i="5509"/>
  <c r="H30" i="5509"/>
  <c r="H34" i="5509"/>
  <c r="H38" i="5509"/>
  <c r="H42" i="5509"/>
  <c r="H46" i="5509"/>
  <c r="H50" i="5509"/>
  <c r="H17" i="5509"/>
  <c r="H19" i="5509"/>
  <c r="H22" i="5509"/>
  <c r="H24" i="5509"/>
  <c r="H27" i="5509"/>
  <c r="H31" i="5509"/>
  <c r="H35" i="5509"/>
  <c r="H39" i="5509"/>
  <c r="H43" i="5509"/>
  <c r="H47" i="5509"/>
  <c r="H38" i="5505"/>
  <c r="H42" i="5505"/>
  <c r="H10" i="5505"/>
  <c r="H11" i="5505"/>
  <c r="H6" i="5505"/>
  <c r="H3" i="5505"/>
  <c r="H7" i="5505"/>
  <c r="H4" i="5505"/>
  <c r="H2" i="5505"/>
  <c r="H41" i="5507"/>
  <c r="H42" i="5507"/>
  <c r="H32" i="5507"/>
  <c r="H13" i="5507"/>
  <c r="H49" i="5507"/>
  <c r="H31" i="5507"/>
  <c r="H28" i="5507"/>
  <c r="H2" i="5507"/>
  <c r="H19" i="5507"/>
  <c r="B23" i="5507"/>
  <c r="H26" i="5507"/>
  <c r="H4" i="5507"/>
  <c r="C18" i="5507"/>
  <c r="H35" i="5507"/>
  <c r="H50" i="5507"/>
  <c r="H17" i="5507"/>
  <c r="H9" i="5507"/>
  <c r="H37" i="5507"/>
  <c r="H45" i="5507"/>
  <c r="H5" i="5507"/>
  <c r="H10" i="5507"/>
  <c r="H7" i="5507"/>
  <c r="H21" i="5507"/>
  <c r="C17" i="5507"/>
  <c r="H12" i="5507"/>
  <c r="H25" i="5507"/>
  <c r="H38" i="5507"/>
  <c r="H46" i="5507"/>
  <c r="H52" i="5507"/>
  <c r="H33" i="5507"/>
  <c r="H34" i="5507"/>
  <c r="H20" i="5507"/>
  <c r="H24" i="5507"/>
  <c r="H18" i="5507"/>
  <c r="H30" i="5507"/>
  <c r="H39" i="5507"/>
  <c r="H43" i="5507"/>
  <c r="H47" i="5507"/>
  <c r="H51" i="5507"/>
  <c r="H8" i="5507"/>
  <c r="H27" i="5507"/>
  <c r="H23" i="5507"/>
  <c r="C19" i="5507"/>
  <c r="H14" i="5507"/>
  <c r="H22" i="5507"/>
  <c r="H36" i="5507"/>
  <c r="H40" i="5507"/>
  <c r="H44" i="5507"/>
  <c r="H48" i="5507"/>
  <c r="H46" i="5505"/>
  <c r="H12" i="5505"/>
  <c r="H22" i="5505"/>
  <c r="H35" i="5505"/>
  <c r="H19" i="5505"/>
  <c r="H9" i="5505"/>
  <c r="H50" i="5505"/>
  <c r="H16" i="5505"/>
  <c r="C18" i="5505"/>
  <c r="H14" i="5505"/>
  <c r="H13" i="5505"/>
  <c r="H29" i="5505"/>
  <c r="H39" i="5505"/>
  <c r="H33" i="5505"/>
  <c r="H34" i="5505"/>
  <c r="H18" i="5505"/>
  <c r="C19" i="5505"/>
  <c r="H27" i="5505"/>
  <c r="H43" i="5505"/>
  <c r="H5" i="5505"/>
  <c r="H28" i="5505"/>
  <c r="H24" i="5505"/>
  <c r="H32" i="5505"/>
  <c r="H48" i="5505"/>
  <c r="H8" i="5505"/>
  <c r="H21" i="5505"/>
  <c r="H26" i="5505"/>
  <c r="C17" i="5505"/>
  <c r="H15" i="5505"/>
  <c r="B23" i="5505"/>
  <c r="H25" i="5505"/>
  <c r="H40" i="5505"/>
  <c r="H45" i="5505"/>
  <c r="H49" i="5505"/>
  <c r="H52" i="5505"/>
  <c r="H36" i="5505"/>
  <c r="H37" i="5505"/>
  <c r="H23" i="5505"/>
  <c r="H30" i="5505"/>
  <c r="H17" i="5505"/>
  <c r="H31" i="5505"/>
  <c r="H41" i="5505"/>
  <c r="H44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<sst xmlns="http://schemas.openxmlformats.org/spreadsheetml/2006/main" count="3616" uniqueCount="281">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</sst>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全体!$K$2:$K$857</c:f>
              <c:numCache>
                <c:formatCode>General</c:formatCode>
                <c:ptCount val="8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</c:numCache>
            </c:numRef>
          </c:xVal>
          <c:yVal>
            <c:numRef>
              <c:f>全体!$L$2:$L$857</c:f>
              <c:numCache>
                <c:formatCode>\+0.0;\-0.0;\±0</c:formatCode>
                <c:ptCount val="856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  <c:pt idx="745">
                  <c:v>12.200000000000014</c:v>
                </c:pt>
                <c:pt idx="746">
                  <c:v>55.100000000000009</c:v>
                </c:pt>
                <c:pt idx="747">
                  <c:v>7.1054273576010019E-15</c:v>
                </c:pt>
                <c:pt idx="748">
                  <c:v>9.0000000000000071</c:v>
                </c:pt>
                <c:pt idx="749">
                  <c:v>-37.699999999999996</c:v>
                </c:pt>
                <c:pt idx="750">
                  <c:v>7.1054273576010019E-15</c:v>
                </c:pt>
                <c:pt idx="751">
                  <c:v>-43.199999999999996</c:v>
                </c:pt>
                <c:pt idx="752">
                  <c:v>-39.799999999999997</c:v>
                </c:pt>
                <c:pt idx="753">
                  <c:v>0</c:v>
                </c:pt>
                <c:pt idx="754">
                  <c:v>-53.3</c:v>
                </c:pt>
                <c:pt idx="755">
                  <c:v>-61.599999999999994</c:v>
                </c:pt>
                <c:pt idx="756">
                  <c:v>7.1054273576010019E-15</c:v>
                </c:pt>
                <c:pt idx="757">
                  <c:v>31.700000000000006</c:v>
                </c:pt>
                <c:pt idx="758">
                  <c:v>-10.099999999999991</c:v>
                </c:pt>
                <c:pt idx="759">
                  <c:v>8.8817841970012523E-15</c:v>
                </c:pt>
                <c:pt idx="760">
                  <c:v>42.70000000000001</c:v>
                </c:pt>
                <c:pt idx="761">
                  <c:v>-2.5999999999999872</c:v>
                </c:pt>
                <c:pt idx="762">
                  <c:v>1.2878587085651816E-14</c:v>
                </c:pt>
                <c:pt idx="763">
                  <c:v>62.000000000000014</c:v>
                </c:pt>
                <c:pt idx="764">
                  <c:v>3.9000000000000128</c:v>
                </c:pt>
                <c:pt idx="765">
                  <c:v>1.2878587085651816E-14</c:v>
                </c:pt>
                <c:pt idx="766">
                  <c:v>35.000000000000014</c:v>
                </c:pt>
                <c:pt idx="767">
                  <c:v>-9.5999999999999872</c:v>
                </c:pt>
                <c:pt idx="768">
                  <c:v>1.2434497875801753E-14</c:v>
                </c:pt>
                <c:pt idx="769">
                  <c:v>39.300000000000011</c:v>
                </c:pt>
                <c:pt idx="770">
                  <c:v>-18.999999999999986</c:v>
                </c:pt>
                <c:pt idx="771">
                  <c:v>1.4210854715202004E-14</c:v>
                </c:pt>
                <c:pt idx="772">
                  <c:v>1.1000000000000143</c:v>
                </c:pt>
                <c:pt idx="773">
                  <c:v>-34.699999999999982</c:v>
                </c:pt>
                <c:pt idx="774">
                  <c:v>2.1316282072803006E-14</c:v>
                </c:pt>
                <c:pt idx="775">
                  <c:v>-32.09999999999998</c:v>
                </c:pt>
                <c:pt idx="776">
                  <c:v>-36.399999999999977</c:v>
                </c:pt>
                <c:pt idx="777">
                  <c:v>2.1316282072803006E-14</c:v>
                </c:pt>
                <c:pt idx="778">
                  <c:v>-7.399999999999979</c:v>
                </c:pt>
                <c:pt idx="779">
                  <c:v>-65.999999999999986</c:v>
                </c:pt>
                <c:pt idx="780">
                  <c:v>1.4210854715202004E-14</c:v>
                </c:pt>
                <c:pt idx="781">
                  <c:v>-55.399999999999984</c:v>
                </c:pt>
                <c:pt idx="782">
                  <c:v>-42.59999999999998</c:v>
                </c:pt>
                <c:pt idx="783">
                  <c:v>2.1316282072803006E-14</c:v>
                </c:pt>
                <c:pt idx="784">
                  <c:v>17.800000000000022</c:v>
                </c:pt>
                <c:pt idx="785">
                  <c:v>-49.199999999999974</c:v>
                </c:pt>
                <c:pt idx="786">
                  <c:v>2.8421709430404007E-14</c:v>
                </c:pt>
                <c:pt idx="787">
                  <c:v>-17.89999999999997</c:v>
                </c:pt>
                <c:pt idx="788">
                  <c:v>80.400000000000034</c:v>
                </c:pt>
                <c:pt idx="789">
                  <c:v>2.8421709430404007E-14</c:v>
                </c:pt>
                <c:pt idx="790">
                  <c:v>9.5000000000000284</c:v>
                </c:pt>
                <c:pt idx="791">
                  <c:v>-49.999999999999972</c:v>
                </c:pt>
                <c:pt idx="792">
                  <c:v>2.8421709430404007E-14</c:v>
                </c:pt>
                <c:pt idx="793">
                  <c:v>-55.299999999999969</c:v>
                </c:pt>
                <c:pt idx="794">
                  <c:v>3.5000000000000284</c:v>
                </c:pt>
                <c:pt idx="795">
                  <c:v>2.8421709430404007E-14</c:v>
                </c:pt>
                <c:pt idx="796">
                  <c:v>31.000000000000028</c:v>
                </c:pt>
                <c:pt idx="797">
                  <c:v>-4.9999999999999716</c:v>
                </c:pt>
                <c:pt idx="798">
                  <c:v>2.8421709430404007E-14</c:v>
                </c:pt>
                <c:pt idx="799">
                  <c:v>-35.299999999999969</c:v>
                </c:pt>
                <c:pt idx="800">
                  <c:v>-38.89999999999997</c:v>
                </c:pt>
                <c:pt idx="801">
                  <c:v>2.8421709430404007E-14</c:v>
                </c:pt>
                <c:pt idx="802">
                  <c:v>41.10000000000003</c:v>
                </c:pt>
                <c:pt idx="803">
                  <c:v>52.000000000000028</c:v>
                </c:pt>
                <c:pt idx="804">
                  <c:v>2.8421709430404007E-14</c:v>
                </c:pt>
                <c:pt idx="805">
                  <c:v>54.60000000000003</c:v>
                </c:pt>
                <c:pt idx="806">
                  <c:v>55.900000000000027</c:v>
                </c:pt>
                <c:pt idx="807">
                  <c:v>2.8421709430404007E-14</c:v>
                </c:pt>
                <c:pt idx="808">
                  <c:v>27.500000000000028</c:v>
                </c:pt>
                <c:pt idx="809">
                  <c:v>28.500000000000028</c:v>
                </c:pt>
                <c:pt idx="810">
                  <c:v>2.8421709430404007E-14</c:v>
                </c:pt>
                <c:pt idx="811">
                  <c:v>33.400000000000027</c:v>
                </c:pt>
                <c:pt idx="812">
                  <c:v>0.10000000000002984</c:v>
                </c:pt>
                <c:pt idx="813">
                  <c:v>2.9837243786801082E-14</c:v>
                </c:pt>
                <c:pt idx="814">
                  <c:v>38.300000000000026</c:v>
                </c:pt>
                <c:pt idx="815">
                  <c:v>-12.899999999999977</c:v>
                </c:pt>
                <c:pt idx="816">
                  <c:v>2.3092638912203256E-14</c:v>
                </c:pt>
                <c:pt idx="817">
                  <c:v>47.90000000000002</c:v>
                </c:pt>
                <c:pt idx="818">
                  <c:v>-22.59999999999998</c:v>
                </c:pt>
                <c:pt idx="819">
                  <c:v>2.1316282072803006E-14</c:v>
                </c:pt>
                <c:pt idx="820">
                  <c:v>-7.5999999999999783</c:v>
                </c:pt>
                <c:pt idx="821">
                  <c:v>-54.59999999999998</c:v>
                </c:pt>
                <c:pt idx="822">
                  <c:v>2.1316282072803006E-14</c:v>
                </c:pt>
                <c:pt idx="823">
                  <c:v>-34.59999999999998</c:v>
                </c:pt>
                <c:pt idx="824">
                  <c:v>9.1000000000000227</c:v>
                </c:pt>
                <c:pt idx="825">
                  <c:v>2.3092638912203256E-14</c:v>
                </c:pt>
                <c:pt idx="826">
                  <c:v>-29.499999999999979</c:v>
                </c:pt>
                <c:pt idx="827">
                  <c:v>-29.999999999999979</c:v>
                </c:pt>
                <c:pt idx="828">
                  <c:v>2.1316282072803006E-14</c:v>
                </c:pt>
                <c:pt idx="829">
                  <c:v>0.90000000000002134</c:v>
                </c:pt>
                <c:pt idx="830">
                  <c:v>49.800000000000018</c:v>
                </c:pt>
                <c:pt idx="831">
                  <c:v>2.1316282072803006E-14</c:v>
                </c:pt>
                <c:pt idx="832">
                  <c:v>-23.699999999999978</c:v>
                </c:pt>
                <c:pt idx="833">
                  <c:v>-0.59999999999997655</c:v>
                </c:pt>
                <c:pt idx="834">
                  <c:v>2.3425705819590803E-14</c:v>
                </c:pt>
                <c:pt idx="835">
                  <c:v>9.0000000000000231</c:v>
                </c:pt>
                <c:pt idx="836">
                  <c:v>-31.499999999999979</c:v>
                </c:pt>
                <c:pt idx="837">
                  <c:v>2.1316282072803006E-14</c:v>
                </c:pt>
                <c:pt idx="838">
                  <c:v>26.90000000000002</c:v>
                </c:pt>
                <c:pt idx="839">
                  <c:v>28.40000000000002</c:v>
                </c:pt>
                <c:pt idx="840">
                  <c:v>2.1316282072803006E-14</c:v>
                </c:pt>
                <c:pt idx="841">
                  <c:v>-33.799999999999976</c:v>
                </c:pt>
                <c:pt idx="842">
                  <c:v>5.1000000000000227</c:v>
                </c:pt>
                <c:pt idx="843">
                  <c:v>2.3092638912203256E-14</c:v>
                </c:pt>
                <c:pt idx="844">
                  <c:v>-31.799999999999976</c:v>
                </c:pt>
                <c:pt idx="845">
                  <c:v>-1.4999999999999751</c:v>
                </c:pt>
                <c:pt idx="846">
                  <c:v>2.4868995751603507E-14</c:v>
                </c:pt>
                <c:pt idx="847">
                  <c:v>-0.79999999999997518</c:v>
                </c:pt>
                <c:pt idx="848">
                  <c:v>26.900000000000023</c:v>
                </c:pt>
                <c:pt idx="849">
                  <c:v>2.4868995751603507E-14</c:v>
                </c:pt>
                <c:pt idx="850">
                  <c:v>72.000000000000028</c:v>
                </c:pt>
                <c:pt idx="851">
                  <c:v>62.000000000000028</c:v>
                </c:pt>
                <c:pt idx="852">
                  <c:v>2.8421709430404007E-14</c:v>
                </c:pt>
                <c:pt idx="853">
                  <c:v>-32.699999999999974</c:v>
                </c:pt>
                <c:pt idx="854">
                  <c:v>-31.099999999999973</c:v>
                </c:pt>
                <c:pt idx="855">
                  <c:v>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-16.374269005847953</c:v>
                </c:pt>
                <c:pt idx="1">
                  <c:v>-7.1942446043165464</c:v>
                </c:pt>
                <c:pt idx="2">
                  <c:v>12.970168612191959</c:v>
                </c:pt>
                <c:pt idx="3">
                  <c:v>7.0028011204481793</c:v>
                </c:pt>
                <c:pt idx="4">
                  <c:v>-17.214397496087638</c:v>
                </c:pt>
                <c:pt idx="5">
                  <c:v>28.673835125448029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だいち!$K$2:$K$178</c:f>
              <c:numCache>
                <c:formatCode>General</c:formatCode>
                <c:ptCount val="1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</c:numCache>
            </c:numRef>
          </c:xVal>
          <c:yVal>
            <c:numRef>
              <c:f>だいち!$L$2:$L$178</c:f>
              <c:numCache>
                <c:formatCode>\+0.0;\-0.0;\±0</c:formatCode>
                <c:ptCount val="17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1492.0454545454545</c:v>
                </c:pt>
                <c:pt idx="1">
                  <c:v>2251.4619883040937</c:v>
                </c:pt>
                <c:pt idx="2">
                  <c:v>610.49382716049388</c:v>
                </c:pt>
                <c:pt idx="3">
                  <c:v>2192.6666666666665</c:v>
                </c:pt>
                <c:pt idx="4">
                  <c:v>562.40601503759399</c:v>
                </c:pt>
                <c:pt idx="5">
                  <c:v>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りくと!$K$2:$K$147</c:f>
              <c:numCache>
                <c:formatCode>General</c:formatCode>
                <c:ptCount val="1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</c:numCache>
            </c:numRef>
          </c:xVal>
          <c:yVal>
            <c:numRef>
              <c:f>りくと!$L$2:$L$147</c:f>
              <c:numCache>
                <c:formatCode>\+0.0;\-0.0;\±0</c:formatCode>
                <c:ptCount val="14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615.17241379310349</c:v>
                </c:pt>
                <c:pt idx="1">
                  <c:v>-2050.7142857142858</c:v>
                </c:pt>
                <c:pt idx="2">
                  <c:v>495.48872180451127</c:v>
                </c:pt>
                <c:pt idx="3">
                  <c:v>-140.83333333333334</c:v>
                </c:pt>
                <c:pt idx="4">
                  <c:v>727.35849056603774</c:v>
                </c:pt>
                <c:pt idx="5">
                  <c:v>-213.4020618556701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ただ!$L$2:$L$132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-2099.2307692307691</c:v>
                </c:pt>
                <c:pt idx="1">
                  <c:v>-1299.2063492063492</c:v>
                </c:pt>
                <c:pt idx="2">
                  <c:v>-242.73504273504273</c:v>
                </c:pt>
                <c:pt idx="3">
                  <c:v>-2989.6226415094338</c:v>
                </c:pt>
                <c:pt idx="4">
                  <c:v>86.458333333333329</c:v>
                </c:pt>
                <c:pt idx="5">
                  <c:v>-267.05882352941177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れんたろう!$L$2:$L$101</c:f>
              <c:numCache>
                <c:formatCode>\+0.0;\-0.0;\±0</c:formatCode>
                <c:ptCount val="10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97.979797979797979</c:v>
                </c:pt>
                <c:pt idx="1">
                  <c:v>700</c:v>
                </c:pt>
                <c:pt idx="2">
                  <c:v>1482.7586206896551</c:v>
                </c:pt>
                <c:pt idx="3">
                  <c:v>110.3896103896104</c:v>
                </c:pt>
                <c:pt idx="4">
                  <c:v>-1738.2352941176471</c:v>
                </c:pt>
                <c:pt idx="5">
                  <c:v>-578.68852459016398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たかの!$L$2:$L$99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227.83505154639175</c:v>
                </c:pt>
                <c:pt idx="1">
                  <c:v>-1307.2164948453608</c:v>
                </c:pt>
                <c:pt idx="2">
                  <c:v>-710.34482758620686</c:v>
                </c:pt>
                <c:pt idx="3">
                  <c:v>1051.8072289156626</c:v>
                </c:pt>
                <c:pt idx="4">
                  <c:v>-224.67532467532467</c:v>
                </c:pt>
                <c:pt idx="5">
                  <c:v>-531.81818181818187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ぱぱ!$L$2:$L$55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-2686.7924528301887</c:v>
                </c:pt>
                <c:pt idx="1">
                  <c:v>1784.9056603773586</c:v>
                </c:pt>
                <c:pt idx="2">
                  <c:v>-473.46938775510205</c:v>
                </c:pt>
                <c:pt idx="3">
                  <c:v>-4158.695652173913</c:v>
                </c:pt>
                <c:pt idx="4">
                  <c:v>-251.21951219512195</c:v>
                </c:pt>
                <c:pt idx="5">
                  <c:v>-55.263157894736842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937.5</c:v>
                </c:pt>
                <c:pt idx="1">
                  <c:v>205.43478260869566</c:v>
                </c:pt>
                <c:pt idx="2">
                  <c:v>-298.8095238095238</c:v>
                </c:pt>
                <c:pt idx="3">
                  <c:v>1405</c:v>
                </c:pt>
                <c:pt idx="4">
                  <c:v>-1846.5753424657535</c:v>
                </c:pt>
                <c:pt idx="5">
                  <c:v>793.44262295081967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ほたに!$L$2:$L$21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-1789.4736842105262</c:v>
                </c:pt>
                <c:pt idx="1">
                  <c:v>2684.2105263157896</c:v>
                </c:pt>
                <c:pt idx="2">
                  <c:v>-6316.666666666667</c:v>
                </c:pt>
                <c:pt idx="3">
                  <c:v>-950</c:v>
                </c:pt>
                <c:pt idx="4">
                  <c:v>9793.3333333333339</c:v>
                </c:pt>
                <c:pt idx="5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82-46D4-9A25-0099D123C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-5416.666666666667</c:v>
                </c:pt>
                <c:pt idx="1">
                  <c:v>-3366.6666666666665</c:v>
                </c:pt>
                <c:pt idx="2">
                  <c:v>360</c:v>
                </c:pt>
                <c:pt idx="3">
                  <c:v>5680</c:v>
                </c:pt>
                <c:pt idx="4">
                  <c:v>-6525</c:v>
                </c:pt>
                <c:pt idx="5">
                  <c:v>-5350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0-4519-80C9-0FAF9FB6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まっつん2!$B$3:$B$99</c:f>
              <c:numCache>
                <c:formatCode>\+0.0;\-0.0;\±0</c:formatCode>
                <c:ptCount val="9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まっつん2!$C$3:$C$99</c:f>
              <c:numCache>
                <c:formatCode>\+0.0;\-0.0;\±0</c:formatCode>
                <c:ptCount val="97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5.9899999999999993</c:v>
                </c:pt>
                <c:pt idx="61">
                  <c:v>5.6967213114754101</c:v>
                </c:pt>
                <c:pt idx="62">
                  <c:v>5.5741935483870968</c:v>
                </c:pt>
                <c:pt idx="63">
                  <c:v>4.5650793650793657</c:v>
                </c:pt>
                <c:pt idx="64">
                  <c:v>5.0562500000000004</c:v>
                </c:pt>
                <c:pt idx="65">
                  <c:v>5.0553846153846154</c:v>
                </c:pt>
                <c:pt idx="66">
                  <c:v>4.6515151515151514</c:v>
                </c:pt>
                <c:pt idx="67">
                  <c:v>4.0910447761194035</c:v>
                </c:pt>
                <c:pt idx="68">
                  <c:v>4.197058823529412</c:v>
                </c:pt>
                <c:pt idx="69">
                  <c:v>4.7884057971014498</c:v>
                </c:pt>
                <c:pt idx="70">
                  <c:v>5.4642857142857153</c:v>
                </c:pt>
                <c:pt idx="71">
                  <c:v>4.9352112676056343</c:v>
                </c:pt>
                <c:pt idx="72">
                  <c:v>4.2305555555555561</c:v>
                </c:pt>
                <c:pt idx="73">
                  <c:v>3.7671232876712328</c:v>
                </c:pt>
                <c:pt idx="74">
                  <c:v>3.2716216216216214</c:v>
                </c:pt>
                <c:pt idx="75">
                  <c:v>3.4106666666666663</c:v>
                </c:pt>
                <c:pt idx="76">
                  <c:v>2.6092105263157892</c:v>
                </c:pt>
                <c:pt idx="77">
                  <c:v>2.6194805194805193</c:v>
                </c:pt>
                <c:pt idx="78">
                  <c:v>2.4794871794871791</c:v>
                </c:pt>
                <c:pt idx="79">
                  <c:v>1.9189873417721515</c:v>
                </c:pt>
                <c:pt idx="80">
                  <c:v>1.9274999999999995</c:v>
                </c:pt>
                <c:pt idx="81">
                  <c:v>2.6691358024691354</c:v>
                </c:pt>
                <c:pt idx="82">
                  <c:v>2.7536585365853652</c:v>
                </c:pt>
                <c:pt idx="83">
                  <c:v>2.0180722891566258</c:v>
                </c:pt>
                <c:pt idx="84">
                  <c:v>1.5678571428571419</c:v>
                </c:pt>
                <c:pt idx="85">
                  <c:v>1.2141176470588226</c:v>
                </c:pt>
                <c:pt idx="86">
                  <c:v>0.81279069767441781</c:v>
                </c:pt>
                <c:pt idx="87">
                  <c:v>0.21494252873563141</c:v>
                </c:pt>
                <c:pt idx="88">
                  <c:v>-0.5886363636363644</c:v>
                </c:pt>
                <c:pt idx="89">
                  <c:v>-0.84831460674157388</c:v>
                </c:pt>
                <c:pt idx="90">
                  <c:v>-0.73888888888888971</c:v>
                </c:pt>
                <c:pt idx="91">
                  <c:v>-0.43516483516483595</c:v>
                </c:pt>
                <c:pt idx="92">
                  <c:v>-7.6086956521747165E-3</c:v>
                </c:pt>
                <c:pt idx="93">
                  <c:v>0.31827956989247236</c:v>
                </c:pt>
                <c:pt idx="94">
                  <c:v>0.60957446808510563</c:v>
                </c:pt>
                <c:pt idx="95">
                  <c:v>0.4978947368421045</c:v>
                </c:pt>
                <c:pt idx="96">
                  <c:v>0.50937499999999925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324176541567720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まっつん2!$D$3:$D$99</c:f>
              <c:numCache>
                <c:formatCode>0.00\ "位"</c:formatCode>
                <c:ptCount val="97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1.875</c:v>
                </c:pt>
                <c:pt idx="65">
                  <c:v>1.8769230769230769</c:v>
                </c:pt>
                <c:pt idx="66">
                  <c:v>1.8787878787878789</c:v>
                </c:pt>
                <c:pt idx="67">
                  <c:v>1.8955223880597014</c:v>
                </c:pt>
                <c:pt idx="68">
                  <c:v>1.8970588235294117</c:v>
                </c:pt>
                <c:pt idx="69">
                  <c:v>1.8840579710144927</c:v>
                </c:pt>
                <c:pt idx="70">
                  <c:v>1.8714285714285714</c:v>
                </c:pt>
                <c:pt idx="71">
                  <c:v>1.8873239436619718</c:v>
                </c:pt>
                <c:pt idx="72">
                  <c:v>1.9027777777777777</c:v>
                </c:pt>
                <c:pt idx="73">
                  <c:v>1.904109589041096</c:v>
                </c:pt>
                <c:pt idx="74">
                  <c:v>1.9189189189189189</c:v>
                </c:pt>
                <c:pt idx="75">
                  <c:v>1.92</c:v>
                </c:pt>
                <c:pt idx="76">
                  <c:v>1.9342105263157894</c:v>
                </c:pt>
                <c:pt idx="77">
                  <c:v>1.9350649350649352</c:v>
                </c:pt>
                <c:pt idx="78">
                  <c:v>1.9358974358974359</c:v>
                </c:pt>
                <c:pt idx="79">
                  <c:v>1.9493670886075949</c:v>
                </c:pt>
                <c:pt idx="80">
                  <c:v>1.95</c:v>
                </c:pt>
                <c:pt idx="81">
                  <c:v>1.9382716049382716</c:v>
                </c:pt>
                <c:pt idx="82">
                  <c:v>1.9390243902439024</c:v>
                </c:pt>
                <c:pt idx="83">
                  <c:v>1.9518072289156627</c:v>
                </c:pt>
                <c:pt idx="84">
                  <c:v>1.9642857142857142</c:v>
                </c:pt>
                <c:pt idx="85">
                  <c:v>1.9764705882352942</c:v>
                </c:pt>
                <c:pt idx="86">
                  <c:v>1.9883720930232558</c:v>
                </c:pt>
                <c:pt idx="87">
                  <c:v>2</c:v>
                </c:pt>
                <c:pt idx="88">
                  <c:v>2.0113636363636362</c:v>
                </c:pt>
                <c:pt idx="89">
                  <c:v>2.0224719101123596</c:v>
                </c:pt>
                <c:pt idx="90">
                  <c:v>2.0222222222222221</c:v>
                </c:pt>
                <c:pt idx="91">
                  <c:v>2.0109890109890109</c:v>
                </c:pt>
                <c:pt idx="92">
                  <c:v>2</c:v>
                </c:pt>
                <c:pt idx="93">
                  <c:v>1.989247311827957</c:v>
                </c:pt>
                <c:pt idx="94">
                  <c:v>1.9787234042553192</c:v>
                </c:pt>
                <c:pt idx="95">
                  <c:v>1.9789473684210526</c:v>
                </c:pt>
                <c:pt idx="96">
                  <c:v>1.9791666666666667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まっつん2!$E$3:$E$99</c:f>
              <c:numCache>
                <c:formatCode>0.0%</c:formatCode>
                <c:ptCount val="97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0.4098360655737705</c:v>
                </c:pt>
                <c:pt idx="62">
                  <c:v>0.40322580645161288</c:v>
                </c:pt>
                <c:pt idx="63">
                  <c:v>0.3968253968253968</c:v>
                </c:pt>
                <c:pt idx="64">
                  <c:v>0.40625</c:v>
                </c:pt>
                <c:pt idx="65">
                  <c:v>0.4</c:v>
                </c:pt>
                <c:pt idx="66">
                  <c:v>0.39393939393939392</c:v>
                </c:pt>
                <c:pt idx="67">
                  <c:v>0.38805970149253732</c:v>
                </c:pt>
                <c:pt idx="68">
                  <c:v>0.38235294117647056</c:v>
                </c:pt>
                <c:pt idx="69">
                  <c:v>0.39130434782608697</c:v>
                </c:pt>
                <c:pt idx="70">
                  <c:v>0.4</c:v>
                </c:pt>
                <c:pt idx="71">
                  <c:v>0.39436619718309857</c:v>
                </c:pt>
                <c:pt idx="72">
                  <c:v>0.3888888888888889</c:v>
                </c:pt>
                <c:pt idx="73">
                  <c:v>0.38356164383561642</c:v>
                </c:pt>
                <c:pt idx="74">
                  <c:v>0.3783783783783784</c:v>
                </c:pt>
                <c:pt idx="75">
                  <c:v>0.37333333333333335</c:v>
                </c:pt>
                <c:pt idx="76">
                  <c:v>0.36842105263157893</c:v>
                </c:pt>
                <c:pt idx="77">
                  <c:v>0.36363636363636365</c:v>
                </c:pt>
                <c:pt idx="78">
                  <c:v>0.35897435897435898</c:v>
                </c:pt>
                <c:pt idx="79">
                  <c:v>0.35443037974683544</c:v>
                </c:pt>
                <c:pt idx="80">
                  <c:v>0.35</c:v>
                </c:pt>
                <c:pt idx="81">
                  <c:v>0.35802469135802467</c:v>
                </c:pt>
                <c:pt idx="82">
                  <c:v>0.35365853658536583</c:v>
                </c:pt>
                <c:pt idx="83">
                  <c:v>0.3493975903614458</c:v>
                </c:pt>
                <c:pt idx="84">
                  <c:v>0.34523809523809523</c:v>
                </c:pt>
                <c:pt idx="85">
                  <c:v>0.3411764705882353</c:v>
                </c:pt>
                <c:pt idx="86">
                  <c:v>0.33720930232558138</c:v>
                </c:pt>
                <c:pt idx="87">
                  <c:v>0.33333333333333331</c:v>
                </c:pt>
                <c:pt idx="88">
                  <c:v>0.32954545454545453</c:v>
                </c:pt>
                <c:pt idx="89">
                  <c:v>0.3258426966292135</c:v>
                </c:pt>
                <c:pt idx="90">
                  <c:v>0.32222222222222224</c:v>
                </c:pt>
                <c:pt idx="91">
                  <c:v>0.32967032967032966</c:v>
                </c:pt>
                <c:pt idx="92">
                  <c:v>0.33695652173913043</c:v>
                </c:pt>
                <c:pt idx="93">
                  <c:v>0.34408602150537637</c:v>
                </c:pt>
                <c:pt idx="94">
                  <c:v>0.35106382978723405</c:v>
                </c:pt>
                <c:pt idx="95">
                  <c:v>0.3473684210526316</c:v>
                </c:pt>
                <c:pt idx="96">
                  <c:v>0.34375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まっつん2!$F$3:$F$99</c:f>
              <c:numCache>
                <c:formatCode>0.0%</c:formatCode>
                <c:ptCount val="97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0.27692307692307694</c:v>
                </c:pt>
                <c:pt idx="66">
                  <c:v>0.27272727272727271</c:v>
                </c:pt>
                <c:pt idx="67">
                  <c:v>0.28358208955223879</c:v>
                </c:pt>
                <c:pt idx="68">
                  <c:v>0.27941176470588236</c:v>
                </c:pt>
                <c:pt idx="69">
                  <c:v>0.27536231884057971</c:v>
                </c:pt>
                <c:pt idx="70">
                  <c:v>0.27142857142857141</c:v>
                </c:pt>
                <c:pt idx="71">
                  <c:v>0.28169014084507044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0.29729729729729731</c:v>
                </c:pt>
                <c:pt idx="75">
                  <c:v>0.29333333333333333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0.30120481927710846</c:v>
                </c:pt>
                <c:pt idx="84">
                  <c:v>0.30952380952380953</c:v>
                </c:pt>
                <c:pt idx="85">
                  <c:v>0.31764705882352939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0.34831460674157305</c:v>
                </c:pt>
                <c:pt idx="90">
                  <c:v>0.34444444444444444</c:v>
                </c:pt>
                <c:pt idx="91">
                  <c:v>0.34065934065934067</c:v>
                </c:pt>
                <c:pt idx="92">
                  <c:v>0.33695652173913043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まっつん2!$G$3:$G$99</c:f>
              <c:numCache>
                <c:formatCode>0.0%</c:formatCode>
                <c:ptCount val="97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0.30894308943089432</c:v>
                </c:pt>
                <c:pt idx="61">
                  <c:v>0.30645161290322581</c:v>
                </c:pt>
                <c:pt idx="62">
                  <c:v>0.3061630218687873</c:v>
                </c:pt>
                <c:pt idx="63">
                  <c:v>0.30078125</c:v>
                </c:pt>
                <c:pt idx="64">
                  <c:v>0.30250481695568399</c:v>
                </c:pt>
                <c:pt idx="65">
                  <c:v>0.30285714285714288</c:v>
                </c:pt>
                <c:pt idx="66">
                  <c:v>0.29906542056074764</c:v>
                </c:pt>
                <c:pt idx="67">
                  <c:v>0.29520295202952029</c:v>
                </c:pt>
                <c:pt idx="68">
                  <c:v>0.29454545454545455</c:v>
                </c:pt>
                <c:pt idx="69">
                  <c:v>0.29749103942652327</c:v>
                </c:pt>
                <c:pt idx="70">
                  <c:v>0.29720279720279719</c:v>
                </c:pt>
                <c:pt idx="71">
                  <c:v>0.29776247848537007</c:v>
                </c:pt>
                <c:pt idx="72">
                  <c:v>0.29471890971039183</c:v>
                </c:pt>
                <c:pt idx="73">
                  <c:v>0.29194630872483224</c:v>
                </c:pt>
                <c:pt idx="74">
                  <c:v>0.28855721393034828</c:v>
                </c:pt>
                <c:pt idx="75">
                  <c:v>0.28852459016393445</c:v>
                </c:pt>
                <c:pt idx="76">
                  <c:v>0.2861788617886179</c:v>
                </c:pt>
                <c:pt idx="77">
                  <c:v>0.2861736334405145</c:v>
                </c:pt>
                <c:pt idx="78">
                  <c:v>0.28459119496855345</c:v>
                </c:pt>
                <c:pt idx="79">
                  <c:v>0.28217054263565894</c:v>
                </c:pt>
                <c:pt idx="80">
                  <c:v>0.28374233128834359</c:v>
                </c:pt>
                <c:pt idx="81">
                  <c:v>0.28657616892911009</c:v>
                </c:pt>
                <c:pt idx="82">
                  <c:v>0.28528974739970281</c:v>
                </c:pt>
                <c:pt idx="83">
                  <c:v>0.28193832599118945</c:v>
                </c:pt>
                <c:pt idx="84">
                  <c:v>0.27971014492753621</c:v>
                </c:pt>
                <c:pt idx="85">
                  <c:v>0.27873563218390807</c:v>
                </c:pt>
                <c:pt idx="86">
                  <c:v>0.27620396600566571</c:v>
                </c:pt>
                <c:pt idx="87">
                  <c:v>0.27489481065918653</c:v>
                </c:pt>
                <c:pt idx="88">
                  <c:v>0.27323162274618584</c:v>
                </c:pt>
                <c:pt idx="89">
                  <c:v>0.27235213204951858</c:v>
                </c:pt>
                <c:pt idx="90">
                  <c:v>0.27309782608695654</c:v>
                </c:pt>
                <c:pt idx="91">
                  <c:v>0.2767379679144385</c:v>
                </c:pt>
                <c:pt idx="92">
                  <c:v>0.27777777777777779</c:v>
                </c:pt>
                <c:pt idx="93">
                  <c:v>0.27748691099476441</c:v>
                </c:pt>
                <c:pt idx="94">
                  <c:v>0.2779220779220779</c:v>
                </c:pt>
                <c:pt idx="95">
                  <c:v>0.27684346701164297</c:v>
                </c:pt>
                <c:pt idx="96">
                  <c:v>0.27458492975734355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986199126883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まっつん2!$H$3:$H$99</c:f>
              <c:numCache>
                <c:formatCode>0.0%</c:formatCode>
                <c:ptCount val="97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0.15040650406504066</c:v>
                </c:pt>
                <c:pt idx="61">
                  <c:v>0.14919354838709678</c:v>
                </c:pt>
                <c:pt idx="62">
                  <c:v>0.14910536779324055</c:v>
                </c:pt>
                <c:pt idx="63">
                  <c:v>0.1484375</c:v>
                </c:pt>
                <c:pt idx="64">
                  <c:v>0.14836223506743737</c:v>
                </c:pt>
                <c:pt idx="65">
                  <c:v>0.15047619047619049</c:v>
                </c:pt>
                <c:pt idx="66">
                  <c:v>0.15140186915887852</c:v>
                </c:pt>
                <c:pt idx="67">
                  <c:v>0.15313653136531366</c:v>
                </c:pt>
                <c:pt idx="68">
                  <c:v>0.15090909090909091</c:v>
                </c:pt>
                <c:pt idx="69">
                  <c:v>0.14874551971326164</c:v>
                </c:pt>
                <c:pt idx="70">
                  <c:v>0.14685314685314685</c:v>
                </c:pt>
                <c:pt idx="71">
                  <c:v>0.14802065404475043</c:v>
                </c:pt>
                <c:pt idx="72">
                  <c:v>0.14991482112436116</c:v>
                </c:pt>
                <c:pt idx="73">
                  <c:v>0.1476510067114094</c:v>
                </c:pt>
                <c:pt idx="74">
                  <c:v>0.14925373134328357</c:v>
                </c:pt>
                <c:pt idx="75">
                  <c:v>0.14754098360655737</c:v>
                </c:pt>
                <c:pt idx="76">
                  <c:v>0.14959349593495935</c:v>
                </c:pt>
                <c:pt idx="77">
                  <c:v>0.14790996784565916</c:v>
                </c:pt>
                <c:pt idx="78">
                  <c:v>0.14622641509433962</c:v>
                </c:pt>
                <c:pt idx="79">
                  <c:v>0.14728682170542637</c:v>
                </c:pt>
                <c:pt idx="80">
                  <c:v>0.14723926380368099</c:v>
                </c:pt>
                <c:pt idx="81">
                  <c:v>0.14630467571644043</c:v>
                </c:pt>
                <c:pt idx="82">
                  <c:v>0.14710252600297177</c:v>
                </c:pt>
                <c:pt idx="83">
                  <c:v>0.14831130690161526</c:v>
                </c:pt>
                <c:pt idx="84">
                  <c:v>0.14927536231884059</c:v>
                </c:pt>
                <c:pt idx="85">
                  <c:v>0.14942528735632185</c:v>
                </c:pt>
                <c:pt idx="86">
                  <c:v>0.14730878186968838</c:v>
                </c:pt>
                <c:pt idx="87">
                  <c:v>0.15007012622720897</c:v>
                </c:pt>
                <c:pt idx="88">
                  <c:v>0.15117891816920942</c:v>
                </c:pt>
                <c:pt idx="89">
                  <c:v>0.1499312242090784</c:v>
                </c:pt>
                <c:pt idx="90">
                  <c:v>0.15081521739130435</c:v>
                </c:pt>
                <c:pt idx="91">
                  <c:v>0.15240641711229946</c:v>
                </c:pt>
                <c:pt idx="92">
                  <c:v>0.15079365079365079</c:v>
                </c:pt>
                <c:pt idx="93">
                  <c:v>0.15052356020942409</c:v>
                </c:pt>
                <c:pt idx="94">
                  <c:v>0.15064935064935064</c:v>
                </c:pt>
                <c:pt idx="95">
                  <c:v>0.1500646830530401</c:v>
                </c:pt>
                <c:pt idx="96">
                  <c:v>0.14942528735632185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5892127869314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まっつん2!$I$3:$I$99</c:f>
              <c:numCache>
                <c:formatCode>0</c:formatCode>
                <c:ptCount val="97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8948.0263157894733</c:v>
                </c:pt>
                <c:pt idx="61">
                  <c:v>8948.0263157894733</c:v>
                </c:pt>
                <c:pt idx="62">
                  <c:v>8912.9870129870123</c:v>
                </c:pt>
                <c:pt idx="63">
                  <c:v>8912.9870129870123</c:v>
                </c:pt>
                <c:pt idx="64">
                  <c:v>8923.5668789808915</c:v>
                </c:pt>
                <c:pt idx="65">
                  <c:v>8937.1069182389929</c:v>
                </c:pt>
                <c:pt idx="66">
                  <c:v>8905.625</c:v>
                </c:pt>
                <c:pt idx="67">
                  <c:v>8905.625</c:v>
                </c:pt>
                <c:pt idx="68">
                  <c:v>8905.5555555555547</c:v>
                </c:pt>
                <c:pt idx="69">
                  <c:v>8931.9277108433744</c:v>
                </c:pt>
                <c:pt idx="70">
                  <c:v>9014.1176470588234</c:v>
                </c:pt>
                <c:pt idx="71">
                  <c:v>8984.9710982658962</c:v>
                </c:pt>
                <c:pt idx="72">
                  <c:v>8984.9710982658962</c:v>
                </c:pt>
                <c:pt idx="73">
                  <c:v>8979.310344827587</c:v>
                </c:pt>
                <c:pt idx="74">
                  <c:v>8979.310344827587</c:v>
                </c:pt>
                <c:pt idx="75">
                  <c:v>8982.954545454546</c:v>
                </c:pt>
                <c:pt idx="76">
                  <c:v>8982.954545454546</c:v>
                </c:pt>
                <c:pt idx="77">
                  <c:v>8989.8876404494385</c:v>
                </c:pt>
                <c:pt idx="78">
                  <c:v>8916.5745856353587</c:v>
                </c:pt>
                <c:pt idx="79">
                  <c:v>8910.4395604395613</c:v>
                </c:pt>
                <c:pt idx="80">
                  <c:v>8837.8378378378384</c:v>
                </c:pt>
                <c:pt idx="81">
                  <c:v>8883.6842105263149</c:v>
                </c:pt>
                <c:pt idx="82">
                  <c:v>8895.3125</c:v>
                </c:pt>
                <c:pt idx="83">
                  <c:v>8895.3125</c:v>
                </c:pt>
                <c:pt idx="84">
                  <c:v>8861.6580310880836</c:v>
                </c:pt>
                <c:pt idx="85">
                  <c:v>8855.6701030927834</c:v>
                </c:pt>
                <c:pt idx="86">
                  <c:v>8892.3076923076915</c:v>
                </c:pt>
                <c:pt idx="87">
                  <c:v>8861.224489795919</c:v>
                </c:pt>
                <c:pt idx="88">
                  <c:v>8845.6852791878173</c:v>
                </c:pt>
                <c:pt idx="89">
                  <c:v>8841.4141414141413</c:v>
                </c:pt>
                <c:pt idx="90">
                  <c:v>8868.6567164179105</c:v>
                </c:pt>
                <c:pt idx="91">
                  <c:v>8809.6618357487914</c:v>
                </c:pt>
                <c:pt idx="92">
                  <c:v>8806.1904761904771</c:v>
                </c:pt>
                <c:pt idx="93">
                  <c:v>8836.3207547169804</c:v>
                </c:pt>
                <c:pt idx="94">
                  <c:v>8841.5887850467298</c:v>
                </c:pt>
                <c:pt idx="95">
                  <c:v>8841.5887850467298</c:v>
                </c:pt>
                <c:pt idx="96">
                  <c:v>8874.8837209302328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21.40831758034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まっつん2!$J$3:$J$99</c:f>
              <c:numCache>
                <c:formatCode>0</c:formatCode>
                <c:ptCount val="97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-7568</c:v>
                </c:pt>
                <c:pt idx="63">
                  <c:v>-7626.3157894736842</c:v>
                </c:pt>
                <c:pt idx="64">
                  <c:v>-7553.2467532467535</c:v>
                </c:pt>
                <c:pt idx="65">
                  <c:v>-7539.2405063291135</c:v>
                </c:pt>
                <c:pt idx="66">
                  <c:v>-7460.4938271604942</c:v>
                </c:pt>
                <c:pt idx="67">
                  <c:v>-7336.1445783132531</c:v>
                </c:pt>
                <c:pt idx="68">
                  <c:v>-7336.1445783132531</c:v>
                </c:pt>
                <c:pt idx="69">
                  <c:v>-7336.1445783132531</c:v>
                </c:pt>
                <c:pt idx="70">
                  <c:v>-7266.666666666667</c:v>
                </c:pt>
                <c:pt idx="71">
                  <c:v>-7139.5348837209303</c:v>
                </c:pt>
                <c:pt idx="72">
                  <c:v>-7112.5</c:v>
                </c:pt>
                <c:pt idx="73">
                  <c:v>-7112.5</c:v>
                </c:pt>
                <c:pt idx="74">
                  <c:v>-7047.7777777777774</c:v>
                </c:pt>
                <c:pt idx="75">
                  <c:v>-7047.7777777777774</c:v>
                </c:pt>
                <c:pt idx="76">
                  <c:v>-7155.434782608696</c:v>
                </c:pt>
                <c:pt idx="77">
                  <c:v>-7155.434782608696</c:v>
                </c:pt>
                <c:pt idx="78">
                  <c:v>-7161.2903225806449</c:v>
                </c:pt>
                <c:pt idx="79">
                  <c:v>-7164.2105263157891</c:v>
                </c:pt>
                <c:pt idx="80">
                  <c:v>-7110.416666666667</c:v>
                </c:pt>
                <c:pt idx="81">
                  <c:v>-7119.5876288659792</c:v>
                </c:pt>
                <c:pt idx="82">
                  <c:v>-7015.151515151515</c:v>
                </c:pt>
                <c:pt idx="83">
                  <c:v>-7092.0792079207922</c:v>
                </c:pt>
                <c:pt idx="84">
                  <c:v>-7048.5436893203887</c:v>
                </c:pt>
                <c:pt idx="85">
                  <c:v>-7030.7692307692305</c:v>
                </c:pt>
                <c:pt idx="86">
                  <c:v>-7030.7692307692305</c:v>
                </c:pt>
                <c:pt idx="87">
                  <c:v>-7076.6355140186915</c:v>
                </c:pt>
                <c:pt idx="88">
                  <c:v>-7214.6788990825689</c:v>
                </c:pt>
                <c:pt idx="89">
                  <c:v>-7214.6788990825689</c:v>
                </c:pt>
                <c:pt idx="90">
                  <c:v>-7185.5855855855852</c:v>
                </c:pt>
                <c:pt idx="91">
                  <c:v>-7247.3684210526317</c:v>
                </c:pt>
                <c:pt idx="92">
                  <c:v>-7247.3684210526317</c:v>
                </c:pt>
                <c:pt idx="93">
                  <c:v>-7251.304347826087</c:v>
                </c:pt>
                <c:pt idx="94">
                  <c:v>-7257.7586206896549</c:v>
                </c:pt>
                <c:pt idx="95">
                  <c:v>-7257.7586206896549</c:v>
                </c:pt>
                <c:pt idx="96">
                  <c:v>-7229.0598290598291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14.1765704584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まっつん2!$K$3:$K$99</c:f>
              <c:numCache>
                <c:formatCode>0.0%</c:formatCode>
                <c:ptCount val="9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0.15873015873015872</c:v>
                </c:pt>
                <c:pt idx="64">
                  <c:v>0.15625</c:v>
                </c:pt>
                <c:pt idx="65">
                  <c:v>0.15384615384615385</c:v>
                </c:pt>
                <c:pt idx="66">
                  <c:v>0.15151515151515152</c:v>
                </c:pt>
                <c:pt idx="67">
                  <c:v>0.14925373134328357</c:v>
                </c:pt>
                <c:pt idx="68">
                  <c:v>0.14705882352941177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0.14473684210526316</c:v>
                </c:pt>
                <c:pt idx="77">
                  <c:v>0.14285714285714285</c:v>
                </c:pt>
                <c:pt idx="78">
                  <c:v>0.14102564102564102</c:v>
                </c:pt>
                <c:pt idx="79">
                  <c:v>0.13924050632911392</c:v>
                </c:pt>
                <c:pt idx="80">
                  <c:v>0.13750000000000001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0.14457831325301204</c:v>
                </c:pt>
                <c:pt idx="84">
                  <c:v>0.14285714285714285</c:v>
                </c:pt>
                <c:pt idx="85">
                  <c:v>0.14117647058823529</c:v>
                </c:pt>
                <c:pt idx="86">
                  <c:v>0.13953488372093023</c:v>
                </c:pt>
                <c:pt idx="87">
                  <c:v>0.13793103448275862</c:v>
                </c:pt>
                <c:pt idx="88">
                  <c:v>0.14772727272727273</c:v>
                </c:pt>
                <c:pt idx="89">
                  <c:v>0.14606741573033707</c:v>
                </c:pt>
                <c:pt idx="90">
                  <c:v>0.14444444444444443</c:v>
                </c:pt>
                <c:pt idx="91">
                  <c:v>0.14285714285714285</c:v>
                </c:pt>
                <c:pt idx="92">
                  <c:v>0.14130434782608695</c:v>
                </c:pt>
                <c:pt idx="93">
                  <c:v>0.13978494623655913</c:v>
                </c:pt>
                <c:pt idx="94">
                  <c:v>0.13829787234042554</c:v>
                </c:pt>
                <c:pt idx="95">
                  <c:v>0.1368421052631579</c:v>
                </c:pt>
                <c:pt idx="96">
                  <c:v>0.13541666666666666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2807017543859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まっつん2!$L$3:$L$99</c:f>
              <c:numCache>
                <c:formatCode>0.0%</c:formatCode>
                <c:ptCount val="9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  <c:pt idx="63">
                  <c:v>0.14285714285714285</c:v>
                </c:pt>
                <c:pt idx="64">
                  <c:v>0.140625</c:v>
                </c:pt>
                <c:pt idx="65">
                  <c:v>0.13846153846153847</c:v>
                </c:pt>
                <c:pt idx="66">
                  <c:v>0.13636363636363635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0.14492753623188406</c:v>
                </c:pt>
                <c:pt idx="70">
                  <c:v>0.14285714285714285</c:v>
                </c:pt>
                <c:pt idx="71">
                  <c:v>0.14084507042253522</c:v>
                </c:pt>
                <c:pt idx="72">
                  <c:v>0.1388888888888889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2807017543859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まっつん2!$M$3:$M$99</c:f>
              <c:numCache>
                <c:formatCode>0.0%</c:formatCode>
                <c:ptCount val="97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0.29065040650406504</c:v>
                </c:pt>
                <c:pt idx="61">
                  <c:v>0.29032258064516131</c:v>
                </c:pt>
                <c:pt idx="62">
                  <c:v>0.2922465208747515</c:v>
                </c:pt>
                <c:pt idx="63">
                  <c:v>0.29296875</c:v>
                </c:pt>
                <c:pt idx="64">
                  <c:v>0.2947976878612717</c:v>
                </c:pt>
                <c:pt idx="65">
                  <c:v>0.29523809523809524</c:v>
                </c:pt>
                <c:pt idx="66">
                  <c:v>0.29158878504672897</c:v>
                </c:pt>
                <c:pt idx="67">
                  <c:v>0.28966789667896681</c:v>
                </c:pt>
                <c:pt idx="68">
                  <c:v>0.29090909090909089</c:v>
                </c:pt>
                <c:pt idx="69">
                  <c:v>0.29569892473118281</c:v>
                </c:pt>
                <c:pt idx="70">
                  <c:v>0.2937062937062937</c:v>
                </c:pt>
                <c:pt idx="71">
                  <c:v>0.29432013769363169</c:v>
                </c:pt>
                <c:pt idx="72">
                  <c:v>0.29131175468483816</c:v>
                </c:pt>
                <c:pt idx="73">
                  <c:v>0.29026845637583892</c:v>
                </c:pt>
                <c:pt idx="74">
                  <c:v>0.29021558872305142</c:v>
                </c:pt>
                <c:pt idx="75">
                  <c:v>0.29180327868852457</c:v>
                </c:pt>
                <c:pt idx="76">
                  <c:v>0.2943089430894309</c:v>
                </c:pt>
                <c:pt idx="77">
                  <c:v>0.297427652733119</c:v>
                </c:pt>
                <c:pt idx="78">
                  <c:v>0.29402515723270439</c:v>
                </c:pt>
                <c:pt idx="79">
                  <c:v>0.29457364341085274</c:v>
                </c:pt>
                <c:pt idx="80">
                  <c:v>0.29754601226993865</c:v>
                </c:pt>
                <c:pt idx="81">
                  <c:v>0.29864253393665158</c:v>
                </c:pt>
                <c:pt idx="82">
                  <c:v>0.29569093610698366</c:v>
                </c:pt>
                <c:pt idx="83">
                  <c:v>0.29368575624082233</c:v>
                </c:pt>
                <c:pt idx="84">
                  <c:v>0.28985507246376813</c:v>
                </c:pt>
                <c:pt idx="85">
                  <c:v>0.28879310344827586</c:v>
                </c:pt>
                <c:pt idx="86">
                  <c:v>0.28611898016997167</c:v>
                </c:pt>
                <c:pt idx="87">
                  <c:v>0.28611500701262271</c:v>
                </c:pt>
                <c:pt idx="88">
                  <c:v>0.28294036061026351</c:v>
                </c:pt>
                <c:pt idx="89">
                  <c:v>0.28198074277854196</c:v>
                </c:pt>
                <c:pt idx="90">
                  <c:v>0.27989130434782611</c:v>
                </c:pt>
                <c:pt idx="91">
                  <c:v>0.28074866310160429</c:v>
                </c:pt>
                <c:pt idx="92">
                  <c:v>0.28042328042328041</c:v>
                </c:pt>
                <c:pt idx="93">
                  <c:v>0.281413612565445</c:v>
                </c:pt>
                <c:pt idx="94">
                  <c:v>0.2818181818181818</c:v>
                </c:pt>
                <c:pt idx="95">
                  <c:v>0.28072445019404918</c:v>
                </c:pt>
                <c:pt idx="96">
                  <c:v>0.27713920817369092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235600619631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まっつん2!$N$3:$N$99</c:f>
              <c:numCache>
                <c:formatCode>0.0%</c:formatCode>
                <c:ptCount val="97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0.17886178861788618</c:v>
                </c:pt>
                <c:pt idx="61">
                  <c:v>0.18145161290322581</c:v>
                </c:pt>
                <c:pt idx="62">
                  <c:v>0.17892644135188868</c:v>
                </c:pt>
                <c:pt idx="63">
                  <c:v>0.177734375</c:v>
                </c:pt>
                <c:pt idx="64">
                  <c:v>0.17533718689788053</c:v>
                </c:pt>
                <c:pt idx="65">
                  <c:v>0.17714285714285713</c:v>
                </c:pt>
                <c:pt idx="66">
                  <c:v>0.18130841121495328</c:v>
                </c:pt>
                <c:pt idx="67">
                  <c:v>0.18265682656826568</c:v>
                </c:pt>
                <c:pt idx="68">
                  <c:v>0.18181818181818182</c:v>
                </c:pt>
                <c:pt idx="69">
                  <c:v>0.17921146953405018</c:v>
                </c:pt>
                <c:pt idx="70">
                  <c:v>0.18356643356643357</c:v>
                </c:pt>
                <c:pt idx="71">
                  <c:v>0.18588640275387264</c:v>
                </c:pt>
                <c:pt idx="72">
                  <c:v>0.18568994889267462</c:v>
                </c:pt>
                <c:pt idx="73">
                  <c:v>0.18456375838926176</c:v>
                </c:pt>
                <c:pt idx="74">
                  <c:v>0.18573797678275289</c:v>
                </c:pt>
                <c:pt idx="75">
                  <c:v>0.18360655737704917</c:v>
                </c:pt>
                <c:pt idx="76">
                  <c:v>0.1821138211382114</c:v>
                </c:pt>
                <c:pt idx="77">
                  <c:v>0.18006430868167203</c:v>
                </c:pt>
                <c:pt idx="78">
                  <c:v>0.17767295597484276</c:v>
                </c:pt>
                <c:pt idx="79">
                  <c:v>0.17674418604651163</c:v>
                </c:pt>
                <c:pt idx="80">
                  <c:v>0.17484662576687116</c:v>
                </c:pt>
                <c:pt idx="81">
                  <c:v>0.17496229260935142</c:v>
                </c:pt>
                <c:pt idx="82">
                  <c:v>0.17533432392273401</c:v>
                </c:pt>
                <c:pt idx="83">
                  <c:v>0.17474302496328928</c:v>
                </c:pt>
                <c:pt idx="84">
                  <c:v>0.17681159420289855</c:v>
                </c:pt>
                <c:pt idx="85">
                  <c:v>0.17816091954022989</c:v>
                </c:pt>
                <c:pt idx="86">
                  <c:v>0.17705382436260622</c:v>
                </c:pt>
                <c:pt idx="87">
                  <c:v>0.17671809256661991</c:v>
                </c:pt>
                <c:pt idx="88">
                  <c:v>0.17891816920943135</c:v>
                </c:pt>
                <c:pt idx="89">
                  <c:v>0.17744154057771663</c:v>
                </c:pt>
                <c:pt idx="90">
                  <c:v>0.18070652173913043</c:v>
                </c:pt>
                <c:pt idx="91">
                  <c:v>0.18449197860962566</c:v>
                </c:pt>
                <c:pt idx="92">
                  <c:v>0.18386243386243387</c:v>
                </c:pt>
                <c:pt idx="93">
                  <c:v>0.18324607329842932</c:v>
                </c:pt>
                <c:pt idx="94">
                  <c:v>0.18311688311688312</c:v>
                </c:pt>
                <c:pt idx="95">
                  <c:v>0.18240620957309184</c:v>
                </c:pt>
                <c:pt idx="96">
                  <c:v>0.18135376756066413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25207717222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まっつん2!$O$3:$O$99</c:f>
              <c:numCache>
                <c:formatCode>0.0%</c:formatCode>
                <c:ptCount val="97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0.65734265734265729</c:v>
                </c:pt>
                <c:pt idx="61">
                  <c:v>0.65277777777777779</c:v>
                </c:pt>
                <c:pt idx="62">
                  <c:v>0.65306122448979587</c:v>
                </c:pt>
                <c:pt idx="63">
                  <c:v>0.64</c:v>
                </c:pt>
                <c:pt idx="64">
                  <c:v>0.64052287581699341</c:v>
                </c:pt>
                <c:pt idx="65">
                  <c:v>0.64516129032258063</c:v>
                </c:pt>
                <c:pt idx="66">
                  <c:v>0.64102564102564108</c:v>
                </c:pt>
                <c:pt idx="67">
                  <c:v>0.63694267515923564</c:v>
                </c:pt>
                <c:pt idx="68">
                  <c:v>0.63749999999999996</c:v>
                </c:pt>
                <c:pt idx="69">
                  <c:v>0.64242424242424245</c:v>
                </c:pt>
                <c:pt idx="70">
                  <c:v>0.6428571428571429</c:v>
                </c:pt>
                <c:pt idx="71">
                  <c:v>0.63742690058479534</c:v>
                </c:pt>
                <c:pt idx="72">
                  <c:v>0.63742690058479534</c:v>
                </c:pt>
                <c:pt idx="73">
                  <c:v>0.63583815028901736</c:v>
                </c:pt>
                <c:pt idx="74">
                  <c:v>0.62857142857142856</c:v>
                </c:pt>
                <c:pt idx="75">
                  <c:v>0.6292134831460674</c:v>
                </c:pt>
                <c:pt idx="76">
                  <c:v>0.61878453038674031</c:v>
                </c:pt>
                <c:pt idx="77">
                  <c:v>0.61621621621621625</c:v>
                </c:pt>
                <c:pt idx="78">
                  <c:v>0.60962566844919786</c:v>
                </c:pt>
                <c:pt idx="79">
                  <c:v>0.60526315789473684</c:v>
                </c:pt>
                <c:pt idx="80">
                  <c:v>0.60309278350515461</c:v>
                </c:pt>
                <c:pt idx="81">
                  <c:v>0.61111111111111116</c:v>
                </c:pt>
                <c:pt idx="82">
                  <c:v>0.60804020100502509</c:v>
                </c:pt>
                <c:pt idx="83">
                  <c:v>0.60499999999999998</c:v>
                </c:pt>
                <c:pt idx="84">
                  <c:v>0.60499999999999998</c:v>
                </c:pt>
                <c:pt idx="85">
                  <c:v>0.60199004975124382</c:v>
                </c:pt>
                <c:pt idx="86">
                  <c:v>0.60396039603960394</c:v>
                </c:pt>
                <c:pt idx="87">
                  <c:v>0.6029411764705882</c:v>
                </c:pt>
                <c:pt idx="88">
                  <c:v>0.6029411764705882</c:v>
                </c:pt>
                <c:pt idx="89">
                  <c:v>0.60487804878048779</c:v>
                </c:pt>
                <c:pt idx="90">
                  <c:v>0.60679611650485432</c:v>
                </c:pt>
                <c:pt idx="91">
                  <c:v>0.61428571428571432</c:v>
                </c:pt>
                <c:pt idx="92">
                  <c:v>0.61792452830188682</c:v>
                </c:pt>
                <c:pt idx="93">
                  <c:v>0.61395348837209307</c:v>
                </c:pt>
                <c:pt idx="94">
                  <c:v>0.61290322580645162</c:v>
                </c:pt>
                <c:pt idx="95">
                  <c:v>0.61290322580645162</c:v>
                </c:pt>
                <c:pt idx="96">
                  <c:v>0.61290322580645162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042399172699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まっつん2!$P$3:$P$99</c:f>
              <c:numCache>
                <c:formatCode>0.0%</c:formatCode>
                <c:ptCount val="97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0.36666666666666664</c:v>
                </c:pt>
                <c:pt idx="62">
                  <c:v>0.36666666666666664</c:v>
                </c:pt>
                <c:pt idx="63">
                  <c:v>0.36263736263736263</c:v>
                </c:pt>
                <c:pt idx="64">
                  <c:v>0.36263736263736263</c:v>
                </c:pt>
                <c:pt idx="65">
                  <c:v>0.35483870967741937</c:v>
                </c:pt>
                <c:pt idx="66">
                  <c:v>0.35051546391752575</c:v>
                </c:pt>
                <c:pt idx="67">
                  <c:v>0.34343434343434343</c:v>
                </c:pt>
                <c:pt idx="68">
                  <c:v>0.34</c:v>
                </c:pt>
                <c:pt idx="69">
                  <c:v>0.34</c:v>
                </c:pt>
                <c:pt idx="70">
                  <c:v>0.33333333333333331</c:v>
                </c:pt>
                <c:pt idx="71">
                  <c:v>0.34259259259259262</c:v>
                </c:pt>
                <c:pt idx="72">
                  <c:v>0.33944954128440369</c:v>
                </c:pt>
                <c:pt idx="73">
                  <c:v>0.33636363636363636</c:v>
                </c:pt>
                <c:pt idx="74">
                  <c:v>0.33035714285714285</c:v>
                </c:pt>
                <c:pt idx="75">
                  <c:v>0.33035714285714285</c:v>
                </c:pt>
                <c:pt idx="76">
                  <c:v>0.33035714285714285</c:v>
                </c:pt>
                <c:pt idx="77">
                  <c:v>0.33035714285714285</c:v>
                </c:pt>
                <c:pt idx="78">
                  <c:v>0.33628318584070799</c:v>
                </c:pt>
                <c:pt idx="79">
                  <c:v>0.33333333333333331</c:v>
                </c:pt>
                <c:pt idx="80">
                  <c:v>0.33333333333333331</c:v>
                </c:pt>
                <c:pt idx="81">
                  <c:v>0.33620689655172414</c:v>
                </c:pt>
                <c:pt idx="82">
                  <c:v>0.34745762711864409</c:v>
                </c:pt>
                <c:pt idx="83">
                  <c:v>0.34453781512605042</c:v>
                </c:pt>
                <c:pt idx="84">
                  <c:v>0.33606557377049179</c:v>
                </c:pt>
                <c:pt idx="85">
                  <c:v>0.33870967741935482</c:v>
                </c:pt>
                <c:pt idx="86">
                  <c:v>0.33600000000000002</c:v>
                </c:pt>
                <c:pt idx="87">
                  <c:v>0.33333333333333331</c:v>
                </c:pt>
                <c:pt idx="88">
                  <c:v>0.33333333333333331</c:v>
                </c:pt>
                <c:pt idx="89">
                  <c:v>0.33333333333333331</c:v>
                </c:pt>
                <c:pt idx="90">
                  <c:v>0.33834586466165412</c:v>
                </c:pt>
                <c:pt idx="91">
                  <c:v>0.34057971014492755</c:v>
                </c:pt>
                <c:pt idx="92">
                  <c:v>0.33812949640287771</c:v>
                </c:pt>
                <c:pt idx="93">
                  <c:v>0.33571428571428569</c:v>
                </c:pt>
                <c:pt idx="94">
                  <c:v>0.34042553191489361</c:v>
                </c:pt>
                <c:pt idx="95">
                  <c:v>0.34042553191489361</c:v>
                </c:pt>
                <c:pt idx="96">
                  <c:v>0.3380281690140845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6517079705291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まっつん2!$A$3:$A$99</c:f>
              <c:numCache>
                <c:formatCode>0\ "回"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まっつん2!$Q$3:$Q$99</c:f>
              <c:numCache>
                <c:formatCode>0.0%</c:formatCode>
                <c:ptCount val="97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0.44736842105263158</c:v>
                </c:pt>
                <c:pt idx="61">
                  <c:v>0.44736842105263158</c:v>
                </c:pt>
                <c:pt idx="62">
                  <c:v>0.44805194805194803</c:v>
                </c:pt>
                <c:pt idx="63">
                  <c:v>0.44805194805194803</c:v>
                </c:pt>
                <c:pt idx="64">
                  <c:v>0.45222929936305734</c:v>
                </c:pt>
                <c:pt idx="65">
                  <c:v>0.44654088050314467</c:v>
                </c:pt>
                <c:pt idx="66">
                  <c:v>0.44374999999999998</c:v>
                </c:pt>
                <c:pt idx="67">
                  <c:v>0.44374999999999998</c:v>
                </c:pt>
                <c:pt idx="68">
                  <c:v>0.43827160493827161</c:v>
                </c:pt>
                <c:pt idx="69">
                  <c:v>0.43975903614457829</c:v>
                </c:pt>
                <c:pt idx="70">
                  <c:v>0.44705882352941179</c:v>
                </c:pt>
                <c:pt idx="71">
                  <c:v>0.44508670520231214</c:v>
                </c:pt>
                <c:pt idx="72">
                  <c:v>0.44508670520231214</c:v>
                </c:pt>
                <c:pt idx="73">
                  <c:v>0.44252873563218392</c:v>
                </c:pt>
                <c:pt idx="74">
                  <c:v>0.44252873563218392</c:v>
                </c:pt>
                <c:pt idx="75">
                  <c:v>0.4375</c:v>
                </c:pt>
                <c:pt idx="76">
                  <c:v>0.4375</c:v>
                </c:pt>
                <c:pt idx="77">
                  <c:v>0.43820224719101125</c:v>
                </c:pt>
                <c:pt idx="78">
                  <c:v>0.43646408839779005</c:v>
                </c:pt>
                <c:pt idx="79">
                  <c:v>0.43956043956043955</c:v>
                </c:pt>
                <c:pt idx="80">
                  <c:v>0.43783783783783786</c:v>
                </c:pt>
                <c:pt idx="81">
                  <c:v>0.43157894736842106</c:v>
                </c:pt>
                <c:pt idx="82">
                  <c:v>0.42708333333333331</c:v>
                </c:pt>
                <c:pt idx="83">
                  <c:v>0.42708333333333331</c:v>
                </c:pt>
                <c:pt idx="84">
                  <c:v>0.42487046632124353</c:v>
                </c:pt>
                <c:pt idx="85">
                  <c:v>0.42268041237113402</c:v>
                </c:pt>
                <c:pt idx="86">
                  <c:v>0.42051282051282052</c:v>
                </c:pt>
                <c:pt idx="87">
                  <c:v>0.42346938775510207</c:v>
                </c:pt>
                <c:pt idx="88">
                  <c:v>0.42131979695431471</c:v>
                </c:pt>
                <c:pt idx="89">
                  <c:v>0.42424242424242425</c:v>
                </c:pt>
                <c:pt idx="90">
                  <c:v>0.42786069651741293</c:v>
                </c:pt>
                <c:pt idx="91">
                  <c:v>0.43961352657004832</c:v>
                </c:pt>
                <c:pt idx="92">
                  <c:v>0.44761904761904764</c:v>
                </c:pt>
                <c:pt idx="93">
                  <c:v>0.44811320754716982</c:v>
                </c:pt>
                <c:pt idx="94">
                  <c:v>0.45327102803738317</c:v>
                </c:pt>
                <c:pt idx="95">
                  <c:v>0.45327102803738317</c:v>
                </c:pt>
                <c:pt idx="96">
                  <c:v>0.45581395348837211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255198487712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4">
        <v>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89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43607.87667824074</v>
      </c>
      <c r="C44" s="30" t="s">
        <v>130</v>
      </c>
    </row>
    <row r="45" spans="1:11" x14ac:dyDescent="0.4">
      <c r="A45" s="30" t="s">
        <v>230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43607.920266203706</v>
      </c>
      <c r="C47" s="30" t="s">
        <v>130</v>
      </c>
    </row>
    <row r="48" spans="1:11" x14ac:dyDescent="0.4">
      <c r="A48" s="30" t="s">
        <v>235</v>
      </c>
      <c r="B48" s="31">
        <v>43609.644525462965</v>
      </c>
      <c r="C48" s="30" t="s">
        <v>130</v>
      </c>
    </row>
    <row r="49" spans="1:7" x14ac:dyDescent="0.4">
      <c r="A49" s="30" t="s">
        <v>234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43613.63894675926</v>
      </c>
      <c r="C52" s="30" t="s">
        <v>130</v>
      </c>
    </row>
    <row r="53" spans="1:7" x14ac:dyDescent="0.4">
      <c r="A53" s="30" t="s">
        <v>239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43618.036354166667</v>
      </c>
      <c r="C55" s="30" t="s">
        <v>130</v>
      </c>
    </row>
    <row r="56" spans="1:7" x14ac:dyDescent="0.4">
      <c r="A56" s="30" t="s">
        <v>242</v>
      </c>
      <c r="B56" s="31">
        <v>43619.976898148147</v>
      </c>
      <c r="C56" s="30" t="s">
        <v>130</v>
      </c>
    </row>
    <row r="57" spans="1:7" x14ac:dyDescent="0.4">
      <c r="A57" s="30" t="s">
        <v>243</v>
      </c>
      <c r="B57" s="31">
        <v>43620.019814814812</v>
      </c>
      <c r="C57" s="30" t="s">
        <v>130</v>
      </c>
    </row>
    <row r="58" spans="1:7" x14ac:dyDescent="0.4">
      <c r="A58" s="30" t="s">
        <v>244</v>
      </c>
      <c r="B58" s="31">
        <v>43620.765509259261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43622.069513888891</v>
      </c>
      <c r="C59" s="30" t="s">
        <v>130</v>
      </c>
    </row>
    <row r="60" spans="1:7" x14ac:dyDescent="0.4">
      <c r="A60" s="30" t="s">
        <v>250</v>
      </c>
      <c r="B60" s="31">
        <v>43624.129907407405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43624.873993055553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43625.885787037034</v>
      </c>
      <c r="C62" s="30" t="s">
        <v>130</v>
      </c>
    </row>
    <row r="63" spans="1:7" x14ac:dyDescent="0.4">
      <c r="A63" s="30" t="s">
        <v>253</v>
      </c>
      <c r="B63" s="31">
        <v>43627.998032407406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43636.961435185185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43630.051932870374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43632.957395833335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43632.957395833335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43633.013645833336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43636.961435185185</v>
      </c>
      <c r="C69" s="30" t="s">
        <v>130</v>
      </c>
    </row>
    <row r="70" spans="1:6" x14ac:dyDescent="0.4">
      <c r="A70" s="30" t="s">
        <v>260</v>
      </c>
      <c r="B70" s="31">
        <v>43636.961435185185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43642.023356481484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43643.036689814813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43644.044224537036</v>
      </c>
      <c r="C73" s="30" t="s">
        <v>130</v>
      </c>
    </row>
    <row r="74" spans="1:6" x14ac:dyDescent="0.4">
      <c r="A74" s="30" t="s">
        <v>264</v>
      </c>
      <c r="B74" s="31">
        <v>43644.021412037036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43647.957407407404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43647.957407407404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43647.957407407404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43647.957407407404</v>
      </c>
      <c r="C78" s="30" t="s">
        <v>130</v>
      </c>
      <c r="D78" s="30" t="s">
        <v>131</v>
      </c>
    </row>
    <row r="79" spans="1:6" x14ac:dyDescent="0.4">
      <c r="A79" s="30" t="s">
        <v>269</v>
      </c>
      <c r="B79" s="31">
        <v>43647.957407407404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43649.374351851853</v>
      </c>
      <c r="C80" s="30" t="s">
        <v>130</v>
      </c>
      <c r="D80" s="30" t="s">
        <v>131</v>
      </c>
    </row>
    <row r="81" spans="1:8" x14ac:dyDescent="0.4">
      <c r="A81" s="30" t="s">
        <v>272</v>
      </c>
      <c r="B81" s="31">
        <v>43650.940601851849</v>
      </c>
      <c r="C81" s="30" t="s">
        <v>130</v>
      </c>
      <c r="D81" s="30" t="s">
        <v>131</v>
      </c>
      <c r="E81" s="30" t="s">
        <v>169</v>
      </c>
    </row>
    <row r="82" spans="1:8" x14ac:dyDescent="0.4">
      <c r="A82" s="30" t="s">
        <v>273</v>
      </c>
      <c r="B82" s="31">
        <v>43651.059791666667</v>
      </c>
      <c r="C82" s="30" t="s">
        <v>130</v>
      </c>
      <c r="D82" s="30" t="s">
        <v>131</v>
      </c>
      <c r="E82" s="30" t="s">
        <v>169</v>
      </c>
    </row>
    <row r="83" spans="1:8" x14ac:dyDescent="0.4">
      <c r="A83" s="30" t="s">
        <v>274</v>
      </c>
      <c r="B83" s="31">
        <v>43652.105497685188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8" x14ac:dyDescent="0.4">
      <c r="A84" s="30" t="s">
        <v>275</v>
      </c>
      <c r="B84" s="31">
        <v>43654.012615740743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8" x14ac:dyDescent="0.4">
      <c r="A85" s="30" t="s">
        <v>276</v>
      </c>
      <c r="B85" s="31">
        <v>43656.455613425926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8" x14ac:dyDescent="0.4">
      <c r="A86" s="30" t="s">
        <v>277</v>
      </c>
      <c r="B86" s="31">
        <v>43657.676585648151</v>
      </c>
      <c r="C86" s="30" t="s">
        <v>130</v>
      </c>
    </row>
    <row r="87" spans="1:8" x14ac:dyDescent="0.4">
      <c r="A87" s="30" t="s">
        <v>278</v>
      </c>
      <c r="B87" s="31">
        <v>43658.032430555555</v>
      </c>
      <c r="C87" s="30" t="s">
        <v>130</v>
      </c>
      <c r="D87" s="30" t="s">
        <v>131</v>
      </c>
      <c r="E87" s="30" t="s">
        <v>169</v>
      </c>
    </row>
    <row r="88" spans="1:8" x14ac:dyDescent="0.4">
      <c r="A88" s="30" t="s">
        <v>279</v>
      </c>
      <c r="B88" s="31">
        <v>43659.055625000001</v>
      </c>
      <c r="C88" s="30" t="s">
        <v>130</v>
      </c>
      <c r="D88" s="30" t="s">
        <v>131</v>
      </c>
      <c r="E88" s="30" t="s">
        <v>169</v>
      </c>
    </row>
    <row r="89" spans="1:8" x14ac:dyDescent="0.4">
      <c r="A89" s="30" t="s">
        <v>280</v>
      </c>
      <c r="B89" s="31">
        <v>43660.091122685182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855</v>
      </c>
    </row>
    <row r="2" spans="1:2" x14ac:dyDescent="0.4">
      <c r="A2" t="s">
        <v>127</v>
      </c>
      <c r="B2">
        <v>176</v>
      </c>
    </row>
    <row r="3" spans="1:2" x14ac:dyDescent="0.4">
      <c r="A3" t="s">
        <v>128</v>
      </c>
      <c r="B3">
        <v>145</v>
      </c>
    </row>
    <row r="4" spans="1:2" x14ac:dyDescent="0.4">
      <c r="A4" t="s">
        <v>129</v>
      </c>
      <c r="B4">
        <v>130</v>
      </c>
    </row>
    <row r="5" spans="1:2" x14ac:dyDescent="0.4">
      <c r="A5" t="s">
        <v>171</v>
      </c>
      <c r="B5">
        <v>99</v>
      </c>
    </row>
    <row r="6" spans="1:2" x14ac:dyDescent="0.4">
      <c r="A6" t="s">
        <v>172</v>
      </c>
      <c r="B6">
        <v>97</v>
      </c>
    </row>
    <row r="7" spans="1:2" x14ac:dyDescent="0.4">
      <c r="A7" t="s">
        <v>173</v>
      </c>
      <c r="B7">
        <v>53</v>
      </c>
    </row>
    <row r="8" spans="1:2" x14ac:dyDescent="0.4">
      <c r="A8" t="s">
        <v>177</v>
      </c>
      <c r="B8">
        <v>96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19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162</v>
      </c>
      <c r="K1" s="163"/>
      <c r="L1" s="162" t="s">
        <v>149</v>
      </c>
      <c r="M1" s="163"/>
      <c r="N1" s="162" t="s">
        <v>150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141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151</v>
      </c>
      <c r="AE1" s="163"/>
      <c r="AF1" s="162" t="s">
        <v>144</v>
      </c>
      <c r="AG1" s="163"/>
      <c r="AH1" s="162" t="s">
        <v>153</v>
      </c>
      <c r="AI1" s="163"/>
    </row>
    <row r="2" spans="1:35" x14ac:dyDescent="0.4">
      <c r="A2" s="72" t="s">
        <v>161</v>
      </c>
      <c r="B2" s="164"/>
      <c r="C2" s="165"/>
      <c r="D2" s="164"/>
      <c r="E2" s="165"/>
      <c r="F2" s="160">
        <v>0.96502985391072804</v>
      </c>
      <c r="G2" s="161"/>
      <c r="H2" s="160">
        <v>0.66249700908019604</v>
      </c>
      <c r="I2" s="161"/>
      <c r="J2" s="160">
        <v>0.90347940966320417</v>
      </c>
      <c r="K2" s="161"/>
      <c r="L2" s="160">
        <v>0.68400655397820209</v>
      </c>
      <c r="M2" s="161"/>
      <c r="N2" s="160">
        <v>0.71428507627671711</v>
      </c>
      <c r="O2" s="161"/>
      <c r="P2" s="160">
        <v>0.29771285201663905</v>
      </c>
      <c r="Q2" s="161"/>
      <c r="R2" s="160">
        <v>0.56300013720676823</v>
      </c>
      <c r="S2" s="161"/>
      <c r="T2" s="160">
        <v>0.63511591339202533</v>
      </c>
      <c r="U2" s="161"/>
      <c r="V2" s="160">
        <v>0.4622596789724428</v>
      </c>
      <c r="W2" s="161"/>
      <c r="X2" s="160">
        <v>0.60802817853125635</v>
      </c>
      <c r="Y2" s="161"/>
      <c r="Z2" s="160">
        <v>5.9396121742566851E-2</v>
      </c>
      <c r="AA2" s="161"/>
      <c r="AB2" s="160">
        <v>-9.3955452510531792E-2</v>
      </c>
      <c r="AC2" s="161"/>
      <c r="AD2" s="160">
        <v>0.71699705524423096</v>
      </c>
      <c r="AE2" s="161"/>
      <c r="AF2" s="160">
        <v>-6.9491394721122781E-3</v>
      </c>
      <c r="AG2" s="161"/>
      <c r="AH2" s="160">
        <v>0.58533142836414154</v>
      </c>
      <c r="AI2" s="161"/>
    </row>
    <row r="3" spans="1:35" x14ac:dyDescent="0.4">
      <c r="A3" s="74">
        <v>1</v>
      </c>
      <c r="B3" s="75" t="s">
        <v>127</v>
      </c>
      <c r="C3" s="76">
        <v>2055.5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0.31440443213296398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223</v>
      </c>
      <c r="C4" s="84">
        <v>100.39999999999999</v>
      </c>
      <c r="D4" s="85" t="s">
        <v>223</v>
      </c>
      <c r="E4" s="97">
        <v>16.733333333333331</v>
      </c>
      <c r="F4" s="85" t="s">
        <v>127</v>
      </c>
      <c r="G4" s="86">
        <v>1.7784090909090908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0.34285714285714286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-6825</v>
      </c>
      <c r="T4" s="85" t="s">
        <v>222</v>
      </c>
      <c r="U4" s="87">
        <v>0</v>
      </c>
      <c r="V4" s="85" t="s">
        <v>127</v>
      </c>
      <c r="W4" s="87">
        <v>0.17045454545454544</v>
      </c>
      <c r="X4" s="85" t="s">
        <v>128</v>
      </c>
      <c r="Y4" s="88">
        <v>0.29722921914357681</v>
      </c>
      <c r="Z4" s="85" t="s">
        <v>271</v>
      </c>
      <c r="AA4" s="88">
        <v>0.35714285714285715</v>
      </c>
      <c r="AB4" s="85" t="s">
        <v>271</v>
      </c>
      <c r="AC4" s="88">
        <v>0.7</v>
      </c>
      <c r="AD4" s="85" t="s">
        <v>127</v>
      </c>
      <c r="AE4" s="88">
        <v>0.51324503311258274</v>
      </c>
      <c r="AF4" s="85" t="s">
        <v>200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200</v>
      </c>
      <c r="C5" s="84">
        <v>94.299999999999983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0.46590909090909088</v>
      </c>
      <c r="J5" s="85" t="s">
        <v>200</v>
      </c>
      <c r="K5" s="87">
        <v>0.21052631578947367</v>
      </c>
      <c r="L5" s="85" t="s">
        <v>127</v>
      </c>
      <c r="M5" s="88">
        <v>0.33795013850415512</v>
      </c>
      <c r="N5" s="85" t="s">
        <v>223</v>
      </c>
      <c r="O5" s="88">
        <v>0.13043478260869565</v>
      </c>
      <c r="P5" s="85" t="s">
        <v>171</v>
      </c>
      <c r="Q5" s="89">
        <v>10025.321888412018</v>
      </c>
      <c r="R5" s="85" t="s">
        <v>177</v>
      </c>
      <c r="S5" s="89">
        <v>-7229.0598290598291</v>
      </c>
      <c r="T5" s="85" t="s">
        <v>223</v>
      </c>
      <c r="U5" s="87">
        <v>0</v>
      </c>
      <c r="V5" s="85" t="s">
        <v>171</v>
      </c>
      <c r="W5" s="87">
        <v>0.15151515151515152</v>
      </c>
      <c r="X5" s="85" t="s">
        <v>171</v>
      </c>
      <c r="Y5" s="88">
        <v>0.28902439024390242</v>
      </c>
      <c r="Z5" s="85" t="s">
        <v>200</v>
      </c>
      <c r="AA5" s="88">
        <v>0.31428571428571428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0.50381679389312972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183</v>
      </c>
      <c r="C6" s="84">
        <v>61</v>
      </c>
      <c r="D6" s="85" t="s">
        <v>127</v>
      </c>
      <c r="E6" s="97">
        <v>11.678977272727273</v>
      </c>
      <c r="F6" s="85" t="s">
        <v>200</v>
      </c>
      <c r="G6" s="86">
        <v>1.8421052631578947</v>
      </c>
      <c r="H6" s="85" t="s">
        <v>200</v>
      </c>
      <c r="I6" s="87">
        <v>0.36842105263157893</v>
      </c>
      <c r="J6" s="85" t="s">
        <v>127</v>
      </c>
      <c r="K6" s="87">
        <v>0.24431818181818182</v>
      </c>
      <c r="L6" s="85" t="s">
        <v>172</v>
      </c>
      <c r="M6" s="88">
        <v>0.33740831295843521</v>
      </c>
      <c r="N6" s="85" t="s">
        <v>172</v>
      </c>
      <c r="O6" s="88">
        <v>0.14180929095354522</v>
      </c>
      <c r="P6" s="85" t="s">
        <v>127</v>
      </c>
      <c r="Q6" s="89">
        <v>9281.3524590163943</v>
      </c>
      <c r="R6" s="85" t="s">
        <v>128</v>
      </c>
      <c r="S6" s="89">
        <v>-7753.3980582524273</v>
      </c>
      <c r="T6" s="85" t="s">
        <v>172</v>
      </c>
      <c r="U6" s="87">
        <v>5.1546391752577317E-2</v>
      </c>
      <c r="V6" s="85" t="s">
        <v>145</v>
      </c>
      <c r="W6" s="87">
        <v>0.12280701754385964</v>
      </c>
      <c r="X6" s="85" t="s">
        <v>177</v>
      </c>
      <c r="Y6" s="88">
        <v>0.27713920817369092</v>
      </c>
      <c r="Z6" s="85" t="s">
        <v>172</v>
      </c>
      <c r="AA6" s="88">
        <v>0.2823960880195599</v>
      </c>
      <c r="AB6" s="85" t="s">
        <v>200</v>
      </c>
      <c r="AC6" s="88">
        <v>0.62790697674418605</v>
      </c>
      <c r="AD6" s="85" t="s">
        <v>200</v>
      </c>
      <c r="AE6" s="88">
        <v>0.43636363636363634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177</v>
      </c>
      <c r="C7" s="84">
        <v>48.899999999999928</v>
      </c>
      <c r="D7" s="85" t="s">
        <v>200</v>
      </c>
      <c r="E7" s="97">
        <v>4.9631578947368409</v>
      </c>
      <c r="F7" s="85" t="s">
        <v>177</v>
      </c>
      <c r="G7" s="86">
        <v>1.9791666666666667</v>
      </c>
      <c r="H7" s="85" t="s">
        <v>177</v>
      </c>
      <c r="I7" s="87">
        <v>0.34375</v>
      </c>
      <c r="J7" s="85" t="s">
        <v>172</v>
      </c>
      <c r="K7" s="87">
        <v>0.30927835051546393</v>
      </c>
      <c r="L7" s="85" t="s">
        <v>145</v>
      </c>
      <c r="M7" s="88">
        <v>0.29798619912688351</v>
      </c>
      <c r="N7" s="85" t="s">
        <v>177</v>
      </c>
      <c r="O7" s="88">
        <v>0.14942528735632185</v>
      </c>
      <c r="P7" s="85" t="s">
        <v>128</v>
      </c>
      <c r="Q7" s="89">
        <v>9070.30303030303</v>
      </c>
      <c r="R7" s="85" t="s">
        <v>127</v>
      </c>
      <c r="S7" s="89">
        <v>-8129.9107142857147</v>
      </c>
      <c r="T7" s="85" t="s">
        <v>127</v>
      </c>
      <c r="U7" s="87">
        <v>9.0909090909090912E-2</v>
      </c>
      <c r="V7" s="85" t="s">
        <v>129</v>
      </c>
      <c r="W7" s="87">
        <v>0.11538461538461539</v>
      </c>
      <c r="X7" s="85" t="s">
        <v>145</v>
      </c>
      <c r="Y7" s="88">
        <v>0.2723560061963104</v>
      </c>
      <c r="Z7" s="85" t="s">
        <v>184</v>
      </c>
      <c r="AA7" s="88">
        <v>0.24861878453038674</v>
      </c>
      <c r="AB7" s="85" t="s">
        <v>177</v>
      </c>
      <c r="AC7" s="88">
        <v>0.61290322580645162</v>
      </c>
      <c r="AD7" s="85" t="s">
        <v>172</v>
      </c>
      <c r="AE7" s="88">
        <v>0.42857142857142855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0.50937499999999925</v>
      </c>
      <c r="F8" s="85" t="s">
        <v>145</v>
      </c>
      <c r="G8" s="86">
        <v>2</v>
      </c>
      <c r="H8" s="85" t="s">
        <v>184</v>
      </c>
      <c r="I8" s="87">
        <v>0.33333333333333331</v>
      </c>
      <c r="J8" s="85" t="s">
        <v>177</v>
      </c>
      <c r="K8" s="87">
        <v>0.32291666666666669</v>
      </c>
      <c r="L8" s="85" t="s">
        <v>173</v>
      </c>
      <c r="M8" s="88">
        <v>0.2841648590021692</v>
      </c>
      <c r="N8" s="85" t="s">
        <v>127</v>
      </c>
      <c r="O8" s="88">
        <v>0.15512465373961218</v>
      </c>
      <c r="P8" s="85" t="s">
        <v>177</v>
      </c>
      <c r="Q8" s="89">
        <v>8874.8837209302328</v>
      </c>
      <c r="R8" s="85" t="s">
        <v>172</v>
      </c>
      <c r="S8" s="89">
        <v>-8190.5172413793107</v>
      </c>
      <c r="T8" s="85" t="s">
        <v>171</v>
      </c>
      <c r="U8" s="87">
        <v>0.1111111111111111</v>
      </c>
      <c r="V8" s="85" t="s">
        <v>177</v>
      </c>
      <c r="W8" s="87">
        <v>0.11458333333333333</v>
      </c>
      <c r="X8" s="85" t="s">
        <v>183</v>
      </c>
      <c r="Y8" s="88">
        <v>0.26315789473684209</v>
      </c>
      <c r="Z8" s="85" t="s">
        <v>173</v>
      </c>
      <c r="AA8" s="88">
        <v>0.23644251626898047</v>
      </c>
      <c r="AB8" s="85" t="s">
        <v>183</v>
      </c>
      <c r="AC8" s="88">
        <v>0.6</v>
      </c>
      <c r="AD8" s="85" t="s">
        <v>171</v>
      </c>
      <c r="AE8" s="88">
        <v>0.41509433962264153</v>
      </c>
      <c r="AF8" s="85" t="s">
        <v>177</v>
      </c>
      <c r="AG8" s="88">
        <v>0.45581395348837211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145</v>
      </c>
      <c r="C9" s="84">
        <v>2.8421709430404007E-14</v>
      </c>
      <c r="D9" s="85" t="s">
        <v>145</v>
      </c>
      <c r="E9" s="97">
        <v>3.3241765415677202E-17</v>
      </c>
      <c r="F9" s="85" t="s">
        <v>222</v>
      </c>
      <c r="G9" s="86">
        <v>2</v>
      </c>
      <c r="H9" s="85" t="s">
        <v>145</v>
      </c>
      <c r="I9" s="87">
        <v>0.33333333333333331</v>
      </c>
      <c r="J9" s="85" t="s">
        <v>145</v>
      </c>
      <c r="K9" s="87">
        <v>0.33333333333333331</v>
      </c>
      <c r="L9" s="85" t="s">
        <v>171</v>
      </c>
      <c r="M9" s="88">
        <v>0.28414634146341461</v>
      </c>
      <c r="N9" s="85" t="s">
        <v>200</v>
      </c>
      <c r="O9" s="88">
        <v>0.16</v>
      </c>
      <c r="P9" s="85" t="s">
        <v>145</v>
      </c>
      <c r="Q9" s="89">
        <v>8721.4083175803407</v>
      </c>
      <c r="R9" s="85" t="s">
        <v>145</v>
      </c>
      <c r="S9" s="89">
        <v>-8214.176570458405</v>
      </c>
      <c r="T9" s="85" t="s">
        <v>145</v>
      </c>
      <c r="U9" s="87">
        <v>0.12280701754385964</v>
      </c>
      <c r="V9" s="85" t="s">
        <v>128</v>
      </c>
      <c r="W9" s="87">
        <v>0.10344827586206896</v>
      </c>
      <c r="X9" s="85" t="s">
        <v>129</v>
      </c>
      <c r="Y9" s="88">
        <v>0.25959780621572209</v>
      </c>
      <c r="Z9" s="85" t="s">
        <v>183</v>
      </c>
      <c r="AA9" s="88">
        <v>0.21052631578947367</v>
      </c>
      <c r="AB9" s="85" t="s">
        <v>128</v>
      </c>
      <c r="AC9" s="88">
        <v>0.59322033898305082</v>
      </c>
      <c r="AD9" s="85" t="s">
        <v>145</v>
      </c>
      <c r="AE9" s="88">
        <v>0.39651707970529138</v>
      </c>
      <c r="AF9" s="85" t="s">
        <v>145</v>
      </c>
      <c r="AG9" s="88">
        <v>0.43525519848771266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171</v>
      </c>
      <c r="C10" s="84">
        <v>-10.099999999999987</v>
      </c>
      <c r="D10" s="85" t="s">
        <v>171</v>
      </c>
      <c r="E10" s="97">
        <v>-0.10202020202020189</v>
      </c>
      <c r="F10" s="85" t="s">
        <v>171</v>
      </c>
      <c r="G10" s="86">
        <v>2.0505050505050506</v>
      </c>
      <c r="H10" s="85" t="s">
        <v>129</v>
      </c>
      <c r="I10" s="87">
        <v>0.31538461538461537</v>
      </c>
      <c r="J10" s="85" t="s">
        <v>223</v>
      </c>
      <c r="K10" s="87">
        <v>0.33333333333333331</v>
      </c>
      <c r="L10" s="85" t="s">
        <v>128</v>
      </c>
      <c r="M10" s="88">
        <v>0.2770780856423174</v>
      </c>
      <c r="N10" s="85" t="s">
        <v>145</v>
      </c>
      <c r="O10" s="88">
        <v>0.16589212786931418</v>
      </c>
      <c r="P10" s="85" t="s">
        <v>129</v>
      </c>
      <c r="Q10" s="89">
        <v>8597.2972972972966</v>
      </c>
      <c r="R10" s="85" t="s">
        <v>173</v>
      </c>
      <c r="S10" s="89">
        <v>-8327.3809523809523</v>
      </c>
      <c r="T10" s="85" t="s">
        <v>128</v>
      </c>
      <c r="U10" s="87">
        <v>0.1310344827586207</v>
      </c>
      <c r="V10" s="85" t="s">
        <v>172</v>
      </c>
      <c r="W10" s="87">
        <v>0.10309278350515463</v>
      </c>
      <c r="X10" s="85" t="s">
        <v>200</v>
      </c>
      <c r="Y10" s="88">
        <v>0.24571428571428572</v>
      </c>
      <c r="Z10" s="85" t="s">
        <v>145</v>
      </c>
      <c r="AA10" s="88">
        <v>0.21025207717222927</v>
      </c>
      <c r="AB10" s="85" t="s">
        <v>127</v>
      </c>
      <c r="AC10" s="88">
        <v>0.5770925110132159</v>
      </c>
      <c r="AD10" s="85" t="s">
        <v>184</v>
      </c>
      <c r="AE10" s="88">
        <v>0.37777777777777777</v>
      </c>
      <c r="AF10" s="85" t="s">
        <v>129</v>
      </c>
      <c r="AG10" s="88">
        <v>0.43243243243243246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172</v>
      </c>
      <c r="C11" s="84">
        <v>-200.50000000000006</v>
      </c>
      <c r="D11" s="85" t="s">
        <v>172</v>
      </c>
      <c r="E11" s="97">
        <v>-2.0670103092783512</v>
      </c>
      <c r="F11" s="85" t="s">
        <v>172</v>
      </c>
      <c r="G11" s="86">
        <v>2.0618556701030926</v>
      </c>
      <c r="H11" s="85" t="s">
        <v>171</v>
      </c>
      <c r="I11" s="87">
        <v>0.30303030303030304</v>
      </c>
      <c r="J11" s="85" t="s">
        <v>128</v>
      </c>
      <c r="K11" s="87">
        <v>0.33793103448275863</v>
      </c>
      <c r="L11" s="85" t="s">
        <v>184</v>
      </c>
      <c r="M11" s="88">
        <v>0.27624309392265195</v>
      </c>
      <c r="N11" s="85" t="s">
        <v>128</v>
      </c>
      <c r="O11" s="88">
        <v>0.17296389588581024</v>
      </c>
      <c r="P11" s="85" t="s">
        <v>184</v>
      </c>
      <c r="Q11" s="89">
        <v>8434</v>
      </c>
      <c r="R11" s="85" t="s">
        <v>200</v>
      </c>
      <c r="S11" s="89">
        <v>-8367.8571428571431</v>
      </c>
      <c r="T11" s="85" t="s">
        <v>177</v>
      </c>
      <c r="U11" s="87">
        <v>0.13541666666666666</v>
      </c>
      <c r="V11" s="85" t="s">
        <v>184</v>
      </c>
      <c r="W11" s="87">
        <v>8.3333333333333329E-2</v>
      </c>
      <c r="X11" s="85" t="s">
        <v>184</v>
      </c>
      <c r="Y11" s="88">
        <v>0.23204419889502761</v>
      </c>
      <c r="Z11" s="85" t="s">
        <v>127</v>
      </c>
      <c r="AA11" s="88">
        <v>0.20914127423822715</v>
      </c>
      <c r="AB11" s="85" t="s">
        <v>145</v>
      </c>
      <c r="AC11" s="88">
        <v>0.57704239917269906</v>
      </c>
      <c r="AD11" s="85" t="s">
        <v>173</v>
      </c>
      <c r="AE11" s="88">
        <v>0.33944954128440369</v>
      </c>
      <c r="AF11" s="85" t="s">
        <v>271</v>
      </c>
      <c r="AG11" s="88">
        <v>0.42857142857142855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271</v>
      </c>
      <c r="C12" s="84">
        <v>-201.8</v>
      </c>
      <c r="D12" s="85" t="s">
        <v>128</v>
      </c>
      <c r="E12" s="97">
        <v>-2.237931034482759</v>
      </c>
      <c r="F12" s="85" t="s">
        <v>128</v>
      </c>
      <c r="G12" s="86">
        <v>2.0620689655172413</v>
      </c>
      <c r="H12" s="85" t="s">
        <v>173</v>
      </c>
      <c r="I12" s="87">
        <v>0.28301886792452829</v>
      </c>
      <c r="J12" s="85" t="s">
        <v>171</v>
      </c>
      <c r="K12" s="87">
        <v>0.35353535353535354</v>
      </c>
      <c r="L12" s="85" t="s">
        <v>177</v>
      </c>
      <c r="M12" s="88">
        <v>0.27458492975734355</v>
      </c>
      <c r="N12" s="85" t="s">
        <v>171</v>
      </c>
      <c r="O12" s="88">
        <v>0.17682926829268292</v>
      </c>
      <c r="P12" s="85" t="s">
        <v>200</v>
      </c>
      <c r="Q12" s="89">
        <v>8058.333333333333</v>
      </c>
      <c r="R12" s="85" t="s">
        <v>171</v>
      </c>
      <c r="S12" s="89">
        <v>-8497.9310344827591</v>
      </c>
      <c r="T12" s="85" t="s">
        <v>173</v>
      </c>
      <c r="U12" s="87">
        <v>0.15094339622641509</v>
      </c>
      <c r="V12" s="85" t="s">
        <v>173</v>
      </c>
      <c r="W12" s="87">
        <v>7.5471698113207544E-2</v>
      </c>
      <c r="X12" s="85" t="s">
        <v>222</v>
      </c>
      <c r="Y12" s="88">
        <v>0.23076923076923078</v>
      </c>
      <c r="Z12" s="85" t="s">
        <v>171</v>
      </c>
      <c r="AA12" s="88">
        <v>0.19390243902439025</v>
      </c>
      <c r="AB12" s="85" t="s">
        <v>171</v>
      </c>
      <c r="AC12" s="88">
        <v>0.56540084388185652</v>
      </c>
      <c r="AD12" s="85" t="s">
        <v>177</v>
      </c>
      <c r="AE12" s="88">
        <v>0.3380281690140845</v>
      </c>
      <c r="AF12" s="85" t="s">
        <v>128</v>
      </c>
      <c r="AG12" s="88">
        <v>0.42424242424242425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184</v>
      </c>
      <c r="C13" s="84">
        <v>-300.5</v>
      </c>
      <c r="D13" s="85" t="s">
        <v>129</v>
      </c>
      <c r="E13" s="97">
        <v>-7.2253846153846162</v>
      </c>
      <c r="F13" s="85" t="s">
        <v>129</v>
      </c>
      <c r="G13" s="86">
        <v>2.0923076923076924</v>
      </c>
      <c r="H13" s="85" t="s">
        <v>128</v>
      </c>
      <c r="I13" s="87">
        <v>0.27586206896551724</v>
      </c>
      <c r="J13" s="85" t="s">
        <v>173</v>
      </c>
      <c r="K13" s="87">
        <v>0.39622641509433965</v>
      </c>
      <c r="L13" s="85" t="s">
        <v>129</v>
      </c>
      <c r="M13" s="88">
        <v>0.27056672760511885</v>
      </c>
      <c r="N13" s="85" t="s">
        <v>129</v>
      </c>
      <c r="O13" s="88">
        <v>0.17915904936014626</v>
      </c>
      <c r="P13" s="85" t="s">
        <v>183</v>
      </c>
      <c r="Q13" s="89">
        <v>7860</v>
      </c>
      <c r="R13" s="85" t="s">
        <v>129</v>
      </c>
      <c r="S13" s="89">
        <v>-8792.8571428571431</v>
      </c>
      <c r="T13" s="85" t="s">
        <v>200</v>
      </c>
      <c r="U13" s="87">
        <v>0.15789473684210525</v>
      </c>
      <c r="V13" s="85" t="s">
        <v>200</v>
      </c>
      <c r="W13" s="87">
        <v>5.2631578947368418E-2</v>
      </c>
      <c r="X13" s="85" t="s">
        <v>173</v>
      </c>
      <c r="Y13" s="88">
        <v>0.22342733188720174</v>
      </c>
      <c r="Z13" s="85" t="s">
        <v>177</v>
      </c>
      <c r="AA13" s="88">
        <v>0.18135376756066413</v>
      </c>
      <c r="AB13" s="85" t="s">
        <v>173</v>
      </c>
      <c r="AC13" s="88">
        <v>0.55339805825242716</v>
      </c>
      <c r="AD13" s="85" t="s">
        <v>129</v>
      </c>
      <c r="AE13" s="88">
        <v>0.31979695431472083</v>
      </c>
      <c r="AF13" s="85" t="s">
        <v>127</v>
      </c>
      <c r="AG13" s="88">
        <v>0.42418032786885246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128</v>
      </c>
      <c r="C14" s="84">
        <v>-324.50000000000006</v>
      </c>
      <c r="D14" s="85" t="s">
        <v>173</v>
      </c>
      <c r="E14" s="97">
        <v>-7.4849056603773594</v>
      </c>
      <c r="F14" s="85" t="s">
        <v>173</v>
      </c>
      <c r="G14" s="86">
        <v>2.1132075471698113</v>
      </c>
      <c r="H14" s="85" t="s">
        <v>172</v>
      </c>
      <c r="I14" s="87">
        <v>0.24742268041237114</v>
      </c>
      <c r="J14" s="85" t="s">
        <v>129</v>
      </c>
      <c r="K14" s="87">
        <v>0.40769230769230769</v>
      </c>
      <c r="L14" s="85" t="s">
        <v>183</v>
      </c>
      <c r="M14" s="88">
        <v>0.26315789473684209</v>
      </c>
      <c r="N14" s="85" t="s">
        <v>173</v>
      </c>
      <c r="O14" s="88">
        <v>0.1822125813449024</v>
      </c>
      <c r="P14" s="85" t="s">
        <v>173</v>
      </c>
      <c r="Q14" s="89">
        <v>7648.0916030534354</v>
      </c>
      <c r="R14" s="85" t="s">
        <v>184</v>
      </c>
      <c r="S14" s="89">
        <v>-9878.0487804878048</v>
      </c>
      <c r="T14" s="85" t="s">
        <v>271</v>
      </c>
      <c r="U14" s="87">
        <v>0.16666666666666666</v>
      </c>
      <c r="V14" s="85" t="s">
        <v>183</v>
      </c>
      <c r="W14" s="87">
        <v>0</v>
      </c>
      <c r="X14" s="85" t="s">
        <v>172</v>
      </c>
      <c r="Y14" s="88">
        <v>0.2139364303178484</v>
      </c>
      <c r="Z14" s="85" t="s">
        <v>129</v>
      </c>
      <c r="AA14" s="88">
        <v>0.18007312614259599</v>
      </c>
      <c r="AB14" s="85" t="s">
        <v>172</v>
      </c>
      <c r="AC14" s="88">
        <v>0.5485714285714286</v>
      </c>
      <c r="AD14" s="85" t="s">
        <v>128</v>
      </c>
      <c r="AE14" s="88">
        <v>0.31753554502369669</v>
      </c>
      <c r="AF14" s="85" t="s">
        <v>171</v>
      </c>
      <c r="AG14" s="88">
        <v>0.40772532188841204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173</v>
      </c>
      <c r="C15" s="84">
        <v>-396.70000000000005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222</v>
      </c>
      <c r="I15" s="87">
        <v>0</v>
      </c>
      <c r="J15" s="85" t="s">
        <v>184</v>
      </c>
      <c r="K15" s="87">
        <v>0.54166666666666663</v>
      </c>
      <c r="L15" s="85" t="s">
        <v>271</v>
      </c>
      <c r="M15" s="88">
        <v>0.25</v>
      </c>
      <c r="N15" s="85" t="s">
        <v>271</v>
      </c>
      <c r="O15" s="88">
        <v>0.21428571428571427</v>
      </c>
      <c r="P15" s="85" t="s">
        <v>172</v>
      </c>
      <c r="Q15" s="89">
        <v>6819.927536231884</v>
      </c>
      <c r="R15" s="85" t="s">
        <v>223</v>
      </c>
      <c r="S15" s="89">
        <v>-10583.333333333334</v>
      </c>
      <c r="T15" s="85" t="s">
        <v>129</v>
      </c>
      <c r="U15" s="87">
        <v>0.16923076923076924</v>
      </c>
      <c r="V15" s="85" t="s">
        <v>222</v>
      </c>
      <c r="W15" s="87">
        <v>0</v>
      </c>
      <c r="X15" s="85" t="s">
        <v>271</v>
      </c>
      <c r="Y15" s="88">
        <v>0.17857142857142858</v>
      </c>
      <c r="Z15" s="85" t="s">
        <v>128</v>
      </c>
      <c r="AA15" s="88">
        <v>0.17716204869857263</v>
      </c>
      <c r="AB15" s="85" t="s">
        <v>129</v>
      </c>
      <c r="AC15" s="88">
        <v>0.53873239436619713</v>
      </c>
      <c r="AD15" s="85" t="s">
        <v>271</v>
      </c>
      <c r="AE15" s="88">
        <v>0.25</v>
      </c>
      <c r="AF15" s="85" t="s">
        <v>172</v>
      </c>
      <c r="AG15" s="88">
        <v>0.39855072463768115</v>
      </c>
      <c r="AH15" s="85" t="s">
        <v>271</v>
      </c>
      <c r="AI15" s="92">
        <v>52800</v>
      </c>
    </row>
    <row r="16" spans="1:35" x14ac:dyDescent="0.4">
      <c r="A16" s="82">
        <v>14</v>
      </c>
      <c r="B16" s="83" t="s">
        <v>129</v>
      </c>
      <c r="C16" s="84">
        <v>-939.30000000000007</v>
      </c>
      <c r="D16" s="85" t="s">
        <v>271</v>
      </c>
      <c r="E16" s="97">
        <v>-33.633333333333333</v>
      </c>
      <c r="F16" s="85" t="s">
        <v>271</v>
      </c>
      <c r="G16" s="86">
        <v>2.6666666666666665</v>
      </c>
      <c r="H16" s="85" t="s">
        <v>271</v>
      </c>
      <c r="I16" s="87">
        <v>0</v>
      </c>
      <c r="J16" s="85" t="s">
        <v>271</v>
      </c>
      <c r="K16" s="87">
        <v>0.66666666666666663</v>
      </c>
      <c r="L16" s="85" t="s">
        <v>222</v>
      </c>
      <c r="M16" s="88">
        <v>0.15384615384615385</v>
      </c>
      <c r="N16" s="85" t="s">
        <v>184</v>
      </c>
      <c r="O16" s="88">
        <v>0.22651933701657459</v>
      </c>
      <c r="P16" s="85" t="s">
        <v>271</v>
      </c>
      <c r="Q16" s="89">
        <v>6614.2857142857147</v>
      </c>
      <c r="R16" s="85" t="s">
        <v>222</v>
      </c>
      <c r="S16" s="89">
        <v>-12000</v>
      </c>
      <c r="T16" s="85" t="s">
        <v>184</v>
      </c>
      <c r="U16" s="87">
        <v>0.29166666666666669</v>
      </c>
      <c r="V16" s="85" t="s">
        <v>271</v>
      </c>
      <c r="W16" s="87">
        <v>0</v>
      </c>
      <c r="X16" s="85" t="s">
        <v>223</v>
      </c>
      <c r="Y16" s="88">
        <v>0.15217391304347827</v>
      </c>
      <c r="Z16" s="85" t="s">
        <v>222</v>
      </c>
      <c r="AA16" s="88">
        <v>7.6923076923076927E-2</v>
      </c>
      <c r="AB16" s="85" t="s">
        <v>222</v>
      </c>
      <c r="AC16" s="88">
        <v>0.33333333333333331</v>
      </c>
      <c r="AD16" s="85" t="s">
        <v>222</v>
      </c>
      <c r="AE16" s="88">
        <v>0</v>
      </c>
      <c r="AF16" s="85" t="s">
        <v>183</v>
      </c>
      <c r="AG16" s="88">
        <v>0.2</v>
      </c>
      <c r="AH16" s="85" t="s">
        <v>222</v>
      </c>
      <c r="AI16" s="92">
        <v>48300</v>
      </c>
    </row>
  </sheetData>
  <sortState ref="AH3:AI47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8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145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855</v>
      </c>
      <c r="C2" s="153"/>
      <c r="E2" s="62" t="s">
        <v>67</v>
      </c>
      <c r="F2" s="59" t="s">
        <v>23</v>
      </c>
      <c r="G2" s="46">
        <v>1528</v>
      </c>
      <c r="H2" s="132">
        <f>IF(B$17=0,0,G2/B$17)</f>
        <v>0.72211720226843101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-16.374269005847953</v>
      </c>
      <c r="P2" s="118">
        <v>855</v>
      </c>
      <c r="Q2" s="102">
        <v>-14000</v>
      </c>
    </row>
    <row r="3" spans="1:17" x14ac:dyDescent="0.4">
      <c r="A3" s="55" t="s">
        <v>8</v>
      </c>
      <c r="B3" s="154">
        <v>7101</v>
      </c>
      <c r="C3" s="155"/>
      <c r="E3" s="63" t="s">
        <v>73</v>
      </c>
      <c r="F3" s="60" t="s">
        <v>28</v>
      </c>
      <c r="G3" s="47">
        <v>1089</v>
      </c>
      <c r="H3" s="133">
        <f>IF(B$17=0,0,G3/B$17)</f>
        <v>0.51465028355387521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-7.1942446043165464</v>
      </c>
      <c r="P3" s="119">
        <v>834</v>
      </c>
      <c r="Q3" s="103">
        <v>-6000</v>
      </c>
    </row>
    <row r="4" spans="1:17" x14ac:dyDescent="0.4">
      <c r="A4" s="55" t="s">
        <v>6</v>
      </c>
      <c r="B4" s="156">
        <v>2.8421709430404007E-14</v>
      </c>
      <c r="C4" s="157"/>
      <c r="E4" s="63" t="s">
        <v>65</v>
      </c>
      <c r="F4" s="60" t="s">
        <v>21</v>
      </c>
      <c r="G4" s="47">
        <v>1065</v>
      </c>
      <c r="H4" s="133">
        <f>IF(B$17=0,0,G4/B$17)</f>
        <v>0.50330812854442342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12.970168612191959</v>
      </c>
      <c r="P4" s="119">
        <v>771</v>
      </c>
      <c r="Q4" s="103">
        <v>10000</v>
      </c>
    </row>
    <row r="5" spans="1:17" x14ac:dyDescent="0.4">
      <c r="A5" s="55" t="s">
        <v>7</v>
      </c>
      <c r="B5" s="158">
        <f>IF(B$2=0,0,B$4/B$2)</f>
        <v>3.3241765415677202E-17</v>
      </c>
      <c r="C5" s="159"/>
      <c r="E5" s="63" t="s">
        <v>245</v>
      </c>
      <c r="F5" s="60" t="s">
        <v>246</v>
      </c>
      <c r="G5" s="47">
        <v>865</v>
      </c>
      <c r="H5" s="133">
        <f>IF(B$17=0,0,G5/B$17)</f>
        <v>0.40879017013232516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7.0028011204481793</v>
      </c>
      <c r="P5" s="119">
        <v>714</v>
      </c>
      <c r="Q5" s="103">
        <v>5000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662</v>
      </c>
      <c r="H6" s="133">
        <f>IF(B$17=0,0,G6/B$17)</f>
        <v>0.31285444234404536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-17.214397496087638</v>
      </c>
      <c r="P6" s="119">
        <v>639</v>
      </c>
      <c r="Q6" s="103">
        <v>-11000</v>
      </c>
    </row>
    <row r="7" spans="1:17" x14ac:dyDescent="0.4">
      <c r="A7" s="55" t="s">
        <v>2</v>
      </c>
      <c r="B7" s="47">
        <v>285</v>
      </c>
      <c r="C7" s="39">
        <f>IF(B$2=0,0,B7/B$2)</f>
        <v>0.33333333333333331</v>
      </c>
      <c r="E7" s="63" t="s">
        <v>68</v>
      </c>
      <c r="F7" s="60" t="s">
        <v>24</v>
      </c>
      <c r="G7" s="47">
        <v>646</v>
      </c>
      <c r="H7" s="133">
        <f>IF(B$17=0,0,G7/B$17)</f>
        <v>0.30529300567107748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28.673835125448029</v>
      </c>
      <c r="P7" s="120">
        <v>558</v>
      </c>
      <c r="Q7" s="104">
        <v>16000</v>
      </c>
    </row>
    <row r="8" spans="1:17" x14ac:dyDescent="0.4">
      <c r="A8" s="55" t="s">
        <v>3</v>
      </c>
      <c r="B8" s="47">
        <v>285</v>
      </c>
      <c r="C8" s="39">
        <f>IF(B$2=0,0,B8/B$2)</f>
        <v>0.33333333333333331</v>
      </c>
      <c r="E8" s="63" t="s">
        <v>70</v>
      </c>
      <c r="F8" s="60" t="s">
        <v>25</v>
      </c>
      <c r="G8" s="47">
        <v>363</v>
      </c>
      <c r="H8" s="133">
        <f>IF(B$17=0,0,G8/B$17)</f>
        <v>0.17155009451795841</v>
      </c>
      <c r="I8" s="94">
        <v>5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285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264</v>
      </c>
      <c r="H9" s="133">
        <f>IF(B$17=0,0,G9/B$17)</f>
        <v>0.12476370510396975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105</v>
      </c>
      <c r="C10" s="40">
        <f>IF(B$2=0,0,B10/B$2)</f>
        <v>0.12280701754385964</v>
      </c>
      <c r="E10" s="63" t="s">
        <v>66</v>
      </c>
      <c r="F10" s="60" t="s">
        <v>22</v>
      </c>
      <c r="G10" s="47">
        <v>239</v>
      </c>
      <c r="H10" s="133">
        <f>IF(B$17=0,0,G10/B$17)</f>
        <v>0.11294896030245746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-2.7256140350877169</v>
      </c>
      <c r="P10" s="118">
        <v>285</v>
      </c>
      <c r="Q10" s="106">
        <v>-776.79999999999927</v>
      </c>
    </row>
    <row r="11" spans="1:17" x14ac:dyDescent="0.4">
      <c r="A11" s="56" t="s">
        <v>140</v>
      </c>
      <c r="B11" s="48">
        <v>105</v>
      </c>
      <c r="C11" s="40">
        <f>IF(B$2=0,0,B11/B$2)</f>
        <v>0.12280701754385964</v>
      </c>
      <c r="E11" s="63" t="s">
        <v>71</v>
      </c>
      <c r="F11" s="60" t="s">
        <v>26</v>
      </c>
      <c r="G11" s="47">
        <v>217</v>
      </c>
      <c r="H11" s="133">
        <f>IF(B$17=0,0,G11/B$17)</f>
        <v>0.10255198487712665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1.9796491228070185</v>
      </c>
      <c r="P11" s="119">
        <v>285</v>
      </c>
      <c r="Q11" s="107">
        <v>564.20000000000027</v>
      </c>
    </row>
    <row r="12" spans="1:17" x14ac:dyDescent="0.4">
      <c r="A12" s="57" t="s">
        <v>160</v>
      </c>
      <c r="B12" s="49">
        <v>76</v>
      </c>
      <c r="C12" s="42">
        <f>IF(B$2=0,0,B12/B$2)</f>
        <v>8.8888888888888892E-2</v>
      </c>
      <c r="E12" s="63" t="s">
        <v>72</v>
      </c>
      <c r="F12" s="60" t="s">
        <v>27</v>
      </c>
      <c r="G12" s="47">
        <v>145</v>
      </c>
      <c r="H12" s="133">
        <f>IF(B$17=0,0,G12/B$17)</f>
        <v>6.8525519848771269E-2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0.74596491228070139</v>
      </c>
      <c r="P12" s="120">
        <v>285</v>
      </c>
      <c r="Q12" s="108">
        <v>212.59999999999991</v>
      </c>
    </row>
    <row r="13" spans="1:17" x14ac:dyDescent="0.4">
      <c r="A13" s="58" t="s">
        <v>122</v>
      </c>
      <c r="B13" s="50">
        <v>1934</v>
      </c>
      <c r="C13" s="44">
        <f>IF(B$3=0,0,B13/B$3)</f>
        <v>0.2723560061963104</v>
      </c>
      <c r="E13" s="63" t="s">
        <v>87</v>
      </c>
      <c r="F13" s="60" t="s">
        <v>42</v>
      </c>
      <c r="G13" s="47">
        <v>121</v>
      </c>
      <c r="H13" s="133">
        <f>IF(B$17=0,0,G13/B$17)</f>
        <v>5.7183364839319469E-2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1493</v>
      </c>
      <c r="C14" s="39">
        <f>IF(B$3=0,0,B14/B$3)</f>
        <v>0.21025207717222927</v>
      </c>
      <c r="E14" s="63" t="s">
        <v>84</v>
      </c>
      <c r="F14" s="60" t="s">
        <v>39</v>
      </c>
      <c r="G14" s="47">
        <v>106</v>
      </c>
      <c r="H14" s="133">
        <f>IF(B$17=0,0,G14/B$17)</f>
        <v>5.0094517958412098E-2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1116</v>
      </c>
      <c r="C15" s="37">
        <f>IF(B$13=0,0,B15/B$13)</f>
        <v>0.57704239917269906</v>
      </c>
      <c r="E15" s="63" t="s">
        <v>82</v>
      </c>
      <c r="F15" s="60" t="s">
        <v>37</v>
      </c>
      <c r="G15" s="47">
        <v>59</v>
      </c>
      <c r="H15" s="133">
        <f>IF(B$17=0,0,G15/B$17)</f>
        <v>2.7882797731568997E-2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>IF(P15=0,0,Q15/P15)</f>
        <v>50.449999999999996</v>
      </c>
      <c r="P15" s="118">
        <v>12</v>
      </c>
      <c r="Q15" s="106">
        <v>605.4</v>
      </c>
    </row>
    <row r="16" spans="1:17" x14ac:dyDescent="0.4">
      <c r="A16" s="54" t="s">
        <v>125</v>
      </c>
      <c r="B16" s="46">
        <v>592</v>
      </c>
      <c r="C16" s="37">
        <f>IF(B$14=0,0,B16/B$14)</f>
        <v>0.39651707970529138</v>
      </c>
      <c r="E16" s="63" t="s">
        <v>79</v>
      </c>
      <c r="F16" s="60" t="s">
        <v>34</v>
      </c>
      <c r="G16" s="47">
        <v>56</v>
      </c>
      <c r="H16" s="133">
        <f>IF(B$17=0,0,G16/B$17)</f>
        <v>2.6465028355387523E-2</v>
      </c>
      <c r="I16" s="94">
        <v>7</v>
      </c>
      <c r="K16" s="38">
        <v>14</v>
      </c>
      <c r="L16" s="99">
        <v>18.79999999999999</v>
      </c>
      <c r="N16" s="115" t="s">
        <v>184</v>
      </c>
      <c r="O16" s="125">
        <f>IF(P16=0,0,Q16/P16)</f>
        <v>18.781250000000004</v>
      </c>
      <c r="P16" s="119">
        <v>48</v>
      </c>
      <c r="Q16" s="107">
        <v>901.50000000000023</v>
      </c>
    </row>
    <row r="17" spans="1:17" x14ac:dyDescent="0.4">
      <c r="A17" s="54" t="s">
        <v>10</v>
      </c>
      <c r="B17" s="46">
        <f>B19+B18</f>
        <v>2116</v>
      </c>
      <c r="C17" s="37">
        <f>IF(B$3=0,0,B17/B$3)</f>
        <v>0.29798619912688351</v>
      </c>
      <c r="E17" s="63" t="s">
        <v>92</v>
      </c>
      <c r="F17" s="60" t="s">
        <v>47</v>
      </c>
      <c r="G17" s="47">
        <v>43</v>
      </c>
      <c r="H17" s="133">
        <f>IF(B$17=0,0,G17/B$17)</f>
        <v>2.0321361058601134E-2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11.227358490566031</v>
      </c>
      <c r="P17" s="119">
        <v>106</v>
      </c>
      <c r="Q17" s="107">
        <v>1190.0999999999992</v>
      </c>
    </row>
    <row r="18" spans="1:17" x14ac:dyDescent="0.4">
      <c r="A18" s="55" t="s">
        <v>12</v>
      </c>
      <c r="B18" s="47">
        <v>921</v>
      </c>
      <c r="C18" s="39">
        <f>IF(B$17=0,0,B18/B$17)</f>
        <v>0.43525519848771266</v>
      </c>
      <c r="E18" s="63" t="s">
        <v>180</v>
      </c>
      <c r="F18" s="60" t="s">
        <v>181</v>
      </c>
      <c r="G18" s="47">
        <v>35</v>
      </c>
      <c r="H18" s="133">
        <f>IF(B$17=0,0,G18/B$17)</f>
        <v>1.6540642722117201E-2</v>
      </c>
      <c r="I18" s="94">
        <v>4</v>
      </c>
      <c r="K18" s="38">
        <v>16</v>
      </c>
      <c r="L18" s="99">
        <v>90.899999999999991</v>
      </c>
      <c r="N18" s="115" t="s">
        <v>129</v>
      </c>
      <c r="O18" s="125">
        <f>IF(P18=0,0,Q18/P18)</f>
        <v>10.838076923076949</v>
      </c>
      <c r="P18" s="119">
        <v>260</v>
      </c>
      <c r="Q18" s="107">
        <v>2817.9000000000069</v>
      </c>
    </row>
    <row r="19" spans="1:17" x14ac:dyDescent="0.4">
      <c r="A19" s="55" t="s">
        <v>11</v>
      </c>
      <c r="B19" s="47">
        <v>1195</v>
      </c>
      <c r="C19" s="39">
        <f>IF(B$17=0,0,B19/B$17)</f>
        <v>0.56474480151228734</v>
      </c>
      <c r="E19" s="63" t="s">
        <v>80</v>
      </c>
      <c r="F19" s="60" t="s">
        <v>35</v>
      </c>
      <c r="G19" s="47">
        <v>34</v>
      </c>
      <c r="H19" s="133">
        <f>IF(B$17=0,0,G19/B$17)</f>
        <v>1.6068052930056712E-2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3.3568965517241383</v>
      </c>
      <c r="P19" s="119">
        <v>290</v>
      </c>
      <c r="Q19" s="107">
        <v>973.50000000000011</v>
      </c>
    </row>
    <row r="20" spans="1:17" x14ac:dyDescent="0.4">
      <c r="A20" s="55" t="s">
        <v>13</v>
      </c>
      <c r="B20" s="47">
        <v>1178</v>
      </c>
      <c r="C20" s="39">
        <f>IF(B$3=0,0,B20/B$3)</f>
        <v>0.16589212786931418</v>
      </c>
      <c r="E20" s="63" t="s">
        <v>74</v>
      </c>
      <c r="F20" s="60" t="s">
        <v>29</v>
      </c>
      <c r="G20" s="47">
        <v>14</v>
      </c>
      <c r="H20" s="133">
        <f>IF(B$17=0,0,G20/B$17)</f>
        <v>6.6162570888468808E-3</v>
      </c>
      <c r="I20" s="94">
        <v>5</v>
      </c>
      <c r="K20" s="38">
        <v>18</v>
      </c>
      <c r="L20" s="99">
        <v>-3.5527136788005009E-15</v>
      </c>
      <c r="N20" s="115" t="s">
        <v>172</v>
      </c>
      <c r="O20" s="125">
        <f>IF(P20=0,0,Q20/P20)</f>
        <v>3.100515463917525</v>
      </c>
      <c r="P20" s="119">
        <v>194</v>
      </c>
      <c r="Q20" s="107">
        <v>601.49999999999989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13</v>
      </c>
      <c r="H21" s="133">
        <f>IF(B$17=0,0,G21/B$17)</f>
        <v>6.1436672967863891E-3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0.15303030303030543</v>
      </c>
      <c r="P21" s="119">
        <v>198</v>
      </c>
      <c r="Q21" s="107">
        <v>30.300000000000473</v>
      </c>
    </row>
    <row r="22" spans="1:17" x14ac:dyDescent="0.4">
      <c r="A22" s="55" t="s">
        <v>192</v>
      </c>
      <c r="B22" s="47">
        <v>31</v>
      </c>
      <c r="C22" s="135">
        <v>16</v>
      </c>
      <c r="E22" s="63" t="s">
        <v>75</v>
      </c>
      <c r="F22" s="60" t="s">
        <v>30</v>
      </c>
      <c r="G22" s="47">
        <v>9</v>
      </c>
      <c r="H22" s="133">
        <f>IF(B$17=0,0,G22/B$17)</f>
        <v>4.2533081285444233E-3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>IF(P22=0,0,Q22/P22)</f>
        <v>-0.7640625000000022</v>
      </c>
      <c r="P22" s="119">
        <v>192</v>
      </c>
      <c r="Q22" s="107">
        <v>-146.70000000000041</v>
      </c>
    </row>
    <row r="23" spans="1:17" x14ac:dyDescent="0.4">
      <c r="A23" s="55" t="s">
        <v>5</v>
      </c>
      <c r="B23" s="51">
        <f>IF(B$17=0,0,C23/B$17)</f>
        <v>8721.4083175803407</v>
      </c>
      <c r="C23" s="41">
        <v>18454500</v>
      </c>
      <c r="E23" s="63" t="s">
        <v>86</v>
      </c>
      <c r="F23" s="60" t="s">
        <v>41</v>
      </c>
      <c r="G23" s="47">
        <v>9</v>
      </c>
      <c r="H23" s="133">
        <f>IF(B$17=0,0,G23/B$17)</f>
        <v>4.2533081285444233E-3</v>
      </c>
      <c r="I23" s="94">
        <v>3</v>
      </c>
      <c r="K23" s="38">
        <v>21</v>
      </c>
      <c r="L23" s="99">
        <v>-2.886579864025407E-15</v>
      </c>
      <c r="N23" s="115" t="s">
        <v>200</v>
      </c>
      <c r="O23" s="125">
        <f>IF(P23=0,0,Q23/P23)</f>
        <v>-7.4447368421052582</v>
      </c>
      <c r="P23" s="119">
        <v>38</v>
      </c>
      <c r="Q23" s="107">
        <v>-282.89999999999981</v>
      </c>
    </row>
    <row r="24" spans="1:17" x14ac:dyDescent="0.4">
      <c r="A24" s="57" t="s">
        <v>14</v>
      </c>
      <c r="B24" s="52">
        <f>IF(B$20=0,0,C24/B$20)</f>
        <v>-8214.176570458405</v>
      </c>
      <c r="C24" s="45">
        <v>-9676300</v>
      </c>
      <c r="E24" s="63" t="s">
        <v>93</v>
      </c>
      <c r="F24" s="60" t="s">
        <v>48</v>
      </c>
      <c r="G24" s="47">
        <v>8</v>
      </c>
      <c r="H24" s="133">
        <f>IF(B$17=0,0,G24/B$17)</f>
        <v>3.780718336483932E-3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-17.518465909090896</v>
      </c>
      <c r="P24" s="119">
        <v>352</v>
      </c>
      <c r="Q24" s="107">
        <v>-6166.4999999999955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7</v>
      </c>
      <c r="H25" s="133">
        <f>IF(B$17=0,0,G25/B$17)</f>
        <v>3.3081285444234404E-3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4">
        <v>116000</v>
      </c>
      <c r="C26" s="145"/>
      <c r="E26" s="63" t="s">
        <v>78</v>
      </c>
      <c r="F26" s="60" t="s">
        <v>33</v>
      </c>
      <c r="G26" s="47">
        <v>6</v>
      </c>
      <c r="H26" s="133">
        <f>IF(B$17=0,0,G26/B$17)</f>
        <v>2.8355387523629491E-3</v>
      </c>
      <c r="I26" s="94">
        <v>8</v>
      </c>
      <c r="K26" s="38">
        <v>24</v>
      </c>
      <c r="L26" s="99">
        <v>-3.5527136788005009E-15</v>
      </c>
      <c r="N26" s="115" t="s">
        <v>223</v>
      </c>
      <c r="O26" s="125">
        <f>IF(P26=0,0,Q26/P26)</f>
        <v>-25.099999999999998</v>
      </c>
      <c r="P26" s="119">
        <v>12</v>
      </c>
      <c r="Q26" s="107">
        <v>-301.2</v>
      </c>
    </row>
    <row r="27" spans="1:17" x14ac:dyDescent="0.4">
      <c r="A27" s="57" t="s">
        <v>143</v>
      </c>
      <c r="B27" s="65">
        <v>19</v>
      </c>
      <c r="C27" s="42">
        <f>IF(B$3=0,0,B27/B$3)</f>
        <v>2.6756794817631318E-3</v>
      </c>
      <c r="E27" s="63" t="s">
        <v>88</v>
      </c>
      <c r="F27" s="60" t="s">
        <v>43</v>
      </c>
      <c r="G27" s="47">
        <v>6</v>
      </c>
      <c r="H27" s="133">
        <f>IF(B$17=0,0,G27/B$17)</f>
        <v>2.8355387523629491E-3</v>
      </c>
      <c r="I27" s="94">
        <v>5</v>
      </c>
      <c r="K27" s="38">
        <v>25</v>
      </c>
      <c r="L27" s="99">
        <v>-31.300000000000004</v>
      </c>
      <c r="N27" s="115" t="s">
        <v>183</v>
      </c>
      <c r="O27" s="125">
        <f>IF(P27=0,0,Q27/P27)</f>
        <v>-30.5</v>
      </c>
      <c r="P27" s="119">
        <v>6</v>
      </c>
      <c r="Q27" s="107">
        <v>-183</v>
      </c>
    </row>
    <row r="28" spans="1:17" x14ac:dyDescent="0.4">
      <c r="E28" s="63" t="s">
        <v>85</v>
      </c>
      <c r="F28" s="60" t="s">
        <v>40</v>
      </c>
      <c r="G28" s="47">
        <v>5</v>
      </c>
      <c r="H28" s="133">
        <f>IF(B$17=0,0,G28/B$17)</f>
        <v>2.3629489603024575E-3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5</v>
      </c>
      <c r="H29" s="133">
        <f>IF(B$17=0,0,G29/B$17)</f>
        <v>2.3629489603024575E-3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>IF(B$17=0,0,G30/B$17)</f>
        <v>1.890359168241966E-3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9.4517958412098301E-4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4.7258979206049151E-4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4.7258979206049151E-4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>IF(B$17=0,0,G34/B$17)</f>
        <v>4.7258979206049151E-4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  <row r="747" spans="11:12" x14ac:dyDescent="0.4">
      <c r="K747" s="38">
        <v>745</v>
      </c>
      <c r="L747" s="99">
        <v>12.200000000000014</v>
      </c>
    </row>
    <row r="748" spans="11:12" x14ac:dyDescent="0.4">
      <c r="K748" s="38">
        <v>746</v>
      </c>
      <c r="L748" s="99">
        <v>55.100000000000009</v>
      </c>
    </row>
    <row r="749" spans="11:12" x14ac:dyDescent="0.4">
      <c r="K749" s="38">
        <v>747</v>
      </c>
      <c r="L749" s="99">
        <v>7.1054273576010019E-15</v>
      </c>
    </row>
    <row r="750" spans="11:12" x14ac:dyDescent="0.4">
      <c r="K750" s="38">
        <v>748</v>
      </c>
      <c r="L750" s="99">
        <v>9.0000000000000071</v>
      </c>
    </row>
    <row r="751" spans="11:12" x14ac:dyDescent="0.4">
      <c r="K751" s="38">
        <v>749</v>
      </c>
      <c r="L751" s="99">
        <v>-37.699999999999996</v>
      </c>
    </row>
    <row r="752" spans="11:12" x14ac:dyDescent="0.4">
      <c r="K752" s="38">
        <v>750</v>
      </c>
      <c r="L752" s="99">
        <v>7.1054273576010019E-15</v>
      </c>
    </row>
    <row r="753" spans="11:12" x14ac:dyDescent="0.4">
      <c r="K753" s="38">
        <v>751</v>
      </c>
      <c r="L753" s="99">
        <v>-43.199999999999996</v>
      </c>
    </row>
    <row r="754" spans="11:12" x14ac:dyDescent="0.4">
      <c r="K754" s="38">
        <v>752</v>
      </c>
      <c r="L754" s="99">
        <v>-39.799999999999997</v>
      </c>
    </row>
    <row r="755" spans="11:12" x14ac:dyDescent="0.4">
      <c r="K755" s="38">
        <v>753</v>
      </c>
      <c r="L755" s="99">
        <v>0</v>
      </c>
    </row>
    <row r="756" spans="11:12" x14ac:dyDescent="0.4">
      <c r="K756" s="38">
        <v>754</v>
      </c>
      <c r="L756" s="99">
        <v>-53.3</v>
      </c>
    </row>
    <row r="757" spans="11:12" x14ac:dyDescent="0.4">
      <c r="K757" s="38">
        <v>755</v>
      </c>
      <c r="L757" s="99">
        <v>-61.599999999999994</v>
      </c>
    </row>
    <row r="758" spans="11:12" x14ac:dyDescent="0.4">
      <c r="K758" s="38">
        <v>756</v>
      </c>
      <c r="L758" s="99">
        <v>7.1054273576010019E-15</v>
      </c>
    </row>
    <row r="759" spans="11:12" x14ac:dyDescent="0.4">
      <c r="K759" s="38">
        <v>757</v>
      </c>
      <c r="L759" s="99">
        <v>31.700000000000006</v>
      </c>
    </row>
    <row r="760" spans="11:12" x14ac:dyDescent="0.4">
      <c r="K760" s="38">
        <v>758</v>
      </c>
      <c r="L760" s="99">
        <v>-10.099999999999991</v>
      </c>
    </row>
    <row r="761" spans="11:12" x14ac:dyDescent="0.4">
      <c r="K761" s="38">
        <v>759</v>
      </c>
      <c r="L761" s="99">
        <v>8.8817841970012523E-15</v>
      </c>
    </row>
    <row r="762" spans="11:12" x14ac:dyDescent="0.4">
      <c r="K762" s="38">
        <v>760</v>
      </c>
      <c r="L762" s="99">
        <v>42.70000000000001</v>
      </c>
    </row>
    <row r="763" spans="11:12" x14ac:dyDescent="0.4">
      <c r="K763" s="38">
        <v>761</v>
      </c>
      <c r="L763" s="99">
        <v>-2.5999999999999872</v>
      </c>
    </row>
    <row r="764" spans="11:12" x14ac:dyDescent="0.4">
      <c r="K764" s="38">
        <v>762</v>
      </c>
      <c r="L764" s="99">
        <v>1.2878587085651816E-14</v>
      </c>
    </row>
    <row r="765" spans="11:12" x14ac:dyDescent="0.4">
      <c r="K765" s="38">
        <v>763</v>
      </c>
      <c r="L765" s="99">
        <v>62.000000000000014</v>
      </c>
    </row>
    <row r="766" spans="11:12" x14ac:dyDescent="0.4">
      <c r="K766" s="38">
        <v>764</v>
      </c>
      <c r="L766" s="99">
        <v>3.9000000000000128</v>
      </c>
    </row>
    <row r="767" spans="11:12" x14ac:dyDescent="0.4">
      <c r="K767" s="38">
        <v>765</v>
      </c>
      <c r="L767" s="99">
        <v>1.2878587085651816E-14</v>
      </c>
    </row>
    <row r="768" spans="11:12" x14ac:dyDescent="0.4">
      <c r="K768" s="38">
        <v>766</v>
      </c>
      <c r="L768" s="99">
        <v>35.000000000000014</v>
      </c>
    </row>
    <row r="769" spans="11:12" x14ac:dyDescent="0.4">
      <c r="K769" s="38">
        <v>767</v>
      </c>
      <c r="L769" s="99">
        <v>-9.5999999999999872</v>
      </c>
    </row>
    <row r="770" spans="11:12" x14ac:dyDescent="0.4">
      <c r="K770" s="38">
        <v>768</v>
      </c>
      <c r="L770" s="99">
        <v>1.2434497875801753E-14</v>
      </c>
    </row>
    <row r="771" spans="11:12" x14ac:dyDescent="0.4">
      <c r="K771" s="38">
        <v>769</v>
      </c>
      <c r="L771" s="99">
        <v>39.300000000000011</v>
      </c>
    </row>
    <row r="772" spans="11:12" x14ac:dyDescent="0.4">
      <c r="K772" s="38">
        <v>770</v>
      </c>
      <c r="L772" s="99">
        <v>-18.999999999999986</v>
      </c>
    </row>
    <row r="773" spans="11:12" x14ac:dyDescent="0.4">
      <c r="K773" s="38">
        <v>771</v>
      </c>
      <c r="L773" s="99">
        <v>1.4210854715202004E-14</v>
      </c>
    </row>
    <row r="774" spans="11:12" x14ac:dyDescent="0.4">
      <c r="K774" s="38">
        <v>772</v>
      </c>
      <c r="L774" s="99">
        <v>1.1000000000000143</v>
      </c>
    </row>
    <row r="775" spans="11:12" x14ac:dyDescent="0.4">
      <c r="K775" s="38">
        <v>773</v>
      </c>
      <c r="L775" s="99">
        <v>-34.699999999999982</v>
      </c>
    </row>
    <row r="776" spans="11:12" x14ac:dyDescent="0.4">
      <c r="K776" s="38">
        <v>774</v>
      </c>
      <c r="L776" s="99">
        <v>2.1316282072803006E-14</v>
      </c>
    </row>
    <row r="777" spans="11:12" x14ac:dyDescent="0.4">
      <c r="K777" s="38">
        <v>775</v>
      </c>
      <c r="L777" s="99">
        <v>-32.09999999999998</v>
      </c>
    </row>
    <row r="778" spans="11:12" x14ac:dyDescent="0.4">
      <c r="K778" s="38">
        <v>776</v>
      </c>
      <c r="L778" s="99">
        <v>-36.399999999999977</v>
      </c>
    </row>
    <row r="779" spans="11:12" x14ac:dyDescent="0.4">
      <c r="K779" s="38">
        <v>777</v>
      </c>
      <c r="L779" s="99">
        <v>2.1316282072803006E-14</v>
      </c>
    </row>
    <row r="780" spans="11:12" x14ac:dyDescent="0.4">
      <c r="K780" s="38">
        <v>778</v>
      </c>
      <c r="L780" s="99">
        <v>-7.399999999999979</v>
      </c>
    </row>
    <row r="781" spans="11:12" x14ac:dyDescent="0.4">
      <c r="K781" s="38">
        <v>779</v>
      </c>
      <c r="L781" s="99">
        <v>-65.999999999999986</v>
      </c>
    </row>
    <row r="782" spans="11:12" x14ac:dyDescent="0.4">
      <c r="K782" s="38">
        <v>780</v>
      </c>
      <c r="L782" s="99">
        <v>1.4210854715202004E-14</v>
      </c>
    </row>
    <row r="783" spans="11:12" x14ac:dyDescent="0.4">
      <c r="K783" s="38">
        <v>781</v>
      </c>
      <c r="L783" s="99">
        <v>-55.399999999999984</v>
      </c>
    </row>
    <row r="784" spans="11:12" x14ac:dyDescent="0.4">
      <c r="K784" s="38">
        <v>782</v>
      </c>
      <c r="L784" s="99">
        <v>-42.59999999999998</v>
      </c>
    </row>
    <row r="785" spans="11:12" x14ac:dyDescent="0.4">
      <c r="K785" s="38">
        <v>783</v>
      </c>
      <c r="L785" s="99">
        <v>2.1316282072803006E-14</v>
      </c>
    </row>
    <row r="786" spans="11:12" x14ac:dyDescent="0.4">
      <c r="K786" s="38">
        <v>784</v>
      </c>
      <c r="L786" s="99">
        <v>17.800000000000022</v>
      </c>
    </row>
    <row r="787" spans="11:12" x14ac:dyDescent="0.4">
      <c r="K787" s="38">
        <v>785</v>
      </c>
      <c r="L787" s="99">
        <v>-49.199999999999974</v>
      </c>
    </row>
    <row r="788" spans="11:12" x14ac:dyDescent="0.4">
      <c r="K788" s="38">
        <v>786</v>
      </c>
      <c r="L788" s="99">
        <v>2.8421709430404007E-14</v>
      </c>
    </row>
    <row r="789" spans="11:12" x14ac:dyDescent="0.4">
      <c r="K789" s="38">
        <v>787</v>
      </c>
      <c r="L789" s="99">
        <v>-17.89999999999997</v>
      </c>
    </row>
    <row r="790" spans="11:12" x14ac:dyDescent="0.4">
      <c r="K790" s="38">
        <v>788</v>
      </c>
      <c r="L790" s="99">
        <v>80.400000000000034</v>
      </c>
    </row>
    <row r="791" spans="11:12" x14ac:dyDescent="0.4">
      <c r="K791" s="38">
        <v>789</v>
      </c>
      <c r="L791" s="99">
        <v>2.8421709430404007E-14</v>
      </c>
    </row>
    <row r="792" spans="11:12" x14ac:dyDescent="0.4">
      <c r="K792" s="38">
        <v>790</v>
      </c>
      <c r="L792" s="99">
        <v>9.5000000000000284</v>
      </c>
    </row>
    <row r="793" spans="11:12" x14ac:dyDescent="0.4">
      <c r="K793" s="38">
        <v>791</v>
      </c>
      <c r="L793" s="99">
        <v>-49.999999999999972</v>
      </c>
    </row>
    <row r="794" spans="11:12" x14ac:dyDescent="0.4">
      <c r="K794" s="38">
        <v>792</v>
      </c>
      <c r="L794" s="99">
        <v>2.8421709430404007E-14</v>
      </c>
    </row>
    <row r="795" spans="11:12" x14ac:dyDescent="0.4">
      <c r="K795" s="38">
        <v>793</v>
      </c>
      <c r="L795" s="99">
        <v>-55.299999999999969</v>
      </c>
    </row>
    <row r="796" spans="11:12" x14ac:dyDescent="0.4">
      <c r="K796" s="38">
        <v>794</v>
      </c>
      <c r="L796" s="99">
        <v>3.5000000000000284</v>
      </c>
    </row>
    <row r="797" spans="11:12" x14ac:dyDescent="0.4">
      <c r="K797" s="38">
        <v>795</v>
      </c>
      <c r="L797" s="99">
        <v>2.8421709430404007E-14</v>
      </c>
    </row>
    <row r="798" spans="11:12" x14ac:dyDescent="0.4">
      <c r="K798" s="38">
        <v>796</v>
      </c>
      <c r="L798" s="99">
        <v>31.000000000000028</v>
      </c>
    </row>
    <row r="799" spans="11:12" x14ac:dyDescent="0.4">
      <c r="K799" s="38">
        <v>797</v>
      </c>
      <c r="L799" s="99">
        <v>-4.9999999999999716</v>
      </c>
    </row>
    <row r="800" spans="11:12" x14ac:dyDescent="0.4">
      <c r="K800" s="38">
        <v>798</v>
      </c>
      <c r="L800" s="99">
        <v>2.8421709430404007E-14</v>
      </c>
    </row>
    <row r="801" spans="11:12" x14ac:dyDescent="0.4">
      <c r="K801" s="38">
        <v>799</v>
      </c>
      <c r="L801" s="99">
        <v>-35.299999999999969</v>
      </c>
    </row>
    <row r="802" spans="11:12" x14ac:dyDescent="0.4">
      <c r="K802" s="38">
        <v>800</v>
      </c>
      <c r="L802" s="99">
        <v>-38.89999999999997</v>
      </c>
    </row>
    <row r="803" spans="11:12" x14ac:dyDescent="0.4">
      <c r="K803" s="38">
        <v>801</v>
      </c>
      <c r="L803" s="99">
        <v>2.8421709430404007E-14</v>
      </c>
    </row>
    <row r="804" spans="11:12" x14ac:dyDescent="0.4">
      <c r="K804" s="38">
        <v>802</v>
      </c>
      <c r="L804" s="99">
        <v>41.10000000000003</v>
      </c>
    </row>
    <row r="805" spans="11:12" x14ac:dyDescent="0.4">
      <c r="K805" s="38">
        <v>803</v>
      </c>
      <c r="L805" s="99">
        <v>52.000000000000028</v>
      </c>
    </row>
    <row r="806" spans="11:12" x14ac:dyDescent="0.4">
      <c r="K806" s="38">
        <v>804</v>
      </c>
      <c r="L806" s="99">
        <v>2.8421709430404007E-14</v>
      </c>
    </row>
    <row r="807" spans="11:12" x14ac:dyDescent="0.4">
      <c r="K807" s="38">
        <v>805</v>
      </c>
      <c r="L807" s="99">
        <v>54.60000000000003</v>
      </c>
    </row>
    <row r="808" spans="11:12" x14ac:dyDescent="0.4">
      <c r="K808" s="38">
        <v>806</v>
      </c>
      <c r="L808" s="99">
        <v>55.900000000000027</v>
      </c>
    </row>
    <row r="809" spans="11:12" x14ac:dyDescent="0.4">
      <c r="K809" s="38">
        <v>807</v>
      </c>
      <c r="L809" s="99">
        <v>2.8421709430404007E-14</v>
      </c>
    </row>
    <row r="810" spans="11:12" x14ac:dyDescent="0.4">
      <c r="K810" s="38">
        <v>808</v>
      </c>
      <c r="L810" s="99">
        <v>27.500000000000028</v>
      </c>
    </row>
    <row r="811" spans="11:12" x14ac:dyDescent="0.4">
      <c r="K811" s="38">
        <v>809</v>
      </c>
      <c r="L811" s="99">
        <v>28.500000000000028</v>
      </c>
    </row>
    <row r="812" spans="11:12" x14ac:dyDescent="0.4">
      <c r="K812" s="38">
        <v>810</v>
      </c>
      <c r="L812" s="99">
        <v>2.8421709430404007E-14</v>
      </c>
    </row>
    <row r="813" spans="11:12" x14ac:dyDescent="0.4">
      <c r="K813" s="38">
        <v>811</v>
      </c>
      <c r="L813" s="99">
        <v>33.400000000000027</v>
      </c>
    </row>
    <row r="814" spans="11:12" x14ac:dyDescent="0.4">
      <c r="K814" s="38">
        <v>812</v>
      </c>
      <c r="L814" s="99">
        <v>0.10000000000002984</v>
      </c>
    </row>
    <row r="815" spans="11:12" x14ac:dyDescent="0.4">
      <c r="K815" s="38">
        <v>813</v>
      </c>
      <c r="L815" s="99">
        <v>2.9837243786801082E-14</v>
      </c>
    </row>
    <row r="816" spans="11:12" x14ac:dyDescent="0.4">
      <c r="K816" s="38">
        <v>814</v>
      </c>
      <c r="L816" s="99">
        <v>38.300000000000026</v>
      </c>
    </row>
    <row r="817" spans="11:12" x14ac:dyDescent="0.4">
      <c r="K817" s="38">
        <v>815</v>
      </c>
      <c r="L817" s="99">
        <v>-12.899999999999977</v>
      </c>
    </row>
    <row r="818" spans="11:12" x14ac:dyDescent="0.4">
      <c r="K818" s="38">
        <v>816</v>
      </c>
      <c r="L818" s="99">
        <v>2.3092638912203256E-14</v>
      </c>
    </row>
    <row r="819" spans="11:12" x14ac:dyDescent="0.4">
      <c r="K819" s="38">
        <v>817</v>
      </c>
      <c r="L819" s="99">
        <v>47.90000000000002</v>
      </c>
    </row>
    <row r="820" spans="11:12" x14ac:dyDescent="0.4">
      <c r="K820" s="38">
        <v>818</v>
      </c>
      <c r="L820" s="99">
        <v>-22.59999999999998</v>
      </c>
    </row>
    <row r="821" spans="11:12" x14ac:dyDescent="0.4">
      <c r="K821" s="38">
        <v>819</v>
      </c>
      <c r="L821" s="99">
        <v>2.1316282072803006E-14</v>
      </c>
    </row>
    <row r="822" spans="11:12" x14ac:dyDescent="0.4">
      <c r="K822" s="38">
        <v>820</v>
      </c>
      <c r="L822" s="99">
        <v>-7.5999999999999783</v>
      </c>
    </row>
    <row r="823" spans="11:12" x14ac:dyDescent="0.4">
      <c r="K823" s="38">
        <v>821</v>
      </c>
      <c r="L823" s="99">
        <v>-54.59999999999998</v>
      </c>
    </row>
    <row r="824" spans="11:12" x14ac:dyDescent="0.4">
      <c r="K824" s="38">
        <v>822</v>
      </c>
      <c r="L824" s="99">
        <v>2.1316282072803006E-14</v>
      </c>
    </row>
    <row r="825" spans="11:12" x14ac:dyDescent="0.4">
      <c r="K825" s="38">
        <v>823</v>
      </c>
      <c r="L825" s="99">
        <v>-34.59999999999998</v>
      </c>
    </row>
    <row r="826" spans="11:12" x14ac:dyDescent="0.4">
      <c r="K826" s="38">
        <v>824</v>
      </c>
      <c r="L826" s="99">
        <v>9.1000000000000227</v>
      </c>
    </row>
    <row r="827" spans="11:12" x14ac:dyDescent="0.4">
      <c r="K827" s="38">
        <v>825</v>
      </c>
      <c r="L827" s="99">
        <v>2.3092638912203256E-14</v>
      </c>
    </row>
    <row r="828" spans="11:12" x14ac:dyDescent="0.4">
      <c r="K828" s="38">
        <v>826</v>
      </c>
      <c r="L828" s="99">
        <v>-29.499999999999979</v>
      </c>
    </row>
    <row r="829" spans="11:12" x14ac:dyDescent="0.4">
      <c r="K829" s="38">
        <v>827</v>
      </c>
      <c r="L829" s="99">
        <v>-29.999999999999979</v>
      </c>
    </row>
    <row r="830" spans="11:12" x14ac:dyDescent="0.4">
      <c r="K830" s="38">
        <v>828</v>
      </c>
      <c r="L830" s="99">
        <v>2.1316282072803006E-14</v>
      </c>
    </row>
    <row r="831" spans="11:12" x14ac:dyDescent="0.4">
      <c r="K831" s="38">
        <v>829</v>
      </c>
      <c r="L831" s="99">
        <v>0.90000000000002134</v>
      </c>
    </row>
    <row r="832" spans="11:12" x14ac:dyDescent="0.4">
      <c r="K832" s="38">
        <v>830</v>
      </c>
      <c r="L832" s="99">
        <v>49.800000000000018</v>
      </c>
    </row>
    <row r="833" spans="11:12" x14ac:dyDescent="0.4">
      <c r="K833" s="38">
        <v>831</v>
      </c>
      <c r="L833" s="99">
        <v>2.1316282072803006E-14</v>
      </c>
    </row>
    <row r="834" spans="11:12" x14ac:dyDescent="0.4">
      <c r="K834" s="38">
        <v>832</v>
      </c>
      <c r="L834" s="99">
        <v>-23.699999999999978</v>
      </c>
    </row>
    <row r="835" spans="11:12" x14ac:dyDescent="0.4">
      <c r="K835" s="38">
        <v>833</v>
      </c>
      <c r="L835" s="99">
        <v>-0.59999999999997655</v>
      </c>
    </row>
    <row r="836" spans="11:12" x14ac:dyDescent="0.4">
      <c r="K836" s="38">
        <v>834</v>
      </c>
      <c r="L836" s="99">
        <v>2.3425705819590803E-14</v>
      </c>
    </row>
    <row r="837" spans="11:12" x14ac:dyDescent="0.4">
      <c r="K837" s="38">
        <v>835</v>
      </c>
      <c r="L837" s="99">
        <v>9.0000000000000231</v>
      </c>
    </row>
    <row r="838" spans="11:12" x14ac:dyDescent="0.4">
      <c r="K838" s="38">
        <v>836</v>
      </c>
      <c r="L838" s="99">
        <v>-31.499999999999979</v>
      </c>
    </row>
    <row r="839" spans="11:12" x14ac:dyDescent="0.4">
      <c r="K839" s="38">
        <v>837</v>
      </c>
      <c r="L839" s="99">
        <v>2.1316282072803006E-14</v>
      </c>
    </row>
    <row r="840" spans="11:12" x14ac:dyDescent="0.4">
      <c r="K840" s="38">
        <v>838</v>
      </c>
      <c r="L840" s="99">
        <v>26.90000000000002</v>
      </c>
    </row>
    <row r="841" spans="11:12" x14ac:dyDescent="0.4">
      <c r="K841" s="38">
        <v>839</v>
      </c>
      <c r="L841" s="99">
        <v>28.40000000000002</v>
      </c>
    </row>
    <row r="842" spans="11:12" x14ac:dyDescent="0.4">
      <c r="K842" s="38">
        <v>840</v>
      </c>
      <c r="L842" s="99">
        <v>2.1316282072803006E-14</v>
      </c>
    </row>
    <row r="843" spans="11:12" x14ac:dyDescent="0.4">
      <c r="K843" s="38">
        <v>841</v>
      </c>
      <c r="L843" s="99">
        <v>-33.799999999999976</v>
      </c>
    </row>
    <row r="844" spans="11:12" x14ac:dyDescent="0.4">
      <c r="K844" s="38">
        <v>842</v>
      </c>
      <c r="L844" s="99">
        <v>5.1000000000000227</v>
      </c>
    </row>
    <row r="845" spans="11:12" x14ac:dyDescent="0.4">
      <c r="K845" s="38">
        <v>843</v>
      </c>
      <c r="L845" s="99">
        <v>2.3092638912203256E-14</v>
      </c>
    </row>
    <row r="846" spans="11:12" x14ac:dyDescent="0.4">
      <c r="K846" s="38">
        <v>844</v>
      </c>
      <c r="L846" s="99">
        <v>-31.799999999999976</v>
      </c>
    </row>
    <row r="847" spans="11:12" x14ac:dyDescent="0.4">
      <c r="K847" s="38">
        <v>845</v>
      </c>
      <c r="L847" s="99">
        <v>-1.4999999999999751</v>
      </c>
    </row>
    <row r="848" spans="11:12" x14ac:dyDescent="0.4">
      <c r="K848" s="38">
        <v>846</v>
      </c>
      <c r="L848" s="99">
        <v>2.4868995751603507E-14</v>
      </c>
    </row>
    <row r="849" spans="11:12" x14ac:dyDescent="0.4">
      <c r="K849" s="38">
        <v>847</v>
      </c>
      <c r="L849" s="99">
        <v>-0.79999999999997518</v>
      </c>
    </row>
    <row r="850" spans="11:12" x14ac:dyDescent="0.4">
      <c r="K850" s="38">
        <v>848</v>
      </c>
      <c r="L850" s="99">
        <v>26.900000000000023</v>
      </c>
    </row>
    <row r="851" spans="11:12" x14ac:dyDescent="0.4">
      <c r="K851" s="38">
        <v>849</v>
      </c>
      <c r="L851" s="99">
        <v>2.4868995751603507E-14</v>
      </c>
    </row>
    <row r="852" spans="11:12" x14ac:dyDescent="0.4">
      <c r="K852" s="38">
        <v>850</v>
      </c>
      <c r="L852" s="99">
        <v>72.000000000000028</v>
      </c>
    </row>
    <row r="853" spans="11:12" x14ac:dyDescent="0.4">
      <c r="K853" s="38">
        <v>851</v>
      </c>
      <c r="L853" s="99">
        <v>62.000000000000028</v>
      </c>
    </row>
    <row r="854" spans="11:12" x14ac:dyDescent="0.4">
      <c r="K854" s="38">
        <v>852</v>
      </c>
      <c r="L854" s="99">
        <v>2.8421709430404007E-14</v>
      </c>
    </row>
    <row r="855" spans="11:12" x14ac:dyDescent="0.4">
      <c r="K855" s="38">
        <v>853</v>
      </c>
      <c r="L855" s="99">
        <v>-32.699999999999974</v>
      </c>
    </row>
    <row r="856" spans="11:12" x14ac:dyDescent="0.4">
      <c r="K856" s="38">
        <v>854</v>
      </c>
      <c r="L856" s="99">
        <v>-31.099999999999973</v>
      </c>
    </row>
    <row r="857" spans="11:12" x14ac:dyDescent="0.4">
      <c r="K857" s="38">
        <v>855</v>
      </c>
      <c r="L857" s="99">
        <v>2.8421709430404007E-14</v>
      </c>
    </row>
  </sheetData>
  <sortState ref="N15:Q2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7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176</v>
      </c>
      <c r="C2" s="153"/>
      <c r="E2" s="62" t="s">
        <v>67</v>
      </c>
      <c r="F2" s="59" t="s">
        <v>23</v>
      </c>
      <c r="G2" s="46">
        <v>356</v>
      </c>
      <c r="H2" s="132">
        <f>IF(B$17=0,0,G2/B$17)</f>
        <v>0.72950819672131151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1492.0454545454545</v>
      </c>
      <c r="P2" s="118">
        <v>176</v>
      </c>
      <c r="Q2" s="102">
        <v>262600</v>
      </c>
    </row>
    <row r="3" spans="1:17" x14ac:dyDescent="0.4">
      <c r="A3" s="55" t="s">
        <v>8</v>
      </c>
      <c r="B3" s="154">
        <v>1444</v>
      </c>
      <c r="C3" s="155"/>
      <c r="E3" s="63" t="s">
        <v>73</v>
      </c>
      <c r="F3" s="60" t="s">
        <v>28</v>
      </c>
      <c r="G3" s="47">
        <v>268</v>
      </c>
      <c r="H3" s="133">
        <f>IF(B$17=0,0,G3/B$17)</f>
        <v>0.54918032786885251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2251.4619883040937</v>
      </c>
      <c r="P3" s="119">
        <v>171</v>
      </c>
      <c r="Q3" s="103">
        <v>385000</v>
      </c>
    </row>
    <row r="4" spans="1:17" x14ac:dyDescent="0.4">
      <c r="A4" s="55" t="s">
        <v>6</v>
      </c>
      <c r="B4" s="156">
        <v>2055.5</v>
      </c>
      <c r="C4" s="157"/>
      <c r="E4" s="63" t="s">
        <v>65</v>
      </c>
      <c r="F4" s="60" t="s">
        <v>21</v>
      </c>
      <c r="G4" s="47">
        <v>237</v>
      </c>
      <c r="H4" s="133">
        <f>IF(B$17=0,0,G4/B$17)</f>
        <v>0.48565573770491804</v>
      </c>
      <c r="I4" s="94">
        <v>10</v>
      </c>
      <c r="K4" s="38">
        <v>2</v>
      </c>
      <c r="L4" s="99">
        <v>-2.8999999999999995</v>
      </c>
      <c r="N4" s="115" t="s">
        <v>134</v>
      </c>
      <c r="O4" s="122">
        <f t="shared" si="0"/>
        <v>610.49382716049388</v>
      </c>
      <c r="P4" s="119">
        <v>162</v>
      </c>
      <c r="Q4" s="103">
        <v>98900</v>
      </c>
    </row>
    <row r="5" spans="1:17" x14ac:dyDescent="0.4">
      <c r="A5" s="55" t="s">
        <v>7</v>
      </c>
      <c r="B5" s="158">
        <f>IF(B$2=0,0,B$4/B$2)</f>
        <v>11.678977272727273</v>
      </c>
      <c r="C5" s="159"/>
      <c r="E5" s="63" t="s">
        <v>245</v>
      </c>
      <c r="F5" s="60" t="s">
        <v>246</v>
      </c>
      <c r="G5" s="47">
        <v>199</v>
      </c>
      <c r="H5" s="133">
        <f>IF(B$17=0,0,G5/B$17)</f>
        <v>0.40778688524590162</v>
      </c>
      <c r="I5" s="94">
        <v>7</v>
      </c>
      <c r="K5" s="38">
        <v>3</v>
      </c>
      <c r="L5" s="99">
        <v>70.399999999999991</v>
      </c>
      <c r="N5" s="115" t="s">
        <v>135</v>
      </c>
      <c r="O5" s="122">
        <f t="shared" si="0"/>
        <v>2192.6666666666665</v>
      </c>
      <c r="P5" s="119">
        <v>150</v>
      </c>
      <c r="Q5" s="103">
        <v>328900</v>
      </c>
    </row>
    <row r="6" spans="1:17" x14ac:dyDescent="0.4">
      <c r="A6" s="55" t="s">
        <v>1</v>
      </c>
      <c r="B6" s="148">
        <f>IF(B$2=0,0,(B$7*1+B$8*2+B$9*3)/B$2)</f>
        <v>1.7784090909090908</v>
      </c>
      <c r="C6" s="149"/>
      <c r="E6" s="63" t="s">
        <v>68</v>
      </c>
      <c r="F6" s="60" t="s">
        <v>24</v>
      </c>
      <c r="G6" s="47">
        <v>148</v>
      </c>
      <c r="H6" s="133">
        <f>IF(B$17=0,0,G6/B$17)</f>
        <v>0.30327868852459017</v>
      </c>
      <c r="I6" s="94">
        <v>7</v>
      </c>
      <c r="K6" s="38">
        <v>4</v>
      </c>
      <c r="L6" s="99">
        <v>110.5</v>
      </c>
      <c r="N6" s="115" t="s">
        <v>136</v>
      </c>
      <c r="O6" s="122">
        <f t="shared" si="0"/>
        <v>562.40601503759399</v>
      </c>
      <c r="P6" s="119">
        <v>133</v>
      </c>
      <c r="Q6" s="103">
        <v>74800</v>
      </c>
    </row>
    <row r="7" spans="1:17" x14ac:dyDescent="0.4">
      <c r="A7" s="55" t="s">
        <v>2</v>
      </c>
      <c r="B7" s="47">
        <v>82</v>
      </c>
      <c r="C7" s="39">
        <f>IF(B$2=0,0,B7/B$2)</f>
        <v>0.46590909090909088</v>
      </c>
      <c r="E7" s="63" t="s">
        <v>69</v>
      </c>
      <c r="F7" s="60" t="s">
        <v>12</v>
      </c>
      <c r="G7" s="47">
        <v>136</v>
      </c>
      <c r="H7" s="133">
        <f>IF(B$17=0,0,G7/B$17)</f>
        <v>0.27868852459016391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1096.5217391304348</v>
      </c>
      <c r="P7" s="120">
        <v>115</v>
      </c>
      <c r="Q7" s="104">
        <v>126100</v>
      </c>
    </row>
    <row r="8" spans="1:17" x14ac:dyDescent="0.4">
      <c r="A8" s="55" t="s">
        <v>3</v>
      </c>
      <c r="B8" s="47">
        <v>51</v>
      </c>
      <c r="C8" s="39">
        <f>IF(B$2=0,0,B8/B$2)</f>
        <v>0.28977272727272729</v>
      </c>
      <c r="E8" s="63" t="s">
        <v>70</v>
      </c>
      <c r="F8" s="60" t="s">
        <v>25</v>
      </c>
      <c r="G8" s="47">
        <v>80</v>
      </c>
      <c r="H8" s="133">
        <f>IF(B$17=0,0,G8/B$17)</f>
        <v>0.16393442622950818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43</v>
      </c>
      <c r="C9" s="40">
        <f t="shared" ref="C9" si="1">IF(B$2=0,0,B9/B$2)</f>
        <v>0.24431818181818182</v>
      </c>
      <c r="E9" s="63" t="s">
        <v>90</v>
      </c>
      <c r="F9" s="60" t="s">
        <v>45</v>
      </c>
      <c r="G9" s="47">
        <v>74</v>
      </c>
      <c r="H9" s="133">
        <f>IF(B$17=0,0,G9/B$17)</f>
        <v>0.15163934426229508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16</v>
      </c>
      <c r="C10" s="40">
        <f>IF(B$2=0,0,B10/B$2)</f>
        <v>9.0909090909090912E-2</v>
      </c>
      <c r="E10" s="63" t="s">
        <v>66</v>
      </c>
      <c r="F10" s="60" t="s">
        <v>22</v>
      </c>
      <c r="G10" s="47">
        <v>62</v>
      </c>
      <c r="H10" s="133">
        <f>IF(B$17=0,0,G10/B$17)</f>
        <v>0.12704918032786885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14.814814814814817</v>
      </c>
      <c r="P10" s="118">
        <v>54</v>
      </c>
      <c r="Q10" s="106">
        <v>800.00000000000011</v>
      </c>
    </row>
    <row r="11" spans="1:17" x14ac:dyDescent="0.4">
      <c r="A11" s="56" t="s">
        <v>140</v>
      </c>
      <c r="B11" s="48">
        <v>30</v>
      </c>
      <c r="C11" s="40">
        <f>IF(B$2=0,0,B11/B$2)</f>
        <v>0.17045454545454544</v>
      </c>
      <c r="E11" s="63" t="s">
        <v>71</v>
      </c>
      <c r="F11" s="60" t="s">
        <v>26</v>
      </c>
      <c r="G11" s="47">
        <v>44</v>
      </c>
      <c r="H11" s="133">
        <f>IF(B$17=0,0,G11/B$17)</f>
        <v>9.0163934426229511E-2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10.619642857142859</v>
      </c>
      <c r="P11" s="119">
        <v>56</v>
      </c>
      <c r="Q11" s="107">
        <v>594.70000000000005</v>
      </c>
    </row>
    <row r="12" spans="1:17" x14ac:dyDescent="0.4">
      <c r="A12" s="57" t="s">
        <v>160</v>
      </c>
      <c r="B12" s="49">
        <v>24</v>
      </c>
      <c r="C12" s="42">
        <f>IF(B$2=0,0,B12/B$2)</f>
        <v>0.13636363636363635</v>
      </c>
      <c r="E12" s="63" t="s">
        <v>87</v>
      </c>
      <c r="F12" s="60" t="s">
        <v>42</v>
      </c>
      <c r="G12" s="47">
        <v>35</v>
      </c>
      <c r="H12" s="133">
        <f>IF(B$17=0,0,G12/B$17)</f>
        <v>7.1721311475409832E-2</v>
      </c>
      <c r="I12" s="94">
        <v>3</v>
      </c>
      <c r="K12" s="38">
        <v>10</v>
      </c>
      <c r="L12" s="99">
        <v>246.20000000000005</v>
      </c>
      <c r="N12" s="116" t="s">
        <v>166</v>
      </c>
      <c r="O12" s="126">
        <f>IF(P12=0,0,Q12/P12)</f>
        <v>10.012121212121217</v>
      </c>
      <c r="P12" s="120">
        <v>66</v>
      </c>
      <c r="Q12" s="108">
        <v>660.8000000000003</v>
      </c>
    </row>
    <row r="13" spans="1:17" x14ac:dyDescent="0.4">
      <c r="A13" s="58" t="s">
        <v>122</v>
      </c>
      <c r="B13" s="50">
        <v>454</v>
      </c>
      <c r="C13" s="44">
        <f>IF(B$3=0,0,B13/B$3)</f>
        <v>0.31440443213296398</v>
      </c>
      <c r="E13" s="63" t="s">
        <v>72</v>
      </c>
      <c r="F13" s="60" t="s">
        <v>27</v>
      </c>
      <c r="G13" s="47">
        <v>32</v>
      </c>
      <c r="H13" s="133">
        <f>IF(B$17=0,0,G13/B$17)</f>
        <v>6.5573770491803282E-2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302</v>
      </c>
      <c r="C14" s="39">
        <f>IF(B$3=0,0,B14/B$3)</f>
        <v>0.20914127423822715</v>
      </c>
      <c r="E14" s="63" t="s">
        <v>84</v>
      </c>
      <c r="F14" s="60" t="s">
        <v>39</v>
      </c>
      <c r="G14" s="47">
        <v>25</v>
      </c>
      <c r="H14" s="133">
        <f>IF(B$17=0,0,G14/B$17)</f>
        <v>5.1229508196721313E-2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262</v>
      </c>
      <c r="C15" s="37">
        <f>IF(B$13=0,0,B15/B$13)</f>
        <v>0.5770925110132159</v>
      </c>
      <c r="E15" s="63" t="s">
        <v>180</v>
      </c>
      <c r="F15" s="60" t="s">
        <v>181</v>
      </c>
      <c r="G15" s="47">
        <v>21</v>
      </c>
      <c r="H15" s="133">
        <f>IF(B$17=0,0,G15/B$17)</f>
        <v>4.3032786885245901E-2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155</v>
      </c>
      <c r="C16" s="37">
        <f>IF(B$14=0,0,B16/B$14)</f>
        <v>0.51324503311258274</v>
      </c>
      <c r="E16" s="63" t="s">
        <v>79</v>
      </c>
      <c r="F16" s="60" t="s">
        <v>34</v>
      </c>
      <c r="G16" s="47">
        <v>12</v>
      </c>
      <c r="H16" s="133">
        <f>IF(B$17=0,0,G16/B$17)</f>
        <v>2.4590163934426229E-2</v>
      </c>
      <c r="I16" s="94">
        <v>8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488</v>
      </c>
      <c r="C17" s="37">
        <f>IF(B$3=0,0,B17/B$3)</f>
        <v>0.33795013850415512</v>
      </c>
      <c r="E17" s="63" t="s">
        <v>82</v>
      </c>
      <c r="F17" s="60" t="s">
        <v>37</v>
      </c>
      <c r="G17" s="47">
        <v>12</v>
      </c>
      <c r="H17" s="133">
        <f>IF(B$17=0,0,G17/B$17)</f>
        <v>2.4590163934426229E-2</v>
      </c>
      <c r="I17" s="94">
        <v>8</v>
      </c>
      <c r="K17" s="38">
        <v>15</v>
      </c>
      <c r="L17" s="99">
        <v>481.50000000000006</v>
      </c>
      <c r="N17" s="115" t="s">
        <v>184</v>
      </c>
      <c r="O17" s="125">
        <f>IF(P17=0,0,Q17/P17)</f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207</v>
      </c>
      <c r="C18" s="39">
        <f>IF(B$17=0,0,B18/B$17)</f>
        <v>0.42418032786885246</v>
      </c>
      <c r="E18" s="63" t="s">
        <v>92</v>
      </c>
      <c r="F18" s="60" t="s">
        <v>47</v>
      </c>
      <c r="G18" s="47">
        <v>11</v>
      </c>
      <c r="H18" s="133">
        <f>IF(B$17=0,0,G18/B$17)</f>
        <v>2.2540983606557378E-2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25.497916666666658</v>
      </c>
      <c r="P18" s="119">
        <v>48</v>
      </c>
      <c r="Q18" s="107">
        <v>1223.8999999999996</v>
      </c>
    </row>
    <row r="19" spans="1:17" x14ac:dyDescent="0.4">
      <c r="A19" s="55" t="s">
        <v>11</v>
      </c>
      <c r="B19" s="47">
        <v>281</v>
      </c>
      <c r="C19" s="39">
        <f>IF(B$17=0,0,B19/B$17)</f>
        <v>0.57581967213114749</v>
      </c>
      <c r="E19" s="63" t="s">
        <v>80</v>
      </c>
      <c r="F19" s="60" t="s">
        <v>35</v>
      </c>
      <c r="G19" s="47">
        <v>7</v>
      </c>
      <c r="H19" s="133">
        <f>IF(B$17=0,0,G19/B$17)</f>
        <v>1.4344262295081968E-2</v>
      </c>
      <c r="I19" s="94">
        <v>8</v>
      </c>
      <c r="K19" s="38">
        <v>17</v>
      </c>
      <c r="L19" s="99">
        <v>427.40000000000003</v>
      </c>
      <c r="N19" s="115" t="s">
        <v>129</v>
      </c>
      <c r="O19" s="125">
        <f>IF(P19=0,0,Q19/P19)</f>
        <v>22.601408450704227</v>
      </c>
      <c r="P19" s="119">
        <v>71</v>
      </c>
      <c r="Q19" s="107">
        <v>1604.7</v>
      </c>
    </row>
    <row r="20" spans="1:17" x14ac:dyDescent="0.4">
      <c r="A20" s="55" t="s">
        <v>13</v>
      </c>
      <c r="B20" s="47">
        <v>224</v>
      </c>
      <c r="C20" s="39">
        <f>IF(B$3=0,0,B20/B$3)</f>
        <v>0.15512465373961218</v>
      </c>
      <c r="E20" s="63" t="s">
        <v>86</v>
      </c>
      <c r="F20" s="60" t="s">
        <v>41</v>
      </c>
      <c r="G20" s="47">
        <v>4</v>
      </c>
      <c r="H20" s="133">
        <f>IF(B$17=0,0,G20/B$17)</f>
        <v>8.1967213114754103E-3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19.146153846153855</v>
      </c>
      <c r="P20" s="119">
        <v>39</v>
      </c>
      <c r="Q20" s="107">
        <v>746.70000000000027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3</v>
      </c>
      <c r="H21" s="133">
        <f>IF(B$17=0,0,G21/B$17)</f>
        <v>6.1475409836065573E-3</v>
      </c>
      <c r="I21" s="94">
        <v>6</v>
      </c>
      <c r="K21" s="38">
        <v>19</v>
      </c>
      <c r="L21" s="99">
        <v>405.40000000000003</v>
      </c>
      <c r="N21" s="115" t="s">
        <v>128</v>
      </c>
      <c r="O21" s="125">
        <f>IF(P21=0,0,Q21/P21)</f>
        <v>17.232291666666665</v>
      </c>
      <c r="P21" s="119">
        <v>96</v>
      </c>
      <c r="Q21" s="107">
        <v>1654.3</v>
      </c>
    </row>
    <row r="22" spans="1:17" x14ac:dyDescent="0.4">
      <c r="A22" s="55" t="s">
        <v>192</v>
      </c>
      <c r="B22" s="47">
        <v>39</v>
      </c>
      <c r="C22" s="135">
        <v>1</v>
      </c>
      <c r="E22" s="63" t="s">
        <v>93</v>
      </c>
      <c r="F22" s="60" t="s">
        <v>48</v>
      </c>
      <c r="G22" s="47">
        <v>3</v>
      </c>
      <c r="H22" s="133">
        <f>IF(B$17=0,0,G22/B$17)</f>
        <v>6.1475409836065573E-3</v>
      </c>
      <c r="I22" s="94">
        <v>2</v>
      </c>
      <c r="K22" s="38">
        <v>20</v>
      </c>
      <c r="L22" s="99">
        <v>469.6</v>
      </c>
      <c r="N22" s="115" t="s">
        <v>173</v>
      </c>
      <c r="O22" s="125">
        <f>IF(P22=0,0,Q22/P22)</f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9281.3524590163943</v>
      </c>
      <c r="C23" s="41">
        <v>4529300</v>
      </c>
      <c r="E23" s="63" t="s">
        <v>78</v>
      </c>
      <c r="F23" s="60" t="s">
        <v>33</v>
      </c>
      <c r="G23" s="47">
        <v>2</v>
      </c>
      <c r="H23" s="133">
        <f>IF(B$17=0,0,G23/B$17)</f>
        <v>4.0983606557377051E-3</v>
      </c>
      <c r="I23" s="94">
        <v>5</v>
      </c>
      <c r="K23" s="38">
        <v>21</v>
      </c>
      <c r="L23" s="99">
        <v>468.3</v>
      </c>
      <c r="N23" s="115" t="s">
        <v>171</v>
      </c>
      <c r="O23" s="125">
        <f>IF(P23=0,0,Q23/P23)</f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-8129.9107142857147</v>
      </c>
      <c r="C24" s="45">
        <v>-1821100</v>
      </c>
      <c r="E24" s="63" t="s">
        <v>89</v>
      </c>
      <c r="F24" s="60" t="s">
        <v>44</v>
      </c>
      <c r="G24" s="47">
        <v>2</v>
      </c>
      <c r="H24" s="133">
        <f>IF(B$17=0,0,G24/B$17)</f>
        <v>4.0983606557377051E-3</v>
      </c>
      <c r="I24" s="94">
        <v>1</v>
      </c>
      <c r="K24" s="38">
        <v>22</v>
      </c>
      <c r="L24" s="99">
        <v>519.20000000000005</v>
      </c>
      <c r="N24" s="115" t="s">
        <v>200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6">
        <v>7</v>
      </c>
      <c r="C25" s="147"/>
      <c r="E25" s="63" t="s">
        <v>91</v>
      </c>
      <c r="F25" s="60" t="s">
        <v>46</v>
      </c>
      <c r="G25" s="47">
        <v>2</v>
      </c>
      <c r="H25" s="133">
        <f>IF(B$17=0,0,G25/B$17)</f>
        <v>4.0983606557377051E-3</v>
      </c>
      <c r="I25" s="94">
        <v>2</v>
      </c>
      <c r="K25" s="38">
        <v>23</v>
      </c>
      <c r="L25" s="99">
        <v>555.90000000000009</v>
      </c>
      <c r="N25" s="115" t="s">
        <v>223</v>
      </c>
      <c r="O25" s="125">
        <f>IF(P25=0,0,Q25/P25)</f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4">
        <v>116000</v>
      </c>
      <c r="C26" s="145"/>
      <c r="E26" s="63" t="s">
        <v>94</v>
      </c>
      <c r="F26" s="60" t="s">
        <v>49</v>
      </c>
      <c r="G26" s="47">
        <v>2</v>
      </c>
      <c r="H26" s="133">
        <f>IF(B$17=0,0,G26/B$17)</f>
        <v>4.0983606557377051E-3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6.925207756232687E-4</v>
      </c>
      <c r="E27" s="63" t="s">
        <v>76</v>
      </c>
      <c r="F27" s="60" t="s">
        <v>31</v>
      </c>
      <c r="G27" s="47">
        <v>1</v>
      </c>
      <c r="H27" s="133">
        <f>IF(B$17=0,0,G27/B$17)</f>
        <v>2.0491803278688526E-3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2.0491803278688526E-3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>IF(B$17=0,0,G29/B$17)</f>
        <v>2.0491803278688526E-3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>IF(B$17=0,0,G30/B$17)</f>
        <v>2.0491803278688526E-3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4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145</v>
      </c>
      <c r="C2" s="153"/>
      <c r="E2" s="62" t="s">
        <v>65</v>
      </c>
      <c r="F2" s="59" t="s">
        <v>21</v>
      </c>
      <c r="G2" s="46">
        <v>200</v>
      </c>
      <c r="H2" s="132">
        <f>IF(B$17=0,0,G2/B$17)</f>
        <v>0.60606060606060608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615.17241379310349</v>
      </c>
      <c r="P2" s="118">
        <v>145</v>
      </c>
      <c r="Q2" s="102">
        <v>89200</v>
      </c>
    </row>
    <row r="3" spans="1:17" x14ac:dyDescent="0.4">
      <c r="A3" s="55" t="s">
        <v>8</v>
      </c>
      <c r="B3" s="154">
        <v>1191</v>
      </c>
      <c r="C3" s="155"/>
      <c r="E3" s="63" t="s">
        <v>66</v>
      </c>
      <c r="F3" s="60" t="s">
        <v>22</v>
      </c>
      <c r="G3" s="47">
        <v>50</v>
      </c>
      <c r="H3" s="133">
        <f>IF(B$17=0,0,G3/B$17)</f>
        <v>0.15151515151515152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-2050.7142857142858</v>
      </c>
      <c r="P3" s="119">
        <v>140</v>
      </c>
      <c r="Q3" s="103">
        <v>-287100</v>
      </c>
    </row>
    <row r="4" spans="1:17" x14ac:dyDescent="0.4">
      <c r="A4" s="55" t="s">
        <v>6</v>
      </c>
      <c r="B4" s="156">
        <v>-324.50000000000006</v>
      </c>
      <c r="C4" s="157"/>
      <c r="E4" s="63" t="s">
        <v>67</v>
      </c>
      <c r="F4" s="60" t="s">
        <v>23</v>
      </c>
      <c r="G4" s="47">
        <v>250</v>
      </c>
      <c r="H4" s="133">
        <f>IF(B$17=0,0,G4/B$17)</f>
        <v>0.75757575757575757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495.48872180451127</v>
      </c>
      <c r="P4" s="119">
        <v>133</v>
      </c>
      <c r="Q4" s="103">
        <v>65900</v>
      </c>
    </row>
    <row r="5" spans="1:17" x14ac:dyDescent="0.4">
      <c r="A5" s="55" t="s">
        <v>7</v>
      </c>
      <c r="B5" s="158">
        <f>IF(B$2=0,0,B$4/B$2)</f>
        <v>-2.237931034482759</v>
      </c>
      <c r="C5" s="159"/>
      <c r="E5" s="63" t="s">
        <v>68</v>
      </c>
      <c r="F5" s="60" t="s">
        <v>24</v>
      </c>
      <c r="G5" s="47">
        <v>129</v>
      </c>
      <c r="H5" s="133">
        <f>IF(B$17=0,0,G5/B$17)</f>
        <v>0.39090909090909093</v>
      </c>
      <c r="I5" s="94">
        <v>4</v>
      </c>
      <c r="K5" s="38">
        <v>3</v>
      </c>
      <c r="L5" s="99">
        <v>-47.300000000000004</v>
      </c>
      <c r="N5" s="115" t="s">
        <v>135</v>
      </c>
      <c r="O5" s="122">
        <f t="shared" si="0"/>
        <v>-140.83333333333334</v>
      </c>
      <c r="P5" s="119">
        <v>120</v>
      </c>
      <c r="Q5" s="103">
        <v>-16900</v>
      </c>
    </row>
    <row r="6" spans="1:17" x14ac:dyDescent="0.4">
      <c r="A6" s="55" t="s">
        <v>1</v>
      </c>
      <c r="B6" s="148">
        <f>IF(B$2=0,0,(B$7*1+B$8*2+B$9*3)/B$2)</f>
        <v>2.0620689655172413</v>
      </c>
      <c r="C6" s="149"/>
      <c r="E6" s="63" t="s">
        <v>69</v>
      </c>
      <c r="F6" s="60" t="s">
        <v>12</v>
      </c>
      <c r="G6" s="47">
        <v>112</v>
      </c>
      <c r="H6" s="133">
        <f>IF(B$17=0,0,G6/B$17)</f>
        <v>0.33939393939393941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727.35849056603774</v>
      </c>
      <c r="P6" s="119">
        <v>106</v>
      </c>
      <c r="Q6" s="103">
        <v>77100</v>
      </c>
    </row>
    <row r="7" spans="1:17" x14ac:dyDescent="0.4">
      <c r="A7" s="55" t="s">
        <v>2</v>
      </c>
      <c r="B7" s="47">
        <v>40</v>
      </c>
      <c r="C7" s="39">
        <f>IF(B$2=0,0,B7/B$2)</f>
        <v>0.27586206896551724</v>
      </c>
      <c r="E7" s="63" t="s">
        <v>70</v>
      </c>
      <c r="F7" s="60" t="s">
        <v>25</v>
      </c>
      <c r="G7" s="47">
        <v>72</v>
      </c>
      <c r="H7" s="133">
        <f>IF(B$17=0,0,G7/B$17)</f>
        <v>0.21818181818181817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-213.4020618556701</v>
      </c>
      <c r="P7" s="120">
        <v>97</v>
      </c>
      <c r="Q7" s="104">
        <v>-20700</v>
      </c>
    </row>
    <row r="8" spans="1:17" x14ac:dyDescent="0.4">
      <c r="A8" s="55" t="s">
        <v>3</v>
      </c>
      <c r="B8" s="47">
        <v>56</v>
      </c>
      <c r="C8" s="39">
        <f>IF(B$2=0,0,B8/B$2)</f>
        <v>0.38620689655172413</v>
      </c>
      <c r="E8" s="63" t="s">
        <v>71</v>
      </c>
      <c r="F8" s="60" t="s">
        <v>26</v>
      </c>
      <c r="G8" s="47">
        <v>41</v>
      </c>
      <c r="H8" s="133">
        <f>IF(B$17=0,0,G8/B$17)</f>
        <v>0.12424242424242424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49</v>
      </c>
      <c r="C9" s="40">
        <f t="shared" ref="C9" si="1">IF(B$2=0,0,B9/B$2)</f>
        <v>0.33793103448275863</v>
      </c>
      <c r="E9" s="63" t="s">
        <v>72</v>
      </c>
      <c r="F9" s="60" t="s">
        <v>27</v>
      </c>
      <c r="G9" s="47">
        <v>17</v>
      </c>
      <c r="H9" s="133">
        <f>IF(B$17=0,0,G9/B$17)</f>
        <v>5.1515151515151514E-2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0.1310344827586207</v>
      </c>
      <c r="E10" s="63" t="s">
        <v>73</v>
      </c>
      <c r="F10" s="60" t="s">
        <v>28</v>
      </c>
      <c r="G10" s="47">
        <v>153</v>
      </c>
      <c r="H10" s="133">
        <f>IF(B$17=0,0,G10/B$17)</f>
        <v>0.46363636363636362</v>
      </c>
      <c r="I10" s="94">
        <v>11</v>
      </c>
      <c r="K10" s="38">
        <v>8</v>
      </c>
      <c r="L10" s="99">
        <v>-49.6</v>
      </c>
      <c r="N10" s="114" t="s">
        <v>164</v>
      </c>
      <c r="O10" s="124">
        <f>IF(P10=0,0,Q10/P10)</f>
        <v>-5.1916666666666673</v>
      </c>
      <c r="P10" s="118">
        <v>72</v>
      </c>
      <c r="Q10" s="106">
        <v>-373.80000000000007</v>
      </c>
    </row>
    <row r="11" spans="1:17" x14ac:dyDescent="0.4">
      <c r="A11" s="56" t="s">
        <v>140</v>
      </c>
      <c r="B11" s="48">
        <v>15</v>
      </c>
      <c r="C11" s="40">
        <f>IF(B$2=0,0,B11/B$2)</f>
        <v>0.10344827586206896</v>
      </c>
      <c r="E11" s="63" t="s">
        <v>74</v>
      </c>
      <c r="F11" s="60" t="s">
        <v>29</v>
      </c>
      <c r="G11" s="47">
        <v>3</v>
      </c>
      <c r="H11" s="133">
        <f>IF(B$17=0,0,G11/B$17)</f>
        <v>9.0909090909090905E-3</v>
      </c>
      <c r="I11" s="94">
        <v>4</v>
      </c>
      <c r="K11" s="38">
        <v>9</v>
      </c>
      <c r="L11" s="99">
        <v>-79.5</v>
      </c>
      <c r="N11" s="115" t="s">
        <v>165</v>
      </c>
      <c r="O11" s="125">
        <f>IF(P11=0,0,Q11/P11)</f>
        <v>-2.4567567567567559</v>
      </c>
      <c r="P11" s="119">
        <v>37</v>
      </c>
      <c r="Q11" s="107">
        <v>-90.899999999999963</v>
      </c>
    </row>
    <row r="12" spans="1:17" x14ac:dyDescent="0.4">
      <c r="A12" s="57" t="s">
        <v>160</v>
      </c>
      <c r="B12" s="49">
        <v>9</v>
      </c>
      <c r="C12" s="42">
        <f>IF(B$2=0,0,B12/B$2)</f>
        <v>6.2068965517241378E-2</v>
      </c>
      <c r="E12" s="63" t="s">
        <v>75</v>
      </c>
      <c r="F12" s="60" t="s">
        <v>30</v>
      </c>
      <c r="G12" s="47">
        <v>2</v>
      </c>
      <c r="H12" s="133">
        <f>IF(B$17=0,0,G12/B$17)</f>
        <v>6.0606060606060606E-3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3.8944444444444439</v>
      </c>
      <c r="P12" s="120">
        <v>36</v>
      </c>
      <c r="Q12" s="108">
        <v>140.19999999999999</v>
      </c>
    </row>
    <row r="13" spans="1:17" x14ac:dyDescent="0.4">
      <c r="A13" s="58" t="s">
        <v>122</v>
      </c>
      <c r="B13" s="50">
        <v>354</v>
      </c>
      <c r="C13" s="44">
        <f>IF(B$3=0,0,B13/B$3)</f>
        <v>0.29722921914357681</v>
      </c>
      <c r="E13" s="63" t="s">
        <v>76</v>
      </c>
      <c r="F13" s="60" t="s">
        <v>31</v>
      </c>
      <c r="G13" s="47">
        <v>4</v>
      </c>
      <c r="H13" s="133">
        <f>IF(B$17=0,0,G13/B$17)</f>
        <v>1.2121212121212121E-2</v>
      </c>
      <c r="I13" s="94">
        <v>3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211</v>
      </c>
      <c r="C14" s="39">
        <f>IF(B$3=0,0,B14/B$3)</f>
        <v>0.17716204869857263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210</v>
      </c>
      <c r="C15" s="37">
        <f>IF(B$13=0,0,B15/B$13)</f>
        <v>0.59322033898305082</v>
      </c>
      <c r="E15" s="63" t="s">
        <v>78</v>
      </c>
      <c r="F15" s="60" t="s">
        <v>33</v>
      </c>
      <c r="G15" s="47">
        <v>1</v>
      </c>
      <c r="H15" s="133">
        <f>IF(B$17=0,0,G15/B$17)</f>
        <v>3.0303030303030303E-3</v>
      </c>
      <c r="I15" s="94">
        <v>7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67</v>
      </c>
      <c r="C16" s="37">
        <f>IF(B$14=0,0,B16/B$14)</f>
        <v>0.31753554502369669</v>
      </c>
      <c r="E16" s="63" t="s">
        <v>79</v>
      </c>
      <c r="F16" s="60" t="s">
        <v>34</v>
      </c>
      <c r="G16" s="47">
        <v>5</v>
      </c>
      <c r="H16" s="133">
        <f>IF(B$17=0,0,G16/B$17)</f>
        <v>1.5151515151515152E-2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 t="shared" si="2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330</v>
      </c>
      <c r="C17" s="37">
        <f>IF(B$3=0,0,B17/B$3)</f>
        <v>0.2770780856423174</v>
      </c>
      <c r="E17" s="63" t="s">
        <v>80</v>
      </c>
      <c r="F17" s="60" t="s">
        <v>35</v>
      </c>
      <c r="G17" s="47">
        <v>7</v>
      </c>
      <c r="H17" s="133">
        <f>IF(B$17=0,0,G17/B$17)</f>
        <v>2.1212121212121213E-2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 t="shared" si="2"/>
        <v>6.4339999999999984</v>
      </c>
      <c r="P17" s="119">
        <v>50</v>
      </c>
      <c r="Q17" s="107">
        <v>321.69999999999993</v>
      </c>
    </row>
    <row r="18" spans="1:17" x14ac:dyDescent="0.4">
      <c r="A18" s="55" t="s">
        <v>12</v>
      </c>
      <c r="B18" s="47">
        <v>140</v>
      </c>
      <c r="C18" s="39">
        <f>IF(B$17=0,0,B18/B$17)</f>
        <v>0.42424242424242425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190</v>
      </c>
      <c r="C19" s="39">
        <f>IF(B$17=0,0,B19/B$17)</f>
        <v>0.5757575757575758</v>
      </c>
      <c r="E19" s="63" t="s">
        <v>82</v>
      </c>
      <c r="F19" s="60" t="s">
        <v>37</v>
      </c>
      <c r="G19" s="47">
        <v>11</v>
      </c>
      <c r="H19" s="133">
        <f>IF(B$17=0,0,G19/B$17)</f>
        <v>3.3333333333333333E-2</v>
      </c>
      <c r="I19" s="94">
        <v>3</v>
      </c>
      <c r="K19" s="38">
        <v>17</v>
      </c>
      <c r="L19" s="99">
        <v>94.6</v>
      </c>
      <c r="N19" s="115" t="s">
        <v>172</v>
      </c>
      <c r="O19" s="125">
        <f t="shared" si="2"/>
        <v>-0.40270270270270153</v>
      </c>
      <c r="P19" s="119">
        <v>37</v>
      </c>
      <c r="Q19" s="107">
        <v>-14.899999999999956</v>
      </c>
    </row>
    <row r="20" spans="1:17" x14ac:dyDescent="0.4">
      <c r="A20" s="55" t="s">
        <v>13</v>
      </c>
      <c r="B20" s="47">
        <v>206</v>
      </c>
      <c r="C20" s="39">
        <f>IF(B$3=0,0,B20/B$3)</f>
        <v>0.17296389588581024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177</v>
      </c>
      <c r="O20" s="125">
        <f t="shared" si="2"/>
        <v>-1.8258064516129036</v>
      </c>
      <c r="P20" s="119">
        <v>31</v>
      </c>
      <c r="Q20" s="107">
        <v>-56.600000000000009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15</v>
      </c>
      <c r="H21" s="133">
        <f>IF(B$17=0,0,G21/B$17)</f>
        <v>4.5454545454545456E-2</v>
      </c>
      <c r="I21" s="94">
        <v>9</v>
      </c>
      <c r="K21" s="38">
        <v>19</v>
      </c>
      <c r="L21" s="99">
        <v>138.79999999999998</v>
      </c>
      <c r="N21" s="115" t="s">
        <v>200</v>
      </c>
      <c r="O21" s="125">
        <f t="shared" si="2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2</v>
      </c>
      <c r="E22" s="63" t="s">
        <v>85</v>
      </c>
      <c r="F22" s="60" t="s">
        <v>40</v>
      </c>
      <c r="G22" s="47">
        <v>1</v>
      </c>
      <c r="H22" s="133">
        <f>IF(B$17=0,0,G22/B$17)</f>
        <v>3.0303030303030303E-3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-17.232291666666665</v>
      </c>
      <c r="P22" s="119">
        <v>96</v>
      </c>
      <c r="Q22" s="107">
        <v>-1654.3</v>
      </c>
    </row>
    <row r="23" spans="1:17" x14ac:dyDescent="0.4">
      <c r="A23" s="55" t="s">
        <v>5</v>
      </c>
      <c r="B23" s="51">
        <f>IF(B$17=0,0,C23/B$17)</f>
        <v>9070.30303030303</v>
      </c>
      <c r="C23" s="41">
        <v>2993200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-7753.3980582524273</v>
      </c>
      <c r="C24" s="45">
        <v>-1597200</v>
      </c>
      <c r="E24" s="63" t="s">
        <v>87</v>
      </c>
      <c r="F24" s="60" t="s">
        <v>42</v>
      </c>
      <c r="G24" s="47">
        <v>16</v>
      </c>
      <c r="H24" s="133">
        <f>IF(B$17=0,0,G24/B$17)</f>
        <v>4.8484848484848485E-2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4">
        <v>107600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3.0303030303030303E-3</v>
      </c>
      <c r="I26" s="94">
        <v>3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4.1981528127623844E-3</v>
      </c>
      <c r="E27" s="63" t="s">
        <v>90</v>
      </c>
      <c r="F27" s="60" t="s">
        <v>45</v>
      </c>
      <c r="G27" s="47">
        <v>36</v>
      </c>
      <c r="H27" s="133">
        <f>IF(B$17=0,0,G27/B$17)</f>
        <v>0.10909090909090909</v>
      </c>
      <c r="I27" s="94">
        <v>9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1.8181818181818181E-2</v>
      </c>
      <c r="I29" s="94">
        <v>6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3.0303030303030303E-3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3.0303030303030303E-3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3.0303030303030303E-3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1.5151515151515152E-2</v>
      </c>
      <c r="I50" s="94">
        <v>6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136</v>
      </c>
      <c r="H51" s="138">
        <f>IF(B$17=0,0,G51/B$17)</f>
        <v>0.41212121212121211</v>
      </c>
      <c r="I51" s="139">
        <v>5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</sheetData>
  <sortState ref="E2:I14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32"/>
  <sheetViews>
    <sheetView showGridLines="0" topLeftCell="D92" zoomScale="118" zoomScaleNormal="100" workbookViewId="0">
      <selection activeCell="B33" sqref="B33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129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130</v>
      </c>
      <c r="C2" s="153"/>
      <c r="E2" s="62" t="s">
        <v>67</v>
      </c>
      <c r="F2" s="59" t="s">
        <v>23</v>
      </c>
      <c r="G2" s="46">
        <v>242</v>
      </c>
      <c r="H2" s="132">
        <f>IF(B$17=0,0,G2/B$17)</f>
        <v>0.81756756756756754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-2099.2307692307691</v>
      </c>
      <c r="P2" s="118">
        <v>130</v>
      </c>
      <c r="Q2" s="102">
        <v>-272900</v>
      </c>
    </row>
    <row r="3" spans="1:17" x14ac:dyDescent="0.4">
      <c r="A3" s="55" t="s">
        <v>8</v>
      </c>
      <c r="B3" s="154">
        <v>1094</v>
      </c>
      <c r="C3" s="155"/>
      <c r="E3" s="63" t="s">
        <v>65</v>
      </c>
      <c r="F3" s="60" t="s">
        <v>21</v>
      </c>
      <c r="G3" s="47">
        <v>147</v>
      </c>
      <c r="H3" s="133">
        <f>IF(B$17=0,0,G3/B$17)</f>
        <v>0.4966216216216216</v>
      </c>
      <c r="I3" s="94">
        <v>9</v>
      </c>
      <c r="K3" s="38">
        <v>1</v>
      </c>
      <c r="L3" s="99">
        <v>-40.4</v>
      </c>
      <c r="N3" s="115" t="s">
        <v>133</v>
      </c>
      <c r="O3" s="122">
        <f t="shared" si="0"/>
        <v>-1299.2063492063492</v>
      </c>
      <c r="P3" s="119">
        <v>126</v>
      </c>
      <c r="Q3" s="103">
        <v>-163700</v>
      </c>
    </row>
    <row r="4" spans="1:17" x14ac:dyDescent="0.4">
      <c r="A4" s="55" t="s">
        <v>6</v>
      </c>
      <c r="B4" s="156">
        <v>-939.30000000000007</v>
      </c>
      <c r="C4" s="157"/>
      <c r="E4" s="63" t="s">
        <v>73</v>
      </c>
      <c r="F4" s="60" t="s">
        <v>28</v>
      </c>
      <c r="G4" s="47">
        <v>124</v>
      </c>
      <c r="H4" s="133">
        <f>IF(B$17=0,0,G4/B$17)</f>
        <v>0.41891891891891891</v>
      </c>
      <c r="I4" s="94">
        <v>13</v>
      </c>
      <c r="K4" s="38">
        <v>2</v>
      </c>
      <c r="L4" s="99">
        <v>-3.3999999999999986</v>
      </c>
      <c r="N4" s="115" t="s">
        <v>134</v>
      </c>
      <c r="O4" s="122">
        <f t="shared" si="0"/>
        <v>-242.73504273504273</v>
      </c>
      <c r="P4" s="119">
        <v>117</v>
      </c>
      <c r="Q4" s="103">
        <v>-28400</v>
      </c>
    </row>
    <row r="5" spans="1:17" x14ac:dyDescent="0.4">
      <c r="A5" s="55" t="s">
        <v>7</v>
      </c>
      <c r="B5" s="158">
        <f>IF(B$2=0,0,B$4/B$2)</f>
        <v>-7.2253846153846162</v>
      </c>
      <c r="C5" s="159"/>
      <c r="E5" s="63" t="s">
        <v>245</v>
      </c>
      <c r="F5" s="60" t="s">
        <v>246</v>
      </c>
      <c r="G5" s="47">
        <v>119</v>
      </c>
      <c r="H5" s="133">
        <f>IF(B$17=0,0,G5/B$17)</f>
        <v>0.40202702702702703</v>
      </c>
      <c r="I5" s="94">
        <v>8</v>
      </c>
      <c r="K5" s="38">
        <v>3</v>
      </c>
      <c r="L5" s="99">
        <v>-23.099999999999998</v>
      </c>
      <c r="N5" s="115" t="s">
        <v>135</v>
      </c>
      <c r="O5" s="122">
        <f t="shared" si="0"/>
        <v>-2989.6226415094338</v>
      </c>
      <c r="P5" s="119">
        <v>106</v>
      </c>
      <c r="Q5" s="103">
        <v>-316900</v>
      </c>
    </row>
    <row r="6" spans="1:17" x14ac:dyDescent="0.4">
      <c r="A6" s="55" t="s">
        <v>1</v>
      </c>
      <c r="B6" s="148">
        <f>IF(B$2=0,0,(B$7*1+B$8*2+B$9*3)/B$2)</f>
        <v>2.0923076923076924</v>
      </c>
      <c r="C6" s="149"/>
      <c r="E6" s="63" t="s">
        <v>69</v>
      </c>
      <c r="F6" s="60" t="s">
        <v>12</v>
      </c>
      <c r="G6" s="47">
        <v>106</v>
      </c>
      <c r="H6" s="133">
        <f>IF(B$17=0,0,G6/B$17)</f>
        <v>0.35810810810810811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86.458333333333329</v>
      </c>
      <c r="P6" s="119">
        <v>96</v>
      </c>
      <c r="Q6" s="103">
        <v>8300</v>
      </c>
    </row>
    <row r="7" spans="1:17" x14ac:dyDescent="0.4">
      <c r="A7" s="55" t="s">
        <v>2</v>
      </c>
      <c r="B7" s="47">
        <v>41</v>
      </c>
      <c r="C7" s="39">
        <f>IF(B$2=0,0,B7/B$2)</f>
        <v>0.31538461538461537</v>
      </c>
      <c r="E7" s="63" t="s">
        <v>68</v>
      </c>
      <c r="F7" s="60" t="s">
        <v>24</v>
      </c>
      <c r="G7" s="47">
        <v>84</v>
      </c>
      <c r="H7" s="133">
        <f>IF(B$17=0,0,G7/B$17)</f>
        <v>0.28378378378378377</v>
      </c>
      <c r="I7" s="94">
        <v>9</v>
      </c>
      <c r="K7" s="38">
        <v>5</v>
      </c>
      <c r="L7" s="99">
        <v>-32.199999999999996</v>
      </c>
      <c r="N7" s="116" t="s">
        <v>137</v>
      </c>
      <c r="O7" s="123">
        <f t="shared" si="0"/>
        <v>-267.05882352941177</v>
      </c>
      <c r="P7" s="120">
        <v>85</v>
      </c>
      <c r="Q7" s="104">
        <v>-22700</v>
      </c>
    </row>
    <row r="8" spans="1:17" x14ac:dyDescent="0.4">
      <c r="A8" s="55" t="s">
        <v>3</v>
      </c>
      <c r="B8" s="47">
        <v>36</v>
      </c>
      <c r="C8" s="39">
        <f>IF(B$2=0,0,B8/B$2)</f>
        <v>0.27692307692307694</v>
      </c>
      <c r="E8" s="63" t="s">
        <v>70</v>
      </c>
      <c r="F8" s="60" t="s">
        <v>25</v>
      </c>
      <c r="G8" s="47">
        <v>52</v>
      </c>
      <c r="H8" s="133">
        <f>IF(B$17=0,0,G8/B$17)</f>
        <v>0.17567567567567569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ref="C9" si="1">IF(B$2=0,0,B9/B$2)</f>
        <v>0.40769230769230769</v>
      </c>
      <c r="E9" s="63" t="s">
        <v>71</v>
      </c>
      <c r="F9" s="60" t="s">
        <v>26</v>
      </c>
      <c r="G9" s="47">
        <v>45</v>
      </c>
      <c r="H9" s="133">
        <f>IF(B$17=0,0,G9/B$17)</f>
        <v>0.15202702702702703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>IF(B$2=0,0,B10/B$2)</f>
        <v>0.16923076923076924</v>
      </c>
      <c r="E10" s="63" t="s">
        <v>90</v>
      </c>
      <c r="F10" s="60" t="s">
        <v>45</v>
      </c>
      <c r="G10" s="47">
        <v>32</v>
      </c>
      <c r="H10" s="133">
        <f>IF(B$17=0,0,G10/B$17)</f>
        <v>0.10810810810810811</v>
      </c>
      <c r="I10" s="94">
        <v>10</v>
      </c>
      <c r="K10" s="38">
        <v>8</v>
      </c>
      <c r="L10" s="99">
        <v>-79.599999999999994</v>
      </c>
      <c r="N10" s="114" t="s">
        <v>164</v>
      </c>
      <c r="O10" s="124">
        <f>IF(P10=0,0,Q10/P10)</f>
        <v>-12.264864864864858</v>
      </c>
      <c r="P10" s="118">
        <v>37</v>
      </c>
      <c r="Q10" s="106">
        <v>-453.79999999999973</v>
      </c>
    </row>
    <row r="11" spans="1:17" x14ac:dyDescent="0.4">
      <c r="A11" s="56" t="s">
        <v>140</v>
      </c>
      <c r="B11" s="48">
        <v>15</v>
      </c>
      <c r="C11" s="40">
        <f>IF(B$2=0,0,B11/B$2)</f>
        <v>0.11538461538461539</v>
      </c>
      <c r="E11" s="63" t="s">
        <v>72</v>
      </c>
      <c r="F11" s="60" t="s">
        <v>27</v>
      </c>
      <c r="G11" s="47">
        <v>30</v>
      </c>
      <c r="H11" s="133">
        <f>IF(B$17=0,0,G11/B$17)</f>
        <v>0.10135135135135136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-4.8326530612244927</v>
      </c>
      <c r="P11" s="119">
        <v>49</v>
      </c>
      <c r="Q11" s="107">
        <v>-236.80000000000015</v>
      </c>
    </row>
    <row r="12" spans="1:17" x14ac:dyDescent="0.4">
      <c r="A12" s="57" t="s">
        <v>160</v>
      </c>
      <c r="B12" s="49">
        <v>13</v>
      </c>
      <c r="C12" s="42">
        <f>IF(B$2=0,0,B12/B$2)</f>
        <v>0.1</v>
      </c>
      <c r="E12" s="63" t="s">
        <v>66</v>
      </c>
      <c r="F12" s="60" t="s">
        <v>22</v>
      </c>
      <c r="G12" s="47">
        <v>26</v>
      </c>
      <c r="H12" s="133">
        <f>IF(B$17=0,0,G12/B$17)</f>
        <v>8.7837837837837843E-2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-5.6522727272727247</v>
      </c>
      <c r="P12" s="120">
        <v>44</v>
      </c>
      <c r="Q12" s="108">
        <v>-248.69999999999987</v>
      </c>
    </row>
    <row r="13" spans="1:17" x14ac:dyDescent="0.4">
      <c r="A13" s="58" t="s">
        <v>122</v>
      </c>
      <c r="B13" s="50">
        <v>284</v>
      </c>
      <c r="C13" s="44">
        <f>IF(B$3=0,0,B13/B$3)</f>
        <v>0.25959780621572209</v>
      </c>
      <c r="E13" s="63" t="s">
        <v>87</v>
      </c>
      <c r="F13" s="60" t="s">
        <v>42</v>
      </c>
      <c r="G13" s="47">
        <v>18</v>
      </c>
      <c r="H13" s="133">
        <f>IF(B$17=0,0,G13/B$17)</f>
        <v>6.0810810810810814E-2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197</v>
      </c>
      <c r="C14" s="39">
        <f>IF(B$3=0,0,B14/B$3)</f>
        <v>0.18007312614259599</v>
      </c>
      <c r="E14" s="63" t="s">
        <v>79</v>
      </c>
      <c r="F14" s="60" t="s">
        <v>34</v>
      </c>
      <c r="G14" s="47">
        <v>11</v>
      </c>
      <c r="H14" s="133">
        <f>IF(B$17=0,0,G14/B$17)</f>
        <v>3.7162162162162164E-2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153</v>
      </c>
      <c r="C15" s="37">
        <f>IF(B$13=0,0,B15/B$13)</f>
        <v>0.53873239436619713</v>
      </c>
      <c r="E15" s="63" t="s">
        <v>84</v>
      </c>
      <c r="F15" s="60" t="s">
        <v>39</v>
      </c>
      <c r="G15" s="47">
        <v>11</v>
      </c>
      <c r="H15" s="133">
        <f>IF(B$17=0,0,G15/B$17)</f>
        <v>3.7162162162162164E-2</v>
      </c>
      <c r="I15" s="94">
        <v>10</v>
      </c>
      <c r="K15" s="38">
        <v>13</v>
      </c>
      <c r="L15" s="99">
        <v>-369.1</v>
      </c>
      <c r="N15" s="114" t="s">
        <v>271</v>
      </c>
      <c r="O15" s="124">
        <f>IF(P15=0,0,Q15/P15)</f>
        <v>52.959999999999994</v>
      </c>
      <c r="P15" s="118">
        <v>5</v>
      </c>
      <c r="Q15" s="106">
        <v>264.79999999999995</v>
      </c>
    </row>
    <row r="16" spans="1:17" x14ac:dyDescent="0.4">
      <c r="A16" s="54" t="s">
        <v>125</v>
      </c>
      <c r="B16" s="46">
        <v>63</v>
      </c>
      <c r="C16" s="37">
        <f>IF(B$14=0,0,B16/B$14)</f>
        <v>0.31979695431472083</v>
      </c>
      <c r="E16" s="63" t="s">
        <v>82</v>
      </c>
      <c r="F16" s="60" t="s">
        <v>37</v>
      </c>
      <c r="G16" s="47">
        <v>9</v>
      </c>
      <c r="H16" s="133">
        <f>IF(B$17=0,0,G16/B$17)</f>
        <v>3.0405405405405407E-2</v>
      </c>
      <c r="I16" s="94">
        <v>6</v>
      </c>
      <c r="K16" s="38">
        <v>14</v>
      </c>
      <c r="L16" s="99">
        <v>-394.6</v>
      </c>
      <c r="N16" s="115" t="s">
        <v>223</v>
      </c>
      <c r="O16" s="125">
        <f>IF(P16=0,0,Q16/P16)</f>
        <v>42.5</v>
      </c>
      <c r="P16" s="119">
        <v>4</v>
      </c>
      <c r="Q16" s="107">
        <v>170</v>
      </c>
    </row>
    <row r="17" spans="1:17" x14ac:dyDescent="0.4">
      <c r="A17" s="54" t="s">
        <v>10</v>
      </c>
      <c r="B17" s="46">
        <f>B19+B18</f>
        <v>296</v>
      </c>
      <c r="C17" s="37">
        <f>IF(B$3=0,0,B17/B$3)</f>
        <v>0.27056672760511885</v>
      </c>
      <c r="E17" s="63" t="s">
        <v>78</v>
      </c>
      <c r="F17" s="60" t="s">
        <v>33</v>
      </c>
      <c r="G17" s="47">
        <v>5</v>
      </c>
      <c r="H17" s="133">
        <f>IF(B$17=0,0,G17/B$17)</f>
        <v>1.6891891891891893E-2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>IF(P17=0,0,Q17/P17)</f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128</v>
      </c>
      <c r="C18" s="39">
        <f>IF(B$17=0,0,B18/B$17)</f>
        <v>0.43243243243243246</v>
      </c>
      <c r="E18" s="63" t="s">
        <v>92</v>
      </c>
      <c r="F18" s="60" t="s">
        <v>47</v>
      </c>
      <c r="G18" s="47">
        <v>4</v>
      </c>
      <c r="H18" s="133">
        <f>IF(B$17=0,0,G18/B$17)</f>
        <v>1.3513513513513514E-2</v>
      </c>
      <c r="I18" s="94">
        <v>9</v>
      </c>
      <c r="K18" s="38">
        <v>16</v>
      </c>
      <c r="L18" s="99">
        <v>-472</v>
      </c>
      <c r="N18" s="115" t="s">
        <v>177</v>
      </c>
      <c r="O18" s="125">
        <f>IF(P18=0,0,Q18/P18)</f>
        <v>3.0875000000000012</v>
      </c>
      <c r="P18" s="119">
        <v>40</v>
      </c>
      <c r="Q18" s="107">
        <v>123.50000000000006</v>
      </c>
    </row>
    <row r="19" spans="1:17" x14ac:dyDescent="0.4">
      <c r="A19" s="55" t="s">
        <v>11</v>
      </c>
      <c r="B19" s="47">
        <v>168</v>
      </c>
      <c r="C19" s="39">
        <f>IF(B$17=0,0,B19/B$17)</f>
        <v>0.56756756756756754</v>
      </c>
      <c r="E19" s="63" t="s">
        <v>75</v>
      </c>
      <c r="F19" s="60" t="s">
        <v>30</v>
      </c>
      <c r="G19" s="47">
        <v>3</v>
      </c>
      <c r="H19" s="133">
        <f>IF(B$17=0,0,G19/B$17)</f>
        <v>1.0135135135135136E-2</v>
      </c>
      <c r="I19" s="94">
        <v>2</v>
      </c>
      <c r="K19" s="38">
        <v>17</v>
      </c>
      <c r="L19" s="99">
        <v>-538.29999999999995</v>
      </c>
      <c r="N19" s="115" t="s">
        <v>128</v>
      </c>
      <c r="O19" s="125">
        <f>IF(P19=0,0,Q19/P19)</f>
        <v>-6.4339999999999984</v>
      </c>
      <c r="P19" s="119">
        <v>50</v>
      </c>
      <c r="Q19" s="107">
        <v>-321.69999999999993</v>
      </c>
    </row>
    <row r="20" spans="1:17" x14ac:dyDescent="0.4">
      <c r="A20" s="55" t="s">
        <v>13</v>
      </c>
      <c r="B20" s="47">
        <v>196</v>
      </c>
      <c r="C20" s="39">
        <f>IF(B$3=0,0,B20/B$3)</f>
        <v>0.17915904936014626</v>
      </c>
      <c r="E20" s="63" t="s">
        <v>80</v>
      </c>
      <c r="F20" s="60" t="s">
        <v>35</v>
      </c>
      <c r="G20" s="47">
        <v>3</v>
      </c>
      <c r="H20" s="133">
        <f>IF(B$17=0,0,G20/B$17)</f>
        <v>1.0135135135135136E-2</v>
      </c>
      <c r="I20" s="94">
        <v>11</v>
      </c>
      <c r="K20" s="38">
        <v>18</v>
      </c>
      <c r="L20" s="99">
        <v>-537.19999999999993</v>
      </c>
      <c r="N20" s="115" t="s">
        <v>173</v>
      </c>
      <c r="O20" s="125">
        <f>IF(P20=0,0,Q20/P20)</f>
        <v>-17.118181818181814</v>
      </c>
      <c r="P20" s="119">
        <v>11</v>
      </c>
      <c r="Q20" s="107">
        <v>-188.29999999999995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88</v>
      </c>
      <c r="F21" s="60" t="s">
        <v>43</v>
      </c>
      <c r="G21" s="47">
        <v>2</v>
      </c>
      <c r="H21" s="133">
        <f>IF(B$17=0,0,G21/B$17)</f>
        <v>6.7567567567567571E-3</v>
      </c>
      <c r="I21" s="94">
        <v>2</v>
      </c>
      <c r="K21" s="38">
        <v>19</v>
      </c>
      <c r="L21" s="99">
        <v>-569.49999999999989</v>
      </c>
      <c r="N21" s="115" t="s">
        <v>172</v>
      </c>
      <c r="O21" s="125">
        <f>IF(P21=0,0,Q21/P21)</f>
        <v>-18.549999999999994</v>
      </c>
      <c r="P21" s="119">
        <v>32</v>
      </c>
      <c r="Q21" s="107">
        <v>-593.5999999999998</v>
      </c>
    </row>
    <row r="22" spans="1:17" x14ac:dyDescent="0.4">
      <c r="A22" s="55" t="s">
        <v>192</v>
      </c>
      <c r="B22" s="47">
        <v>31</v>
      </c>
      <c r="C22" s="135">
        <v>11</v>
      </c>
      <c r="E22" s="63" t="s">
        <v>94</v>
      </c>
      <c r="F22" s="60" t="s">
        <v>49</v>
      </c>
      <c r="G22" s="47">
        <v>2</v>
      </c>
      <c r="H22" s="133">
        <f>IF(B$17=0,0,G22/B$17)</f>
        <v>6.7567567567567571E-3</v>
      </c>
      <c r="I22" s="94">
        <v>1</v>
      </c>
      <c r="K22" s="38">
        <v>20</v>
      </c>
      <c r="L22" s="99">
        <v>-632.99999999999989</v>
      </c>
      <c r="N22" s="115" t="s">
        <v>171</v>
      </c>
      <c r="O22" s="125">
        <f>IF(P22=0,0,Q22/P22)</f>
        <v>-19.999999999999993</v>
      </c>
      <c r="P22" s="119">
        <v>35</v>
      </c>
      <c r="Q22" s="107">
        <v>-699.99999999999977</v>
      </c>
    </row>
    <row r="23" spans="1:17" x14ac:dyDescent="0.4">
      <c r="A23" s="55" t="s">
        <v>5</v>
      </c>
      <c r="B23" s="51">
        <f>IF(B$17=0,0,C23/B$17)</f>
        <v>8597.2972972972966</v>
      </c>
      <c r="C23" s="41">
        <v>2544800</v>
      </c>
      <c r="E23" s="63" t="s">
        <v>76</v>
      </c>
      <c r="F23" s="60" t="s">
        <v>31</v>
      </c>
      <c r="G23" s="47">
        <v>1</v>
      </c>
      <c r="H23" s="133">
        <f>IF(B$17=0,0,G23/B$17)</f>
        <v>3.3783783783783786E-3</v>
      </c>
      <c r="I23" s="94">
        <v>7</v>
      </c>
      <c r="K23" s="38">
        <v>21</v>
      </c>
      <c r="L23" s="99">
        <v>-629.49999999999989</v>
      </c>
      <c r="N23" s="115" t="s">
        <v>127</v>
      </c>
      <c r="O23" s="125">
        <f>IF(P23=0,0,Q23/P23)</f>
        <v>-22.601408450704231</v>
      </c>
      <c r="P23" s="119">
        <v>71</v>
      </c>
      <c r="Q23" s="107">
        <v>-1604.7000000000003</v>
      </c>
    </row>
    <row r="24" spans="1:17" x14ac:dyDescent="0.4">
      <c r="A24" s="57" t="s">
        <v>14</v>
      </c>
      <c r="B24" s="52">
        <f>IF(B$20=0,0,C24/B$20)</f>
        <v>-8792.8571428571431</v>
      </c>
      <c r="C24" s="45">
        <v>-1723400</v>
      </c>
      <c r="E24" s="63" t="s">
        <v>85</v>
      </c>
      <c r="F24" s="60" t="s">
        <v>40</v>
      </c>
      <c r="G24" s="47">
        <v>1</v>
      </c>
      <c r="H24" s="133">
        <f>IF(B$17=0,0,G24/B$17)</f>
        <v>3.3783783783783786E-3</v>
      </c>
      <c r="I24" s="94">
        <v>2</v>
      </c>
      <c r="K24" s="38">
        <v>22</v>
      </c>
      <c r="L24" s="99">
        <v>-670.19999999999993</v>
      </c>
      <c r="N24" s="115" t="s">
        <v>184</v>
      </c>
      <c r="O24" s="125">
        <f>IF(P24=0,0,Q24/P24)</f>
        <v>-30.849999999999998</v>
      </c>
      <c r="P24" s="119">
        <v>6</v>
      </c>
      <c r="Q24" s="107">
        <v>-185.1</v>
      </c>
    </row>
    <row r="25" spans="1:17" x14ac:dyDescent="0.4">
      <c r="A25" s="90" t="s">
        <v>142</v>
      </c>
      <c r="B25" s="146">
        <v>7</v>
      </c>
      <c r="C25" s="147"/>
      <c r="E25" s="63" t="s">
        <v>86</v>
      </c>
      <c r="F25" s="60" t="s">
        <v>41</v>
      </c>
      <c r="G25" s="47">
        <v>1</v>
      </c>
      <c r="H25" s="133">
        <f>IF(B$17=0,0,G25/B$17)</f>
        <v>3.3783783783783786E-3</v>
      </c>
      <c r="I25" s="94">
        <v>4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4">
        <v>96900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3.3783783783783786E-3</v>
      </c>
      <c r="I26" s="94">
        <v>2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1.8281535648994515E-3</v>
      </c>
      <c r="E27" s="63" t="s">
        <v>93</v>
      </c>
      <c r="F27" s="60" t="s">
        <v>48</v>
      </c>
      <c r="G27" s="47">
        <v>1</v>
      </c>
      <c r="H27" s="133">
        <f>IF(B$17=0,0,G27/B$17)</f>
        <v>3.3783783783783786E-3</v>
      </c>
      <c r="I27" s="94">
        <v>5</v>
      </c>
      <c r="K27" s="38">
        <v>25</v>
      </c>
      <c r="L27" s="99">
        <v>-783.69999999999993</v>
      </c>
    </row>
    <row r="28" spans="1:17" x14ac:dyDescent="0.4">
      <c r="E28" s="63" t="s">
        <v>180</v>
      </c>
      <c r="F28" s="60" t="s">
        <v>181</v>
      </c>
      <c r="G28" s="47">
        <v>1</v>
      </c>
      <c r="H28" s="133">
        <f>IF(B$17=0,0,G28/B$17)</f>
        <v>3.3783783783783786E-3</v>
      </c>
      <c r="I28" s="94">
        <v>7</v>
      </c>
      <c r="K28" s="38">
        <v>26</v>
      </c>
      <c r="L28" s="99">
        <v>-818.49999999999989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10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171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99</v>
      </c>
      <c r="C2" s="153"/>
      <c r="E2" s="62" t="s">
        <v>67</v>
      </c>
      <c r="F2" s="59" t="s">
        <v>23</v>
      </c>
      <c r="G2" s="46">
        <v>190</v>
      </c>
      <c r="H2" s="132">
        <f>IF(B$17=0,0,G2/B$17)</f>
        <v>0.81545064377682408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97.979797979797979</v>
      </c>
      <c r="P2" s="118">
        <v>99</v>
      </c>
      <c r="Q2" s="102">
        <v>9700</v>
      </c>
    </row>
    <row r="3" spans="1:17" x14ac:dyDescent="0.4">
      <c r="A3" s="55" t="s">
        <v>8</v>
      </c>
      <c r="B3" s="154">
        <v>820</v>
      </c>
      <c r="C3" s="155"/>
      <c r="E3" s="63" t="s">
        <v>73</v>
      </c>
      <c r="F3" s="60" t="s">
        <v>28</v>
      </c>
      <c r="G3" s="47">
        <v>128</v>
      </c>
      <c r="H3" s="133">
        <f>IF(B$17=0,0,G3/B$17)</f>
        <v>0.54935622317596566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700</v>
      </c>
      <c r="P3" s="119">
        <v>96</v>
      </c>
      <c r="Q3" s="103">
        <v>67200</v>
      </c>
    </row>
    <row r="4" spans="1:17" x14ac:dyDescent="0.4">
      <c r="A4" s="55" t="s">
        <v>6</v>
      </c>
      <c r="B4" s="156">
        <v>-10.099999999999987</v>
      </c>
      <c r="C4" s="157"/>
      <c r="E4" s="63" t="s">
        <v>65</v>
      </c>
      <c r="F4" s="60" t="s">
        <v>21</v>
      </c>
      <c r="G4" s="47">
        <v>127</v>
      </c>
      <c r="H4" s="133">
        <f>IF(B$17=0,0,G4/B$17)</f>
        <v>0.54506437768240346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1482.7586206896551</v>
      </c>
      <c r="P4" s="119">
        <v>87</v>
      </c>
      <c r="Q4" s="103">
        <v>129000</v>
      </c>
    </row>
    <row r="5" spans="1:17" x14ac:dyDescent="0.4">
      <c r="A5" s="55" t="s">
        <v>7</v>
      </c>
      <c r="B5" s="158">
        <f>IF(B$2=0,0,B$4/B$2)</f>
        <v>-0.10202020202020189</v>
      </c>
      <c r="C5" s="159"/>
      <c r="E5" s="63" t="s">
        <v>245</v>
      </c>
      <c r="F5" s="60" t="s">
        <v>246</v>
      </c>
      <c r="G5" s="47">
        <v>89</v>
      </c>
      <c r="H5" s="133">
        <f>IF(B$17=0,0,G5/B$17)</f>
        <v>0.38197424892703863</v>
      </c>
      <c r="I5" s="94">
        <v>10</v>
      </c>
      <c r="K5" s="38">
        <v>3</v>
      </c>
      <c r="L5" s="99">
        <v>-60.100000000000009</v>
      </c>
      <c r="N5" s="115" t="s">
        <v>135</v>
      </c>
      <c r="O5" s="122">
        <f t="shared" si="0"/>
        <v>110.3896103896104</v>
      </c>
      <c r="P5" s="119">
        <v>77</v>
      </c>
      <c r="Q5" s="103">
        <v>8500</v>
      </c>
    </row>
    <row r="6" spans="1:17" x14ac:dyDescent="0.4">
      <c r="A6" s="55" t="s">
        <v>1</v>
      </c>
      <c r="B6" s="148">
        <f>IF(B$2=0,0,(B$7*1+B$8*2+B$9*3)/B$2)</f>
        <v>2.0505050505050506</v>
      </c>
      <c r="C6" s="149"/>
      <c r="E6" s="63" t="s">
        <v>68</v>
      </c>
      <c r="F6" s="60" t="s">
        <v>24</v>
      </c>
      <c r="G6" s="47">
        <v>78</v>
      </c>
      <c r="H6" s="133">
        <f>IF(B$17=0,0,G6/B$17)</f>
        <v>0.33476394849785407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-1738.2352941176471</v>
      </c>
      <c r="P6" s="119">
        <v>68</v>
      </c>
      <c r="Q6" s="103">
        <v>-118200</v>
      </c>
    </row>
    <row r="7" spans="1:17" x14ac:dyDescent="0.4">
      <c r="A7" s="55" t="s">
        <v>2</v>
      </c>
      <c r="B7" s="47">
        <v>30</v>
      </c>
      <c r="C7" s="39">
        <f>IF(B$2=0,0,B7/B$2)</f>
        <v>0.30303030303030304</v>
      </c>
      <c r="E7" s="63" t="s">
        <v>69</v>
      </c>
      <c r="F7" s="60" t="s">
        <v>12</v>
      </c>
      <c r="G7" s="47">
        <v>68</v>
      </c>
      <c r="H7" s="133">
        <f>IF(B$17=0,0,G7/B$17)</f>
        <v>0.29184549356223177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-578.68852459016398</v>
      </c>
      <c r="P7" s="120">
        <v>61</v>
      </c>
      <c r="Q7" s="104">
        <v>-35300</v>
      </c>
    </row>
    <row r="8" spans="1:17" x14ac:dyDescent="0.4">
      <c r="A8" s="55" t="s">
        <v>3</v>
      </c>
      <c r="B8" s="47">
        <v>34</v>
      </c>
      <c r="C8" s="39">
        <f>IF(B$2=0,0,B8/B$2)</f>
        <v>0.34343434343434343</v>
      </c>
      <c r="E8" s="63" t="s">
        <v>70</v>
      </c>
      <c r="F8" s="60" t="s">
        <v>25</v>
      </c>
      <c r="G8" s="47">
        <v>44</v>
      </c>
      <c r="H8" s="133">
        <f>IF(B$17=0,0,G8/B$17)</f>
        <v>0.18884120171673821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0.35353535353535354</v>
      </c>
      <c r="E9" s="63" t="s">
        <v>90</v>
      </c>
      <c r="F9" s="60" t="s">
        <v>45</v>
      </c>
      <c r="G9" s="47">
        <v>40</v>
      </c>
      <c r="H9" s="133">
        <f>IF(B$17=0,0,G9/B$17)</f>
        <v>0.17167381974248927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0.1111111111111111</v>
      </c>
      <c r="E10" s="63" t="s">
        <v>66</v>
      </c>
      <c r="F10" s="60" t="s">
        <v>22</v>
      </c>
      <c r="G10" s="47">
        <v>29</v>
      </c>
      <c r="H10" s="133">
        <f>IF(B$17=0,0,G10/B$17)</f>
        <v>0.12446351931330472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3.9444444444444446</v>
      </c>
      <c r="P10" s="118">
        <v>27</v>
      </c>
      <c r="Q10" s="106">
        <v>106.5</v>
      </c>
    </row>
    <row r="11" spans="1:17" x14ac:dyDescent="0.4">
      <c r="A11" s="56" t="s">
        <v>140</v>
      </c>
      <c r="B11" s="48">
        <v>15</v>
      </c>
      <c r="C11" s="40">
        <f>IF(B$2=0,0,B11/B$2)</f>
        <v>0.15151515151515152</v>
      </c>
      <c r="E11" s="63" t="s">
        <v>71</v>
      </c>
      <c r="F11" s="60" t="s">
        <v>26</v>
      </c>
      <c r="G11" s="47">
        <v>26</v>
      </c>
      <c r="H11" s="133">
        <f>IF(B$17=0,0,G11/B$17)</f>
        <v>0.11158798283261803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6.0606060606060608E-2</v>
      </c>
      <c r="E12" s="63" t="s">
        <v>87</v>
      </c>
      <c r="F12" s="60" t="s">
        <v>42</v>
      </c>
      <c r="G12" s="47">
        <v>16</v>
      </c>
      <c r="H12" s="133">
        <f>IF(B$17=0,0,G12/B$17)</f>
        <v>6.8669527896995708E-2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-3.0916666666666668</v>
      </c>
      <c r="P12" s="120">
        <v>36</v>
      </c>
      <c r="Q12" s="108">
        <v>-111.3</v>
      </c>
    </row>
    <row r="13" spans="1:17" x14ac:dyDescent="0.4">
      <c r="A13" s="58" t="s">
        <v>122</v>
      </c>
      <c r="B13" s="50">
        <v>237</v>
      </c>
      <c r="C13" s="44">
        <f>IF(B$3=0,0,B13/B$3)</f>
        <v>0.28902439024390242</v>
      </c>
      <c r="E13" s="63" t="s">
        <v>72</v>
      </c>
      <c r="F13" s="60" t="s">
        <v>27</v>
      </c>
      <c r="G13" s="47">
        <v>15</v>
      </c>
      <c r="H13" s="133">
        <f>IF(B$17=0,0,G13/B$17)</f>
        <v>6.4377682403433473E-2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159</v>
      </c>
      <c r="C14" s="39">
        <f>IF(B$3=0,0,B14/B$3)</f>
        <v>0.19390243902439025</v>
      </c>
      <c r="E14" s="63" t="s">
        <v>84</v>
      </c>
      <c r="F14" s="60" t="s">
        <v>39</v>
      </c>
      <c r="G14" s="47">
        <v>11</v>
      </c>
      <c r="H14" s="133">
        <f>IF(B$17=0,0,G14/B$17)</f>
        <v>4.7210300429184553E-2</v>
      </c>
      <c r="I14" s="94">
        <v>8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134</v>
      </c>
      <c r="C15" s="37">
        <f>IF(B$13=0,0,B15/B$13)</f>
        <v>0.56540084388185652</v>
      </c>
      <c r="E15" s="63" t="s">
        <v>79</v>
      </c>
      <c r="F15" s="60" t="s">
        <v>34</v>
      </c>
      <c r="G15" s="47">
        <v>9</v>
      </c>
      <c r="H15" s="133">
        <f>IF(B$17=0,0,G15/B$17)</f>
        <v>3.8626609442060089E-2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19.999999999999989</v>
      </c>
      <c r="P15" s="118">
        <v>35</v>
      </c>
      <c r="Q15" s="106">
        <v>699.99999999999966</v>
      </c>
    </row>
    <row r="16" spans="1:17" x14ac:dyDescent="0.4">
      <c r="A16" s="54" t="s">
        <v>125</v>
      </c>
      <c r="B16" s="46">
        <v>66</v>
      </c>
      <c r="C16" s="37">
        <f>IF(B$14=0,0,B16/B$14)</f>
        <v>0.41509433962264153</v>
      </c>
      <c r="E16" s="63" t="s">
        <v>82</v>
      </c>
      <c r="F16" s="60" t="s">
        <v>37</v>
      </c>
      <c r="G16" s="47">
        <v>8</v>
      </c>
      <c r="H16" s="133">
        <f>IF(B$17=0,0,G16/B$17)</f>
        <v>3.4334763948497854E-2</v>
      </c>
      <c r="I16" s="94">
        <v>2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233</v>
      </c>
      <c r="C17" s="37">
        <f>IF(B$3=0,0,B17/B$3)</f>
        <v>0.28414634146341461</v>
      </c>
      <c r="E17" s="63" t="s">
        <v>92</v>
      </c>
      <c r="F17" s="60" t="s">
        <v>47</v>
      </c>
      <c r="G17" s="47">
        <v>7</v>
      </c>
      <c r="H17" s="133">
        <f>IF(B$17=0,0,G17/B$17)</f>
        <v>3.0042918454935622E-2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95</v>
      </c>
      <c r="C18" s="39">
        <f>IF(B$17=0,0,B18/B$17)</f>
        <v>0.40772532188841204</v>
      </c>
      <c r="E18" s="63" t="s">
        <v>80</v>
      </c>
      <c r="F18" s="60" t="s">
        <v>35</v>
      </c>
      <c r="G18" s="47">
        <v>4</v>
      </c>
      <c r="H18" s="133">
        <f>IF(B$17=0,0,G18/B$17)</f>
        <v>1.7167381974248927E-2</v>
      </c>
      <c r="I18" s="94">
        <v>4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138</v>
      </c>
      <c r="C19" s="39">
        <f>IF(B$17=0,0,B19/B$17)</f>
        <v>0.59227467811158796</v>
      </c>
      <c r="E19" s="63" t="s">
        <v>180</v>
      </c>
      <c r="F19" s="60" t="s">
        <v>181</v>
      </c>
      <c r="G19" s="47">
        <v>4</v>
      </c>
      <c r="H19" s="133">
        <f>IF(B$17=0,0,G19/B$17)</f>
        <v>1.7167381974248927E-2</v>
      </c>
      <c r="I19" s="94">
        <v>3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145</v>
      </c>
      <c r="C20" s="39">
        <f>IF(B$3=0,0,B20/B$3)</f>
        <v>0.17682926829268292</v>
      </c>
      <c r="E20" s="63" t="s">
        <v>74</v>
      </c>
      <c r="F20" s="60" t="s">
        <v>29</v>
      </c>
      <c r="G20" s="47">
        <v>3</v>
      </c>
      <c r="H20" s="133">
        <f>IF(B$17=0,0,G20/B$17)</f>
        <v>1.2875536480686695E-2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1.2875536480686695E-2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2</v>
      </c>
      <c r="E22" s="63" t="s">
        <v>78</v>
      </c>
      <c r="F22" s="60" t="s">
        <v>33</v>
      </c>
      <c r="G22" s="47">
        <v>3</v>
      </c>
      <c r="H22" s="133">
        <f>IF(B$17=0,0,G22/B$17)</f>
        <v>1.2875536480686695E-2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-37.686363636363637</v>
      </c>
      <c r="P22" s="119">
        <v>22</v>
      </c>
      <c r="Q22" s="107">
        <v>-829.1</v>
      </c>
    </row>
    <row r="23" spans="1:17" x14ac:dyDescent="0.4">
      <c r="A23" s="55" t="s">
        <v>5</v>
      </c>
      <c r="B23" s="51">
        <f>IF(B$17=0,0,C23/B$17)</f>
        <v>10025.321888412018</v>
      </c>
      <c r="C23" s="41">
        <v>2335900</v>
      </c>
      <c r="E23" s="63" t="s">
        <v>85</v>
      </c>
      <c r="F23" s="60" t="s">
        <v>40</v>
      </c>
      <c r="G23" s="47">
        <v>2</v>
      </c>
      <c r="H23" s="133">
        <f>IF(B$17=0,0,G23/B$17)</f>
        <v>8.5836909871244635E-3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-8497.9310344827591</v>
      </c>
      <c r="C24" s="45">
        <v>-1232200</v>
      </c>
      <c r="E24" s="63" t="s">
        <v>93</v>
      </c>
      <c r="F24" s="60" t="s">
        <v>48</v>
      </c>
      <c r="G24" s="47">
        <v>2</v>
      </c>
      <c r="H24" s="133">
        <f>IF(B$17=0,0,G24/B$17)</f>
        <v>8.5836909871244635E-3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4.2918454935622317E-3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4">
        <v>96000</v>
      </c>
      <c r="C26" s="145"/>
      <c r="E26" s="63" t="s">
        <v>94</v>
      </c>
      <c r="F26" s="60" t="s">
        <v>49</v>
      </c>
      <c r="G26" s="47">
        <v>1</v>
      </c>
      <c r="H26" s="133">
        <f>IF(B$17=0,0,G26/B$17)</f>
        <v>4.2918454935622317E-3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2.4390243902439024E-3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97</v>
      </c>
      <c r="C2" s="153"/>
      <c r="E2" s="62" t="s">
        <v>65</v>
      </c>
      <c r="F2" s="59" t="s">
        <v>21</v>
      </c>
      <c r="G2" s="46">
        <v>97</v>
      </c>
      <c r="H2" s="132">
        <f>IF(B$17=0,0,G2/B$17)</f>
        <v>0.35144927536231885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227.83505154639175</v>
      </c>
      <c r="P2" s="118">
        <v>97</v>
      </c>
      <c r="Q2" s="102">
        <v>22100</v>
      </c>
    </row>
    <row r="3" spans="1:17" x14ac:dyDescent="0.4">
      <c r="A3" s="55" t="s">
        <v>8</v>
      </c>
      <c r="B3" s="154">
        <v>818</v>
      </c>
      <c r="C3" s="155"/>
      <c r="E3" s="63" t="s">
        <v>66</v>
      </c>
      <c r="F3" s="60" t="s">
        <v>22</v>
      </c>
      <c r="G3" s="47">
        <v>28</v>
      </c>
      <c r="H3" s="133">
        <f>IF(B$17=0,0,G3/B$17)</f>
        <v>0.10144927536231885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-1307.2164948453608</v>
      </c>
      <c r="P3" s="119">
        <v>97</v>
      </c>
      <c r="Q3" s="103">
        <v>-126800</v>
      </c>
    </row>
    <row r="4" spans="1:17" x14ac:dyDescent="0.4">
      <c r="A4" s="55" t="s">
        <v>6</v>
      </c>
      <c r="B4" s="156">
        <v>-200.50000000000006</v>
      </c>
      <c r="C4" s="157"/>
      <c r="E4" s="63" t="s">
        <v>67</v>
      </c>
      <c r="F4" s="60" t="s">
        <v>23</v>
      </c>
      <c r="G4" s="47">
        <v>182</v>
      </c>
      <c r="H4" s="133">
        <f>IF(B$17=0,0,G4/B$17)</f>
        <v>0.65942028985507251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-710.34482758620686</v>
      </c>
      <c r="P4" s="119">
        <v>87</v>
      </c>
      <c r="Q4" s="103">
        <v>-61800</v>
      </c>
    </row>
    <row r="5" spans="1:17" x14ac:dyDescent="0.4">
      <c r="A5" s="55" t="s">
        <v>7</v>
      </c>
      <c r="B5" s="158">
        <f>IF(B$2=0,0,B$4/B$2)</f>
        <v>-2.0670103092783512</v>
      </c>
      <c r="C5" s="159"/>
      <c r="E5" s="63" t="s">
        <v>68</v>
      </c>
      <c r="F5" s="60" t="s">
        <v>24</v>
      </c>
      <c r="G5" s="47">
        <v>50</v>
      </c>
      <c r="H5" s="133">
        <f>IF(B$17=0,0,G5/B$17)</f>
        <v>0.18115942028985507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1051.8072289156626</v>
      </c>
      <c r="P5" s="119">
        <v>83</v>
      </c>
      <c r="Q5" s="103">
        <v>87300</v>
      </c>
    </row>
    <row r="6" spans="1:17" x14ac:dyDescent="0.4">
      <c r="A6" s="55" t="s">
        <v>1</v>
      </c>
      <c r="B6" s="148">
        <f>IF(B$2=0,0,(B$7*1+B$8*2+B$9*3)/B$2)</f>
        <v>2.0618556701030926</v>
      </c>
      <c r="C6" s="149"/>
      <c r="E6" s="63" t="s">
        <v>69</v>
      </c>
      <c r="F6" s="60" t="s">
        <v>12</v>
      </c>
      <c r="G6" s="47">
        <v>69</v>
      </c>
      <c r="H6" s="133">
        <f>IF(B$17=0,0,G6/B$17)</f>
        <v>0.25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0"/>
        <v>-224.67532467532467</v>
      </c>
      <c r="P6" s="119">
        <v>77</v>
      </c>
      <c r="Q6" s="103">
        <v>-17300</v>
      </c>
    </row>
    <row r="7" spans="1:17" x14ac:dyDescent="0.4">
      <c r="A7" s="55" t="s">
        <v>2</v>
      </c>
      <c r="B7" s="47">
        <v>24</v>
      </c>
      <c r="C7" s="39">
        <f>IF(B$2=0,0,B7/B$2)</f>
        <v>0.24742268041237114</v>
      </c>
      <c r="E7" s="63" t="s">
        <v>70</v>
      </c>
      <c r="F7" s="60" t="s">
        <v>25</v>
      </c>
      <c r="G7" s="47">
        <v>43</v>
      </c>
      <c r="H7" s="133">
        <f>IF(B$17=0,0,G7/B$17)</f>
        <v>0.15579710144927536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-531.81818181818187</v>
      </c>
      <c r="P7" s="120">
        <v>66</v>
      </c>
      <c r="Q7" s="104">
        <v>-35100</v>
      </c>
    </row>
    <row r="8" spans="1:17" x14ac:dyDescent="0.4">
      <c r="A8" s="55" t="s">
        <v>3</v>
      </c>
      <c r="B8" s="47">
        <v>43</v>
      </c>
      <c r="C8" s="39">
        <f>IF(B$2=0,0,B8/B$2)</f>
        <v>0.44329896907216493</v>
      </c>
      <c r="E8" s="63" t="s">
        <v>71</v>
      </c>
      <c r="F8" s="60" t="s">
        <v>26</v>
      </c>
      <c r="G8" s="47">
        <v>19</v>
      </c>
      <c r="H8" s="133">
        <f>IF(B$17=0,0,G8/B$17)</f>
        <v>6.8840579710144928E-2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0.30927835051546393</v>
      </c>
      <c r="E9" s="63" t="s">
        <v>72</v>
      </c>
      <c r="F9" s="60" t="s">
        <v>27</v>
      </c>
      <c r="G9" s="47">
        <v>22</v>
      </c>
      <c r="H9" s="133">
        <f>IF(B$17=0,0,G9/B$17)</f>
        <v>7.9710144927536225E-2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5.1546391752577317E-2</v>
      </c>
      <c r="E10" s="63" t="s">
        <v>73</v>
      </c>
      <c r="F10" s="60" t="s">
        <v>28</v>
      </c>
      <c r="G10" s="47">
        <v>158</v>
      </c>
      <c r="H10" s="133">
        <f>IF(B$17=0,0,G10/B$17)</f>
        <v>0.57246376811594202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-5.0793103448275883</v>
      </c>
      <c r="P10" s="118">
        <v>29</v>
      </c>
      <c r="Q10" s="106">
        <v>-147.30000000000007</v>
      </c>
    </row>
    <row r="11" spans="1:17" x14ac:dyDescent="0.4">
      <c r="A11" s="56" t="s">
        <v>140</v>
      </c>
      <c r="B11" s="48">
        <v>10</v>
      </c>
      <c r="C11" s="40">
        <f>IF(B$2=0,0,B11/B$2)</f>
        <v>0.10309278350515463</v>
      </c>
      <c r="E11" s="63" t="s">
        <v>74</v>
      </c>
      <c r="F11" s="60" t="s">
        <v>29</v>
      </c>
      <c r="G11" s="47">
        <v>1</v>
      </c>
      <c r="H11" s="133">
        <f>IF(B$17=0,0,G11/B$17)</f>
        <v>3.6231884057971015E-3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2.5344827586206895</v>
      </c>
      <c r="P11" s="119">
        <v>29</v>
      </c>
      <c r="Q11" s="107">
        <v>73.5</v>
      </c>
    </row>
    <row r="12" spans="1:17" x14ac:dyDescent="0.4">
      <c r="A12" s="57" t="s">
        <v>160</v>
      </c>
      <c r="B12" s="49">
        <v>8</v>
      </c>
      <c r="C12" s="42">
        <f>IF(B$2=0,0,B12/B$2)</f>
        <v>8.247422680412371E-2</v>
      </c>
      <c r="E12" s="63" t="s">
        <v>75</v>
      </c>
      <c r="F12" s="60" t="s">
        <v>30</v>
      </c>
      <c r="G12" s="47">
        <v>2</v>
      </c>
      <c r="H12" s="133">
        <f>IF(B$17=0,0,G12/B$17)</f>
        <v>7.246376811594203E-3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-3.2487179487179492</v>
      </c>
      <c r="P12" s="120">
        <v>39</v>
      </c>
      <c r="Q12" s="108">
        <v>-126.70000000000002</v>
      </c>
    </row>
    <row r="13" spans="1:17" x14ac:dyDescent="0.4">
      <c r="A13" s="58" t="s">
        <v>122</v>
      </c>
      <c r="B13" s="50">
        <v>175</v>
      </c>
      <c r="C13" s="44">
        <f>IF(B$3=0,0,B13/B$3)</f>
        <v>0.2139364303178484</v>
      </c>
      <c r="E13" s="63" t="s">
        <v>76</v>
      </c>
      <c r="F13" s="60" t="s">
        <v>31</v>
      </c>
      <c r="G13" s="47">
        <v>1</v>
      </c>
      <c r="H13" s="133">
        <f>IF(B$17=0,0,G13/B$17)</f>
        <v>3.6231884057971015E-3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231</v>
      </c>
      <c r="C14" s="39">
        <f>IF(B$3=0,0,B14/B$3)</f>
        <v>0.2823960880195599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96</v>
      </c>
      <c r="C15" s="37">
        <f>IF(B$13=0,0,B15/B$13)</f>
        <v>0.5485714285714286</v>
      </c>
      <c r="E15" s="63" t="s">
        <v>78</v>
      </c>
      <c r="F15" s="60" t="s">
        <v>33</v>
      </c>
      <c r="G15" s="47">
        <v>1</v>
      </c>
      <c r="H15" s="133">
        <f>IF(B$17=0,0,G15/B$17)</f>
        <v>3.6231884057971015E-3</v>
      </c>
      <c r="I15" s="94">
        <v>6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99</v>
      </c>
      <c r="C16" s="37">
        <f>IF(B$14=0,0,B16/B$14)</f>
        <v>0.42857142857142855</v>
      </c>
      <c r="E16" s="63" t="s">
        <v>79</v>
      </c>
      <c r="F16" s="60" t="s">
        <v>34</v>
      </c>
      <c r="G16" s="47">
        <v>4</v>
      </c>
      <c r="H16" s="133">
        <f>IF(B$17=0,0,G16/B$17)</f>
        <v>1.4492753623188406E-2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2"/>
        <v>18.54999999999999</v>
      </c>
      <c r="P16" s="119">
        <v>32</v>
      </c>
      <c r="Q16" s="107">
        <v>593.59999999999968</v>
      </c>
    </row>
    <row r="17" spans="1:17" x14ac:dyDescent="0.4">
      <c r="A17" s="54" t="s">
        <v>10</v>
      </c>
      <c r="B17" s="46">
        <f>B19+B18</f>
        <v>276</v>
      </c>
      <c r="C17" s="37">
        <f>IF(B$3=0,0,B17/B$3)</f>
        <v>0.33740831295843521</v>
      </c>
      <c r="E17" s="63" t="s">
        <v>80</v>
      </c>
      <c r="F17" s="60" t="s">
        <v>35</v>
      </c>
      <c r="G17" s="47">
        <v>3</v>
      </c>
      <c r="H17" s="133">
        <f>IF(B$17=0,0,G17/B$17)</f>
        <v>1.0869565217391304E-2</v>
      </c>
      <c r="I17" s="94">
        <v>10</v>
      </c>
      <c r="K17" s="38">
        <v>15</v>
      </c>
      <c r="L17" s="99">
        <v>-80.3</v>
      </c>
      <c r="N17" s="115" t="s">
        <v>173</v>
      </c>
      <c r="O17" s="125">
        <f t="shared" si="2"/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110</v>
      </c>
      <c r="C18" s="39">
        <f>IF(B$17=0,0,B18/B$17)</f>
        <v>0.39855072463768115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177</v>
      </c>
      <c r="O18" s="125">
        <f t="shared" si="2"/>
        <v>2.2741935483870948</v>
      </c>
      <c r="P18" s="119">
        <v>31</v>
      </c>
      <c r="Q18" s="107">
        <v>70.499999999999943</v>
      </c>
    </row>
    <row r="19" spans="1:17" x14ac:dyDescent="0.4">
      <c r="A19" s="55" t="s">
        <v>11</v>
      </c>
      <c r="B19" s="47">
        <v>166</v>
      </c>
      <c r="C19" s="39">
        <f>IF(B$17=0,0,B19/B$17)</f>
        <v>0.60144927536231885</v>
      </c>
      <c r="E19" s="63" t="s">
        <v>82</v>
      </c>
      <c r="F19" s="60" t="s">
        <v>37</v>
      </c>
      <c r="G19" s="47">
        <v>9</v>
      </c>
      <c r="H19" s="133">
        <f>IF(B$17=0,0,G19/B$17)</f>
        <v>3.2608695652173912E-2</v>
      </c>
      <c r="I19" s="94">
        <v>4</v>
      </c>
      <c r="K19" s="38">
        <v>17</v>
      </c>
      <c r="L19" s="99">
        <v>-55.099999999999994</v>
      </c>
      <c r="N19" s="115" t="s">
        <v>128</v>
      </c>
      <c r="O19" s="125">
        <f t="shared" si="2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116</v>
      </c>
      <c r="C20" s="39">
        <f>IF(B$3=0,0,B20/B$3)</f>
        <v>0.14180929095354522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20</v>
      </c>
      <c r="H21" s="133">
        <f>IF(B$17=0,0,G21/B$17)</f>
        <v>7.2463768115942032E-2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-25.497916666666658</v>
      </c>
      <c r="P22" s="119">
        <v>48</v>
      </c>
      <c r="Q22" s="107">
        <v>-1223.8999999999996</v>
      </c>
    </row>
    <row r="23" spans="1:17" x14ac:dyDescent="0.4">
      <c r="A23" s="55" t="s">
        <v>5</v>
      </c>
      <c r="B23" s="51">
        <f>IF(B$17=0,0,C23/B$17)</f>
        <v>6819.927536231884</v>
      </c>
      <c r="C23" s="41">
        <v>1882300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-8190.5172413793107</v>
      </c>
      <c r="C24" s="45">
        <v>-950100</v>
      </c>
      <c r="E24" s="63" t="s">
        <v>87</v>
      </c>
      <c r="F24" s="60" t="s">
        <v>42</v>
      </c>
      <c r="G24" s="47">
        <v>11</v>
      </c>
      <c r="H24" s="133">
        <f>IF(B$17=0,0,G24/B$17)</f>
        <v>3.9855072463768113E-2</v>
      </c>
      <c r="I24" s="94">
        <v>11</v>
      </c>
      <c r="K24" s="38">
        <v>22</v>
      </c>
      <c r="L24" s="99">
        <v>54.7</v>
      </c>
    </row>
    <row r="25" spans="1:17" x14ac:dyDescent="0.4">
      <c r="A25" s="90" t="s">
        <v>142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3.6231884057971015E-3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4">
        <v>97500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1.2224938875305623E-3</v>
      </c>
      <c r="E27" s="63" t="s">
        <v>90</v>
      </c>
      <c r="F27" s="60" t="s">
        <v>45</v>
      </c>
      <c r="G27" s="47">
        <v>21</v>
      </c>
      <c r="H27" s="133">
        <f>IF(B$17=0,0,G27/B$17)</f>
        <v>7.6086956521739135E-2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3.6231884057971015E-3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1.4492753623188406E-2</v>
      </c>
      <c r="I29" s="94">
        <v>8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116</v>
      </c>
      <c r="H51" s="138">
        <f>IF(B$17=0,0,G51/B$17)</f>
        <v>0.42028985507246375</v>
      </c>
      <c r="I51" s="139">
        <v>4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</sheetData>
  <sortState ref="E2:I9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53</v>
      </c>
      <c r="C2" s="153"/>
      <c r="E2" s="62" t="s">
        <v>65</v>
      </c>
      <c r="F2" s="59" t="s">
        <v>21</v>
      </c>
      <c r="G2" s="46">
        <v>55</v>
      </c>
      <c r="H2" s="132">
        <f>IF(B$17=0,0,G2/B$17)</f>
        <v>0.41984732824427479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-2686.7924528301887</v>
      </c>
      <c r="P2" s="118">
        <v>53</v>
      </c>
      <c r="Q2" s="102">
        <v>-142400</v>
      </c>
    </row>
    <row r="3" spans="1:17" x14ac:dyDescent="0.4">
      <c r="A3" s="55" t="s">
        <v>8</v>
      </c>
      <c r="B3" s="154">
        <v>461</v>
      </c>
      <c r="C3" s="155"/>
      <c r="E3" s="63" t="s">
        <v>66</v>
      </c>
      <c r="F3" s="60" t="s">
        <v>22</v>
      </c>
      <c r="G3" s="47">
        <v>10</v>
      </c>
      <c r="H3" s="133">
        <f>IF(B$17=0,0,G3/B$17)</f>
        <v>7.6335877862595422E-2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0"/>
        <v>1784.9056603773586</v>
      </c>
      <c r="P3" s="119">
        <v>53</v>
      </c>
      <c r="Q3" s="103">
        <v>94600</v>
      </c>
    </row>
    <row r="4" spans="1:17" x14ac:dyDescent="0.4">
      <c r="A4" s="55" t="s">
        <v>6</v>
      </c>
      <c r="B4" s="156">
        <v>-396.70000000000005</v>
      </c>
      <c r="C4" s="157"/>
      <c r="E4" s="63" t="s">
        <v>67</v>
      </c>
      <c r="F4" s="60" t="s">
        <v>23</v>
      </c>
      <c r="G4" s="47">
        <v>87</v>
      </c>
      <c r="H4" s="133">
        <f>IF(B$17=0,0,G4/B$17)</f>
        <v>0.66412213740458015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-473.46938775510205</v>
      </c>
      <c r="P4" s="119">
        <v>49</v>
      </c>
      <c r="Q4" s="103">
        <v>-23200</v>
      </c>
    </row>
    <row r="5" spans="1:17" x14ac:dyDescent="0.4">
      <c r="A5" s="55" t="s">
        <v>7</v>
      </c>
      <c r="B5" s="158">
        <f>IF(B$2=0,0,B$4/B$2)</f>
        <v>-7.4849056603773594</v>
      </c>
      <c r="C5" s="159"/>
      <c r="E5" s="63" t="s">
        <v>68</v>
      </c>
      <c r="F5" s="60" t="s">
        <v>24</v>
      </c>
      <c r="G5" s="47">
        <v>29</v>
      </c>
      <c r="H5" s="133">
        <f>IF(B$17=0,0,G5/B$17)</f>
        <v>0.22137404580152673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-4158.695652173913</v>
      </c>
      <c r="P5" s="119">
        <v>46</v>
      </c>
      <c r="Q5" s="103">
        <v>-191300</v>
      </c>
    </row>
    <row r="6" spans="1:17" x14ac:dyDescent="0.4">
      <c r="A6" s="55" t="s">
        <v>1</v>
      </c>
      <c r="B6" s="148">
        <f>IF(B$2=0,0,(B$7*1+B$8*2+B$9*3)/B$2)</f>
        <v>2.1132075471698113</v>
      </c>
      <c r="C6" s="149"/>
      <c r="E6" s="63" t="s">
        <v>69</v>
      </c>
      <c r="F6" s="60" t="s">
        <v>12</v>
      </c>
      <c r="G6" s="47">
        <v>50</v>
      </c>
      <c r="H6" s="133">
        <f>IF(B$17=0,0,G6/B$17)</f>
        <v>0.38167938931297712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-251.21951219512195</v>
      </c>
      <c r="P6" s="119">
        <v>41</v>
      </c>
      <c r="Q6" s="103">
        <v>-10300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70</v>
      </c>
      <c r="F7" s="60" t="s">
        <v>25</v>
      </c>
      <c r="G7" s="47">
        <v>16</v>
      </c>
      <c r="H7" s="133">
        <f>IF(B$17=0,0,G7/B$17)</f>
        <v>0.12213740458015267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-55.263157894736842</v>
      </c>
      <c r="P7" s="120">
        <v>38</v>
      </c>
      <c r="Q7" s="104">
        <v>-2100</v>
      </c>
    </row>
    <row r="8" spans="1:17" x14ac:dyDescent="0.4">
      <c r="A8" s="55" t="s">
        <v>3</v>
      </c>
      <c r="B8" s="47">
        <v>17</v>
      </c>
      <c r="C8" s="39">
        <f>IF(B$2=0,0,B8/B$2)</f>
        <v>0.32075471698113206</v>
      </c>
      <c r="E8" s="63" t="s">
        <v>71</v>
      </c>
      <c r="F8" s="60" t="s">
        <v>26</v>
      </c>
      <c r="G8" s="47">
        <v>15</v>
      </c>
      <c r="H8" s="133">
        <f>IF(B$17=0,0,G8/B$17)</f>
        <v>0.11450381679389313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0.39622641509433965</v>
      </c>
      <c r="E9" s="63" t="s">
        <v>72</v>
      </c>
      <c r="F9" s="60" t="s">
        <v>27</v>
      </c>
      <c r="G9" s="47">
        <v>6</v>
      </c>
      <c r="H9" s="133">
        <f>IF(B$17=0,0,G9/B$17)</f>
        <v>4.5801526717557252E-2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0.15094339622641509</v>
      </c>
      <c r="E10" s="63" t="s">
        <v>73</v>
      </c>
      <c r="F10" s="60" t="s">
        <v>28</v>
      </c>
      <c r="G10" s="47">
        <v>67</v>
      </c>
      <c r="H10" s="133">
        <f>IF(B$17=0,0,G10/B$17)</f>
        <v>0.51145038167938928</v>
      </c>
      <c r="I10" s="94">
        <v>9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>IF(B$2=0,0,B11/B$2)</f>
        <v>7.5471698113207544E-2</v>
      </c>
      <c r="E11" s="63" t="s">
        <v>74</v>
      </c>
      <c r="F11" s="60" t="s">
        <v>29</v>
      </c>
      <c r="G11" s="47">
        <v>3</v>
      </c>
      <c r="H11" s="133">
        <f>IF(B$17=0,0,G11/B$17)</f>
        <v>2.2900763358778626E-2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-4.331999999999999</v>
      </c>
      <c r="P11" s="119">
        <v>25</v>
      </c>
      <c r="Q11" s="107">
        <v>-108.29999999999997</v>
      </c>
    </row>
    <row r="12" spans="1:17" x14ac:dyDescent="0.4">
      <c r="A12" s="57" t="s">
        <v>160</v>
      </c>
      <c r="B12" s="49">
        <v>3</v>
      </c>
      <c r="C12" s="42">
        <f>IF(B$2=0,0,B12/B$2)</f>
        <v>5.6603773584905662E-2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103</v>
      </c>
      <c r="C13" s="44">
        <f>IF(B$3=0,0,B13/B$3)</f>
        <v>0.22342733188720174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109</v>
      </c>
      <c r="C14" s="39">
        <f>IF(B$3=0,0,B14/B$3)</f>
        <v>0.23644251626898047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57</v>
      </c>
      <c r="C15" s="37">
        <f>IF(B$13=0,0,B15/B$13)</f>
        <v>0.55339805825242716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-302.59999999999997</v>
      </c>
      <c r="N15" s="114" t="s">
        <v>271</v>
      </c>
      <c r="O15" s="124">
        <f t="shared" ref="O15:O24" si="2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37</v>
      </c>
      <c r="C16" s="37">
        <f>IF(B$14=0,0,B16/B$14)</f>
        <v>0.33944954128440369</v>
      </c>
      <c r="E16" s="63" t="s">
        <v>79</v>
      </c>
      <c r="F16" s="60" t="s">
        <v>34</v>
      </c>
      <c r="G16" s="47">
        <v>3</v>
      </c>
      <c r="H16" s="133">
        <f>IF(B$17=0,0,G16/B$17)</f>
        <v>2.2900763358778626E-2</v>
      </c>
      <c r="I16" s="94">
        <v>9</v>
      </c>
      <c r="K16" s="38">
        <v>14</v>
      </c>
      <c r="L16" s="99">
        <v>-269.99999999999994</v>
      </c>
      <c r="N16" s="115" t="s">
        <v>129</v>
      </c>
      <c r="O16" s="125">
        <f t="shared" si="2"/>
        <v>17.118181818181821</v>
      </c>
      <c r="P16" s="119">
        <v>11</v>
      </c>
      <c r="Q16" s="107">
        <v>188.3</v>
      </c>
    </row>
    <row r="17" spans="1:17" x14ac:dyDescent="0.4">
      <c r="A17" s="54" t="s">
        <v>10</v>
      </c>
      <c r="B17" s="46">
        <f>B19+B18</f>
        <v>131</v>
      </c>
      <c r="C17" s="37">
        <f>IF(B$3=0,0,B17/B$3)</f>
        <v>0.2841648590021692</v>
      </c>
      <c r="E17" s="63" t="s">
        <v>80</v>
      </c>
      <c r="F17" s="60" t="s">
        <v>35</v>
      </c>
      <c r="G17" s="47">
        <v>2</v>
      </c>
      <c r="H17" s="133">
        <f>IF(B$17=0,0,G17/B$17)</f>
        <v>1.5267175572519083E-2</v>
      </c>
      <c r="I17" s="94">
        <v>7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66</v>
      </c>
      <c r="C18" s="39">
        <f>IF(B$17=0,0,B18/B$17)</f>
        <v>0.50381679389312972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128</v>
      </c>
      <c r="O18" s="125">
        <f t="shared" si="2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65</v>
      </c>
      <c r="C19" s="39">
        <f>IF(B$17=0,0,B19/B$17)</f>
        <v>0.49618320610687022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171</v>
      </c>
      <c r="O19" s="125">
        <f t="shared" si="2"/>
        <v>-12.777777777777775</v>
      </c>
      <c r="P19" s="119">
        <v>18</v>
      </c>
      <c r="Q19" s="107">
        <v>-229.99999999999994</v>
      </c>
    </row>
    <row r="20" spans="1:17" x14ac:dyDescent="0.4">
      <c r="A20" s="55" t="s">
        <v>13</v>
      </c>
      <c r="B20" s="47">
        <v>84</v>
      </c>
      <c r="C20" s="39">
        <f>IF(B$3=0,0,B20/B$3)</f>
        <v>0.1822125813449024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-16.769565217391303</v>
      </c>
      <c r="P20" s="119">
        <v>23</v>
      </c>
      <c r="Q20" s="107">
        <v>-385.7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1.5267175572519083E-2</v>
      </c>
      <c r="I21" s="94">
        <v>11</v>
      </c>
      <c r="K21" s="38">
        <v>19</v>
      </c>
      <c r="L21" s="99">
        <v>-188.59999999999994</v>
      </c>
      <c r="N21" s="115" t="s">
        <v>177</v>
      </c>
      <c r="O21" s="125">
        <f t="shared" si="2"/>
        <v>-25.12222222222222</v>
      </c>
      <c r="P21" s="119">
        <v>9</v>
      </c>
      <c r="Q21" s="107">
        <v>-226.1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7648.0916030534354</v>
      </c>
      <c r="C23" s="41">
        <v>1001900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  <c r="N23" s="115" t="s">
        <v>200</v>
      </c>
      <c r="O23" s="125">
        <f t="shared" si="2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-8327.3809523809523</v>
      </c>
      <c r="C24" s="45">
        <v>-699500</v>
      </c>
      <c r="E24" s="63" t="s">
        <v>87</v>
      </c>
      <c r="F24" s="60" t="s">
        <v>42</v>
      </c>
      <c r="G24" s="47">
        <v>6</v>
      </c>
      <c r="H24" s="133">
        <f>IF(B$17=0,0,G24/B$17)</f>
        <v>4.5801526717557252E-2</v>
      </c>
      <c r="I24" s="94">
        <v>10</v>
      </c>
      <c r="K24" s="38">
        <v>22</v>
      </c>
      <c r="L24" s="99">
        <v>-262.49999999999994</v>
      </c>
      <c r="N24" s="115" t="s">
        <v>184</v>
      </c>
      <c r="O24" s="125">
        <f t="shared" si="2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7.6335877862595417E-3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4">
        <v>113300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4.3383947939262474E-3</v>
      </c>
      <c r="E27" s="63" t="s">
        <v>90</v>
      </c>
      <c r="F27" s="60" t="s">
        <v>45</v>
      </c>
      <c r="G27" s="47">
        <v>18</v>
      </c>
      <c r="H27" s="133">
        <f>IF(B$17=0,0,G27/B$17)</f>
        <v>0.13740458015267176</v>
      </c>
      <c r="I27" s="94">
        <v>6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1.5267175572519083E-2</v>
      </c>
      <c r="I29" s="94">
        <v>7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1</v>
      </c>
      <c r="H44" s="133">
        <f>IF(B$17=0,0,G44/B$17)</f>
        <v>7.6335877862595417E-3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1.5267175572519083E-2</v>
      </c>
      <c r="I50" s="94">
        <v>5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50</v>
      </c>
      <c r="H51" s="138">
        <f>IF(B$17=0,0,G51/B$17)</f>
        <v>0.38167938931297712</v>
      </c>
      <c r="I51" s="139">
        <v>11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</sheetData>
  <sortState ref="E2:I5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177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96</v>
      </c>
      <c r="C2" s="153"/>
      <c r="E2" s="62" t="s">
        <v>65</v>
      </c>
      <c r="F2" s="59" t="s">
        <v>21</v>
      </c>
      <c r="G2" s="46">
        <v>133</v>
      </c>
      <c r="H2" s="132">
        <f>IF(B$17=0,0,G2/B$17)</f>
        <v>0.61860465116279073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937.5</v>
      </c>
      <c r="P2" s="118">
        <v>96</v>
      </c>
      <c r="Q2" s="102">
        <v>90000</v>
      </c>
    </row>
    <row r="3" spans="1:17" x14ac:dyDescent="0.4">
      <c r="A3" s="55" t="s">
        <v>8</v>
      </c>
      <c r="B3" s="154">
        <v>783</v>
      </c>
      <c r="C3" s="155"/>
      <c r="E3" s="63" t="s">
        <v>67</v>
      </c>
      <c r="F3" s="60" t="s">
        <v>23</v>
      </c>
      <c r="G3" s="47">
        <v>118</v>
      </c>
      <c r="H3" s="133">
        <f>IF(B$17=0,0,G3/B$17)</f>
        <v>0.5488372093023256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205.43478260869566</v>
      </c>
      <c r="P3" s="119">
        <v>92</v>
      </c>
      <c r="Q3" s="103">
        <v>18900</v>
      </c>
    </row>
    <row r="4" spans="1:17" x14ac:dyDescent="0.4">
      <c r="A4" s="55" t="s">
        <v>6</v>
      </c>
      <c r="B4" s="156">
        <v>48.899999999999928</v>
      </c>
      <c r="C4" s="157"/>
      <c r="E4" s="63" t="s">
        <v>73</v>
      </c>
      <c r="F4" s="60" t="s">
        <v>28</v>
      </c>
      <c r="G4" s="47">
        <v>94</v>
      </c>
      <c r="H4" s="133">
        <f>IF(B$17=0,0,G4/B$17)</f>
        <v>0.43720930232558142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-298.8095238095238</v>
      </c>
      <c r="P4" s="119">
        <v>84</v>
      </c>
      <c r="Q4" s="103">
        <v>-25100</v>
      </c>
    </row>
    <row r="5" spans="1:17" x14ac:dyDescent="0.4">
      <c r="A5" s="55" t="s">
        <v>7</v>
      </c>
      <c r="B5" s="158">
        <f>IF(B$2=0,0,B$4/B$2)</f>
        <v>0.50937499999999925</v>
      </c>
      <c r="C5" s="159"/>
      <c r="E5" s="63" t="s">
        <v>245</v>
      </c>
      <c r="F5" s="60" t="s">
        <v>246</v>
      </c>
      <c r="G5" s="47">
        <v>93</v>
      </c>
      <c r="H5" s="133">
        <f>IF(B$17=0,0,G5/B$17)</f>
        <v>0.4325581395348837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0"/>
        <v>1405</v>
      </c>
      <c r="P5" s="119">
        <v>80</v>
      </c>
      <c r="Q5" s="103">
        <v>112400</v>
      </c>
    </row>
    <row r="6" spans="1:17" x14ac:dyDescent="0.4">
      <c r="A6" s="55" t="s">
        <v>1</v>
      </c>
      <c r="B6" s="148">
        <f>IF(B$2=0,0,(B$7*1+B$8*2+B$9*3)/B$2)</f>
        <v>1.9791666666666667</v>
      </c>
      <c r="C6" s="149"/>
      <c r="E6" s="63" t="s">
        <v>68</v>
      </c>
      <c r="F6" s="60" t="s">
        <v>24</v>
      </c>
      <c r="G6" s="47">
        <v>91</v>
      </c>
      <c r="H6" s="133">
        <f>IF(B$17=0,0,G6/B$17)</f>
        <v>0.42325581395348838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0"/>
        <v>-1846.5753424657535</v>
      </c>
      <c r="P6" s="119">
        <v>73</v>
      </c>
      <c r="Q6" s="103">
        <v>-134800</v>
      </c>
    </row>
    <row r="7" spans="1:17" x14ac:dyDescent="0.4">
      <c r="A7" s="55" t="s">
        <v>2</v>
      </c>
      <c r="B7" s="47">
        <v>33</v>
      </c>
      <c r="C7" s="39">
        <f>IF(B$2=0,0,B7/B$2)</f>
        <v>0.34375</v>
      </c>
      <c r="E7" s="63" t="s">
        <v>69</v>
      </c>
      <c r="F7" s="60" t="s">
        <v>12</v>
      </c>
      <c r="G7" s="47">
        <v>72</v>
      </c>
      <c r="H7" s="133">
        <f>IF(B$17=0,0,G7/B$17)</f>
        <v>0.33488372093023255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0"/>
        <v>793.44262295081967</v>
      </c>
      <c r="P7" s="120">
        <v>61</v>
      </c>
      <c r="Q7" s="104">
        <v>48400</v>
      </c>
    </row>
    <row r="8" spans="1:17" x14ac:dyDescent="0.4">
      <c r="A8" s="55" t="s">
        <v>3</v>
      </c>
      <c r="B8" s="47">
        <v>32</v>
      </c>
      <c r="C8" s="39">
        <f>IF(B$2=0,0,B8/B$2)</f>
        <v>0.33333333333333331</v>
      </c>
      <c r="E8" s="63" t="s">
        <v>70</v>
      </c>
      <c r="F8" s="60" t="s">
        <v>25</v>
      </c>
      <c r="G8" s="47">
        <v>35</v>
      </c>
      <c r="H8" s="133">
        <f>IF(B$17=0,0,G8/B$17)</f>
        <v>0.16279069767441862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0.32291666666666669</v>
      </c>
      <c r="E9" s="63" t="s">
        <v>66</v>
      </c>
      <c r="F9" s="60" t="s">
        <v>22</v>
      </c>
      <c r="G9" s="47">
        <v>24</v>
      </c>
      <c r="H9" s="133">
        <f>IF(B$17=0,0,G9/B$17)</f>
        <v>0.11162790697674418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13</v>
      </c>
      <c r="C10" s="40">
        <f>IF(B$2=0,0,B10/B$2)</f>
        <v>0.13541666666666666</v>
      </c>
      <c r="E10" s="63" t="s">
        <v>90</v>
      </c>
      <c r="F10" s="60" t="s">
        <v>45</v>
      </c>
      <c r="G10" s="47">
        <v>24</v>
      </c>
      <c r="H10" s="133">
        <f>IF(B$17=0,0,G10/B$17)</f>
        <v>0.11162790697674418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-7.9906250000000005</v>
      </c>
      <c r="P10" s="118">
        <v>32</v>
      </c>
      <c r="Q10" s="106">
        <v>-255.70000000000002</v>
      </c>
    </row>
    <row r="11" spans="1:17" x14ac:dyDescent="0.4">
      <c r="A11" s="56" t="s">
        <v>140</v>
      </c>
      <c r="B11" s="48">
        <v>11</v>
      </c>
      <c r="C11" s="40">
        <f>IF(B$2=0,0,B11/B$2)</f>
        <v>0.11458333333333333</v>
      </c>
      <c r="E11" s="63" t="s">
        <v>71</v>
      </c>
      <c r="F11" s="60" t="s">
        <v>26</v>
      </c>
      <c r="G11" s="47">
        <v>16</v>
      </c>
      <c r="H11" s="133">
        <f>IF(B$17=0,0,G11/B$17)</f>
        <v>7.441860465116279E-2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6.8944444444444439</v>
      </c>
      <c r="P11" s="119">
        <v>36</v>
      </c>
      <c r="Q11" s="107">
        <v>248.2</v>
      </c>
    </row>
    <row r="12" spans="1:17" x14ac:dyDescent="0.4">
      <c r="A12" s="57" t="s">
        <v>160</v>
      </c>
      <c r="B12" s="49">
        <v>7</v>
      </c>
      <c r="C12" s="42">
        <f>IF(B$2=0,0,B12/B$2)</f>
        <v>7.2916666666666671E-2</v>
      </c>
      <c r="E12" s="63" t="s">
        <v>72</v>
      </c>
      <c r="F12" s="60" t="s">
        <v>27</v>
      </c>
      <c r="G12" s="47">
        <v>16</v>
      </c>
      <c r="H12" s="133">
        <f>IF(B$17=0,0,G12/B$17)</f>
        <v>7.441860465116279E-2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2.0142857142857138</v>
      </c>
      <c r="P12" s="120">
        <v>28</v>
      </c>
      <c r="Q12" s="108">
        <v>56.399999999999991</v>
      </c>
    </row>
    <row r="13" spans="1:17" x14ac:dyDescent="0.4">
      <c r="A13" s="58" t="s">
        <v>122</v>
      </c>
      <c r="B13" s="50">
        <v>217</v>
      </c>
      <c r="C13" s="44">
        <f>IF(B$3=0,0,B13/B$3)</f>
        <v>0.27713920817369092</v>
      </c>
      <c r="E13" s="63" t="s">
        <v>84</v>
      </c>
      <c r="F13" s="60" t="s">
        <v>39</v>
      </c>
      <c r="G13" s="47">
        <v>12</v>
      </c>
      <c r="H13" s="133">
        <f>IF(B$17=0,0,G13/B$17)</f>
        <v>5.5813953488372092E-2</v>
      </c>
      <c r="I13" s="94">
        <v>4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142</v>
      </c>
      <c r="C14" s="39">
        <f>IF(B$3=0,0,B14/B$3)</f>
        <v>0.18135376756066413</v>
      </c>
      <c r="E14" s="63" t="s">
        <v>87</v>
      </c>
      <c r="F14" s="60" t="s">
        <v>42</v>
      </c>
      <c r="G14" s="47">
        <v>10</v>
      </c>
      <c r="H14" s="133">
        <f>IF(B$17=0,0,G14/B$17)</f>
        <v>4.6511627906976744E-2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133</v>
      </c>
      <c r="C15" s="37">
        <f>IF(B$13=0,0,B15/B$13)</f>
        <v>0.61290322580645162</v>
      </c>
      <c r="E15" s="63" t="s">
        <v>92</v>
      </c>
      <c r="F15" s="60" t="s">
        <v>47</v>
      </c>
      <c r="G15" s="47">
        <v>8</v>
      </c>
      <c r="H15" s="133">
        <f>IF(B$17=0,0,G15/B$17)</f>
        <v>3.7209302325581395E-2</v>
      </c>
      <c r="I15" s="94">
        <v>2</v>
      </c>
      <c r="K15" s="38">
        <v>13</v>
      </c>
      <c r="L15" s="99">
        <v>-209.59999999999997</v>
      </c>
      <c r="N15" s="114" t="s">
        <v>271</v>
      </c>
      <c r="O15" s="124">
        <f>IF(P15=0,0,Q15/P15)</f>
        <v>45.8</v>
      </c>
      <c r="P15" s="118">
        <v>2</v>
      </c>
      <c r="Q15" s="106">
        <v>91.6</v>
      </c>
    </row>
    <row r="16" spans="1:17" x14ac:dyDescent="0.4">
      <c r="A16" s="54" t="s">
        <v>125</v>
      </c>
      <c r="B16" s="46">
        <v>48</v>
      </c>
      <c r="C16" s="37">
        <f>IF(B$14=0,0,B16/B$14)</f>
        <v>0.3380281690140845</v>
      </c>
      <c r="E16" s="63" t="s">
        <v>82</v>
      </c>
      <c r="F16" s="60" t="s">
        <v>37</v>
      </c>
      <c r="G16" s="47">
        <v>7</v>
      </c>
      <c r="H16" s="133">
        <f>IF(B$17=0,0,G16/B$17)</f>
        <v>3.255813953488372E-2</v>
      </c>
      <c r="I16" s="94">
        <v>5</v>
      </c>
      <c r="K16" s="38">
        <v>14</v>
      </c>
      <c r="L16" s="99">
        <v>-178.49999999999997</v>
      </c>
      <c r="N16" s="115" t="s">
        <v>171</v>
      </c>
      <c r="O16" s="125">
        <f>IF(P16=0,0,Q16/P16)</f>
        <v>37.686363636363645</v>
      </c>
      <c r="P16" s="119">
        <v>22</v>
      </c>
      <c r="Q16" s="107">
        <v>829.10000000000014</v>
      </c>
    </row>
    <row r="17" spans="1:17" x14ac:dyDescent="0.4">
      <c r="A17" s="54" t="s">
        <v>10</v>
      </c>
      <c r="B17" s="46">
        <f>B19+B18</f>
        <v>215</v>
      </c>
      <c r="C17" s="37">
        <f>IF(B$3=0,0,B17/B$3)</f>
        <v>0.27458492975734355</v>
      </c>
      <c r="E17" s="63" t="s">
        <v>79</v>
      </c>
      <c r="F17" s="60" t="s">
        <v>34</v>
      </c>
      <c r="G17" s="47">
        <v>6</v>
      </c>
      <c r="H17" s="133">
        <f>IF(B$17=0,0,G17/B$17)</f>
        <v>2.7906976744186046E-2</v>
      </c>
      <c r="I17" s="94">
        <v>6</v>
      </c>
      <c r="K17" s="38">
        <v>15</v>
      </c>
      <c r="L17" s="99">
        <v>-146.19999999999999</v>
      </c>
      <c r="N17" s="115" t="s">
        <v>173</v>
      </c>
      <c r="O17" s="125">
        <f>IF(P17=0,0,Q17/P17)</f>
        <v>25.122222222222224</v>
      </c>
      <c r="P17" s="119">
        <v>9</v>
      </c>
      <c r="Q17" s="107">
        <v>226.10000000000002</v>
      </c>
    </row>
    <row r="18" spans="1:17" x14ac:dyDescent="0.4">
      <c r="A18" s="55" t="s">
        <v>12</v>
      </c>
      <c r="B18" s="47">
        <v>98</v>
      </c>
      <c r="C18" s="39">
        <f>IF(B$17=0,0,B18/B$17)</f>
        <v>0.45581395348837211</v>
      </c>
      <c r="E18" s="63" t="s">
        <v>86</v>
      </c>
      <c r="F18" s="60" t="s">
        <v>41</v>
      </c>
      <c r="G18" s="47">
        <v>4</v>
      </c>
      <c r="H18" s="133">
        <f>IF(B$17=0,0,G18/B$17)</f>
        <v>1.8604651162790697E-2</v>
      </c>
      <c r="I18" s="94">
        <v>1</v>
      </c>
      <c r="K18" s="38">
        <v>16</v>
      </c>
      <c r="L18" s="99">
        <v>-153.29999999999998</v>
      </c>
      <c r="N18" s="115" t="s">
        <v>184</v>
      </c>
      <c r="O18" s="125">
        <f>IF(P18=0,0,Q18/P18)</f>
        <v>4.8666666666666698</v>
      </c>
      <c r="P18" s="119">
        <v>6</v>
      </c>
      <c r="Q18" s="107">
        <v>29.200000000000017</v>
      </c>
    </row>
    <row r="19" spans="1:17" x14ac:dyDescent="0.4">
      <c r="A19" s="55" t="s">
        <v>11</v>
      </c>
      <c r="B19" s="47">
        <v>117</v>
      </c>
      <c r="C19" s="39">
        <f>IF(B$17=0,0,B19/B$17)</f>
        <v>0.54418604651162794</v>
      </c>
      <c r="E19" s="63" t="s">
        <v>80</v>
      </c>
      <c r="F19" s="60" t="s">
        <v>35</v>
      </c>
      <c r="G19" s="47">
        <v>3</v>
      </c>
      <c r="H19" s="133">
        <f>IF(B$17=0,0,G19/B$17)</f>
        <v>1.3953488372093023E-2</v>
      </c>
      <c r="I19" s="94">
        <v>9</v>
      </c>
      <c r="K19" s="38">
        <v>17</v>
      </c>
      <c r="L19" s="99">
        <v>-161.19999999999999</v>
      </c>
      <c r="N19" s="115" t="s">
        <v>128</v>
      </c>
      <c r="O19" s="125">
        <f>IF(P19=0,0,Q19/P19)</f>
        <v>1.8258064516129038</v>
      </c>
      <c r="P19" s="119">
        <v>31</v>
      </c>
      <c r="Q19" s="107">
        <v>56.600000000000016</v>
      </c>
    </row>
    <row r="20" spans="1:17" x14ac:dyDescent="0.4">
      <c r="A20" s="55" t="s">
        <v>13</v>
      </c>
      <c r="B20" s="47">
        <v>117</v>
      </c>
      <c r="C20" s="39">
        <f>IF(B$3=0,0,B20/B$3)</f>
        <v>0.14942528735632185</v>
      </c>
      <c r="E20" s="63" t="s">
        <v>76</v>
      </c>
      <c r="F20" s="60" t="s">
        <v>31</v>
      </c>
      <c r="G20" s="47">
        <v>2</v>
      </c>
      <c r="H20" s="133">
        <f>IF(B$17=0,0,G20/B$17)</f>
        <v>9.3023255813953487E-3</v>
      </c>
      <c r="I20" s="94">
        <v>4</v>
      </c>
      <c r="K20" s="38">
        <v>18</v>
      </c>
      <c r="L20" s="99">
        <v>-159</v>
      </c>
      <c r="N20" s="115" t="s">
        <v>200</v>
      </c>
      <c r="O20" s="125">
        <f>IF(P20=0,0,Q20/P20)</f>
        <v>-0.89999999999999858</v>
      </c>
      <c r="P20" s="119">
        <v>9</v>
      </c>
      <c r="Q20" s="107">
        <v>-8.0999999999999872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9.3023255813953487E-3</v>
      </c>
      <c r="I21" s="94">
        <v>4</v>
      </c>
      <c r="K21" s="38">
        <v>19</v>
      </c>
      <c r="L21" s="99">
        <v>-235.6</v>
      </c>
      <c r="N21" s="115" t="s">
        <v>172</v>
      </c>
      <c r="O21" s="125">
        <f>IF(P21=0,0,Q21/P21)</f>
        <v>-2.2741935483870979</v>
      </c>
      <c r="P21" s="119">
        <v>31</v>
      </c>
      <c r="Q21" s="107">
        <v>-70.500000000000028</v>
      </c>
    </row>
    <row r="22" spans="1:17" x14ac:dyDescent="0.4">
      <c r="A22" s="55" t="s">
        <v>192</v>
      </c>
      <c r="B22" s="47">
        <v>45</v>
      </c>
      <c r="C22" s="135">
        <v>6</v>
      </c>
      <c r="E22" s="63" t="s">
        <v>91</v>
      </c>
      <c r="F22" s="60" t="s">
        <v>46</v>
      </c>
      <c r="G22" s="47">
        <v>2</v>
      </c>
      <c r="H22" s="133">
        <f>IF(B$17=0,0,G22/B$17)</f>
        <v>9.3023255813953487E-3</v>
      </c>
      <c r="I22" s="94">
        <v>1</v>
      </c>
      <c r="K22" s="38">
        <v>20</v>
      </c>
      <c r="L22" s="99">
        <v>-200.8</v>
      </c>
      <c r="N22" s="115" t="s">
        <v>129</v>
      </c>
      <c r="O22" s="125">
        <f>IF(P22=0,0,Q22/P22)</f>
        <v>-3.0875000000000008</v>
      </c>
      <c r="P22" s="119">
        <v>40</v>
      </c>
      <c r="Q22" s="107">
        <v>-123.50000000000003</v>
      </c>
    </row>
    <row r="23" spans="1:17" x14ac:dyDescent="0.4">
      <c r="A23" s="55" t="s">
        <v>5</v>
      </c>
      <c r="B23" s="51">
        <f>IF(B$17=0,0,C23/B$17)</f>
        <v>8874.8837209302328</v>
      </c>
      <c r="C23" s="41">
        <v>1908100</v>
      </c>
      <c r="E23" s="63" t="s">
        <v>75</v>
      </c>
      <c r="F23" s="60" t="s">
        <v>30</v>
      </c>
      <c r="G23" s="47">
        <v>1</v>
      </c>
      <c r="H23" s="133">
        <f>IF(B$17=0,0,G23/B$17)</f>
        <v>4.6511627906976744E-3</v>
      </c>
      <c r="I23" s="94">
        <v>5</v>
      </c>
      <c r="K23" s="38">
        <v>21</v>
      </c>
      <c r="L23" s="99">
        <v>-188.60000000000002</v>
      </c>
      <c r="N23" s="115" t="s">
        <v>127</v>
      </c>
      <c r="O23" s="125">
        <f>IF(P23=0,0,Q23/P23)</f>
        <v>-19.146153846153855</v>
      </c>
      <c r="P23" s="119">
        <v>39</v>
      </c>
      <c r="Q23" s="107">
        <v>-746.70000000000027</v>
      </c>
    </row>
    <row r="24" spans="1:17" x14ac:dyDescent="0.4">
      <c r="A24" s="57" t="s">
        <v>14</v>
      </c>
      <c r="B24" s="52">
        <f>IF(B$20=0,0,C24/B$20)</f>
        <v>-7229.0598290598291</v>
      </c>
      <c r="C24" s="45">
        <v>-845800</v>
      </c>
      <c r="E24" s="63" t="s">
        <v>93</v>
      </c>
      <c r="F24" s="60" t="s">
        <v>48</v>
      </c>
      <c r="G24" s="47">
        <v>1</v>
      </c>
      <c r="H24" s="133">
        <f>IF(B$17=0,0,G24/B$17)</f>
        <v>4.6511627906976744E-3</v>
      </c>
      <c r="I24" s="94">
        <v>3</v>
      </c>
      <c r="K24" s="38">
        <v>22</v>
      </c>
      <c r="L24" s="99">
        <v>-142.60000000000002</v>
      </c>
      <c r="N24" s="115" t="s">
        <v>183</v>
      </c>
      <c r="O24" s="125">
        <f>IF(P24=0,0,Q24/P24)</f>
        <v>-45.699999999999996</v>
      </c>
      <c r="P24" s="119">
        <v>3</v>
      </c>
      <c r="Q24" s="107">
        <v>-137.1</v>
      </c>
    </row>
    <row r="25" spans="1:17" x14ac:dyDescent="0.4">
      <c r="A25" s="90" t="s">
        <v>142</v>
      </c>
      <c r="B25" s="146">
        <v>8</v>
      </c>
      <c r="C25" s="147"/>
      <c r="E25" s="63" t="s">
        <v>94</v>
      </c>
      <c r="F25" s="60" t="s">
        <v>49</v>
      </c>
      <c r="G25" s="47">
        <v>1</v>
      </c>
      <c r="H25" s="133">
        <f>IF(B$17=0,0,G25/B$17)</f>
        <v>4.6511627906976744E-3</v>
      </c>
      <c r="I25" s="94">
        <v>2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4">
        <v>103000</v>
      </c>
      <c r="C26" s="145"/>
      <c r="E26" s="63" t="s">
        <v>102</v>
      </c>
      <c r="F26" s="60" t="s">
        <v>57</v>
      </c>
      <c r="G26" s="47">
        <v>1</v>
      </c>
      <c r="H26" s="133">
        <f>IF(B$17=0,0,G26/B$17)</f>
        <v>4.6511627906976744E-3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3.8314176245210726E-3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3</v>
      </c>
      <c r="C2" s="153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4">
        <v>19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6">
        <v>61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8">
        <f>IF(B$2=0,0,B$4/B$2)</f>
        <v>20.333333333333332</v>
      </c>
      <c r="C5" s="159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8">
        <f>IF(B$2=0,0,(B$7*1+B$8*2+B$9*3)/B$2)</f>
        <v>1.3333333333333333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14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53500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9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184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24</v>
      </c>
      <c r="C2" s="153"/>
      <c r="E2" s="62" t="s">
        <v>65</v>
      </c>
      <c r="F2" s="59" t="s">
        <v>21</v>
      </c>
      <c r="G2" s="46">
        <v>27</v>
      </c>
      <c r="H2" s="132">
        <f>IF(B$17=0,0,G2/B$17)</f>
        <v>0.54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4">
        <v>181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0.08</v>
      </c>
      <c r="I3" s="94">
        <v>9</v>
      </c>
      <c r="K3" s="38">
        <v>1</v>
      </c>
      <c r="L3" s="99">
        <v>-43.7</v>
      </c>
      <c r="N3" s="115" t="s">
        <v>133</v>
      </c>
      <c r="O3" s="122">
        <f t="shared" si="0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6">
        <v>-300.5</v>
      </c>
      <c r="C4" s="157"/>
      <c r="E4" s="63" t="s">
        <v>67</v>
      </c>
      <c r="F4" s="60" t="s">
        <v>23</v>
      </c>
      <c r="G4" s="47">
        <v>43</v>
      </c>
      <c r="H4" s="133">
        <f>IF(B$17=0,0,G4/B$17)</f>
        <v>0.86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8">
        <f>IF(B$2=0,0,B$4/B$2)</f>
        <v>-12.520833333333334</v>
      </c>
      <c r="C5" s="159"/>
      <c r="E5" s="63" t="s">
        <v>68</v>
      </c>
      <c r="F5" s="60" t="s">
        <v>24</v>
      </c>
      <c r="G5" s="47">
        <v>12</v>
      </c>
      <c r="H5" s="133">
        <f>IF(B$17=0,0,G5/B$17)</f>
        <v>0.24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8">
        <f>IF(B$2=0,0,(B$7*1+B$8*2+B$9*3)/B$2)</f>
        <v>2.2083333333333335</v>
      </c>
      <c r="C6" s="149"/>
      <c r="E6" s="63" t="s">
        <v>69</v>
      </c>
      <c r="F6" s="60" t="s">
        <v>12</v>
      </c>
      <c r="G6" s="47">
        <v>15</v>
      </c>
      <c r="H6" s="133">
        <f>IF(B$17=0,0,G6/B$17)</f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>IF(B$2=0,0,B7/B$2)</f>
        <v>0.33333333333333331</v>
      </c>
      <c r="E7" s="63" t="s">
        <v>70</v>
      </c>
      <c r="F7" s="60" t="s">
        <v>25</v>
      </c>
      <c r="G7" s="47">
        <v>8</v>
      </c>
      <c r="H7" s="133">
        <f>IF(B$17=0,0,G7/B$17)</f>
        <v>0.16</v>
      </c>
      <c r="I7" s="94">
        <v>9</v>
      </c>
      <c r="K7" s="38">
        <v>5</v>
      </c>
      <c r="L7" s="99">
        <v>-121</v>
      </c>
      <c r="N7" s="116" t="s">
        <v>137</v>
      </c>
      <c r="O7" s="123">
        <f t="shared" si="0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>IF(B$2=0,0,B8/B$2)</f>
        <v>0.125</v>
      </c>
      <c r="E8" s="63" t="s">
        <v>71</v>
      </c>
      <c r="F8" s="60" t="s">
        <v>26</v>
      </c>
      <c r="G8" s="47">
        <v>8</v>
      </c>
      <c r="H8" s="133">
        <f>IF(B$17=0,0,G8/B$17)</f>
        <v>0.16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0.54166666666666663</v>
      </c>
      <c r="E9" s="63" t="s">
        <v>72</v>
      </c>
      <c r="F9" s="60" t="s">
        <v>27</v>
      </c>
      <c r="G9" s="47">
        <v>3</v>
      </c>
      <c r="H9" s="133">
        <f>IF(B$17=0,0,G9/B$17)</f>
        <v>0.06</v>
      </c>
      <c r="I9" s="94">
        <v>9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0.29166666666666669</v>
      </c>
      <c r="E10" s="63" t="s">
        <v>73</v>
      </c>
      <c r="F10" s="60" t="s">
        <v>28</v>
      </c>
      <c r="G10" s="47">
        <v>30</v>
      </c>
      <c r="H10" s="133">
        <f>IF(B$17=0,0,G10/B$17)</f>
        <v>0.6</v>
      </c>
      <c r="I10" s="94">
        <v>3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>IF(B$2=0,0,B11/B$2)</f>
        <v>8.3333333333333329E-2</v>
      </c>
      <c r="E11" s="63" t="s">
        <v>74</v>
      </c>
      <c r="F11" s="60" t="s">
        <v>29</v>
      </c>
      <c r="G11" s="47">
        <v>1</v>
      </c>
      <c r="H11" s="133">
        <f>IF(B$17=0,0,G11/B$17)</f>
        <v>0.02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0.125</v>
      </c>
      <c r="E12" s="63" t="s">
        <v>75</v>
      </c>
      <c r="F12" s="60" t="s">
        <v>30</v>
      </c>
      <c r="G12" s="47">
        <v>1</v>
      </c>
      <c r="H12" s="133">
        <f>IF(B$17=0,0,G12/B$17)</f>
        <v>0.02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76</v>
      </c>
      <c r="F13" s="60" t="s">
        <v>31</v>
      </c>
      <c r="G13" s="47">
        <v>1</v>
      </c>
      <c r="H13" s="133">
        <f>IF(B$17=0,0,G13/B$17)</f>
        <v>0.02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K16" s="38">
        <v>14</v>
      </c>
      <c r="L16" s="99">
        <v>-138.69999999999999</v>
      </c>
      <c r="N16" s="115" t="s">
        <v>129</v>
      </c>
      <c r="O16" s="125">
        <f t="shared" si="2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80</v>
      </c>
      <c r="F17" s="60" t="s">
        <v>35</v>
      </c>
      <c r="G17" s="47">
        <v>3</v>
      </c>
      <c r="H17" s="133">
        <f>IF(B$17=0,0,G17/B$17)</f>
        <v>0.06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0.02</v>
      </c>
      <c r="I19" s="94">
        <v>9</v>
      </c>
      <c r="K19" s="38">
        <v>17</v>
      </c>
      <c r="L19" s="99">
        <v>-203.5</v>
      </c>
      <c r="N19" s="115" t="s">
        <v>128</v>
      </c>
      <c r="O19" s="125">
        <f t="shared" si="2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0.12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4">
        <v>92000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</v>
      </c>
      <c r="I27" s="94">
        <v>11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0.02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0.32</v>
      </c>
      <c r="I51" s="139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200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19</v>
      </c>
      <c r="C2" s="153"/>
      <c r="E2" s="62" t="s">
        <v>65</v>
      </c>
      <c r="F2" s="59" t="s">
        <v>21</v>
      </c>
      <c r="G2" s="46">
        <v>27</v>
      </c>
      <c r="H2" s="132">
        <f>IF(B$17=0,0,G2/B$17)</f>
        <v>0.45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-1789.4736842105262</v>
      </c>
      <c r="P2" s="118">
        <v>19</v>
      </c>
      <c r="Q2" s="102">
        <v>-34000</v>
      </c>
    </row>
    <row r="3" spans="1:17" x14ac:dyDescent="0.4">
      <c r="A3" s="55" t="s">
        <v>8</v>
      </c>
      <c r="B3" s="154">
        <v>175</v>
      </c>
      <c r="C3" s="155"/>
      <c r="E3" s="63" t="s">
        <v>66</v>
      </c>
      <c r="F3" s="60" t="s">
        <v>22</v>
      </c>
      <c r="G3" s="47">
        <v>5</v>
      </c>
      <c r="H3" s="133">
        <f>IF(B$17=0,0,G3/B$17)</f>
        <v>8.3333333333333329E-2</v>
      </c>
      <c r="I3" s="94">
        <v>8</v>
      </c>
      <c r="K3" s="38">
        <v>1</v>
      </c>
      <c r="L3" s="99">
        <v>-12.5</v>
      </c>
      <c r="N3" s="115" t="s">
        <v>133</v>
      </c>
      <c r="O3" s="122">
        <f t="shared" si="0"/>
        <v>2684.2105263157896</v>
      </c>
      <c r="P3" s="119">
        <v>19</v>
      </c>
      <c r="Q3" s="103">
        <v>51000</v>
      </c>
    </row>
    <row r="4" spans="1:17" x14ac:dyDescent="0.4">
      <c r="A4" s="55" t="s">
        <v>6</v>
      </c>
      <c r="B4" s="156">
        <v>94.299999999999983</v>
      </c>
      <c r="C4" s="157"/>
      <c r="E4" s="63" t="s">
        <v>67</v>
      </c>
      <c r="F4" s="60" t="s">
        <v>23</v>
      </c>
      <c r="G4" s="47">
        <v>32</v>
      </c>
      <c r="H4" s="133">
        <f>IF(B$17=0,0,G4/B$17)</f>
        <v>0.53333333333333333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-6316.666666666667</v>
      </c>
      <c r="P4" s="119">
        <v>18</v>
      </c>
      <c r="Q4" s="103">
        <v>-113700</v>
      </c>
    </row>
    <row r="5" spans="1:17" x14ac:dyDescent="0.4">
      <c r="A5" s="55" t="s">
        <v>7</v>
      </c>
      <c r="B5" s="158">
        <f>IF(B$2=0,0,B$4/B$2)</f>
        <v>4.9631578947368409</v>
      </c>
      <c r="C5" s="159"/>
      <c r="E5" s="63" t="s">
        <v>68</v>
      </c>
      <c r="F5" s="60" t="s">
        <v>24</v>
      </c>
      <c r="G5" s="47">
        <v>18</v>
      </c>
      <c r="H5" s="133">
        <f>IF(B$17=0,0,G5/B$17)</f>
        <v>0.3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-950</v>
      </c>
      <c r="P5" s="119">
        <v>18</v>
      </c>
      <c r="Q5" s="103">
        <v>-17100</v>
      </c>
    </row>
    <row r="6" spans="1:17" x14ac:dyDescent="0.4">
      <c r="A6" s="55" t="s">
        <v>1</v>
      </c>
      <c r="B6" s="148">
        <f>IF(B$2=0,0,(B$7*1+B$8*2+B$9*3)/B$2)</f>
        <v>1.8421052631578947</v>
      </c>
      <c r="C6" s="149"/>
      <c r="E6" s="63" t="s">
        <v>69</v>
      </c>
      <c r="F6" s="60" t="s">
        <v>12</v>
      </c>
      <c r="G6" s="47">
        <v>23</v>
      </c>
      <c r="H6" s="133">
        <f>IF(B$17=0,0,G6/B$17)</f>
        <v>0.38333333333333336</v>
      </c>
      <c r="I6" s="94">
        <v>2</v>
      </c>
      <c r="K6" s="38">
        <v>4</v>
      </c>
      <c r="L6" s="99">
        <v>19.399999999999995</v>
      </c>
      <c r="N6" s="115" t="s">
        <v>136</v>
      </c>
      <c r="O6" s="122">
        <f t="shared" si="0"/>
        <v>9793.3333333333339</v>
      </c>
      <c r="P6" s="119">
        <v>15</v>
      </c>
      <c r="Q6" s="103">
        <v>146900</v>
      </c>
    </row>
    <row r="7" spans="1:17" x14ac:dyDescent="0.4">
      <c r="A7" s="55" t="s">
        <v>2</v>
      </c>
      <c r="B7" s="47">
        <v>7</v>
      </c>
      <c r="C7" s="39">
        <f>IF(B$2=0,0,B7/B$2)</f>
        <v>0.36842105263157893</v>
      </c>
      <c r="E7" s="63" t="s">
        <v>70</v>
      </c>
      <c r="F7" s="60" t="s">
        <v>25</v>
      </c>
      <c r="G7" s="47">
        <v>10</v>
      </c>
      <c r="H7" s="133">
        <f>IF(B$17=0,0,G7/B$17)</f>
        <v>0.16666666666666666</v>
      </c>
      <c r="I7" s="94">
        <v>6</v>
      </c>
      <c r="K7" s="38">
        <v>5</v>
      </c>
      <c r="L7" s="99">
        <v>-16.100000000000005</v>
      </c>
      <c r="N7" s="116" t="s">
        <v>137</v>
      </c>
      <c r="O7" s="123">
        <f t="shared" si="0"/>
        <v>1925</v>
      </c>
      <c r="P7" s="120">
        <v>12</v>
      </c>
      <c r="Q7" s="104">
        <v>23100</v>
      </c>
    </row>
    <row r="8" spans="1:17" x14ac:dyDescent="0.4">
      <c r="A8" s="55" t="s">
        <v>3</v>
      </c>
      <c r="B8" s="47">
        <v>8</v>
      </c>
      <c r="C8" s="39">
        <f>IF(B$2=0,0,B8/B$2)</f>
        <v>0.42105263157894735</v>
      </c>
      <c r="E8" s="63" t="s">
        <v>71</v>
      </c>
      <c r="F8" s="60" t="s">
        <v>26</v>
      </c>
      <c r="G8" s="47">
        <v>1</v>
      </c>
      <c r="H8" s="133">
        <f>IF(B$17=0,0,G8/B$17)</f>
        <v>1.6666666666666666E-2</v>
      </c>
      <c r="I8" s="94">
        <v>12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0.21052631578947367</v>
      </c>
      <c r="E9" s="63" t="s">
        <v>72</v>
      </c>
      <c r="F9" s="60" t="s">
        <v>27</v>
      </c>
      <c r="G9" s="47">
        <v>1</v>
      </c>
      <c r="H9" s="133">
        <f>IF(B$17=0,0,G9/B$17)</f>
        <v>1.6666666666666666E-2</v>
      </c>
      <c r="I9" s="94">
        <v>12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0.15789473684210525</v>
      </c>
      <c r="E10" s="63" t="s">
        <v>73</v>
      </c>
      <c r="F10" s="60" t="s">
        <v>28</v>
      </c>
      <c r="G10" s="47">
        <v>43</v>
      </c>
      <c r="H10" s="133">
        <f>IF(B$17=0,0,G10/B$17)</f>
        <v>0.71666666666666667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>IF(B$2=0,0,B11/B$2)</f>
        <v>5.2631578947368418E-2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15.639999999999997</v>
      </c>
      <c r="P11" s="119">
        <v>5</v>
      </c>
      <c r="Q11" s="107">
        <v>78.199999999999989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43</v>
      </c>
      <c r="C13" s="44">
        <f>IF(B$3=0,0,B13/B$3)</f>
        <v>0.24571428571428572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55</v>
      </c>
      <c r="C14" s="39">
        <f>IF(B$3=0,0,B14/B$3)</f>
        <v>0.31428571428571428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27</v>
      </c>
      <c r="C15" s="37">
        <f>IF(B$13=0,0,B15/B$13)</f>
        <v>0.62790697674418605</v>
      </c>
      <c r="E15" s="63" t="s">
        <v>78</v>
      </c>
      <c r="F15" s="60" t="s">
        <v>33</v>
      </c>
      <c r="G15" s="47">
        <v>3</v>
      </c>
      <c r="H15" s="133">
        <f>IF(B$17=0,0,G15/B$17)</f>
        <v>0.05</v>
      </c>
      <c r="I15" s="94">
        <v>1</v>
      </c>
      <c r="K15" s="38">
        <v>13</v>
      </c>
      <c r="L15" s="99">
        <v>83.299999999999983</v>
      </c>
      <c r="N15" s="114" t="s">
        <v>173</v>
      </c>
      <c r="O15" s="124">
        <f t="shared" ref="O15:O22" si="2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24</v>
      </c>
      <c r="C16" s="37">
        <f>IF(B$14=0,0,B16/B$14)</f>
        <v>0.43636363636363634</v>
      </c>
      <c r="E16" s="63" t="s">
        <v>79</v>
      </c>
      <c r="F16" s="60" t="s">
        <v>34</v>
      </c>
      <c r="G16" s="47">
        <v>4</v>
      </c>
      <c r="H16" s="133">
        <f>IF(B$17=0,0,G16/B$17)</f>
        <v>6.6666666666666666E-2</v>
      </c>
      <c r="I16" s="94">
        <v>2</v>
      </c>
      <c r="K16" s="38">
        <v>14</v>
      </c>
      <c r="L16" s="99">
        <v>114.99999999999999</v>
      </c>
      <c r="N16" s="115" t="s">
        <v>271</v>
      </c>
      <c r="O16" s="125">
        <f t="shared" si="2"/>
        <v>27.366666666666664</v>
      </c>
      <c r="P16" s="119">
        <v>3</v>
      </c>
      <c r="Q16" s="107">
        <v>82.1</v>
      </c>
    </row>
    <row r="17" spans="1:17" x14ac:dyDescent="0.4">
      <c r="A17" s="54" t="s">
        <v>10</v>
      </c>
      <c r="B17" s="46">
        <f>B19+B18</f>
        <v>60</v>
      </c>
      <c r="C17" s="37">
        <f>IF(B$3=0,0,B17/B$3)</f>
        <v>0.34285714285714286</v>
      </c>
      <c r="E17" s="63" t="s">
        <v>80</v>
      </c>
      <c r="F17" s="60" t="s">
        <v>35</v>
      </c>
      <c r="G17" s="47">
        <v>1</v>
      </c>
      <c r="H17" s="133">
        <f>IF(B$17=0,0,G17/B$17)</f>
        <v>1.6666666666666666E-2</v>
      </c>
      <c r="I17" s="94">
        <v>5</v>
      </c>
      <c r="K17" s="38">
        <v>15</v>
      </c>
      <c r="L17" s="99">
        <v>157.69999999999999</v>
      </c>
      <c r="N17" s="115" t="s">
        <v>172</v>
      </c>
      <c r="O17" s="125">
        <f t="shared" si="2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35</v>
      </c>
      <c r="C18" s="39">
        <f>IF(B$17=0,0,B18/B$17)</f>
        <v>0.58333333333333337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99.6</v>
      </c>
      <c r="N18" s="115" t="s">
        <v>127</v>
      </c>
      <c r="O18" s="125">
        <f t="shared" si="2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25</v>
      </c>
      <c r="C19" s="39">
        <f>IF(B$17=0,0,B19/B$17)</f>
        <v>0.41666666666666669</v>
      </c>
      <c r="E19" s="63" t="s">
        <v>82</v>
      </c>
      <c r="F19" s="60" t="s">
        <v>37</v>
      </c>
      <c r="G19" s="47">
        <v>1</v>
      </c>
      <c r="H19" s="133">
        <f>IF(B$17=0,0,G19/B$17)</f>
        <v>1.6666666666666666E-2</v>
      </c>
      <c r="I19" s="94">
        <v>10</v>
      </c>
      <c r="K19" s="38">
        <v>17</v>
      </c>
      <c r="L19" s="99">
        <v>112.39999999999999</v>
      </c>
      <c r="N19" s="115" t="s">
        <v>171</v>
      </c>
      <c r="O19" s="125">
        <f t="shared" si="2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28</v>
      </c>
      <c r="C20" s="39">
        <f>IF(B$3=0,0,B20/B$3)</f>
        <v>0.16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45.399999999999991</v>
      </c>
      <c r="N20" s="115" t="s">
        <v>128</v>
      </c>
      <c r="O20" s="125">
        <f t="shared" si="2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2</v>
      </c>
      <c r="E21" s="63" t="s">
        <v>84</v>
      </c>
      <c r="F21" s="60" t="s">
        <v>39</v>
      </c>
      <c r="G21" s="47">
        <v>3</v>
      </c>
      <c r="H21" s="133">
        <f>IF(B$17=0,0,G21/B$17)</f>
        <v>0.05</v>
      </c>
      <c r="I21" s="94">
        <v>7</v>
      </c>
      <c r="K21" s="38">
        <v>19</v>
      </c>
      <c r="L21" s="99">
        <v>94.299999999999983</v>
      </c>
      <c r="N21" s="115" t="s">
        <v>177</v>
      </c>
      <c r="O21" s="125">
        <f t="shared" si="2"/>
        <v>0.90000000000000258</v>
      </c>
      <c r="P21" s="119">
        <v>9</v>
      </c>
      <c r="Q21" s="107">
        <v>8.1000000000000227</v>
      </c>
    </row>
    <row r="22" spans="1:17" x14ac:dyDescent="0.4">
      <c r="A22" s="55" t="s">
        <v>192</v>
      </c>
      <c r="B22" s="47">
        <v>14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N22" s="115" t="s">
        <v>129</v>
      </c>
      <c r="O22" s="125">
        <f t="shared" si="2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8058.333333333333</v>
      </c>
      <c r="C23" s="41">
        <v>483500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-8367.8571428571431</v>
      </c>
      <c r="C24" s="45">
        <v>-234300</v>
      </c>
      <c r="E24" s="63" t="s">
        <v>87</v>
      </c>
      <c r="F24" s="60" t="s">
        <v>42</v>
      </c>
      <c r="G24" s="47">
        <v>7</v>
      </c>
      <c r="H24" s="133">
        <f>IF(B$17=0,0,G24/B$17)</f>
        <v>0.11666666666666667</v>
      </c>
      <c r="I24" s="94">
        <v>2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106300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1.1428571428571429E-2</v>
      </c>
      <c r="E27" s="63" t="s">
        <v>90</v>
      </c>
      <c r="F27" s="60" t="s">
        <v>45</v>
      </c>
      <c r="G27" s="47">
        <v>9</v>
      </c>
      <c r="H27" s="133">
        <f>IF(B$17=0,0,G27/B$17)</f>
        <v>0.15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18</v>
      </c>
      <c r="H51" s="138">
        <f>IF(B$17=0,0,G51/B$17)</f>
        <v>0.3</v>
      </c>
      <c r="I51" s="139">
        <v>14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222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1</v>
      </c>
      <c r="C2" s="153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4">
        <v>13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6">
        <v>13.3</v>
      </c>
      <c r="C4" s="157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8">
        <f>IF(B$2=0,0,B$4/B$2)</f>
        <v>13.3</v>
      </c>
      <c r="C5" s="159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14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12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9" x14ac:dyDescent="0.4">
      <c r="A25" s="90" t="s">
        <v>142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4">
        <v>48300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223</v>
      </c>
      <c r="C1" s="151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6</v>
      </c>
      <c r="C2" s="153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4">
        <v>46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6">
        <v>100.39999999999999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8">
        <f>IF(B$2=0,0,B$4/B$2)</f>
        <v>16.733333333333331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8">
        <f>IF(B$2=0,0,(B$7*1+B$8*2+B$9*3)/B$2)</f>
        <v>1.8333333333333333</v>
      </c>
      <c r="C6" s="149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8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13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11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3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12</v>
      </c>
    </row>
    <row r="25" spans="1:17" x14ac:dyDescent="0.4">
      <c r="A25" s="90" t="s">
        <v>142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92100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10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367D9-FDC7-4E79-86D6-948490AF2FB6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271</v>
      </c>
      <c r="C1" s="151"/>
      <c r="E1" s="129" t="s">
        <v>167</v>
      </c>
      <c r="F1" s="143" t="s">
        <v>116</v>
      </c>
      <c r="G1" s="142" t="s">
        <v>117</v>
      </c>
      <c r="H1" s="130" t="s">
        <v>118</v>
      </c>
      <c r="I1" s="143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2">
        <v>6</v>
      </c>
      <c r="C2" s="153"/>
      <c r="E2" s="62" t="s">
        <v>65</v>
      </c>
      <c r="F2" s="59" t="s">
        <v>21</v>
      </c>
      <c r="G2" s="46">
        <v>7</v>
      </c>
      <c r="H2" s="132">
        <f>IF(B$17=0,0,G2/B$17)</f>
        <v>0.5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-5416.666666666667</v>
      </c>
      <c r="P2" s="118">
        <v>6</v>
      </c>
      <c r="Q2" s="102">
        <v>-32500</v>
      </c>
    </row>
    <row r="3" spans="1:17" x14ac:dyDescent="0.4">
      <c r="A3" s="55" t="s">
        <v>8</v>
      </c>
      <c r="B3" s="154">
        <v>56</v>
      </c>
      <c r="C3" s="155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-43.2</v>
      </c>
      <c r="N3" s="115" t="s">
        <v>133</v>
      </c>
      <c r="O3" s="122">
        <f t="shared" si="0"/>
        <v>-3366.6666666666665</v>
      </c>
      <c r="P3" s="119">
        <v>6</v>
      </c>
      <c r="Q3" s="103">
        <v>-20200</v>
      </c>
    </row>
    <row r="4" spans="1:17" x14ac:dyDescent="0.4">
      <c r="A4" s="55" t="s">
        <v>6</v>
      </c>
      <c r="B4" s="156">
        <v>-201.8</v>
      </c>
      <c r="C4" s="157"/>
      <c r="E4" s="63" t="s">
        <v>67</v>
      </c>
      <c r="F4" s="60" t="s">
        <v>23</v>
      </c>
      <c r="G4" s="47">
        <v>6</v>
      </c>
      <c r="H4" s="133">
        <f>IF(B$17=0,0,G4/B$17)</f>
        <v>0.42857142857142855</v>
      </c>
      <c r="I4" s="94">
        <v>14</v>
      </c>
      <c r="K4" s="38">
        <v>2</v>
      </c>
      <c r="L4" s="99">
        <v>-96.5</v>
      </c>
      <c r="N4" s="115" t="s">
        <v>134</v>
      </c>
      <c r="O4" s="122">
        <f t="shared" si="0"/>
        <v>360</v>
      </c>
      <c r="P4" s="119">
        <v>5</v>
      </c>
      <c r="Q4" s="103">
        <v>1800</v>
      </c>
    </row>
    <row r="5" spans="1:17" x14ac:dyDescent="0.4">
      <c r="A5" s="55" t="s">
        <v>7</v>
      </c>
      <c r="B5" s="158">
        <f>IF(B$2=0,0,B$4/B$2)</f>
        <v>-33.633333333333333</v>
      </c>
      <c r="C5" s="159"/>
      <c r="E5" s="63" t="s">
        <v>68</v>
      </c>
      <c r="F5" s="60" t="s">
        <v>24</v>
      </c>
      <c r="G5" s="47">
        <v>0</v>
      </c>
      <c r="H5" s="133">
        <f>IF(B$17=0,0,G5/B$17)</f>
        <v>0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0"/>
        <v>5680</v>
      </c>
      <c r="P5" s="119">
        <v>5</v>
      </c>
      <c r="Q5" s="103">
        <v>28400</v>
      </c>
    </row>
    <row r="6" spans="1:17" x14ac:dyDescent="0.4">
      <c r="A6" s="55" t="s">
        <v>1</v>
      </c>
      <c r="B6" s="148">
        <f>IF(B$2=0,0,(B$7*1+B$8*2+B$9*3)/B$2)</f>
        <v>2.6666666666666665</v>
      </c>
      <c r="C6" s="149"/>
      <c r="E6" s="63" t="s">
        <v>69</v>
      </c>
      <c r="F6" s="60" t="s">
        <v>12</v>
      </c>
      <c r="G6" s="47">
        <v>4</v>
      </c>
      <c r="H6" s="133">
        <f>IF(B$17=0,0,G6/B$17)</f>
        <v>0.2857142857142857</v>
      </c>
      <c r="I6" s="94">
        <v>11</v>
      </c>
      <c r="K6" s="38">
        <v>4</v>
      </c>
      <c r="L6" s="99">
        <v>-134.1</v>
      </c>
      <c r="N6" s="115" t="s">
        <v>136</v>
      </c>
      <c r="O6" s="122">
        <f t="shared" si="0"/>
        <v>-6525</v>
      </c>
      <c r="P6" s="119">
        <v>4</v>
      </c>
      <c r="Q6" s="103">
        <v>-26100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3">
        <f>IF(B$17=0,0,G7/B$17)</f>
        <v>7.1428571428571425E-2</v>
      </c>
      <c r="I7" s="94">
        <v>12</v>
      </c>
      <c r="K7" s="38">
        <v>5</v>
      </c>
      <c r="L7" s="99">
        <v>-152</v>
      </c>
      <c r="N7" s="116" t="s">
        <v>137</v>
      </c>
      <c r="O7" s="123">
        <f t="shared" si="0"/>
        <v>-5350</v>
      </c>
      <c r="P7" s="120">
        <v>2</v>
      </c>
      <c r="Q7" s="104">
        <v>-10700</v>
      </c>
    </row>
    <row r="8" spans="1:17" x14ac:dyDescent="0.4">
      <c r="A8" s="55" t="s">
        <v>3</v>
      </c>
      <c r="B8" s="47">
        <v>2</v>
      </c>
      <c r="C8" s="39">
        <f>IF(B$2=0,0,B8/B$2)</f>
        <v>0.33333333333333331</v>
      </c>
      <c r="E8" s="63" t="s">
        <v>71</v>
      </c>
      <c r="F8" s="60" t="s">
        <v>26</v>
      </c>
      <c r="G8" s="47">
        <v>1</v>
      </c>
      <c r="H8" s="133">
        <f>IF(B$17=0,0,G8/B$17)</f>
        <v>7.1428571428571425E-2</v>
      </c>
      <c r="I8" s="94">
        <v>9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ref="C9" si="1">IF(B$2=0,0,B9/B$2)</f>
        <v>0.66666666666666663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0.16666666666666666</v>
      </c>
      <c r="E10" s="63" t="s">
        <v>73</v>
      </c>
      <c r="F10" s="60" t="s">
        <v>28</v>
      </c>
      <c r="G10" s="47">
        <v>7</v>
      </c>
      <c r="H10" s="133">
        <f>IF(B$17=0,0,G10/B$17)</f>
        <v>0.5</v>
      </c>
      <c r="I10" s="94">
        <v>10</v>
      </c>
      <c r="N10" s="114" t="s">
        <v>164</v>
      </c>
      <c r="O10" s="124">
        <f>IF(P10=0,0,Q10/P10)</f>
        <v>-23.274999999999999</v>
      </c>
      <c r="P10" s="118">
        <v>4</v>
      </c>
      <c r="Q10" s="106">
        <v>-93.1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10</v>
      </c>
      <c r="C13" s="44">
        <f>IF(B$3=0,0,B13/B$3)</f>
        <v>0.17857142857142858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20</v>
      </c>
      <c r="C14" s="39">
        <f>IF(B$3=0,0,B14/B$3)</f>
        <v>0.35714285714285715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9</v>
      </c>
      <c r="N15" s="114" t="s">
        <v>200</v>
      </c>
      <c r="O15" s="124">
        <f>IF(P15=0,0,Q15/P15)</f>
        <v>-27.366666666666664</v>
      </c>
      <c r="P15" s="118">
        <v>3</v>
      </c>
      <c r="Q15" s="106">
        <v>-82.1</v>
      </c>
    </row>
    <row r="16" spans="1:17" x14ac:dyDescent="0.4">
      <c r="A16" s="54" t="s">
        <v>125</v>
      </c>
      <c r="B16" s="46">
        <v>5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7.1428571428571425E-2</v>
      </c>
      <c r="I16" s="94">
        <v>1</v>
      </c>
      <c r="N16" s="115" t="s">
        <v>177</v>
      </c>
      <c r="O16" s="125">
        <f>IF(P16=0,0,Q16/P16)</f>
        <v>-45.800000000000004</v>
      </c>
      <c r="P16" s="119">
        <v>2</v>
      </c>
      <c r="Q16" s="107">
        <v>-91.600000000000009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129</v>
      </c>
      <c r="O17" s="125">
        <f>IF(P17=0,0,Q17/P17)</f>
        <v>-52.959999999999994</v>
      </c>
      <c r="P17" s="119">
        <v>5</v>
      </c>
      <c r="Q17" s="107">
        <v>-264.79999999999995</v>
      </c>
    </row>
    <row r="18" spans="1:17" x14ac:dyDescent="0.4">
      <c r="A18" s="55" t="s">
        <v>12</v>
      </c>
      <c r="B18" s="47">
        <v>6</v>
      </c>
      <c r="C18" s="39">
        <f>IF(B$17=0,0,B18/B$17)</f>
        <v>0.42857142857142855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8</v>
      </c>
      <c r="C19" s="39">
        <f>IF(B$17=0,0,B19/B$17)</f>
        <v>0.5714285714285714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12</v>
      </c>
      <c r="C20" s="39">
        <f>IF(B$3=0,0,B20/B$3)</f>
        <v>0.21428571428571427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6614.2857142857147</v>
      </c>
      <c r="C23" s="41">
        <v>92600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 x14ac:dyDescent="0.4">
      <c r="A24" s="57" t="s">
        <v>14</v>
      </c>
      <c r="B24" s="52">
        <f>IF(B$20=0,0,C24/B$20)</f>
        <v>-6825</v>
      </c>
      <c r="C24" s="45">
        <v>-81900</v>
      </c>
      <c r="E24" s="63" t="s">
        <v>87</v>
      </c>
      <c r="F24" s="60" t="s">
        <v>42</v>
      </c>
      <c r="G24" s="47">
        <v>1</v>
      </c>
      <c r="H24" s="133">
        <f>IF(B$17=0,0,G24/B$17)</f>
        <v>7.1428571428571425E-2</v>
      </c>
      <c r="I24" s="94">
        <v>4</v>
      </c>
    </row>
    <row r="25" spans="1:17" x14ac:dyDescent="0.4">
      <c r="A25" s="90" t="s">
        <v>142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4">
        <v>52800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1</v>
      </c>
      <c r="C27" s="42">
        <f>IF(B$3=0,0,B27/B$3)</f>
        <v>1.7857142857142856E-2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7.1428571428571425E-2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3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8</v>
      </c>
    </row>
    <row r="51" spans="5:9" x14ac:dyDescent="0.4">
      <c r="E51" s="136" t="s">
        <v>245</v>
      </c>
      <c r="F51" s="137" t="s">
        <v>246</v>
      </c>
      <c r="G51" s="48">
        <v>9</v>
      </c>
      <c r="H51" s="138">
        <f>IF(B$17=0,0,G51/B$17)</f>
        <v>0.6428571428571429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0F33C-D428-4018-B0F8-79BF63CFFF1C}">
  <sheetPr codeName="Sheet33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10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1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3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8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  <row r="252" spans="1:17" x14ac:dyDescent="0.4">
      <c r="A252" s="69">
        <v>249</v>
      </c>
      <c r="B252" s="66">
        <v>7.1054273576010019E-15</v>
      </c>
      <c r="C252" s="66">
        <v>9.5119509472570302E-18</v>
      </c>
      <c r="D252" s="71">
        <v>2</v>
      </c>
      <c r="E252" s="67">
        <v>0.33333333333333331</v>
      </c>
      <c r="F252" s="67">
        <v>0.33333333333333331</v>
      </c>
      <c r="G252" s="67">
        <v>0.29904577066149118</v>
      </c>
      <c r="H252" s="67">
        <v>0.16658579977357271</v>
      </c>
      <c r="I252" s="68">
        <v>8777.7176852352623</v>
      </c>
      <c r="J252" s="68">
        <v>-8324.7572815533986</v>
      </c>
      <c r="K252" s="67">
        <v>0.12583668005354753</v>
      </c>
      <c r="L252" s="67">
        <v>0.12583668005354753</v>
      </c>
      <c r="M252" s="67">
        <v>0.27769691088468379</v>
      </c>
      <c r="N252" s="67">
        <v>0.21106259097525473</v>
      </c>
      <c r="O252" s="67">
        <v>0.57775189283634243</v>
      </c>
      <c r="P252" s="67">
        <v>0.39386973180076629</v>
      </c>
      <c r="Q252" s="67">
        <v>0.43482963764196864</v>
      </c>
    </row>
    <row r="253" spans="1:17" x14ac:dyDescent="0.4">
      <c r="A253" s="69">
        <v>250</v>
      </c>
      <c r="B253" s="66">
        <v>7.1054273576010019E-15</v>
      </c>
      <c r="C253" s="66">
        <v>9.4739031434680022E-18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0</v>
      </c>
      <c r="C254" s="66">
        <v>0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7.1054273576010019E-15</v>
      </c>
      <c r="C255" s="66">
        <v>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8.8817841970012523E-15</v>
      </c>
      <c r="C256" s="66">
        <v>1.1701955463769766E-17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1.2878587085651816E-14</v>
      </c>
      <c r="C257" s="66">
        <v>1.6901032920802908E-17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1.2878587085651816E-14</v>
      </c>
      <c r="C258" s="66">
        <v>1.683475436032917E-17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1.2434497875801753E-14</v>
      </c>
      <c r="C259" s="66">
        <v>1.6190752442450201E-17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1.4210854715202004E-14</v>
      </c>
      <c r="C260" s="66">
        <v>1.8431718177953311E-17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2.1316282072803006E-14</v>
      </c>
      <c r="C261" s="66">
        <v>2.7540416114732565E-17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2.1316282072803006E-14</v>
      </c>
      <c r="C262" s="66">
        <v>2.7434082461779931E-17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1.4210854715202004E-14</v>
      </c>
      <c r="C263" s="66">
        <v>1.8219044506669236E-17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2.1316282072803006E-14</v>
      </c>
      <c r="C264" s="66">
        <v>2.7223859607666672E-17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2.8421709430404007E-14</v>
      </c>
      <c r="C265" s="66">
        <v>3.6159935662091615E-17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2.8421709430404007E-14</v>
      </c>
      <c r="C266" s="66">
        <v>3.6022445412425863E-17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2.8421709430404007E-14</v>
      </c>
      <c r="C267" s="66">
        <v>3.5885996755560618E-17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2.8421709430404007E-14</v>
      </c>
      <c r="C268" s="66">
        <v>3.5750577899879253E-17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2.8421709430404007E-14</v>
      </c>
      <c r="C269" s="66">
        <v>3.5616177231082714E-17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2.8421709430404007E-14</v>
      </c>
      <c r="C270" s="66">
        <v>3.5482783308868924E-17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2.8421709430404007E-14</v>
      </c>
      <c r="C271" s="66">
        <v>3.5350384863686576E-17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2.8421709430404007E-14</v>
      </c>
      <c r="C272" s="66">
        <v>3.5218970793561348E-17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2.8421709430404007E-14</v>
      </c>
      <c r="C273" s="66">
        <v>3.5088530160992601E-17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2.9837243786801082E-14</v>
      </c>
      <c r="C274" s="66">
        <v>3.6700176859533928E-17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2.3092638912203256E-14</v>
      </c>
      <c r="C275" s="66">
        <v>2.829980258848438E-17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2.1316282072803006E-14</v>
      </c>
      <c r="C276" s="66">
        <v>2.6027206438098908E-17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2.1316282072803006E-14</v>
      </c>
      <c r="C277" s="66">
        <v>2.5932216633580298E-17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2.3092638912203256E-14</v>
      </c>
      <c r="C278" s="66">
        <v>2.7991077469337282E-17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2.1316282072803006E-14</v>
      </c>
      <c r="C279" s="66">
        <v>2.5744302020293485E-17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2.1316282072803006E-14</v>
      </c>
      <c r="C280" s="66">
        <v>2.5651362301808672E-17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2.3425705819590803E-14</v>
      </c>
      <c r="C281" s="66">
        <v>2.8088376282482975E-17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2.1316282072803006E-14</v>
      </c>
      <c r="C282" s="66">
        <v>2.5467481568462372E-17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2.1316282072803006E-14</v>
      </c>
      <c r="C283" s="66">
        <v>2.5376526277146434E-17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2.3092638912203256E-14</v>
      </c>
      <c r="C284" s="66">
        <v>2.7393403217322962E-17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2.4868995751603507E-14</v>
      </c>
      <c r="C285" s="66">
        <v>2.9395976065725184E-17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2.4868995751603507E-14</v>
      </c>
      <c r="C286" s="66">
        <v>2.9292103358779158E-17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2.8421709430404007E-14</v>
      </c>
      <c r="C287" s="66">
        <v>3.3358813885450714E-17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2.8421709430404007E-14</v>
      </c>
      <c r="C288" s="66">
        <v>3.3241765415677202E-17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585</vt:i4>
      </vt:variant>
    </vt:vector>
  </HeadingPairs>
  <TitlesOfParts>
    <vt:vector size="634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2019-07-13T17:11:43Z</dcterms:modified>
</cp:coreProperties>
</file>