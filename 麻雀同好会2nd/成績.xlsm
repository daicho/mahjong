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8_{A9E18151-0651-46F1-ABAC-F3F1738BFA3C}" xr6:coauthVersionLast="41" xr6:coauthVersionMax="41" xr10:uidLastSave="{00000000-0000-0000-0000-000000000000}"/>
  <bookViews>
    <workbookView xWindow="-108" yWindow="-108" windowWidth="23256" windowHeight="13176" tabRatio="663" firstSheet="4" activeTab="11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61" r:id="rId6"/>
    <sheet name="だいち" sheetId="5563" r:id="rId7"/>
    <sheet name="りくと" sheetId="5565" r:id="rId8"/>
    <sheet name="ただ" sheetId="5567" r:id="rId9"/>
    <sheet name="れんたろう" sheetId="5569" r:id="rId10"/>
    <sheet name="たかの" sheetId="5571" r:id="rId11"/>
    <sheet name="ぱぱ" sheetId="5573" r:id="rId12"/>
    <sheet name="まっつん" sheetId="5575" r:id="rId13"/>
    <sheet name="あさひ" sheetId="5577" r:id="rId14"/>
    <sheet name="いっしー" sheetId="5579" r:id="rId15"/>
    <sheet name="ほたに" sheetId="5581" r:id="rId16"/>
    <sheet name="かわたつ" sheetId="5583" r:id="rId17"/>
    <sheet name="やがさき" sheetId="5585" r:id="rId18"/>
    <sheet name="のり" sheetId="5587" r:id="rId19"/>
    <sheet name="のり2" sheetId="5588" state="hidden" r:id="rId20"/>
    <sheet name="やがさき2" sheetId="5586" state="hidden" r:id="rId21"/>
    <sheet name="かわたつ2" sheetId="5584" state="hidden" r:id="rId22"/>
    <sheet name="ほたに2" sheetId="5582" state="hidden" r:id="rId23"/>
    <sheet name="いっしー2" sheetId="5580" state="hidden" r:id="rId24"/>
    <sheet name="あさひ2" sheetId="5578" state="hidden" r:id="rId25"/>
    <sheet name="まっつん2" sheetId="5576" state="hidden" r:id="rId26"/>
    <sheet name="ぱぱ2" sheetId="5574" state="hidden" r:id="rId27"/>
    <sheet name="たかの2" sheetId="5572" state="hidden" r:id="rId28"/>
    <sheet name="れんたろう2" sheetId="5570" state="hidden" r:id="rId29"/>
    <sheet name="ただ2" sheetId="5568" state="hidden" r:id="rId30"/>
    <sheet name="りくと2" sheetId="5566" state="hidden" r:id="rId31"/>
    <sheet name="だいち2" sheetId="5564" state="hidden" r:id="rId32"/>
    <sheet name="全体2" sheetId="5562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2" i="5587" l="1"/>
  <c r="H51" i="5587"/>
  <c r="H50" i="5587"/>
  <c r="H49" i="5587"/>
  <c r="H48" i="5587"/>
  <c r="H47" i="5587"/>
  <c r="H46" i="5587"/>
  <c r="H45" i="5587"/>
  <c r="H44" i="5587"/>
  <c r="H43" i="5587"/>
  <c r="H42" i="5587"/>
  <c r="H41" i="5587"/>
  <c r="H40" i="5587"/>
  <c r="H39" i="5587"/>
  <c r="H38" i="5587"/>
  <c r="H37" i="5587"/>
  <c r="H36" i="5587"/>
  <c r="H35" i="5587"/>
  <c r="H34" i="5587"/>
  <c r="H33" i="5587"/>
  <c r="H32" i="5587"/>
  <c r="H31" i="5587"/>
  <c r="H30" i="5587"/>
  <c r="H29" i="5587"/>
  <c r="H28" i="5587"/>
  <c r="H27" i="5587"/>
  <c r="C27" i="5587"/>
  <c r="H26" i="5587"/>
  <c r="H25" i="5587"/>
  <c r="H24" i="5587"/>
  <c r="B24" i="5587"/>
  <c r="H23" i="5587"/>
  <c r="B23" i="5587"/>
  <c r="H22" i="5587"/>
  <c r="H21" i="5587"/>
  <c r="H20" i="5587"/>
  <c r="C20" i="5587"/>
  <c r="H19" i="5587"/>
  <c r="C19" i="5587"/>
  <c r="O18" i="5587"/>
  <c r="H18" i="5587"/>
  <c r="C18" i="5587"/>
  <c r="O17" i="5587"/>
  <c r="H17" i="5587"/>
  <c r="C17" i="5587"/>
  <c r="B17" i="5587"/>
  <c r="O16" i="5587"/>
  <c r="H16" i="5587"/>
  <c r="C16" i="5587"/>
  <c r="O15" i="5587"/>
  <c r="H15" i="5587"/>
  <c r="C15" i="5587"/>
  <c r="H14" i="5587"/>
  <c r="C14" i="5587"/>
  <c r="H13" i="5587"/>
  <c r="C13" i="5587"/>
  <c r="O12" i="5587"/>
  <c r="H12" i="5587"/>
  <c r="C12" i="5587"/>
  <c r="O11" i="5587"/>
  <c r="H11" i="5587"/>
  <c r="C11" i="5587"/>
  <c r="O10" i="5587"/>
  <c r="H10" i="5587"/>
  <c r="C10" i="5587"/>
  <c r="H9" i="5587"/>
  <c r="C9" i="5587"/>
  <c r="H8" i="5587"/>
  <c r="C8" i="5587"/>
  <c r="O7" i="5587"/>
  <c r="H7" i="5587"/>
  <c r="C7" i="5587"/>
  <c r="O6" i="5587"/>
  <c r="H6" i="5587"/>
  <c r="B6" i="5587"/>
  <c r="O5" i="5587"/>
  <c r="H5" i="5587"/>
  <c r="B5" i="5587"/>
  <c r="O4" i="5587"/>
  <c r="H4" i="5587"/>
  <c r="O3" i="5587"/>
  <c r="H3" i="5587"/>
  <c r="O2" i="5587"/>
  <c r="H2" i="5587"/>
  <c r="H52" i="5585"/>
  <c r="H51" i="5585"/>
  <c r="H50" i="5585"/>
  <c r="H49" i="5585"/>
  <c r="H48" i="5585"/>
  <c r="H47" i="5585"/>
  <c r="H46" i="5585"/>
  <c r="H45" i="5585"/>
  <c r="H44" i="5585"/>
  <c r="H43" i="5585"/>
  <c r="H42" i="5585"/>
  <c r="H41" i="5585"/>
  <c r="H40" i="5585"/>
  <c r="H39" i="5585"/>
  <c r="H38" i="5585"/>
  <c r="H37" i="5585"/>
  <c r="H36" i="5585"/>
  <c r="H35" i="5585"/>
  <c r="H34" i="5585"/>
  <c r="H33" i="5585"/>
  <c r="H32" i="5585"/>
  <c r="H31" i="5585"/>
  <c r="H30" i="5585"/>
  <c r="H29" i="5585"/>
  <c r="H28" i="5585"/>
  <c r="H27" i="5585"/>
  <c r="C27" i="5585"/>
  <c r="H26" i="5585"/>
  <c r="H25" i="5585"/>
  <c r="H24" i="5585"/>
  <c r="B24" i="5585"/>
  <c r="H23" i="5585"/>
  <c r="B23" i="5585"/>
  <c r="H22" i="5585"/>
  <c r="H21" i="5585"/>
  <c r="H20" i="5585"/>
  <c r="C20" i="5585"/>
  <c r="H19" i="5585"/>
  <c r="C19" i="5585"/>
  <c r="O18" i="5585"/>
  <c r="H18" i="5585"/>
  <c r="C18" i="5585"/>
  <c r="O17" i="5585"/>
  <c r="H17" i="5585"/>
  <c r="C17" i="5585"/>
  <c r="B17" i="5585"/>
  <c r="O16" i="5585"/>
  <c r="H16" i="5585"/>
  <c r="C16" i="5585"/>
  <c r="O15" i="5585"/>
  <c r="H15" i="5585"/>
  <c r="C15" i="5585"/>
  <c r="H14" i="5585"/>
  <c r="C14" i="5585"/>
  <c r="H13" i="5585"/>
  <c r="C13" i="5585"/>
  <c r="O12" i="5585"/>
  <c r="H12" i="5585"/>
  <c r="C12" i="5585"/>
  <c r="O11" i="5585"/>
  <c r="H11" i="5585"/>
  <c r="C11" i="5585"/>
  <c r="O10" i="5585"/>
  <c r="H10" i="5585"/>
  <c r="C10" i="5585"/>
  <c r="H9" i="5585"/>
  <c r="C9" i="5585"/>
  <c r="H8" i="5585"/>
  <c r="C8" i="5585"/>
  <c r="O7" i="5585"/>
  <c r="H7" i="5585"/>
  <c r="C7" i="5585"/>
  <c r="O6" i="5585"/>
  <c r="H6" i="5585"/>
  <c r="B6" i="5585"/>
  <c r="O5" i="5585"/>
  <c r="H5" i="5585"/>
  <c r="B5" i="5585"/>
  <c r="O4" i="5585"/>
  <c r="H4" i="5585"/>
  <c r="O3" i="5585"/>
  <c r="H3" i="5585"/>
  <c r="O2" i="5585"/>
  <c r="H2" i="5585"/>
  <c r="H52" i="5583"/>
  <c r="H51" i="5583"/>
  <c r="H50" i="5583"/>
  <c r="H49" i="5583"/>
  <c r="H48" i="5583"/>
  <c r="H47" i="5583"/>
  <c r="H46" i="5583"/>
  <c r="H45" i="5583"/>
  <c r="H44" i="5583"/>
  <c r="H43" i="5583"/>
  <c r="H42" i="5583"/>
  <c r="H41" i="5583"/>
  <c r="H40" i="5583"/>
  <c r="H39" i="5583"/>
  <c r="H38" i="5583"/>
  <c r="H37" i="5583"/>
  <c r="H36" i="5583"/>
  <c r="H35" i="5583"/>
  <c r="H34" i="5583"/>
  <c r="H33" i="5583"/>
  <c r="H32" i="5583"/>
  <c r="H31" i="5583"/>
  <c r="H30" i="5583"/>
  <c r="H29" i="5583"/>
  <c r="H28" i="5583"/>
  <c r="H27" i="5583"/>
  <c r="C27" i="5583"/>
  <c r="H26" i="5583"/>
  <c r="H25" i="5583"/>
  <c r="H24" i="5583"/>
  <c r="B24" i="5583"/>
  <c r="H23" i="5583"/>
  <c r="B23" i="5583"/>
  <c r="H22" i="5583"/>
  <c r="H21" i="5583"/>
  <c r="H20" i="5583"/>
  <c r="C20" i="5583"/>
  <c r="H19" i="5583"/>
  <c r="C19" i="5583"/>
  <c r="H18" i="5583"/>
  <c r="C18" i="5583"/>
  <c r="H17" i="5583"/>
  <c r="C17" i="5583"/>
  <c r="B17" i="5583"/>
  <c r="O16" i="5583"/>
  <c r="H16" i="5583"/>
  <c r="C16" i="5583"/>
  <c r="O15" i="5583"/>
  <c r="H15" i="5583"/>
  <c r="C15" i="5583"/>
  <c r="H14" i="5583"/>
  <c r="C14" i="5583"/>
  <c r="H13" i="5583"/>
  <c r="C13" i="5583"/>
  <c r="O12" i="5583"/>
  <c r="H12" i="5583"/>
  <c r="C12" i="5583"/>
  <c r="O11" i="5583"/>
  <c r="H11" i="5583"/>
  <c r="C11" i="5583"/>
  <c r="O10" i="5583"/>
  <c r="H10" i="5583"/>
  <c r="C10" i="5583"/>
  <c r="H9" i="5583"/>
  <c r="C9" i="5583"/>
  <c r="H8" i="5583"/>
  <c r="C8" i="5583"/>
  <c r="O7" i="5583"/>
  <c r="H7" i="5583"/>
  <c r="C7" i="5583"/>
  <c r="O6" i="5583"/>
  <c r="H6" i="5583"/>
  <c r="B6" i="5583"/>
  <c r="O5" i="5583"/>
  <c r="H5" i="5583"/>
  <c r="B5" i="5583"/>
  <c r="O4" i="5583"/>
  <c r="H4" i="5583"/>
  <c r="O3" i="5583"/>
  <c r="H3" i="5583"/>
  <c r="O2" i="5583"/>
  <c r="H2" i="5583"/>
  <c r="H52" i="5581"/>
  <c r="H51" i="5581"/>
  <c r="H50" i="5581"/>
  <c r="H49" i="5581"/>
  <c r="H48" i="5581"/>
  <c r="H47" i="5581"/>
  <c r="H46" i="5581"/>
  <c r="H45" i="5581"/>
  <c r="H44" i="5581"/>
  <c r="H43" i="5581"/>
  <c r="H42" i="5581"/>
  <c r="H41" i="5581"/>
  <c r="H40" i="5581"/>
  <c r="H39" i="5581"/>
  <c r="H38" i="5581"/>
  <c r="H37" i="5581"/>
  <c r="H36" i="5581"/>
  <c r="H35" i="5581"/>
  <c r="H34" i="5581"/>
  <c r="H33" i="5581"/>
  <c r="H32" i="5581"/>
  <c r="H31" i="5581"/>
  <c r="H30" i="5581"/>
  <c r="H29" i="5581"/>
  <c r="H28" i="5581"/>
  <c r="H27" i="5581"/>
  <c r="C27" i="5581"/>
  <c r="H26" i="5581"/>
  <c r="H25" i="5581"/>
  <c r="H24" i="5581"/>
  <c r="B24" i="5581"/>
  <c r="H23" i="5581"/>
  <c r="B23" i="5581"/>
  <c r="O22" i="5581"/>
  <c r="H22" i="5581"/>
  <c r="O21" i="5581"/>
  <c r="H21" i="5581"/>
  <c r="O20" i="5581"/>
  <c r="H20" i="5581"/>
  <c r="C20" i="5581"/>
  <c r="O19" i="5581"/>
  <c r="H19" i="5581"/>
  <c r="C19" i="5581"/>
  <c r="O18" i="5581"/>
  <c r="H18" i="5581"/>
  <c r="C18" i="5581"/>
  <c r="O17" i="5581"/>
  <c r="H17" i="5581"/>
  <c r="C17" i="5581"/>
  <c r="B17" i="5581"/>
  <c r="O16" i="5581"/>
  <c r="H16" i="5581"/>
  <c r="C16" i="5581"/>
  <c r="O15" i="5581"/>
  <c r="H15" i="5581"/>
  <c r="C15" i="5581"/>
  <c r="H14" i="5581"/>
  <c r="C14" i="5581"/>
  <c r="H13" i="5581"/>
  <c r="C13" i="5581"/>
  <c r="O12" i="5581"/>
  <c r="H12" i="5581"/>
  <c r="C12" i="5581"/>
  <c r="O11" i="5581"/>
  <c r="H11" i="5581"/>
  <c r="C11" i="5581"/>
  <c r="O10" i="5581"/>
  <c r="H10" i="5581"/>
  <c r="C10" i="5581"/>
  <c r="H9" i="5581"/>
  <c r="C9" i="5581"/>
  <c r="H8" i="5581"/>
  <c r="C8" i="5581"/>
  <c r="O7" i="5581"/>
  <c r="H7" i="5581"/>
  <c r="C7" i="5581"/>
  <c r="O6" i="5581"/>
  <c r="H6" i="5581"/>
  <c r="B6" i="5581"/>
  <c r="O5" i="5581"/>
  <c r="H5" i="5581"/>
  <c r="B5" i="5581"/>
  <c r="O4" i="5581"/>
  <c r="H4" i="5581"/>
  <c r="O3" i="5581"/>
  <c r="H3" i="5581"/>
  <c r="O2" i="5581"/>
  <c r="H2" i="5581"/>
  <c r="H52" i="5579"/>
  <c r="H51" i="5579"/>
  <c r="H50" i="5579"/>
  <c r="H49" i="5579"/>
  <c r="H48" i="5579"/>
  <c r="H47" i="5579"/>
  <c r="H46" i="5579"/>
  <c r="H45" i="5579"/>
  <c r="H44" i="5579"/>
  <c r="H43" i="5579"/>
  <c r="H42" i="5579"/>
  <c r="H41" i="5579"/>
  <c r="H40" i="5579"/>
  <c r="H39" i="5579"/>
  <c r="H38" i="5579"/>
  <c r="H37" i="5579"/>
  <c r="H36" i="5579"/>
  <c r="H35" i="5579"/>
  <c r="H34" i="5579"/>
  <c r="H33" i="5579"/>
  <c r="H32" i="5579"/>
  <c r="H31" i="5579"/>
  <c r="H30" i="5579"/>
  <c r="H29" i="5579"/>
  <c r="H28" i="5579"/>
  <c r="H27" i="5579"/>
  <c r="C27" i="5579"/>
  <c r="H26" i="5579"/>
  <c r="H25" i="5579"/>
  <c r="H24" i="5579"/>
  <c r="B24" i="5579"/>
  <c r="O23" i="5579"/>
  <c r="H23" i="5579"/>
  <c r="B23" i="5579"/>
  <c r="O22" i="5579"/>
  <c r="H22" i="5579"/>
  <c r="O21" i="5579"/>
  <c r="H21" i="5579"/>
  <c r="O20" i="5579"/>
  <c r="H20" i="5579"/>
  <c r="C20" i="5579"/>
  <c r="O19" i="5579"/>
  <c r="H19" i="5579"/>
  <c r="C19" i="5579"/>
  <c r="O18" i="5579"/>
  <c r="H18" i="5579"/>
  <c r="C18" i="5579"/>
  <c r="O17" i="5579"/>
  <c r="H17" i="5579"/>
  <c r="C17" i="5579"/>
  <c r="B17" i="5579"/>
  <c r="O16" i="5579"/>
  <c r="H16" i="5579"/>
  <c r="C16" i="5579"/>
  <c r="O15" i="5579"/>
  <c r="H15" i="5579"/>
  <c r="C15" i="5579"/>
  <c r="H14" i="5579"/>
  <c r="C14" i="5579"/>
  <c r="H13" i="5579"/>
  <c r="C13" i="5579"/>
  <c r="O12" i="5579"/>
  <c r="H12" i="5579"/>
  <c r="C12" i="5579"/>
  <c r="O11" i="5579"/>
  <c r="H11" i="5579"/>
  <c r="C11" i="5579"/>
  <c r="O10" i="5579"/>
  <c r="H10" i="5579"/>
  <c r="C10" i="5579"/>
  <c r="H9" i="5579"/>
  <c r="C9" i="5579"/>
  <c r="H8" i="5579"/>
  <c r="C8" i="5579"/>
  <c r="O7" i="5579"/>
  <c r="H7" i="5579"/>
  <c r="C7" i="5579"/>
  <c r="O6" i="5579"/>
  <c r="H6" i="5579"/>
  <c r="B6" i="5579"/>
  <c r="O5" i="5579"/>
  <c r="H5" i="5579"/>
  <c r="B5" i="5579"/>
  <c r="O4" i="5579"/>
  <c r="H4" i="5579"/>
  <c r="O3" i="5579"/>
  <c r="H3" i="5579"/>
  <c r="O2" i="5579"/>
  <c r="H2" i="5579"/>
  <c r="H52" i="5577"/>
  <c r="H51" i="5577"/>
  <c r="H50" i="5577"/>
  <c r="H49" i="5577"/>
  <c r="H48" i="5577"/>
  <c r="H47" i="5577"/>
  <c r="H46" i="5577"/>
  <c r="H45" i="5577"/>
  <c r="H44" i="5577"/>
  <c r="H43" i="5577"/>
  <c r="H42" i="5577"/>
  <c r="H41" i="5577"/>
  <c r="H40" i="5577"/>
  <c r="H39" i="5577"/>
  <c r="H38" i="5577"/>
  <c r="H37" i="5577"/>
  <c r="H36" i="5577"/>
  <c r="H35" i="5577"/>
  <c r="H34" i="5577"/>
  <c r="H33" i="5577"/>
  <c r="H32" i="5577"/>
  <c r="H31" i="5577"/>
  <c r="H30" i="5577"/>
  <c r="H29" i="5577"/>
  <c r="H28" i="5577"/>
  <c r="H27" i="5577"/>
  <c r="C27" i="5577"/>
  <c r="H26" i="5577"/>
  <c r="H25" i="5577"/>
  <c r="H24" i="5577"/>
  <c r="B24" i="5577"/>
  <c r="H23" i="5577"/>
  <c r="B23" i="5577"/>
  <c r="H22" i="5577"/>
  <c r="H21" i="5577"/>
  <c r="H20" i="5577"/>
  <c r="C20" i="5577"/>
  <c r="H19" i="5577"/>
  <c r="C19" i="5577"/>
  <c r="O18" i="5577"/>
  <c r="H18" i="5577"/>
  <c r="C18" i="5577"/>
  <c r="O17" i="5577"/>
  <c r="H17" i="5577"/>
  <c r="C17" i="5577"/>
  <c r="B17" i="5577"/>
  <c r="O16" i="5577"/>
  <c r="H16" i="5577"/>
  <c r="C16" i="5577"/>
  <c r="O15" i="5577"/>
  <c r="H15" i="5577"/>
  <c r="C15" i="5577"/>
  <c r="H14" i="5577"/>
  <c r="C14" i="5577"/>
  <c r="H13" i="5577"/>
  <c r="C13" i="5577"/>
  <c r="O12" i="5577"/>
  <c r="H12" i="5577"/>
  <c r="C12" i="5577"/>
  <c r="O11" i="5577"/>
  <c r="H11" i="5577"/>
  <c r="C11" i="5577"/>
  <c r="O10" i="5577"/>
  <c r="H10" i="5577"/>
  <c r="C10" i="5577"/>
  <c r="H9" i="5577"/>
  <c r="C9" i="5577"/>
  <c r="H8" i="5577"/>
  <c r="C8" i="5577"/>
  <c r="O7" i="5577"/>
  <c r="H7" i="5577"/>
  <c r="C7" i="5577"/>
  <c r="O6" i="5577"/>
  <c r="H6" i="5577"/>
  <c r="B6" i="5577"/>
  <c r="O5" i="5577"/>
  <c r="H5" i="5577"/>
  <c r="B5" i="5577"/>
  <c r="O4" i="5577"/>
  <c r="H4" i="5577"/>
  <c r="O3" i="5577"/>
  <c r="H3" i="5577"/>
  <c r="O2" i="5577"/>
  <c r="H2" i="5577"/>
  <c r="H52" i="5575"/>
  <c r="H51" i="5575"/>
  <c r="H50" i="5575"/>
  <c r="H49" i="5575"/>
  <c r="H48" i="5575"/>
  <c r="H47" i="5575"/>
  <c r="H46" i="5575"/>
  <c r="H45" i="5575"/>
  <c r="H44" i="5575"/>
  <c r="H43" i="5575"/>
  <c r="H42" i="5575"/>
  <c r="H41" i="5575"/>
  <c r="H40" i="5575"/>
  <c r="H39" i="5575"/>
  <c r="H38" i="5575"/>
  <c r="H37" i="5575"/>
  <c r="H36" i="5575"/>
  <c r="H35" i="5575"/>
  <c r="H34" i="5575"/>
  <c r="H33" i="5575"/>
  <c r="H32" i="5575"/>
  <c r="H31" i="5575"/>
  <c r="H30" i="5575"/>
  <c r="H29" i="5575"/>
  <c r="H28" i="5575"/>
  <c r="H27" i="5575"/>
  <c r="C27" i="5575"/>
  <c r="H26" i="5575"/>
  <c r="H25" i="5575"/>
  <c r="O24" i="5575"/>
  <c r="H24" i="5575"/>
  <c r="B24" i="5575"/>
  <c r="O23" i="5575"/>
  <c r="H23" i="5575"/>
  <c r="B23" i="5575"/>
  <c r="O22" i="5575"/>
  <c r="H22" i="5575"/>
  <c r="O21" i="5575"/>
  <c r="H21" i="5575"/>
  <c r="O20" i="5575"/>
  <c r="H20" i="5575"/>
  <c r="C20" i="5575"/>
  <c r="O19" i="5575"/>
  <c r="H19" i="5575"/>
  <c r="C19" i="5575"/>
  <c r="O18" i="5575"/>
  <c r="H18" i="5575"/>
  <c r="C18" i="5575"/>
  <c r="O17" i="5575"/>
  <c r="H17" i="5575"/>
  <c r="C17" i="5575"/>
  <c r="B17" i="5575"/>
  <c r="O16" i="5575"/>
  <c r="H16" i="5575"/>
  <c r="C16" i="5575"/>
  <c r="O15" i="5575"/>
  <c r="H15" i="5575"/>
  <c r="C15" i="5575"/>
  <c r="H14" i="5575"/>
  <c r="C14" i="5575"/>
  <c r="H13" i="5575"/>
  <c r="C13" i="5575"/>
  <c r="O12" i="5575"/>
  <c r="H12" i="5575"/>
  <c r="C12" i="5575"/>
  <c r="O11" i="5575"/>
  <c r="H11" i="5575"/>
  <c r="C11" i="5575"/>
  <c r="O10" i="5575"/>
  <c r="H10" i="5575"/>
  <c r="C10" i="5575"/>
  <c r="H9" i="5575"/>
  <c r="C9" i="5575"/>
  <c r="H8" i="5575"/>
  <c r="C8" i="5575"/>
  <c r="O7" i="5575"/>
  <c r="H7" i="5575"/>
  <c r="C7" i="5575"/>
  <c r="O6" i="5575"/>
  <c r="H6" i="5575"/>
  <c r="B6" i="5575"/>
  <c r="O5" i="5575"/>
  <c r="H5" i="5575"/>
  <c r="B5" i="5575"/>
  <c r="O4" i="5575"/>
  <c r="H4" i="5575"/>
  <c r="O3" i="5575"/>
  <c r="H3" i="5575"/>
  <c r="O2" i="5575"/>
  <c r="H2" i="5575"/>
  <c r="H52" i="5573"/>
  <c r="H51" i="5573"/>
  <c r="H50" i="5573"/>
  <c r="H49" i="5573"/>
  <c r="H48" i="5573"/>
  <c r="H47" i="5573"/>
  <c r="H46" i="5573"/>
  <c r="H45" i="5573"/>
  <c r="H44" i="5573"/>
  <c r="H43" i="5573"/>
  <c r="H42" i="5573"/>
  <c r="H41" i="5573"/>
  <c r="H40" i="5573"/>
  <c r="H39" i="5573"/>
  <c r="H38" i="5573"/>
  <c r="H37" i="5573"/>
  <c r="H36" i="5573"/>
  <c r="H35" i="5573"/>
  <c r="H34" i="5573"/>
  <c r="H33" i="5573"/>
  <c r="H32" i="5573"/>
  <c r="H31" i="5573"/>
  <c r="H30" i="5573"/>
  <c r="H29" i="5573"/>
  <c r="H28" i="5573"/>
  <c r="H27" i="5573"/>
  <c r="C27" i="5573"/>
  <c r="H26" i="5573"/>
  <c r="H25" i="5573"/>
  <c r="O24" i="5573"/>
  <c r="H24" i="5573"/>
  <c r="B24" i="5573"/>
  <c r="O23" i="5573"/>
  <c r="H23" i="5573"/>
  <c r="B23" i="5573"/>
  <c r="O22" i="5573"/>
  <c r="H22" i="5573"/>
  <c r="O21" i="5573"/>
  <c r="H21" i="5573"/>
  <c r="O20" i="5573"/>
  <c r="H20" i="5573"/>
  <c r="C20" i="5573"/>
  <c r="O19" i="5573"/>
  <c r="H19" i="5573"/>
  <c r="C19" i="5573"/>
  <c r="O18" i="5573"/>
  <c r="H18" i="5573"/>
  <c r="C18" i="5573"/>
  <c r="O17" i="5573"/>
  <c r="H17" i="5573"/>
  <c r="C17" i="5573"/>
  <c r="B17" i="5573"/>
  <c r="O16" i="5573"/>
  <c r="H16" i="5573"/>
  <c r="C16" i="5573"/>
  <c r="O15" i="5573"/>
  <c r="H15" i="5573"/>
  <c r="C15" i="5573"/>
  <c r="H14" i="5573"/>
  <c r="C14" i="5573"/>
  <c r="H13" i="5573"/>
  <c r="C13" i="5573"/>
  <c r="O12" i="5573"/>
  <c r="H12" i="5573"/>
  <c r="C12" i="5573"/>
  <c r="O11" i="5573"/>
  <c r="H11" i="5573"/>
  <c r="C11" i="5573"/>
  <c r="O10" i="5573"/>
  <c r="H10" i="5573"/>
  <c r="C10" i="5573"/>
  <c r="H9" i="5573"/>
  <c r="C9" i="5573"/>
  <c r="H8" i="5573"/>
  <c r="C8" i="5573"/>
  <c r="O7" i="5573"/>
  <c r="H7" i="5573"/>
  <c r="C7" i="5573"/>
  <c r="O6" i="5573"/>
  <c r="H6" i="5573"/>
  <c r="B6" i="5573"/>
  <c r="O5" i="5573"/>
  <c r="H5" i="5573"/>
  <c r="B5" i="5573"/>
  <c r="O4" i="5573"/>
  <c r="H4" i="5573"/>
  <c r="O3" i="5573"/>
  <c r="H3" i="5573"/>
  <c r="O2" i="5573"/>
  <c r="H2" i="5573"/>
  <c r="H52" i="5571"/>
  <c r="H51" i="5571"/>
  <c r="H50" i="5571"/>
  <c r="H49" i="5571"/>
  <c r="H48" i="5571"/>
  <c r="H47" i="5571"/>
  <c r="H46" i="5571"/>
  <c r="H45" i="5571"/>
  <c r="H44" i="5571"/>
  <c r="H43" i="5571"/>
  <c r="H42" i="5571"/>
  <c r="H41" i="5571"/>
  <c r="H40" i="5571"/>
  <c r="H39" i="5571"/>
  <c r="H38" i="5571"/>
  <c r="H37" i="5571"/>
  <c r="H36" i="5571"/>
  <c r="H35" i="5571"/>
  <c r="H34" i="5571"/>
  <c r="H33" i="5571"/>
  <c r="H32" i="5571"/>
  <c r="H31" i="5571"/>
  <c r="H30" i="5571"/>
  <c r="H29" i="5571"/>
  <c r="H28" i="5571"/>
  <c r="H27" i="5571"/>
  <c r="C27" i="5571"/>
  <c r="H26" i="5571"/>
  <c r="H25" i="5571"/>
  <c r="H24" i="5571"/>
  <c r="B24" i="5571"/>
  <c r="O23" i="5571"/>
  <c r="H23" i="5571"/>
  <c r="B23" i="5571"/>
  <c r="O22" i="5571"/>
  <c r="H22" i="5571"/>
  <c r="O21" i="5571"/>
  <c r="H21" i="5571"/>
  <c r="O20" i="5571"/>
  <c r="H20" i="5571"/>
  <c r="C20" i="5571"/>
  <c r="O19" i="5571"/>
  <c r="H19" i="5571"/>
  <c r="C19" i="5571"/>
  <c r="O18" i="5571"/>
  <c r="H18" i="5571"/>
  <c r="C18" i="5571"/>
  <c r="O17" i="5571"/>
  <c r="H17" i="5571"/>
  <c r="C17" i="5571"/>
  <c r="B17" i="5571"/>
  <c r="O16" i="5571"/>
  <c r="H16" i="5571"/>
  <c r="C16" i="5571"/>
  <c r="O15" i="5571"/>
  <c r="H15" i="5571"/>
  <c r="C15" i="5571"/>
  <c r="H14" i="5571"/>
  <c r="C14" i="5571"/>
  <c r="H13" i="5571"/>
  <c r="C13" i="5571"/>
  <c r="O12" i="5571"/>
  <c r="H12" i="5571"/>
  <c r="C12" i="5571"/>
  <c r="O11" i="5571"/>
  <c r="H11" i="5571"/>
  <c r="C11" i="5571"/>
  <c r="O10" i="5571"/>
  <c r="H10" i="5571"/>
  <c r="C10" i="5571"/>
  <c r="H9" i="5571"/>
  <c r="C9" i="5571"/>
  <c r="H8" i="5571"/>
  <c r="C8" i="5571"/>
  <c r="O7" i="5571"/>
  <c r="H7" i="5571"/>
  <c r="C7" i="5571"/>
  <c r="O6" i="5571"/>
  <c r="H6" i="5571"/>
  <c r="B6" i="5571"/>
  <c r="O5" i="5571"/>
  <c r="H5" i="5571"/>
  <c r="B5" i="5571"/>
  <c r="O4" i="5571"/>
  <c r="H4" i="5571"/>
  <c r="O3" i="5571"/>
  <c r="H3" i="5571"/>
  <c r="O2" i="5571"/>
  <c r="H2" i="5571"/>
  <c r="H52" i="5569"/>
  <c r="H51" i="5569"/>
  <c r="H50" i="5569"/>
  <c r="H49" i="5569"/>
  <c r="H48" i="5569"/>
  <c r="H47" i="5569"/>
  <c r="H46" i="5569"/>
  <c r="H45" i="5569"/>
  <c r="H44" i="5569"/>
  <c r="H43" i="5569"/>
  <c r="H42" i="5569"/>
  <c r="H41" i="5569"/>
  <c r="H40" i="5569"/>
  <c r="H39" i="5569"/>
  <c r="H38" i="5569"/>
  <c r="H37" i="5569"/>
  <c r="H36" i="5569"/>
  <c r="H35" i="5569"/>
  <c r="H34" i="5569"/>
  <c r="H33" i="5569"/>
  <c r="H32" i="5569"/>
  <c r="H31" i="5569"/>
  <c r="H30" i="5569"/>
  <c r="H29" i="5569"/>
  <c r="H28" i="5569"/>
  <c r="H27" i="5569"/>
  <c r="C27" i="5569"/>
  <c r="H26" i="5569"/>
  <c r="H25" i="5569"/>
  <c r="H24" i="5569"/>
  <c r="B24" i="5569"/>
  <c r="O23" i="5569"/>
  <c r="H23" i="5569"/>
  <c r="B23" i="5569"/>
  <c r="O22" i="5569"/>
  <c r="H22" i="5569"/>
  <c r="O21" i="5569"/>
  <c r="H21" i="5569"/>
  <c r="O20" i="5569"/>
  <c r="H20" i="5569"/>
  <c r="C20" i="5569"/>
  <c r="O19" i="5569"/>
  <c r="H19" i="5569"/>
  <c r="C19" i="5569"/>
  <c r="O18" i="5569"/>
  <c r="H18" i="5569"/>
  <c r="C18" i="5569"/>
  <c r="O17" i="5569"/>
  <c r="H17" i="5569"/>
  <c r="C17" i="5569"/>
  <c r="B17" i="5569"/>
  <c r="O16" i="5569"/>
  <c r="H16" i="5569"/>
  <c r="C16" i="5569"/>
  <c r="O15" i="5569"/>
  <c r="H15" i="5569"/>
  <c r="C15" i="5569"/>
  <c r="H14" i="5569"/>
  <c r="C14" i="5569"/>
  <c r="H13" i="5569"/>
  <c r="C13" i="5569"/>
  <c r="O12" i="5569"/>
  <c r="H12" i="5569"/>
  <c r="C12" i="5569"/>
  <c r="O11" i="5569"/>
  <c r="H11" i="5569"/>
  <c r="C11" i="5569"/>
  <c r="O10" i="5569"/>
  <c r="H10" i="5569"/>
  <c r="C10" i="5569"/>
  <c r="H9" i="5569"/>
  <c r="C9" i="5569"/>
  <c r="H8" i="5569"/>
  <c r="C8" i="5569"/>
  <c r="O7" i="5569"/>
  <c r="H7" i="5569"/>
  <c r="C7" i="5569"/>
  <c r="O6" i="5569"/>
  <c r="H6" i="5569"/>
  <c r="B6" i="5569"/>
  <c r="O5" i="5569"/>
  <c r="H5" i="5569"/>
  <c r="B5" i="5569"/>
  <c r="O4" i="5569"/>
  <c r="H4" i="5569"/>
  <c r="O3" i="5569"/>
  <c r="H3" i="5569"/>
  <c r="O2" i="5569"/>
  <c r="H2" i="5569"/>
  <c r="H52" i="5567"/>
  <c r="H51" i="5567"/>
  <c r="H50" i="5567"/>
  <c r="H49" i="5567"/>
  <c r="H48" i="5567"/>
  <c r="H47" i="5567"/>
  <c r="H46" i="5567"/>
  <c r="H45" i="5567"/>
  <c r="H44" i="5567"/>
  <c r="H43" i="5567"/>
  <c r="H42" i="5567"/>
  <c r="H41" i="5567"/>
  <c r="H40" i="5567"/>
  <c r="H39" i="5567"/>
  <c r="H38" i="5567"/>
  <c r="H37" i="5567"/>
  <c r="H36" i="5567"/>
  <c r="H35" i="5567"/>
  <c r="H34" i="5567"/>
  <c r="H33" i="5567"/>
  <c r="H32" i="5567"/>
  <c r="H31" i="5567"/>
  <c r="H30" i="5567"/>
  <c r="H29" i="5567"/>
  <c r="H28" i="5567"/>
  <c r="H27" i="5567"/>
  <c r="C27" i="5567"/>
  <c r="H26" i="5567"/>
  <c r="H25" i="5567"/>
  <c r="O24" i="5567"/>
  <c r="H24" i="5567"/>
  <c r="B24" i="5567"/>
  <c r="O23" i="5567"/>
  <c r="H23" i="5567"/>
  <c r="B23" i="5567"/>
  <c r="O22" i="5567"/>
  <c r="H22" i="5567"/>
  <c r="O21" i="5567"/>
  <c r="H21" i="5567"/>
  <c r="O20" i="5567"/>
  <c r="H20" i="5567"/>
  <c r="C20" i="5567"/>
  <c r="O19" i="5567"/>
  <c r="H19" i="5567"/>
  <c r="C19" i="5567"/>
  <c r="O18" i="5567"/>
  <c r="H18" i="5567"/>
  <c r="C18" i="5567"/>
  <c r="O17" i="5567"/>
  <c r="H17" i="5567"/>
  <c r="C17" i="5567"/>
  <c r="B17" i="5567"/>
  <c r="O16" i="5567"/>
  <c r="H16" i="5567"/>
  <c r="C16" i="5567"/>
  <c r="O15" i="5567"/>
  <c r="H15" i="5567"/>
  <c r="C15" i="5567"/>
  <c r="H14" i="5567"/>
  <c r="C14" i="5567"/>
  <c r="H13" i="5567"/>
  <c r="C13" i="5567"/>
  <c r="O12" i="5567"/>
  <c r="H12" i="5567"/>
  <c r="C12" i="5567"/>
  <c r="O11" i="5567"/>
  <c r="H11" i="5567"/>
  <c r="C11" i="5567"/>
  <c r="O10" i="5567"/>
  <c r="H10" i="5567"/>
  <c r="C10" i="5567"/>
  <c r="H9" i="5567"/>
  <c r="C9" i="5567"/>
  <c r="H8" i="5567"/>
  <c r="C8" i="5567"/>
  <c r="O7" i="5567"/>
  <c r="H7" i="5567"/>
  <c r="C7" i="5567"/>
  <c r="O6" i="5567"/>
  <c r="H6" i="5567"/>
  <c r="B6" i="5567"/>
  <c r="O5" i="5567"/>
  <c r="H5" i="5567"/>
  <c r="B5" i="5567"/>
  <c r="O4" i="5567"/>
  <c r="H4" i="5567"/>
  <c r="O3" i="5567"/>
  <c r="H3" i="5567"/>
  <c r="O2" i="5567"/>
  <c r="H2" i="5567"/>
  <c r="H52" i="5565"/>
  <c r="H51" i="5565"/>
  <c r="H50" i="5565"/>
  <c r="H49" i="5565"/>
  <c r="H48" i="5565"/>
  <c r="H47" i="5565"/>
  <c r="H46" i="5565"/>
  <c r="H45" i="5565"/>
  <c r="H44" i="5565"/>
  <c r="H43" i="5565"/>
  <c r="H42" i="5565"/>
  <c r="H41" i="5565"/>
  <c r="H40" i="5565"/>
  <c r="H39" i="5565"/>
  <c r="H38" i="5565"/>
  <c r="H37" i="5565"/>
  <c r="H36" i="5565"/>
  <c r="H35" i="5565"/>
  <c r="H34" i="5565"/>
  <c r="H33" i="5565"/>
  <c r="H32" i="5565"/>
  <c r="H31" i="5565"/>
  <c r="H30" i="5565"/>
  <c r="H29" i="5565"/>
  <c r="H28" i="5565"/>
  <c r="H27" i="5565"/>
  <c r="C27" i="5565"/>
  <c r="H26" i="5565"/>
  <c r="H25" i="5565"/>
  <c r="H24" i="5565"/>
  <c r="B24" i="5565"/>
  <c r="H23" i="5565"/>
  <c r="B23" i="5565"/>
  <c r="O22" i="5565"/>
  <c r="H22" i="5565"/>
  <c r="O21" i="5565"/>
  <c r="H21" i="5565"/>
  <c r="O20" i="5565"/>
  <c r="H20" i="5565"/>
  <c r="C20" i="5565"/>
  <c r="O19" i="5565"/>
  <c r="H19" i="5565"/>
  <c r="C19" i="5565"/>
  <c r="O18" i="5565"/>
  <c r="H18" i="5565"/>
  <c r="C18" i="5565"/>
  <c r="O17" i="5565"/>
  <c r="H17" i="5565"/>
  <c r="C17" i="5565"/>
  <c r="B17" i="5565"/>
  <c r="O16" i="5565"/>
  <c r="H16" i="5565"/>
  <c r="C16" i="5565"/>
  <c r="O15" i="5565"/>
  <c r="H15" i="5565"/>
  <c r="C15" i="5565"/>
  <c r="H14" i="5565"/>
  <c r="C14" i="5565"/>
  <c r="H13" i="5565"/>
  <c r="C13" i="5565"/>
  <c r="O12" i="5565"/>
  <c r="H12" i="5565"/>
  <c r="C12" i="5565"/>
  <c r="O11" i="5565"/>
  <c r="H11" i="5565"/>
  <c r="C11" i="5565"/>
  <c r="O10" i="5565"/>
  <c r="H10" i="5565"/>
  <c r="C10" i="5565"/>
  <c r="H9" i="5565"/>
  <c r="C9" i="5565"/>
  <c r="H8" i="5565"/>
  <c r="C8" i="5565"/>
  <c r="O7" i="5565"/>
  <c r="H7" i="5565"/>
  <c r="C7" i="5565"/>
  <c r="O6" i="5565"/>
  <c r="H6" i="5565"/>
  <c r="B6" i="5565"/>
  <c r="O5" i="5565"/>
  <c r="H5" i="5565"/>
  <c r="B5" i="5565"/>
  <c r="O4" i="5565"/>
  <c r="H4" i="5565"/>
  <c r="O3" i="5565"/>
  <c r="H3" i="5565"/>
  <c r="O2" i="5565"/>
  <c r="H2" i="5565"/>
  <c r="H52" i="5563"/>
  <c r="H51" i="5563"/>
  <c r="H50" i="5563"/>
  <c r="H49" i="5563"/>
  <c r="H48" i="5563"/>
  <c r="H47" i="5563"/>
  <c r="H46" i="5563"/>
  <c r="H45" i="5563"/>
  <c r="H44" i="5563"/>
  <c r="H43" i="5563"/>
  <c r="H42" i="5563"/>
  <c r="H41" i="5563"/>
  <c r="H40" i="5563"/>
  <c r="H39" i="5563"/>
  <c r="H38" i="5563"/>
  <c r="H37" i="5563"/>
  <c r="H36" i="5563"/>
  <c r="H35" i="5563"/>
  <c r="H34" i="5563"/>
  <c r="H33" i="5563"/>
  <c r="H32" i="5563"/>
  <c r="H31" i="5563"/>
  <c r="H30" i="5563"/>
  <c r="H29" i="5563"/>
  <c r="H28" i="5563"/>
  <c r="H27" i="5563"/>
  <c r="C27" i="5563"/>
  <c r="H26" i="5563"/>
  <c r="O25" i="5563"/>
  <c r="H25" i="5563"/>
  <c r="O24" i="5563"/>
  <c r="H24" i="5563"/>
  <c r="B24" i="5563"/>
  <c r="O23" i="5563"/>
  <c r="H23" i="5563"/>
  <c r="B23" i="5563"/>
  <c r="O22" i="5563"/>
  <c r="H22" i="5563"/>
  <c r="O21" i="5563"/>
  <c r="H21" i="5563"/>
  <c r="O20" i="5563"/>
  <c r="H20" i="5563"/>
  <c r="C20" i="5563"/>
  <c r="O19" i="5563"/>
  <c r="H19" i="5563"/>
  <c r="C19" i="5563"/>
  <c r="O18" i="5563"/>
  <c r="H18" i="5563"/>
  <c r="C18" i="5563"/>
  <c r="O17" i="5563"/>
  <c r="H17" i="5563"/>
  <c r="C17" i="5563"/>
  <c r="B17" i="5563"/>
  <c r="O16" i="5563"/>
  <c r="H16" i="5563"/>
  <c r="C16" i="5563"/>
  <c r="O15" i="5563"/>
  <c r="H15" i="5563"/>
  <c r="C15" i="5563"/>
  <c r="H14" i="5563"/>
  <c r="C14" i="5563"/>
  <c r="H13" i="5563"/>
  <c r="C13" i="5563"/>
  <c r="O12" i="5563"/>
  <c r="H12" i="5563"/>
  <c r="C12" i="5563"/>
  <c r="O11" i="5563"/>
  <c r="H11" i="5563"/>
  <c r="C11" i="5563"/>
  <c r="O10" i="5563"/>
  <c r="H10" i="5563"/>
  <c r="C10" i="5563"/>
  <c r="H9" i="5563"/>
  <c r="C9" i="5563"/>
  <c r="H8" i="5563"/>
  <c r="C8" i="5563"/>
  <c r="O7" i="5563"/>
  <c r="H7" i="5563"/>
  <c r="C7" i="5563"/>
  <c r="O6" i="5563"/>
  <c r="H6" i="5563"/>
  <c r="B6" i="5563"/>
  <c r="O5" i="5563"/>
  <c r="H5" i="5563"/>
  <c r="B5" i="5563"/>
  <c r="O4" i="5563"/>
  <c r="H4" i="5563"/>
  <c r="O3" i="5563"/>
  <c r="H3" i="5563"/>
  <c r="O2" i="5563"/>
  <c r="H2" i="5563"/>
  <c r="H52" i="5561"/>
  <c r="H51" i="5561"/>
  <c r="H50" i="5561"/>
  <c r="H49" i="5561"/>
  <c r="H48" i="5561"/>
  <c r="H47" i="5561"/>
  <c r="H46" i="5561"/>
  <c r="H45" i="5561"/>
  <c r="H44" i="5561"/>
  <c r="H43" i="5561"/>
  <c r="H42" i="5561"/>
  <c r="H41" i="5561"/>
  <c r="H40" i="5561"/>
  <c r="H39" i="5561"/>
  <c r="H38" i="5561"/>
  <c r="H37" i="5561"/>
  <c r="H36" i="5561"/>
  <c r="H35" i="5561"/>
  <c r="H34" i="5561"/>
  <c r="H33" i="5561"/>
  <c r="H32" i="5561"/>
  <c r="H31" i="5561"/>
  <c r="H30" i="5561"/>
  <c r="H29" i="5561"/>
  <c r="H28" i="5561"/>
  <c r="O27" i="5561"/>
  <c r="H27" i="5561"/>
  <c r="C27" i="5561"/>
  <c r="O26" i="5561"/>
  <c r="H26" i="5561"/>
  <c r="O25" i="5561"/>
  <c r="H25" i="5561"/>
  <c r="O24" i="5561"/>
  <c r="H24" i="5561"/>
  <c r="B24" i="5561"/>
  <c r="O23" i="5561"/>
  <c r="H23" i="5561"/>
  <c r="B23" i="5561"/>
  <c r="O22" i="5561"/>
  <c r="H22" i="5561"/>
  <c r="O21" i="5561"/>
  <c r="H21" i="5561"/>
  <c r="O20" i="5561"/>
  <c r="H20" i="5561"/>
  <c r="C20" i="5561"/>
  <c r="O19" i="5561"/>
  <c r="H19" i="5561"/>
  <c r="C19" i="5561"/>
  <c r="O18" i="5561"/>
  <c r="H18" i="5561"/>
  <c r="C18" i="5561"/>
  <c r="O17" i="5561"/>
  <c r="H17" i="5561"/>
  <c r="C17" i="5561"/>
  <c r="B17" i="5561"/>
  <c r="O16" i="5561"/>
  <c r="H16" i="5561"/>
  <c r="C16" i="5561"/>
  <c r="O15" i="5561"/>
  <c r="H15" i="5561"/>
  <c r="C15" i="5561"/>
  <c r="H14" i="5561"/>
  <c r="C14" i="5561"/>
  <c r="H13" i="5561"/>
  <c r="C13" i="5561"/>
  <c r="O12" i="5561"/>
  <c r="H12" i="5561"/>
  <c r="C12" i="5561"/>
  <c r="O11" i="5561"/>
  <c r="H11" i="5561"/>
  <c r="C11" i="5561"/>
  <c r="O10" i="5561"/>
  <c r="H10" i="5561"/>
  <c r="C10" i="5561"/>
  <c r="H9" i="5561"/>
  <c r="C9" i="5561"/>
  <c r="H8" i="5561"/>
  <c r="C8" i="5561"/>
  <c r="O7" i="5561"/>
  <c r="H7" i="5561"/>
  <c r="C7" i="5561"/>
  <c r="O6" i="5561"/>
  <c r="H6" i="5561"/>
  <c r="B6" i="5561"/>
  <c r="O5" i="5561"/>
  <c r="H5" i="5561"/>
  <c r="B5" i="5561"/>
  <c r="O4" i="5561"/>
  <c r="H4" i="5561"/>
  <c r="O3" i="5561"/>
  <c r="H3" i="5561"/>
  <c r="O2" i="5561"/>
  <c r="H2" i="5561"/>
  <c r="H52" i="2228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<sst xmlns="http://schemas.openxmlformats.org/spreadsheetml/2006/main" count="3661" uniqueCount="294">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</sst>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全体!$K$2:$K$965</c:f>
              <c:numCache>
                <c:formatCode>General</c:formatCode>
                <c:ptCount val="9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</c:numCache>
            </c:numRef>
          </c:xVal>
          <c:yVal>
            <c:numRef>
              <c:f>全体!$L$2:$L$965</c:f>
              <c:numCache>
                <c:formatCode>\+0.0;\-0.0;\±0</c:formatCode>
                <c:ptCount val="964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EE-42BD-9597-4E2FE238F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-17.708333333333332</c:v>
                </c:pt>
                <c:pt idx="1">
                  <c:v>-7.4547390841320551</c:v>
                </c:pt>
                <c:pt idx="2">
                  <c:v>14.789533560864619</c:v>
                </c:pt>
                <c:pt idx="3">
                  <c:v>4.9566294919454768</c:v>
                </c:pt>
                <c:pt idx="4">
                  <c:v>-12.448132780082988</c:v>
                </c:pt>
                <c:pt idx="5">
                  <c:v>25.396825396825395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9E-43A0-ADA8-F7CF4886F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だいち!$K$2:$K$209</c:f>
              <c:numCache>
                <c:formatCode>General</c:formatCode>
                <c:ptCount val="2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</c:numCache>
            </c:numRef>
          </c:xVal>
          <c:yVal>
            <c:numRef>
              <c:f>だいち!$L$2:$L$209</c:f>
              <c:numCache>
                <c:formatCode>\+0.0;\-0.0;\±0</c:formatCode>
                <c:ptCount val="208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75-4A76-B3C3-9B18D84B8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1267.9611650485438</c:v>
                </c:pt>
                <c:pt idx="1">
                  <c:v>1934.3283582089553</c:v>
                </c:pt>
                <c:pt idx="2">
                  <c:v>991.66666666666663</c:v>
                </c:pt>
                <c:pt idx="3">
                  <c:v>2489.2045454545455</c:v>
                </c:pt>
                <c:pt idx="4">
                  <c:v>1351.2820512820513</c:v>
                </c:pt>
                <c:pt idx="5">
                  <c:v>1292.4812030075188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417-BDD0-2128E4748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りくと!$K$2:$K$164</c:f>
              <c:numCache>
                <c:formatCode>General</c:formatCode>
                <c:ptCount val="1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</c:numCache>
            </c:numRef>
          </c:xVal>
          <c:yVal>
            <c:numRef>
              <c:f>りくと!$L$2:$L$164</c:f>
              <c:numCache>
                <c:formatCode>\+0.0;\-0.0;\±0</c:formatCode>
                <c:ptCount val="163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8-4645-9B5E-FA5BAA89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700.61728395061732</c:v>
                </c:pt>
                <c:pt idx="1">
                  <c:v>-1628.0254777070063</c:v>
                </c:pt>
                <c:pt idx="2">
                  <c:v>-369.33333333333331</c:v>
                </c:pt>
                <c:pt idx="3">
                  <c:v>-335.55555555555554</c:v>
                </c:pt>
                <c:pt idx="4">
                  <c:v>212.60504201680672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C-49EC-B8DA-CA385EC26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ただ!$K$2:$K$162</c:f>
              <c:numCache>
                <c:formatCode>General</c:formatCode>
                <c:ptCount val="1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</c:numCache>
            </c:numRef>
          </c:xVal>
          <c:yVal>
            <c:numRef>
              <c:f>ただ!$L$2:$L$162</c:f>
              <c:numCache>
                <c:formatCode>\+0.0;\-0.0;\±0</c:formatCode>
                <c:ptCount val="161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0-4AFB-856B-830FAE563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-1994.9685534591194</c:v>
                </c:pt>
                <c:pt idx="1">
                  <c:v>-1411.6129032258063</c:v>
                </c:pt>
                <c:pt idx="2">
                  <c:v>742.17687074829928</c:v>
                </c:pt>
                <c:pt idx="3">
                  <c:v>-2836.3636363636365</c:v>
                </c:pt>
                <c:pt idx="4">
                  <c:v>-281.51260504201679</c:v>
                </c:pt>
                <c:pt idx="5">
                  <c:v>-385.84905660377359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DA-46D3-B88B-02AE3C35D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れんたろう!$L$2:$L$108</c:f>
              <c:numCache>
                <c:formatCode>\+0.0;\-0.0;\±0</c:formatCode>
                <c:ptCount val="10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D-4BDF-9A00-509C6A1AC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826.41509433962267</c:v>
                </c:pt>
                <c:pt idx="1">
                  <c:v>639.80582524271847</c:v>
                </c:pt>
                <c:pt idx="2">
                  <c:v>1893.6170212765958</c:v>
                </c:pt>
                <c:pt idx="3">
                  <c:v>-187.95180722891567</c:v>
                </c:pt>
                <c:pt idx="4">
                  <c:v>-2070.2702702702704</c:v>
                </c:pt>
                <c:pt idx="5">
                  <c:v>-551.5151515151515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BC-4FDC-8D84-12060163C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たかの!$L$2:$L$105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9-43AA-A49C-CAF48CEB6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178.64077669902912</c:v>
                </c:pt>
                <c:pt idx="1">
                  <c:v>-1133.009708737864</c:v>
                </c:pt>
                <c:pt idx="2">
                  <c:v>-993.54838709677415</c:v>
                </c:pt>
                <c:pt idx="3">
                  <c:v>978.40909090909088</c:v>
                </c:pt>
                <c:pt idx="4">
                  <c:v>-159.7560975609756</c:v>
                </c:pt>
                <c:pt idx="5">
                  <c:v>-671.42857142857144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47-4C76-9287-30638A592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7C-448B-AA56-F9DBC599B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-3356.8965517241381</c:v>
                </c:pt>
                <c:pt idx="1">
                  <c:v>1650</c:v>
                </c:pt>
                <c:pt idx="2">
                  <c:v>-1530.909090909091</c:v>
                </c:pt>
                <c:pt idx="3">
                  <c:v>-4210</c:v>
                </c:pt>
                <c:pt idx="4">
                  <c:v>120.45454545454545</c:v>
                </c:pt>
                <c:pt idx="5">
                  <c:v>-169.04761904761904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3-4FAE-B2DC-5ABB25037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まっつん!$L$2:$L$105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E-41D7-9250-55DDDA788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833.98058252427188</c:v>
                </c:pt>
                <c:pt idx="1">
                  <c:v>489.8989898989899</c:v>
                </c:pt>
                <c:pt idx="2">
                  <c:v>-752.17391304347825</c:v>
                </c:pt>
                <c:pt idx="3">
                  <c:v>1512.6436781609195</c:v>
                </c:pt>
                <c:pt idx="4">
                  <c:v>-1945</c:v>
                </c:pt>
                <c:pt idx="5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EB-4168-A823-E662ECD72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5-490F-8E00-81BD2A1B9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9-40C9-A130-0C6868BC1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6B-4FC0-BA26-4D94C8567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C-46FF-944F-1A037F7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37-47F6-8766-79F355B32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7C-4691-9A71-CF16F32D2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1-4A8F-820F-B97DE15CD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F-472B-A3D0-B9BF4B3AA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BF-4E60-AAB4-3615C7ABF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22-4714-828B-9FE8E5020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8-4038-A690-0F7E0B51F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-5362.5</c:v>
                </c:pt>
                <c:pt idx="1">
                  <c:v>-4025</c:v>
                </c:pt>
                <c:pt idx="2">
                  <c:v>-300</c:v>
                </c:pt>
                <c:pt idx="3">
                  <c:v>3914.2857142857142</c:v>
                </c:pt>
                <c:pt idx="4">
                  <c:v>-6466.666666666667</c:v>
                </c:pt>
                <c:pt idx="5">
                  <c:v>-6140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3-42FB-8A5F-9B38C6DAF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ぱぱ2!$A$3:$A$62</c:f>
              <c:numCache>
                <c:formatCode>0\ "回"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ぱぱ2!$B$3:$B$62</c:f>
              <c:numCache>
                <c:formatCode>\+0.0;\-0.0;\±0</c:formatCode>
                <c:ptCount val="60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ぱぱ2!$A$3:$A$62</c:f>
              <c:numCache>
                <c:formatCode>0\ "回"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ぱぱ2!$C$3:$C$62</c:f>
              <c:numCache>
                <c:formatCode>\+0.0;\-0.0;\±0</c:formatCode>
                <c:ptCount val="60"/>
                <c:pt idx="1">
                  <c:v>-82.6</c:v>
                </c:pt>
                <c:pt idx="2">
                  <c:v>-61.15</c:v>
                </c:pt>
                <c:pt idx="3">
                  <c:v>-49.666666666666664</c:v>
                </c:pt>
                <c:pt idx="4">
                  <c:v>-37.65</c:v>
                </c:pt>
                <c:pt idx="5">
                  <c:v>-36.979999999999997</c:v>
                </c:pt>
                <c:pt idx="6">
                  <c:v>-31.266666666666662</c:v>
                </c:pt>
                <c:pt idx="7">
                  <c:v>-30.871428571428567</c:v>
                </c:pt>
                <c:pt idx="8">
                  <c:v>-27.449999999999996</c:v>
                </c:pt>
                <c:pt idx="9">
                  <c:v>-28.955555555555552</c:v>
                </c:pt>
                <c:pt idx="10">
                  <c:v>-31.839999999999996</c:v>
                </c:pt>
                <c:pt idx="11">
                  <c:v>-29.581818181818178</c:v>
                </c:pt>
                <c:pt idx="12">
                  <c:v>-24.133333333333329</c:v>
                </c:pt>
                <c:pt idx="13">
                  <c:v>-23.276923076923076</c:v>
                </c:pt>
                <c:pt idx="14">
                  <c:v>-19.285714285714281</c:v>
                </c:pt>
                <c:pt idx="15">
                  <c:v>-17.639999999999997</c:v>
                </c:pt>
                <c:pt idx="16">
                  <c:v>-18.299999999999997</c:v>
                </c:pt>
                <c:pt idx="17">
                  <c:v>-14.641176470588233</c:v>
                </c:pt>
                <c:pt idx="18">
                  <c:v>-12.166666666666664</c:v>
                </c:pt>
                <c:pt idx="19">
                  <c:v>-9.9263157894736818</c:v>
                </c:pt>
                <c:pt idx="20">
                  <c:v>-9.139999999999997</c:v>
                </c:pt>
                <c:pt idx="21">
                  <c:v>-9.7047619047619005</c:v>
                </c:pt>
                <c:pt idx="22">
                  <c:v>-11.93181818181818</c:v>
                </c:pt>
                <c:pt idx="23">
                  <c:v>-11.265217391304347</c:v>
                </c:pt>
                <c:pt idx="24">
                  <c:v>-11.995833333333332</c:v>
                </c:pt>
                <c:pt idx="25">
                  <c:v>-13.771999999999998</c:v>
                </c:pt>
                <c:pt idx="26">
                  <c:v>-10.965384615384615</c:v>
                </c:pt>
                <c:pt idx="27">
                  <c:v>-9.5333333333333332</c:v>
                </c:pt>
                <c:pt idx="28">
                  <c:v>-8.8642857142857139</c:v>
                </c:pt>
                <c:pt idx="29">
                  <c:v>-6.1137931034482751</c:v>
                </c:pt>
                <c:pt idx="30">
                  <c:v>-6.76</c:v>
                </c:pt>
                <c:pt idx="31">
                  <c:v>-7.3</c:v>
                </c:pt>
                <c:pt idx="32">
                  <c:v>-6.0562499999999995</c:v>
                </c:pt>
                <c:pt idx="33">
                  <c:v>-5.8818181818181818</c:v>
                </c:pt>
                <c:pt idx="34">
                  <c:v>-6.6058823529411761</c:v>
                </c:pt>
                <c:pt idx="35">
                  <c:v>-6.4257142857142862</c:v>
                </c:pt>
                <c:pt idx="36">
                  <c:v>-5.291666666666667</c:v>
                </c:pt>
                <c:pt idx="37">
                  <c:v>-6.3351351351351353</c:v>
                </c:pt>
                <c:pt idx="38">
                  <c:v>-5.5657894736842106</c:v>
                </c:pt>
                <c:pt idx="39">
                  <c:v>-5.7410256410256411</c:v>
                </c:pt>
                <c:pt idx="40">
                  <c:v>-6.9974999999999996</c:v>
                </c:pt>
                <c:pt idx="41">
                  <c:v>-7.4048780487804873</c:v>
                </c:pt>
                <c:pt idx="42">
                  <c:v>-8.0642857142857132</c:v>
                </c:pt>
                <c:pt idx="43">
                  <c:v>-6.7372093023255815</c:v>
                </c:pt>
                <c:pt idx="44">
                  <c:v>-5.9681818181818178</c:v>
                </c:pt>
                <c:pt idx="45">
                  <c:v>-6.5644444444444439</c:v>
                </c:pt>
                <c:pt idx="46">
                  <c:v>-8.2043478260869556</c:v>
                </c:pt>
                <c:pt idx="47">
                  <c:v>-9.3553191489361698</c:v>
                </c:pt>
                <c:pt idx="48">
                  <c:v>-8.0770833333333325</c:v>
                </c:pt>
                <c:pt idx="49">
                  <c:v>-8.8367346938775508</c:v>
                </c:pt>
                <c:pt idx="50">
                  <c:v>-8.7460000000000004</c:v>
                </c:pt>
                <c:pt idx="51">
                  <c:v>-9.7235294117647069</c:v>
                </c:pt>
                <c:pt idx="52">
                  <c:v>-7.6461538461538465</c:v>
                </c:pt>
                <c:pt idx="53">
                  <c:v>-7.4849056603773594</c:v>
                </c:pt>
                <c:pt idx="54">
                  <c:v>-7.4925925925925929</c:v>
                </c:pt>
                <c:pt idx="55">
                  <c:v>-6.3545454545454545</c:v>
                </c:pt>
                <c:pt idx="56">
                  <c:v>-7.0910714285714294</c:v>
                </c:pt>
                <c:pt idx="57">
                  <c:v>-8.098245614035088</c:v>
                </c:pt>
                <c:pt idx="58">
                  <c:v>-8.9827586206896548</c:v>
                </c:pt>
                <c:pt idx="59">
                  <c:v>-8.8305084745762716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756858478922122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ぱぱ2!$A$3:$A$62</c:f>
              <c:numCache>
                <c:formatCode>0\ "回"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ぱぱ2!$D$3:$D$62</c:f>
              <c:numCache>
                <c:formatCode>0.00\ "位"</c:formatCode>
                <c:ptCount val="60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2.5</c:v>
                </c:pt>
                <c:pt idx="5">
                  <c:v>2.6</c:v>
                </c:pt>
                <c:pt idx="6">
                  <c:v>2.5</c:v>
                </c:pt>
                <c:pt idx="7">
                  <c:v>2.5714285714285716</c:v>
                </c:pt>
                <c:pt idx="8">
                  <c:v>2.5</c:v>
                </c:pt>
                <c:pt idx="9">
                  <c:v>2.5555555555555554</c:v>
                </c:pt>
                <c:pt idx="10">
                  <c:v>2.6</c:v>
                </c:pt>
                <c:pt idx="11">
                  <c:v>2.5454545454545454</c:v>
                </c:pt>
                <c:pt idx="12">
                  <c:v>2.4166666666666665</c:v>
                </c:pt>
                <c:pt idx="13">
                  <c:v>2.3846153846153846</c:v>
                </c:pt>
                <c:pt idx="14">
                  <c:v>2.2857142857142856</c:v>
                </c:pt>
                <c:pt idx="15">
                  <c:v>2.2666666666666666</c:v>
                </c:pt>
                <c:pt idx="16">
                  <c:v>2.3125</c:v>
                </c:pt>
                <c:pt idx="17">
                  <c:v>2.2352941176470589</c:v>
                </c:pt>
                <c:pt idx="18">
                  <c:v>2.1666666666666665</c:v>
                </c:pt>
                <c:pt idx="19">
                  <c:v>2.1052631578947367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2.2000000000000002</c:v>
                </c:pt>
                <c:pt idx="26">
                  <c:v>2.1538461538461537</c:v>
                </c:pt>
                <c:pt idx="27">
                  <c:v>2.1111111111111112</c:v>
                </c:pt>
                <c:pt idx="28">
                  <c:v>2.1071428571428572</c:v>
                </c:pt>
                <c:pt idx="29">
                  <c:v>2.0689655172413794</c:v>
                </c:pt>
                <c:pt idx="30">
                  <c:v>2.0666666666666669</c:v>
                </c:pt>
                <c:pt idx="31">
                  <c:v>2.096774193548387</c:v>
                </c:pt>
                <c:pt idx="32">
                  <c:v>2.0625</c:v>
                </c:pt>
                <c:pt idx="33">
                  <c:v>2.0606060606060606</c:v>
                </c:pt>
                <c:pt idx="34">
                  <c:v>2.0882352941176472</c:v>
                </c:pt>
                <c:pt idx="35">
                  <c:v>2.0857142857142859</c:v>
                </c:pt>
                <c:pt idx="36">
                  <c:v>2.0555555555555554</c:v>
                </c:pt>
                <c:pt idx="37">
                  <c:v>2.0810810810810811</c:v>
                </c:pt>
                <c:pt idx="38">
                  <c:v>2.0526315789473686</c:v>
                </c:pt>
                <c:pt idx="39">
                  <c:v>2.0512820512820511</c:v>
                </c:pt>
                <c:pt idx="40">
                  <c:v>2.0750000000000002</c:v>
                </c:pt>
                <c:pt idx="41">
                  <c:v>2.0975609756097562</c:v>
                </c:pt>
                <c:pt idx="42">
                  <c:v>2.1190476190476191</c:v>
                </c:pt>
                <c:pt idx="43">
                  <c:v>2.0930232558139537</c:v>
                </c:pt>
                <c:pt idx="44">
                  <c:v>2.0681818181818183</c:v>
                </c:pt>
                <c:pt idx="45">
                  <c:v>2.088888888888889</c:v>
                </c:pt>
                <c:pt idx="46">
                  <c:v>2.1086956521739131</c:v>
                </c:pt>
                <c:pt idx="47">
                  <c:v>2.1276595744680851</c:v>
                </c:pt>
                <c:pt idx="48">
                  <c:v>2.1041666666666665</c:v>
                </c:pt>
                <c:pt idx="49">
                  <c:v>2.1224489795918369</c:v>
                </c:pt>
                <c:pt idx="50">
                  <c:v>2.12</c:v>
                </c:pt>
                <c:pt idx="51">
                  <c:v>2.1372549019607843</c:v>
                </c:pt>
                <c:pt idx="52">
                  <c:v>2.1153846153846154</c:v>
                </c:pt>
                <c:pt idx="53">
                  <c:v>2.1132075471698113</c:v>
                </c:pt>
                <c:pt idx="54">
                  <c:v>2.1111111111111112</c:v>
                </c:pt>
                <c:pt idx="55">
                  <c:v>2.0909090909090908</c:v>
                </c:pt>
                <c:pt idx="56">
                  <c:v>2.1071428571428572</c:v>
                </c:pt>
                <c:pt idx="57">
                  <c:v>2.1228070175438596</c:v>
                </c:pt>
                <c:pt idx="58">
                  <c:v>2.1379310344827585</c:v>
                </c:pt>
                <c:pt idx="59">
                  <c:v>2.1355932203389831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ぱぱ2!$A$3:$A$62</c:f>
              <c:numCache>
                <c:formatCode>0\ "回"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ぱぱ2!$E$3:$E$62</c:f>
              <c:numCache>
                <c:formatCode>0.0%</c:formatCode>
                <c:ptCount val="6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0.17647058823529413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0.23076923076923078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0.27586206896551724</c:v>
                </c:pt>
                <c:pt idx="30">
                  <c:v>0.26666666666666666</c:v>
                </c:pt>
                <c:pt idx="31">
                  <c:v>0.25806451612903225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0.28205128205128205</c:v>
                </c:pt>
                <c:pt idx="40">
                  <c:v>0.27500000000000002</c:v>
                </c:pt>
                <c:pt idx="41">
                  <c:v>0.26829268292682928</c:v>
                </c:pt>
                <c:pt idx="42">
                  <c:v>0.26190476190476192</c:v>
                </c:pt>
                <c:pt idx="43">
                  <c:v>0.27906976744186046</c:v>
                </c:pt>
                <c:pt idx="44">
                  <c:v>0.29545454545454547</c:v>
                </c:pt>
                <c:pt idx="45">
                  <c:v>0.28888888888888886</c:v>
                </c:pt>
                <c:pt idx="46">
                  <c:v>0.28260869565217389</c:v>
                </c:pt>
                <c:pt idx="47">
                  <c:v>0.27659574468085107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0.28846153846153844</c:v>
                </c:pt>
                <c:pt idx="53">
                  <c:v>0.28301886792452829</c:v>
                </c:pt>
                <c:pt idx="54">
                  <c:v>0.27777777777777779</c:v>
                </c:pt>
                <c:pt idx="55">
                  <c:v>0.29090909090909089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ぱぱ2!$A$3:$A$62</c:f>
              <c:numCache>
                <c:formatCode>0\ "回"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ぱぱ2!$F$3:$F$62</c:f>
              <c:numCache>
                <c:formatCode>0.0%</c:formatCode>
                <c:ptCount val="60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0.5714285714285714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0.33333333333333331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0.38095238095238093</c:v>
                </c:pt>
                <c:pt idx="43">
                  <c:v>0.37209302325581395</c:v>
                </c:pt>
                <c:pt idx="44">
                  <c:v>0.36363636363636365</c:v>
                </c:pt>
                <c:pt idx="45">
                  <c:v>0.37777777777777777</c:v>
                </c:pt>
                <c:pt idx="46">
                  <c:v>0.39130434782608697</c:v>
                </c:pt>
                <c:pt idx="47">
                  <c:v>0.40425531914893614</c:v>
                </c:pt>
                <c:pt idx="48">
                  <c:v>0.39583333333333331</c:v>
                </c:pt>
                <c:pt idx="49">
                  <c:v>0.40816326530612246</c:v>
                </c:pt>
                <c:pt idx="50">
                  <c:v>0.4</c:v>
                </c:pt>
                <c:pt idx="51">
                  <c:v>0.41176470588235292</c:v>
                </c:pt>
                <c:pt idx="52">
                  <c:v>0.40384615384615385</c:v>
                </c:pt>
                <c:pt idx="53">
                  <c:v>0.39622641509433965</c:v>
                </c:pt>
                <c:pt idx="54">
                  <c:v>0.3888888888888889</c:v>
                </c:pt>
                <c:pt idx="55">
                  <c:v>0.38181818181818183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0.41379310344827586</c:v>
                </c:pt>
                <c:pt idx="59">
                  <c:v>0.40677966101694918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ぱぱ2!$A$3:$A$62</c:f>
              <c:numCache>
                <c:formatCode>0\ "回"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ぱぱ2!$G$3:$G$62</c:f>
              <c:numCache>
                <c:formatCode>0.0%</c:formatCode>
                <c:ptCount val="60"/>
                <c:pt idx="1">
                  <c:v>0.14285714285714285</c:v>
                </c:pt>
                <c:pt idx="2">
                  <c:v>0.26315789473684209</c:v>
                </c:pt>
                <c:pt idx="3">
                  <c:v>0.18518518518518517</c:v>
                </c:pt>
                <c:pt idx="4">
                  <c:v>0.23076923076923078</c:v>
                </c:pt>
                <c:pt idx="5">
                  <c:v>0.19148936170212766</c:v>
                </c:pt>
                <c:pt idx="6">
                  <c:v>0.18518518518518517</c:v>
                </c:pt>
                <c:pt idx="7">
                  <c:v>0.203125</c:v>
                </c:pt>
                <c:pt idx="8">
                  <c:v>0.24324324324324326</c:v>
                </c:pt>
                <c:pt idx="9">
                  <c:v>0.23809523809523808</c:v>
                </c:pt>
                <c:pt idx="10">
                  <c:v>0.25773195876288657</c:v>
                </c:pt>
                <c:pt idx="11">
                  <c:v>0.27184466019417475</c:v>
                </c:pt>
                <c:pt idx="12">
                  <c:v>0.2831858407079646</c:v>
                </c:pt>
                <c:pt idx="13">
                  <c:v>0.27350427350427353</c:v>
                </c:pt>
                <c:pt idx="14">
                  <c:v>0.27777777777777779</c:v>
                </c:pt>
                <c:pt idx="15">
                  <c:v>0.28358208955223879</c:v>
                </c:pt>
                <c:pt idx="16">
                  <c:v>0.2857142857142857</c:v>
                </c:pt>
                <c:pt idx="17">
                  <c:v>0.28387096774193549</c:v>
                </c:pt>
                <c:pt idx="18">
                  <c:v>0.29518072289156627</c:v>
                </c:pt>
                <c:pt idx="19">
                  <c:v>0.29142857142857143</c:v>
                </c:pt>
                <c:pt idx="20">
                  <c:v>0.29411764705882354</c:v>
                </c:pt>
                <c:pt idx="21">
                  <c:v>0.28865979381443296</c:v>
                </c:pt>
                <c:pt idx="22">
                  <c:v>0.28499999999999998</c:v>
                </c:pt>
                <c:pt idx="23">
                  <c:v>0.28640776699029125</c:v>
                </c:pt>
                <c:pt idx="24">
                  <c:v>0.28837209302325584</c:v>
                </c:pt>
                <c:pt idx="25">
                  <c:v>0.28378378378378377</c:v>
                </c:pt>
                <c:pt idx="26">
                  <c:v>0.29310344827586204</c:v>
                </c:pt>
                <c:pt idx="27">
                  <c:v>0.29875518672199169</c:v>
                </c:pt>
                <c:pt idx="28">
                  <c:v>0.30399999999999999</c:v>
                </c:pt>
                <c:pt idx="29">
                  <c:v>0.31395348837209303</c:v>
                </c:pt>
                <c:pt idx="30">
                  <c:v>0.30566037735849055</c:v>
                </c:pt>
                <c:pt idx="31">
                  <c:v>0.30656934306569344</c:v>
                </c:pt>
                <c:pt idx="32">
                  <c:v>0.30960854092526691</c:v>
                </c:pt>
                <c:pt idx="33">
                  <c:v>0.31506849315068491</c:v>
                </c:pt>
                <c:pt idx="34">
                  <c:v>0.30592105263157893</c:v>
                </c:pt>
                <c:pt idx="35">
                  <c:v>0.30769230769230771</c:v>
                </c:pt>
                <c:pt idx="36">
                  <c:v>0.30721003134796238</c:v>
                </c:pt>
                <c:pt idx="37">
                  <c:v>0.30182926829268292</c:v>
                </c:pt>
                <c:pt idx="38">
                  <c:v>0.30357142857142855</c:v>
                </c:pt>
                <c:pt idx="39">
                  <c:v>0.30116959064327486</c:v>
                </c:pt>
                <c:pt idx="40">
                  <c:v>0.29682997118155618</c:v>
                </c:pt>
                <c:pt idx="41">
                  <c:v>0.29295774647887324</c:v>
                </c:pt>
                <c:pt idx="42">
                  <c:v>0.29201101928374656</c:v>
                </c:pt>
                <c:pt idx="43">
                  <c:v>0.29599999999999999</c:v>
                </c:pt>
                <c:pt idx="44">
                  <c:v>0.29842931937172773</c:v>
                </c:pt>
                <c:pt idx="45">
                  <c:v>0.29820051413881749</c:v>
                </c:pt>
                <c:pt idx="46">
                  <c:v>0.29367088607594938</c:v>
                </c:pt>
                <c:pt idx="47">
                  <c:v>0.28888888888888886</c:v>
                </c:pt>
                <c:pt idx="48">
                  <c:v>0.29397590361445786</c:v>
                </c:pt>
                <c:pt idx="49">
                  <c:v>0.29146919431279622</c:v>
                </c:pt>
                <c:pt idx="50">
                  <c:v>0.28868360277136257</c:v>
                </c:pt>
                <c:pt idx="51">
                  <c:v>0.28636363636363638</c:v>
                </c:pt>
                <c:pt idx="52">
                  <c:v>0.28666666666666668</c:v>
                </c:pt>
                <c:pt idx="53">
                  <c:v>0.2841648590021692</c:v>
                </c:pt>
                <c:pt idx="54">
                  <c:v>0.28358208955223879</c:v>
                </c:pt>
                <c:pt idx="55">
                  <c:v>0.2881002087682672</c:v>
                </c:pt>
                <c:pt idx="56">
                  <c:v>0.2857142857142857</c:v>
                </c:pt>
                <c:pt idx="57">
                  <c:v>0.28370221327967809</c:v>
                </c:pt>
                <c:pt idx="58">
                  <c:v>0.28031809145129227</c:v>
                </c:pt>
                <c:pt idx="59">
                  <c:v>0.27920792079207923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219212440431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ぱぱ2!$A$3:$A$62</c:f>
              <c:numCache>
                <c:formatCode>0\ "回"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ぱぱ2!$H$3:$H$62</c:f>
              <c:numCache>
                <c:formatCode>0.0%</c:formatCode>
                <c:ptCount val="60"/>
                <c:pt idx="1">
                  <c:v>0.2857142857142857</c:v>
                </c:pt>
                <c:pt idx="2">
                  <c:v>0.26315789473684209</c:v>
                </c:pt>
                <c:pt idx="3">
                  <c:v>0.25925925925925924</c:v>
                </c:pt>
                <c:pt idx="4">
                  <c:v>0.23076923076923078</c:v>
                </c:pt>
                <c:pt idx="5">
                  <c:v>0.23404255319148937</c:v>
                </c:pt>
                <c:pt idx="6">
                  <c:v>0.22222222222222221</c:v>
                </c:pt>
                <c:pt idx="7">
                  <c:v>0.203125</c:v>
                </c:pt>
                <c:pt idx="8">
                  <c:v>0.1891891891891892</c:v>
                </c:pt>
                <c:pt idx="9">
                  <c:v>0.21428571428571427</c:v>
                </c:pt>
                <c:pt idx="10">
                  <c:v>0.23711340206185566</c:v>
                </c:pt>
                <c:pt idx="11">
                  <c:v>0.24271844660194175</c:v>
                </c:pt>
                <c:pt idx="12">
                  <c:v>0.24778761061946902</c:v>
                </c:pt>
                <c:pt idx="13">
                  <c:v>0.23931623931623933</c:v>
                </c:pt>
                <c:pt idx="14">
                  <c:v>0.23809523809523808</c:v>
                </c:pt>
                <c:pt idx="15">
                  <c:v>0.2462686567164179</c:v>
                </c:pt>
                <c:pt idx="16">
                  <c:v>0.24285714285714285</c:v>
                </c:pt>
                <c:pt idx="17">
                  <c:v>0.23870967741935484</c:v>
                </c:pt>
                <c:pt idx="18">
                  <c:v>0.2289156626506024</c:v>
                </c:pt>
                <c:pt idx="19">
                  <c:v>0.21714285714285714</c:v>
                </c:pt>
                <c:pt idx="20">
                  <c:v>0.21390374331550802</c:v>
                </c:pt>
                <c:pt idx="21">
                  <c:v>0.21134020618556701</c:v>
                </c:pt>
                <c:pt idx="22">
                  <c:v>0.215</c:v>
                </c:pt>
                <c:pt idx="23">
                  <c:v>0.21359223300970873</c:v>
                </c:pt>
                <c:pt idx="24">
                  <c:v>0.21860465116279071</c:v>
                </c:pt>
                <c:pt idx="25">
                  <c:v>0.22072072072072071</c:v>
                </c:pt>
                <c:pt idx="26">
                  <c:v>0.21120689655172414</c:v>
                </c:pt>
                <c:pt idx="27">
                  <c:v>0.2074688796680498</c:v>
                </c:pt>
                <c:pt idx="28">
                  <c:v>0.2</c:v>
                </c:pt>
                <c:pt idx="29">
                  <c:v>0.19379844961240311</c:v>
                </c:pt>
                <c:pt idx="30">
                  <c:v>0.18867924528301888</c:v>
                </c:pt>
                <c:pt idx="31">
                  <c:v>0.18978102189781021</c:v>
                </c:pt>
                <c:pt idx="32">
                  <c:v>0.19217081850533807</c:v>
                </c:pt>
                <c:pt idx="33">
                  <c:v>0.18493150684931506</c:v>
                </c:pt>
                <c:pt idx="34">
                  <c:v>0.18421052631578946</c:v>
                </c:pt>
                <c:pt idx="35">
                  <c:v>0.1858974358974359</c:v>
                </c:pt>
                <c:pt idx="36">
                  <c:v>0.18495297805642633</c:v>
                </c:pt>
                <c:pt idx="37">
                  <c:v>0.18902439024390244</c:v>
                </c:pt>
                <c:pt idx="38">
                  <c:v>0.19047619047619047</c:v>
                </c:pt>
                <c:pt idx="39">
                  <c:v>0.19005847953216373</c:v>
                </c:pt>
                <c:pt idx="40">
                  <c:v>0.1930835734870317</c:v>
                </c:pt>
                <c:pt idx="41">
                  <c:v>0.19154929577464788</c:v>
                </c:pt>
                <c:pt idx="42">
                  <c:v>0.1928374655647383</c:v>
                </c:pt>
                <c:pt idx="43">
                  <c:v>0.18666666666666668</c:v>
                </c:pt>
                <c:pt idx="44">
                  <c:v>0.18586387434554974</c:v>
                </c:pt>
                <c:pt idx="45">
                  <c:v>0.18766066838046272</c:v>
                </c:pt>
                <c:pt idx="46">
                  <c:v>0.189873417721519</c:v>
                </c:pt>
                <c:pt idx="47">
                  <c:v>0.19012345679012346</c:v>
                </c:pt>
                <c:pt idx="48">
                  <c:v>0.1855421686746988</c:v>
                </c:pt>
                <c:pt idx="49">
                  <c:v>0.1872037914691943</c:v>
                </c:pt>
                <c:pt idx="50">
                  <c:v>0.18706697459584296</c:v>
                </c:pt>
                <c:pt idx="51">
                  <c:v>0.18409090909090908</c:v>
                </c:pt>
                <c:pt idx="52">
                  <c:v>0.18222222222222223</c:v>
                </c:pt>
                <c:pt idx="53">
                  <c:v>0.1822125813449024</c:v>
                </c:pt>
                <c:pt idx="54">
                  <c:v>0.18336886993603413</c:v>
                </c:pt>
                <c:pt idx="55">
                  <c:v>0.17954070981210857</c:v>
                </c:pt>
                <c:pt idx="56">
                  <c:v>0.18571428571428572</c:v>
                </c:pt>
                <c:pt idx="57">
                  <c:v>0.1891348088531187</c:v>
                </c:pt>
                <c:pt idx="58">
                  <c:v>0.19284294234592445</c:v>
                </c:pt>
                <c:pt idx="59">
                  <c:v>0.19207920792079208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6829696513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ぱぱ2!$A$3:$A$62</c:f>
              <c:numCache>
                <c:formatCode>0\ "回"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ぱぱ2!$I$3:$I$62</c:f>
              <c:numCache>
                <c:formatCode>0</c:formatCode>
                <c:ptCount val="60"/>
                <c:pt idx="1">
                  <c:v>4000</c:v>
                </c:pt>
                <c:pt idx="2">
                  <c:v>4220</c:v>
                </c:pt>
                <c:pt idx="3">
                  <c:v>4220</c:v>
                </c:pt>
                <c:pt idx="4">
                  <c:v>3633.3333333333335</c:v>
                </c:pt>
                <c:pt idx="5">
                  <c:v>3633.3333333333335</c:v>
                </c:pt>
                <c:pt idx="6">
                  <c:v>3850</c:v>
                </c:pt>
                <c:pt idx="7">
                  <c:v>4323.0769230769229</c:v>
                </c:pt>
                <c:pt idx="8">
                  <c:v>4200</c:v>
                </c:pt>
                <c:pt idx="9">
                  <c:v>4085</c:v>
                </c:pt>
                <c:pt idx="10">
                  <c:v>4756</c:v>
                </c:pt>
                <c:pt idx="11">
                  <c:v>4528.5714285714284</c:v>
                </c:pt>
                <c:pt idx="12">
                  <c:v>5150</c:v>
                </c:pt>
                <c:pt idx="13">
                  <c:v>5150</c:v>
                </c:pt>
                <c:pt idx="14">
                  <c:v>5451.4285714285716</c:v>
                </c:pt>
                <c:pt idx="15">
                  <c:v>5676.3157894736842</c:v>
                </c:pt>
                <c:pt idx="16">
                  <c:v>5682.5</c:v>
                </c:pt>
                <c:pt idx="17">
                  <c:v>6311.363636363636</c:v>
                </c:pt>
                <c:pt idx="18">
                  <c:v>6236.7346938775509</c:v>
                </c:pt>
                <c:pt idx="19">
                  <c:v>6084.3137254901958</c:v>
                </c:pt>
                <c:pt idx="20">
                  <c:v>6392.727272727273</c:v>
                </c:pt>
                <c:pt idx="21">
                  <c:v>6416.0714285714284</c:v>
                </c:pt>
                <c:pt idx="22">
                  <c:v>6438.5964912280706</c:v>
                </c:pt>
                <c:pt idx="23">
                  <c:v>6422.0338983050851</c:v>
                </c:pt>
                <c:pt idx="24">
                  <c:v>6398.3870967741932</c:v>
                </c:pt>
                <c:pt idx="25">
                  <c:v>6344.4444444444443</c:v>
                </c:pt>
                <c:pt idx="26">
                  <c:v>6410.2941176470586</c:v>
                </c:pt>
                <c:pt idx="27">
                  <c:v>6411.1111111111113</c:v>
                </c:pt>
                <c:pt idx="28">
                  <c:v>6494.7368421052633</c:v>
                </c:pt>
                <c:pt idx="29">
                  <c:v>6746.9135802469136</c:v>
                </c:pt>
                <c:pt idx="30">
                  <c:v>6746.9135802469136</c:v>
                </c:pt>
                <c:pt idx="31">
                  <c:v>6801.1904761904761</c:v>
                </c:pt>
                <c:pt idx="32">
                  <c:v>6758.6206896551721</c:v>
                </c:pt>
                <c:pt idx="33">
                  <c:v>6772.826086956522</c:v>
                </c:pt>
                <c:pt idx="34">
                  <c:v>6829.0322580645161</c:v>
                </c:pt>
                <c:pt idx="35">
                  <c:v>6813.541666666667</c:v>
                </c:pt>
                <c:pt idx="36">
                  <c:v>6919.3877551020405</c:v>
                </c:pt>
                <c:pt idx="37">
                  <c:v>6966.666666666667</c:v>
                </c:pt>
                <c:pt idx="38">
                  <c:v>6886.2745098039213</c:v>
                </c:pt>
                <c:pt idx="39">
                  <c:v>6838.8349514563106</c:v>
                </c:pt>
                <c:pt idx="40">
                  <c:v>6838.8349514563106</c:v>
                </c:pt>
                <c:pt idx="41">
                  <c:v>7119.2307692307695</c:v>
                </c:pt>
                <c:pt idx="42">
                  <c:v>7135.8490566037735</c:v>
                </c:pt>
                <c:pt idx="43">
                  <c:v>6976.5765765765764</c:v>
                </c:pt>
                <c:pt idx="44">
                  <c:v>6998.2456140350878</c:v>
                </c:pt>
                <c:pt idx="45">
                  <c:v>6945.6896551724139</c:v>
                </c:pt>
                <c:pt idx="46">
                  <c:v>6945.6896551724139</c:v>
                </c:pt>
                <c:pt idx="47">
                  <c:v>6904.2735042735039</c:v>
                </c:pt>
                <c:pt idx="48">
                  <c:v>6954.0983606557375</c:v>
                </c:pt>
                <c:pt idx="49">
                  <c:v>6913.8211382113823</c:v>
                </c:pt>
                <c:pt idx="50">
                  <c:v>6941.6</c:v>
                </c:pt>
                <c:pt idx="51">
                  <c:v>6917.4603174603171</c:v>
                </c:pt>
                <c:pt idx="52">
                  <c:v>7534.1085271317834</c:v>
                </c:pt>
                <c:pt idx="53">
                  <c:v>7648.0916030534354</c:v>
                </c:pt>
                <c:pt idx="54">
                  <c:v>7569.1729323308273</c:v>
                </c:pt>
                <c:pt idx="55">
                  <c:v>7540.579710144928</c:v>
                </c:pt>
                <c:pt idx="56">
                  <c:v>7573.5714285714284</c:v>
                </c:pt>
                <c:pt idx="57">
                  <c:v>7531.2056737588655</c:v>
                </c:pt>
                <c:pt idx="58">
                  <c:v>7531.2056737588655</c:v>
                </c:pt>
                <c:pt idx="59">
                  <c:v>7531.2056737588655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24.26408746846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ぱぱ2!$A$3:$A$62</c:f>
              <c:numCache>
                <c:formatCode>0\ "回"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ぱぱ2!$J$3:$J$62</c:f>
              <c:numCache>
                <c:formatCode>0</c:formatCode>
                <c:ptCount val="60"/>
                <c:pt idx="1">
                  <c:v>-20800</c:v>
                </c:pt>
                <c:pt idx="2">
                  <c:v>-14080</c:v>
                </c:pt>
                <c:pt idx="3">
                  <c:v>-12600</c:v>
                </c:pt>
                <c:pt idx="4">
                  <c:v>-11011.111111111111</c:v>
                </c:pt>
                <c:pt idx="5">
                  <c:v>-9836.363636363636</c:v>
                </c:pt>
                <c:pt idx="6">
                  <c:v>-9183.3333333333339</c:v>
                </c:pt>
                <c:pt idx="7">
                  <c:v>-9069.2307692307695</c:v>
                </c:pt>
                <c:pt idx="8">
                  <c:v>-9250</c:v>
                </c:pt>
                <c:pt idx="9">
                  <c:v>-8144.4444444444443</c:v>
                </c:pt>
                <c:pt idx="10">
                  <c:v>-9313.04347826087</c:v>
                </c:pt>
                <c:pt idx="11">
                  <c:v>-9204</c:v>
                </c:pt>
                <c:pt idx="12">
                  <c:v>-8521.4285714285706</c:v>
                </c:pt>
                <c:pt idx="13">
                  <c:v>-8521.4285714285706</c:v>
                </c:pt>
                <c:pt idx="14">
                  <c:v>-8170</c:v>
                </c:pt>
                <c:pt idx="15">
                  <c:v>-7996.969696969697</c:v>
                </c:pt>
                <c:pt idx="16">
                  <c:v>-8114.7058823529414</c:v>
                </c:pt>
                <c:pt idx="17">
                  <c:v>-8067.5675675675675</c:v>
                </c:pt>
                <c:pt idx="18">
                  <c:v>-7992.105263157895</c:v>
                </c:pt>
                <c:pt idx="19">
                  <c:v>-7992.105263157895</c:v>
                </c:pt>
                <c:pt idx="20">
                  <c:v>-7957.5</c:v>
                </c:pt>
                <c:pt idx="21">
                  <c:v>-7951.2195121951218</c:v>
                </c:pt>
                <c:pt idx="22">
                  <c:v>-8441.8604651162786</c:v>
                </c:pt>
                <c:pt idx="23">
                  <c:v>-8295.454545454546</c:v>
                </c:pt>
                <c:pt idx="24">
                  <c:v>-8182.9787234042551</c:v>
                </c:pt>
                <c:pt idx="25">
                  <c:v>-8295.9183673469379</c:v>
                </c:pt>
                <c:pt idx="26">
                  <c:v>-8295.9183673469379</c:v>
                </c:pt>
                <c:pt idx="27">
                  <c:v>-8208</c:v>
                </c:pt>
                <c:pt idx="28">
                  <c:v>-8208</c:v>
                </c:pt>
                <c:pt idx="29">
                  <c:v>-8208</c:v>
                </c:pt>
                <c:pt idx="30">
                  <c:v>-8208</c:v>
                </c:pt>
                <c:pt idx="31">
                  <c:v>-8353.8461538461543</c:v>
                </c:pt>
                <c:pt idx="32">
                  <c:v>-8177.7777777777774</c:v>
                </c:pt>
                <c:pt idx="33">
                  <c:v>-8177.7777777777774</c:v>
                </c:pt>
                <c:pt idx="34">
                  <c:v>-7957.1428571428569</c:v>
                </c:pt>
                <c:pt idx="35">
                  <c:v>-7934.4827586206893</c:v>
                </c:pt>
                <c:pt idx="36">
                  <c:v>-7866.1016949152545</c:v>
                </c:pt>
                <c:pt idx="37">
                  <c:v>-7904.8387096774195</c:v>
                </c:pt>
                <c:pt idx="38">
                  <c:v>-7779.6875</c:v>
                </c:pt>
                <c:pt idx="39">
                  <c:v>-7690.7692307692305</c:v>
                </c:pt>
                <c:pt idx="40">
                  <c:v>-7625.373134328358</c:v>
                </c:pt>
                <c:pt idx="41">
                  <c:v>-7689.7058823529414</c:v>
                </c:pt>
                <c:pt idx="42">
                  <c:v>-7807.1428571428569</c:v>
                </c:pt>
                <c:pt idx="43">
                  <c:v>-7807.1428571428569</c:v>
                </c:pt>
                <c:pt idx="44">
                  <c:v>-7866.1971830985913</c:v>
                </c:pt>
                <c:pt idx="45">
                  <c:v>-7787.6712328767126</c:v>
                </c:pt>
                <c:pt idx="46">
                  <c:v>-8300</c:v>
                </c:pt>
                <c:pt idx="47">
                  <c:v>-8290.9090909090901</c:v>
                </c:pt>
                <c:pt idx="48">
                  <c:v>-8290.9090909090901</c:v>
                </c:pt>
                <c:pt idx="49">
                  <c:v>-8300</c:v>
                </c:pt>
                <c:pt idx="50">
                  <c:v>-8225.9259259259252</c:v>
                </c:pt>
                <c:pt idx="51">
                  <c:v>-8225.9259259259252</c:v>
                </c:pt>
                <c:pt idx="52">
                  <c:v>-8271.9512195121952</c:v>
                </c:pt>
                <c:pt idx="53">
                  <c:v>-8327.3809523809523</c:v>
                </c:pt>
                <c:pt idx="54">
                  <c:v>-8275.5813953488378</c:v>
                </c:pt>
                <c:pt idx="55">
                  <c:v>-8275.5813953488378</c:v>
                </c:pt>
                <c:pt idx="56">
                  <c:v>-8203.2967032967026</c:v>
                </c:pt>
                <c:pt idx="57">
                  <c:v>-8229.7872340425529</c:v>
                </c:pt>
                <c:pt idx="58">
                  <c:v>-8221.649484536083</c:v>
                </c:pt>
                <c:pt idx="59">
                  <c:v>-8221.649484536083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28.13203300825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ぱぱ2!$A$3:$A$62</c:f>
              <c:numCache>
                <c:formatCode>0\ "回"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ぱぱ2!$K$3:$K$62</c:f>
              <c:numCache>
                <c:formatCode>0.0%</c:formatCode>
                <c:ptCount val="60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0.13043478260869565</c:v>
                </c:pt>
                <c:pt idx="47">
                  <c:v>0.14893617021276595</c:v>
                </c:pt>
                <c:pt idx="48">
                  <c:v>0.14583333333333334</c:v>
                </c:pt>
                <c:pt idx="49">
                  <c:v>0.14285714285714285</c:v>
                </c:pt>
                <c:pt idx="50">
                  <c:v>0.14000000000000001</c:v>
                </c:pt>
                <c:pt idx="51">
                  <c:v>0.15686274509803921</c:v>
                </c:pt>
                <c:pt idx="52">
                  <c:v>0.15384615384615385</c:v>
                </c:pt>
                <c:pt idx="53">
                  <c:v>0.15094339622641509</c:v>
                </c:pt>
                <c:pt idx="54">
                  <c:v>0.14814814814814814</c:v>
                </c:pt>
                <c:pt idx="55">
                  <c:v>0.14545454545454545</c:v>
                </c:pt>
                <c:pt idx="56">
                  <c:v>0.14285714285714285</c:v>
                </c:pt>
                <c:pt idx="57">
                  <c:v>0.15789473684210525</c:v>
                </c:pt>
                <c:pt idx="58">
                  <c:v>0.17241379310344829</c:v>
                </c:pt>
                <c:pt idx="59">
                  <c:v>0.16949152542372881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9418483904465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ぱぱ2!$A$3:$A$62</c:f>
              <c:numCache>
                <c:formatCode>0\ "回"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ぱぱ2!$L$3:$L$62</c:f>
              <c:numCache>
                <c:formatCode>0.0%</c:formatCode>
                <c:ptCount val="6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6.9767441860465115E-2</c:v>
                </c:pt>
                <c:pt idx="44">
                  <c:v>6.8181818181818177E-2</c:v>
                </c:pt>
                <c:pt idx="45">
                  <c:v>6.6666666666666666E-2</c:v>
                </c:pt>
                <c:pt idx="46">
                  <c:v>6.5217391304347824E-2</c:v>
                </c:pt>
                <c:pt idx="47">
                  <c:v>6.3829787234042548E-2</c:v>
                </c:pt>
                <c:pt idx="48">
                  <c:v>6.25E-2</c:v>
                </c:pt>
                <c:pt idx="49">
                  <c:v>6.1224489795918366E-2</c:v>
                </c:pt>
                <c:pt idx="50">
                  <c:v>0.06</c:v>
                </c:pt>
                <c:pt idx="51">
                  <c:v>5.8823529411764705E-2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9418483904465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ぱぱ2!$A$3:$A$62</c:f>
              <c:numCache>
                <c:formatCode>0\ "回"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ぱぱ2!$M$3:$M$62</c:f>
              <c:numCache>
                <c:formatCode>0.0%</c:formatCode>
                <c:ptCount val="60"/>
                <c:pt idx="1">
                  <c:v>0.14285714285714285</c:v>
                </c:pt>
                <c:pt idx="2">
                  <c:v>0.15789473684210525</c:v>
                </c:pt>
                <c:pt idx="3">
                  <c:v>0.14814814814814814</c:v>
                </c:pt>
                <c:pt idx="4">
                  <c:v>0.17948717948717949</c:v>
                </c:pt>
                <c:pt idx="5">
                  <c:v>0.19148936170212766</c:v>
                </c:pt>
                <c:pt idx="6">
                  <c:v>0.16666666666666666</c:v>
                </c:pt>
                <c:pt idx="7">
                  <c:v>0.140625</c:v>
                </c:pt>
                <c:pt idx="8">
                  <c:v>0.14864864864864866</c:v>
                </c:pt>
                <c:pt idx="9">
                  <c:v>0.14285714285714285</c:v>
                </c:pt>
                <c:pt idx="10">
                  <c:v>0.14432989690721648</c:v>
                </c:pt>
                <c:pt idx="11">
                  <c:v>0.13592233009708737</c:v>
                </c:pt>
                <c:pt idx="12">
                  <c:v>0.15929203539823009</c:v>
                </c:pt>
                <c:pt idx="13">
                  <c:v>0.17094017094017094</c:v>
                </c:pt>
                <c:pt idx="14">
                  <c:v>0.18253968253968253</c:v>
                </c:pt>
                <c:pt idx="15">
                  <c:v>0.19402985074626866</c:v>
                </c:pt>
                <c:pt idx="16">
                  <c:v>0.18571428571428572</c:v>
                </c:pt>
                <c:pt idx="17">
                  <c:v>0.18709677419354839</c:v>
                </c:pt>
                <c:pt idx="18">
                  <c:v>0.19277108433734941</c:v>
                </c:pt>
                <c:pt idx="19">
                  <c:v>0.2</c:v>
                </c:pt>
                <c:pt idx="20">
                  <c:v>0.20855614973262032</c:v>
                </c:pt>
                <c:pt idx="21">
                  <c:v>0.21134020618556701</c:v>
                </c:pt>
                <c:pt idx="22">
                  <c:v>0.215</c:v>
                </c:pt>
                <c:pt idx="23">
                  <c:v>0.20873786407766989</c:v>
                </c:pt>
                <c:pt idx="24">
                  <c:v>0.21860465116279071</c:v>
                </c:pt>
                <c:pt idx="25">
                  <c:v>0.21621621621621623</c:v>
                </c:pt>
                <c:pt idx="26">
                  <c:v>0.22413793103448276</c:v>
                </c:pt>
                <c:pt idx="27">
                  <c:v>0.23236514522821577</c:v>
                </c:pt>
                <c:pt idx="28">
                  <c:v>0.24</c:v>
                </c:pt>
                <c:pt idx="29">
                  <c:v>0.24031007751937986</c:v>
                </c:pt>
                <c:pt idx="30">
                  <c:v>0.2339622641509434</c:v>
                </c:pt>
                <c:pt idx="31">
                  <c:v>0.24087591240875914</c:v>
                </c:pt>
                <c:pt idx="32">
                  <c:v>0.23843416370106763</c:v>
                </c:pt>
                <c:pt idx="33">
                  <c:v>0.23287671232876711</c:v>
                </c:pt>
                <c:pt idx="34">
                  <c:v>0.22697368421052633</c:v>
                </c:pt>
                <c:pt idx="35">
                  <c:v>0.22756410256410256</c:v>
                </c:pt>
                <c:pt idx="36">
                  <c:v>0.23197492163009403</c:v>
                </c:pt>
                <c:pt idx="37">
                  <c:v>0.22865853658536586</c:v>
                </c:pt>
                <c:pt idx="38">
                  <c:v>0.23511904761904762</c:v>
                </c:pt>
                <c:pt idx="39">
                  <c:v>0.23391812865497075</c:v>
                </c:pt>
                <c:pt idx="40">
                  <c:v>0.23054755043227665</c:v>
                </c:pt>
                <c:pt idx="41">
                  <c:v>0.23098591549295774</c:v>
                </c:pt>
                <c:pt idx="42">
                  <c:v>0.22865013774104684</c:v>
                </c:pt>
                <c:pt idx="43">
                  <c:v>0.22933333333333333</c:v>
                </c:pt>
                <c:pt idx="44">
                  <c:v>0.23036649214659685</c:v>
                </c:pt>
                <c:pt idx="45">
                  <c:v>0.22879177377892032</c:v>
                </c:pt>
                <c:pt idx="46">
                  <c:v>0.22531645569620254</c:v>
                </c:pt>
                <c:pt idx="47">
                  <c:v>0.21975308641975308</c:v>
                </c:pt>
                <c:pt idx="48">
                  <c:v>0.22168674698795179</c:v>
                </c:pt>
                <c:pt idx="49">
                  <c:v>0.22274881516587677</c:v>
                </c:pt>
                <c:pt idx="50">
                  <c:v>0.22632794457274827</c:v>
                </c:pt>
                <c:pt idx="51">
                  <c:v>0.22272727272727272</c:v>
                </c:pt>
                <c:pt idx="52">
                  <c:v>0.22666666666666666</c:v>
                </c:pt>
                <c:pt idx="53">
                  <c:v>0.22342733188720174</c:v>
                </c:pt>
                <c:pt idx="54">
                  <c:v>0.21961620469083157</c:v>
                </c:pt>
                <c:pt idx="55">
                  <c:v>0.22129436325678498</c:v>
                </c:pt>
                <c:pt idx="56">
                  <c:v>0.22040816326530613</c:v>
                </c:pt>
                <c:pt idx="57">
                  <c:v>0.22132796780684105</c:v>
                </c:pt>
                <c:pt idx="58">
                  <c:v>0.21868787276341947</c:v>
                </c:pt>
                <c:pt idx="59">
                  <c:v>0.21782178217821782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8497617256082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ぱぱ2!$A$3:$A$62</c:f>
              <c:numCache>
                <c:formatCode>0\ "回"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ぱぱ2!$N$3:$N$62</c:f>
              <c:numCache>
                <c:formatCode>0.0%</c:formatCode>
                <c:ptCount val="60"/>
                <c:pt idx="1">
                  <c:v>0.14285714285714285</c:v>
                </c:pt>
                <c:pt idx="2">
                  <c:v>0.10526315789473684</c:v>
                </c:pt>
                <c:pt idx="3">
                  <c:v>0.1111111111111111</c:v>
                </c:pt>
                <c:pt idx="4">
                  <c:v>0.10256410256410256</c:v>
                </c:pt>
                <c:pt idx="5">
                  <c:v>0.1276595744680851</c:v>
                </c:pt>
                <c:pt idx="6">
                  <c:v>0.14814814814814814</c:v>
                </c:pt>
                <c:pt idx="7">
                  <c:v>0.1875</c:v>
                </c:pt>
                <c:pt idx="8">
                  <c:v>0.21621621621621623</c:v>
                </c:pt>
                <c:pt idx="9">
                  <c:v>0.23809523809523808</c:v>
                </c:pt>
                <c:pt idx="10">
                  <c:v>0.25773195876288657</c:v>
                </c:pt>
                <c:pt idx="11">
                  <c:v>0.25242718446601942</c:v>
                </c:pt>
                <c:pt idx="12">
                  <c:v>0.23008849557522124</c:v>
                </c:pt>
                <c:pt idx="13">
                  <c:v>0.23076923076923078</c:v>
                </c:pt>
                <c:pt idx="14">
                  <c:v>0.23809523809523808</c:v>
                </c:pt>
                <c:pt idx="15">
                  <c:v>0.23134328358208955</c:v>
                </c:pt>
                <c:pt idx="16">
                  <c:v>0.22857142857142856</c:v>
                </c:pt>
                <c:pt idx="17">
                  <c:v>0.22580645161290322</c:v>
                </c:pt>
                <c:pt idx="18">
                  <c:v>0.2289156626506024</c:v>
                </c:pt>
                <c:pt idx="19">
                  <c:v>0.22857142857142856</c:v>
                </c:pt>
                <c:pt idx="20">
                  <c:v>0.22994652406417113</c:v>
                </c:pt>
                <c:pt idx="21">
                  <c:v>0.22164948453608246</c:v>
                </c:pt>
                <c:pt idx="22">
                  <c:v>0.22500000000000001</c:v>
                </c:pt>
                <c:pt idx="23">
                  <c:v>0.23786407766990292</c:v>
                </c:pt>
                <c:pt idx="24">
                  <c:v>0.22790697674418606</c:v>
                </c:pt>
                <c:pt idx="25">
                  <c:v>0.22972972972972974</c:v>
                </c:pt>
                <c:pt idx="26">
                  <c:v>0.22413793103448276</c:v>
                </c:pt>
                <c:pt idx="27">
                  <c:v>0.21991701244813278</c:v>
                </c:pt>
                <c:pt idx="28">
                  <c:v>0.224</c:v>
                </c:pt>
                <c:pt idx="29">
                  <c:v>0.22480620155038761</c:v>
                </c:pt>
                <c:pt idx="30">
                  <c:v>0.23018867924528302</c:v>
                </c:pt>
                <c:pt idx="31">
                  <c:v>0.22992700729927007</c:v>
                </c:pt>
                <c:pt idx="32">
                  <c:v>0.23487544483985764</c:v>
                </c:pt>
                <c:pt idx="33">
                  <c:v>0.25</c:v>
                </c:pt>
                <c:pt idx="34">
                  <c:v>0.25</c:v>
                </c:pt>
                <c:pt idx="35">
                  <c:v>0.25320512820512819</c:v>
                </c:pt>
                <c:pt idx="36">
                  <c:v>0.25391849529780564</c:v>
                </c:pt>
                <c:pt idx="37">
                  <c:v>0.25</c:v>
                </c:pt>
                <c:pt idx="38">
                  <c:v>0.25</c:v>
                </c:pt>
                <c:pt idx="39">
                  <c:v>0.24853801169590642</c:v>
                </c:pt>
                <c:pt idx="40">
                  <c:v>0.25360230547550433</c:v>
                </c:pt>
                <c:pt idx="41">
                  <c:v>0.25352112676056338</c:v>
                </c:pt>
                <c:pt idx="42">
                  <c:v>0.25344352617079891</c:v>
                </c:pt>
                <c:pt idx="43">
                  <c:v>0.26133333333333331</c:v>
                </c:pt>
                <c:pt idx="44">
                  <c:v>0.25654450261780104</c:v>
                </c:pt>
                <c:pt idx="45">
                  <c:v>0.25449871465295631</c:v>
                </c:pt>
                <c:pt idx="46">
                  <c:v>0.25569620253164554</c:v>
                </c:pt>
                <c:pt idx="47">
                  <c:v>0.25185185185185183</c:v>
                </c:pt>
                <c:pt idx="48">
                  <c:v>0.25301204819277107</c:v>
                </c:pt>
                <c:pt idx="49">
                  <c:v>0.24881516587677724</c:v>
                </c:pt>
                <c:pt idx="50">
                  <c:v>0.24249422632794457</c:v>
                </c:pt>
                <c:pt idx="51">
                  <c:v>0.24318181818181819</c:v>
                </c:pt>
                <c:pt idx="52">
                  <c:v>0.24</c:v>
                </c:pt>
                <c:pt idx="53">
                  <c:v>0.23644251626898047</c:v>
                </c:pt>
                <c:pt idx="54">
                  <c:v>0.23454157782515991</c:v>
                </c:pt>
                <c:pt idx="55">
                  <c:v>0.23173277661795408</c:v>
                </c:pt>
                <c:pt idx="56">
                  <c:v>0.22653061224489796</c:v>
                </c:pt>
                <c:pt idx="57">
                  <c:v>0.22535211267605634</c:v>
                </c:pt>
                <c:pt idx="58">
                  <c:v>0.22465208747514911</c:v>
                </c:pt>
                <c:pt idx="59">
                  <c:v>0.22376237623762377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3819914722849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ぱぱ2!$A$3:$A$62</c:f>
              <c:numCache>
                <c:formatCode>0\ "回"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ぱぱ2!$O$3:$O$62</c:f>
              <c:numCache>
                <c:formatCode>0.0%</c:formatCode>
                <c:ptCount val="60"/>
                <c:pt idx="1">
                  <c:v>0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0.5714285714285714</c:v>
                </c:pt>
                <c:pt idx="5">
                  <c:v>0.44444444444444442</c:v>
                </c:pt>
                <c:pt idx="6">
                  <c:v>0.44444444444444442</c:v>
                </c:pt>
                <c:pt idx="7">
                  <c:v>0.44444444444444442</c:v>
                </c:pt>
                <c:pt idx="8">
                  <c:v>0.45454545454545453</c:v>
                </c:pt>
                <c:pt idx="9">
                  <c:v>0.41666666666666669</c:v>
                </c:pt>
                <c:pt idx="10">
                  <c:v>0.42857142857142855</c:v>
                </c:pt>
                <c:pt idx="11">
                  <c:v>0.42857142857142855</c:v>
                </c:pt>
                <c:pt idx="12">
                  <c:v>0.5</c:v>
                </c:pt>
                <c:pt idx="13">
                  <c:v>0.45</c:v>
                </c:pt>
                <c:pt idx="14">
                  <c:v>0.47826086956521741</c:v>
                </c:pt>
                <c:pt idx="15">
                  <c:v>0.53846153846153844</c:v>
                </c:pt>
                <c:pt idx="16">
                  <c:v>0.53846153846153844</c:v>
                </c:pt>
                <c:pt idx="17">
                  <c:v>0.55172413793103448</c:v>
                </c:pt>
                <c:pt idx="18">
                  <c:v>0.5625</c:v>
                </c:pt>
                <c:pt idx="19">
                  <c:v>0.54285714285714282</c:v>
                </c:pt>
                <c:pt idx="20">
                  <c:v>0.53846153846153844</c:v>
                </c:pt>
                <c:pt idx="21">
                  <c:v>0.53658536585365857</c:v>
                </c:pt>
                <c:pt idx="22">
                  <c:v>0.53488372093023251</c:v>
                </c:pt>
                <c:pt idx="23">
                  <c:v>0.53488372093023251</c:v>
                </c:pt>
                <c:pt idx="24">
                  <c:v>0.55319148936170215</c:v>
                </c:pt>
                <c:pt idx="25">
                  <c:v>0.54166666666666663</c:v>
                </c:pt>
                <c:pt idx="26">
                  <c:v>0.57692307692307687</c:v>
                </c:pt>
                <c:pt idx="27">
                  <c:v>0.5892857142857143</c:v>
                </c:pt>
                <c:pt idx="28">
                  <c:v>0.58333333333333337</c:v>
                </c:pt>
                <c:pt idx="29">
                  <c:v>0.59677419354838712</c:v>
                </c:pt>
                <c:pt idx="30">
                  <c:v>0.59677419354838712</c:v>
                </c:pt>
                <c:pt idx="31">
                  <c:v>0.60606060606060608</c:v>
                </c:pt>
                <c:pt idx="32">
                  <c:v>0.59701492537313428</c:v>
                </c:pt>
                <c:pt idx="33">
                  <c:v>0.6029411764705882</c:v>
                </c:pt>
                <c:pt idx="34">
                  <c:v>0.59420289855072461</c:v>
                </c:pt>
                <c:pt idx="35">
                  <c:v>0.60563380281690138</c:v>
                </c:pt>
                <c:pt idx="36">
                  <c:v>0.60810810810810811</c:v>
                </c:pt>
                <c:pt idx="37">
                  <c:v>0.61333333333333329</c:v>
                </c:pt>
                <c:pt idx="38">
                  <c:v>0.60759493670886078</c:v>
                </c:pt>
                <c:pt idx="39">
                  <c:v>0.6</c:v>
                </c:pt>
                <c:pt idx="40">
                  <c:v>0.6</c:v>
                </c:pt>
                <c:pt idx="41">
                  <c:v>0.59756097560975607</c:v>
                </c:pt>
                <c:pt idx="42">
                  <c:v>0.59036144578313254</c:v>
                </c:pt>
                <c:pt idx="43">
                  <c:v>0.59302325581395354</c:v>
                </c:pt>
                <c:pt idx="44">
                  <c:v>0.59090909090909094</c:v>
                </c:pt>
                <c:pt idx="45">
                  <c:v>0.5842696629213483</c:v>
                </c:pt>
                <c:pt idx="46">
                  <c:v>0.5842696629213483</c:v>
                </c:pt>
                <c:pt idx="47">
                  <c:v>0.5842696629213483</c:v>
                </c:pt>
                <c:pt idx="48">
                  <c:v>0.59782608695652173</c:v>
                </c:pt>
                <c:pt idx="49">
                  <c:v>0.58510638297872342</c:v>
                </c:pt>
                <c:pt idx="50">
                  <c:v>0.5714285714285714</c:v>
                </c:pt>
                <c:pt idx="51">
                  <c:v>0.5714285714285714</c:v>
                </c:pt>
                <c:pt idx="52">
                  <c:v>0.55882352941176472</c:v>
                </c:pt>
                <c:pt idx="53">
                  <c:v>0.55339805825242716</c:v>
                </c:pt>
                <c:pt idx="54">
                  <c:v>0.55339805825242716</c:v>
                </c:pt>
                <c:pt idx="55">
                  <c:v>0.56603773584905659</c:v>
                </c:pt>
                <c:pt idx="56">
                  <c:v>0.57407407407407407</c:v>
                </c:pt>
                <c:pt idx="57">
                  <c:v>0.5636363636363636</c:v>
                </c:pt>
                <c:pt idx="58">
                  <c:v>0.5636363636363636</c:v>
                </c:pt>
                <c:pt idx="59">
                  <c:v>0.5636363636363636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730032695002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ぱぱ2!$A$3:$A$62</c:f>
              <c:numCache>
                <c:formatCode>0\ "回"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ぱぱ2!$P$3:$P$62</c:f>
              <c:numCache>
                <c:formatCode>0.0%</c:formatCode>
                <c:ptCount val="60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0.16666666666666666</c:v>
                </c:pt>
                <c:pt idx="6">
                  <c:v>0.25</c:v>
                </c:pt>
                <c:pt idx="7">
                  <c:v>0.33333333333333331</c:v>
                </c:pt>
                <c:pt idx="8">
                  <c:v>0.375</c:v>
                </c:pt>
                <c:pt idx="9">
                  <c:v>0.3</c:v>
                </c:pt>
                <c:pt idx="10">
                  <c:v>0.36</c:v>
                </c:pt>
                <c:pt idx="11">
                  <c:v>0.38461538461538464</c:v>
                </c:pt>
                <c:pt idx="12">
                  <c:v>0.38461538461538464</c:v>
                </c:pt>
                <c:pt idx="13">
                  <c:v>0.37037037037037035</c:v>
                </c:pt>
                <c:pt idx="14">
                  <c:v>0.33333333333333331</c:v>
                </c:pt>
                <c:pt idx="15">
                  <c:v>0.32258064516129031</c:v>
                </c:pt>
                <c:pt idx="16">
                  <c:v>0.3125</c:v>
                </c:pt>
                <c:pt idx="17">
                  <c:v>0.31428571428571428</c:v>
                </c:pt>
                <c:pt idx="18">
                  <c:v>0.34210526315789475</c:v>
                </c:pt>
                <c:pt idx="19">
                  <c:v>0.32500000000000001</c:v>
                </c:pt>
                <c:pt idx="20">
                  <c:v>0.34883720930232559</c:v>
                </c:pt>
                <c:pt idx="21">
                  <c:v>0.34883720930232559</c:v>
                </c:pt>
                <c:pt idx="22">
                  <c:v>0.33333333333333331</c:v>
                </c:pt>
                <c:pt idx="23">
                  <c:v>0.32653061224489793</c:v>
                </c:pt>
                <c:pt idx="24">
                  <c:v>0.32653061224489793</c:v>
                </c:pt>
                <c:pt idx="25">
                  <c:v>0.33333333333333331</c:v>
                </c:pt>
                <c:pt idx="26">
                  <c:v>0.34615384615384615</c:v>
                </c:pt>
                <c:pt idx="27">
                  <c:v>0.33962264150943394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0.32786885245901637</c:v>
                </c:pt>
                <c:pt idx="31">
                  <c:v>0.31746031746031744</c:v>
                </c:pt>
                <c:pt idx="32">
                  <c:v>0.33333333333333331</c:v>
                </c:pt>
                <c:pt idx="33">
                  <c:v>0.34246575342465752</c:v>
                </c:pt>
                <c:pt idx="34">
                  <c:v>0.34210526315789475</c:v>
                </c:pt>
                <c:pt idx="35">
                  <c:v>0.34177215189873417</c:v>
                </c:pt>
                <c:pt idx="36">
                  <c:v>0.33333333333333331</c:v>
                </c:pt>
                <c:pt idx="37">
                  <c:v>0.32926829268292684</c:v>
                </c:pt>
                <c:pt idx="38">
                  <c:v>0.33333333333333331</c:v>
                </c:pt>
                <c:pt idx="39">
                  <c:v>0.3411764705882353</c:v>
                </c:pt>
                <c:pt idx="40">
                  <c:v>0.32954545454545453</c:v>
                </c:pt>
                <c:pt idx="41">
                  <c:v>0.32222222222222224</c:v>
                </c:pt>
                <c:pt idx="42">
                  <c:v>0.32608695652173914</c:v>
                </c:pt>
                <c:pt idx="43">
                  <c:v>0.33673469387755101</c:v>
                </c:pt>
                <c:pt idx="44">
                  <c:v>0.33673469387755101</c:v>
                </c:pt>
                <c:pt idx="45">
                  <c:v>0.33333333333333331</c:v>
                </c:pt>
                <c:pt idx="46">
                  <c:v>0.32673267326732675</c:v>
                </c:pt>
                <c:pt idx="47">
                  <c:v>0.3235294117647059</c:v>
                </c:pt>
                <c:pt idx="48">
                  <c:v>0.33333333333333331</c:v>
                </c:pt>
                <c:pt idx="49">
                  <c:v>0.33333333333333331</c:v>
                </c:pt>
                <c:pt idx="50">
                  <c:v>0.33333333333333331</c:v>
                </c:pt>
                <c:pt idx="51">
                  <c:v>0.32710280373831774</c:v>
                </c:pt>
                <c:pt idx="52">
                  <c:v>0.33333333333333331</c:v>
                </c:pt>
                <c:pt idx="53">
                  <c:v>0.33944954128440369</c:v>
                </c:pt>
                <c:pt idx="54">
                  <c:v>0.34545454545454546</c:v>
                </c:pt>
                <c:pt idx="55">
                  <c:v>0.34234234234234234</c:v>
                </c:pt>
                <c:pt idx="56">
                  <c:v>0.34234234234234234</c:v>
                </c:pt>
                <c:pt idx="57">
                  <c:v>0.3392857142857143</c:v>
                </c:pt>
                <c:pt idx="58">
                  <c:v>0.33628318584070799</c:v>
                </c:pt>
                <c:pt idx="59">
                  <c:v>0.33628318584070799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8240469208211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ぱぱ2!$A$3:$A$62</c:f>
              <c:numCache>
                <c:formatCode>0\ "回"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ぱぱ2!$Q$3:$Q$62</c:f>
              <c:numCache>
                <c:formatCode>0.0%</c:formatCode>
                <c:ptCount val="60"/>
                <c:pt idx="1">
                  <c:v>1</c:v>
                </c:pt>
                <c:pt idx="2">
                  <c:v>0.8</c:v>
                </c:pt>
                <c:pt idx="3">
                  <c:v>0.8</c:v>
                </c:pt>
                <c:pt idx="4">
                  <c:v>0.77777777777777779</c:v>
                </c:pt>
                <c:pt idx="5">
                  <c:v>0.77777777777777779</c:v>
                </c:pt>
                <c:pt idx="6">
                  <c:v>0.7</c:v>
                </c:pt>
                <c:pt idx="7">
                  <c:v>0.61538461538461542</c:v>
                </c:pt>
                <c:pt idx="8">
                  <c:v>0.55555555555555558</c:v>
                </c:pt>
                <c:pt idx="9">
                  <c:v>0.6</c:v>
                </c:pt>
                <c:pt idx="10">
                  <c:v>0.52</c:v>
                </c:pt>
                <c:pt idx="11">
                  <c:v>0.5</c:v>
                </c:pt>
                <c:pt idx="12">
                  <c:v>0.53125</c:v>
                </c:pt>
                <c:pt idx="13">
                  <c:v>0.53125</c:v>
                </c:pt>
                <c:pt idx="14">
                  <c:v>0.51428571428571423</c:v>
                </c:pt>
                <c:pt idx="15">
                  <c:v>0.52631578947368418</c:v>
                </c:pt>
                <c:pt idx="16">
                  <c:v>0.5</c:v>
                </c:pt>
                <c:pt idx="17">
                  <c:v>0.5</c:v>
                </c:pt>
                <c:pt idx="18">
                  <c:v>0.48979591836734693</c:v>
                </c:pt>
                <c:pt idx="19">
                  <c:v>0.49019607843137253</c:v>
                </c:pt>
                <c:pt idx="20">
                  <c:v>0.49090909090909091</c:v>
                </c:pt>
                <c:pt idx="21">
                  <c:v>0.5</c:v>
                </c:pt>
                <c:pt idx="22">
                  <c:v>0.50877192982456143</c:v>
                </c:pt>
                <c:pt idx="23">
                  <c:v>0.50847457627118642</c:v>
                </c:pt>
                <c:pt idx="24">
                  <c:v>0.5</c:v>
                </c:pt>
                <c:pt idx="25">
                  <c:v>0.50793650793650791</c:v>
                </c:pt>
                <c:pt idx="26">
                  <c:v>0.51470588235294112</c:v>
                </c:pt>
                <c:pt idx="27">
                  <c:v>0.51388888888888884</c:v>
                </c:pt>
                <c:pt idx="28">
                  <c:v>0.51315789473684215</c:v>
                </c:pt>
                <c:pt idx="29">
                  <c:v>0.51851851851851849</c:v>
                </c:pt>
                <c:pt idx="30">
                  <c:v>0.51851851851851849</c:v>
                </c:pt>
                <c:pt idx="31">
                  <c:v>0.51190476190476186</c:v>
                </c:pt>
                <c:pt idx="32">
                  <c:v>0.51724137931034486</c:v>
                </c:pt>
                <c:pt idx="33">
                  <c:v>0.53260869565217395</c:v>
                </c:pt>
                <c:pt idx="34">
                  <c:v>0.5268817204301075</c:v>
                </c:pt>
                <c:pt idx="35">
                  <c:v>0.52083333333333337</c:v>
                </c:pt>
                <c:pt idx="36">
                  <c:v>0.52040816326530615</c:v>
                </c:pt>
                <c:pt idx="37">
                  <c:v>0.51515151515151514</c:v>
                </c:pt>
                <c:pt idx="38">
                  <c:v>0.51960784313725494</c:v>
                </c:pt>
                <c:pt idx="39">
                  <c:v>0.5145631067961165</c:v>
                </c:pt>
                <c:pt idx="40">
                  <c:v>0.5145631067961165</c:v>
                </c:pt>
                <c:pt idx="41">
                  <c:v>0.51923076923076927</c:v>
                </c:pt>
                <c:pt idx="42">
                  <c:v>0.51886792452830188</c:v>
                </c:pt>
                <c:pt idx="43">
                  <c:v>0.50450450450450446</c:v>
                </c:pt>
                <c:pt idx="44">
                  <c:v>0.50877192982456143</c:v>
                </c:pt>
                <c:pt idx="45">
                  <c:v>0.50862068965517238</c:v>
                </c:pt>
                <c:pt idx="46">
                  <c:v>0.50862068965517238</c:v>
                </c:pt>
                <c:pt idx="47">
                  <c:v>0.51282051282051277</c:v>
                </c:pt>
                <c:pt idx="48">
                  <c:v>0.50819672131147542</c:v>
                </c:pt>
                <c:pt idx="49">
                  <c:v>0.50406504065040647</c:v>
                </c:pt>
                <c:pt idx="50">
                  <c:v>0.504</c:v>
                </c:pt>
                <c:pt idx="51">
                  <c:v>0.5</c:v>
                </c:pt>
                <c:pt idx="52">
                  <c:v>0.50387596899224807</c:v>
                </c:pt>
                <c:pt idx="53">
                  <c:v>0.50381679389312972</c:v>
                </c:pt>
                <c:pt idx="54">
                  <c:v>0.50375939849624063</c:v>
                </c:pt>
                <c:pt idx="55">
                  <c:v>0.5</c:v>
                </c:pt>
                <c:pt idx="56">
                  <c:v>0.5</c:v>
                </c:pt>
                <c:pt idx="57">
                  <c:v>0.50354609929078009</c:v>
                </c:pt>
                <c:pt idx="58">
                  <c:v>0.50354609929078009</c:v>
                </c:pt>
                <c:pt idx="59">
                  <c:v>0.50354609929078009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1875525651808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59765625" style="1" customWidth="1"/>
    <col min="11" max="11" width="3.5" style="5" customWidth="1"/>
    <col min="12" max="12" width="9" style="99" customWidth="1"/>
    <col min="13" max="13" width="3.59765625" style="1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1"/>
  </cols>
  <sheetData>
    <row r="1" spans="1:17" x14ac:dyDescent="0.45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5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5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5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5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5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5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5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5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5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5">
      <c r="A11" s="56" t="s">
        <v>140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5">
      <c r="A12" s="57" t="s">
        <v>160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5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5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5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5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5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5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5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5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5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5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5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5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5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5">
      <c r="A26" s="58" t="s">
        <v>152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5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5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5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5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5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5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5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5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5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5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5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5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5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5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5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5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5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5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5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5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5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5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5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5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5">
      <c r="E51" s="136" t="s">
        <v>245</v>
      </c>
      <c r="F51" s="137" t="s">
        <v>246</v>
      </c>
      <c r="G51" s="48">
        <v>0</v>
      </c>
      <c r="H51" s="138">
        <f>IF(B$17=0,0,G51/B$17)</f>
        <v>0</v>
      </c>
      <c r="I51" s="139"/>
    </row>
    <row r="52" spans="5:9" x14ac:dyDescent="0.45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98"/>
  <sheetViews>
    <sheetView workbookViewId="0"/>
  </sheetViews>
  <sheetFormatPr defaultColWidth="9" defaultRowHeight="18" x14ac:dyDescent="0.45"/>
  <cols>
    <col min="1" max="1" width="19.19921875" style="30" customWidth="1"/>
    <col min="2" max="2" width="19.19921875" style="31" customWidth="1"/>
    <col min="3" max="16384" width="9" style="30"/>
  </cols>
  <sheetData>
    <row r="1" spans="1:10" x14ac:dyDescent="0.45">
      <c r="A1" s="29">
        <v>32874</v>
      </c>
      <c r="B1" s="29">
        <v>2958465</v>
      </c>
    </row>
    <row r="2" spans="1:10" x14ac:dyDescent="0.45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5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5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5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5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5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5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5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5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5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5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5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5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5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5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5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5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5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5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5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5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5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5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5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5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5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5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5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5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5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5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5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5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5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5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5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5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5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5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5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5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5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5">
      <c r="A44" s="30" t="s">
        <v>231</v>
      </c>
      <c r="B44" s="31">
        <v>43607.87667824074</v>
      </c>
      <c r="C44" s="30" t="s">
        <v>130</v>
      </c>
    </row>
    <row r="45" spans="1:11" x14ac:dyDescent="0.45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5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5">
      <c r="A47" s="30" t="s">
        <v>233</v>
      </c>
      <c r="B47" s="31">
        <v>43607.920266203706</v>
      </c>
      <c r="C47" s="30" t="s">
        <v>130</v>
      </c>
    </row>
    <row r="48" spans="1:11" x14ac:dyDescent="0.45">
      <c r="A48" s="30" t="s">
        <v>235</v>
      </c>
      <c r="B48" s="31">
        <v>43609.644525462965</v>
      </c>
      <c r="C48" s="30" t="s">
        <v>130</v>
      </c>
    </row>
    <row r="49" spans="1:7" x14ac:dyDescent="0.45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5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5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5">
      <c r="A52" s="30" t="s">
        <v>237</v>
      </c>
      <c r="B52" s="31">
        <v>43613.63894675926</v>
      </c>
      <c r="C52" s="30" t="s">
        <v>130</v>
      </c>
    </row>
    <row r="53" spans="1:7" x14ac:dyDescent="0.45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5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5">
      <c r="A55" s="30" t="s">
        <v>241</v>
      </c>
      <c r="B55" s="31">
        <v>43618.036354166667</v>
      </c>
      <c r="C55" s="30" t="s">
        <v>130</v>
      </c>
    </row>
    <row r="56" spans="1:7" x14ac:dyDescent="0.45">
      <c r="A56" s="30" t="s">
        <v>242</v>
      </c>
      <c r="B56" s="31">
        <v>43619.976898148147</v>
      </c>
      <c r="C56" s="30" t="s">
        <v>130</v>
      </c>
    </row>
    <row r="57" spans="1:7" x14ac:dyDescent="0.45">
      <c r="A57" s="30" t="s">
        <v>243</v>
      </c>
      <c r="B57" s="31">
        <v>43620.019814814812</v>
      </c>
      <c r="C57" s="30" t="s">
        <v>130</v>
      </c>
    </row>
    <row r="58" spans="1:7" x14ac:dyDescent="0.45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5">
      <c r="A59" s="30" t="s">
        <v>249</v>
      </c>
      <c r="B59" s="31">
        <v>43622.069513888891</v>
      </c>
      <c r="C59" s="30" t="s">
        <v>130</v>
      </c>
    </row>
    <row r="60" spans="1:7" x14ac:dyDescent="0.45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5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5">
      <c r="A62" s="30" t="s">
        <v>252</v>
      </c>
      <c r="B62" s="31">
        <v>43625.885787037034</v>
      </c>
      <c r="C62" s="30" t="s">
        <v>130</v>
      </c>
    </row>
    <row r="63" spans="1:7" x14ac:dyDescent="0.45">
      <c r="A63" s="30" t="s">
        <v>253</v>
      </c>
      <c r="B63" s="31">
        <v>43627.998032407406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5">
      <c r="A64" s="30" t="s">
        <v>254</v>
      </c>
      <c r="B64" s="31">
        <v>43636.961435185185</v>
      </c>
      <c r="C64" s="30" t="s">
        <v>130</v>
      </c>
      <c r="D64" s="30" t="s">
        <v>131</v>
      </c>
    </row>
    <row r="65" spans="1:6" x14ac:dyDescent="0.45">
      <c r="A65" s="30" t="s">
        <v>255</v>
      </c>
      <c r="B65" s="31">
        <v>43630.051932870374</v>
      </c>
      <c r="C65" s="30" t="s">
        <v>130</v>
      </c>
      <c r="D65" s="30" t="s">
        <v>131</v>
      </c>
      <c r="E65" s="30" t="s">
        <v>169</v>
      </c>
    </row>
    <row r="66" spans="1:6" x14ac:dyDescent="0.45">
      <c r="A66" s="30" t="s">
        <v>256</v>
      </c>
      <c r="B66" s="31">
        <v>43632.957395833335</v>
      </c>
      <c r="C66" s="30" t="s">
        <v>130</v>
      </c>
      <c r="D66" s="30" t="s">
        <v>131</v>
      </c>
    </row>
    <row r="67" spans="1:6" x14ac:dyDescent="0.45">
      <c r="A67" s="30" t="s">
        <v>257</v>
      </c>
      <c r="B67" s="31">
        <v>43632.957395833335</v>
      </c>
      <c r="C67" s="30" t="s">
        <v>130</v>
      </c>
      <c r="D67" s="30" t="s">
        <v>131</v>
      </c>
      <c r="E67" s="30" t="s">
        <v>169</v>
      </c>
    </row>
    <row r="68" spans="1:6" x14ac:dyDescent="0.45">
      <c r="A68" s="30" t="s">
        <v>258</v>
      </c>
      <c r="B68" s="31">
        <v>43633.013645833336</v>
      </c>
      <c r="C68" s="30" t="s">
        <v>130</v>
      </c>
      <c r="D68" s="30" t="s">
        <v>131</v>
      </c>
    </row>
    <row r="69" spans="1:6" x14ac:dyDescent="0.45">
      <c r="A69" s="30" t="s">
        <v>259</v>
      </c>
      <c r="B69" s="31">
        <v>43636.961435185185</v>
      </c>
      <c r="C69" s="30" t="s">
        <v>130</v>
      </c>
    </row>
    <row r="70" spans="1:6" x14ac:dyDescent="0.45">
      <c r="A70" s="30" t="s">
        <v>260</v>
      </c>
      <c r="B70" s="31">
        <v>43636.961435185185</v>
      </c>
      <c r="C70" s="30" t="s">
        <v>130</v>
      </c>
      <c r="D70" s="30" t="s">
        <v>131</v>
      </c>
      <c r="E70" s="30" t="s">
        <v>169</v>
      </c>
    </row>
    <row r="71" spans="1:6" x14ac:dyDescent="0.45">
      <c r="A71" s="30" t="s">
        <v>261</v>
      </c>
      <c r="B71" s="31">
        <v>43642.023356481484</v>
      </c>
      <c r="C71" s="30" t="s">
        <v>130</v>
      </c>
      <c r="D71" s="30" t="s">
        <v>131</v>
      </c>
    </row>
    <row r="72" spans="1:6" x14ac:dyDescent="0.45">
      <c r="A72" s="30" t="s">
        <v>262</v>
      </c>
      <c r="B72" s="31">
        <v>43643.036689814813</v>
      </c>
      <c r="C72" s="30" t="s">
        <v>130</v>
      </c>
      <c r="D72" s="30" t="s">
        <v>131</v>
      </c>
    </row>
    <row r="73" spans="1:6" x14ac:dyDescent="0.45">
      <c r="A73" s="30" t="s">
        <v>263</v>
      </c>
      <c r="B73" s="31">
        <v>43644.044224537036</v>
      </c>
      <c r="C73" s="30" t="s">
        <v>130</v>
      </c>
    </row>
    <row r="74" spans="1:6" x14ac:dyDescent="0.45">
      <c r="A74" s="30" t="s">
        <v>264</v>
      </c>
      <c r="B74" s="31">
        <v>43644.021412037036</v>
      </c>
      <c r="C74" s="30" t="s">
        <v>130</v>
      </c>
      <c r="D74" s="30" t="s">
        <v>131</v>
      </c>
    </row>
    <row r="75" spans="1:6" x14ac:dyDescent="0.45">
      <c r="A75" s="30" t="s">
        <v>265</v>
      </c>
      <c r="B75" s="31">
        <v>43647.957407407404</v>
      </c>
      <c r="C75" s="30" t="s">
        <v>130</v>
      </c>
      <c r="D75" s="30" t="s">
        <v>131</v>
      </c>
    </row>
    <row r="76" spans="1:6" x14ac:dyDescent="0.45">
      <c r="A76" s="30" t="s">
        <v>266</v>
      </c>
      <c r="B76" s="31">
        <v>43647.957407407404</v>
      </c>
      <c r="C76" s="30" t="s">
        <v>130</v>
      </c>
      <c r="D76" s="30" t="s">
        <v>131</v>
      </c>
    </row>
    <row r="77" spans="1:6" x14ac:dyDescent="0.45">
      <c r="A77" s="30" t="s">
        <v>267</v>
      </c>
      <c r="B77" s="31">
        <v>43647.957407407404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5">
      <c r="A78" s="30" t="s">
        <v>269</v>
      </c>
      <c r="B78" s="31">
        <v>43647.957407407404</v>
      </c>
      <c r="C78" s="30" t="s">
        <v>130</v>
      </c>
      <c r="D78" s="30" t="s">
        <v>131</v>
      </c>
    </row>
    <row r="79" spans="1:6" x14ac:dyDescent="0.45">
      <c r="A79" s="30" t="s">
        <v>268</v>
      </c>
      <c r="B79" s="31">
        <v>43647.957407407404</v>
      </c>
      <c r="C79" s="30" t="s">
        <v>130</v>
      </c>
      <c r="D79" s="30" t="s">
        <v>131</v>
      </c>
    </row>
    <row r="80" spans="1:6" x14ac:dyDescent="0.45">
      <c r="A80" s="30" t="s">
        <v>270</v>
      </c>
      <c r="B80" s="31">
        <v>43649.374351851853</v>
      </c>
      <c r="C80" s="30" t="s">
        <v>130</v>
      </c>
      <c r="D80" s="30" t="s">
        <v>131</v>
      </c>
    </row>
    <row r="81" spans="1:15" x14ac:dyDescent="0.45">
      <c r="A81" s="30" t="s">
        <v>272</v>
      </c>
      <c r="B81" s="31">
        <v>43650.940601851849</v>
      </c>
      <c r="C81" s="30" t="s">
        <v>130</v>
      </c>
      <c r="D81" s="30" t="s">
        <v>131</v>
      </c>
      <c r="E81" s="30" t="s">
        <v>169</v>
      </c>
    </row>
    <row r="82" spans="1:15" x14ac:dyDescent="0.45">
      <c r="A82" s="30" t="s">
        <v>273</v>
      </c>
      <c r="B82" s="31">
        <v>43651.059791666667</v>
      </c>
      <c r="C82" s="30" t="s">
        <v>130</v>
      </c>
      <c r="D82" s="30" t="s">
        <v>131</v>
      </c>
      <c r="E82" s="30" t="s">
        <v>169</v>
      </c>
    </row>
    <row r="83" spans="1:15" x14ac:dyDescent="0.45">
      <c r="A83" s="30" t="s">
        <v>274</v>
      </c>
      <c r="B83" s="31">
        <v>43652.105497685188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5" x14ac:dyDescent="0.45">
      <c r="A84" s="30" t="s">
        <v>275</v>
      </c>
      <c r="B84" s="31">
        <v>43654.012615740743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5" x14ac:dyDescent="0.45">
      <c r="A85" s="30" t="s">
        <v>276</v>
      </c>
      <c r="B85" s="31">
        <v>43662.009675925925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5" x14ac:dyDescent="0.45">
      <c r="A86" s="30" t="s">
        <v>277</v>
      </c>
      <c r="B86" s="31">
        <v>43662.009675925925</v>
      </c>
      <c r="C86" s="30" t="s">
        <v>130</v>
      </c>
    </row>
    <row r="87" spans="1:15" x14ac:dyDescent="0.45">
      <c r="A87" s="30" t="s">
        <v>278</v>
      </c>
      <c r="B87" s="31">
        <v>43662.009675925925</v>
      </c>
      <c r="C87" s="30" t="s">
        <v>130</v>
      </c>
      <c r="D87" s="30" t="s">
        <v>131</v>
      </c>
      <c r="E87" s="30" t="s">
        <v>169</v>
      </c>
    </row>
    <row r="88" spans="1:15" x14ac:dyDescent="0.45">
      <c r="A88" s="30" t="s">
        <v>279</v>
      </c>
      <c r="B88" s="31">
        <v>43662.009675925925</v>
      </c>
      <c r="C88" s="30" t="s">
        <v>130</v>
      </c>
      <c r="D88" s="30" t="s">
        <v>131</v>
      </c>
      <c r="E88" s="30" t="s">
        <v>169</v>
      </c>
    </row>
    <row r="89" spans="1:15" x14ac:dyDescent="0.45">
      <c r="A89" s="30" t="s">
        <v>280</v>
      </c>
      <c r="B89" s="31">
        <v>43662.009675925925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  <row r="90" spans="1:15" x14ac:dyDescent="0.45">
      <c r="A90" s="30" t="s">
        <v>286</v>
      </c>
      <c r="B90" s="31">
        <v>43662.009675925925</v>
      </c>
      <c r="C90" s="30" t="s">
        <v>130</v>
      </c>
      <c r="D90" s="30" t="s">
        <v>131</v>
      </c>
      <c r="E90" s="30" t="s">
        <v>169</v>
      </c>
    </row>
    <row r="91" spans="1:15" x14ac:dyDescent="0.45">
      <c r="A91" s="30" t="s">
        <v>281</v>
      </c>
      <c r="B91" s="31">
        <v>43662.009675925925</v>
      </c>
      <c r="C91" s="30" t="s">
        <v>130</v>
      </c>
      <c r="D91" s="30" t="s">
        <v>131</v>
      </c>
      <c r="E91" s="30" t="s">
        <v>169</v>
      </c>
      <c r="F91" s="30" t="s">
        <v>174</v>
      </c>
      <c r="G91" s="30" t="s">
        <v>175</v>
      </c>
      <c r="H91" s="30" t="s">
        <v>185</v>
      </c>
      <c r="I91" s="30" t="s">
        <v>186</v>
      </c>
      <c r="J91" s="30" t="s">
        <v>187</v>
      </c>
      <c r="K91" s="30" t="s">
        <v>228</v>
      </c>
      <c r="L91" s="30" t="s">
        <v>282</v>
      </c>
      <c r="M91" s="30" t="s">
        <v>283</v>
      </c>
      <c r="N91" s="30" t="s">
        <v>284</v>
      </c>
      <c r="O91" s="30" t="s">
        <v>285</v>
      </c>
    </row>
    <row r="92" spans="1:15" x14ac:dyDescent="0.45">
      <c r="A92" s="30" t="s">
        <v>287</v>
      </c>
      <c r="B92" s="31">
        <v>43662.008599537039</v>
      </c>
      <c r="C92" s="30" t="s">
        <v>130</v>
      </c>
      <c r="D92" s="30" t="s">
        <v>131</v>
      </c>
      <c r="E92" s="30" t="s">
        <v>169</v>
      </c>
      <c r="F92" s="30" t="s">
        <v>174</v>
      </c>
      <c r="G92" s="30" t="s">
        <v>175</v>
      </c>
    </row>
    <row r="93" spans="1:15" x14ac:dyDescent="0.45">
      <c r="A93" s="30" t="s">
        <v>288</v>
      </c>
      <c r="B93" s="31">
        <v>43663.045115740744</v>
      </c>
      <c r="C93" s="30" t="s">
        <v>130</v>
      </c>
      <c r="D93" s="30" t="s">
        <v>131</v>
      </c>
    </row>
    <row r="94" spans="1:15" x14ac:dyDescent="0.45">
      <c r="A94" s="30" t="s">
        <v>289</v>
      </c>
      <c r="B94" s="31">
        <v>43663.04478009259</v>
      </c>
      <c r="C94" s="30" t="s">
        <v>130</v>
      </c>
      <c r="D94" s="30" t="s">
        <v>131</v>
      </c>
    </row>
    <row r="95" spans="1:15" x14ac:dyDescent="0.45">
      <c r="A95" s="30" t="s">
        <v>290</v>
      </c>
      <c r="B95" s="31">
        <v>43666.700092592589</v>
      </c>
      <c r="C95" s="30" t="s">
        <v>130</v>
      </c>
      <c r="D95" s="30" t="s">
        <v>131</v>
      </c>
    </row>
    <row r="96" spans="1:15" x14ac:dyDescent="0.45">
      <c r="A96" s="30" t="s">
        <v>291</v>
      </c>
      <c r="B96" s="31">
        <v>43672.825671296298</v>
      </c>
      <c r="C96" s="30" t="s">
        <v>130</v>
      </c>
      <c r="D96" s="30" t="s">
        <v>131</v>
      </c>
      <c r="E96" s="30" t="s">
        <v>169</v>
      </c>
    </row>
    <row r="97" spans="1:6" x14ac:dyDescent="0.45">
      <c r="A97" s="30" t="s">
        <v>292</v>
      </c>
      <c r="B97" s="31">
        <v>43672.870659722219</v>
      </c>
      <c r="C97" s="30" t="s">
        <v>130</v>
      </c>
      <c r="D97" s="30" t="s">
        <v>131</v>
      </c>
    </row>
    <row r="98" spans="1:6" x14ac:dyDescent="0.45">
      <c r="A98" s="30" t="s">
        <v>293</v>
      </c>
      <c r="B98" s="31">
        <v>43673.893599537034</v>
      </c>
      <c r="C98" s="30" t="s">
        <v>130</v>
      </c>
      <c r="D98" s="30" t="s">
        <v>131</v>
      </c>
      <c r="E98" s="30" t="s">
        <v>169</v>
      </c>
      <c r="F98" s="30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5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145</v>
      </c>
      <c r="B1">
        <v>963</v>
      </c>
    </row>
    <row r="2" spans="1:2" x14ac:dyDescent="0.45">
      <c r="A2" t="s">
        <v>127</v>
      </c>
      <c r="B2">
        <v>207</v>
      </c>
    </row>
    <row r="3" spans="1:2" x14ac:dyDescent="0.45">
      <c r="A3" t="s">
        <v>128</v>
      </c>
      <c r="B3">
        <v>162</v>
      </c>
    </row>
    <row r="4" spans="1:2" x14ac:dyDescent="0.45">
      <c r="A4" t="s">
        <v>129</v>
      </c>
      <c r="B4">
        <v>160</v>
      </c>
    </row>
    <row r="5" spans="1:2" x14ac:dyDescent="0.45">
      <c r="A5" t="s">
        <v>171</v>
      </c>
      <c r="B5">
        <v>106</v>
      </c>
    </row>
    <row r="6" spans="1:2" x14ac:dyDescent="0.45">
      <c r="A6" t="s">
        <v>172</v>
      </c>
      <c r="B6">
        <v>103</v>
      </c>
    </row>
    <row r="7" spans="1:2" x14ac:dyDescent="0.45">
      <c r="A7" t="s">
        <v>173</v>
      </c>
      <c r="B7">
        <v>59</v>
      </c>
    </row>
    <row r="8" spans="1:2" x14ac:dyDescent="0.45">
      <c r="A8" t="s">
        <v>177</v>
      </c>
      <c r="B8">
        <v>103</v>
      </c>
    </row>
    <row r="9" spans="1:2" x14ac:dyDescent="0.45">
      <c r="A9" t="s">
        <v>183</v>
      </c>
      <c r="B9">
        <v>3</v>
      </c>
    </row>
    <row r="10" spans="1:2" x14ac:dyDescent="0.45">
      <c r="A10" t="s">
        <v>184</v>
      </c>
      <c r="B10">
        <v>24</v>
      </c>
    </row>
    <row r="11" spans="1:2" x14ac:dyDescent="0.45">
      <c r="A11" t="s">
        <v>200</v>
      </c>
      <c r="B11">
        <v>21</v>
      </c>
    </row>
    <row r="12" spans="1:2" x14ac:dyDescent="0.45">
      <c r="A12" t="s">
        <v>222</v>
      </c>
      <c r="B12">
        <v>1</v>
      </c>
    </row>
    <row r="13" spans="1:2" x14ac:dyDescent="0.45">
      <c r="A13" t="s">
        <v>223</v>
      </c>
      <c r="B13">
        <v>6</v>
      </c>
    </row>
    <row r="14" spans="1:2" x14ac:dyDescent="0.45">
      <c r="A14" t="s">
        <v>271</v>
      </c>
      <c r="B14">
        <v>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zoomScale="130" zoomScaleNormal="130" workbookViewId="0"/>
  </sheetViews>
  <sheetFormatPr defaultColWidth="9" defaultRowHeight="18" x14ac:dyDescent="0.45"/>
  <cols>
    <col min="1" max="1" width="6" style="82" customWidth="1"/>
    <col min="2" max="2" width="10.69921875" style="83" customWidth="1"/>
    <col min="3" max="3" width="10.69921875" style="84" customWidth="1"/>
    <col min="4" max="4" width="10.69921875" style="85" customWidth="1"/>
    <col min="5" max="5" width="10.69921875" style="97" customWidth="1"/>
    <col min="6" max="6" width="10.69921875" style="85" customWidth="1"/>
    <col min="7" max="7" width="10.69921875" style="86" customWidth="1"/>
    <col min="8" max="8" width="10.69921875" style="85" customWidth="1"/>
    <col min="9" max="9" width="10.69921875" style="87" customWidth="1"/>
    <col min="10" max="10" width="10.69921875" style="85" customWidth="1"/>
    <col min="11" max="11" width="10.69921875" style="87" customWidth="1"/>
    <col min="12" max="12" width="10.69921875" style="85" customWidth="1"/>
    <col min="13" max="13" width="10.69921875" style="88" customWidth="1"/>
    <col min="14" max="14" width="10.69921875" style="85" customWidth="1"/>
    <col min="15" max="15" width="10.69921875" style="88" customWidth="1"/>
    <col min="16" max="16" width="10.69921875" style="85" customWidth="1"/>
    <col min="17" max="17" width="10.69921875" style="89" customWidth="1"/>
    <col min="18" max="18" width="10.69921875" style="85" customWidth="1"/>
    <col min="19" max="19" width="10.69921875" style="89" customWidth="1"/>
    <col min="20" max="20" width="10.69921875" style="85" customWidth="1"/>
    <col min="21" max="21" width="10.69921875" style="87" customWidth="1"/>
    <col min="22" max="22" width="10.69921875" style="85" customWidth="1"/>
    <col min="23" max="23" width="10.69921875" style="87" customWidth="1"/>
    <col min="24" max="24" width="10.69921875" style="85" customWidth="1"/>
    <col min="25" max="25" width="10.69921875" style="88" customWidth="1"/>
    <col min="26" max="26" width="10.69921875" style="85" customWidth="1"/>
    <col min="27" max="27" width="10.69921875" style="88" customWidth="1"/>
    <col min="28" max="28" width="10.69921875" style="85" customWidth="1"/>
    <col min="29" max="29" width="10.69921875" style="88" customWidth="1"/>
    <col min="30" max="30" width="10.69921875" style="85" customWidth="1"/>
    <col min="31" max="31" width="10.69921875" style="88" customWidth="1"/>
    <col min="32" max="32" width="10.69921875" style="85" customWidth="1"/>
    <col min="33" max="33" width="10.69921875" style="88" customWidth="1"/>
    <col min="34" max="34" width="10.69921875" style="85" customWidth="1"/>
    <col min="35" max="35" width="10.69921875" style="92" customWidth="1"/>
    <col min="36" max="16384" width="9" style="73"/>
  </cols>
  <sheetData>
    <row r="1" spans="1:35" x14ac:dyDescent="0.45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5">
      <c r="A2" s="72" t="s">
        <v>161</v>
      </c>
      <c r="B2" s="162"/>
      <c r="C2" s="163"/>
      <c r="D2" s="162"/>
      <c r="E2" s="163"/>
      <c r="F2" s="158">
        <v>0.97312880504330146</v>
      </c>
      <c r="G2" s="159"/>
      <c r="H2" s="158">
        <v>0.71145582794145401</v>
      </c>
      <c r="I2" s="159"/>
      <c r="J2" s="158">
        <v>0.87271544223678577</v>
      </c>
      <c r="K2" s="159"/>
      <c r="L2" s="158">
        <v>0.70282083170308529</v>
      </c>
      <c r="M2" s="159"/>
      <c r="N2" s="158">
        <v>0.72371256737496803</v>
      </c>
      <c r="O2" s="159"/>
      <c r="P2" s="158">
        <v>0.38450561054942228</v>
      </c>
      <c r="Q2" s="159"/>
      <c r="R2" s="158">
        <v>0.4126384158580827</v>
      </c>
      <c r="S2" s="159"/>
      <c r="T2" s="158">
        <v>0.67723704370648752</v>
      </c>
      <c r="U2" s="159"/>
      <c r="V2" s="158">
        <v>0.55871850819404567</v>
      </c>
      <c r="W2" s="159"/>
      <c r="X2" s="158">
        <v>0.66011955118148746</v>
      </c>
      <c r="Y2" s="159"/>
      <c r="Z2" s="158">
        <v>9.3261049855319036E-2</v>
      </c>
      <c r="AA2" s="159"/>
      <c r="AB2" s="158">
        <v>-0.12754697178159807</v>
      </c>
      <c r="AC2" s="159"/>
      <c r="AD2" s="158">
        <v>0.74761197763254972</v>
      </c>
      <c r="AE2" s="159"/>
      <c r="AF2" s="158">
        <v>-0.12877451882135441</v>
      </c>
      <c r="AG2" s="159"/>
      <c r="AH2" s="158">
        <v>0.5326922583555016</v>
      </c>
      <c r="AI2" s="159"/>
    </row>
    <row r="3" spans="1:35" x14ac:dyDescent="0.45">
      <c r="A3" s="74">
        <v>1</v>
      </c>
      <c r="B3" s="75" t="s">
        <v>127</v>
      </c>
      <c r="C3" s="76">
        <v>2661.5000000000005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0.30627962085308058</v>
      </c>
      <c r="Z3" s="77" t="s">
        <v>223</v>
      </c>
      <c r="AA3" s="80">
        <v>0.36956521739130432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5">
      <c r="A4" s="82">
        <v>2</v>
      </c>
      <c r="B4" s="83" t="s">
        <v>171</v>
      </c>
      <c r="C4" s="84">
        <v>140.5</v>
      </c>
      <c r="D4" s="85" t="s">
        <v>223</v>
      </c>
      <c r="E4" s="97">
        <v>16.733333333333331</v>
      </c>
      <c r="F4" s="85" t="s">
        <v>127</v>
      </c>
      <c r="G4" s="86">
        <v>1.748792270531401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127</v>
      </c>
      <c r="M4" s="88">
        <v>0.34063981042654029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-7089.4736842105267</v>
      </c>
      <c r="T4" s="85" t="s">
        <v>222</v>
      </c>
      <c r="U4" s="87">
        <v>0</v>
      </c>
      <c r="V4" s="85" t="s">
        <v>127</v>
      </c>
      <c r="W4" s="87">
        <v>0.17391304347826086</v>
      </c>
      <c r="X4" s="85" t="s">
        <v>128</v>
      </c>
      <c r="Y4" s="88">
        <v>0.29624060150375942</v>
      </c>
      <c r="Z4" s="85" t="s">
        <v>271</v>
      </c>
      <c r="AA4" s="88">
        <v>0.33333333333333331</v>
      </c>
      <c r="AB4" s="85" t="s">
        <v>271</v>
      </c>
      <c r="AC4" s="88">
        <v>0.69230769230769229</v>
      </c>
      <c r="AD4" s="85" t="s">
        <v>127</v>
      </c>
      <c r="AE4" s="88">
        <v>0.50673854447439348</v>
      </c>
      <c r="AF4" s="85" t="s">
        <v>200</v>
      </c>
      <c r="AG4" s="88">
        <v>0.55384615384615388</v>
      </c>
      <c r="AH4" s="85" t="s">
        <v>145</v>
      </c>
      <c r="AI4" s="92">
        <v>116000</v>
      </c>
    </row>
    <row r="5" spans="1:35" x14ac:dyDescent="0.45">
      <c r="A5" s="82">
        <v>3</v>
      </c>
      <c r="B5" s="83" t="s">
        <v>223</v>
      </c>
      <c r="C5" s="84">
        <v>100.39999999999999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0.48792270531400966</v>
      </c>
      <c r="J5" s="85" t="s">
        <v>200</v>
      </c>
      <c r="K5" s="87">
        <v>0.19047619047619047</v>
      </c>
      <c r="L5" s="85" t="s">
        <v>200</v>
      </c>
      <c r="M5" s="88">
        <v>0.34031413612565448</v>
      </c>
      <c r="N5" s="85" t="s">
        <v>223</v>
      </c>
      <c r="O5" s="88">
        <v>0.13043478260869565</v>
      </c>
      <c r="P5" s="85" t="s">
        <v>171</v>
      </c>
      <c r="Q5" s="89">
        <v>9913.671875</v>
      </c>
      <c r="R5" s="85" t="s">
        <v>177</v>
      </c>
      <c r="S5" s="89">
        <v>-7113.3858267716532</v>
      </c>
      <c r="T5" s="85" t="s">
        <v>223</v>
      </c>
      <c r="U5" s="87">
        <v>0</v>
      </c>
      <c r="V5" s="85" t="s">
        <v>171</v>
      </c>
      <c r="W5" s="87">
        <v>0.15094339622641509</v>
      </c>
      <c r="X5" s="85" t="s">
        <v>171</v>
      </c>
      <c r="Y5" s="88">
        <v>0.28409090909090912</v>
      </c>
      <c r="Z5" s="85" t="s">
        <v>200</v>
      </c>
      <c r="AA5" s="88">
        <v>0.32460732984293195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0.50354609929078009</v>
      </c>
      <c r="AH5" s="85" t="s">
        <v>173</v>
      </c>
      <c r="AI5" s="92">
        <v>113300</v>
      </c>
    </row>
    <row r="6" spans="1:35" x14ac:dyDescent="0.45">
      <c r="A6" s="82">
        <v>4</v>
      </c>
      <c r="B6" s="83" t="s">
        <v>200</v>
      </c>
      <c r="C6" s="84">
        <v>82.799999999999983</v>
      </c>
      <c r="D6" s="85" t="s">
        <v>127</v>
      </c>
      <c r="E6" s="97">
        <v>12.857487922705316</v>
      </c>
      <c r="F6" s="85" t="s">
        <v>200</v>
      </c>
      <c r="G6" s="86">
        <v>1.8571428571428572</v>
      </c>
      <c r="H6" s="85" t="s">
        <v>177</v>
      </c>
      <c r="I6" s="87">
        <v>0.33980582524271846</v>
      </c>
      <c r="J6" s="85" t="s">
        <v>127</v>
      </c>
      <c r="K6" s="87">
        <v>0.23671497584541062</v>
      </c>
      <c r="L6" s="85" t="s">
        <v>172</v>
      </c>
      <c r="M6" s="88">
        <v>0.33564814814814814</v>
      </c>
      <c r="N6" s="85" t="s">
        <v>172</v>
      </c>
      <c r="O6" s="88">
        <v>0.14351851851851852</v>
      </c>
      <c r="P6" s="85" t="s">
        <v>127</v>
      </c>
      <c r="Q6" s="89">
        <v>9215.652173913044</v>
      </c>
      <c r="R6" s="85" t="s">
        <v>128</v>
      </c>
      <c r="S6" s="89">
        <v>-7664.1975308641977</v>
      </c>
      <c r="T6" s="85" t="s">
        <v>172</v>
      </c>
      <c r="U6" s="87">
        <v>5.8252427184466021E-2</v>
      </c>
      <c r="V6" s="85" t="s">
        <v>145</v>
      </c>
      <c r="W6" s="87">
        <v>0.11941848390446522</v>
      </c>
      <c r="X6" s="85" t="s">
        <v>177</v>
      </c>
      <c r="Y6" s="88">
        <v>0.27294117647058824</v>
      </c>
      <c r="Z6" s="85" t="s">
        <v>172</v>
      </c>
      <c r="AA6" s="88">
        <v>0.28703703703703703</v>
      </c>
      <c r="AB6" s="85" t="s">
        <v>177</v>
      </c>
      <c r="AC6" s="88">
        <v>0.61637931034482762</v>
      </c>
      <c r="AD6" s="85" t="s">
        <v>200</v>
      </c>
      <c r="AE6" s="88">
        <v>0.43548387096774194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5">
      <c r="A7" s="82">
        <v>5</v>
      </c>
      <c r="B7" s="83" t="s">
        <v>177</v>
      </c>
      <c r="C7" s="84">
        <v>67.699999999999932</v>
      </c>
      <c r="D7" s="85" t="s">
        <v>200</v>
      </c>
      <c r="E7" s="97">
        <v>3.9428571428571422</v>
      </c>
      <c r="F7" s="85" t="s">
        <v>177</v>
      </c>
      <c r="G7" s="86">
        <v>1.9805825242718447</v>
      </c>
      <c r="H7" s="85" t="s">
        <v>184</v>
      </c>
      <c r="I7" s="87">
        <v>0.33333333333333331</v>
      </c>
      <c r="J7" s="85" t="s">
        <v>172</v>
      </c>
      <c r="K7" s="87">
        <v>0.31067961165048541</v>
      </c>
      <c r="L7" s="85" t="s">
        <v>145</v>
      </c>
      <c r="M7" s="88">
        <v>0.29821921244043142</v>
      </c>
      <c r="N7" s="85" t="s">
        <v>177</v>
      </c>
      <c r="O7" s="88">
        <v>0.14941176470588236</v>
      </c>
      <c r="P7" s="85" t="s">
        <v>128</v>
      </c>
      <c r="Q7" s="89">
        <v>8953.6585365853662</v>
      </c>
      <c r="R7" s="85" t="s">
        <v>145</v>
      </c>
      <c r="S7" s="89">
        <v>-8128.1320330082517</v>
      </c>
      <c r="T7" s="85" t="s">
        <v>127</v>
      </c>
      <c r="U7" s="87">
        <v>8.6956521739130432E-2</v>
      </c>
      <c r="V7" s="85" t="s">
        <v>177</v>
      </c>
      <c r="W7" s="87">
        <v>0.10679611650485436</v>
      </c>
      <c r="X7" s="85" t="s">
        <v>145</v>
      </c>
      <c r="Y7" s="88">
        <v>0.26849761725608229</v>
      </c>
      <c r="Z7" s="85" t="s">
        <v>184</v>
      </c>
      <c r="AA7" s="88">
        <v>0.24861878453038674</v>
      </c>
      <c r="AB7" s="85" t="s">
        <v>200</v>
      </c>
      <c r="AC7" s="88">
        <v>0.60416666666666663</v>
      </c>
      <c r="AD7" s="85" t="s">
        <v>172</v>
      </c>
      <c r="AE7" s="88">
        <v>0.42338709677419356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5">
      <c r="A8" s="82">
        <v>6</v>
      </c>
      <c r="B8" s="83" t="s">
        <v>183</v>
      </c>
      <c r="C8" s="84">
        <v>61</v>
      </c>
      <c r="D8" s="85" t="s">
        <v>171</v>
      </c>
      <c r="E8" s="97">
        <v>1.3254716981132075</v>
      </c>
      <c r="F8" s="85" t="s">
        <v>145</v>
      </c>
      <c r="G8" s="86">
        <v>2</v>
      </c>
      <c r="H8" s="85" t="s">
        <v>200</v>
      </c>
      <c r="I8" s="87">
        <v>0.33333333333333331</v>
      </c>
      <c r="J8" s="85" t="s">
        <v>177</v>
      </c>
      <c r="K8" s="87">
        <v>0.32038834951456313</v>
      </c>
      <c r="L8" s="85" t="s">
        <v>171</v>
      </c>
      <c r="M8" s="88">
        <v>0.29090909090909089</v>
      </c>
      <c r="N8" s="85" t="s">
        <v>127</v>
      </c>
      <c r="O8" s="88">
        <v>0.1504739336492891</v>
      </c>
      <c r="P8" s="85" t="s">
        <v>177</v>
      </c>
      <c r="Q8" s="89">
        <v>8729.9145299145293</v>
      </c>
      <c r="R8" s="85" t="s">
        <v>127</v>
      </c>
      <c r="S8" s="89">
        <v>-8210.2362204724413</v>
      </c>
      <c r="T8" s="85" t="s">
        <v>171</v>
      </c>
      <c r="U8" s="87">
        <v>0.10377358490566038</v>
      </c>
      <c r="V8" s="85" t="s">
        <v>129</v>
      </c>
      <c r="W8" s="87">
        <v>0.10625</v>
      </c>
      <c r="X8" s="85" t="s">
        <v>183</v>
      </c>
      <c r="Y8" s="88">
        <v>0.26315789473684209</v>
      </c>
      <c r="Z8" s="85" t="s">
        <v>173</v>
      </c>
      <c r="AA8" s="88">
        <v>0.22376237623762377</v>
      </c>
      <c r="AB8" s="85" t="s">
        <v>183</v>
      </c>
      <c r="AC8" s="88">
        <v>0.6</v>
      </c>
      <c r="AD8" s="85" t="s">
        <v>171</v>
      </c>
      <c r="AE8" s="88">
        <v>0.41714285714285715</v>
      </c>
      <c r="AF8" s="85" t="s">
        <v>177</v>
      </c>
      <c r="AG8" s="88">
        <v>0.45726495726495725</v>
      </c>
      <c r="AH8" s="85" t="s">
        <v>177</v>
      </c>
      <c r="AI8" s="92">
        <v>103000</v>
      </c>
    </row>
    <row r="9" spans="1:35" x14ac:dyDescent="0.45">
      <c r="A9" s="82">
        <v>7</v>
      </c>
      <c r="B9" s="83" t="s">
        <v>222</v>
      </c>
      <c r="C9" s="84">
        <v>13.3</v>
      </c>
      <c r="D9" s="85" t="s">
        <v>177</v>
      </c>
      <c r="E9" s="97">
        <v>0.65728155339805761</v>
      </c>
      <c r="F9" s="85" t="s">
        <v>222</v>
      </c>
      <c r="G9" s="86">
        <v>2</v>
      </c>
      <c r="H9" s="85" t="s">
        <v>145</v>
      </c>
      <c r="I9" s="87">
        <v>0.33333333333333331</v>
      </c>
      <c r="J9" s="85" t="s">
        <v>145</v>
      </c>
      <c r="K9" s="87">
        <v>0.33333333333333331</v>
      </c>
      <c r="L9" s="85" t="s">
        <v>173</v>
      </c>
      <c r="M9" s="88">
        <v>0.27920792079207923</v>
      </c>
      <c r="N9" s="85" t="s">
        <v>200</v>
      </c>
      <c r="O9" s="88">
        <v>0.16230366492146597</v>
      </c>
      <c r="P9" s="85" t="s">
        <v>145</v>
      </c>
      <c r="Q9" s="89">
        <v>8624.2640874684603</v>
      </c>
      <c r="R9" s="85" t="s">
        <v>173</v>
      </c>
      <c r="S9" s="89">
        <v>-8221.649484536083</v>
      </c>
      <c r="T9" s="85" t="s">
        <v>145</v>
      </c>
      <c r="U9" s="87">
        <v>0.11941848390446522</v>
      </c>
      <c r="V9" s="85" t="s">
        <v>128</v>
      </c>
      <c r="W9" s="87">
        <v>9.8765432098765427E-2</v>
      </c>
      <c r="X9" s="85" t="s">
        <v>129</v>
      </c>
      <c r="Y9" s="88">
        <v>0.25243445692883892</v>
      </c>
      <c r="Z9" s="85" t="s">
        <v>127</v>
      </c>
      <c r="AA9" s="88">
        <v>0.21978672985781991</v>
      </c>
      <c r="AB9" s="85" t="s">
        <v>128</v>
      </c>
      <c r="AC9" s="88">
        <v>0.58629441624365486</v>
      </c>
      <c r="AD9" s="85" t="s">
        <v>145</v>
      </c>
      <c r="AE9" s="88">
        <v>0.39824046920821116</v>
      </c>
      <c r="AF9" s="85" t="s">
        <v>128</v>
      </c>
      <c r="AG9" s="88">
        <v>0.44173441734417346</v>
      </c>
      <c r="AH9" s="85" t="s">
        <v>172</v>
      </c>
      <c r="AI9" s="92">
        <v>97500</v>
      </c>
    </row>
    <row r="10" spans="1:35" x14ac:dyDescent="0.45">
      <c r="A10" s="82">
        <v>8</v>
      </c>
      <c r="B10" s="83" t="s">
        <v>145</v>
      </c>
      <c r="C10" s="84">
        <v>-1.4210854715202004E-14</v>
      </c>
      <c r="D10" s="85" t="s">
        <v>145</v>
      </c>
      <c r="E10" s="97">
        <v>-1.4756858478922122E-17</v>
      </c>
      <c r="F10" s="85" t="s">
        <v>171</v>
      </c>
      <c r="G10" s="86">
        <v>2.0188679245283021</v>
      </c>
      <c r="H10" s="85" t="s">
        <v>171</v>
      </c>
      <c r="I10" s="87">
        <v>0.32075471698113206</v>
      </c>
      <c r="J10" s="85" t="s">
        <v>223</v>
      </c>
      <c r="K10" s="87">
        <v>0.33333333333333331</v>
      </c>
      <c r="L10" s="85" t="s">
        <v>128</v>
      </c>
      <c r="M10" s="88">
        <v>0.27744360902255638</v>
      </c>
      <c r="N10" s="85" t="s">
        <v>145</v>
      </c>
      <c r="O10" s="88">
        <v>0.16716829696513669</v>
      </c>
      <c r="P10" s="85" t="s">
        <v>184</v>
      </c>
      <c r="Q10" s="89">
        <v>8434</v>
      </c>
      <c r="R10" s="85" t="s">
        <v>172</v>
      </c>
      <c r="S10" s="89">
        <v>-8308.0645161290322</v>
      </c>
      <c r="T10" s="85" t="s">
        <v>271</v>
      </c>
      <c r="U10" s="87">
        <v>0.125</v>
      </c>
      <c r="V10" s="85" t="s">
        <v>172</v>
      </c>
      <c r="W10" s="87">
        <v>9.7087378640776698E-2</v>
      </c>
      <c r="X10" s="85" t="s">
        <v>200</v>
      </c>
      <c r="Y10" s="88">
        <v>0.2513089005235602</v>
      </c>
      <c r="Z10" s="85" t="s">
        <v>145</v>
      </c>
      <c r="AA10" s="88">
        <v>0.21381991472284925</v>
      </c>
      <c r="AB10" s="85" t="s">
        <v>127</v>
      </c>
      <c r="AC10" s="88">
        <v>0.58220502901353965</v>
      </c>
      <c r="AD10" s="85" t="s">
        <v>184</v>
      </c>
      <c r="AE10" s="88">
        <v>0.37777777777777777</v>
      </c>
      <c r="AF10" s="85" t="s">
        <v>145</v>
      </c>
      <c r="AG10" s="88">
        <v>0.43187552565180826</v>
      </c>
      <c r="AH10" s="85" t="s">
        <v>129</v>
      </c>
      <c r="AI10" s="92">
        <v>96900</v>
      </c>
    </row>
    <row r="11" spans="1:35" x14ac:dyDescent="0.45">
      <c r="A11" s="82">
        <v>9</v>
      </c>
      <c r="B11" s="83" t="s">
        <v>172</v>
      </c>
      <c r="C11" s="84">
        <v>-259.40000000000003</v>
      </c>
      <c r="D11" s="85" t="s">
        <v>172</v>
      </c>
      <c r="E11" s="97">
        <v>-2.518446601941748</v>
      </c>
      <c r="F11" s="85" t="s">
        <v>172</v>
      </c>
      <c r="G11" s="86">
        <v>2.0679611650485437</v>
      </c>
      <c r="H11" s="85" t="s">
        <v>129</v>
      </c>
      <c r="I11" s="87">
        <v>0.28749999999999998</v>
      </c>
      <c r="J11" s="85" t="s">
        <v>171</v>
      </c>
      <c r="K11" s="87">
        <v>0.33962264150943394</v>
      </c>
      <c r="L11" s="85" t="s">
        <v>184</v>
      </c>
      <c r="M11" s="88">
        <v>0.27624309392265195</v>
      </c>
      <c r="N11" s="85" t="s">
        <v>129</v>
      </c>
      <c r="O11" s="88">
        <v>0.1745318352059925</v>
      </c>
      <c r="P11" s="85" t="s">
        <v>129</v>
      </c>
      <c r="Q11" s="89">
        <v>8325.4189944134087</v>
      </c>
      <c r="R11" s="85" t="s">
        <v>171</v>
      </c>
      <c r="S11" s="89">
        <v>-8313.5483870967746</v>
      </c>
      <c r="T11" s="85" t="s">
        <v>177</v>
      </c>
      <c r="U11" s="87">
        <v>0.12621359223300971</v>
      </c>
      <c r="V11" s="85" t="s">
        <v>184</v>
      </c>
      <c r="W11" s="87">
        <v>8.3333333333333329E-2</v>
      </c>
      <c r="X11" s="85" t="s">
        <v>184</v>
      </c>
      <c r="Y11" s="88">
        <v>0.23204419889502761</v>
      </c>
      <c r="Z11" s="85" t="s">
        <v>183</v>
      </c>
      <c r="AA11" s="88">
        <v>0.21052631578947367</v>
      </c>
      <c r="AB11" s="85" t="s">
        <v>145</v>
      </c>
      <c r="AC11" s="88">
        <v>0.57730032695002331</v>
      </c>
      <c r="AD11" s="85" t="s">
        <v>177</v>
      </c>
      <c r="AE11" s="88">
        <v>0.34177215189873417</v>
      </c>
      <c r="AF11" s="85" t="s">
        <v>127</v>
      </c>
      <c r="AG11" s="88">
        <v>0.4191304347826087</v>
      </c>
      <c r="AH11" s="85" t="s">
        <v>171</v>
      </c>
      <c r="AI11" s="92">
        <v>96000</v>
      </c>
    </row>
    <row r="12" spans="1:35" x14ac:dyDescent="0.45">
      <c r="A12" s="82">
        <v>10</v>
      </c>
      <c r="B12" s="83" t="s">
        <v>271</v>
      </c>
      <c r="C12" s="84">
        <v>-289.8</v>
      </c>
      <c r="D12" s="85" t="s">
        <v>128</v>
      </c>
      <c r="E12" s="97">
        <v>-3.0296296296296297</v>
      </c>
      <c r="F12" s="85" t="s">
        <v>128</v>
      </c>
      <c r="G12" s="86">
        <v>2.074074074074074</v>
      </c>
      <c r="H12" s="85" t="s">
        <v>128</v>
      </c>
      <c r="I12" s="87">
        <v>0.27160493827160492</v>
      </c>
      <c r="J12" s="85" t="s">
        <v>128</v>
      </c>
      <c r="K12" s="87">
        <v>0.34567901234567899</v>
      </c>
      <c r="L12" s="85" t="s">
        <v>177</v>
      </c>
      <c r="M12" s="88">
        <v>0.2752941176470588</v>
      </c>
      <c r="N12" s="85" t="s">
        <v>171</v>
      </c>
      <c r="O12" s="88">
        <v>0.17613636363636365</v>
      </c>
      <c r="P12" s="85" t="s">
        <v>200</v>
      </c>
      <c r="Q12" s="89">
        <v>8000</v>
      </c>
      <c r="R12" s="85" t="s">
        <v>129</v>
      </c>
      <c r="S12" s="89">
        <v>-8471.2446351931339</v>
      </c>
      <c r="T12" s="85" t="s">
        <v>128</v>
      </c>
      <c r="U12" s="87">
        <v>0.13580246913580246</v>
      </c>
      <c r="V12" s="85" t="s">
        <v>173</v>
      </c>
      <c r="W12" s="87">
        <v>6.7796610169491525E-2</v>
      </c>
      <c r="X12" s="85" t="s">
        <v>222</v>
      </c>
      <c r="Y12" s="88">
        <v>0.23076923076923078</v>
      </c>
      <c r="Z12" s="85" t="s">
        <v>171</v>
      </c>
      <c r="AA12" s="88">
        <v>0.19886363636363635</v>
      </c>
      <c r="AB12" s="85" t="s">
        <v>171</v>
      </c>
      <c r="AC12" s="88">
        <v>0.56799999999999995</v>
      </c>
      <c r="AD12" s="85" t="s">
        <v>129</v>
      </c>
      <c r="AE12" s="88">
        <v>0.33720930232558138</v>
      </c>
      <c r="AF12" s="85" t="s">
        <v>129</v>
      </c>
      <c r="AG12" s="88">
        <v>0.41340782122905029</v>
      </c>
      <c r="AH12" s="85" t="s">
        <v>223</v>
      </c>
      <c r="AI12" s="92">
        <v>92100</v>
      </c>
    </row>
    <row r="13" spans="1:35" x14ac:dyDescent="0.45">
      <c r="A13" s="82">
        <v>11</v>
      </c>
      <c r="B13" s="83" t="s">
        <v>184</v>
      </c>
      <c r="C13" s="84">
        <v>-300.5</v>
      </c>
      <c r="D13" s="85" t="s">
        <v>129</v>
      </c>
      <c r="E13" s="97">
        <v>-7.9106250000000005</v>
      </c>
      <c r="F13" s="85" t="s">
        <v>129</v>
      </c>
      <c r="G13" s="86">
        <v>2.125</v>
      </c>
      <c r="H13" s="85" t="s">
        <v>173</v>
      </c>
      <c r="I13" s="87">
        <v>0.2711864406779661</v>
      </c>
      <c r="J13" s="85" t="s">
        <v>173</v>
      </c>
      <c r="K13" s="87">
        <v>0.40677966101694918</v>
      </c>
      <c r="L13" s="85" t="s">
        <v>129</v>
      </c>
      <c r="M13" s="88">
        <v>0.26816479400749066</v>
      </c>
      <c r="N13" s="85" t="s">
        <v>128</v>
      </c>
      <c r="O13" s="88">
        <v>0.18270676691729323</v>
      </c>
      <c r="P13" s="85" t="s">
        <v>183</v>
      </c>
      <c r="Q13" s="89">
        <v>7860</v>
      </c>
      <c r="R13" s="85" t="s">
        <v>200</v>
      </c>
      <c r="S13" s="89">
        <v>-8645.1612903225814</v>
      </c>
      <c r="T13" s="85" t="s">
        <v>200</v>
      </c>
      <c r="U13" s="87">
        <v>0.14285714285714285</v>
      </c>
      <c r="V13" s="85" t="s">
        <v>200</v>
      </c>
      <c r="W13" s="87">
        <v>4.7619047619047616E-2</v>
      </c>
      <c r="X13" s="85" t="s">
        <v>173</v>
      </c>
      <c r="Y13" s="88">
        <v>0.21782178217821782</v>
      </c>
      <c r="Z13" s="85" t="s">
        <v>129</v>
      </c>
      <c r="AA13" s="88">
        <v>0.19325842696629214</v>
      </c>
      <c r="AB13" s="85" t="s">
        <v>173</v>
      </c>
      <c r="AC13" s="88">
        <v>0.5636363636363636</v>
      </c>
      <c r="AD13" s="85" t="s">
        <v>173</v>
      </c>
      <c r="AE13" s="88">
        <v>0.33628318584070799</v>
      </c>
      <c r="AF13" s="85" t="s">
        <v>271</v>
      </c>
      <c r="AG13" s="88">
        <v>0.41176470588235292</v>
      </c>
      <c r="AH13" s="85" t="s">
        <v>184</v>
      </c>
      <c r="AI13" s="92">
        <v>92000</v>
      </c>
    </row>
    <row r="14" spans="1:35" x14ac:dyDescent="0.45">
      <c r="A14" s="82">
        <v>12</v>
      </c>
      <c r="B14" s="83" t="s">
        <v>128</v>
      </c>
      <c r="C14" s="84">
        <v>-490.8</v>
      </c>
      <c r="D14" s="85" t="s">
        <v>173</v>
      </c>
      <c r="E14" s="97">
        <v>-8.8305084745762716</v>
      </c>
      <c r="F14" s="85" t="s">
        <v>173</v>
      </c>
      <c r="G14" s="86">
        <v>2.1355932203389831</v>
      </c>
      <c r="H14" s="85" t="s">
        <v>172</v>
      </c>
      <c r="I14" s="87">
        <v>0.24271844660194175</v>
      </c>
      <c r="J14" s="85" t="s">
        <v>129</v>
      </c>
      <c r="K14" s="87">
        <v>0.41249999999999998</v>
      </c>
      <c r="L14" s="85" t="s">
        <v>183</v>
      </c>
      <c r="M14" s="88">
        <v>0.26315789473684209</v>
      </c>
      <c r="N14" s="85" t="s">
        <v>173</v>
      </c>
      <c r="O14" s="88">
        <v>0.19207920792079208</v>
      </c>
      <c r="P14" s="85" t="s">
        <v>173</v>
      </c>
      <c r="Q14" s="89">
        <v>7531.2056737588655</v>
      </c>
      <c r="R14" s="85" t="s">
        <v>184</v>
      </c>
      <c r="S14" s="89">
        <v>-9878.0487804878048</v>
      </c>
      <c r="T14" s="85" t="s">
        <v>129</v>
      </c>
      <c r="U14" s="87">
        <v>0.15</v>
      </c>
      <c r="V14" s="85" t="s">
        <v>183</v>
      </c>
      <c r="W14" s="87">
        <v>0</v>
      </c>
      <c r="X14" s="85" t="s">
        <v>172</v>
      </c>
      <c r="Y14" s="88">
        <v>0.21180555555555555</v>
      </c>
      <c r="Z14" s="85" t="s">
        <v>177</v>
      </c>
      <c r="AA14" s="88">
        <v>0.18588235294117647</v>
      </c>
      <c r="AB14" s="85" t="s">
        <v>172</v>
      </c>
      <c r="AC14" s="88">
        <v>0.55737704918032782</v>
      </c>
      <c r="AD14" s="85" t="s">
        <v>128</v>
      </c>
      <c r="AE14" s="88">
        <v>0.31877729257641924</v>
      </c>
      <c r="AF14" s="85" t="s">
        <v>171</v>
      </c>
      <c r="AG14" s="88">
        <v>0.40234375</v>
      </c>
      <c r="AH14" s="85" t="s">
        <v>183</v>
      </c>
      <c r="AI14" s="92">
        <v>53500</v>
      </c>
    </row>
    <row r="15" spans="1:35" x14ac:dyDescent="0.45">
      <c r="A15" s="82">
        <v>13</v>
      </c>
      <c r="B15" s="83" t="s">
        <v>173</v>
      </c>
      <c r="C15" s="84">
        <v>-521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222</v>
      </c>
      <c r="I15" s="87">
        <v>0</v>
      </c>
      <c r="J15" s="85" t="s">
        <v>184</v>
      </c>
      <c r="K15" s="87">
        <v>0.54166666666666663</v>
      </c>
      <c r="L15" s="85" t="s">
        <v>271</v>
      </c>
      <c r="M15" s="88">
        <v>0.2361111111111111</v>
      </c>
      <c r="N15" s="85" t="s">
        <v>184</v>
      </c>
      <c r="O15" s="88">
        <v>0.22651933701657459</v>
      </c>
      <c r="P15" s="85" t="s">
        <v>271</v>
      </c>
      <c r="Q15" s="89">
        <v>6776.4705882352937</v>
      </c>
      <c r="R15" s="85" t="s">
        <v>223</v>
      </c>
      <c r="S15" s="89">
        <v>-10583.333333333334</v>
      </c>
      <c r="T15" s="85" t="s">
        <v>173</v>
      </c>
      <c r="U15" s="87">
        <v>0.16949152542372881</v>
      </c>
      <c r="V15" s="85" t="s">
        <v>222</v>
      </c>
      <c r="W15" s="87">
        <v>0</v>
      </c>
      <c r="X15" s="85" t="s">
        <v>271</v>
      </c>
      <c r="Y15" s="88">
        <v>0.18055555555555555</v>
      </c>
      <c r="Z15" s="85" t="s">
        <v>128</v>
      </c>
      <c r="AA15" s="88">
        <v>0.17218045112781954</v>
      </c>
      <c r="AB15" s="85" t="s">
        <v>129</v>
      </c>
      <c r="AC15" s="88">
        <v>0.53412462908011871</v>
      </c>
      <c r="AD15" s="85" t="s">
        <v>271</v>
      </c>
      <c r="AE15" s="88">
        <v>0.25</v>
      </c>
      <c r="AF15" s="85" t="s">
        <v>172</v>
      </c>
      <c r="AG15" s="88">
        <v>0.39655172413793105</v>
      </c>
      <c r="AH15" s="85" t="s">
        <v>271</v>
      </c>
      <c r="AI15" s="92">
        <v>52800</v>
      </c>
    </row>
    <row r="16" spans="1:35" x14ac:dyDescent="0.45">
      <c r="A16" s="82">
        <v>14</v>
      </c>
      <c r="B16" s="83" t="s">
        <v>129</v>
      </c>
      <c r="C16" s="84">
        <v>-1265.7</v>
      </c>
      <c r="D16" s="85" t="s">
        <v>271</v>
      </c>
      <c r="E16" s="97">
        <v>-36.225000000000001</v>
      </c>
      <c r="F16" s="85" t="s">
        <v>271</v>
      </c>
      <c r="G16" s="86">
        <v>2.75</v>
      </c>
      <c r="H16" s="85" t="s">
        <v>271</v>
      </c>
      <c r="I16" s="87">
        <v>0</v>
      </c>
      <c r="J16" s="85" t="s">
        <v>271</v>
      </c>
      <c r="K16" s="87">
        <v>0.75</v>
      </c>
      <c r="L16" s="85" t="s">
        <v>222</v>
      </c>
      <c r="M16" s="88">
        <v>0.15384615384615385</v>
      </c>
      <c r="N16" s="85" t="s">
        <v>271</v>
      </c>
      <c r="O16" s="88">
        <v>0.2638888888888889</v>
      </c>
      <c r="P16" s="85" t="s">
        <v>172</v>
      </c>
      <c r="Q16" s="89">
        <v>6773.7931034482763</v>
      </c>
      <c r="R16" s="85" t="s">
        <v>222</v>
      </c>
      <c r="S16" s="89">
        <v>-12000</v>
      </c>
      <c r="T16" s="85" t="s">
        <v>184</v>
      </c>
      <c r="U16" s="87">
        <v>0.29166666666666669</v>
      </c>
      <c r="V16" s="85" t="s">
        <v>271</v>
      </c>
      <c r="W16" s="87">
        <v>0</v>
      </c>
      <c r="X16" s="85" t="s">
        <v>223</v>
      </c>
      <c r="Y16" s="88">
        <v>0.15217391304347827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222</v>
      </c>
      <c r="AI16" s="92">
        <v>48300</v>
      </c>
    </row>
  </sheetData>
  <sortState xmlns:xlrd2="http://schemas.microsoft.com/office/spreadsheetml/2017/richdata2" ref="AH3:AI47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462C0-9D45-411A-9110-323125F61120}">
  <sheetPr codeName="Sheet4"/>
  <dimension ref="A1:Q965"/>
  <sheetViews>
    <sheetView showGridLines="0" zoomScaleNormal="100" workbookViewId="0"/>
  </sheetViews>
  <sheetFormatPr defaultColWidth="9" defaultRowHeight="18" x14ac:dyDescent="0.45"/>
  <cols>
    <col min="1" max="1" width="13" style="33" customWidth="1"/>
    <col min="2" max="3" width="9" style="33" customWidth="1"/>
    <col min="4" max="4" width="3.59765625" style="33" customWidth="1"/>
    <col min="5" max="5" width="3.59765625" style="128" bestFit="1" customWidth="1"/>
    <col min="6" max="6" width="11" style="43" bestFit="1" customWidth="1"/>
    <col min="7" max="9" width="9" style="33" customWidth="1"/>
    <col min="10" max="10" width="3.59765625" style="33" customWidth="1"/>
    <col min="11" max="11" width="3.5" style="38" customWidth="1"/>
    <col min="12" max="12" width="9" style="99" customWidth="1"/>
    <col min="13" max="13" width="3.59765625" style="33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33"/>
  </cols>
  <sheetData>
    <row r="1" spans="1:17" x14ac:dyDescent="0.45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5">
      <c r="A2" s="54" t="s">
        <v>9</v>
      </c>
      <c r="B2" s="150">
        <v>963</v>
      </c>
      <c r="C2" s="151"/>
      <c r="E2" s="62" t="s">
        <v>67</v>
      </c>
      <c r="F2" s="59" t="s">
        <v>23</v>
      </c>
      <c r="G2" s="46">
        <v>1707</v>
      </c>
      <c r="H2" s="132">
        <f t="shared" ref="H2:H33" si="0">IF(B$17=0,0,G2/B$17)</f>
        <v>0.71783010933557612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-17.708333333333332</v>
      </c>
      <c r="P2" s="118">
        <v>960</v>
      </c>
      <c r="Q2" s="102">
        <v>-17000</v>
      </c>
    </row>
    <row r="3" spans="1:17" x14ac:dyDescent="0.45">
      <c r="A3" s="55" t="s">
        <v>8</v>
      </c>
      <c r="B3" s="152">
        <v>7974</v>
      </c>
      <c r="C3" s="153"/>
      <c r="E3" s="63" t="s">
        <v>73</v>
      </c>
      <c r="F3" s="60" t="s">
        <v>28</v>
      </c>
      <c r="G3" s="47">
        <v>1230</v>
      </c>
      <c r="H3" s="133">
        <f t="shared" si="0"/>
        <v>0.51724137931034486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1"/>
        <v>-7.4547390841320551</v>
      </c>
      <c r="P3" s="119">
        <v>939</v>
      </c>
      <c r="Q3" s="103">
        <v>-7000</v>
      </c>
    </row>
    <row r="4" spans="1:17" x14ac:dyDescent="0.45">
      <c r="A4" s="55" t="s">
        <v>6</v>
      </c>
      <c r="B4" s="154">
        <v>-1.4210854715202004E-14</v>
      </c>
      <c r="C4" s="155"/>
      <c r="E4" s="63" t="s">
        <v>65</v>
      </c>
      <c r="F4" s="60" t="s">
        <v>21</v>
      </c>
      <c r="G4" s="47">
        <v>1176</v>
      </c>
      <c r="H4" s="133">
        <f t="shared" si="0"/>
        <v>0.49453322119428089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1"/>
        <v>14.789533560864619</v>
      </c>
      <c r="P4" s="119">
        <v>879</v>
      </c>
      <c r="Q4" s="103">
        <v>13000</v>
      </c>
    </row>
    <row r="5" spans="1:17" x14ac:dyDescent="0.45">
      <c r="A5" s="55" t="s">
        <v>7</v>
      </c>
      <c r="B5" s="156">
        <f>IF(B$2=0,0,B$4/B$2)</f>
        <v>-1.4756858478922122E-17</v>
      </c>
      <c r="C5" s="157"/>
      <c r="E5" s="63" t="s">
        <v>245</v>
      </c>
      <c r="F5" s="60" t="s">
        <v>246</v>
      </c>
      <c r="G5" s="47">
        <v>956</v>
      </c>
      <c r="H5" s="133">
        <f t="shared" si="0"/>
        <v>0.4020185029436501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1"/>
        <v>4.9566294919454768</v>
      </c>
      <c r="P5" s="119">
        <v>807</v>
      </c>
      <c r="Q5" s="103">
        <v>4000</v>
      </c>
    </row>
    <row r="6" spans="1:17" x14ac:dyDescent="0.45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738</v>
      </c>
      <c r="H6" s="133">
        <f t="shared" si="0"/>
        <v>0.31034482758620691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1"/>
        <v>-12.448132780082988</v>
      </c>
      <c r="P6" s="119">
        <v>723</v>
      </c>
      <c r="Q6" s="103">
        <v>-9000</v>
      </c>
    </row>
    <row r="7" spans="1:17" x14ac:dyDescent="0.45">
      <c r="A7" s="55" t="s">
        <v>2</v>
      </c>
      <c r="B7" s="47">
        <v>321</v>
      </c>
      <c r="C7" s="39">
        <f t="shared" ref="C7:C12" si="2">IF(B$2=0,0,B7/B$2)</f>
        <v>0.33333333333333331</v>
      </c>
      <c r="E7" s="63" t="s">
        <v>68</v>
      </c>
      <c r="F7" s="60" t="s">
        <v>24</v>
      </c>
      <c r="G7" s="47">
        <v>709</v>
      </c>
      <c r="H7" s="133">
        <f t="shared" si="0"/>
        <v>0.29814970563498738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1"/>
        <v>25.396825396825395</v>
      </c>
      <c r="P7" s="120">
        <v>630</v>
      </c>
      <c r="Q7" s="104">
        <v>16000</v>
      </c>
    </row>
    <row r="8" spans="1:17" x14ac:dyDescent="0.45">
      <c r="A8" s="55" t="s">
        <v>3</v>
      </c>
      <c r="B8" s="47">
        <v>321</v>
      </c>
      <c r="C8" s="39">
        <f t="shared" si="2"/>
        <v>0.33333333333333331</v>
      </c>
      <c r="E8" s="63" t="s">
        <v>70</v>
      </c>
      <c r="F8" s="60" t="s">
        <v>25</v>
      </c>
      <c r="G8" s="47">
        <v>400</v>
      </c>
      <c r="H8" s="133">
        <f t="shared" si="0"/>
        <v>0.16820857863751051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5">
      <c r="A9" s="56" t="s">
        <v>4</v>
      </c>
      <c r="B9" s="48">
        <v>321</v>
      </c>
      <c r="C9" s="40">
        <f t="shared" si="2"/>
        <v>0.33333333333333331</v>
      </c>
      <c r="E9" s="63" t="s">
        <v>90</v>
      </c>
      <c r="F9" s="60" t="s">
        <v>45</v>
      </c>
      <c r="G9" s="47">
        <v>312</v>
      </c>
      <c r="H9" s="133">
        <f t="shared" si="0"/>
        <v>0.1312026913372582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5">
      <c r="A10" s="56" t="s">
        <v>19</v>
      </c>
      <c r="B10" s="48">
        <v>115</v>
      </c>
      <c r="C10" s="40">
        <f t="shared" si="2"/>
        <v>0.11941848390446522</v>
      </c>
      <c r="E10" s="63" t="s">
        <v>66</v>
      </c>
      <c r="F10" s="60" t="s">
        <v>22</v>
      </c>
      <c r="G10" s="47">
        <v>263</v>
      </c>
      <c r="H10" s="133">
        <f t="shared" si="0"/>
        <v>0.11059714045416316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-2.1327102803738303</v>
      </c>
      <c r="P10" s="118">
        <v>321</v>
      </c>
      <c r="Q10" s="106">
        <v>-684.59999999999957</v>
      </c>
    </row>
    <row r="11" spans="1:17" x14ac:dyDescent="0.45">
      <c r="A11" s="56" t="s">
        <v>140</v>
      </c>
      <c r="B11" s="48">
        <v>115</v>
      </c>
      <c r="C11" s="40">
        <f t="shared" si="2"/>
        <v>0.11941848390446522</v>
      </c>
      <c r="E11" s="63" t="s">
        <v>71</v>
      </c>
      <c r="F11" s="60" t="s">
        <v>26</v>
      </c>
      <c r="G11" s="47">
        <v>241</v>
      </c>
      <c r="H11" s="133">
        <f t="shared" si="0"/>
        <v>0.10134566862910008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0.98411214953271087</v>
      </c>
      <c r="P11" s="119">
        <v>321</v>
      </c>
      <c r="Q11" s="107">
        <v>315.9000000000002</v>
      </c>
    </row>
    <row r="12" spans="1:17" x14ac:dyDescent="0.45">
      <c r="A12" s="57" t="s">
        <v>160</v>
      </c>
      <c r="B12" s="49">
        <v>84</v>
      </c>
      <c r="C12" s="42">
        <f t="shared" si="2"/>
        <v>8.7227414330218064E-2</v>
      </c>
      <c r="E12" s="63" t="s">
        <v>72</v>
      </c>
      <c r="F12" s="60" t="s">
        <v>27</v>
      </c>
      <c r="G12" s="47">
        <v>160</v>
      </c>
      <c r="H12" s="133">
        <f t="shared" si="0"/>
        <v>6.7283431455004206E-2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1.1485981308411211</v>
      </c>
      <c r="P12" s="120">
        <v>321</v>
      </c>
      <c r="Q12" s="108">
        <v>368.69999999999987</v>
      </c>
    </row>
    <row r="13" spans="1:17" x14ac:dyDescent="0.45">
      <c r="A13" s="58" t="s">
        <v>122</v>
      </c>
      <c r="B13" s="50">
        <v>2141</v>
      </c>
      <c r="C13" s="44">
        <f>IF(B$3=0,0,B13/B$3)</f>
        <v>0.26849761725608229</v>
      </c>
      <c r="E13" s="63" t="s">
        <v>87</v>
      </c>
      <c r="F13" s="60" t="s">
        <v>42</v>
      </c>
      <c r="G13" s="47">
        <v>136</v>
      </c>
      <c r="H13" s="133">
        <f t="shared" si="0"/>
        <v>5.7190916736753576E-2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5">
      <c r="A14" s="55" t="s">
        <v>119</v>
      </c>
      <c r="B14" s="47">
        <v>1705</v>
      </c>
      <c r="C14" s="39">
        <f>IF(B$3=0,0,B14/B$3)</f>
        <v>0.21381991472284925</v>
      </c>
      <c r="E14" s="63" t="s">
        <v>84</v>
      </c>
      <c r="F14" s="60" t="s">
        <v>39</v>
      </c>
      <c r="G14" s="47">
        <v>115</v>
      </c>
      <c r="H14" s="133">
        <f t="shared" si="0"/>
        <v>4.8359966358284275E-2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5">
      <c r="A15" s="54" t="s">
        <v>124</v>
      </c>
      <c r="B15" s="46">
        <v>1236</v>
      </c>
      <c r="C15" s="37">
        <f>IF(B$13=0,0,B15/B$13)</f>
        <v>0.57730032695002331</v>
      </c>
      <c r="E15" s="63" t="s">
        <v>79</v>
      </c>
      <c r="F15" s="60" t="s">
        <v>34</v>
      </c>
      <c r="G15" s="47">
        <v>65</v>
      </c>
      <c r="H15" s="133">
        <f t="shared" si="0"/>
        <v>2.7333894028595457E-2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 t="shared" ref="O15:O27" si="3">IF(P15=0,0,Q15/P15)</f>
        <v>54.337499999999999</v>
      </c>
      <c r="P15" s="118">
        <v>16</v>
      </c>
      <c r="Q15" s="106">
        <v>869.4</v>
      </c>
    </row>
    <row r="16" spans="1:17" x14ac:dyDescent="0.45">
      <c r="A16" s="54" t="s">
        <v>125</v>
      </c>
      <c r="B16" s="46">
        <v>679</v>
      </c>
      <c r="C16" s="37">
        <f>IF(B$14=0,0,B16/B$14)</f>
        <v>0.39824046920821116</v>
      </c>
      <c r="E16" s="63" t="s">
        <v>82</v>
      </c>
      <c r="F16" s="60" t="s">
        <v>37</v>
      </c>
      <c r="G16" s="47">
        <v>60</v>
      </c>
      <c r="H16" s="133">
        <f t="shared" si="0"/>
        <v>2.5231286795626577E-2</v>
      </c>
      <c r="I16" s="94">
        <v>6</v>
      </c>
      <c r="K16" s="38">
        <v>14</v>
      </c>
      <c r="L16" s="99">
        <v>18.79999999999999</v>
      </c>
      <c r="N16" s="115" t="s">
        <v>184</v>
      </c>
      <c r="O16" s="125">
        <f t="shared" si="3"/>
        <v>18.781250000000004</v>
      </c>
      <c r="P16" s="119">
        <v>48</v>
      </c>
      <c r="Q16" s="107">
        <v>901.50000000000023</v>
      </c>
    </row>
    <row r="17" spans="1:17" x14ac:dyDescent="0.45">
      <c r="A17" s="54" t="s">
        <v>10</v>
      </c>
      <c r="B17" s="46">
        <f>B19+B18</f>
        <v>2378</v>
      </c>
      <c r="C17" s="37">
        <f>IF(B$3=0,0,B17/B$3)</f>
        <v>0.29821921244043142</v>
      </c>
      <c r="E17" s="63" t="s">
        <v>92</v>
      </c>
      <c r="F17" s="60" t="s">
        <v>47</v>
      </c>
      <c r="G17" s="47">
        <v>48</v>
      </c>
      <c r="H17" s="133">
        <f t="shared" si="0"/>
        <v>2.0185029436501262E-2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 t="shared" si="3"/>
        <v>13.245762711864405</v>
      </c>
      <c r="P17" s="119">
        <v>118</v>
      </c>
      <c r="Q17" s="107">
        <v>1562.9999999999998</v>
      </c>
    </row>
    <row r="18" spans="1:17" x14ac:dyDescent="0.45">
      <c r="A18" s="55" t="s">
        <v>12</v>
      </c>
      <c r="B18" s="47">
        <v>1027</v>
      </c>
      <c r="C18" s="39">
        <f>IF(B$17=0,0,B18/B$17)</f>
        <v>0.43187552565180826</v>
      </c>
      <c r="E18" s="63" t="s">
        <v>180</v>
      </c>
      <c r="F18" s="60" t="s">
        <v>181</v>
      </c>
      <c r="G18" s="47">
        <v>42</v>
      </c>
      <c r="H18" s="133">
        <f t="shared" si="0"/>
        <v>1.7661900756938603E-2</v>
      </c>
      <c r="I18" s="94">
        <v>5</v>
      </c>
      <c r="K18" s="38">
        <v>16</v>
      </c>
      <c r="L18" s="99">
        <v>90.899999999999991</v>
      </c>
      <c r="N18" s="115" t="s">
        <v>129</v>
      </c>
      <c r="O18" s="125">
        <f t="shared" si="3"/>
        <v>11.865937500000026</v>
      </c>
      <c r="P18" s="119">
        <v>320</v>
      </c>
      <c r="Q18" s="107">
        <v>3797.1000000000085</v>
      </c>
    </row>
    <row r="19" spans="1:17" x14ac:dyDescent="0.45">
      <c r="A19" s="55" t="s">
        <v>11</v>
      </c>
      <c r="B19" s="47">
        <v>1351</v>
      </c>
      <c r="C19" s="39">
        <f>IF(B$17=0,0,B19/B$17)</f>
        <v>0.5681244743481918</v>
      </c>
      <c r="E19" s="63" t="s">
        <v>80</v>
      </c>
      <c r="F19" s="60" t="s">
        <v>35</v>
      </c>
      <c r="G19" s="47">
        <v>39</v>
      </c>
      <c r="H19" s="133">
        <f t="shared" si="0"/>
        <v>1.6400336417157275E-2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 t="shared" si="3"/>
        <v>4.5444444444444443</v>
      </c>
      <c r="P19" s="119">
        <v>324</v>
      </c>
      <c r="Q19" s="107">
        <v>1472.4</v>
      </c>
    </row>
    <row r="20" spans="1:17" x14ac:dyDescent="0.45">
      <c r="A20" s="55" t="s">
        <v>13</v>
      </c>
      <c r="B20" s="47">
        <v>1333</v>
      </c>
      <c r="C20" s="39">
        <f>IF(B$3=0,0,B20/B$3)</f>
        <v>0.16716829696513669</v>
      </c>
      <c r="E20" s="63" t="s">
        <v>78</v>
      </c>
      <c r="F20" s="60" t="s">
        <v>33</v>
      </c>
      <c r="G20" s="47">
        <v>19</v>
      </c>
      <c r="H20" s="133">
        <f t="shared" si="0"/>
        <v>7.9899074852817498E-3</v>
      </c>
      <c r="I20" s="94">
        <v>5</v>
      </c>
      <c r="K20" s="38">
        <v>18</v>
      </c>
      <c r="L20" s="99">
        <v>-3.5527136788005009E-15</v>
      </c>
      <c r="N20" s="115" t="s">
        <v>172</v>
      </c>
      <c r="O20" s="125">
        <f t="shared" si="3"/>
        <v>3.7776699029126211</v>
      </c>
      <c r="P20" s="119">
        <v>206</v>
      </c>
      <c r="Q20" s="107">
        <v>778.19999999999993</v>
      </c>
    </row>
    <row r="21" spans="1:17" x14ac:dyDescent="0.45">
      <c r="A21" s="55" t="s">
        <v>191</v>
      </c>
      <c r="B21" s="47">
        <v>7</v>
      </c>
      <c r="C21" s="135">
        <v>2</v>
      </c>
      <c r="E21" s="63" t="s">
        <v>74</v>
      </c>
      <c r="F21" s="60" t="s">
        <v>29</v>
      </c>
      <c r="G21" s="47">
        <v>15</v>
      </c>
      <c r="H21" s="133">
        <f t="shared" si="0"/>
        <v>6.3078216989066443E-3</v>
      </c>
      <c r="I21" s="94">
        <v>6</v>
      </c>
      <c r="K21" s="38">
        <v>19</v>
      </c>
      <c r="L21" s="99">
        <v>30.999999999999996</v>
      </c>
      <c r="N21" s="115" t="s">
        <v>177</v>
      </c>
      <c r="O21" s="125">
        <f t="shared" si="3"/>
        <v>-0.98592233009708918</v>
      </c>
      <c r="P21" s="119">
        <v>206</v>
      </c>
      <c r="Q21" s="107">
        <v>-203.10000000000036</v>
      </c>
    </row>
    <row r="22" spans="1:17" x14ac:dyDescent="0.45">
      <c r="A22" s="55" t="s">
        <v>192</v>
      </c>
      <c r="B22" s="47">
        <v>31</v>
      </c>
      <c r="C22" s="135">
        <v>4</v>
      </c>
      <c r="E22" s="63" t="s">
        <v>76</v>
      </c>
      <c r="F22" s="60" t="s">
        <v>31</v>
      </c>
      <c r="G22" s="47">
        <v>14</v>
      </c>
      <c r="H22" s="133">
        <f t="shared" si="0"/>
        <v>5.8873002523128683E-3</v>
      </c>
      <c r="I22" s="94">
        <v>5</v>
      </c>
      <c r="K22" s="38">
        <v>20</v>
      </c>
      <c r="L22" s="99">
        <v>0.79999999999999716</v>
      </c>
      <c r="N22" s="115" t="s">
        <v>171</v>
      </c>
      <c r="O22" s="125">
        <f t="shared" si="3"/>
        <v>-1.9882075471698091</v>
      </c>
      <c r="P22" s="119">
        <v>212</v>
      </c>
      <c r="Q22" s="107">
        <v>-421.49999999999955</v>
      </c>
    </row>
    <row r="23" spans="1:17" x14ac:dyDescent="0.45">
      <c r="A23" s="55" t="s">
        <v>5</v>
      </c>
      <c r="B23" s="51">
        <f>IF(B$17=0,0,C23/B$17)</f>
        <v>8624.2640874684603</v>
      </c>
      <c r="C23" s="41">
        <v>20508500</v>
      </c>
      <c r="E23" s="63" t="s">
        <v>86</v>
      </c>
      <c r="F23" s="60" t="s">
        <v>41</v>
      </c>
      <c r="G23" s="47">
        <v>12</v>
      </c>
      <c r="H23" s="133">
        <f t="shared" si="0"/>
        <v>5.0462573591253156E-3</v>
      </c>
      <c r="I23" s="94">
        <v>3</v>
      </c>
      <c r="K23" s="38">
        <v>21</v>
      </c>
      <c r="L23" s="99">
        <v>-2.886579864025407E-15</v>
      </c>
      <c r="N23" s="115" t="s">
        <v>200</v>
      </c>
      <c r="O23" s="125">
        <f t="shared" si="3"/>
        <v>-5.9142857142857093</v>
      </c>
      <c r="P23" s="119">
        <v>42</v>
      </c>
      <c r="Q23" s="107">
        <v>-248.39999999999981</v>
      </c>
    </row>
    <row r="24" spans="1:17" x14ac:dyDescent="0.45">
      <c r="A24" s="57" t="s">
        <v>14</v>
      </c>
      <c r="B24" s="52">
        <f>IF(B$20=0,0,C24/B$20)</f>
        <v>-8128.1320330082517</v>
      </c>
      <c r="C24" s="45">
        <v>-10834800</v>
      </c>
      <c r="E24" s="63" t="s">
        <v>75</v>
      </c>
      <c r="F24" s="60" t="s">
        <v>30</v>
      </c>
      <c r="G24" s="47">
        <v>9</v>
      </c>
      <c r="H24" s="133">
        <f t="shared" si="0"/>
        <v>3.7846930193439865E-3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 t="shared" si="3"/>
        <v>-19.286231884057965</v>
      </c>
      <c r="P24" s="119">
        <v>414</v>
      </c>
      <c r="Q24" s="107">
        <v>-7984.4999999999973</v>
      </c>
    </row>
    <row r="25" spans="1:17" x14ac:dyDescent="0.45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9</v>
      </c>
      <c r="H25" s="133">
        <f t="shared" si="0"/>
        <v>3.7846930193439865E-3</v>
      </c>
      <c r="I25" s="94">
        <v>4</v>
      </c>
      <c r="K25" s="38">
        <v>23</v>
      </c>
      <c r="L25" s="99">
        <v>26.299999999999997</v>
      </c>
      <c r="N25" s="115" t="s">
        <v>222</v>
      </c>
      <c r="O25" s="125">
        <f t="shared" si="3"/>
        <v>-19.950000000000003</v>
      </c>
      <c r="P25" s="119">
        <v>2</v>
      </c>
      <c r="Q25" s="107">
        <v>-39.900000000000006</v>
      </c>
    </row>
    <row r="26" spans="1:17" x14ac:dyDescent="0.45">
      <c r="A26" s="58" t="s">
        <v>152</v>
      </c>
      <c r="B26" s="142">
        <v>116000</v>
      </c>
      <c r="C26" s="143"/>
      <c r="E26" s="63" t="s">
        <v>88</v>
      </c>
      <c r="F26" s="60" t="s">
        <v>43</v>
      </c>
      <c r="G26" s="47">
        <v>7</v>
      </c>
      <c r="H26" s="133">
        <f t="shared" si="0"/>
        <v>2.9436501261564342E-3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 t="shared" si="3"/>
        <v>-25.099999999999998</v>
      </c>
      <c r="P26" s="119">
        <v>12</v>
      </c>
      <c r="Q26" s="107">
        <v>-301.2</v>
      </c>
    </row>
    <row r="27" spans="1:17" x14ac:dyDescent="0.45">
      <c r="A27" s="57" t="s">
        <v>143</v>
      </c>
      <c r="B27" s="65">
        <v>20</v>
      </c>
      <c r="C27" s="42">
        <f>IF(B$3=0,0,B27/B$3)</f>
        <v>2.5081514923501378E-3</v>
      </c>
      <c r="E27" s="63" t="s">
        <v>94</v>
      </c>
      <c r="F27" s="60" t="s">
        <v>49</v>
      </c>
      <c r="G27" s="47">
        <v>7</v>
      </c>
      <c r="H27" s="133">
        <f t="shared" si="0"/>
        <v>2.9436501261564342E-3</v>
      </c>
      <c r="I27" s="94">
        <v>5</v>
      </c>
      <c r="K27" s="38">
        <v>25</v>
      </c>
      <c r="L27" s="99">
        <v>-31.300000000000004</v>
      </c>
      <c r="N27" s="115" t="s">
        <v>183</v>
      </c>
      <c r="O27" s="125">
        <f t="shared" si="3"/>
        <v>-30.5</v>
      </c>
      <c r="P27" s="119">
        <v>6</v>
      </c>
      <c r="Q27" s="107">
        <v>-183</v>
      </c>
    </row>
    <row r="28" spans="1:17" x14ac:dyDescent="0.45">
      <c r="E28" s="63" t="s">
        <v>85</v>
      </c>
      <c r="F28" s="60" t="s">
        <v>40</v>
      </c>
      <c r="G28" s="47">
        <v>6</v>
      </c>
      <c r="H28" s="133">
        <f t="shared" si="0"/>
        <v>2.5231286795626578E-3</v>
      </c>
      <c r="I28" s="94">
        <v>4</v>
      </c>
      <c r="K28" s="38">
        <v>26</v>
      </c>
      <c r="L28" s="99">
        <v>1.8999999999999986</v>
      </c>
    </row>
    <row r="29" spans="1:17" x14ac:dyDescent="0.45">
      <c r="E29" s="63" t="s">
        <v>91</v>
      </c>
      <c r="F29" s="60" t="s">
        <v>46</v>
      </c>
      <c r="G29" s="47">
        <v>6</v>
      </c>
      <c r="H29" s="133">
        <f t="shared" si="0"/>
        <v>2.5231286795626578E-3</v>
      </c>
      <c r="I29" s="94">
        <v>4</v>
      </c>
      <c r="K29" s="38">
        <v>27</v>
      </c>
      <c r="L29" s="99">
        <v>-1.3322676295501878E-15</v>
      </c>
    </row>
    <row r="30" spans="1:17" x14ac:dyDescent="0.45">
      <c r="E30" s="63" t="s">
        <v>89</v>
      </c>
      <c r="F30" s="60" t="s">
        <v>44</v>
      </c>
      <c r="G30" s="47">
        <v>4</v>
      </c>
      <c r="H30" s="133">
        <f t="shared" si="0"/>
        <v>1.6820857863751051E-3</v>
      </c>
      <c r="I30" s="94">
        <v>4</v>
      </c>
      <c r="K30" s="38">
        <v>28</v>
      </c>
      <c r="L30" s="99">
        <v>-58.3</v>
      </c>
    </row>
    <row r="31" spans="1:17" x14ac:dyDescent="0.45">
      <c r="E31" s="63" t="s">
        <v>96</v>
      </c>
      <c r="F31" s="60" t="s">
        <v>51</v>
      </c>
      <c r="G31" s="47">
        <v>2</v>
      </c>
      <c r="H31" s="133">
        <f t="shared" si="0"/>
        <v>8.4104289318755253E-4</v>
      </c>
      <c r="I31" s="94">
        <v>3</v>
      </c>
      <c r="K31" s="38">
        <v>29</v>
      </c>
      <c r="L31" s="99">
        <v>-9.5</v>
      </c>
    </row>
    <row r="32" spans="1:17" x14ac:dyDescent="0.45">
      <c r="E32" s="63" t="s">
        <v>98</v>
      </c>
      <c r="F32" s="60" t="s">
        <v>53</v>
      </c>
      <c r="G32" s="47">
        <v>1</v>
      </c>
      <c r="H32" s="133">
        <f t="shared" si="0"/>
        <v>4.2052144659377626E-4</v>
      </c>
      <c r="I32" s="94">
        <v>2</v>
      </c>
      <c r="K32" s="38">
        <v>30</v>
      </c>
      <c r="L32" s="99">
        <v>0</v>
      </c>
    </row>
    <row r="33" spans="5:12" x14ac:dyDescent="0.45">
      <c r="E33" s="63" t="s">
        <v>102</v>
      </c>
      <c r="F33" s="60" t="s">
        <v>57</v>
      </c>
      <c r="G33" s="47">
        <v>1</v>
      </c>
      <c r="H33" s="133">
        <f t="shared" si="0"/>
        <v>4.2052144659377626E-4</v>
      </c>
      <c r="I33" s="94">
        <v>2</v>
      </c>
      <c r="K33" s="38">
        <v>31</v>
      </c>
      <c r="L33" s="99">
        <v>29.1</v>
      </c>
    </row>
    <row r="34" spans="5:12" x14ac:dyDescent="0.45">
      <c r="E34" s="63" t="s">
        <v>107</v>
      </c>
      <c r="F34" s="60" t="s">
        <v>114</v>
      </c>
      <c r="G34" s="47">
        <v>1</v>
      </c>
      <c r="H34" s="133">
        <f t="shared" ref="H34:H65" si="4">IF(B$17=0,0,G34/B$17)</f>
        <v>4.2052144659377626E-4</v>
      </c>
      <c r="I34" s="94">
        <v>2</v>
      </c>
      <c r="K34" s="38">
        <v>32</v>
      </c>
      <c r="L34" s="99">
        <v>4.3000000000000007</v>
      </c>
    </row>
    <row r="35" spans="5:12" x14ac:dyDescent="0.45">
      <c r="E35" s="63" t="s">
        <v>77</v>
      </c>
      <c r="F35" s="60" t="s">
        <v>32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8.8817841970012523E-16</v>
      </c>
    </row>
    <row r="36" spans="5:12" x14ac:dyDescent="0.45">
      <c r="E36" s="63" t="s">
        <v>81</v>
      </c>
      <c r="F36" s="60" t="s">
        <v>36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-7.2999999999999989</v>
      </c>
    </row>
    <row r="37" spans="5:12" x14ac:dyDescent="0.45">
      <c r="E37" s="63" t="s">
        <v>83</v>
      </c>
      <c r="F37" s="60" t="s">
        <v>38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-37.199999999999996</v>
      </c>
    </row>
    <row r="38" spans="5:12" x14ac:dyDescent="0.45">
      <c r="E38" s="63" t="s">
        <v>95</v>
      </c>
      <c r="F38" s="60" t="s">
        <v>50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7.1054273576010019E-15</v>
      </c>
    </row>
    <row r="39" spans="5:12" x14ac:dyDescent="0.45">
      <c r="E39" s="63" t="s">
        <v>97</v>
      </c>
      <c r="F39" s="60" t="s">
        <v>52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-31.699999999999992</v>
      </c>
    </row>
    <row r="40" spans="5:12" x14ac:dyDescent="0.45">
      <c r="E40" s="63" t="s">
        <v>99</v>
      </c>
      <c r="F40" s="60" t="s">
        <v>54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-33.099999999999994</v>
      </c>
    </row>
    <row r="41" spans="5:12" x14ac:dyDescent="0.45">
      <c r="E41" s="63" t="s">
        <v>100</v>
      </c>
      <c r="F41" s="60" t="s">
        <v>55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7.1054273576010019E-15</v>
      </c>
    </row>
    <row r="42" spans="5:12" x14ac:dyDescent="0.45">
      <c r="E42" s="63" t="s">
        <v>101</v>
      </c>
      <c r="F42" s="60" t="s">
        <v>56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-39.699999999999996</v>
      </c>
    </row>
    <row r="43" spans="5:12" x14ac:dyDescent="0.45">
      <c r="E43" s="63" t="s">
        <v>103</v>
      </c>
      <c r="F43" s="60" t="s">
        <v>58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5.5000000000000071</v>
      </c>
    </row>
    <row r="44" spans="5:12" x14ac:dyDescent="0.45">
      <c r="E44" s="63" t="s">
        <v>104</v>
      </c>
      <c r="F44" s="60" t="s">
        <v>59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7.1054273576010019E-15</v>
      </c>
    </row>
    <row r="45" spans="5:12" x14ac:dyDescent="0.45">
      <c r="E45" s="63" t="s">
        <v>105</v>
      </c>
      <c r="F45" s="60" t="s">
        <v>60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87.1</v>
      </c>
    </row>
    <row r="46" spans="5:12" x14ac:dyDescent="0.45">
      <c r="E46" s="63" t="s">
        <v>106</v>
      </c>
      <c r="F46" s="60" t="s">
        <v>113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60.399999999999991</v>
      </c>
    </row>
    <row r="47" spans="5:12" x14ac:dyDescent="0.45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-7.1054273576010019E-15</v>
      </c>
    </row>
    <row r="48" spans="5:12" x14ac:dyDescent="0.45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-48.000000000000007</v>
      </c>
    </row>
    <row r="49" spans="5:12" x14ac:dyDescent="0.45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-49.600000000000009</v>
      </c>
    </row>
    <row r="50" spans="5:12" x14ac:dyDescent="0.45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-7.1054273576010019E-15</v>
      </c>
    </row>
    <row r="51" spans="5:12" x14ac:dyDescent="0.45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38.399999999999991</v>
      </c>
    </row>
    <row r="52" spans="5:12" x14ac:dyDescent="0.45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4.0999999999999943</v>
      </c>
    </row>
    <row r="53" spans="5:12" x14ac:dyDescent="0.45">
      <c r="K53" s="38">
        <v>51</v>
      </c>
      <c r="L53" s="99">
        <v>-5.3290705182007514E-15</v>
      </c>
    </row>
    <row r="54" spans="5:12" x14ac:dyDescent="0.45">
      <c r="K54" s="38">
        <v>52</v>
      </c>
      <c r="L54" s="99">
        <v>27.799999999999997</v>
      </c>
    </row>
    <row r="55" spans="5:12" x14ac:dyDescent="0.45">
      <c r="K55" s="38">
        <v>53</v>
      </c>
      <c r="L55" s="99">
        <v>25.099999999999998</v>
      </c>
    </row>
    <row r="56" spans="5:12" x14ac:dyDescent="0.45">
      <c r="K56" s="38">
        <v>54</v>
      </c>
      <c r="L56" s="99">
        <v>-3.5527136788005009E-15</v>
      </c>
    </row>
    <row r="57" spans="5:12" x14ac:dyDescent="0.45">
      <c r="K57" s="38">
        <v>55</v>
      </c>
      <c r="L57" s="99">
        <v>47.2</v>
      </c>
    </row>
    <row r="58" spans="5:12" x14ac:dyDescent="0.45">
      <c r="K58" s="38">
        <v>56</v>
      </c>
      <c r="L58" s="99">
        <v>-3.5</v>
      </c>
    </row>
    <row r="59" spans="5:12" x14ac:dyDescent="0.45">
      <c r="K59" s="38">
        <v>57</v>
      </c>
      <c r="L59" s="99">
        <v>0</v>
      </c>
    </row>
    <row r="60" spans="5:12" x14ac:dyDescent="0.45">
      <c r="K60" s="38">
        <v>58</v>
      </c>
      <c r="L60" s="99">
        <v>-28.5</v>
      </c>
    </row>
    <row r="61" spans="5:12" x14ac:dyDescent="0.45">
      <c r="K61" s="38">
        <v>59</v>
      </c>
      <c r="L61" s="99">
        <v>-31.9</v>
      </c>
    </row>
    <row r="62" spans="5:12" x14ac:dyDescent="0.45">
      <c r="K62" s="38">
        <v>60</v>
      </c>
      <c r="L62" s="99">
        <v>0</v>
      </c>
    </row>
    <row r="63" spans="5:12" x14ac:dyDescent="0.45">
      <c r="K63" s="38">
        <v>61</v>
      </c>
      <c r="L63" s="99">
        <v>28.9</v>
      </c>
    </row>
    <row r="64" spans="5:12" x14ac:dyDescent="0.45">
      <c r="K64" s="38">
        <v>62</v>
      </c>
      <c r="L64" s="99">
        <v>3.5</v>
      </c>
    </row>
    <row r="65" spans="11:12" x14ac:dyDescent="0.45">
      <c r="K65" s="38">
        <v>63</v>
      </c>
      <c r="L65" s="99">
        <v>0</v>
      </c>
    </row>
    <row r="66" spans="11:12" x14ac:dyDescent="0.45">
      <c r="K66" s="38">
        <v>64</v>
      </c>
      <c r="L66" s="99">
        <v>-15.3</v>
      </c>
    </row>
    <row r="67" spans="11:12" x14ac:dyDescent="0.45">
      <c r="K67" s="38">
        <v>65</v>
      </c>
      <c r="L67" s="99">
        <v>41</v>
      </c>
    </row>
    <row r="68" spans="11:12" x14ac:dyDescent="0.45">
      <c r="K68" s="38">
        <v>66</v>
      </c>
      <c r="L68" s="99">
        <v>0</v>
      </c>
    </row>
    <row r="69" spans="11:12" x14ac:dyDescent="0.45">
      <c r="K69" s="38">
        <v>67</v>
      </c>
      <c r="L69" s="99">
        <v>-15.8</v>
      </c>
    </row>
    <row r="70" spans="11:12" x14ac:dyDescent="0.45">
      <c r="K70" s="38">
        <v>68</v>
      </c>
      <c r="L70" s="99">
        <v>57.8</v>
      </c>
    </row>
    <row r="71" spans="11:12" x14ac:dyDescent="0.45">
      <c r="K71" s="38">
        <v>69</v>
      </c>
      <c r="L71" s="99">
        <v>0</v>
      </c>
    </row>
    <row r="72" spans="11:12" x14ac:dyDescent="0.45">
      <c r="K72" s="38">
        <v>70</v>
      </c>
      <c r="L72" s="99">
        <v>54.6</v>
      </c>
    </row>
    <row r="73" spans="11:12" x14ac:dyDescent="0.45">
      <c r="K73" s="38">
        <v>71</v>
      </c>
      <c r="L73" s="99">
        <v>14.600000000000001</v>
      </c>
    </row>
    <row r="74" spans="11:12" x14ac:dyDescent="0.45">
      <c r="K74" s="38">
        <v>72</v>
      </c>
      <c r="L74" s="99">
        <v>1.7763568394002505E-15</v>
      </c>
    </row>
    <row r="75" spans="11:12" x14ac:dyDescent="0.45">
      <c r="K75" s="38">
        <v>73</v>
      </c>
      <c r="L75" s="99">
        <v>-43.7</v>
      </c>
    </row>
    <row r="76" spans="11:12" x14ac:dyDescent="0.45">
      <c r="K76" s="38">
        <v>74</v>
      </c>
      <c r="L76" s="99">
        <v>6.2999999999999972</v>
      </c>
    </row>
    <row r="77" spans="11:12" x14ac:dyDescent="0.45">
      <c r="K77" s="38">
        <v>75</v>
      </c>
      <c r="L77" s="99">
        <v>-2.6645352591003757E-15</v>
      </c>
    </row>
    <row r="78" spans="11:12" x14ac:dyDescent="0.45">
      <c r="K78" s="38">
        <v>76</v>
      </c>
      <c r="L78" s="99">
        <v>-32.5</v>
      </c>
    </row>
    <row r="79" spans="11:12" x14ac:dyDescent="0.45">
      <c r="K79" s="38">
        <v>77</v>
      </c>
      <c r="L79" s="99">
        <v>-37.1</v>
      </c>
    </row>
    <row r="80" spans="11:12" x14ac:dyDescent="0.45">
      <c r="K80" s="38">
        <v>78</v>
      </c>
      <c r="L80" s="99">
        <v>0</v>
      </c>
    </row>
    <row r="81" spans="11:12" x14ac:dyDescent="0.45">
      <c r="K81" s="38">
        <v>79</v>
      </c>
      <c r="L81" s="99">
        <v>8</v>
      </c>
    </row>
    <row r="82" spans="11:12" x14ac:dyDescent="0.45">
      <c r="K82" s="38">
        <v>80</v>
      </c>
      <c r="L82" s="99">
        <v>-29.299999999999997</v>
      </c>
    </row>
    <row r="83" spans="11:12" x14ac:dyDescent="0.45">
      <c r="K83" s="38">
        <v>81</v>
      </c>
      <c r="L83" s="99">
        <v>3.5527136788005009E-15</v>
      </c>
    </row>
    <row r="84" spans="11:12" x14ac:dyDescent="0.45">
      <c r="K84" s="38">
        <v>82</v>
      </c>
      <c r="L84" s="99">
        <v>-6.9999999999999964</v>
      </c>
    </row>
    <row r="85" spans="11:12" x14ac:dyDescent="0.45">
      <c r="K85" s="38">
        <v>83</v>
      </c>
      <c r="L85" s="99">
        <v>-38.5</v>
      </c>
    </row>
    <row r="86" spans="11:12" x14ac:dyDescent="0.45">
      <c r="K86" s="38">
        <v>84</v>
      </c>
      <c r="L86" s="99">
        <v>0</v>
      </c>
    </row>
    <row r="87" spans="11:12" x14ac:dyDescent="0.45">
      <c r="K87" s="38">
        <v>85</v>
      </c>
      <c r="L87" s="99">
        <v>52.9</v>
      </c>
    </row>
    <row r="88" spans="11:12" x14ac:dyDescent="0.45">
      <c r="K88" s="38">
        <v>86</v>
      </c>
      <c r="L88" s="99">
        <v>-3.1000000000000014</v>
      </c>
    </row>
    <row r="89" spans="11:12" x14ac:dyDescent="0.45">
      <c r="K89" s="38">
        <v>87</v>
      </c>
      <c r="L89" s="99">
        <v>-1.3322676295501878E-15</v>
      </c>
    </row>
    <row r="90" spans="11:12" x14ac:dyDescent="0.45">
      <c r="K90" s="38">
        <v>88</v>
      </c>
      <c r="L90" s="99">
        <v>22.1</v>
      </c>
    </row>
    <row r="91" spans="11:12" x14ac:dyDescent="0.45">
      <c r="K91" s="38">
        <v>89</v>
      </c>
      <c r="L91" s="99">
        <v>24</v>
      </c>
    </row>
    <row r="92" spans="11:12" x14ac:dyDescent="0.45">
      <c r="K92" s="38">
        <v>90</v>
      </c>
      <c r="L92" s="99">
        <v>0</v>
      </c>
    </row>
    <row r="93" spans="11:12" x14ac:dyDescent="0.45">
      <c r="K93" s="38">
        <v>91</v>
      </c>
      <c r="L93" s="99">
        <v>22.1</v>
      </c>
    </row>
    <row r="94" spans="11:12" x14ac:dyDescent="0.45">
      <c r="K94" s="38">
        <v>92</v>
      </c>
      <c r="L94" s="99">
        <v>24</v>
      </c>
    </row>
    <row r="95" spans="11:12" x14ac:dyDescent="0.45">
      <c r="K95" s="38">
        <v>93</v>
      </c>
      <c r="L95" s="99">
        <v>0</v>
      </c>
    </row>
    <row r="96" spans="11:12" x14ac:dyDescent="0.45">
      <c r="K96" s="38">
        <v>94</v>
      </c>
      <c r="L96" s="99">
        <v>25.7</v>
      </c>
    </row>
    <row r="97" spans="11:12" x14ac:dyDescent="0.45">
      <c r="K97" s="38">
        <v>95</v>
      </c>
      <c r="L97" s="99">
        <v>1.8000000000000007</v>
      </c>
    </row>
    <row r="98" spans="11:12" x14ac:dyDescent="0.45">
      <c r="K98" s="38">
        <v>96</v>
      </c>
      <c r="L98" s="99">
        <v>6.6613381477509392E-16</v>
      </c>
    </row>
    <row r="99" spans="11:12" x14ac:dyDescent="0.45">
      <c r="K99" s="38">
        <v>97</v>
      </c>
      <c r="L99" s="99">
        <v>39.6</v>
      </c>
    </row>
    <row r="100" spans="11:12" x14ac:dyDescent="0.45">
      <c r="K100" s="38">
        <v>98</v>
      </c>
      <c r="L100" s="99">
        <v>-64.199999999999989</v>
      </c>
    </row>
    <row r="101" spans="11:12" x14ac:dyDescent="0.45">
      <c r="K101" s="38">
        <v>99</v>
      </c>
      <c r="L101" s="99">
        <v>1.4210854715202004E-14</v>
      </c>
    </row>
    <row r="102" spans="11:12" x14ac:dyDescent="0.45">
      <c r="K102" s="38">
        <v>100</v>
      </c>
      <c r="L102" s="99">
        <v>-74.499999999999986</v>
      </c>
    </row>
    <row r="103" spans="11:12" x14ac:dyDescent="0.45">
      <c r="K103" s="38">
        <v>101</v>
      </c>
      <c r="L103" s="99">
        <v>2.2000000000000171</v>
      </c>
    </row>
    <row r="104" spans="11:12" x14ac:dyDescent="0.45">
      <c r="K104" s="38">
        <v>102</v>
      </c>
      <c r="L104" s="99">
        <v>1.6875389974302379E-14</v>
      </c>
    </row>
    <row r="105" spans="11:12" x14ac:dyDescent="0.45">
      <c r="K105" s="38">
        <v>103</v>
      </c>
      <c r="L105" s="99">
        <v>-31.599999999999984</v>
      </c>
    </row>
    <row r="106" spans="11:12" x14ac:dyDescent="0.45">
      <c r="K106" s="38">
        <v>104</v>
      </c>
      <c r="L106" s="99">
        <v>-35.799999999999983</v>
      </c>
    </row>
    <row r="107" spans="11:12" x14ac:dyDescent="0.45">
      <c r="K107" s="38">
        <v>105</v>
      </c>
      <c r="L107" s="99">
        <v>1.4210854715202004E-14</v>
      </c>
    </row>
    <row r="108" spans="11:12" x14ac:dyDescent="0.45">
      <c r="K108" s="38">
        <v>106</v>
      </c>
      <c r="L108" s="99">
        <v>35.300000000000011</v>
      </c>
    </row>
    <row r="109" spans="11:12" x14ac:dyDescent="0.45">
      <c r="K109" s="38">
        <v>107</v>
      </c>
      <c r="L109" s="99">
        <v>34.000000000000014</v>
      </c>
    </row>
    <row r="110" spans="11:12" x14ac:dyDescent="0.45">
      <c r="K110" s="38">
        <v>108</v>
      </c>
      <c r="L110" s="99">
        <v>1.4210854715202004E-14</v>
      </c>
    </row>
    <row r="111" spans="11:12" x14ac:dyDescent="0.45">
      <c r="K111" s="38">
        <v>109</v>
      </c>
      <c r="L111" s="99">
        <v>6.1000000000000139</v>
      </c>
    </row>
    <row r="112" spans="11:12" x14ac:dyDescent="0.45">
      <c r="K112" s="38">
        <v>110</v>
      </c>
      <c r="L112" s="99">
        <v>57.000000000000014</v>
      </c>
    </row>
    <row r="113" spans="11:12" x14ac:dyDescent="0.45">
      <c r="K113" s="38">
        <v>111</v>
      </c>
      <c r="L113" s="99">
        <v>1.4210854715202004E-14</v>
      </c>
    </row>
    <row r="114" spans="11:12" x14ac:dyDescent="0.45">
      <c r="K114" s="38">
        <v>112</v>
      </c>
      <c r="L114" s="99">
        <v>-5.0999999999999854</v>
      </c>
    </row>
    <row r="115" spans="11:12" x14ac:dyDescent="0.45">
      <c r="K115" s="38">
        <v>113</v>
      </c>
      <c r="L115" s="99">
        <v>31.600000000000016</v>
      </c>
    </row>
    <row r="116" spans="11:12" x14ac:dyDescent="0.45">
      <c r="K116" s="38">
        <v>114</v>
      </c>
      <c r="L116" s="99">
        <v>1.4210854715202004E-14</v>
      </c>
    </row>
    <row r="117" spans="11:12" x14ac:dyDescent="0.45">
      <c r="K117" s="38">
        <v>115</v>
      </c>
      <c r="L117" s="99">
        <v>5.2000000000000144</v>
      </c>
    </row>
    <row r="118" spans="11:12" x14ac:dyDescent="0.45">
      <c r="K118" s="38">
        <v>116</v>
      </c>
      <c r="L118" s="99">
        <v>41.500000000000014</v>
      </c>
    </row>
    <row r="119" spans="11:12" x14ac:dyDescent="0.45">
      <c r="K119" s="38">
        <v>117</v>
      </c>
      <c r="L119" s="99">
        <v>1.4210854715202004E-14</v>
      </c>
    </row>
    <row r="120" spans="11:12" x14ac:dyDescent="0.45">
      <c r="K120" s="38">
        <v>118</v>
      </c>
      <c r="L120" s="99">
        <v>-7.8999999999999861</v>
      </c>
    </row>
    <row r="121" spans="11:12" x14ac:dyDescent="0.45">
      <c r="K121" s="38">
        <v>119</v>
      </c>
      <c r="L121" s="99">
        <v>55.100000000000016</v>
      </c>
    </row>
    <row r="122" spans="11:12" x14ac:dyDescent="0.45">
      <c r="K122" s="38">
        <v>120</v>
      </c>
      <c r="L122" s="99">
        <v>1.4210854715202004E-14</v>
      </c>
    </row>
    <row r="123" spans="11:12" x14ac:dyDescent="0.45">
      <c r="K123" s="38">
        <v>121</v>
      </c>
      <c r="L123" s="99">
        <v>-0.99999999999998579</v>
      </c>
    </row>
    <row r="124" spans="11:12" x14ac:dyDescent="0.45">
      <c r="K124" s="38">
        <v>122</v>
      </c>
      <c r="L124" s="99">
        <v>-30.799999999999986</v>
      </c>
    </row>
    <row r="125" spans="11:12" x14ac:dyDescent="0.45">
      <c r="K125" s="38">
        <v>123</v>
      </c>
      <c r="L125" s="99">
        <v>1.4210854715202004E-14</v>
      </c>
    </row>
    <row r="126" spans="11:12" x14ac:dyDescent="0.45">
      <c r="K126" s="38">
        <v>124</v>
      </c>
      <c r="L126" s="99">
        <v>0.50000000000001421</v>
      </c>
    </row>
    <row r="127" spans="11:12" x14ac:dyDescent="0.45">
      <c r="K127" s="38">
        <v>125</v>
      </c>
      <c r="L127" s="99">
        <v>29.100000000000016</v>
      </c>
    </row>
    <row r="128" spans="11:12" x14ac:dyDescent="0.45">
      <c r="K128" s="38">
        <v>126</v>
      </c>
      <c r="L128" s="99">
        <v>1.4210854715202004E-14</v>
      </c>
    </row>
    <row r="129" spans="11:12" x14ac:dyDescent="0.45">
      <c r="K129" s="38">
        <v>127</v>
      </c>
      <c r="L129" s="99">
        <v>-45.299999999999983</v>
      </c>
    </row>
    <row r="130" spans="11:12" x14ac:dyDescent="0.45">
      <c r="K130" s="38">
        <v>128</v>
      </c>
      <c r="L130" s="99">
        <v>-59.299999999999983</v>
      </c>
    </row>
    <row r="131" spans="11:12" x14ac:dyDescent="0.45">
      <c r="K131" s="38">
        <v>129</v>
      </c>
      <c r="L131" s="99">
        <v>1.4210854715202004E-14</v>
      </c>
    </row>
    <row r="132" spans="11:12" x14ac:dyDescent="0.45">
      <c r="K132" s="38">
        <v>130</v>
      </c>
      <c r="L132" s="99">
        <v>-8.8999999999999861</v>
      </c>
    </row>
    <row r="133" spans="11:12" x14ac:dyDescent="0.45">
      <c r="K133" s="38">
        <v>131</v>
      </c>
      <c r="L133" s="99">
        <v>-47.499999999999986</v>
      </c>
    </row>
    <row r="134" spans="11:12" x14ac:dyDescent="0.45">
      <c r="K134" s="38">
        <v>132</v>
      </c>
      <c r="L134" s="99">
        <v>1.4210854715202004E-14</v>
      </c>
    </row>
    <row r="135" spans="11:12" x14ac:dyDescent="0.45">
      <c r="K135" s="38">
        <v>133</v>
      </c>
      <c r="L135" s="99">
        <v>-3.4999999999999858</v>
      </c>
    </row>
    <row r="136" spans="11:12" x14ac:dyDescent="0.45">
      <c r="K136" s="38">
        <v>134</v>
      </c>
      <c r="L136" s="99">
        <v>27.000000000000014</v>
      </c>
    </row>
    <row r="137" spans="11:12" x14ac:dyDescent="0.45">
      <c r="K137" s="38">
        <v>135</v>
      </c>
      <c r="L137" s="99">
        <v>1.4210854715202004E-14</v>
      </c>
    </row>
    <row r="138" spans="11:12" x14ac:dyDescent="0.45">
      <c r="K138" s="38">
        <v>136</v>
      </c>
      <c r="L138" s="99">
        <v>-55.199999999999989</v>
      </c>
    </row>
    <row r="139" spans="11:12" x14ac:dyDescent="0.45">
      <c r="K139" s="38">
        <v>137</v>
      </c>
      <c r="L139" s="99">
        <v>-80.699999999999989</v>
      </c>
    </row>
    <row r="140" spans="11:12" x14ac:dyDescent="0.45">
      <c r="K140" s="38">
        <v>138</v>
      </c>
      <c r="L140" s="99">
        <v>1.4210854715202004E-14</v>
      </c>
    </row>
    <row r="141" spans="11:12" x14ac:dyDescent="0.45">
      <c r="K141" s="38">
        <v>139</v>
      </c>
      <c r="L141" s="99">
        <v>8.0000000000000142</v>
      </c>
    </row>
    <row r="142" spans="11:12" x14ac:dyDescent="0.45">
      <c r="K142" s="38">
        <v>140</v>
      </c>
      <c r="L142" s="99">
        <v>-63.199999999999989</v>
      </c>
    </row>
    <row r="143" spans="11:12" x14ac:dyDescent="0.45">
      <c r="K143" s="38">
        <v>141</v>
      </c>
      <c r="L143" s="99">
        <v>1.4210854715202004E-14</v>
      </c>
    </row>
    <row r="144" spans="11:12" x14ac:dyDescent="0.45">
      <c r="K144" s="38">
        <v>142</v>
      </c>
      <c r="L144" s="99">
        <v>54.500000000000014</v>
      </c>
    </row>
    <row r="145" spans="11:12" x14ac:dyDescent="0.45">
      <c r="K145" s="38">
        <v>143</v>
      </c>
      <c r="L145" s="99">
        <v>8.5000000000000142</v>
      </c>
    </row>
    <row r="146" spans="11:12" x14ac:dyDescent="0.45">
      <c r="K146" s="38">
        <v>144</v>
      </c>
      <c r="L146" s="99">
        <v>1.4210854715202004E-14</v>
      </c>
    </row>
    <row r="147" spans="11:12" x14ac:dyDescent="0.45">
      <c r="K147" s="38">
        <v>145</v>
      </c>
      <c r="L147" s="99">
        <v>-10.599999999999985</v>
      </c>
    </row>
    <row r="148" spans="11:12" x14ac:dyDescent="0.45">
      <c r="K148" s="38">
        <v>146</v>
      </c>
      <c r="L148" s="99">
        <v>-61.79999999999999</v>
      </c>
    </row>
    <row r="149" spans="11:12" x14ac:dyDescent="0.45">
      <c r="K149" s="38">
        <v>147</v>
      </c>
      <c r="L149" s="99">
        <v>7.1054273576010019E-15</v>
      </c>
    </row>
    <row r="150" spans="11:12" x14ac:dyDescent="0.45">
      <c r="K150" s="38">
        <v>148</v>
      </c>
      <c r="L150" s="99">
        <v>4.6000000000000068</v>
      </c>
    </row>
    <row r="151" spans="11:12" x14ac:dyDescent="0.45">
      <c r="K151" s="38">
        <v>149</v>
      </c>
      <c r="L151" s="99">
        <v>-25.29999999999999</v>
      </c>
    </row>
    <row r="152" spans="11:12" x14ac:dyDescent="0.45">
      <c r="K152" s="38">
        <v>150</v>
      </c>
      <c r="L152" s="99">
        <v>1.0658141036401503E-14</v>
      </c>
    </row>
    <row r="153" spans="11:12" x14ac:dyDescent="0.45">
      <c r="K153" s="38">
        <v>151</v>
      </c>
      <c r="L153" s="99">
        <v>-2.4999999999999893</v>
      </c>
    </row>
    <row r="154" spans="11:12" x14ac:dyDescent="0.45">
      <c r="K154" s="38">
        <v>152</v>
      </c>
      <c r="L154" s="99">
        <v>-49.999999999999986</v>
      </c>
    </row>
    <row r="155" spans="11:12" x14ac:dyDescent="0.45">
      <c r="K155" s="38">
        <v>153</v>
      </c>
      <c r="L155" s="99">
        <v>1.4210854715202004E-14</v>
      </c>
    </row>
    <row r="156" spans="11:12" x14ac:dyDescent="0.45">
      <c r="K156" s="38">
        <v>154</v>
      </c>
      <c r="L156" s="99">
        <v>31.900000000000013</v>
      </c>
    </row>
    <row r="157" spans="11:12" x14ac:dyDescent="0.45">
      <c r="K157" s="38">
        <v>155</v>
      </c>
      <c r="L157" s="99">
        <v>28.100000000000012</v>
      </c>
    </row>
    <row r="158" spans="11:12" x14ac:dyDescent="0.45">
      <c r="K158" s="38">
        <v>156</v>
      </c>
      <c r="L158" s="99">
        <v>1.0658141036401503E-14</v>
      </c>
    </row>
    <row r="159" spans="11:12" x14ac:dyDescent="0.45">
      <c r="K159" s="38">
        <v>157</v>
      </c>
      <c r="L159" s="99">
        <v>-55.999999999999986</v>
      </c>
    </row>
    <row r="160" spans="11:12" x14ac:dyDescent="0.45">
      <c r="K160" s="38">
        <v>158</v>
      </c>
      <c r="L160" s="99">
        <v>13.000000000000014</v>
      </c>
    </row>
    <row r="161" spans="11:12" x14ac:dyDescent="0.45">
      <c r="K161" s="38">
        <v>159</v>
      </c>
      <c r="L161" s="99">
        <v>1.4210854715202004E-14</v>
      </c>
    </row>
    <row r="162" spans="11:12" x14ac:dyDescent="0.45">
      <c r="K162" s="38">
        <v>160</v>
      </c>
      <c r="L162" s="99">
        <v>12.400000000000015</v>
      </c>
    </row>
    <row r="163" spans="11:12" x14ac:dyDescent="0.45">
      <c r="K163" s="38">
        <v>161</v>
      </c>
      <c r="L163" s="99">
        <v>49.100000000000016</v>
      </c>
    </row>
    <row r="164" spans="11:12" x14ac:dyDescent="0.45">
      <c r="K164" s="38">
        <v>162</v>
      </c>
      <c r="L164" s="99">
        <v>1.4210854715202004E-14</v>
      </c>
    </row>
    <row r="165" spans="11:12" x14ac:dyDescent="0.45">
      <c r="K165" s="38">
        <v>163</v>
      </c>
      <c r="L165" s="99">
        <v>-60.299999999999983</v>
      </c>
    </row>
    <row r="166" spans="11:12" x14ac:dyDescent="0.45">
      <c r="K166" s="38">
        <v>164</v>
      </c>
      <c r="L166" s="99">
        <v>9.3000000000000114</v>
      </c>
    </row>
    <row r="167" spans="11:12" x14ac:dyDescent="0.45">
      <c r="K167" s="38">
        <v>165</v>
      </c>
      <c r="L167" s="99">
        <v>1.0658141036401503E-14</v>
      </c>
    </row>
    <row r="168" spans="11:12" x14ac:dyDescent="0.45">
      <c r="K168" s="38">
        <v>166</v>
      </c>
      <c r="L168" s="99">
        <v>48.500000000000014</v>
      </c>
    </row>
    <row r="169" spans="11:12" x14ac:dyDescent="0.45">
      <c r="K169" s="38">
        <v>167</v>
      </c>
      <c r="L169" s="99">
        <v>68.000000000000014</v>
      </c>
    </row>
    <row r="170" spans="11:12" x14ac:dyDescent="0.45">
      <c r="K170" s="38">
        <v>168</v>
      </c>
      <c r="L170" s="99">
        <v>1.4210854715202004E-14</v>
      </c>
    </row>
    <row r="171" spans="11:12" x14ac:dyDescent="0.45">
      <c r="K171" s="38">
        <v>169</v>
      </c>
      <c r="L171" s="99">
        <v>-1.4999999999999858</v>
      </c>
    </row>
    <row r="172" spans="11:12" x14ac:dyDescent="0.45">
      <c r="K172" s="38">
        <v>170</v>
      </c>
      <c r="L172" s="99">
        <v>-32.599999999999987</v>
      </c>
    </row>
    <row r="173" spans="11:12" x14ac:dyDescent="0.45">
      <c r="K173" s="38">
        <v>171</v>
      </c>
      <c r="L173" s="99">
        <v>1.4210854715202004E-14</v>
      </c>
    </row>
    <row r="174" spans="11:12" x14ac:dyDescent="0.45">
      <c r="K174" s="38">
        <v>172</v>
      </c>
      <c r="L174" s="99">
        <v>47.400000000000013</v>
      </c>
    </row>
    <row r="175" spans="11:12" x14ac:dyDescent="0.45">
      <c r="K175" s="38">
        <v>173</v>
      </c>
      <c r="L175" s="99">
        <v>52.300000000000011</v>
      </c>
    </row>
    <row r="176" spans="11:12" x14ac:dyDescent="0.45">
      <c r="K176" s="38">
        <v>174</v>
      </c>
      <c r="L176" s="99">
        <v>1.4210854715202004E-14</v>
      </c>
    </row>
    <row r="177" spans="11:12" x14ac:dyDescent="0.45">
      <c r="K177" s="38">
        <v>175</v>
      </c>
      <c r="L177" s="99">
        <v>73.600000000000009</v>
      </c>
    </row>
    <row r="178" spans="11:12" x14ac:dyDescent="0.45">
      <c r="K178" s="38">
        <v>176</v>
      </c>
      <c r="L178" s="99">
        <v>7.3000000000000114</v>
      </c>
    </row>
    <row r="179" spans="11:12" x14ac:dyDescent="0.45">
      <c r="K179" s="38">
        <v>177</v>
      </c>
      <c r="L179" s="99">
        <v>1.1546319456101628E-14</v>
      </c>
    </row>
    <row r="180" spans="11:12" x14ac:dyDescent="0.45">
      <c r="K180" s="38">
        <v>178</v>
      </c>
      <c r="L180" s="99">
        <v>-33.599999999999987</v>
      </c>
    </row>
    <row r="181" spans="11:12" x14ac:dyDescent="0.45">
      <c r="K181" s="38">
        <v>179</v>
      </c>
      <c r="L181" s="99">
        <v>-32.499999999999986</v>
      </c>
    </row>
    <row r="182" spans="11:12" x14ac:dyDescent="0.45">
      <c r="K182" s="38">
        <v>180</v>
      </c>
      <c r="L182" s="99">
        <v>1.4210854715202004E-14</v>
      </c>
    </row>
    <row r="183" spans="11:12" x14ac:dyDescent="0.45">
      <c r="K183" s="38">
        <v>181</v>
      </c>
      <c r="L183" s="99">
        <v>5.4000000000000146</v>
      </c>
    </row>
    <row r="184" spans="11:12" x14ac:dyDescent="0.45">
      <c r="K184" s="38">
        <v>182</v>
      </c>
      <c r="L184" s="99">
        <v>-26.899999999999984</v>
      </c>
    </row>
    <row r="185" spans="11:12" x14ac:dyDescent="0.45">
      <c r="K185" s="38">
        <v>183</v>
      </c>
      <c r="L185" s="99">
        <v>1.4210854715202004E-14</v>
      </c>
    </row>
    <row r="186" spans="11:12" x14ac:dyDescent="0.45">
      <c r="K186" s="38">
        <v>184</v>
      </c>
      <c r="L186" s="99">
        <v>15.100000000000014</v>
      </c>
    </row>
    <row r="187" spans="11:12" x14ac:dyDescent="0.45">
      <c r="K187" s="38">
        <v>185</v>
      </c>
      <c r="L187" s="99">
        <v>-35.199999999999982</v>
      </c>
    </row>
    <row r="188" spans="11:12" x14ac:dyDescent="0.45">
      <c r="K188" s="38">
        <v>186</v>
      </c>
      <c r="L188" s="99">
        <v>2.1316282072803006E-14</v>
      </c>
    </row>
    <row r="189" spans="11:12" x14ac:dyDescent="0.45">
      <c r="K189" s="38">
        <v>187</v>
      </c>
      <c r="L189" s="99">
        <v>-28.199999999999978</v>
      </c>
    </row>
    <row r="190" spans="11:12" x14ac:dyDescent="0.45">
      <c r="K190" s="38">
        <v>188</v>
      </c>
      <c r="L190" s="99">
        <v>-33.499999999999979</v>
      </c>
    </row>
    <row r="191" spans="11:12" x14ac:dyDescent="0.45">
      <c r="K191" s="38">
        <v>189</v>
      </c>
      <c r="L191" s="99">
        <v>2.1316282072803006E-14</v>
      </c>
    </row>
    <row r="192" spans="11:12" x14ac:dyDescent="0.45">
      <c r="K192" s="38">
        <v>190</v>
      </c>
      <c r="L192" s="99">
        <v>-60.899999999999977</v>
      </c>
    </row>
    <row r="193" spans="11:12" x14ac:dyDescent="0.45">
      <c r="K193" s="38">
        <v>191</v>
      </c>
      <c r="L193" s="99">
        <v>-57.399999999999977</v>
      </c>
    </row>
    <row r="194" spans="11:12" x14ac:dyDescent="0.45">
      <c r="K194" s="38">
        <v>192</v>
      </c>
      <c r="L194" s="99">
        <v>2.1316282072803006E-14</v>
      </c>
    </row>
    <row r="195" spans="11:12" x14ac:dyDescent="0.45">
      <c r="K195" s="38">
        <v>193</v>
      </c>
      <c r="L195" s="99">
        <v>-57.699999999999982</v>
      </c>
    </row>
    <row r="196" spans="11:12" x14ac:dyDescent="0.45">
      <c r="K196" s="38">
        <v>194</v>
      </c>
      <c r="L196" s="99">
        <v>-13.799999999999983</v>
      </c>
    </row>
    <row r="197" spans="11:12" x14ac:dyDescent="0.45">
      <c r="K197" s="38">
        <v>195</v>
      </c>
      <c r="L197" s="99">
        <v>1.7763568394002505E-14</v>
      </c>
    </row>
    <row r="198" spans="11:12" x14ac:dyDescent="0.45">
      <c r="K198" s="38">
        <v>196</v>
      </c>
      <c r="L198" s="99">
        <v>-55.499999999999986</v>
      </c>
    </row>
    <row r="199" spans="11:12" x14ac:dyDescent="0.45">
      <c r="K199" s="38">
        <v>197</v>
      </c>
      <c r="L199" s="99">
        <v>1.5000000000000142</v>
      </c>
    </row>
    <row r="200" spans="11:12" x14ac:dyDescent="0.45">
      <c r="K200" s="38">
        <v>198</v>
      </c>
      <c r="L200" s="99">
        <v>1.4210854715202004E-14</v>
      </c>
    </row>
    <row r="201" spans="11:12" x14ac:dyDescent="0.45">
      <c r="K201" s="38">
        <v>199</v>
      </c>
      <c r="L201" s="99">
        <v>46.900000000000013</v>
      </c>
    </row>
    <row r="202" spans="11:12" x14ac:dyDescent="0.45">
      <c r="K202" s="38">
        <v>200</v>
      </c>
      <c r="L202" s="99">
        <v>12.500000000000014</v>
      </c>
    </row>
    <row r="203" spans="11:12" x14ac:dyDescent="0.45">
      <c r="K203" s="38">
        <v>201</v>
      </c>
      <c r="L203" s="99">
        <v>1.4210854715202004E-14</v>
      </c>
    </row>
    <row r="204" spans="11:12" x14ac:dyDescent="0.45">
      <c r="K204" s="38">
        <v>202</v>
      </c>
      <c r="L204" s="99">
        <v>-59.899999999999984</v>
      </c>
    </row>
    <row r="205" spans="11:12" x14ac:dyDescent="0.45">
      <c r="K205" s="38">
        <v>203</v>
      </c>
      <c r="L205" s="99">
        <v>4.4000000000000128</v>
      </c>
    </row>
    <row r="206" spans="11:12" x14ac:dyDescent="0.45">
      <c r="K206" s="38">
        <v>204</v>
      </c>
      <c r="L206" s="99">
        <v>1.2434497875801753E-14</v>
      </c>
    </row>
    <row r="207" spans="11:12" x14ac:dyDescent="0.45">
      <c r="K207" s="38">
        <v>205</v>
      </c>
      <c r="L207" s="99">
        <v>54.500000000000014</v>
      </c>
    </row>
    <row r="208" spans="11:12" x14ac:dyDescent="0.45">
      <c r="K208" s="38">
        <v>206</v>
      </c>
      <c r="L208" s="99">
        <v>-8.9999999999999858</v>
      </c>
    </row>
    <row r="209" spans="11:12" x14ac:dyDescent="0.45">
      <c r="K209" s="38">
        <v>207</v>
      </c>
      <c r="L209" s="99">
        <v>1.4210854715202004E-14</v>
      </c>
    </row>
    <row r="210" spans="11:12" x14ac:dyDescent="0.45">
      <c r="K210" s="38">
        <v>208</v>
      </c>
      <c r="L210" s="99">
        <v>-55.399999999999984</v>
      </c>
    </row>
    <row r="211" spans="11:12" x14ac:dyDescent="0.45">
      <c r="K211" s="38">
        <v>209</v>
      </c>
      <c r="L211" s="99">
        <v>-51.899999999999984</v>
      </c>
    </row>
    <row r="212" spans="11:12" x14ac:dyDescent="0.45">
      <c r="K212" s="38">
        <v>210</v>
      </c>
      <c r="L212" s="99">
        <v>1.4210854715202004E-14</v>
      </c>
    </row>
    <row r="213" spans="11:12" x14ac:dyDescent="0.45">
      <c r="K213" s="38">
        <v>211</v>
      </c>
      <c r="L213" s="99">
        <v>4.1000000000000139</v>
      </c>
    </row>
    <row r="214" spans="11:12" x14ac:dyDescent="0.45">
      <c r="K214" s="38">
        <v>212</v>
      </c>
      <c r="L214" s="99">
        <v>35.200000000000017</v>
      </c>
    </row>
    <row r="215" spans="11:12" x14ac:dyDescent="0.45">
      <c r="K215" s="38">
        <v>213</v>
      </c>
      <c r="L215" s="99">
        <v>1.4210854715202004E-14</v>
      </c>
    </row>
    <row r="216" spans="11:12" x14ac:dyDescent="0.45">
      <c r="K216" s="38">
        <v>214</v>
      </c>
      <c r="L216" s="99">
        <v>-5.199999999999986</v>
      </c>
    </row>
    <row r="217" spans="11:12" x14ac:dyDescent="0.45">
      <c r="K217" s="38">
        <v>215</v>
      </c>
      <c r="L217" s="99">
        <v>-32.29999999999999</v>
      </c>
    </row>
    <row r="218" spans="11:12" x14ac:dyDescent="0.45">
      <c r="K218" s="38">
        <v>216</v>
      </c>
      <c r="L218" s="99">
        <v>7.1054273576010019E-15</v>
      </c>
    </row>
    <row r="219" spans="11:12" x14ac:dyDescent="0.45">
      <c r="K219" s="38">
        <v>217</v>
      </c>
      <c r="L219" s="99">
        <v>30.600000000000009</v>
      </c>
    </row>
    <row r="220" spans="11:12" x14ac:dyDescent="0.45">
      <c r="K220" s="38">
        <v>218</v>
      </c>
      <c r="L220" s="99">
        <v>-10.099999999999994</v>
      </c>
    </row>
    <row r="221" spans="11:12" x14ac:dyDescent="0.45">
      <c r="K221" s="38">
        <v>219</v>
      </c>
      <c r="L221" s="99">
        <v>5.3290705182007514E-15</v>
      </c>
    </row>
    <row r="222" spans="11:12" x14ac:dyDescent="0.45">
      <c r="K222" s="38">
        <v>220</v>
      </c>
      <c r="L222" s="99">
        <v>-28.599999999999994</v>
      </c>
    </row>
    <row r="223" spans="11:12" x14ac:dyDescent="0.45">
      <c r="K223" s="38">
        <v>221</v>
      </c>
      <c r="L223" s="99">
        <v>1.3000000000000043</v>
      </c>
    </row>
    <row r="224" spans="11:12" x14ac:dyDescent="0.45">
      <c r="K224" s="38">
        <v>222</v>
      </c>
      <c r="L224" s="99">
        <v>4.2188474935755949E-15</v>
      </c>
    </row>
    <row r="225" spans="11:12" x14ac:dyDescent="0.45">
      <c r="K225" s="38">
        <v>223</v>
      </c>
      <c r="L225" s="99">
        <v>-26.299999999999997</v>
      </c>
    </row>
    <row r="226" spans="11:12" x14ac:dyDescent="0.45">
      <c r="K226" s="38">
        <v>224</v>
      </c>
      <c r="L226" s="99">
        <v>4.1000000000000014</v>
      </c>
    </row>
    <row r="227" spans="11:12" x14ac:dyDescent="0.45">
      <c r="K227" s="38">
        <v>225</v>
      </c>
      <c r="L227" s="99">
        <v>1.7763568394002505E-15</v>
      </c>
    </row>
    <row r="228" spans="11:12" x14ac:dyDescent="0.45">
      <c r="K228" s="38">
        <v>226</v>
      </c>
      <c r="L228" s="99">
        <v>-39.5</v>
      </c>
    </row>
    <row r="229" spans="11:12" x14ac:dyDescent="0.45">
      <c r="K229" s="38">
        <v>227</v>
      </c>
      <c r="L229" s="99">
        <v>-33.700000000000003</v>
      </c>
    </row>
    <row r="230" spans="11:12" x14ac:dyDescent="0.45">
      <c r="K230" s="38">
        <v>228</v>
      </c>
      <c r="L230" s="99">
        <v>0</v>
      </c>
    </row>
    <row r="231" spans="11:12" x14ac:dyDescent="0.45">
      <c r="K231" s="38">
        <v>229</v>
      </c>
      <c r="L231" s="99">
        <v>4.0999999999999996</v>
      </c>
    </row>
    <row r="232" spans="11:12" x14ac:dyDescent="0.45">
      <c r="K232" s="38">
        <v>230</v>
      </c>
      <c r="L232" s="99">
        <v>-56</v>
      </c>
    </row>
    <row r="233" spans="11:12" x14ac:dyDescent="0.45">
      <c r="K233" s="38">
        <v>231</v>
      </c>
      <c r="L233" s="99">
        <v>0</v>
      </c>
    </row>
    <row r="234" spans="11:12" x14ac:dyDescent="0.45">
      <c r="K234" s="38">
        <v>232</v>
      </c>
      <c r="L234" s="99">
        <v>-21</v>
      </c>
    </row>
    <row r="235" spans="11:12" x14ac:dyDescent="0.45">
      <c r="K235" s="38">
        <v>233</v>
      </c>
      <c r="L235" s="99">
        <v>58</v>
      </c>
    </row>
    <row r="236" spans="11:12" x14ac:dyDescent="0.45">
      <c r="K236" s="38">
        <v>234</v>
      </c>
      <c r="L236" s="99">
        <v>0</v>
      </c>
    </row>
    <row r="237" spans="11:12" x14ac:dyDescent="0.45">
      <c r="K237" s="38">
        <v>235</v>
      </c>
      <c r="L237" s="99">
        <v>-34</v>
      </c>
    </row>
    <row r="238" spans="11:12" x14ac:dyDescent="0.45">
      <c r="K238" s="38">
        <v>236</v>
      </c>
      <c r="L238" s="99">
        <v>-101</v>
      </c>
    </row>
    <row r="239" spans="11:12" x14ac:dyDescent="0.45">
      <c r="K239" s="38">
        <v>237</v>
      </c>
      <c r="L239" s="99">
        <v>0</v>
      </c>
    </row>
    <row r="240" spans="11:12" x14ac:dyDescent="0.45">
      <c r="K240" s="38">
        <v>238</v>
      </c>
      <c r="L240" s="99">
        <v>-13</v>
      </c>
    </row>
    <row r="241" spans="11:12" x14ac:dyDescent="0.45">
      <c r="K241" s="38">
        <v>239</v>
      </c>
      <c r="L241" s="99">
        <v>-92.9</v>
      </c>
    </row>
    <row r="242" spans="11:12" x14ac:dyDescent="0.45">
      <c r="K242" s="38">
        <v>240</v>
      </c>
      <c r="L242" s="99">
        <v>0</v>
      </c>
    </row>
    <row r="243" spans="11:12" x14ac:dyDescent="0.45">
      <c r="K243" s="38">
        <v>241</v>
      </c>
      <c r="L243" s="99">
        <v>-3.1</v>
      </c>
    </row>
    <row r="244" spans="11:12" x14ac:dyDescent="0.45">
      <c r="K244" s="38">
        <v>242</v>
      </c>
      <c r="L244" s="99">
        <v>30.299999999999997</v>
      </c>
    </row>
    <row r="245" spans="11:12" x14ac:dyDescent="0.45">
      <c r="K245" s="38">
        <v>243</v>
      </c>
      <c r="L245" s="99">
        <v>-3.5527136788005009E-15</v>
      </c>
    </row>
    <row r="246" spans="11:12" x14ac:dyDescent="0.45">
      <c r="K246" s="38">
        <v>244</v>
      </c>
      <c r="L246" s="99">
        <v>5.3999999999999968</v>
      </c>
    </row>
    <row r="247" spans="11:12" x14ac:dyDescent="0.45">
      <c r="K247" s="38">
        <v>245</v>
      </c>
      <c r="L247" s="99">
        <v>-29.4</v>
      </c>
    </row>
    <row r="248" spans="11:12" x14ac:dyDescent="0.45">
      <c r="K248" s="38">
        <v>246</v>
      </c>
      <c r="L248" s="99">
        <v>0</v>
      </c>
    </row>
    <row r="249" spans="11:12" x14ac:dyDescent="0.45">
      <c r="K249" s="38">
        <v>247</v>
      </c>
      <c r="L249" s="99">
        <v>-61.2</v>
      </c>
    </row>
    <row r="250" spans="11:12" x14ac:dyDescent="0.45">
      <c r="K250" s="38">
        <v>248</v>
      </c>
      <c r="L250" s="99">
        <v>-9</v>
      </c>
    </row>
    <row r="251" spans="11:12" x14ac:dyDescent="0.45">
      <c r="K251" s="38">
        <v>249</v>
      </c>
      <c r="L251" s="99">
        <v>0</v>
      </c>
    </row>
    <row r="252" spans="11:12" x14ac:dyDescent="0.45">
      <c r="K252" s="38">
        <v>250</v>
      </c>
      <c r="L252" s="99">
        <v>-15.6</v>
      </c>
    </row>
    <row r="253" spans="11:12" x14ac:dyDescent="0.45">
      <c r="K253" s="38">
        <v>251</v>
      </c>
      <c r="L253" s="99">
        <v>-74.3</v>
      </c>
    </row>
    <row r="254" spans="11:12" x14ac:dyDescent="0.45">
      <c r="K254" s="38">
        <v>252</v>
      </c>
      <c r="L254" s="99">
        <v>0</v>
      </c>
    </row>
    <row r="255" spans="11:12" x14ac:dyDescent="0.45">
      <c r="K255" s="38">
        <v>253</v>
      </c>
      <c r="L255" s="99">
        <v>7.7</v>
      </c>
    </row>
    <row r="256" spans="11:12" x14ac:dyDescent="0.45">
      <c r="K256" s="38">
        <v>254</v>
      </c>
      <c r="L256" s="99">
        <v>38.5</v>
      </c>
    </row>
    <row r="257" spans="11:12" x14ac:dyDescent="0.45">
      <c r="K257" s="38">
        <v>255</v>
      </c>
      <c r="L257" s="99">
        <v>0</v>
      </c>
    </row>
    <row r="258" spans="11:12" x14ac:dyDescent="0.45">
      <c r="K258" s="38">
        <v>256</v>
      </c>
      <c r="L258" s="99">
        <v>3.4</v>
      </c>
    </row>
    <row r="259" spans="11:12" x14ac:dyDescent="0.45">
      <c r="K259" s="38">
        <v>257</v>
      </c>
      <c r="L259" s="99">
        <v>-28.3</v>
      </c>
    </row>
    <row r="260" spans="11:12" x14ac:dyDescent="0.45">
      <c r="K260" s="38">
        <v>258</v>
      </c>
      <c r="L260" s="99">
        <v>0</v>
      </c>
    </row>
    <row r="261" spans="11:12" x14ac:dyDescent="0.45">
      <c r="K261" s="38">
        <v>259</v>
      </c>
      <c r="L261" s="99">
        <v>-42.3</v>
      </c>
    </row>
    <row r="262" spans="11:12" x14ac:dyDescent="0.45">
      <c r="K262" s="38">
        <v>260</v>
      </c>
      <c r="L262" s="99">
        <v>-2.5</v>
      </c>
    </row>
    <row r="263" spans="11:12" x14ac:dyDescent="0.45">
      <c r="K263" s="38">
        <v>261</v>
      </c>
      <c r="L263" s="99">
        <v>0</v>
      </c>
    </row>
    <row r="264" spans="11:12" x14ac:dyDescent="0.45">
      <c r="K264" s="38">
        <v>262</v>
      </c>
      <c r="L264" s="99">
        <v>-28.8</v>
      </c>
    </row>
    <row r="265" spans="11:12" x14ac:dyDescent="0.45">
      <c r="K265" s="38">
        <v>263</v>
      </c>
      <c r="L265" s="99">
        <v>-36.4</v>
      </c>
    </row>
    <row r="266" spans="11:12" x14ac:dyDescent="0.45">
      <c r="K266" s="38">
        <v>264</v>
      </c>
      <c r="L266" s="99">
        <v>0</v>
      </c>
    </row>
    <row r="267" spans="11:12" x14ac:dyDescent="0.45">
      <c r="K267" s="38">
        <v>265</v>
      </c>
      <c r="L267" s="99">
        <v>-47</v>
      </c>
    </row>
    <row r="268" spans="11:12" x14ac:dyDescent="0.45">
      <c r="K268" s="38">
        <v>266</v>
      </c>
      <c r="L268" s="99">
        <v>-7.5</v>
      </c>
    </row>
    <row r="269" spans="11:12" x14ac:dyDescent="0.45">
      <c r="K269" s="38">
        <v>267</v>
      </c>
      <c r="L269" s="99">
        <v>0</v>
      </c>
    </row>
    <row r="270" spans="11:12" x14ac:dyDescent="0.45">
      <c r="K270" s="38">
        <v>268</v>
      </c>
      <c r="L270" s="99">
        <v>2.9</v>
      </c>
    </row>
    <row r="271" spans="11:12" x14ac:dyDescent="0.45">
      <c r="K271" s="38">
        <v>269</v>
      </c>
      <c r="L271" s="99">
        <v>32.1</v>
      </c>
    </row>
    <row r="272" spans="11:12" x14ac:dyDescent="0.45">
      <c r="K272" s="38">
        <v>270</v>
      </c>
      <c r="L272" s="99">
        <v>0</v>
      </c>
    </row>
    <row r="273" spans="11:12" x14ac:dyDescent="0.45">
      <c r="K273" s="38">
        <v>271</v>
      </c>
      <c r="L273" s="99">
        <v>-24.8</v>
      </c>
    </row>
    <row r="274" spans="11:12" x14ac:dyDescent="0.45">
      <c r="K274" s="38">
        <v>272</v>
      </c>
      <c r="L274" s="99">
        <v>-82.5</v>
      </c>
    </row>
    <row r="275" spans="11:12" x14ac:dyDescent="0.45">
      <c r="K275" s="38">
        <v>273</v>
      </c>
      <c r="L275" s="99">
        <v>0</v>
      </c>
    </row>
    <row r="276" spans="11:12" x14ac:dyDescent="0.45">
      <c r="K276" s="38">
        <v>274</v>
      </c>
      <c r="L276" s="99">
        <v>30.3</v>
      </c>
    </row>
    <row r="277" spans="11:12" x14ac:dyDescent="0.45">
      <c r="K277" s="38">
        <v>275</v>
      </c>
      <c r="L277" s="99">
        <v>27.5</v>
      </c>
    </row>
    <row r="278" spans="11:12" x14ac:dyDescent="0.45">
      <c r="K278" s="38">
        <v>276</v>
      </c>
      <c r="L278" s="99">
        <v>0</v>
      </c>
    </row>
    <row r="279" spans="11:12" x14ac:dyDescent="0.45">
      <c r="K279" s="38">
        <v>277</v>
      </c>
      <c r="L279" s="99">
        <v>-5.5</v>
      </c>
    </row>
    <row r="280" spans="11:12" x14ac:dyDescent="0.45">
      <c r="K280" s="38">
        <v>278</v>
      </c>
      <c r="L280" s="99">
        <v>-66.599999999999994</v>
      </c>
    </row>
    <row r="281" spans="11:12" x14ac:dyDescent="0.45">
      <c r="K281" s="38">
        <v>279</v>
      </c>
      <c r="L281" s="99">
        <v>0</v>
      </c>
    </row>
    <row r="282" spans="11:12" x14ac:dyDescent="0.45">
      <c r="K282" s="38">
        <v>280</v>
      </c>
      <c r="L282" s="99">
        <v>-32.9</v>
      </c>
    </row>
    <row r="283" spans="11:12" x14ac:dyDescent="0.45">
      <c r="K283" s="38">
        <v>281</v>
      </c>
      <c r="L283" s="99">
        <v>12.5</v>
      </c>
    </row>
    <row r="284" spans="11:12" x14ac:dyDescent="0.45">
      <c r="K284" s="38">
        <v>282</v>
      </c>
      <c r="L284" s="99">
        <v>0</v>
      </c>
    </row>
    <row r="285" spans="11:12" x14ac:dyDescent="0.45">
      <c r="K285" s="38">
        <v>283</v>
      </c>
      <c r="L285" s="99">
        <v>45.1</v>
      </c>
    </row>
    <row r="286" spans="11:12" x14ac:dyDescent="0.45">
      <c r="K286" s="38">
        <v>284</v>
      </c>
      <c r="L286" s="99">
        <v>7.1000000000000014</v>
      </c>
    </row>
    <row r="287" spans="11:12" x14ac:dyDescent="0.45">
      <c r="K287" s="38">
        <v>285</v>
      </c>
      <c r="L287" s="99">
        <v>1.7763568394002505E-15</v>
      </c>
    </row>
    <row r="288" spans="11:12" x14ac:dyDescent="0.45">
      <c r="K288" s="38">
        <v>286</v>
      </c>
      <c r="L288" s="99">
        <v>-56.4</v>
      </c>
    </row>
    <row r="289" spans="11:12" x14ac:dyDescent="0.45">
      <c r="K289" s="38">
        <v>287</v>
      </c>
      <c r="L289" s="99">
        <v>-51.1</v>
      </c>
    </row>
    <row r="290" spans="11:12" x14ac:dyDescent="0.45">
      <c r="K290" s="38">
        <v>288</v>
      </c>
      <c r="L290" s="99">
        <v>0</v>
      </c>
    </row>
    <row r="291" spans="11:12" x14ac:dyDescent="0.45">
      <c r="K291" s="38">
        <v>289</v>
      </c>
      <c r="L291" s="99">
        <v>45.4</v>
      </c>
    </row>
    <row r="292" spans="11:12" x14ac:dyDescent="0.45">
      <c r="K292" s="38">
        <v>290</v>
      </c>
      <c r="L292" s="99">
        <v>37.5</v>
      </c>
    </row>
    <row r="293" spans="11:12" x14ac:dyDescent="0.45">
      <c r="K293" s="38">
        <v>291</v>
      </c>
      <c r="L293" s="99">
        <v>0</v>
      </c>
    </row>
    <row r="294" spans="11:12" x14ac:dyDescent="0.45">
      <c r="K294" s="38">
        <v>292</v>
      </c>
      <c r="L294" s="99">
        <v>-58.7</v>
      </c>
    </row>
    <row r="295" spans="11:12" x14ac:dyDescent="0.45">
      <c r="K295" s="38">
        <v>293</v>
      </c>
      <c r="L295" s="99">
        <v>-59.2</v>
      </c>
    </row>
    <row r="296" spans="11:12" x14ac:dyDescent="0.45">
      <c r="K296" s="38">
        <v>294</v>
      </c>
      <c r="L296" s="99">
        <v>0</v>
      </c>
    </row>
    <row r="297" spans="11:12" x14ac:dyDescent="0.45">
      <c r="K297" s="38">
        <v>295</v>
      </c>
      <c r="L297" s="99">
        <v>6.7</v>
      </c>
    </row>
    <row r="298" spans="11:12" x14ac:dyDescent="0.45">
      <c r="K298" s="38">
        <v>296</v>
      </c>
      <c r="L298" s="99">
        <v>-27.7</v>
      </c>
    </row>
    <row r="299" spans="11:12" x14ac:dyDescent="0.45">
      <c r="K299" s="38">
        <v>297</v>
      </c>
      <c r="L299" s="99">
        <v>0</v>
      </c>
    </row>
    <row r="300" spans="11:12" x14ac:dyDescent="0.45">
      <c r="K300" s="38">
        <v>298</v>
      </c>
      <c r="L300" s="99">
        <v>6.1</v>
      </c>
    </row>
    <row r="301" spans="11:12" x14ac:dyDescent="0.45">
      <c r="K301" s="38">
        <v>299</v>
      </c>
      <c r="L301" s="99">
        <v>32.700000000000003</v>
      </c>
    </row>
    <row r="302" spans="11:12" x14ac:dyDescent="0.45">
      <c r="K302" s="38">
        <v>300</v>
      </c>
      <c r="L302" s="99">
        <v>0</v>
      </c>
    </row>
    <row r="303" spans="11:12" x14ac:dyDescent="0.45">
      <c r="K303" s="38">
        <v>301</v>
      </c>
      <c r="L303" s="99">
        <v>-54.9</v>
      </c>
    </row>
    <row r="304" spans="11:12" x14ac:dyDescent="0.45">
      <c r="K304" s="38">
        <v>302</v>
      </c>
      <c r="L304" s="99">
        <v>-9.1999999999999957</v>
      </c>
    </row>
    <row r="305" spans="11:12" x14ac:dyDescent="0.45">
      <c r="K305" s="38">
        <v>303</v>
      </c>
      <c r="L305" s="99">
        <v>3.5527136788005009E-15</v>
      </c>
    </row>
    <row r="306" spans="11:12" x14ac:dyDescent="0.45">
      <c r="K306" s="38">
        <v>304</v>
      </c>
      <c r="L306" s="99">
        <v>-52.8</v>
      </c>
    </row>
    <row r="307" spans="11:12" x14ac:dyDescent="0.45">
      <c r="K307" s="38">
        <v>305</v>
      </c>
      <c r="L307" s="99">
        <v>-70.900000000000006</v>
      </c>
    </row>
    <row r="308" spans="11:12" x14ac:dyDescent="0.45">
      <c r="K308" s="38">
        <v>306</v>
      </c>
      <c r="L308" s="99">
        <v>0</v>
      </c>
    </row>
    <row r="309" spans="11:12" x14ac:dyDescent="0.45">
      <c r="K309" s="38">
        <v>307</v>
      </c>
      <c r="L309" s="99">
        <v>82.3</v>
      </c>
    </row>
    <row r="310" spans="11:12" x14ac:dyDescent="0.45">
      <c r="K310" s="38">
        <v>308</v>
      </c>
      <c r="L310" s="99">
        <v>25.5</v>
      </c>
    </row>
    <row r="311" spans="11:12" x14ac:dyDescent="0.45">
      <c r="K311" s="38">
        <v>309</v>
      </c>
      <c r="L311" s="99">
        <v>0</v>
      </c>
    </row>
    <row r="312" spans="11:12" x14ac:dyDescent="0.45">
      <c r="K312" s="38">
        <v>310</v>
      </c>
      <c r="L312" s="99">
        <v>22.4</v>
      </c>
    </row>
    <row r="313" spans="11:12" x14ac:dyDescent="0.45">
      <c r="K313" s="38">
        <v>311</v>
      </c>
      <c r="L313" s="99">
        <v>23.5</v>
      </c>
    </row>
    <row r="314" spans="11:12" x14ac:dyDescent="0.45">
      <c r="K314" s="38">
        <v>312</v>
      </c>
      <c r="L314" s="99">
        <v>0</v>
      </c>
    </row>
    <row r="315" spans="11:12" x14ac:dyDescent="0.45">
      <c r="K315" s="38">
        <v>313</v>
      </c>
      <c r="L315" s="99">
        <v>-24.6</v>
      </c>
    </row>
    <row r="316" spans="11:12" x14ac:dyDescent="0.45">
      <c r="K316" s="38">
        <v>314</v>
      </c>
      <c r="L316" s="99">
        <v>-2.2000000000000028</v>
      </c>
    </row>
    <row r="317" spans="11:12" x14ac:dyDescent="0.45">
      <c r="K317" s="38">
        <v>315</v>
      </c>
      <c r="L317" s="99">
        <v>-2.6645352591003757E-15</v>
      </c>
    </row>
    <row r="318" spans="11:12" x14ac:dyDescent="0.45">
      <c r="K318" s="38">
        <v>316</v>
      </c>
      <c r="L318" s="99">
        <v>-5.3000000000000025</v>
      </c>
    </row>
    <row r="319" spans="11:12" x14ac:dyDescent="0.45">
      <c r="K319" s="38">
        <v>317</v>
      </c>
      <c r="L319" s="99">
        <v>76.600000000000009</v>
      </c>
    </row>
    <row r="320" spans="11:12" x14ac:dyDescent="0.45">
      <c r="K320" s="38">
        <v>318</v>
      </c>
      <c r="L320" s="99">
        <v>1.4210854715202004E-14</v>
      </c>
    </row>
    <row r="321" spans="11:12" x14ac:dyDescent="0.45">
      <c r="K321" s="38">
        <v>319</v>
      </c>
      <c r="L321" s="99">
        <v>-12.599999999999985</v>
      </c>
    </row>
    <row r="322" spans="11:12" x14ac:dyDescent="0.45">
      <c r="K322" s="38">
        <v>320</v>
      </c>
      <c r="L322" s="99">
        <v>35.100000000000016</v>
      </c>
    </row>
    <row r="323" spans="11:12" x14ac:dyDescent="0.45">
      <c r="K323" s="38">
        <v>321</v>
      </c>
      <c r="L323" s="99">
        <v>1.4210854715202004E-14</v>
      </c>
    </row>
    <row r="324" spans="11:12" x14ac:dyDescent="0.45">
      <c r="K324" s="38">
        <v>322</v>
      </c>
      <c r="L324" s="99">
        <v>66.200000000000017</v>
      </c>
    </row>
    <row r="325" spans="11:12" x14ac:dyDescent="0.45">
      <c r="K325" s="38">
        <v>323</v>
      </c>
      <c r="L325" s="99">
        <v>57.300000000000018</v>
      </c>
    </row>
    <row r="326" spans="11:12" x14ac:dyDescent="0.45">
      <c r="K326" s="38">
        <v>324</v>
      </c>
      <c r="L326" s="99">
        <v>2.1316282072803006E-14</v>
      </c>
    </row>
    <row r="327" spans="11:12" x14ac:dyDescent="0.45">
      <c r="K327" s="38">
        <v>325</v>
      </c>
      <c r="L327" s="99">
        <v>-35.59999999999998</v>
      </c>
    </row>
    <row r="328" spans="11:12" x14ac:dyDescent="0.45">
      <c r="K328" s="38">
        <v>326</v>
      </c>
      <c r="L328" s="99">
        <v>-38.59999999999998</v>
      </c>
    </row>
    <row r="329" spans="11:12" x14ac:dyDescent="0.45">
      <c r="K329" s="38">
        <v>327</v>
      </c>
      <c r="L329" s="99">
        <v>2.1316282072803006E-14</v>
      </c>
    </row>
    <row r="330" spans="11:12" x14ac:dyDescent="0.45">
      <c r="K330" s="38">
        <v>328</v>
      </c>
      <c r="L330" s="99">
        <v>32.500000000000021</v>
      </c>
    </row>
    <row r="331" spans="11:12" x14ac:dyDescent="0.45">
      <c r="K331" s="38">
        <v>329</v>
      </c>
      <c r="L331" s="99">
        <v>38.600000000000023</v>
      </c>
    </row>
    <row r="332" spans="11:12" x14ac:dyDescent="0.45">
      <c r="K332" s="38">
        <v>330</v>
      </c>
      <c r="L332" s="99">
        <v>2.1316282072803006E-14</v>
      </c>
    </row>
    <row r="333" spans="11:12" x14ac:dyDescent="0.45">
      <c r="K333" s="38">
        <v>331</v>
      </c>
      <c r="L333" s="99">
        <v>-36.799999999999976</v>
      </c>
    </row>
    <row r="334" spans="11:12" x14ac:dyDescent="0.45">
      <c r="K334" s="38">
        <v>332</v>
      </c>
      <c r="L334" s="99">
        <v>1.400000000000027</v>
      </c>
    </row>
    <row r="335" spans="11:12" x14ac:dyDescent="0.45">
      <c r="K335" s="38">
        <v>333</v>
      </c>
      <c r="L335" s="99">
        <v>2.708944180085382E-14</v>
      </c>
    </row>
    <row r="336" spans="11:12" x14ac:dyDescent="0.45">
      <c r="K336" s="38">
        <v>334</v>
      </c>
      <c r="L336" s="99">
        <v>10.000000000000027</v>
      </c>
    </row>
    <row r="337" spans="11:12" x14ac:dyDescent="0.45">
      <c r="K337" s="38">
        <v>335</v>
      </c>
      <c r="L337" s="99">
        <v>-39.699999999999974</v>
      </c>
    </row>
    <row r="338" spans="11:12" x14ac:dyDescent="0.45">
      <c r="K338" s="38">
        <v>336</v>
      </c>
      <c r="L338" s="99">
        <v>2.8421709430404007E-14</v>
      </c>
    </row>
    <row r="339" spans="11:12" x14ac:dyDescent="0.45">
      <c r="K339" s="38">
        <v>337</v>
      </c>
      <c r="L339" s="99">
        <v>42.500000000000028</v>
      </c>
    </row>
    <row r="340" spans="11:12" x14ac:dyDescent="0.45">
      <c r="K340" s="38">
        <v>338</v>
      </c>
      <c r="L340" s="99">
        <v>3.0000000000000284</v>
      </c>
    </row>
    <row r="341" spans="11:12" x14ac:dyDescent="0.45">
      <c r="K341" s="38">
        <v>339</v>
      </c>
      <c r="L341" s="99">
        <v>2.8421709430404007E-14</v>
      </c>
    </row>
    <row r="342" spans="11:12" x14ac:dyDescent="0.45">
      <c r="K342" s="38">
        <v>340</v>
      </c>
      <c r="L342" s="99">
        <v>-6.9999999999999716</v>
      </c>
    </row>
    <row r="343" spans="11:12" x14ac:dyDescent="0.45">
      <c r="K343" s="38">
        <v>341</v>
      </c>
      <c r="L343" s="99">
        <v>-41.799999999999969</v>
      </c>
    </row>
    <row r="344" spans="11:12" x14ac:dyDescent="0.45">
      <c r="K344" s="38">
        <v>342</v>
      </c>
      <c r="L344" s="99">
        <v>2.8421709430404007E-14</v>
      </c>
    </row>
    <row r="345" spans="11:12" x14ac:dyDescent="0.45">
      <c r="K345" s="38">
        <v>343</v>
      </c>
      <c r="L345" s="99">
        <v>-34.199999999999974</v>
      </c>
    </row>
    <row r="346" spans="11:12" x14ac:dyDescent="0.45">
      <c r="K346" s="38">
        <v>344</v>
      </c>
      <c r="L346" s="99">
        <v>0.30000000000002558</v>
      </c>
    </row>
    <row r="347" spans="11:12" x14ac:dyDescent="0.45">
      <c r="K347" s="38">
        <v>345</v>
      </c>
      <c r="L347" s="99">
        <v>2.5590640717609858E-14</v>
      </c>
    </row>
    <row r="348" spans="11:12" x14ac:dyDescent="0.45">
      <c r="K348" s="38">
        <v>346</v>
      </c>
      <c r="L348" s="99">
        <v>-58.499999999999972</v>
      </c>
    </row>
    <row r="349" spans="11:12" x14ac:dyDescent="0.45">
      <c r="K349" s="38">
        <v>347</v>
      </c>
      <c r="L349" s="99">
        <v>-44.999999999999972</v>
      </c>
    </row>
    <row r="350" spans="11:12" x14ac:dyDescent="0.45">
      <c r="K350" s="38">
        <v>348</v>
      </c>
      <c r="L350" s="99">
        <v>2.8421709430404007E-14</v>
      </c>
    </row>
    <row r="351" spans="11:12" x14ac:dyDescent="0.45">
      <c r="K351" s="38">
        <v>349</v>
      </c>
      <c r="L351" s="99">
        <v>-77.999999999999972</v>
      </c>
    </row>
    <row r="352" spans="11:12" x14ac:dyDescent="0.45">
      <c r="K352" s="38">
        <v>350</v>
      </c>
      <c r="L352" s="99">
        <v>-17.599999999999973</v>
      </c>
    </row>
    <row r="353" spans="11:12" x14ac:dyDescent="0.45">
      <c r="K353" s="38">
        <v>351</v>
      </c>
      <c r="L353" s="99">
        <v>2.8421709430404007E-14</v>
      </c>
    </row>
    <row r="354" spans="11:12" x14ac:dyDescent="0.45">
      <c r="K354" s="38">
        <v>352</v>
      </c>
      <c r="L354" s="99">
        <v>2.1000000000000285</v>
      </c>
    </row>
    <row r="355" spans="11:12" x14ac:dyDescent="0.45">
      <c r="K355" s="38">
        <v>353</v>
      </c>
      <c r="L355" s="99">
        <v>30.500000000000028</v>
      </c>
    </row>
    <row r="356" spans="11:12" x14ac:dyDescent="0.45">
      <c r="K356" s="38">
        <v>354</v>
      </c>
      <c r="L356" s="99">
        <v>2.8421709430404007E-14</v>
      </c>
    </row>
    <row r="357" spans="11:12" x14ac:dyDescent="0.45">
      <c r="K357" s="38">
        <v>355</v>
      </c>
      <c r="L357" s="99">
        <v>8.8000000000000291</v>
      </c>
    </row>
    <row r="358" spans="11:12" x14ac:dyDescent="0.45">
      <c r="K358" s="38">
        <v>356</v>
      </c>
      <c r="L358" s="99">
        <v>40.900000000000034</v>
      </c>
    </row>
    <row r="359" spans="11:12" x14ac:dyDescent="0.45">
      <c r="K359" s="38">
        <v>357</v>
      </c>
      <c r="L359" s="99">
        <v>3.5527136788005009E-14</v>
      </c>
    </row>
    <row r="360" spans="11:12" x14ac:dyDescent="0.45">
      <c r="K360" s="38">
        <v>358</v>
      </c>
      <c r="L360" s="99">
        <v>9.6000000000000352</v>
      </c>
    </row>
    <row r="361" spans="11:12" x14ac:dyDescent="0.45">
      <c r="K361" s="38">
        <v>359</v>
      </c>
      <c r="L361" s="99">
        <v>-30.69999999999996</v>
      </c>
    </row>
    <row r="362" spans="11:12" x14ac:dyDescent="0.45">
      <c r="K362" s="38">
        <v>360</v>
      </c>
      <c r="L362" s="99">
        <v>3.907985046680551E-14</v>
      </c>
    </row>
    <row r="363" spans="11:12" x14ac:dyDescent="0.45">
      <c r="K363" s="38">
        <v>361</v>
      </c>
      <c r="L363" s="99">
        <v>-1.299999999999961</v>
      </c>
    </row>
    <row r="364" spans="11:12" x14ac:dyDescent="0.45">
      <c r="K364" s="38">
        <v>362</v>
      </c>
      <c r="L364" s="99">
        <v>25.100000000000037</v>
      </c>
    </row>
    <row r="365" spans="11:12" x14ac:dyDescent="0.45">
      <c r="K365" s="38">
        <v>363</v>
      </c>
      <c r="L365" s="99">
        <v>3.5527136788005009E-14</v>
      </c>
    </row>
    <row r="366" spans="11:12" x14ac:dyDescent="0.45">
      <c r="K366" s="38">
        <v>364</v>
      </c>
      <c r="L366" s="99">
        <v>-65.099999999999966</v>
      </c>
    </row>
    <row r="367" spans="11:12" x14ac:dyDescent="0.45">
      <c r="K367" s="38">
        <v>365</v>
      </c>
      <c r="L367" s="99">
        <v>-9.1999999999999673</v>
      </c>
    </row>
    <row r="368" spans="11:12" x14ac:dyDescent="0.45">
      <c r="K368" s="38">
        <v>366</v>
      </c>
      <c r="L368" s="99">
        <v>3.1974423109204508E-14</v>
      </c>
    </row>
    <row r="369" spans="11:12" x14ac:dyDescent="0.45">
      <c r="K369" s="38">
        <v>367</v>
      </c>
      <c r="L369" s="99">
        <v>31.600000000000033</v>
      </c>
    </row>
    <row r="370" spans="11:12" x14ac:dyDescent="0.45">
      <c r="K370" s="38">
        <v>368</v>
      </c>
      <c r="L370" s="99">
        <v>4.6000000000000334</v>
      </c>
    </row>
    <row r="371" spans="11:12" x14ac:dyDescent="0.45">
      <c r="K371" s="38">
        <v>369</v>
      </c>
      <c r="L371" s="99">
        <v>3.3750779948604759E-14</v>
      </c>
    </row>
    <row r="372" spans="11:12" x14ac:dyDescent="0.45">
      <c r="K372" s="38">
        <v>370</v>
      </c>
      <c r="L372" s="99">
        <v>-43.399999999999963</v>
      </c>
    </row>
    <row r="373" spans="11:12" x14ac:dyDescent="0.45">
      <c r="K373" s="38">
        <v>371</v>
      </c>
      <c r="L373" s="99">
        <v>0.30000000000003979</v>
      </c>
    </row>
    <row r="374" spans="11:12" x14ac:dyDescent="0.45">
      <c r="K374" s="38">
        <v>372</v>
      </c>
      <c r="L374" s="99">
        <v>3.9801495432811862E-14</v>
      </c>
    </row>
    <row r="375" spans="11:12" x14ac:dyDescent="0.45">
      <c r="K375" s="38">
        <v>373</v>
      </c>
      <c r="L375" s="99">
        <v>-31.69999999999996</v>
      </c>
    </row>
    <row r="376" spans="11:12" x14ac:dyDescent="0.45">
      <c r="K376" s="38">
        <v>374</v>
      </c>
      <c r="L376" s="99">
        <v>-34.799999999999962</v>
      </c>
    </row>
    <row r="377" spans="11:12" x14ac:dyDescent="0.45">
      <c r="K377" s="38">
        <v>375</v>
      </c>
      <c r="L377" s="99">
        <v>3.5527136788005009E-14</v>
      </c>
    </row>
    <row r="378" spans="11:12" x14ac:dyDescent="0.45">
      <c r="K378" s="38">
        <v>376</v>
      </c>
      <c r="L378" s="99">
        <v>63.100000000000037</v>
      </c>
    </row>
    <row r="379" spans="11:12" x14ac:dyDescent="0.45">
      <c r="K379" s="38">
        <v>377</v>
      </c>
      <c r="L379" s="99">
        <v>75.30000000000004</v>
      </c>
    </row>
    <row r="380" spans="11:12" x14ac:dyDescent="0.45">
      <c r="K380" s="38">
        <v>378</v>
      </c>
      <c r="L380" s="99">
        <v>4.2632564145606011E-14</v>
      </c>
    </row>
    <row r="381" spans="11:12" x14ac:dyDescent="0.45">
      <c r="K381" s="38">
        <v>379</v>
      </c>
      <c r="L381" s="99">
        <v>-10.499999999999957</v>
      </c>
    </row>
    <row r="382" spans="11:12" x14ac:dyDescent="0.45">
      <c r="K382" s="38">
        <v>380</v>
      </c>
      <c r="L382" s="99">
        <v>35.500000000000043</v>
      </c>
    </row>
    <row r="383" spans="11:12" x14ac:dyDescent="0.45">
      <c r="K383" s="38">
        <v>381</v>
      </c>
      <c r="L383" s="99">
        <v>4.2632564145606011E-14</v>
      </c>
    </row>
    <row r="384" spans="11:12" x14ac:dyDescent="0.45">
      <c r="K384" s="38">
        <v>382</v>
      </c>
      <c r="L384" s="99">
        <v>-57.599999999999959</v>
      </c>
    </row>
    <row r="385" spans="11:12" x14ac:dyDescent="0.45">
      <c r="K385" s="38">
        <v>383</v>
      </c>
      <c r="L385" s="99">
        <v>-4.9999999999999574</v>
      </c>
    </row>
    <row r="386" spans="11:12" x14ac:dyDescent="0.45">
      <c r="K386" s="38">
        <v>384</v>
      </c>
      <c r="L386" s="99">
        <v>4.2632564145606011E-14</v>
      </c>
    </row>
    <row r="387" spans="11:12" x14ac:dyDescent="0.45">
      <c r="K387" s="38">
        <v>385</v>
      </c>
      <c r="L387" s="99">
        <v>-33.299999999999955</v>
      </c>
    </row>
    <row r="388" spans="11:12" x14ac:dyDescent="0.45">
      <c r="K388" s="38">
        <v>386</v>
      </c>
      <c r="L388" s="99">
        <v>-2.6999999999999531</v>
      </c>
    </row>
    <row r="389" spans="11:12" x14ac:dyDescent="0.45">
      <c r="K389" s="38">
        <v>387</v>
      </c>
      <c r="L389" s="99">
        <v>4.7073456244106637E-14</v>
      </c>
    </row>
    <row r="390" spans="11:12" x14ac:dyDescent="0.45">
      <c r="K390" s="38">
        <v>388</v>
      </c>
      <c r="L390" s="99">
        <v>-39.599999999999952</v>
      </c>
    </row>
    <row r="391" spans="11:12" x14ac:dyDescent="0.45">
      <c r="K391" s="38">
        <v>389</v>
      </c>
      <c r="L391" s="99">
        <v>-38.199999999999953</v>
      </c>
    </row>
    <row r="392" spans="11:12" x14ac:dyDescent="0.45">
      <c r="K392" s="38">
        <v>390</v>
      </c>
      <c r="L392" s="99">
        <v>4.9737991503207013E-14</v>
      </c>
    </row>
    <row r="393" spans="11:12" x14ac:dyDescent="0.45">
      <c r="K393" s="38">
        <v>391</v>
      </c>
      <c r="L393" s="99">
        <v>-29.799999999999951</v>
      </c>
    </row>
    <row r="394" spans="11:12" x14ac:dyDescent="0.45">
      <c r="K394" s="38">
        <v>392</v>
      </c>
      <c r="L394" s="99">
        <v>3.200000000000049</v>
      </c>
    </row>
    <row r="395" spans="11:12" x14ac:dyDescent="0.45">
      <c r="K395" s="38">
        <v>393</v>
      </c>
      <c r="L395" s="99">
        <v>4.8849813083506888E-14</v>
      </c>
    </row>
    <row r="396" spans="11:12" x14ac:dyDescent="0.45">
      <c r="K396" s="38">
        <v>394</v>
      </c>
      <c r="L396" s="99">
        <v>-7.299999999999951</v>
      </c>
    </row>
    <row r="397" spans="11:12" x14ac:dyDescent="0.45">
      <c r="K397" s="38">
        <v>395</v>
      </c>
      <c r="L397" s="99">
        <v>58.200000000000045</v>
      </c>
    </row>
    <row r="398" spans="11:12" x14ac:dyDescent="0.45">
      <c r="K398" s="38">
        <v>396</v>
      </c>
      <c r="L398" s="99">
        <v>4.2632564145606011E-14</v>
      </c>
    </row>
    <row r="399" spans="11:12" x14ac:dyDescent="0.45">
      <c r="K399" s="38">
        <v>397</v>
      </c>
      <c r="L399" s="99">
        <v>-35.999999999999957</v>
      </c>
    </row>
    <row r="400" spans="11:12" x14ac:dyDescent="0.45">
      <c r="K400" s="38">
        <v>398</v>
      </c>
      <c r="L400" s="99">
        <v>-34.399999999999956</v>
      </c>
    </row>
    <row r="401" spans="11:12" x14ac:dyDescent="0.45">
      <c r="K401" s="38">
        <v>399</v>
      </c>
      <c r="L401" s="99">
        <v>4.2632564145606011E-14</v>
      </c>
    </row>
    <row r="402" spans="11:12" x14ac:dyDescent="0.45">
      <c r="K402" s="38">
        <v>400</v>
      </c>
      <c r="L402" s="99">
        <v>-59.19999999999996</v>
      </c>
    </row>
    <row r="403" spans="11:12" x14ac:dyDescent="0.45">
      <c r="K403" s="38">
        <v>401</v>
      </c>
      <c r="L403" s="99">
        <v>-59.899999999999963</v>
      </c>
    </row>
    <row r="404" spans="11:12" x14ac:dyDescent="0.45">
      <c r="K404" s="38">
        <v>402</v>
      </c>
      <c r="L404" s="99">
        <v>3.5527136788005009E-14</v>
      </c>
    </row>
    <row r="405" spans="11:12" x14ac:dyDescent="0.45">
      <c r="K405" s="38">
        <v>403</v>
      </c>
      <c r="L405" s="99">
        <v>35.400000000000034</v>
      </c>
    </row>
    <row r="406" spans="11:12" x14ac:dyDescent="0.45">
      <c r="K406" s="38">
        <v>404</v>
      </c>
      <c r="L406" s="99">
        <v>46.100000000000037</v>
      </c>
    </row>
    <row r="407" spans="11:12" x14ac:dyDescent="0.45">
      <c r="K407" s="38">
        <v>405</v>
      </c>
      <c r="L407" s="99">
        <v>3.5527136788005009E-14</v>
      </c>
    </row>
    <row r="408" spans="11:12" x14ac:dyDescent="0.45">
      <c r="K408" s="38">
        <v>406</v>
      </c>
      <c r="L408" s="99">
        <v>42.900000000000034</v>
      </c>
    </row>
    <row r="409" spans="11:12" x14ac:dyDescent="0.45">
      <c r="K409" s="38">
        <v>407</v>
      </c>
      <c r="L409" s="99">
        <v>-13.299999999999969</v>
      </c>
    </row>
    <row r="410" spans="11:12" x14ac:dyDescent="0.45">
      <c r="K410" s="38">
        <v>408</v>
      </c>
      <c r="L410" s="99">
        <v>3.1974423109204508E-14</v>
      </c>
    </row>
    <row r="411" spans="11:12" x14ac:dyDescent="0.45">
      <c r="K411" s="38">
        <v>409</v>
      </c>
      <c r="L411" s="99">
        <v>-36.999999999999972</v>
      </c>
    </row>
    <row r="412" spans="11:12" x14ac:dyDescent="0.45">
      <c r="K412" s="38">
        <v>410</v>
      </c>
      <c r="L412" s="99">
        <v>-43.699999999999974</v>
      </c>
    </row>
    <row r="413" spans="11:12" x14ac:dyDescent="0.45">
      <c r="K413" s="38">
        <v>411</v>
      </c>
      <c r="L413" s="99">
        <v>2.8421709430404007E-14</v>
      </c>
    </row>
    <row r="414" spans="11:12" x14ac:dyDescent="0.45">
      <c r="K414" s="38">
        <v>412</v>
      </c>
      <c r="L414" s="99">
        <v>-57.499999999999972</v>
      </c>
    </row>
    <row r="415" spans="11:12" x14ac:dyDescent="0.45">
      <c r="K415" s="38">
        <v>413</v>
      </c>
      <c r="L415" s="99">
        <v>5.2000000000000313</v>
      </c>
    </row>
    <row r="416" spans="11:12" x14ac:dyDescent="0.45">
      <c r="K416" s="38">
        <v>414</v>
      </c>
      <c r="L416" s="99">
        <v>3.1086244689504383E-14</v>
      </c>
    </row>
    <row r="417" spans="11:12" x14ac:dyDescent="0.45">
      <c r="K417" s="38">
        <v>415</v>
      </c>
      <c r="L417" s="99">
        <v>-43.89999999999997</v>
      </c>
    </row>
    <row r="418" spans="11:12" x14ac:dyDescent="0.45">
      <c r="K418" s="38">
        <v>416</v>
      </c>
      <c r="L418" s="99">
        <v>-35.099999999999966</v>
      </c>
    </row>
    <row r="419" spans="11:12" x14ac:dyDescent="0.45">
      <c r="K419" s="38">
        <v>417</v>
      </c>
      <c r="L419" s="99">
        <v>3.5527136788005009E-14</v>
      </c>
    </row>
    <row r="420" spans="11:12" x14ac:dyDescent="0.45">
      <c r="K420" s="38">
        <v>418</v>
      </c>
      <c r="L420" s="99">
        <v>-0.29999999999996446</v>
      </c>
    </row>
    <row r="421" spans="11:12" x14ac:dyDescent="0.45">
      <c r="K421" s="38">
        <v>419</v>
      </c>
      <c r="L421" s="99">
        <v>-22.899999999999967</v>
      </c>
    </row>
    <row r="422" spans="11:12" x14ac:dyDescent="0.45">
      <c r="K422" s="38">
        <v>420</v>
      </c>
      <c r="L422" s="99">
        <v>3.1974423109204508E-14</v>
      </c>
    </row>
    <row r="423" spans="11:12" x14ac:dyDescent="0.45">
      <c r="K423" s="38">
        <v>421</v>
      </c>
      <c r="L423" s="99">
        <v>-34.299999999999969</v>
      </c>
    </row>
    <row r="424" spans="11:12" x14ac:dyDescent="0.45">
      <c r="K424" s="38">
        <v>422</v>
      </c>
      <c r="L424" s="99">
        <v>-7.0999999999999694</v>
      </c>
    </row>
    <row r="425" spans="11:12" x14ac:dyDescent="0.45">
      <c r="K425" s="38">
        <v>423</v>
      </c>
      <c r="L425" s="99">
        <v>3.0198066269804258E-14</v>
      </c>
    </row>
    <row r="426" spans="11:12" x14ac:dyDescent="0.45">
      <c r="K426" s="38">
        <v>424</v>
      </c>
      <c r="L426" s="99">
        <v>-38.89999999999997</v>
      </c>
    </row>
    <row r="427" spans="11:12" x14ac:dyDescent="0.45">
      <c r="K427" s="38">
        <v>425</v>
      </c>
      <c r="L427" s="99">
        <v>14.60000000000003</v>
      </c>
    </row>
    <row r="428" spans="11:12" x14ac:dyDescent="0.45">
      <c r="K428" s="38">
        <v>426</v>
      </c>
      <c r="L428" s="99">
        <v>3.0198066269804258E-14</v>
      </c>
    </row>
    <row r="429" spans="11:12" x14ac:dyDescent="0.45">
      <c r="K429" s="38">
        <v>427</v>
      </c>
      <c r="L429" s="99">
        <v>30.60000000000003</v>
      </c>
    </row>
    <row r="430" spans="11:12" x14ac:dyDescent="0.45">
      <c r="K430" s="38">
        <v>428</v>
      </c>
      <c r="L430" s="99">
        <v>33.60000000000003</v>
      </c>
    </row>
    <row r="431" spans="11:12" x14ac:dyDescent="0.45">
      <c r="K431" s="38">
        <v>429</v>
      </c>
      <c r="L431" s="99">
        <v>2.8421709430404007E-14</v>
      </c>
    </row>
    <row r="432" spans="11:12" x14ac:dyDescent="0.45">
      <c r="K432" s="38">
        <v>430</v>
      </c>
      <c r="L432" s="99">
        <v>-58.89999999999997</v>
      </c>
    </row>
    <row r="433" spans="11:12" x14ac:dyDescent="0.45">
      <c r="K433" s="38">
        <v>431</v>
      </c>
      <c r="L433" s="99">
        <v>-17.199999999999967</v>
      </c>
    </row>
    <row r="434" spans="11:12" x14ac:dyDescent="0.45">
      <c r="K434" s="38">
        <v>432</v>
      </c>
      <c r="L434" s="99">
        <v>3.1974423109204508E-14</v>
      </c>
    </row>
    <row r="435" spans="11:12" x14ac:dyDescent="0.45">
      <c r="K435" s="38">
        <v>433</v>
      </c>
      <c r="L435" s="99">
        <v>-56.299999999999969</v>
      </c>
    </row>
    <row r="436" spans="11:12" x14ac:dyDescent="0.45">
      <c r="K436" s="38">
        <v>434</v>
      </c>
      <c r="L436" s="99">
        <v>-13.89999999999997</v>
      </c>
    </row>
    <row r="437" spans="11:12" x14ac:dyDescent="0.45">
      <c r="K437" s="38">
        <v>435</v>
      </c>
      <c r="L437" s="99">
        <v>3.0198066269804258E-14</v>
      </c>
    </row>
    <row r="438" spans="11:12" x14ac:dyDescent="0.45">
      <c r="K438" s="38">
        <v>436</v>
      </c>
      <c r="L438" s="99">
        <v>-12.39999999999997</v>
      </c>
    </row>
    <row r="439" spans="11:12" x14ac:dyDescent="0.45">
      <c r="K439" s="38">
        <v>437</v>
      </c>
      <c r="L439" s="99">
        <v>-52.499999999999972</v>
      </c>
    </row>
    <row r="440" spans="11:12" x14ac:dyDescent="0.45">
      <c r="K440" s="38">
        <v>438</v>
      </c>
      <c r="L440" s="99">
        <v>2.8421709430404007E-14</v>
      </c>
    </row>
    <row r="441" spans="11:12" x14ac:dyDescent="0.45">
      <c r="K441" s="38">
        <v>439</v>
      </c>
      <c r="L441" s="99">
        <v>-36.199999999999974</v>
      </c>
    </row>
    <row r="442" spans="11:12" x14ac:dyDescent="0.45">
      <c r="K442" s="38">
        <v>440</v>
      </c>
      <c r="L442" s="99">
        <v>0.20000000000002416</v>
      </c>
    </row>
    <row r="443" spans="11:12" x14ac:dyDescent="0.45">
      <c r="K443" s="38">
        <v>441</v>
      </c>
      <c r="L443" s="99">
        <v>2.4147350785597155E-14</v>
      </c>
    </row>
    <row r="444" spans="11:12" x14ac:dyDescent="0.45">
      <c r="K444" s="38">
        <v>442</v>
      </c>
      <c r="L444" s="99">
        <v>-14.499999999999975</v>
      </c>
    </row>
    <row r="445" spans="11:12" x14ac:dyDescent="0.45">
      <c r="K445" s="38">
        <v>443</v>
      </c>
      <c r="L445" s="99">
        <v>73.500000000000028</v>
      </c>
    </row>
    <row r="446" spans="11:12" x14ac:dyDescent="0.45">
      <c r="K446" s="38">
        <v>444</v>
      </c>
      <c r="L446" s="99">
        <v>2.8421709430404007E-14</v>
      </c>
    </row>
    <row r="447" spans="11:12" x14ac:dyDescent="0.45">
      <c r="K447" s="38">
        <v>445</v>
      </c>
      <c r="L447" s="99">
        <v>-57.39999999999997</v>
      </c>
    </row>
    <row r="448" spans="11:12" x14ac:dyDescent="0.45">
      <c r="K448" s="38">
        <v>446</v>
      </c>
      <c r="L448" s="99">
        <v>-11.39999999999997</v>
      </c>
    </row>
    <row r="449" spans="11:12" x14ac:dyDescent="0.45">
      <c r="K449" s="38">
        <v>447</v>
      </c>
      <c r="L449" s="99">
        <v>3.0198066269804258E-14</v>
      </c>
    </row>
    <row r="450" spans="11:12" x14ac:dyDescent="0.45">
      <c r="K450" s="38">
        <v>448</v>
      </c>
      <c r="L450" s="99">
        <v>34.300000000000026</v>
      </c>
    </row>
    <row r="451" spans="11:12" x14ac:dyDescent="0.45">
      <c r="K451" s="38">
        <v>449</v>
      </c>
      <c r="L451" s="99">
        <v>32.200000000000024</v>
      </c>
    </row>
    <row r="452" spans="11:12" x14ac:dyDescent="0.45">
      <c r="K452" s="38">
        <v>450</v>
      </c>
      <c r="L452" s="99">
        <v>2.1316282072803006E-14</v>
      </c>
    </row>
    <row r="453" spans="11:12" x14ac:dyDescent="0.45">
      <c r="K453" s="38">
        <v>451</v>
      </c>
      <c r="L453" s="99">
        <v>-56.199999999999982</v>
      </c>
    </row>
    <row r="454" spans="11:12" x14ac:dyDescent="0.45">
      <c r="K454" s="38">
        <v>452</v>
      </c>
      <c r="L454" s="99">
        <v>-14.59999999999998</v>
      </c>
    </row>
    <row r="455" spans="11:12" x14ac:dyDescent="0.45">
      <c r="K455" s="38">
        <v>453</v>
      </c>
      <c r="L455" s="99">
        <v>1.9539925233402755E-14</v>
      </c>
    </row>
    <row r="456" spans="11:12" x14ac:dyDescent="0.45">
      <c r="K456" s="38">
        <v>454</v>
      </c>
      <c r="L456" s="99">
        <v>-50.59999999999998</v>
      </c>
    </row>
    <row r="457" spans="11:12" x14ac:dyDescent="0.45">
      <c r="K457" s="38">
        <v>455</v>
      </c>
      <c r="L457" s="99">
        <v>-66.299999999999983</v>
      </c>
    </row>
    <row r="458" spans="11:12" x14ac:dyDescent="0.45">
      <c r="K458" s="38">
        <v>456</v>
      </c>
      <c r="L458" s="99">
        <v>1.4210854715202004E-14</v>
      </c>
    </row>
    <row r="459" spans="11:12" x14ac:dyDescent="0.45">
      <c r="K459" s="38">
        <v>457</v>
      </c>
      <c r="L459" s="99">
        <v>69.600000000000009</v>
      </c>
    </row>
    <row r="460" spans="11:12" x14ac:dyDescent="0.45">
      <c r="K460" s="38">
        <v>458</v>
      </c>
      <c r="L460" s="99">
        <v>59.20000000000001</v>
      </c>
    </row>
    <row r="461" spans="11:12" x14ac:dyDescent="0.45">
      <c r="K461" s="38">
        <v>459</v>
      </c>
      <c r="L461" s="99">
        <v>7.1054273576010019E-15</v>
      </c>
    </row>
    <row r="462" spans="11:12" x14ac:dyDescent="0.45">
      <c r="K462" s="38">
        <v>460</v>
      </c>
      <c r="L462" s="99">
        <v>-18.699999999999992</v>
      </c>
    </row>
    <row r="463" spans="11:12" x14ac:dyDescent="0.45">
      <c r="K463" s="38">
        <v>461</v>
      </c>
      <c r="L463" s="99">
        <v>56.500000000000014</v>
      </c>
    </row>
    <row r="464" spans="11:12" x14ac:dyDescent="0.45">
      <c r="K464" s="38">
        <v>462</v>
      </c>
      <c r="L464" s="99">
        <v>1.4210854715202004E-14</v>
      </c>
    </row>
    <row r="465" spans="11:12" x14ac:dyDescent="0.45">
      <c r="K465" s="38">
        <v>463</v>
      </c>
      <c r="L465" s="99">
        <v>37.400000000000013</v>
      </c>
    </row>
    <row r="466" spans="11:12" x14ac:dyDescent="0.45">
      <c r="K466" s="38">
        <v>464</v>
      </c>
      <c r="L466" s="99">
        <v>6.8000000000000114</v>
      </c>
    </row>
    <row r="467" spans="11:12" x14ac:dyDescent="0.45">
      <c r="K467" s="38">
        <v>465</v>
      </c>
      <c r="L467" s="99">
        <v>1.1546319456101628E-14</v>
      </c>
    </row>
    <row r="468" spans="11:12" x14ac:dyDescent="0.45">
      <c r="K468" s="38">
        <v>466</v>
      </c>
      <c r="L468" s="99">
        <v>-6.0999999999999881</v>
      </c>
    </row>
    <row r="469" spans="11:12" x14ac:dyDescent="0.45">
      <c r="K469" s="38">
        <v>467</v>
      </c>
      <c r="L469" s="99">
        <v>38.70000000000001</v>
      </c>
    </row>
    <row r="470" spans="11:12" x14ac:dyDescent="0.45">
      <c r="K470" s="38">
        <v>468</v>
      </c>
      <c r="L470" s="99">
        <v>7.1054273576010019E-15</v>
      </c>
    </row>
    <row r="471" spans="11:12" x14ac:dyDescent="0.45">
      <c r="K471" s="38">
        <v>469</v>
      </c>
      <c r="L471" s="99">
        <v>62.500000000000007</v>
      </c>
    </row>
    <row r="472" spans="11:12" x14ac:dyDescent="0.45">
      <c r="K472" s="38">
        <v>470</v>
      </c>
      <c r="L472" s="99">
        <v>2.5000000000000071</v>
      </c>
    </row>
    <row r="473" spans="11:12" x14ac:dyDescent="0.45">
      <c r="K473" s="38">
        <v>471</v>
      </c>
      <c r="L473" s="99">
        <v>7.1054273576010019E-15</v>
      </c>
    </row>
    <row r="474" spans="11:12" x14ac:dyDescent="0.45">
      <c r="K474" s="38">
        <v>472</v>
      </c>
      <c r="L474" s="99">
        <v>-37.699999999999996</v>
      </c>
    </row>
    <row r="475" spans="11:12" x14ac:dyDescent="0.45">
      <c r="K475" s="38">
        <v>473</v>
      </c>
      <c r="L475" s="99">
        <v>-47.599999999999994</v>
      </c>
    </row>
    <row r="476" spans="11:12" x14ac:dyDescent="0.45">
      <c r="K476" s="38">
        <v>474</v>
      </c>
      <c r="L476" s="99">
        <v>7.1054273576010019E-15</v>
      </c>
    </row>
    <row r="477" spans="11:12" x14ac:dyDescent="0.45">
      <c r="K477" s="38">
        <v>475</v>
      </c>
      <c r="L477" s="99">
        <v>20.500000000000007</v>
      </c>
    </row>
    <row r="478" spans="11:12" x14ac:dyDescent="0.45">
      <c r="K478" s="38">
        <v>476</v>
      </c>
      <c r="L478" s="99">
        <v>-45.4</v>
      </c>
    </row>
    <row r="479" spans="11:12" x14ac:dyDescent="0.45">
      <c r="K479" s="38">
        <v>477</v>
      </c>
      <c r="L479" s="99">
        <v>0</v>
      </c>
    </row>
    <row r="480" spans="11:12" x14ac:dyDescent="0.45">
      <c r="K480" s="38">
        <v>478</v>
      </c>
      <c r="L480" s="99">
        <v>51.8</v>
      </c>
    </row>
    <row r="481" spans="11:12" x14ac:dyDescent="0.45">
      <c r="K481" s="38">
        <v>479</v>
      </c>
      <c r="L481" s="99">
        <v>59.199999999999996</v>
      </c>
    </row>
    <row r="482" spans="11:12" x14ac:dyDescent="0.45">
      <c r="K482" s="38">
        <v>480</v>
      </c>
      <c r="L482" s="99">
        <v>-7.1054273576010019E-15</v>
      </c>
    </row>
    <row r="483" spans="11:12" x14ac:dyDescent="0.45">
      <c r="K483" s="38">
        <v>481</v>
      </c>
      <c r="L483" s="99">
        <v>-56.900000000000006</v>
      </c>
    </row>
    <row r="484" spans="11:12" x14ac:dyDescent="0.45">
      <c r="K484" s="38">
        <v>482</v>
      </c>
      <c r="L484" s="99">
        <v>-67.7</v>
      </c>
    </row>
    <row r="485" spans="11:12" x14ac:dyDescent="0.45">
      <c r="K485" s="38">
        <v>483</v>
      </c>
      <c r="L485" s="99">
        <v>0</v>
      </c>
    </row>
    <row r="486" spans="11:12" x14ac:dyDescent="0.45">
      <c r="K486" s="38">
        <v>484</v>
      </c>
      <c r="L486" s="99">
        <v>36.299999999999997</v>
      </c>
    </row>
    <row r="487" spans="11:12" x14ac:dyDescent="0.45">
      <c r="K487" s="38">
        <v>485</v>
      </c>
      <c r="L487" s="99">
        <v>-1.5</v>
      </c>
    </row>
    <row r="488" spans="11:12" x14ac:dyDescent="0.45">
      <c r="K488" s="38">
        <v>486</v>
      </c>
      <c r="L488" s="99">
        <v>0</v>
      </c>
    </row>
    <row r="489" spans="11:12" x14ac:dyDescent="0.45">
      <c r="K489" s="38">
        <v>487</v>
      </c>
      <c r="L489" s="99">
        <v>-30.5</v>
      </c>
    </row>
    <row r="490" spans="11:12" x14ac:dyDescent="0.45">
      <c r="K490" s="38">
        <v>488</v>
      </c>
      <c r="L490" s="99">
        <v>9.6000000000000014</v>
      </c>
    </row>
    <row r="491" spans="11:12" x14ac:dyDescent="0.45">
      <c r="K491" s="38">
        <v>489</v>
      </c>
      <c r="L491" s="99">
        <v>1.7763568394002505E-15</v>
      </c>
    </row>
    <row r="492" spans="11:12" x14ac:dyDescent="0.45">
      <c r="K492" s="38">
        <v>490</v>
      </c>
      <c r="L492" s="99">
        <v>44.6</v>
      </c>
    </row>
    <row r="493" spans="11:12" x14ac:dyDescent="0.45">
      <c r="K493" s="38">
        <v>491</v>
      </c>
      <c r="L493" s="99">
        <v>51.800000000000004</v>
      </c>
    </row>
    <row r="494" spans="11:12" x14ac:dyDescent="0.45">
      <c r="K494" s="38">
        <v>492</v>
      </c>
      <c r="L494" s="99">
        <v>7.1054273576010019E-15</v>
      </c>
    </row>
    <row r="495" spans="11:12" x14ac:dyDescent="0.45">
      <c r="K495" s="38">
        <v>493</v>
      </c>
      <c r="L495" s="99">
        <v>-56.099999999999994</v>
      </c>
    </row>
    <row r="496" spans="11:12" x14ac:dyDescent="0.45">
      <c r="K496" s="38">
        <v>494</v>
      </c>
      <c r="L496" s="99">
        <v>15.400000000000006</v>
      </c>
    </row>
    <row r="497" spans="11:12" x14ac:dyDescent="0.45">
      <c r="K497" s="38">
        <v>495</v>
      </c>
      <c r="L497" s="99">
        <v>5.3290705182007514E-15</v>
      </c>
    </row>
    <row r="498" spans="11:12" x14ac:dyDescent="0.45">
      <c r="K498" s="38">
        <v>496</v>
      </c>
      <c r="L498" s="99">
        <v>-16.099999999999994</v>
      </c>
    </row>
    <row r="499" spans="11:12" x14ac:dyDescent="0.45">
      <c r="K499" s="38">
        <v>497</v>
      </c>
      <c r="L499" s="99">
        <v>-61.599999999999994</v>
      </c>
    </row>
    <row r="500" spans="11:12" x14ac:dyDescent="0.45">
      <c r="K500" s="38">
        <v>498</v>
      </c>
      <c r="L500" s="99">
        <v>7.1054273576010019E-15</v>
      </c>
    </row>
    <row r="501" spans="11:12" x14ac:dyDescent="0.45">
      <c r="K501" s="38">
        <v>499</v>
      </c>
      <c r="L501" s="99">
        <v>-58.999999999999993</v>
      </c>
    </row>
    <row r="502" spans="11:12" x14ac:dyDescent="0.45">
      <c r="K502" s="38">
        <v>500</v>
      </c>
      <c r="L502" s="99">
        <v>9.0000000000000071</v>
      </c>
    </row>
    <row r="503" spans="11:12" x14ac:dyDescent="0.45">
      <c r="K503" s="38">
        <v>501</v>
      </c>
      <c r="L503" s="99">
        <v>7.1054273576010019E-15</v>
      </c>
    </row>
    <row r="504" spans="11:12" x14ac:dyDescent="0.45">
      <c r="K504" s="38">
        <v>502</v>
      </c>
      <c r="L504" s="99">
        <v>74.800000000000011</v>
      </c>
    </row>
    <row r="505" spans="11:12" x14ac:dyDescent="0.45">
      <c r="K505" s="38">
        <v>503</v>
      </c>
      <c r="L505" s="99">
        <v>56.000000000000014</v>
      </c>
    </row>
    <row r="506" spans="11:12" x14ac:dyDescent="0.45">
      <c r="K506" s="38">
        <v>504</v>
      </c>
      <c r="L506" s="99">
        <v>1.4210854715202004E-14</v>
      </c>
    </row>
    <row r="507" spans="11:12" x14ac:dyDescent="0.45">
      <c r="K507" s="38">
        <v>505</v>
      </c>
      <c r="L507" s="99">
        <v>-63.399999999999984</v>
      </c>
    </row>
    <row r="508" spans="11:12" x14ac:dyDescent="0.45">
      <c r="K508" s="38">
        <v>506</v>
      </c>
      <c r="L508" s="99">
        <v>-65.199999999999989</v>
      </c>
    </row>
    <row r="509" spans="11:12" x14ac:dyDescent="0.45">
      <c r="K509" s="38">
        <v>507</v>
      </c>
      <c r="L509" s="99">
        <v>1.4210854715202004E-14</v>
      </c>
    </row>
    <row r="510" spans="11:12" x14ac:dyDescent="0.45">
      <c r="K510" s="38">
        <v>508</v>
      </c>
      <c r="L510" s="99">
        <v>-20.299999999999986</v>
      </c>
    </row>
    <row r="511" spans="11:12" x14ac:dyDescent="0.45">
      <c r="K511" s="38">
        <v>509</v>
      </c>
      <c r="L511" s="99">
        <v>-66.399999999999991</v>
      </c>
    </row>
    <row r="512" spans="11:12" x14ac:dyDescent="0.45">
      <c r="K512" s="38">
        <v>510</v>
      </c>
      <c r="L512" s="99">
        <v>1.4210854715202004E-14</v>
      </c>
    </row>
    <row r="513" spans="11:12" x14ac:dyDescent="0.45">
      <c r="K513" s="38">
        <v>511</v>
      </c>
      <c r="L513" s="99">
        <v>4.300000000000014</v>
      </c>
    </row>
    <row r="514" spans="11:12" x14ac:dyDescent="0.45">
      <c r="K514" s="38">
        <v>512</v>
      </c>
      <c r="L514" s="99">
        <v>41.100000000000009</v>
      </c>
    </row>
    <row r="515" spans="11:12" x14ac:dyDescent="0.45">
      <c r="K515" s="38">
        <v>513</v>
      </c>
      <c r="L515" s="99">
        <v>7.1054273576010019E-15</v>
      </c>
    </row>
    <row r="516" spans="11:12" x14ac:dyDescent="0.45">
      <c r="K516" s="38">
        <v>514</v>
      </c>
      <c r="L516" s="99">
        <v>84.4</v>
      </c>
    </row>
    <row r="517" spans="11:12" x14ac:dyDescent="0.45">
      <c r="K517" s="38">
        <v>515</v>
      </c>
      <c r="L517" s="99">
        <v>20.900000000000006</v>
      </c>
    </row>
    <row r="518" spans="11:12" x14ac:dyDescent="0.45">
      <c r="K518" s="38">
        <v>516</v>
      </c>
      <c r="L518" s="99">
        <v>7.1054273576010019E-15</v>
      </c>
    </row>
    <row r="519" spans="11:12" x14ac:dyDescent="0.45">
      <c r="K519" s="38">
        <v>517</v>
      </c>
      <c r="L519" s="99">
        <v>40.600000000000009</v>
      </c>
    </row>
    <row r="520" spans="11:12" x14ac:dyDescent="0.45">
      <c r="K520" s="38">
        <v>518</v>
      </c>
      <c r="L520" s="99">
        <v>42.70000000000001</v>
      </c>
    </row>
    <row r="521" spans="11:12" x14ac:dyDescent="0.45">
      <c r="K521" s="38">
        <v>519</v>
      </c>
      <c r="L521" s="99">
        <v>7.1054273576010019E-15</v>
      </c>
    </row>
    <row r="522" spans="11:12" x14ac:dyDescent="0.45">
      <c r="K522" s="38">
        <v>520</v>
      </c>
      <c r="L522" s="99">
        <v>-57.999999999999993</v>
      </c>
    </row>
    <row r="523" spans="11:12" x14ac:dyDescent="0.45">
      <c r="K523" s="38">
        <v>521</v>
      </c>
      <c r="L523" s="99">
        <v>-1.9999999999999929</v>
      </c>
    </row>
    <row r="524" spans="11:12" x14ac:dyDescent="0.45">
      <c r="K524" s="38">
        <v>522</v>
      </c>
      <c r="L524" s="99">
        <v>7.1054273576010019E-15</v>
      </c>
    </row>
    <row r="525" spans="11:12" x14ac:dyDescent="0.45">
      <c r="K525" s="38">
        <v>523</v>
      </c>
      <c r="L525" s="99">
        <v>36.400000000000006</v>
      </c>
    </row>
    <row r="526" spans="11:12" x14ac:dyDescent="0.45">
      <c r="K526" s="38">
        <v>524</v>
      </c>
      <c r="L526" s="99">
        <v>45.900000000000006</v>
      </c>
    </row>
    <row r="527" spans="11:12" x14ac:dyDescent="0.45">
      <c r="K527" s="38">
        <v>525</v>
      </c>
      <c r="L527" s="99">
        <v>7.1054273576010019E-15</v>
      </c>
    </row>
    <row r="528" spans="11:12" x14ac:dyDescent="0.45">
      <c r="K528" s="38">
        <v>526</v>
      </c>
      <c r="L528" s="99">
        <v>-78.699999999999989</v>
      </c>
    </row>
    <row r="529" spans="11:12" x14ac:dyDescent="0.45">
      <c r="K529" s="38">
        <v>527</v>
      </c>
      <c r="L529" s="99">
        <v>-20.699999999999989</v>
      </c>
    </row>
    <row r="530" spans="11:12" x14ac:dyDescent="0.45">
      <c r="K530" s="38">
        <v>528</v>
      </c>
      <c r="L530" s="99">
        <v>1.0658141036401503E-14</v>
      </c>
    </row>
    <row r="531" spans="11:12" x14ac:dyDescent="0.45">
      <c r="K531" s="38">
        <v>529</v>
      </c>
      <c r="L531" s="99">
        <v>37.400000000000006</v>
      </c>
    </row>
    <row r="532" spans="11:12" x14ac:dyDescent="0.45">
      <c r="K532" s="38">
        <v>530</v>
      </c>
      <c r="L532" s="99">
        <v>-5.5999999999999943</v>
      </c>
    </row>
    <row r="533" spans="11:12" x14ac:dyDescent="0.45">
      <c r="K533" s="38">
        <v>531</v>
      </c>
      <c r="L533" s="99">
        <v>5.3290705182007514E-15</v>
      </c>
    </row>
    <row r="534" spans="11:12" x14ac:dyDescent="0.45">
      <c r="K534" s="38">
        <v>532</v>
      </c>
      <c r="L534" s="99">
        <v>5.3290705182007514E-15</v>
      </c>
    </row>
    <row r="535" spans="11:12" x14ac:dyDescent="0.45">
      <c r="K535" s="38">
        <v>533</v>
      </c>
      <c r="L535" s="99">
        <v>-56.999999999999993</v>
      </c>
    </row>
    <row r="536" spans="11:12" x14ac:dyDescent="0.45">
      <c r="K536" s="38">
        <v>534</v>
      </c>
      <c r="L536" s="99">
        <v>7.1054273576010019E-15</v>
      </c>
    </row>
    <row r="537" spans="11:12" x14ac:dyDescent="0.45">
      <c r="K537" s="38">
        <v>535</v>
      </c>
      <c r="L537" s="99">
        <v>-23.699999999999992</v>
      </c>
    </row>
    <row r="538" spans="11:12" x14ac:dyDescent="0.45">
      <c r="K538" s="38">
        <v>536</v>
      </c>
      <c r="L538" s="99">
        <v>-1.2999999999999936</v>
      </c>
    </row>
    <row r="539" spans="11:12" x14ac:dyDescent="0.45">
      <c r="K539" s="38">
        <v>537</v>
      </c>
      <c r="L539" s="99">
        <v>6.4392935428259079E-15</v>
      </c>
    </row>
    <row r="540" spans="11:12" x14ac:dyDescent="0.45">
      <c r="K540" s="38">
        <v>538</v>
      </c>
      <c r="L540" s="99">
        <v>-2.9999999999999938</v>
      </c>
    </row>
    <row r="541" spans="11:12" x14ac:dyDescent="0.45">
      <c r="K541" s="38">
        <v>539</v>
      </c>
      <c r="L541" s="99">
        <v>43.000000000000007</v>
      </c>
    </row>
    <row r="542" spans="11:12" x14ac:dyDescent="0.45">
      <c r="K542" s="38">
        <v>540</v>
      </c>
      <c r="L542" s="99">
        <v>7.1054273576010019E-15</v>
      </c>
    </row>
    <row r="543" spans="11:12" x14ac:dyDescent="0.45">
      <c r="K543" s="38">
        <v>541</v>
      </c>
      <c r="L543" s="99">
        <v>-35.099999999999994</v>
      </c>
    </row>
    <row r="544" spans="11:12" x14ac:dyDescent="0.45">
      <c r="K544" s="38">
        <v>542</v>
      </c>
      <c r="L544" s="99">
        <v>-5.4999999999999929</v>
      </c>
    </row>
    <row r="545" spans="11:12" x14ac:dyDescent="0.45">
      <c r="K545" s="38">
        <v>543</v>
      </c>
      <c r="L545" s="99">
        <v>7.1054273576010019E-15</v>
      </c>
    </row>
    <row r="546" spans="11:12" x14ac:dyDescent="0.45">
      <c r="K546" s="38">
        <v>544</v>
      </c>
      <c r="L546" s="99">
        <v>-26.999999999999993</v>
      </c>
    </row>
    <row r="547" spans="11:12" x14ac:dyDescent="0.45">
      <c r="K547" s="38">
        <v>545</v>
      </c>
      <c r="L547" s="99">
        <v>6.5000000000000071</v>
      </c>
    </row>
    <row r="548" spans="11:12" x14ac:dyDescent="0.45">
      <c r="K548" s="38">
        <v>546</v>
      </c>
      <c r="L548" s="99">
        <v>7.1054273576010019E-15</v>
      </c>
    </row>
    <row r="549" spans="11:12" x14ac:dyDescent="0.45">
      <c r="K549" s="38">
        <v>547</v>
      </c>
      <c r="L549" s="99">
        <v>49.000000000000007</v>
      </c>
    </row>
    <row r="550" spans="11:12" x14ac:dyDescent="0.45">
      <c r="K550" s="38">
        <v>548</v>
      </c>
      <c r="L550" s="99">
        <v>57.100000000000009</v>
      </c>
    </row>
    <row r="551" spans="11:12" x14ac:dyDescent="0.45">
      <c r="K551" s="38">
        <v>549</v>
      </c>
      <c r="L551" s="99">
        <v>7.1054273576010019E-15</v>
      </c>
    </row>
    <row r="552" spans="11:12" x14ac:dyDescent="0.45">
      <c r="K552" s="38">
        <v>550</v>
      </c>
      <c r="L552" s="99">
        <v>-28.199999999999992</v>
      </c>
    </row>
    <row r="553" spans="11:12" x14ac:dyDescent="0.45">
      <c r="K553" s="38">
        <v>551</v>
      </c>
      <c r="L553" s="99">
        <v>2.2000000000000064</v>
      </c>
    </row>
    <row r="554" spans="11:12" x14ac:dyDescent="0.45">
      <c r="K554" s="38">
        <v>552</v>
      </c>
      <c r="L554" s="99">
        <v>6.2172489379008766E-15</v>
      </c>
    </row>
    <row r="555" spans="11:12" x14ac:dyDescent="0.45">
      <c r="K555" s="38">
        <v>553</v>
      </c>
      <c r="L555" s="99">
        <v>6.1000000000000059</v>
      </c>
    </row>
    <row r="556" spans="11:12" x14ac:dyDescent="0.45">
      <c r="K556" s="38">
        <v>554</v>
      </c>
      <c r="L556" s="99">
        <v>-33.79999999999999</v>
      </c>
    </row>
    <row r="557" spans="11:12" x14ac:dyDescent="0.45">
      <c r="K557" s="38">
        <v>555</v>
      </c>
      <c r="L557" s="99">
        <v>7.1054273576010019E-15</v>
      </c>
    </row>
    <row r="558" spans="11:12" x14ac:dyDescent="0.45">
      <c r="K558" s="38">
        <v>556</v>
      </c>
      <c r="L558" s="99">
        <v>-62.999999999999993</v>
      </c>
    </row>
    <row r="559" spans="11:12" x14ac:dyDescent="0.45">
      <c r="K559" s="38">
        <v>557</v>
      </c>
      <c r="L559" s="99">
        <v>-44.999999999999993</v>
      </c>
    </row>
    <row r="560" spans="11:12" x14ac:dyDescent="0.45">
      <c r="K560" s="38">
        <v>558</v>
      </c>
      <c r="L560" s="99">
        <v>7.1054273576010019E-15</v>
      </c>
    </row>
    <row r="561" spans="11:12" x14ac:dyDescent="0.45">
      <c r="K561" s="38">
        <v>559</v>
      </c>
      <c r="L561" s="99">
        <v>100.9</v>
      </c>
    </row>
    <row r="562" spans="11:12" x14ac:dyDescent="0.45">
      <c r="K562" s="38">
        <v>560</v>
      </c>
      <c r="L562" s="99">
        <v>27.200000000000003</v>
      </c>
    </row>
    <row r="563" spans="11:12" x14ac:dyDescent="0.45">
      <c r="K563" s="38">
        <v>561</v>
      </c>
      <c r="L563" s="99">
        <v>3.5527136788005009E-15</v>
      </c>
    </row>
    <row r="564" spans="11:12" x14ac:dyDescent="0.45">
      <c r="K564" s="38">
        <v>562</v>
      </c>
      <c r="L564" s="99">
        <v>27.100000000000005</v>
      </c>
    </row>
    <row r="565" spans="11:12" x14ac:dyDescent="0.45">
      <c r="K565" s="38">
        <v>563</v>
      </c>
      <c r="L565" s="99">
        <v>31.800000000000004</v>
      </c>
    </row>
    <row r="566" spans="11:12" x14ac:dyDescent="0.45">
      <c r="K566" s="38">
        <v>564</v>
      </c>
      <c r="L566" s="99">
        <v>3.5527136788005009E-15</v>
      </c>
    </row>
    <row r="567" spans="11:12" x14ac:dyDescent="0.45">
      <c r="K567" s="38">
        <v>565</v>
      </c>
      <c r="L567" s="99">
        <v>-0.79999999999999649</v>
      </c>
    </row>
    <row r="568" spans="11:12" x14ac:dyDescent="0.45">
      <c r="K568" s="38">
        <v>566</v>
      </c>
      <c r="L568" s="99">
        <v>23.400000000000002</v>
      </c>
    </row>
    <row r="569" spans="11:12" x14ac:dyDescent="0.45">
      <c r="K569" s="38">
        <v>567</v>
      </c>
      <c r="L569" s="99">
        <v>3.5527136788005009E-15</v>
      </c>
    </row>
    <row r="570" spans="11:12" x14ac:dyDescent="0.45">
      <c r="K570" s="38">
        <v>568</v>
      </c>
      <c r="L570" s="99">
        <v>57.2</v>
      </c>
    </row>
    <row r="571" spans="11:12" x14ac:dyDescent="0.45">
      <c r="K571" s="38">
        <v>569</v>
      </c>
      <c r="L571" s="99">
        <v>69.5</v>
      </c>
    </row>
    <row r="572" spans="11:12" x14ac:dyDescent="0.45">
      <c r="K572" s="38">
        <v>570</v>
      </c>
      <c r="L572" s="99">
        <v>0</v>
      </c>
    </row>
    <row r="573" spans="11:12" x14ac:dyDescent="0.45">
      <c r="K573" s="38">
        <v>571</v>
      </c>
      <c r="L573" s="99">
        <v>-48.7</v>
      </c>
    </row>
    <row r="574" spans="11:12" x14ac:dyDescent="0.45">
      <c r="K574" s="38">
        <v>572</v>
      </c>
      <c r="L574" s="99">
        <v>-37.1</v>
      </c>
    </row>
    <row r="575" spans="11:12" x14ac:dyDescent="0.45">
      <c r="K575" s="38">
        <v>573</v>
      </c>
      <c r="L575" s="99">
        <v>0</v>
      </c>
    </row>
    <row r="576" spans="11:12" x14ac:dyDescent="0.45">
      <c r="K576" s="38">
        <v>574</v>
      </c>
      <c r="L576" s="99">
        <v>29.4</v>
      </c>
    </row>
    <row r="577" spans="11:12" x14ac:dyDescent="0.45">
      <c r="K577" s="38">
        <v>575</v>
      </c>
      <c r="L577" s="99">
        <v>-0.80000000000000071</v>
      </c>
    </row>
    <row r="578" spans="11:12" x14ac:dyDescent="0.45">
      <c r="K578" s="38">
        <v>576</v>
      </c>
      <c r="L578" s="99">
        <v>-6.6613381477509392E-16</v>
      </c>
    </row>
    <row r="579" spans="11:12" x14ac:dyDescent="0.45">
      <c r="K579" s="38">
        <v>577</v>
      </c>
      <c r="L579" s="99">
        <v>79.599999999999994</v>
      </c>
    </row>
    <row r="580" spans="11:12" x14ac:dyDescent="0.45">
      <c r="K580" s="38">
        <v>578</v>
      </c>
      <c r="L580" s="99">
        <v>70.8</v>
      </c>
    </row>
    <row r="581" spans="11:12" x14ac:dyDescent="0.45">
      <c r="K581" s="38">
        <v>579</v>
      </c>
      <c r="L581" s="99">
        <v>0</v>
      </c>
    </row>
    <row r="582" spans="11:12" x14ac:dyDescent="0.45">
      <c r="K582" s="38">
        <v>580</v>
      </c>
      <c r="L582" s="99">
        <v>-55.7</v>
      </c>
    </row>
    <row r="583" spans="11:12" x14ac:dyDescent="0.45">
      <c r="K583" s="38">
        <v>581</v>
      </c>
      <c r="L583" s="99">
        <v>7.6999999999999957</v>
      </c>
    </row>
    <row r="584" spans="11:12" x14ac:dyDescent="0.45">
      <c r="K584" s="38">
        <v>582</v>
      </c>
      <c r="L584" s="99">
        <v>-4.4408920985006262E-15</v>
      </c>
    </row>
    <row r="585" spans="11:12" x14ac:dyDescent="0.45">
      <c r="K585" s="38">
        <v>583</v>
      </c>
      <c r="L585" s="99">
        <v>40.599999999999994</v>
      </c>
    </row>
    <row r="586" spans="11:12" x14ac:dyDescent="0.45">
      <c r="K586" s="38">
        <v>584</v>
      </c>
      <c r="L586" s="99">
        <v>43.599999999999994</v>
      </c>
    </row>
    <row r="587" spans="11:12" x14ac:dyDescent="0.45">
      <c r="K587" s="38">
        <v>585</v>
      </c>
      <c r="L587" s="99">
        <v>-7.1054273576010019E-15</v>
      </c>
    </row>
    <row r="588" spans="11:12" x14ac:dyDescent="0.45">
      <c r="K588" s="38">
        <v>586</v>
      </c>
      <c r="L588" s="99">
        <v>-50.500000000000007</v>
      </c>
    </row>
    <row r="589" spans="11:12" x14ac:dyDescent="0.45">
      <c r="K589" s="38">
        <v>587</v>
      </c>
      <c r="L589" s="99">
        <v>-47.900000000000006</v>
      </c>
    </row>
    <row r="590" spans="11:12" x14ac:dyDescent="0.45">
      <c r="K590" s="38">
        <v>588</v>
      </c>
      <c r="L590" s="99">
        <v>-7.1054273576010019E-15</v>
      </c>
    </row>
    <row r="591" spans="11:12" x14ac:dyDescent="0.45">
      <c r="K591" s="38">
        <v>589</v>
      </c>
      <c r="L591" s="99">
        <v>-41.70000000000001</v>
      </c>
    </row>
    <row r="592" spans="11:12" x14ac:dyDescent="0.45">
      <c r="K592" s="38">
        <v>590</v>
      </c>
      <c r="L592" s="99">
        <v>-0.70000000000000995</v>
      </c>
    </row>
    <row r="593" spans="11:12" x14ac:dyDescent="0.45">
      <c r="K593" s="38">
        <v>591</v>
      </c>
      <c r="L593" s="99">
        <v>-9.9920072216264089E-15</v>
      </c>
    </row>
    <row r="594" spans="11:12" x14ac:dyDescent="0.45">
      <c r="K594" s="38">
        <v>592</v>
      </c>
      <c r="L594" s="99">
        <v>-34.900000000000006</v>
      </c>
    </row>
    <row r="595" spans="11:12" x14ac:dyDescent="0.45">
      <c r="K595" s="38">
        <v>593</v>
      </c>
      <c r="L595" s="99">
        <v>-38.100000000000009</v>
      </c>
    </row>
    <row r="596" spans="11:12" x14ac:dyDescent="0.45">
      <c r="K596" s="38">
        <v>594</v>
      </c>
      <c r="L596" s="99">
        <v>-7.1054273576010019E-15</v>
      </c>
    </row>
    <row r="597" spans="11:12" x14ac:dyDescent="0.45">
      <c r="K597" s="38">
        <v>595</v>
      </c>
      <c r="L597" s="99">
        <v>64.199999999999989</v>
      </c>
    </row>
    <row r="598" spans="11:12" x14ac:dyDescent="0.45">
      <c r="K598" s="38">
        <v>596</v>
      </c>
      <c r="L598" s="99">
        <v>57.999999999999986</v>
      </c>
    </row>
    <row r="599" spans="11:12" x14ac:dyDescent="0.45">
      <c r="K599" s="38">
        <v>597</v>
      </c>
      <c r="L599" s="99">
        <v>-1.4210854715202004E-14</v>
      </c>
    </row>
    <row r="600" spans="11:12" x14ac:dyDescent="0.45">
      <c r="K600" s="38">
        <v>598</v>
      </c>
      <c r="L600" s="99">
        <v>60.299999999999983</v>
      </c>
    </row>
    <row r="601" spans="11:12" x14ac:dyDescent="0.45">
      <c r="K601" s="38">
        <v>599</v>
      </c>
      <c r="L601" s="99">
        <v>-1.7000000000000171</v>
      </c>
    </row>
    <row r="602" spans="11:12" x14ac:dyDescent="0.45">
      <c r="K602" s="38">
        <v>600</v>
      </c>
      <c r="L602" s="99">
        <v>-1.7097434579227411E-14</v>
      </c>
    </row>
    <row r="603" spans="11:12" x14ac:dyDescent="0.45">
      <c r="K603" s="38">
        <v>601</v>
      </c>
      <c r="L603" s="99">
        <v>7.2999999999999829</v>
      </c>
    </row>
    <row r="604" spans="11:12" x14ac:dyDescent="0.45">
      <c r="K604" s="38">
        <v>602</v>
      </c>
      <c r="L604" s="99">
        <v>36.09999999999998</v>
      </c>
    </row>
    <row r="605" spans="11:12" x14ac:dyDescent="0.45">
      <c r="K605" s="38">
        <v>603</v>
      </c>
      <c r="L605" s="99">
        <v>-2.1316282072803006E-14</v>
      </c>
    </row>
    <row r="606" spans="11:12" x14ac:dyDescent="0.45">
      <c r="K606" s="38">
        <v>604</v>
      </c>
      <c r="L606" s="99">
        <v>-41.40000000000002</v>
      </c>
    </row>
    <row r="607" spans="11:12" x14ac:dyDescent="0.45">
      <c r="K607" s="38">
        <v>605</v>
      </c>
      <c r="L607" s="99">
        <v>-48.000000000000021</v>
      </c>
    </row>
    <row r="608" spans="11:12" x14ac:dyDescent="0.45">
      <c r="K608" s="38">
        <v>606</v>
      </c>
      <c r="L608" s="99">
        <v>-2.1316282072803006E-14</v>
      </c>
    </row>
    <row r="609" spans="11:12" x14ac:dyDescent="0.45">
      <c r="K609" s="38">
        <v>607</v>
      </c>
      <c r="L609" s="99">
        <v>31.899999999999977</v>
      </c>
    </row>
    <row r="610" spans="11:12" x14ac:dyDescent="0.45">
      <c r="K610" s="38">
        <v>608</v>
      </c>
      <c r="L610" s="99">
        <v>33.899999999999977</v>
      </c>
    </row>
    <row r="611" spans="11:12" x14ac:dyDescent="0.45">
      <c r="K611" s="38">
        <v>609</v>
      </c>
      <c r="L611" s="99">
        <v>-2.1316282072803006E-14</v>
      </c>
    </row>
    <row r="612" spans="11:12" x14ac:dyDescent="0.45">
      <c r="K612" s="38">
        <v>610</v>
      </c>
      <c r="L612" s="99">
        <v>-11.100000000000021</v>
      </c>
    </row>
    <row r="613" spans="11:12" x14ac:dyDescent="0.45">
      <c r="K613" s="38">
        <v>611</v>
      </c>
      <c r="L613" s="99">
        <v>56.699999999999974</v>
      </c>
    </row>
    <row r="614" spans="11:12" x14ac:dyDescent="0.45">
      <c r="K614" s="38">
        <v>612</v>
      </c>
      <c r="L614" s="99">
        <v>-2.8421709430404007E-14</v>
      </c>
    </row>
    <row r="615" spans="11:12" x14ac:dyDescent="0.45">
      <c r="K615" s="38">
        <v>613</v>
      </c>
      <c r="L615" s="99">
        <v>-24.400000000000027</v>
      </c>
    </row>
    <row r="616" spans="11:12" x14ac:dyDescent="0.45">
      <c r="K616" s="38">
        <v>614</v>
      </c>
      <c r="L616" s="99">
        <v>-25.600000000000026</v>
      </c>
    </row>
    <row r="617" spans="11:12" x14ac:dyDescent="0.45">
      <c r="K617" s="38">
        <v>615</v>
      </c>
      <c r="L617" s="99">
        <v>-2.4868995751603507E-14</v>
      </c>
    </row>
    <row r="618" spans="11:12" x14ac:dyDescent="0.45">
      <c r="K618" s="38">
        <v>616</v>
      </c>
      <c r="L618" s="99">
        <v>-44.600000000000023</v>
      </c>
    </row>
    <row r="619" spans="11:12" x14ac:dyDescent="0.45">
      <c r="K619" s="38">
        <v>617</v>
      </c>
      <c r="L619" s="99">
        <v>-34.90000000000002</v>
      </c>
    </row>
    <row r="620" spans="11:12" x14ac:dyDescent="0.45">
      <c r="K620" s="38">
        <v>618</v>
      </c>
      <c r="L620" s="99">
        <v>-2.1316282072803006E-14</v>
      </c>
    </row>
    <row r="621" spans="11:12" x14ac:dyDescent="0.45">
      <c r="K621" s="38">
        <v>619</v>
      </c>
      <c r="L621" s="99">
        <v>46.09999999999998</v>
      </c>
    </row>
    <row r="622" spans="11:12" x14ac:dyDescent="0.45">
      <c r="K622" s="38">
        <v>620</v>
      </c>
      <c r="L622" s="99">
        <v>54.59999999999998</v>
      </c>
    </row>
    <row r="623" spans="11:12" x14ac:dyDescent="0.45">
      <c r="K623" s="38">
        <v>621</v>
      </c>
      <c r="L623" s="99">
        <v>-2.1316282072803006E-14</v>
      </c>
    </row>
    <row r="624" spans="11:12" x14ac:dyDescent="0.45">
      <c r="K624" s="38">
        <v>622</v>
      </c>
      <c r="L624" s="99">
        <v>56.499999999999979</v>
      </c>
    </row>
    <row r="625" spans="11:12" x14ac:dyDescent="0.45">
      <c r="K625" s="38">
        <v>623</v>
      </c>
      <c r="L625" s="99">
        <v>64.699999999999974</v>
      </c>
    </row>
    <row r="626" spans="11:12" x14ac:dyDescent="0.45">
      <c r="K626" s="38">
        <v>624</v>
      </c>
      <c r="L626" s="99">
        <v>-2.8421709430404007E-14</v>
      </c>
    </row>
    <row r="627" spans="11:12" x14ac:dyDescent="0.45">
      <c r="K627" s="38">
        <v>625</v>
      </c>
      <c r="L627" s="99">
        <v>23.699999999999971</v>
      </c>
    </row>
    <row r="628" spans="11:12" x14ac:dyDescent="0.45">
      <c r="K628" s="38">
        <v>626</v>
      </c>
      <c r="L628" s="99">
        <v>1.4999999999999716</v>
      </c>
    </row>
    <row r="629" spans="11:12" x14ac:dyDescent="0.45">
      <c r="K629" s="38">
        <v>627</v>
      </c>
      <c r="L629" s="99">
        <v>-2.8421709430404007E-14</v>
      </c>
    </row>
    <row r="630" spans="11:12" x14ac:dyDescent="0.45">
      <c r="K630" s="38">
        <v>628</v>
      </c>
      <c r="L630" s="99">
        <v>27.699999999999971</v>
      </c>
    </row>
    <row r="631" spans="11:12" x14ac:dyDescent="0.45">
      <c r="K631" s="38">
        <v>629</v>
      </c>
      <c r="L631" s="99">
        <v>3.3999999999999702</v>
      </c>
    </row>
    <row r="632" spans="11:12" x14ac:dyDescent="0.45">
      <c r="K632" s="38">
        <v>630</v>
      </c>
      <c r="L632" s="99">
        <v>-2.9753977059954195E-14</v>
      </c>
    </row>
    <row r="633" spans="11:12" x14ac:dyDescent="0.45">
      <c r="K633" s="38">
        <v>631</v>
      </c>
      <c r="L633" s="99">
        <v>45.299999999999969</v>
      </c>
    </row>
    <row r="634" spans="11:12" x14ac:dyDescent="0.45">
      <c r="K634" s="38">
        <v>632</v>
      </c>
      <c r="L634" s="99">
        <v>-5.8000000000000327</v>
      </c>
    </row>
    <row r="635" spans="11:12" x14ac:dyDescent="0.45">
      <c r="K635" s="38">
        <v>633</v>
      </c>
      <c r="L635" s="99">
        <v>-3.2862601528904634E-14</v>
      </c>
    </row>
    <row r="636" spans="11:12" x14ac:dyDescent="0.45">
      <c r="K636" s="38">
        <v>634</v>
      </c>
      <c r="L636" s="99">
        <v>8.999999999999968</v>
      </c>
    </row>
    <row r="637" spans="11:12" x14ac:dyDescent="0.45">
      <c r="K637" s="38">
        <v>635</v>
      </c>
      <c r="L637" s="99">
        <v>57.299999999999969</v>
      </c>
    </row>
    <row r="638" spans="11:12" x14ac:dyDescent="0.45">
      <c r="K638" s="38">
        <v>636</v>
      </c>
      <c r="L638" s="99">
        <v>-2.8421709430404007E-14</v>
      </c>
    </row>
    <row r="639" spans="11:12" x14ac:dyDescent="0.45">
      <c r="K639" s="38">
        <v>637</v>
      </c>
      <c r="L639" s="99">
        <v>-56.000000000000028</v>
      </c>
    </row>
    <row r="640" spans="11:12" x14ac:dyDescent="0.45">
      <c r="K640" s="38">
        <v>638</v>
      </c>
      <c r="L640" s="99">
        <v>-50.000000000000028</v>
      </c>
    </row>
    <row r="641" spans="11:12" x14ac:dyDescent="0.45">
      <c r="K641" s="38">
        <v>639</v>
      </c>
      <c r="L641" s="99">
        <v>-2.8421709430404007E-14</v>
      </c>
    </row>
    <row r="642" spans="11:12" x14ac:dyDescent="0.45">
      <c r="K642" s="38">
        <v>640</v>
      </c>
      <c r="L642" s="99">
        <v>-56.200000000000031</v>
      </c>
    </row>
    <row r="643" spans="11:12" x14ac:dyDescent="0.45">
      <c r="K643" s="38">
        <v>641</v>
      </c>
      <c r="L643" s="99">
        <v>11.699999999999974</v>
      </c>
    </row>
    <row r="644" spans="11:12" x14ac:dyDescent="0.45">
      <c r="K644" s="38">
        <v>642</v>
      </c>
      <c r="L644" s="99">
        <v>-2.4868995751603507E-14</v>
      </c>
    </row>
    <row r="645" spans="11:12" x14ac:dyDescent="0.45">
      <c r="K645" s="38">
        <v>643</v>
      </c>
      <c r="L645" s="99">
        <v>-31.800000000000026</v>
      </c>
    </row>
    <row r="646" spans="11:12" x14ac:dyDescent="0.45">
      <c r="K646" s="38">
        <v>644</v>
      </c>
      <c r="L646" s="99">
        <v>-42.700000000000024</v>
      </c>
    </row>
    <row r="647" spans="11:12" x14ac:dyDescent="0.45">
      <c r="K647" s="38">
        <v>645</v>
      </c>
      <c r="L647" s="99">
        <v>-2.1316282072803006E-14</v>
      </c>
    </row>
    <row r="648" spans="11:12" x14ac:dyDescent="0.45">
      <c r="K648" s="38">
        <v>646</v>
      </c>
      <c r="L648" s="99">
        <v>-7.3000000000000211</v>
      </c>
    </row>
    <row r="649" spans="11:12" x14ac:dyDescent="0.45">
      <c r="K649" s="38">
        <v>647</v>
      </c>
      <c r="L649" s="99">
        <v>46.999999999999979</v>
      </c>
    </row>
    <row r="650" spans="11:12" x14ac:dyDescent="0.45">
      <c r="K650" s="38">
        <v>648</v>
      </c>
      <c r="L650" s="99">
        <v>-2.1316282072803006E-14</v>
      </c>
    </row>
    <row r="651" spans="11:12" x14ac:dyDescent="0.45">
      <c r="K651" s="38">
        <v>649</v>
      </c>
      <c r="L651" s="99">
        <v>-14.300000000000022</v>
      </c>
    </row>
    <row r="652" spans="11:12" x14ac:dyDescent="0.45">
      <c r="K652" s="38">
        <v>650</v>
      </c>
      <c r="L652" s="99">
        <v>36.09999999999998</v>
      </c>
    </row>
    <row r="653" spans="11:12" x14ac:dyDescent="0.45">
      <c r="K653" s="38">
        <v>651</v>
      </c>
      <c r="L653" s="99">
        <v>-2.1316282072803006E-14</v>
      </c>
    </row>
    <row r="654" spans="11:12" x14ac:dyDescent="0.45">
      <c r="K654" s="38">
        <v>652</v>
      </c>
      <c r="L654" s="99">
        <v>-60.90000000000002</v>
      </c>
    </row>
    <row r="655" spans="11:12" x14ac:dyDescent="0.45">
      <c r="K655" s="38">
        <v>653</v>
      </c>
      <c r="L655" s="99">
        <v>3.4999999999999858</v>
      </c>
    </row>
    <row r="656" spans="11:12" x14ac:dyDescent="0.45">
      <c r="K656" s="38">
        <v>654</v>
      </c>
      <c r="L656" s="99">
        <v>-1.4210854715202004E-14</v>
      </c>
    </row>
    <row r="657" spans="11:12" x14ac:dyDescent="0.45">
      <c r="K657" s="38">
        <v>655</v>
      </c>
      <c r="L657" s="99">
        <v>67.799999999999983</v>
      </c>
    </row>
    <row r="658" spans="11:12" x14ac:dyDescent="0.45">
      <c r="K658" s="38">
        <v>656</v>
      </c>
      <c r="L658" s="99">
        <v>55.899999999999984</v>
      </c>
    </row>
    <row r="659" spans="11:12" x14ac:dyDescent="0.45">
      <c r="K659" s="38">
        <v>657</v>
      </c>
      <c r="L659" s="99">
        <v>-1.4210854715202004E-14</v>
      </c>
    </row>
    <row r="660" spans="11:12" x14ac:dyDescent="0.45">
      <c r="K660" s="38">
        <v>658</v>
      </c>
      <c r="L660" s="99">
        <v>-14.900000000000015</v>
      </c>
    </row>
    <row r="661" spans="11:12" x14ac:dyDescent="0.45">
      <c r="K661" s="38">
        <v>659</v>
      </c>
      <c r="L661" s="99">
        <v>-51.300000000000011</v>
      </c>
    </row>
    <row r="662" spans="11:12" x14ac:dyDescent="0.45">
      <c r="K662" s="38">
        <v>660</v>
      </c>
      <c r="L662" s="99">
        <v>-1.4210854715202004E-14</v>
      </c>
    </row>
    <row r="663" spans="11:12" x14ac:dyDescent="0.45">
      <c r="K663" s="38">
        <v>661</v>
      </c>
      <c r="L663" s="99">
        <v>-57.700000000000017</v>
      </c>
    </row>
    <row r="664" spans="11:12" x14ac:dyDescent="0.45">
      <c r="K664" s="38">
        <v>662</v>
      </c>
      <c r="L664" s="99">
        <v>-40.100000000000016</v>
      </c>
    </row>
    <row r="665" spans="11:12" x14ac:dyDescent="0.45">
      <c r="K665" s="38">
        <v>663</v>
      </c>
      <c r="L665" s="99">
        <v>-1.4210854715202004E-14</v>
      </c>
    </row>
    <row r="666" spans="11:12" x14ac:dyDescent="0.45">
      <c r="K666" s="38">
        <v>664</v>
      </c>
      <c r="L666" s="99">
        <v>-1.9000000000000141</v>
      </c>
    </row>
    <row r="667" spans="11:12" x14ac:dyDescent="0.45">
      <c r="K667" s="38">
        <v>665</v>
      </c>
      <c r="L667" s="99">
        <v>32.79999999999999</v>
      </c>
    </row>
    <row r="668" spans="11:12" x14ac:dyDescent="0.45">
      <c r="K668" s="38">
        <v>666</v>
      </c>
      <c r="L668" s="99">
        <v>-7.1054273576010019E-15</v>
      </c>
    </row>
    <row r="669" spans="11:12" x14ac:dyDescent="0.45">
      <c r="K669" s="38">
        <v>667</v>
      </c>
      <c r="L669" s="99">
        <v>11.599999999999993</v>
      </c>
    </row>
    <row r="670" spans="11:12" x14ac:dyDescent="0.45">
      <c r="K670" s="38">
        <v>668</v>
      </c>
      <c r="L670" s="99">
        <v>-43.800000000000004</v>
      </c>
    </row>
    <row r="671" spans="11:12" x14ac:dyDescent="0.45">
      <c r="K671" s="38">
        <v>669</v>
      </c>
      <c r="L671" s="99">
        <v>-7.1054273576010019E-15</v>
      </c>
    </row>
    <row r="672" spans="11:12" x14ac:dyDescent="0.45">
      <c r="K672" s="38">
        <v>670</v>
      </c>
      <c r="L672" s="99">
        <v>-1.0000000000000071</v>
      </c>
    </row>
    <row r="673" spans="11:12" x14ac:dyDescent="0.45">
      <c r="K673" s="38">
        <v>671</v>
      </c>
      <c r="L673" s="99">
        <v>-59.000000000000007</v>
      </c>
    </row>
    <row r="674" spans="11:12" x14ac:dyDescent="0.45">
      <c r="K674" s="38">
        <v>672</v>
      </c>
      <c r="L674" s="99">
        <v>-7.1054273576010019E-15</v>
      </c>
    </row>
    <row r="675" spans="11:12" x14ac:dyDescent="0.45">
      <c r="K675" s="38">
        <v>673</v>
      </c>
      <c r="L675" s="99">
        <v>-1.3000000000000071</v>
      </c>
    </row>
    <row r="676" spans="11:12" x14ac:dyDescent="0.45">
      <c r="K676" s="38">
        <v>674</v>
      </c>
      <c r="L676" s="99">
        <v>34.699999999999996</v>
      </c>
    </row>
    <row r="677" spans="11:12" x14ac:dyDescent="0.45">
      <c r="K677" s="38">
        <v>675</v>
      </c>
      <c r="L677" s="99">
        <v>-7.1054273576010019E-15</v>
      </c>
    </row>
    <row r="678" spans="11:12" x14ac:dyDescent="0.45">
      <c r="K678" s="38">
        <v>676</v>
      </c>
      <c r="L678" s="99">
        <v>-7.4000000000000075</v>
      </c>
    </row>
    <row r="679" spans="11:12" x14ac:dyDescent="0.45">
      <c r="K679" s="38">
        <v>677</v>
      </c>
      <c r="L679" s="99">
        <v>-71.100000000000009</v>
      </c>
    </row>
    <row r="680" spans="11:12" x14ac:dyDescent="0.45">
      <c r="K680" s="38">
        <v>678</v>
      </c>
      <c r="L680" s="99">
        <v>-1.4210854715202004E-14</v>
      </c>
    </row>
    <row r="681" spans="11:12" x14ac:dyDescent="0.45">
      <c r="K681" s="38">
        <v>679</v>
      </c>
      <c r="L681" s="99">
        <v>76.999999999999986</v>
      </c>
    </row>
    <row r="682" spans="11:12" x14ac:dyDescent="0.45">
      <c r="K682" s="38">
        <v>680</v>
      </c>
      <c r="L682" s="99">
        <v>-5.0000000000000142</v>
      </c>
    </row>
    <row r="683" spans="11:12" x14ac:dyDescent="0.45">
      <c r="K683" s="38">
        <v>681</v>
      </c>
      <c r="L683" s="99">
        <v>-1.4210854715202004E-14</v>
      </c>
    </row>
    <row r="684" spans="11:12" x14ac:dyDescent="0.45">
      <c r="K684" s="38">
        <v>682</v>
      </c>
      <c r="L684" s="99">
        <v>92.59999999999998</v>
      </c>
    </row>
    <row r="685" spans="11:12" x14ac:dyDescent="0.45">
      <c r="K685" s="38">
        <v>683</v>
      </c>
      <c r="L685" s="99">
        <v>62.299999999999983</v>
      </c>
    </row>
    <row r="686" spans="11:12" x14ac:dyDescent="0.45">
      <c r="K686" s="38">
        <v>684</v>
      </c>
      <c r="L686" s="99">
        <v>-1.4210854715202004E-14</v>
      </c>
    </row>
    <row r="687" spans="11:12" x14ac:dyDescent="0.45">
      <c r="K687" s="38">
        <v>685</v>
      </c>
      <c r="L687" s="99">
        <v>49.699999999999989</v>
      </c>
    </row>
    <row r="688" spans="11:12" x14ac:dyDescent="0.45">
      <c r="K688" s="38">
        <v>686</v>
      </c>
      <c r="L688" s="99">
        <v>38.79999999999999</v>
      </c>
    </row>
    <row r="689" spans="11:12" x14ac:dyDescent="0.45">
      <c r="K689" s="38">
        <v>687</v>
      </c>
      <c r="L689" s="99">
        <v>-7.1054273576010019E-15</v>
      </c>
    </row>
    <row r="690" spans="11:12" x14ac:dyDescent="0.45">
      <c r="K690" s="38">
        <v>688</v>
      </c>
      <c r="L690" s="99">
        <v>-28.400000000000006</v>
      </c>
    </row>
    <row r="691" spans="11:12" x14ac:dyDescent="0.45">
      <c r="K691" s="38">
        <v>689</v>
      </c>
      <c r="L691" s="99">
        <v>57</v>
      </c>
    </row>
    <row r="692" spans="11:12" x14ac:dyDescent="0.45">
      <c r="K692" s="38">
        <v>690</v>
      </c>
      <c r="L692" s="99">
        <v>0</v>
      </c>
    </row>
    <row r="693" spans="11:12" x14ac:dyDescent="0.45">
      <c r="K693" s="38">
        <v>691</v>
      </c>
      <c r="L693" s="99">
        <v>-47.7</v>
      </c>
    </row>
    <row r="694" spans="11:12" x14ac:dyDescent="0.45">
      <c r="K694" s="38">
        <v>692</v>
      </c>
      <c r="L694" s="99">
        <v>-69.300000000000011</v>
      </c>
    </row>
    <row r="695" spans="11:12" x14ac:dyDescent="0.45">
      <c r="K695" s="38">
        <v>693</v>
      </c>
      <c r="L695" s="99">
        <v>-1.4210854715202004E-14</v>
      </c>
    </row>
    <row r="696" spans="11:12" x14ac:dyDescent="0.45">
      <c r="K696" s="38">
        <v>694</v>
      </c>
      <c r="L696" s="99">
        <v>-32.900000000000013</v>
      </c>
    </row>
    <row r="697" spans="11:12" x14ac:dyDescent="0.45">
      <c r="K697" s="38">
        <v>695</v>
      </c>
      <c r="L697" s="99">
        <v>-42.600000000000009</v>
      </c>
    </row>
    <row r="698" spans="11:12" x14ac:dyDescent="0.45">
      <c r="K698" s="38">
        <v>696</v>
      </c>
      <c r="L698" s="99">
        <v>-7.1054273576010019E-15</v>
      </c>
    </row>
    <row r="699" spans="11:12" x14ac:dyDescent="0.45">
      <c r="K699" s="38">
        <v>697</v>
      </c>
      <c r="L699" s="99">
        <v>11.299999999999994</v>
      </c>
    </row>
    <row r="700" spans="11:12" x14ac:dyDescent="0.45">
      <c r="K700" s="38">
        <v>698</v>
      </c>
      <c r="L700" s="99">
        <v>56.3</v>
      </c>
    </row>
    <row r="701" spans="11:12" x14ac:dyDescent="0.45">
      <c r="K701" s="38">
        <v>699</v>
      </c>
      <c r="L701" s="99">
        <v>0</v>
      </c>
    </row>
    <row r="702" spans="11:12" x14ac:dyDescent="0.45">
      <c r="K702" s="38">
        <v>700</v>
      </c>
      <c r="L702" s="99">
        <v>15</v>
      </c>
    </row>
    <row r="703" spans="11:12" x14ac:dyDescent="0.45">
      <c r="K703" s="38">
        <v>701</v>
      </c>
      <c r="L703" s="99">
        <v>60</v>
      </c>
    </row>
    <row r="704" spans="11:12" x14ac:dyDescent="0.45">
      <c r="K704" s="38">
        <v>702</v>
      </c>
      <c r="L704" s="99">
        <v>0</v>
      </c>
    </row>
    <row r="705" spans="11:12" x14ac:dyDescent="0.45">
      <c r="K705" s="38">
        <v>703</v>
      </c>
      <c r="L705" s="99">
        <v>-50.9</v>
      </c>
    </row>
    <row r="706" spans="11:12" x14ac:dyDescent="0.45">
      <c r="K706" s="38">
        <v>704</v>
      </c>
      <c r="L706" s="99">
        <v>1.2000000000000028</v>
      </c>
    </row>
    <row r="707" spans="11:12" x14ac:dyDescent="0.45">
      <c r="K707" s="38">
        <v>705</v>
      </c>
      <c r="L707" s="99">
        <v>2.886579864025407E-15</v>
      </c>
    </row>
    <row r="708" spans="11:12" x14ac:dyDescent="0.45">
      <c r="K708" s="38">
        <v>706</v>
      </c>
      <c r="L708" s="99">
        <v>-10.799999999999997</v>
      </c>
    </row>
    <row r="709" spans="11:12" x14ac:dyDescent="0.45">
      <c r="K709" s="38">
        <v>707</v>
      </c>
      <c r="L709" s="99">
        <v>-52</v>
      </c>
    </row>
    <row r="710" spans="11:12" x14ac:dyDescent="0.45">
      <c r="K710" s="38">
        <v>708</v>
      </c>
      <c r="L710" s="99">
        <v>0</v>
      </c>
    </row>
    <row r="711" spans="11:12" x14ac:dyDescent="0.45">
      <c r="K711" s="38">
        <v>709</v>
      </c>
      <c r="L711" s="99">
        <v>5.3</v>
      </c>
    </row>
    <row r="712" spans="11:12" x14ac:dyDescent="0.45">
      <c r="K712" s="38">
        <v>710</v>
      </c>
      <c r="L712" s="99">
        <v>-26.8</v>
      </c>
    </row>
    <row r="713" spans="11:12" x14ac:dyDescent="0.45">
      <c r="K713" s="38">
        <v>711</v>
      </c>
      <c r="L713" s="99">
        <v>0</v>
      </c>
    </row>
    <row r="714" spans="11:12" x14ac:dyDescent="0.45">
      <c r="K714" s="38">
        <v>712</v>
      </c>
      <c r="L714" s="99">
        <v>9.4</v>
      </c>
    </row>
    <row r="715" spans="11:12" x14ac:dyDescent="0.45">
      <c r="K715" s="38">
        <v>713</v>
      </c>
      <c r="L715" s="99">
        <v>-36.4</v>
      </c>
    </row>
    <row r="716" spans="11:12" x14ac:dyDescent="0.45">
      <c r="K716" s="38">
        <v>714</v>
      </c>
      <c r="L716" s="99">
        <v>0</v>
      </c>
    </row>
    <row r="717" spans="11:12" x14ac:dyDescent="0.45">
      <c r="K717" s="38">
        <v>715</v>
      </c>
      <c r="L717" s="99">
        <v>-2.2999999999999998</v>
      </c>
    </row>
    <row r="718" spans="11:12" x14ac:dyDescent="0.45">
      <c r="K718" s="38">
        <v>716</v>
      </c>
      <c r="L718" s="99">
        <v>-58.9</v>
      </c>
    </row>
    <row r="719" spans="11:12" x14ac:dyDescent="0.45">
      <c r="K719" s="38">
        <v>717</v>
      </c>
      <c r="L719" s="99">
        <v>0</v>
      </c>
    </row>
    <row r="720" spans="11:12" x14ac:dyDescent="0.45">
      <c r="K720" s="38">
        <v>718</v>
      </c>
      <c r="L720" s="99">
        <v>-24.5</v>
      </c>
    </row>
    <row r="721" spans="11:12" x14ac:dyDescent="0.45">
      <c r="K721" s="38">
        <v>719</v>
      </c>
      <c r="L721" s="99">
        <v>56.5</v>
      </c>
    </row>
    <row r="722" spans="11:12" x14ac:dyDescent="0.45">
      <c r="K722" s="38">
        <v>720</v>
      </c>
      <c r="L722" s="99">
        <v>0</v>
      </c>
    </row>
    <row r="723" spans="11:12" x14ac:dyDescent="0.45">
      <c r="K723" s="38">
        <v>721</v>
      </c>
      <c r="L723" s="99">
        <v>39.200000000000003</v>
      </c>
    </row>
    <row r="724" spans="11:12" x14ac:dyDescent="0.45">
      <c r="K724" s="38">
        <v>722</v>
      </c>
      <c r="L724" s="99">
        <v>6.3000000000000043</v>
      </c>
    </row>
    <row r="725" spans="11:12" x14ac:dyDescent="0.45">
      <c r="K725" s="38">
        <v>723</v>
      </c>
      <c r="L725" s="99">
        <v>4.4408920985006262E-15</v>
      </c>
    </row>
    <row r="726" spans="11:12" x14ac:dyDescent="0.45">
      <c r="K726" s="38">
        <v>724</v>
      </c>
      <c r="L726" s="99">
        <v>-51.699999999999996</v>
      </c>
    </row>
    <row r="727" spans="11:12" x14ac:dyDescent="0.45">
      <c r="K727" s="38">
        <v>725</v>
      </c>
      <c r="L727" s="99">
        <v>-38.199999999999996</v>
      </c>
    </row>
    <row r="728" spans="11:12" x14ac:dyDescent="0.45">
      <c r="K728" s="38">
        <v>726</v>
      </c>
      <c r="L728" s="99">
        <v>7.1054273576010019E-15</v>
      </c>
    </row>
    <row r="729" spans="11:12" x14ac:dyDescent="0.45">
      <c r="K729" s="38">
        <v>727</v>
      </c>
      <c r="L729" s="99">
        <v>-61.699999999999996</v>
      </c>
    </row>
    <row r="730" spans="11:12" x14ac:dyDescent="0.45">
      <c r="K730" s="38">
        <v>728</v>
      </c>
      <c r="L730" s="99">
        <v>-91.3</v>
      </c>
    </row>
    <row r="731" spans="11:12" x14ac:dyDescent="0.45">
      <c r="K731" s="38">
        <v>729</v>
      </c>
      <c r="L731" s="99">
        <v>0</v>
      </c>
    </row>
    <row r="732" spans="11:12" x14ac:dyDescent="0.45">
      <c r="K732" s="38">
        <v>730</v>
      </c>
      <c r="L732" s="99">
        <v>41.6</v>
      </c>
    </row>
    <row r="733" spans="11:12" x14ac:dyDescent="0.45">
      <c r="K733" s="38">
        <v>731</v>
      </c>
      <c r="L733" s="99">
        <v>8.7000000000000028</v>
      </c>
    </row>
    <row r="734" spans="11:12" x14ac:dyDescent="0.45">
      <c r="K734" s="38">
        <v>732</v>
      </c>
      <c r="L734" s="99">
        <v>3.5527136788005009E-15</v>
      </c>
    </row>
    <row r="735" spans="11:12" x14ac:dyDescent="0.45">
      <c r="K735" s="38">
        <v>733</v>
      </c>
      <c r="L735" s="99">
        <v>-55.899999999999991</v>
      </c>
    </row>
    <row r="736" spans="11:12" x14ac:dyDescent="0.45">
      <c r="K736" s="38">
        <v>734</v>
      </c>
      <c r="L736" s="99">
        <v>-42.199999999999989</v>
      </c>
    </row>
    <row r="737" spans="11:12" x14ac:dyDescent="0.45">
      <c r="K737" s="38">
        <v>735</v>
      </c>
      <c r="L737" s="99">
        <v>1.4210854715202004E-14</v>
      </c>
    </row>
    <row r="738" spans="11:12" x14ac:dyDescent="0.45">
      <c r="K738" s="38">
        <v>736</v>
      </c>
      <c r="L738" s="99">
        <v>62.500000000000014</v>
      </c>
    </row>
    <row r="739" spans="11:12" x14ac:dyDescent="0.45">
      <c r="K739" s="38">
        <v>737</v>
      </c>
      <c r="L739" s="99">
        <v>5.0000000000000142</v>
      </c>
    </row>
    <row r="740" spans="11:12" x14ac:dyDescent="0.45">
      <c r="K740" s="38">
        <v>738</v>
      </c>
      <c r="L740" s="99">
        <v>1.4210854715202004E-14</v>
      </c>
    </row>
    <row r="741" spans="11:12" x14ac:dyDescent="0.45">
      <c r="K741" s="38">
        <v>739</v>
      </c>
      <c r="L741" s="99">
        <v>12.200000000000014</v>
      </c>
    </row>
    <row r="742" spans="11:12" x14ac:dyDescent="0.45">
      <c r="K742" s="38">
        <v>740</v>
      </c>
      <c r="L742" s="99">
        <v>55.100000000000009</v>
      </c>
    </row>
    <row r="743" spans="11:12" x14ac:dyDescent="0.45">
      <c r="K743" s="38">
        <v>741</v>
      </c>
      <c r="L743" s="99">
        <v>7.1054273576010019E-15</v>
      </c>
    </row>
    <row r="744" spans="11:12" x14ac:dyDescent="0.45">
      <c r="K744" s="38">
        <v>742</v>
      </c>
      <c r="L744" s="99">
        <v>9.0000000000000071</v>
      </c>
    </row>
    <row r="745" spans="11:12" x14ac:dyDescent="0.45">
      <c r="K745" s="38">
        <v>743</v>
      </c>
      <c r="L745" s="99">
        <v>-37.699999999999996</v>
      </c>
    </row>
    <row r="746" spans="11:12" x14ac:dyDescent="0.45">
      <c r="K746" s="38">
        <v>744</v>
      </c>
      <c r="L746" s="99">
        <v>7.1054273576010019E-15</v>
      </c>
    </row>
    <row r="747" spans="11:12" x14ac:dyDescent="0.45">
      <c r="K747" s="38">
        <v>745</v>
      </c>
      <c r="L747" s="99">
        <v>-11.999999999999993</v>
      </c>
    </row>
    <row r="748" spans="11:12" x14ac:dyDescent="0.45">
      <c r="K748" s="38">
        <v>746</v>
      </c>
      <c r="L748" s="99">
        <v>65.099999999999994</v>
      </c>
    </row>
    <row r="749" spans="11:12" x14ac:dyDescent="0.45">
      <c r="K749" s="38">
        <v>747</v>
      </c>
      <c r="L749" s="99">
        <v>0</v>
      </c>
    </row>
    <row r="750" spans="11:12" x14ac:dyDescent="0.45">
      <c r="K750" s="38">
        <v>748</v>
      </c>
      <c r="L750" s="99">
        <v>14.7</v>
      </c>
    </row>
    <row r="751" spans="11:12" x14ac:dyDescent="0.45">
      <c r="K751" s="38">
        <v>749</v>
      </c>
      <c r="L751" s="99">
        <v>75.2</v>
      </c>
    </row>
    <row r="752" spans="11:12" x14ac:dyDescent="0.45">
      <c r="K752" s="38">
        <v>750</v>
      </c>
      <c r="L752" s="99">
        <v>0</v>
      </c>
    </row>
    <row r="753" spans="11:12" x14ac:dyDescent="0.45">
      <c r="K753" s="38">
        <v>751</v>
      </c>
      <c r="L753" s="99">
        <v>-43.2</v>
      </c>
    </row>
    <row r="754" spans="11:12" x14ac:dyDescent="0.45">
      <c r="K754" s="38">
        <v>752</v>
      </c>
      <c r="L754" s="99">
        <v>-39.800000000000004</v>
      </c>
    </row>
    <row r="755" spans="11:12" x14ac:dyDescent="0.45">
      <c r="K755" s="38">
        <v>753</v>
      </c>
      <c r="L755" s="99">
        <v>-7.1054273576010019E-15</v>
      </c>
    </row>
    <row r="756" spans="11:12" x14ac:dyDescent="0.45">
      <c r="K756" s="38">
        <v>754</v>
      </c>
      <c r="L756" s="99">
        <v>-53.300000000000004</v>
      </c>
    </row>
    <row r="757" spans="11:12" x14ac:dyDescent="0.45">
      <c r="K757" s="38">
        <v>755</v>
      </c>
      <c r="L757" s="99">
        <v>-61.600000000000009</v>
      </c>
    </row>
    <row r="758" spans="11:12" x14ac:dyDescent="0.45">
      <c r="K758" s="38">
        <v>756</v>
      </c>
      <c r="L758" s="99">
        <v>-7.1054273576010019E-15</v>
      </c>
    </row>
    <row r="759" spans="11:12" x14ac:dyDescent="0.45">
      <c r="K759" s="38">
        <v>757</v>
      </c>
      <c r="L759" s="99">
        <v>31.699999999999992</v>
      </c>
    </row>
    <row r="760" spans="11:12" x14ac:dyDescent="0.45">
      <c r="K760" s="38">
        <v>758</v>
      </c>
      <c r="L760" s="99">
        <v>-10.100000000000005</v>
      </c>
    </row>
    <row r="761" spans="11:12" x14ac:dyDescent="0.45">
      <c r="K761" s="38">
        <v>759</v>
      </c>
      <c r="L761" s="99">
        <v>-5.3290705182007514E-15</v>
      </c>
    </row>
    <row r="762" spans="11:12" x14ac:dyDescent="0.45">
      <c r="K762" s="38">
        <v>760</v>
      </c>
      <c r="L762" s="99">
        <v>42.699999999999996</v>
      </c>
    </row>
    <row r="763" spans="11:12" x14ac:dyDescent="0.45">
      <c r="K763" s="38">
        <v>761</v>
      </c>
      <c r="L763" s="99">
        <v>-2.6000000000000014</v>
      </c>
    </row>
    <row r="764" spans="11:12" x14ac:dyDescent="0.45">
      <c r="K764" s="38">
        <v>762</v>
      </c>
      <c r="L764" s="99">
        <v>-1.3322676295501878E-15</v>
      </c>
    </row>
    <row r="765" spans="11:12" x14ac:dyDescent="0.45">
      <c r="K765" s="38">
        <v>763</v>
      </c>
      <c r="L765" s="99">
        <v>62</v>
      </c>
    </row>
    <row r="766" spans="11:12" x14ac:dyDescent="0.45">
      <c r="K766" s="38">
        <v>764</v>
      </c>
      <c r="L766" s="99">
        <v>3.8999999999999986</v>
      </c>
    </row>
    <row r="767" spans="11:12" x14ac:dyDescent="0.45">
      <c r="K767" s="38">
        <v>765</v>
      </c>
      <c r="L767" s="99">
        <v>-1.3322676295501878E-15</v>
      </c>
    </row>
    <row r="768" spans="11:12" x14ac:dyDescent="0.45">
      <c r="K768" s="38">
        <v>766</v>
      </c>
      <c r="L768" s="99">
        <v>35</v>
      </c>
    </row>
    <row r="769" spans="11:12" x14ac:dyDescent="0.45">
      <c r="K769" s="38">
        <v>767</v>
      </c>
      <c r="L769" s="99">
        <v>-9.6000000000000014</v>
      </c>
    </row>
    <row r="770" spans="11:12" x14ac:dyDescent="0.45">
      <c r="K770" s="38">
        <v>768</v>
      </c>
      <c r="L770" s="99">
        <v>-1.7763568394002505E-15</v>
      </c>
    </row>
    <row r="771" spans="11:12" x14ac:dyDescent="0.45">
      <c r="K771" s="38">
        <v>769</v>
      </c>
      <c r="L771" s="99">
        <v>39.299999999999997</v>
      </c>
    </row>
    <row r="772" spans="11:12" x14ac:dyDescent="0.45">
      <c r="K772" s="38">
        <v>770</v>
      </c>
      <c r="L772" s="99">
        <v>-19</v>
      </c>
    </row>
    <row r="773" spans="11:12" x14ac:dyDescent="0.45">
      <c r="K773" s="38">
        <v>771</v>
      </c>
      <c r="L773" s="99">
        <v>0</v>
      </c>
    </row>
    <row r="774" spans="11:12" x14ac:dyDescent="0.45">
      <c r="K774" s="38">
        <v>772</v>
      </c>
      <c r="L774" s="99">
        <v>1.1000000000000001</v>
      </c>
    </row>
    <row r="775" spans="11:12" x14ac:dyDescent="0.45">
      <c r="K775" s="38">
        <v>773</v>
      </c>
      <c r="L775" s="99">
        <v>-34.699999999999996</v>
      </c>
    </row>
    <row r="776" spans="11:12" x14ac:dyDescent="0.45">
      <c r="K776" s="38">
        <v>774</v>
      </c>
      <c r="L776" s="99">
        <v>7.1054273576010019E-15</v>
      </c>
    </row>
    <row r="777" spans="11:12" x14ac:dyDescent="0.45">
      <c r="K777" s="38">
        <v>775</v>
      </c>
      <c r="L777" s="99">
        <v>-32.099999999999994</v>
      </c>
    </row>
    <row r="778" spans="11:12" x14ac:dyDescent="0.45">
      <c r="K778" s="38">
        <v>776</v>
      </c>
      <c r="L778" s="99">
        <v>-36.399999999999991</v>
      </c>
    </row>
    <row r="779" spans="11:12" x14ac:dyDescent="0.45">
      <c r="K779" s="38">
        <v>777</v>
      </c>
      <c r="L779" s="99">
        <v>7.1054273576010019E-15</v>
      </c>
    </row>
    <row r="780" spans="11:12" x14ac:dyDescent="0.45">
      <c r="K780" s="38">
        <v>778</v>
      </c>
      <c r="L780" s="99">
        <v>-7.3999999999999932</v>
      </c>
    </row>
    <row r="781" spans="11:12" x14ac:dyDescent="0.45">
      <c r="K781" s="38">
        <v>779</v>
      </c>
      <c r="L781" s="99">
        <v>-66</v>
      </c>
    </row>
    <row r="782" spans="11:12" x14ac:dyDescent="0.45">
      <c r="K782" s="38">
        <v>780</v>
      </c>
      <c r="L782" s="99">
        <v>0</v>
      </c>
    </row>
    <row r="783" spans="11:12" x14ac:dyDescent="0.45">
      <c r="K783" s="38">
        <v>781</v>
      </c>
      <c r="L783" s="99">
        <v>-55.4</v>
      </c>
    </row>
    <row r="784" spans="11:12" x14ac:dyDescent="0.45">
      <c r="K784" s="38">
        <v>782</v>
      </c>
      <c r="L784" s="99">
        <v>-42.599999999999994</v>
      </c>
    </row>
    <row r="785" spans="11:12" x14ac:dyDescent="0.45">
      <c r="K785" s="38">
        <v>783</v>
      </c>
      <c r="L785" s="99">
        <v>7.1054273576010019E-15</v>
      </c>
    </row>
    <row r="786" spans="11:12" x14ac:dyDescent="0.45">
      <c r="K786" s="38">
        <v>784</v>
      </c>
      <c r="L786" s="99">
        <v>17.800000000000008</v>
      </c>
    </row>
    <row r="787" spans="11:12" x14ac:dyDescent="0.45">
      <c r="K787" s="38">
        <v>785</v>
      </c>
      <c r="L787" s="99">
        <v>-49.199999999999989</v>
      </c>
    </row>
    <row r="788" spans="11:12" x14ac:dyDescent="0.45">
      <c r="K788" s="38">
        <v>786</v>
      </c>
      <c r="L788" s="99">
        <v>1.4210854715202004E-14</v>
      </c>
    </row>
    <row r="789" spans="11:12" x14ac:dyDescent="0.45">
      <c r="K789" s="38">
        <v>787</v>
      </c>
      <c r="L789" s="99">
        <v>-17.899999999999984</v>
      </c>
    </row>
    <row r="790" spans="11:12" x14ac:dyDescent="0.45">
      <c r="K790" s="38">
        <v>788</v>
      </c>
      <c r="L790" s="99">
        <v>80.400000000000006</v>
      </c>
    </row>
    <row r="791" spans="11:12" x14ac:dyDescent="0.45">
      <c r="K791" s="38">
        <v>789</v>
      </c>
      <c r="L791" s="99">
        <v>0</v>
      </c>
    </row>
    <row r="792" spans="11:12" x14ac:dyDescent="0.45">
      <c r="K792" s="38">
        <v>790</v>
      </c>
      <c r="L792" s="99">
        <v>9.5</v>
      </c>
    </row>
    <row r="793" spans="11:12" x14ac:dyDescent="0.45">
      <c r="K793" s="38">
        <v>791</v>
      </c>
      <c r="L793" s="99">
        <v>-50</v>
      </c>
    </row>
    <row r="794" spans="11:12" x14ac:dyDescent="0.45">
      <c r="K794" s="38">
        <v>792</v>
      </c>
      <c r="L794" s="99">
        <v>0</v>
      </c>
    </row>
    <row r="795" spans="11:12" x14ac:dyDescent="0.45">
      <c r="K795" s="38">
        <v>793</v>
      </c>
      <c r="L795" s="99">
        <v>-55.3</v>
      </c>
    </row>
    <row r="796" spans="11:12" x14ac:dyDescent="0.45">
      <c r="K796" s="38">
        <v>794</v>
      </c>
      <c r="L796" s="99">
        <v>3.5</v>
      </c>
    </row>
    <row r="797" spans="11:12" x14ac:dyDescent="0.45">
      <c r="K797" s="38">
        <v>795</v>
      </c>
      <c r="L797" s="99">
        <v>0</v>
      </c>
    </row>
    <row r="798" spans="11:12" x14ac:dyDescent="0.45">
      <c r="K798" s="38">
        <v>796</v>
      </c>
      <c r="L798" s="99">
        <v>31</v>
      </c>
    </row>
    <row r="799" spans="11:12" x14ac:dyDescent="0.45">
      <c r="K799" s="38">
        <v>797</v>
      </c>
      <c r="L799" s="99">
        <v>-5</v>
      </c>
    </row>
    <row r="800" spans="11:12" x14ac:dyDescent="0.45">
      <c r="K800" s="38">
        <v>798</v>
      </c>
      <c r="L800" s="99">
        <v>0</v>
      </c>
    </row>
    <row r="801" spans="11:12" x14ac:dyDescent="0.45">
      <c r="K801" s="38">
        <v>799</v>
      </c>
      <c r="L801" s="99">
        <v>-35.299999999999997</v>
      </c>
    </row>
    <row r="802" spans="11:12" x14ac:dyDescent="0.45">
      <c r="K802" s="38">
        <v>800</v>
      </c>
      <c r="L802" s="99">
        <v>-38.9</v>
      </c>
    </row>
    <row r="803" spans="11:12" x14ac:dyDescent="0.45">
      <c r="K803" s="38">
        <v>801</v>
      </c>
      <c r="L803" s="99">
        <v>0</v>
      </c>
    </row>
    <row r="804" spans="11:12" x14ac:dyDescent="0.45">
      <c r="K804" s="38">
        <v>802</v>
      </c>
      <c r="L804" s="99">
        <v>41.1</v>
      </c>
    </row>
    <row r="805" spans="11:12" x14ac:dyDescent="0.45">
      <c r="K805" s="38">
        <v>803</v>
      </c>
      <c r="L805" s="99">
        <v>52</v>
      </c>
    </row>
    <row r="806" spans="11:12" x14ac:dyDescent="0.45">
      <c r="K806" s="38">
        <v>804</v>
      </c>
      <c r="L806" s="99">
        <v>0</v>
      </c>
    </row>
    <row r="807" spans="11:12" x14ac:dyDescent="0.45">
      <c r="K807" s="38">
        <v>805</v>
      </c>
      <c r="L807" s="99">
        <v>54.6</v>
      </c>
    </row>
    <row r="808" spans="11:12" x14ac:dyDescent="0.45">
      <c r="K808" s="38">
        <v>806</v>
      </c>
      <c r="L808" s="99">
        <v>55.9</v>
      </c>
    </row>
    <row r="809" spans="11:12" x14ac:dyDescent="0.45">
      <c r="K809" s="38">
        <v>807</v>
      </c>
      <c r="L809" s="99">
        <v>0</v>
      </c>
    </row>
    <row r="810" spans="11:12" x14ac:dyDescent="0.45">
      <c r="K810" s="38">
        <v>808</v>
      </c>
      <c r="L810" s="99">
        <v>27.5</v>
      </c>
    </row>
    <row r="811" spans="11:12" x14ac:dyDescent="0.45">
      <c r="K811" s="38">
        <v>809</v>
      </c>
      <c r="L811" s="99">
        <v>28.5</v>
      </c>
    </row>
    <row r="812" spans="11:12" x14ac:dyDescent="0.45">
      <c r="K812" s="38">
        <v>810</v>
      </c>
      <c r="L812" s="99">
        <v>0</v>
      </c>
    </row>
    <row r="813" spans="11:12" x14ac:dyDescent="0.45">
      <c r="K813" s="38">
        <v>811</v>
      </c>
      <c r="L813" s="99">
        <v>33.4</v>
      </c>
    </row>
    <row r="814" spans="11:12" x14ac:dyDescent="0.45">
      <c r="K814" s="38">
        <v>812</v>
      </c>
      <c r="L814" s="99">
        <v>0.10000000000000142</v>
      </c>
    </row>
    <row r="815" spans="11:12" x14ac:dyDescent="0.45">
      <c r="K815" s="38">
        <v>813</v>
      </c>
      <c r="L815" s="99">
        <v>1.4155343563970746E-15</v>
      </c>
    </row>
    <row r="816" spans="11:12" x14ac:dyDescent="0.45">
      <c r="K816" s="38">
        <v>814</v>
      </c>
      <c r="L816" s="99">
        <v>38.299999999999997</v>
      </c>
    </row>
    <row r="817" spans="11:12" x14ac:dyDescent="0.45">
      <c r="K817" s="38">
        <v>815</v>
      </c>
      <c r="L817" s="99">
        <v>-12.900000000000006</v>
      </c>
    </row>
    <row r="818" spans="11:12" x14ac:dyDescent="0.45">
      <c r="K818" s="38">
        <v>816</v>
      </c>
      <c r="L818" s="99">
        <v>-5.3290705182007514E-15</v>
      </c>
    </row>
    <row r="819" spans="11:12" x14ac:dyDescent="0.45">
      <c r="K819" s="38">
        <v>817</v>
      </c>
      <c r="L819" s="99">
        <v>47.899999999999991</v>
      </c>
    </row>
    <row r="820" spans="11:12" x14ac:dyDescent="0.45">
      <c r="K820" s="38">
        <v>818</v>
      </c>
      <c r="L820" s="99">
        <v>-22.600000000000009</v>
      </c>
    </row>
    <row r="821" spans="11:12" x14ac:dyDescent="0.45">
      <c r="K821" s="38">
        <v>819</v>
      </c>
      <c r="L821" s="99">
        <v>-7.1054273576010019E-15</v>
      </c>
    </row>
    <row r="822" spans="11:12" x14ac:dyDescent="0.45">
      <c r="K822" s="38">
        <v>820</v>
      </c>
      <c r="L822" s="99">
        <v>-7.6000000000000068</v>
      </c>
    </row>
    <row r="823" spans="11:12" x14ac:dyDescent="0.45">
      <c r="K823" s="38">
        <v>821</v>
      </c>
      <c r="L823" s="99">
        <v>-54.600000000000009</v>
      </c>
    </row>
    <row r="824" spans="11:12" x14ac:dyDescent="0.45">
      <c r="K824" s="38">
        <v>822</v>
      </c>
      <c r="L824" s="99">
        <v>-7.1054273576010019E-15</v>
      </c>
    </row>
    <row r="825" spans="11:12" x14ac:dyDescent="0.45">
      <c r="K825" s="38">
        <v>823</v>
      </c>
      <c r="L825" s="99">
        <v>-34.600000000000009</v>
      </c>
    </row>
    <row r="826" spans="11:12" x14ac:dyDescent="0.45">
      <c r="K826" s="38">
        <v>824</v>
      </c>
      <c r="L826" s="99">
        <v>9.0999999999999943</v>
      </c>
    </row>
    <row r="827" spans="11:12" x14ac:dyDescent="0.45">
      <c r="K827" s="38">
        <v>825</v>
      </c>
      <c r="L827" s="99">
        <v>-5.3290705182007514E-15</v>
      </c>
    </row>
    <row r="828" spans="11:12" x14ac:dyDescent="0.45">
      <c r="K828" s="38">
        <v>826</v>
      </c>
      <c r="L828" s="99">
        <v>-29.500000000000007</v>
      </c>
    </row>
    <row r="829" spans="11:12" x14ac:dyDescent="0.45">
      <c r="K829" s="38">
        <v>827</v>
      </c>
      <c r="L829" s="99">
        <v>-30.000000000000007</v>
      </c>
    </row>
    <row r="830" spans="11:12" x14ac:dyDescent="0.45">
      <c r="K830" s="38">
        <v>828</v>
      </c>
      <c r="L830" s="99">
        <v>-7.1054273576010019E-15</v>
      </c>
    </row>
    <row r="831" spans="11:12" x14ac:dyDescent="0.45">
      <c r="K831" s="38">
        <v>829</v>
      </c>
      <c r="L831" s="99">
        <v>0.89999999999999292</v>
      </c>
    </row>
    <row r="832" spans="11:12" x14ac:dyDescent="0.45">
      <c r="K832" s="38">
        <v>830</v>
      </c>
      <c r="L832" s="99">
        <v>49.79999999999999</v>
      </c>
    </row>
    <row r="833" spans="11:12" x14ac:dyDescent="0.45">
      <c r="K833" s="38">
        <v>831</v>
      </c>
      <c r="L833" s="99">
        <v>-7.1054273576010019E-15</v>
      </c>
    </row>
    <row r="834" spans="11:12" x14ac:dyDescent="0.45">
      <c r="K834" s="38">
        <v>832</v>
      </c>
      <c r="L834" s="99">
        <v>-23.700000000000006</v>
      </c>
    </row>
    <row r="835" spans="11:12" x14ac:dyDescent="0.45">
      <c r="K835" s="38">
        <v>833</v>
      </c>
      <c r="L835" s="99">
        <v>-0.60000000000000497</v>
      </c>
    </row>
    <row r="836" spans="11:12" x14ac:dyDescent="0.45">
      <c r="K836" s="38">
        <v>834</v>
      </c>
      <c r="L836" s="99">
        <v>-4.9960036108132044E-15</v>
      </c>
    </row>
    <row r="837" spans="11:12" x14ac:dyDescent="0.45">
      <c r="K837" s="38">
        <v>835</v>
      </c>
      <c r="L837" s="99">
        <v>8.9999999999999947</v>
      </c>
    </row>
    <row r="838" spans="11:12" x14ac:dyDescent="0.45">
      <c r="K838" s="38">
        <v>836</v>
      </c>
      <c r="L838" s="99">
        <v>-31.500000000000007</v>
      </c>
    </row>
    <row r="839" spans="11:12" x14ac:dyDescent="0.45">
      <c r="K839" s="38">
        <v>837</v>
      </c>
      <c r="L839" s="99">
        <v>-7.1054273576010019E-15</v>
      </c>
    </row>
    <row r="840" spans="11:12" x14ac:dyDescent="0.45">
      <c r="K840" s="38">
        <v>838</v>
      </c>
      <c r="L840" s="99">
        <v>26.899999999999991</v>
      </c>
    </row>
    <row r="841" spans="11:12" x14ac:dyDescent="0.45">
      <c r="K841" s="38">
        <v>839</v>
      </c>
      <c r="L841" s="99">
        <v>28.399999999999991</v>
      </c>
    </row>
    <row r="842" spans="11:12" x14ac:dyDescent="0.45">
      <c r="K842" s="38">
        <v>840</v>
      </c>
      <c r="L842" s="99">
        <v>-7.1054273576010019E-15</v>
      </c>
    </row>
    <row r="843" spans="11:12" x14ac:dyDescent="0.45">
      <c r="K843" s="38">
        <v>841</v>
      </c>
      <c r="L843" s="99">
        <v>-33.800000000000004</v>
      </c>
    </row>
    <row r="844" spans="11:12" x14ac:dyDescent="0.45">
      <c r="K844" s="38">
        <v>842</v>
      </c>
      <c r="L844" s="99">
        <v>5.0999999999999943</v>
      </c>
    </row>
    <row r="845" spans="11:12" x14ac:dyDescent="0.45">
      <c r="K845" s="38">
        <v>843</v>
      </c>
      <c r="L845" s="99">
        <v>-5.3290705182007514E-15</v>
      </c>
    </row>
    <row r="846" spans="11:12" x14ac:dyDescent="0.45">
      <c r="K846" s="38">
        <v>844</v>
      </c>
      <c r="L846" s="99">
        <v>-31.800000000000004</v>
      </c>
    </row>
    <row r="847" spans="11:12" x14ac:dyDescent="0.45">
      <c r="K847" s="38">
        <v>845</v>
      </c>
      <c r="L847" s="99">
        <v>-1.5000000000000036</v>
      </c>
    </row>
    <row r="848" spans="11:12" x14ac:dyDescent="0.45">
      <c r="K848" s="38">
        <v>846</v>
      </c>
      <c r="L848" s="99">
        <v>-3.5527136788005009E-15</v>
      </c>
    </row>
    <row r="849" spans="11:12" x14ac:dyDescent="0.45">
      <c r="K849" s="38">
        <v>847</v>
      </c>
      <c r="L849" s="99">
        <v>-0.8000000000000036</v>
      </c>
    </row>
    <row r="850" spans="11:12" x14ac:dyDescent="0.45">
      <c r="K850" s="38">
        <v>848</v>
      </c>
      <c r="L850" s="99">
        <v>26.899999999999995</v>
      </c>
    </row>
    <row r="851" spans="11:12" x14ac:dyDescent="0.45">
      <c r="K851" s="38">
        <v>849</v>
      </c>
      <c r="L851" s="99">
        <v>-3.5527136788005009E-15</v>
      </c>
    </row>
    <row r="852" spans="11:12" x14ac:dyDescent="0.45">
      <c r="K852" s="38">
        <v>850</v>
      </c>
      <c r="L852" s="99">
        <v>72</v>
      </c>
    </row>
    <row r="853" spans="11:12" x14ac:dyDescent="0.45">
      <c r="K853" s="38">
        <v>851</v>
      </c>
      <c r="L853" s="99">
        <v>62</v>
      </c>
    </row>
    <row r="854" spans="11:12" x14ac:dyDescent="0.45">
      <c r="K854" s="38">
        <v>852</v>
      </c>
      <c r="L854" s="99">
        <v>0</v>
      </c>
    </row>
    <row r="855" spans="11:12" x14ac:dyDescent="0.45">
      <c r="K855" s="38">
        <v>853</v>
      </c>
      <c r="L855" s="99">
        <v>-32.700000000000003</v>
      </c>
    </row>
    <row r="856" spans="11:12" x14ac:dyDescent="0.45">
      <c r="K856" s="38">
        <v>854</v>
      </c>
      <c r="L856" s="99">
        <v>-31.1</v>
      </c>
    </row>
    <row r="857" spans="11:12" x14ac:dyDescent="0.45">
      <c r="K857" s="38">
        <v>855</v>
      </c>
      <c r="L857" s="99">
        <v>0</v>
      </c>
    </row>
    <row r="858" spans="11:12" x14ac:dyDescent="0.45">
      <c r="K858" s="38">
        <v>856</v>
      </c>
      <c r="L858" s="99">
        <v>-36.6</v>
      </c>
    </row>
    <row r="859" spans="11:12" x14ac:dyDescent="0.45">
      <c r="K859" s="38">
        <v>857</v>
      </c>
      <c r="L859" s="99">
        <v>-0.80000000000000426</v>
      </c>
    </row>
    <row r="860" spans="11:12" x14ac:dyDescent="0.45">
      <c r="K860" s="38">
        <v>858</v>
      </c>
      <c r="L860" s="99">
        <v>-4.2188474935755949E-15</v>
      </c>
    </row>
    <row r="861" spans="11:12" x14ac:dyDescent="0.45">
      <c r="K861" s="38">
        <v>859</v>
      </c>
      <c r="L861" s="99">
        <v>-29.400000000000002</v>
      </c>
    </row>
    <row r="862" spans="11:12" x14ac:dyDescent="0.45">
      <c r="K862" s="38">
        <v>860</v>
      </c>
      <c r="L862" s="99">
        <v>-37.6</v>
      </c>
    </row>
    <row r="863" spans="11:12" x14ac:dyDescent="0.45">
      <c r="K863" s="38">
        <v>861</v>
      </c>
      <c r="L863" s="99">
        <v>0</v>
      </c>
    </row>
    <row r="864" spans="11:12" x14ac:dyDescent="0.45">
      <c r="K864" s="38">
        <v>862</v>
      </c>
      <c r="L864" s="99">
        <v>-48.3</v>
      </c>
    </row>
    <row r="865" spans="11:12" x14ac:dyDescent="0.45">
      <c r="K865" s="38">
        <v>863</v>
      </c>
      <c r="L865" s="99">
        <v>-53.199999999999996</v>
      </c>
    </row>
    <row r="866" spans="11:12" x14ac:dyDescent="0.45">
      <c r="K866" s="38">
        <v>864</v>
      </c>
      <c r="L866" s="99">
        <v>7.1054273576010019E-15</v>
      </c>
    </row>
    <row r="867" spans="11:12" x14ac:dyDescent="0.45">
      <c r="K867" s="38">
        <v>865</v>
      </c>
      <c r="L867" s="99">
        <v>-32.79999999999999</v>
      </c>
    </row>
    <row r="868" spans="11:12" x14ac:dyDescent="0.45">
      <c r="K868" s="38">
        <v>866</v>
      </c>
      <c r="L868" s="99">
        <v>3.3000000000000114</v>
      </c>
    </row>
    <row r="869" spans="11:12" x14ac:dyDescent="0.45">
      <c r="K869" s="38">
        <v>867</v>
      </c>
      <c r="L869" s="99">
        <v>1.1546319456101628E-14</v>
      </c>
    </row>
    <row r="870" spans="11:12" x14ac:dyDescent="0.45">
      <c r="K870" s="38">
        <v>868</v>
      </c>
      <c r="L870" s="99">
        <v>-1.7999999999999885</v>
      </c>
    </row>
    <row r="871" spans="11:12" x14ac:dyDescent="0.45">
      <c r="K871" s="38">
        <v>869</v>
      </c>
      <c r="L871" s="99">
        <v>-28.199999999999989</v>
      </c>
    </row>
    <row r="872" spans="11:12" x14ac:dyDescent="0.45">
      <c r="K872" s="38">
        <v>870</v>
      </c>
      <c r="L872" s="99">
        <v>1.0658141036401503E-14</v>
      </c>
    </row>
    <row r="873" spans="11:12" x14ac:dyDescent="0.45">
      <c r="K873" s="38">
        <v>871</v>
      </c>
      <c r="L873" s="99">
        <v>-56.799999999999983</v>
      </c>
    </row>
    <row r="874" spans="11:12" x14ac:dyDescent="0.45">
      <c r="K874" s="38">
        <v>872</v>
      </c>
      <c r="L874" s="99">
        <v>4.2000000000000171</v>
      </c>
    </row>
    <row r="875" spans="11:12" x14ac:dyDescent="0.45">
      <c r="K875" s="38">
        <v>873</v>
      </c>
      <c r="L875" s="99">
        <v>1.6875389974302379E-14</v>
      </c>
    </row>
    <row r="876" spans="11:12" x14ac:dyDescent="0.45">
      <c r="K876" s="38">
        <v>874</v>
      </c>
      <c r="L876" s="99">
        <v>-32.499999999999986</v>
      </c>
    </row>
    <row r="877" spans="11:12" x14ac:dyDescent="0.45">
      <c r="K877" s="38">
        <v>875</v>
      </c>
      <c r="L877" s="99">
        <v>2.9000000000000128</v>
      </c>
    </row>
    <row r="878" spans="11:12" x14ac:dyDescent="0.45">
      <c r="K878" s="38">
        <v>876</v>
      </c>
      <c r="L878" s="99">
        <v>1.2878587085651816E-14</v>
      </c>
    </row>
    <row r="879" spans="11:12" x14ac:dyDescent="0.45">
      <c r="K879" s="38">
        <v>877</v>
      </c>
      <c r="L879" s="99">
        <v>-12.699999999999987</v>
      </c>
    </row>
    <row r="880" spans="11:12" x14ac:dyDescent="0.45">
      <c r="K880" s="38">
        <v>878</v>
      </c>
      <c r="L880" s="99">
        <v>42.800000000000011</v>
      </c>
    </row>
    <row r="881" spans="11:12" x14ac:dyDescent="0.45">
      <c r="K881" s="38">
        <v>879</v>
      </c>
      <c r="L881" s="99">
        <v>1.4210854715202004E-14</v>
      </c>
    </row>
    <row r="882" spans="11:12" x14ac:dyDescent="0.45">
      <c r="K882" s="38">
        <v>880</v>
      </c>
      <c r="L882" s="99">
        <v>-43.099999999999987</v>
      </c>
    </row>
    <row r="883" spans="11:12" x14ac:dyDescent="0.45">
      <c r="K883" s="38">
        <v>881</v>
      </c>
      <c r="L883" s="99">
        <v>-9.7999999999999901</v>
      </c>
    </row>
    <row r="884" spans="11:12" x14ac:dyDescent="0.45">
      <c r="K884" s="38">
        <v>882</v>
      </c>
      <c r="L884" s="99">
        <v>1.0658141036401503E-14</v>
      </c>
    </row>
    <row r="885" spans="11:12" x14ac:dyDescent="0.45">
      <c r="K885" s="38">
        <v>883</v>
      </c>
      <c r="L885" s="99">
        <v>26.500000000000011</v>
      </c>
    </row>
    <row r="886" spans="11:12" x14ac:dyDescent="0.45">
      <c r="K886" s="38">
        <v>884</v>
      </c>
      <c r="L886" s="99">
        <v>-0.29999999999999005</v>
      </c>
    </row>
    <row r="887" spans="11:12" x14ac:dyDescent="0.45">
      <c r="K887" s="38">
        <v>885</v>
      </c>
      <c r="L887" s="99">
        <v>9.936496070395151E-15</v>
      </c>
    </row>
    <row r="888" spans="11:12" x14ac:dyDescent="0.45">
      <c r="K888" s="38">
        <v>886</v>
      </c>
      <c r="L888" s="99">
        <v>40.800000000000004</v>
      </c>
    </row>
    <row r="889" spans="11:12" x14ac:dyDescent="0.45">
      <c r="K889" s="38">
        <v>887</v>
      </c>
      <c r="L889" s="99">
        <v>34.1</v>
      </c>
    </row>
    <row r="890" spans="11:12" x14ac:dyDescent="0.45">
      <c r="K890" s="38">
        <v>888</v>
      </c>
      <c r="L890" s="99">
        <v>0</v>
      </c>
    </row>
    <row r="891" spans="11:12" x14ac:dyDescent="0.45">
      <c r="K891" s="38">
        <v>889</v>
      </c>
      <c r="L891" s="99">
        <v>-3</v>
      </c>
    </row>
    <row r="892" spans="11:12" x14ac:dyDescent="0.45">
      <c r="K892" s="38">
        <v>890</v>
      </c>
      <c r="L892" s="99">
        <v>37.4</v>
      </c>
    </row>
    <row r="893" spans="11:12" x14ac:dyDescent="0.45">
      <c r="K893" s="38">
        <v>891</v>
      </c>
      <c r="L893" s="99">
        <v>0</v>
      </c>
    </row>
    <row r="894" spans="11:12" x14ac:dyDescent="0.45">
      <c r="K894" s="38">
        <v>892</v>
      </c>
      <c r="L894" s="99">
        <v>58.8</v>
      </c>
    </row>
    <row r="895" spans="11:12" x14ac:dyDescent="0.45">
      <c r="K895" s="38">
        <v>893</v>
      </c>
      <c r="L895" s="99">
        <v>0.79999999999999716</v>
      </c>
    </row>
    <row r="896" spans="11:12" x14ac:dyDescent="0.45">
      <c r="K896" s="38">
        <v>894</v>
      </c>
      <c r="L896" s="99">
        <v>-2.886579864025407E-15</v>
      </c>
    </row>
    <row r="897" spans="11:12" x14ac:dyDescent="0.45">
      <c r="K897" s="38">
        <v>895</v>
      </c>
      <c r="L897" s="99">
        <v>8.5999999999999961</v>
      </c>
    </row>
    <row r="898" spans="11:12" x14ac:dyDescent="0.45">
      <c r="K898" s="38">
        <v>896</v>
      </c>
      <c r="L898" s="99">
        <v>56.099999999999994</v>
      </c>
    </row>
    <row r="899" spans="11:12" x14ac:dyDescent="0.45">
      <c r="K899" s="38">
        <v>897</v>
      </c>
      <c r="L899" s="99">
        <v>-7.1054273576010019E-15</v>
      </c>
    </row>
    <row r="900" spans="11:12" x14ac:dyDescent="0.45">
      <c r="K900" s="38">
        <v>898</v>
      </c>
      <c r="L900" s="99">
        <v>-35.70000000000001</v>
      </c>
    </row>
    <row r="901" spans="11:12" x14ac:dyDescent="0.45">
      <c r="K901" s="38">
        <v>899</v>
      </c>
      <c r="L901" s="99">
        <v>-37.600000000000009</v>
      </c>
    </row>
    <row r="902" spans="11:12" x14ac:dyDescent="0.45">
      <c r="K902" s="38">
        <v>900</v>
      </c>
      <c r="L902" s="99">
        <v>-7.1054273576010019E-15</v>
      </c>
    </row>
    <row r="903" spans="11:12" x14ac:dyDescent="0.45">
      <c r="K903" s="38">
        <v>901</v>
      </c>
      <c r="L903" s="99">
        <v>5.1999999999999931</v>
      </c>
    </row>
    <row r="904" spans="11:12" x14ac:dyDescent="0.45">
      <c r="K904" s="38">
        <v>902</v>
      </c>
      <c r="L904" s="99">
        <v>59.599999999999994</v>
      </c>
    </row>
    <row r="905" spans="11:12" x14ac:dyDescent="0.45">
      <c r="K905" s="38">
        <v>903</v>
      </c>
      <c r="L905" s="99">
        <v>-7.1054273576010019E-15</v>
      </c>
    </row>
    <row r="906" spans="11:12" x14ac:dyDescent="0.45">
      <c r="K906" s="38">
        <v>904</v>
      </c>
      <c r="L906" s="99">
        <v>29.599999999999994</v>
      </c>
    </row>
    <row r="907" spans="11:12" x14ac:dyDescent="0.45">
      <c r="K907" s="38">
        <v>905</v>
      </c>
      <c r="L907" s="99">
        <v>32.399999999999991</v>
      </c>
    </row>
    <row r="908" spans="11:12" x14ac:dyDescent="0.45">
      <c r="K908" s="38">
        <v>906</v>
      </c>
      <c r="L908" s="99">
        <v>-7.1054273576010019E-15</v>
      </c>
    </row>
    <row r="909" spans="11:12" x14ac:dyDescent="0.45">
      <c r="K909" s="38">
        <v>907</v>
      </c>
      <c r="L909" s="99">
        <v>44.499999999999993</v>
      </c>
    </row>
    <row r="910" spans="11:12" x14ac:dyDescent="0.45">
      <c r="K910" s="38">
        <v>908</v>
      </c>
      <c r="L910" s="99">
        <v>41.399999999999991</v>
      </c>
    </row>
    <row r="911" spans="11:12" x14ac:dyDescent="0.45">
      <c r="K911" s="38">
        <v>909</v>
      </c>
      <c r="L911" s="99">
        <v>-7.1054273576010019E-15</v>
      </c>
    </row>
    <row r="912" spans="11:12" x14ac:dyDescent="0.45">
      <c r="K912" s="38">
        <v>910</v>
      </c>
      <c r="L912" s="99">
        <v>6.9999999999999929</v>
      </c>
    </row>
    <row r="913" spans="11:12" x14ac:dyDescent="0.45">
      <c r="K913" s="38">
        <v>911</v>
      </c>
      <c r="L913" s="99">
        <v>-27.500000000000007</v>
      </c>
    </row>
    <row r="914" spans="11:12" x14ac:dyDescent="0.45">
      <c r="K914" s="38">
        <v>912</v>
      </c>
      <c r="L914" s="99">
        <v>-7.1054273576010019E-15</v>
      </c>
    </row>
    <row r="915" spans="11:12" x14ac:dyDescent="0.45">
      <c r="K915" s="38">
        <v>913</v>
      </c>
      <c r="L915" s="99">
        <v>-4.6000000000000068</v>
      </c>
    </row>
    <row r="916" spans="11:12" x14ac:dyDescent="0.45">
      <c r="K916" s="38">
        <v>914</v>
      </c>
      <c r="L916" s="99">
        <v>46.499999999999993</v>
      </c>
    </row>
    <row r="917" spans="11:12" x14ac:dyDescent="0.45">
      <c r="K917" s="38">
        <v>915</v>
      </c>
      <c r="L917" s="99">
        <v>-7.1054273576010019E-15</v>
      </c>
    </row>
    <row r="918" spans="11:12" x14ac:dyDescent="0.45">
      <c r="K918" s="38">
        <v>916</v>
      </c>
      <c r="L918" s="99">
        <v>-29.100000000000009</v>
      </c>
    </row>
    <row r="919" spans="11:12" x14ac:dyDescent="0.45">
      <c r="K919" s="38">
        <v>917</v>
      </c>
      <c r="L919" s="99">
        <v>-36.500000000000007</v>
      </c>
    </row>
    <row r="920" spans="11:12" x14ac:dyDescent="0.45">
      <c r="K920" s="38">
        <v>918</v>
      </c>
      <c r="L920" s="99">
        <v>-7.1054273576010019E-15</v>
      </c>
    </row>
    <row r="921" spans="11:12" x14ac:dyDescent="0.45">
      <c r="K921" s="38">
        <v>919</v>
      </c>
      <c r="L921" s="99">
        <v>42.499999999999993</v>
      </c>
    </row>
    <row r="922" spans="11:12" x14ac:dyDescent="0.45">
      <c r="K922" s="38">
        <v>920</v>
      </c>
      <c r="L922" s="99">
        <v>34.599999999999994</v>
      </c>
    </row>
    <row r="923" spans="11:12" x14ac:dyDescent="0.45">
      <c r="K923" s="38">
        <v>921</v>
      </c>
      <c r="L923" s="99">
        <v>-7.1054273576010019E-15</v>
      </c>
    </row>
    <row r="924" spans="11:12" x14ac:dyDescent="0.45">
      <c r="K924" s="38">
        <v>922</v>
      </c>
      <c r="L924" s="99">
        <v>-46.100000000000009</v>
      </c>
    </row>
    <row r="925" spans="11:12" x14ac:dyDescent="0.45">
      <c r="K925" s="38">
        <v>923</v>
      </c>
      <c r="L925" s="99">
        <v>-11.600000000000009</v>
      </c>
    </row>
    <row r="926" spans="11:12" x14ac:dyDescent="0.45">
      <c r="K926" s="38">
        <v>924</v>
      </c>
      <c r="L926" s="99">
        <v>-8.8817841970012523E-15</v>
      </c>
    </row>
    <row r="927" spans="11:12" x14ac:dyDescent="0.45">
      <c r="K927" s="38">
        <v>925</v>
      </c>
      <c r="L927" s="99">
        <v>-54.000000000000007</v>
      </c>
    </row>
    <row r="928" spans="11:12" x14ac:dyDescent="0.45">
      <c r="K928" s="38">
        <v>926</v>
      </c>
      <c r="L928" s="99">
        <v>-67.300000000000011</v>
      </c>
    </row>
    <row r="929" spans="11:12" x14ac:dyDescent="0.45">
      <c r="K929" s="38">
        <v>927</v>
      </c>
      <c r="L929" s="99">
        <v>-1.4210854715202004E-14</v>
      </c>
    </row>
    <row r="930" spans="11:12" x14ac:dyDescent="0.45">
      <c r="K930" s="38">
        <v>928</v>
      </c>
      <c r="L930" s="99">
        <v>-34.000000000000014</v>
      </c>
    </row>
    <row r="931" spans="11:12" x14ac:dyDescent="0.45">
      <c r="K931" s="38">
        <v>929</v>
      </c>
      <c r="L931" s="99">
        <v>-32.200000000000017</v>
      </c>
    </row>
    <row r="932" spans="11:12" x14ac:dyDescent="0.45">
      <c r="K932" s="38">
        <v>930</v>
      </c>
      <c r="L932" s="99">
        <v>-1.4210854715202004E-14</v>
      </c>
    </row>
    <row r="933" spans="11:12" x14ac:dyDescent="0.45">
      <c r="K933" s="38">
        <v>931</v>
      </c>
      <c r="L933" s="99">
        <v>47.999999999999986</v>
      </c>
    </row>
    <row r="934" spans="11:12" x14ac:dyDescent="0.45">
      <c r="K934" s="38">
        <v>932</v>
      </c>
      <c r="L934" s="99">
        <v>44.299999999999983</v>
      </c>
    </row>
    <row r="935" spans="11:12" x14ac:dyDescent="0.45">
      <c r="K935" s="38">
        <v>933</v>
      </c>
      <c r="L935" s="99">
        <v>-1.4210854715202004E-14</v>
      </c>
    </row>
    <row r="936" spans="11:12" x14ac:dyDescent="0.45">
      <c r="K936" s="38">
        <v>934</v>
      </c>
      <c r="L936" s="99">
        <v>55.099999999999987</v>
      </c>
    </row>
    <row r="937" spans="11:12" x14ac:dyDescent="0.45">
      <c r="K937" s="38">
        <v>935</v>
      </c>
      <c r="L937" s="99">
        <v>51.099999999999987</v>
      </c>
    </row>
    <row r="938" spans="11:12" x14ac:dyDescent="0.45">
      <c r="K938" s="38">
        <v>936</v>
      </c>
      <c r="L938" s="99">
        <v>-1.4210854715202004E-14</v>
      </c>
    </row>
    <row r="939" spans="11:12" x14ac:dyDescent="0.45">
      <c r="K939" s="38">
        <v>937</v>
      </c>
      <c r="L939" s="99">
        <v>-16.600000000000016</v>
      </c>
    </row>
    <row r="940" spans="11:12" x14ac:dyDescent="0.45">
      <c r="K940" s="38">
        <v>938</v>
      </c>
      <c r="L940" s="99">
        <v>58.599999999999987</v>
      </c>
    </row>
    <row r="941" spans="11:12" x14ac:dyDescent="0.45">
      <c r="K941" s="38">
        <v>939</v>
      </c>
      <c r="L941" s="99">
        <v>-1.4210854715202004E-14</v>
      </c>
    </row>
    <row r="942" spans="11:12" x14ac:dyDescent="0.45">
      <c r="K942" s="38">
        <v>940</v>
      </c>
      <c r="L942" s="99">
        <v>-36.400000000000013</v>
      </c>
    </row>
    <row r="943" spans="11:12" x14ac:dyDescent="0.45">
      <c r="K943" s="38">
        <v>941</v>
      </c>
      <c r="L943" s="99">
        <v>-0.90000000000001279</v>
      </c>
    </row>
    <row r="944" spans="11:12" x14ac:dyDescent="0.45">
      <c r="K944" s="38">
        <v>942</v>
      </c>
      <c r="L944" s="99">
        <v>-1.27675647831893E-14</v>
      </c>
    </row>
    <row r="945" spans="11:12" x14ac:dyDescent="0.45">
      <c r="K945" s="38">
        <v>943</v>
      </c>
      <c r="L945" s="99">
        <v>61.599999999999987</v>
      </c>
    </row>
    <row r="946" spans="11:12" x14ac:dyDescent="0.45">
      <c r="K946" s="38">
        <v>944</v>
      </c>
      <c r="L946" s="99">
        <v>16.79999999999999</v>
      </c>
    </row>
    <row r="947" spans="11:12" x14ac:dyDescent="0.45">
      <c r="K947" s="38">
        <v>945</v>
      </c>
      <c r="L947" s="99">
        <v>-1.0658141036401503E-14</v>
      </c>
    </row>
    <row r="948" spans="11:12" x14ac:dyDescent="0.45">
      <c r="K948" s="38">
        <v>946</v>
      </c>
      <c r="L948" s="99">
        <v>-7.2000000000000108</v>
      </c>
    </row>
    <row r="949" spans="11:12" x14ac:dyDescent="0.45">
      <c r="K949" s="38">
        <v>947</v>
      </c>
      <c r="L949" s="99">
        <v>-79.800000000000011</v>
      </c>
    </row>
    <row r="950" spans="11:12" x14ac:dyDescent="0.45">
      <c r="K950" s="38">
        <v>948</v>
      </c>
      <c r="L950" s="99">
        <v>-1.4210854715202004E-14</v>
      </c>
    </row>
    <row r="951" spans="11:12" x14ac:dyDescent="0.45">
      <c r="K951" s="38">
        <v>949</v>
      </c>
      <c r="L951" s="99">
        <v>47.299999999999983</v>
      </c>
    </row>
    <row r="952" spans="11:12" x14ac:dyDescent="0.45">
      <c r="K952" s="38">
        <v>950</v>
      </c>
      <c r="L952" s="99">
        <v>-8.5000000000000142</v>
      </c>
    </row>
    <row r="953" spans="11:12" x14ac:dyDescent="0.45">
      <c r="K953" s="38">
        <v>951</v>
      </c>
      <c r="L953" s="99">
        <v>-1.4210854715202004E-14</v>
      </c>
    </row>
    <row r="954" spans="11:12" x14ac:dyDescent="0.45">
      <c r="K954" s="38">
        <v>952</v>
      </c>
      <c r="L954" s="99">
        <v>60.999999999999986</v>
      </c>
    </row>
    <row r="955" spans="11:12" x14ac:dyDescent="0.45">
      <c r="K955" s="38">
        <v>953</v>
      </c>
      <c r="L955" s="99">
        <v>13.399999999999984</v>
      </c>
    </row>
    <row r="956" spans="11:12" x14ac:dyDescent="0.45">
      <c r="K956" s="38">
        <v>954</v>
      </c>
      <c r="L956" s="99">
        <v>-1.5987211554602254E-14</v>
      </c>
    </row>
    <row r="957" spans="11:12" x14ac:dyDescent="0.45">
      <c r="K957" s="38">
        <v>955</v>
      </c>
      <c r="L957" s="99">
        <v>44.899999999999984</v>
      </c>
    </row>
    <row r="958" spans="11:12" x14ac:dyDescent="0.45">
      <c r="K958" s="38">
        <v>956</v>
      </c>
      <c r="L958" s="99">
        <v>-19.600000000000016</v>
      </c>
    </row>
    <row r="959" spans="11:12" x14ac:dyDescent="0.45">
      <c r="K959" s="38">
        <v>957</v>
      </c>
      <c r="L959" s="99">
        <v>-1.4210854715202004E-14</v>
      </c>
    </row>
    <row r="960" spans="11:12" x14ac:dyDescent="0.45">
      <c r="K960" s="38">
        <v>958</v>
      </c>
      <c r="L960" s="99">
        <v>51.999999999999986</v>
      </c>
    </row>
    <row r="961" spans="11:12" x14ac:dyDescent="0.45">
      <c r="K961" s="38">
        <v>959</v>
      </c>
      <c r="L961" s="99">
        <v>-7.4000000000000128</v>
      </c>
    </row>
    <row r="962" spans="11:12" x14ac:dyDescent="0.45">
      <c r="K962" s="38">
        <v>960</v>
      </c>
      <c r="L962" s="99">
        <v>-1.2434497875801753E-14</v>
      </c>
    </row>
    <row r="963" spans="11:12" x14ac:dyDescent="0.45">
      <c r="K963" s="38">
        <v>961</v>
      </c>
      <c r="L963" s="99">
        <v>-65.000000000000014</v>
      </c>
    </row>
    <row r="964" spans="11:12" x14ac:dyDescent="0.45">
      <c r="K964" s="38">
        <v>962</v>
      </c>
      <c r="L964" s="99">
        <v>-65.000000000000014</v>
      </c>
    </row>
    <row r="965" spans="11:12" x14ac:dyDescent="0.45">
      <c r="K965" s="38">
        <v>963</v>
      </c>
      <c r="L965" s="99">
        <v>-1.4210854715202004E-14</v>
      </c>
    </row>
  </sheetData>
  <sortState xmlns:xlrd2="http://schemas.microsoft.com/office/spreadsheetml/2017/richdata2"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F120C-EA48-4A2B-80CC-6F0986997CE3}">
  <sheetPr codeName="Sheet7"/>
  <dimension ref="A1:Q209"/>
  <sheetViews>
    <sheetView showGridLines="0" zoomScaleNormal="100" workbookViewId="0"/>
  </sheetViews>
  <sheetFormatPr defaultColWidth="9" defaultRowHeight="18" x14ac:dyDescent="0.45"/>
  <cols>
    <col min="1" max="1" width="13" style="33" customWidth="1"/>
    <col min="2" max="3" width="9" style="33" customWidth="1"/>
    <col min="4" max="4" width="3.59765625" style="33" customWidth="1"/>
    <col min="5" max="5" width="3.59765625" style="128" bestFit="1" customWidth="1"/>
    <col min="6" max="6" width="11" style="43" bestFit="1" customWidth="1"/>
    <col min="7" max="9" width="9" style="33" customWidth="1"/>
    <col min="10" max="10" width="3.59765625" style="33" customWidth="1"/>
    <col min="11" max="11" width="3.5" style="38" customWidth="1"/>
    <col min="12" max="12" width="9" style="99" customWidth="1"/>
    <col min="13" max="13" width="3.59765625" style="33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33"/>
  </cols>
  <sheetData>
    <row r="1" spans="1:17" x14ac:dyDescent="0.45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5">
      <c r="A2" s="54" t="s">
        <v>9</v>
      </c>
      <c r="B2" s="150">
        <v>207</v>
      </c>
      <c r="C2" s="151"/>
      <c r="E2" s="62" t="s">
        <v>67</v>
      </c>
      <c r="F2" s="59" t="s">
        <v>23</v>
      </c>
      <c r="G2" s="46">
        <v>437</v>
      </c>
      <c r="H2" s="132">
        <f t="shared" ref="H2:H33" si="0">IF(B$17=0,0,G2/B$17)</f>
        <v>0.76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1">IF(P2=0,0,Q2/P2)</f>
        <v>1267.9611650485438</v>
      </c>
      <c r="P2" s="118">
        <v>206</v>
      </c>
      <c r="Q2" s="102">
        <v>261200</v>
      </c>
    </row>
    <row r="3" spans="1:17" x14ac:dyDescent="0.45">
      <c r="A3" s="55" t="s">
        <v>8</v>
      </c>
      <c r="B3" s="152">
        <v>1688</v>
      </c>
      <c r="C3" s="153"/>
      <c r="E3" s="63" t="s">
        <v>73</v>
      </c>
      <c r="F3" s="60" t="s">
        <v>28</v>
      </c>
      <c r="G3" s="47">
        <v>321</v>
      </c>
      <c r="H3" s="133">
        <f t="shared" si="0"/>
        <v>0.55826086956521737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1"/>
        <v>1934.3283582089553</v>
      </c>
      <c r="P3" s="119">
        <v>201</v>
      </c>
      <c r="Q3" s="103">
        <v>388800</v>
      </c>
    </row>
    <row r="4" spans="1:17" x14ac:dyDescent="0.45">
      <c r="A4" s="55" t="s">
        <v>6</v>
      </c>
      <c r="B4" s="154">
        <v>2661.5000000000005</v>
      </c>
      <c r="C4" s="155"/>
      <c r="E4" s="63" t="s">
        <v>65</v>
      </c>
      <c r="F4" s="60" t="s">
        <v>21</v>
      </c>
      <c r="G4" s="47">
        <v>273</v>
      </c>
      <c r="H4" s="133">
        <f t="shared" si="0"/>
        <v>0.4747826086956522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1"/>
        <v>991.66666666666663</v>
      </c>
      <c r="P4" s="119">
        <v>192</v>
      </c>
      <c r="Q4" s="103">
        <v>190400</v>
      </c>
    </row>
    <row r="5" spans="1:17" x14ac:dyDescent="0.45">
      <c r="A5" s="55" t="s">
        <v>7</v>
      </c>
      <c r="B5" s="156">
        <f>IF(B$2=0,0,B$4/B$2)</f>
        <v>12.857487922705316</v>
      </c>
      <c r="C5" s="157"/>
      <c r="E5" s="63" t="s">
        <v>245</v>
      </c>
      <c r="F5" s="60" t="s">
        <v>246</v>
      </c>
      <c r="G5" s="47">
        <v>229</v>
      </c>
      <c r="H5" s="133">
        <f t="shared" si="0"/>
        <v>0.39826086956521739</v>
      </c>
      <c r="I5" s="94">
        <v>9</v>
      </c>
      <c r="K5" s="38">
        <v>3</v>
      </c>
      <c r="L5" s="99">
        <v>70.399999999999991</v>
      </c>
      <c r="N5" s="115" t="s">
        <v>135</v>
      </c>
      <c r="O5" s="122">
        <f t="shared" si="1"/>
        <v>2489.2045454545455</v>
      </c>
      <c r="P5" s="119">
        <v>176</v>
      </c>
      <c r="Q5" s="103">
        <v>438100</v>
      </c>
    </row>
    <row r="6" spans="1:17" x14ac:dyDescent="0.45">
      <c r="A6" s="55" t="s">
        <v>1</v>
      </c>
      <c r="B6" s="146">
        <f>IF(B$2=0,0,(B$7*1+B$8*2+B$9*3)/B$2)</f>
        <v>1.748792270531401</v>
      </c>
      <c r="C6" s="147"/>
      <c r="E6" s="63" t="s">
        <v>68</v>
      </c>
      <c r="F6" s="60" t="s">
        <v>24</v>
      </c>
      <c r="G6" s="47">
        <v>174</v>
      </c>
      <c r="H6" s="133">
        <f t="shared" si="0"/>
        <v>0.30260869565217391</v>
      </c>
      <c r="I6" s="94">
        <v>7</v>
      </c>
      <c r="K6" s="38">
        <v>4</v>
      </c>
      <c r="L6" s="99">
        <v>110.5</v>
      </c>
      <c r="N6" s="115" t="s">
        <v>136</v>
      </c>
      <c r="O6" s="122">
        <f t="shared" si="1"/>
        <v>1351.2820512820513</v>
      </c>
      <c r="P6" s="119">
        <v>156</v>
      </c>
      <c r="Q6" s="103">
        <v>210800</v>
      </c>
    </row>
    <row r="7" spans="1:17" x14ac:dyDescent="0.45">
      <c r="A7" s="55" t="s">
        <v>2</v>
      </c>
      <c r="B7" s="47">
        <v>101</v>
      </c>
      <c r="C7" s="39">
        <f t="shared" ref="C7:C12" si="2">IF(B$2=0,0,B7/B$2)</f>
        <v>0.48792270531400966</v>
      </c>
      <c r="E7" s="63" t="s">
        <v>69</v>
      </c>
      <c r="F7" s="60" t="s">
        <v>12</v>
      </c>
      <c r="G7" s="47">
        <v>159</v>
      </c>
      <c r="H7" s="133">
        <f t="shared" si="0"/>
        <v>0.27652173913043476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1"/>
        <v>1292.4812030075188</v>
      </c>
      <c r="P7" s="120">
        <v>133</v>
      </c>
      <c r="Q7" s="104">
        <v>171900</v>
      </c>
    </row>
    <row r="8" spans="1:17" x14ac:dyDescent="0.45">
      <c r="A8" s="55" t="s">
        <v>3</v>
      </c>
      <c r="B8" s="47">
        <v>57</v>
      </c>
      <c r="C8" s="39">
        <f t="shared" si="2"/>
        <v>0.27536231884057971</v>
      </c>
      <c r="E8" s="63" t="s">
        <v>90</v>
      </c>
      <c r="F8" s="60" t="s">
        <v>45</v>
      </c>
      <c r="G8" s="47">
        <v>95</v>
      </c>
      <c r="H8" s="133">
        <f t="shared" si="0"/>
        <v>0.16521739130434782</v>
      </c>
      <c r="I8" s="94">
        <v>4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5">
      <c r="A9" s="56" t="s">
        <v>4</v>
      </c>
      <c r="B9" s="48">
        <v>49</v>
      </c>
      <c r="C9" s="40">
        <f t="shared" si="2"/>
        <v>0.23671497584541062</v>
      </c>
      <c r="E9" s="63" t="s">
        <v>70</v>
      </c>
      <c r="F9" s="60" t="s">
        <v>25</v>
      </c>
      <c r="G9" s="47">
        <v>92</v>
      </c>
      <c r="H9" s="133">
        <f t="shared" si="0"/>
        <v>0.16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5">
      <c r="A10" s="56" t="s">
        <v>19</v>
      </c>
      <c r="B10" s="48">
        <v>18</v>
      </c>
      <c r="C10" s="40">
        <f t="shared" si="2"/>
        <v>8.6956521739130432E-2</v>
      </c>
      <c r="E10" s="63" t="s">
        <v>66</v>
      </c>
      <c r="F10" s="60" t="s">
        <v>22</v>
      </c>
      <c r="G10" s="47">
        <v>70</v>
      </c>
      <c r="H10" s="133">
        <f t="shared" si="0"/>
        <v>0.12173913043478261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18.273846153846158</v>
      </c>
      <c r="P10" s="118">
        <v>65</v>
      </c>
      <c r="Q10" s="106">
        <v>1187.8000000000002</v>
      </c>
    </row>
    <row r="11" spans="1:17" x14ac:dyDescent="0.45">
      <c r="A11" s="56" t="s">
        <v>140</v>
      </c>
      <c r="B11" s="48">
        <v>36</v>
      </c>
      <c r="C11" s="40">
        <f t="shared" si="2"/>
        <v>0.17391304347826086</v>
      </c>
      <c r="E11" s="63" t="s">
        <v>71</v>
      </c>
      <c r="F11" s="60" t="s">
        <v>26</v>
      </c>
      <c r="G11" s="47">
        <v>46</v>
      </c>
      <c r="H11" s="133">
        <f t="shared" si="0"/>
        <v>0.08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10.17121212121212</v>
      </c>
      <c r="P11" s="119">
        <v>66</v>
      </c>
      <c r="Q11" s="107">
        <v>671.3</v>
      </c>
    </row>
    <row r="12" spans="1:17" x14ac:dyDescent="0.45">
      <c r="A12" s="57" t="s">
        <v>160</v>
      </c>
      <c r="B12" s="49">
        <v>28</v>
      </c>
      <c r="C12" s="42">
        <f t="shared" si="2"/>
        <v>0.13526570048309178</v>
      </c>
      <c r="E12" s="63" t="s">
        <v>72</v>
      </c>
      <c r="F12" s="60" t="s">
        <v>27</v>
      </c>
      <c r="G12" s="47">
        <v>38</v>
      </c>
      <c r="H12" s="133">
        <f t="shared" si="0"/>
        <v>6.6086956521739126E-2</v>
      </c>
      <c r="I12" s="94">
        <v>7</v>
      </c>
      <c r="K12" s="38">
        <v>10</v>
      </c>
      <c r="L12" s="99">
        <v>246.20000000000005</v>
      </c>
      <c r="N12" s="116" t="s">
        <v>166</v>
      </c>
      <c r="O12" s="126">
        <f>IF(P12=0,0,Q12/P12)</f>
        <v>10.55789473684211</v>
      </c>
      <c r="P12" s="120">
        <v>76</v>
      </c>
      <c r="Q12" s="108">
        <v>802.40000000000032</v>
      </c>
    </row>
    <row r="13" spans="1:17" x14ac:dyDescent="0.45">
      <c r="A13" s="58" t="s">
        <v>122</v>
      </c>
      <c r="B13" s="50">
        <v>517</v>
      </c>
      <c r="C13" s="44">
        <f>IF(B$3=0,0,B13/B$3)</f>
        <v>0.30627962085308058</v>
      </c>
      <c r="E13" s="63" t="s">
        <v>87</v>
      </c>
      <c r="F13" s="60" t="s">
        <v>42</v>
      </c>
      <c r="G13" s="47">
        <v>38</v>
      </c>
      <c r="H13" s="133">
        <f t="shared" si="0"/>
        <v>6.6086956521739126E-2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5">
      <c r="A14" s="55" t="s">
        <v>119</v>
      </c>
      <c r="B14" s="47">
        <v>371</v>
      </c>
      <c r="C14" s="39">
        <f>IF(B$3=0,0,B14/B$3)</f>
        <v>0.21978672985781991</v>
      </c>
      <c r="E14" s="63" t="s">
        <v>84</v>
      </c>
      <c r="F14" s="60" t="s">
        <v>39</v>
      </c>
      <c r="G14" s="47">
        <v>28</v>
      </c>
      <c r="H14" s="133">
        <f t="shared" si="0"/>
        <v>4.8695652173913043E-2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5">
      <c r="A15" s="54" t="s">
        <v>124</v>
      </c>
      <c r="B15" s="46">
        <v>301</v>
      </c>
      <c r="C15" s="37">
        <f>IF(B$13=0,0,B15/B$13)</f>
        <v>0.58220502901353965</v>
      </c>
      <c r="E15" s="63" t="s">
        <v>180</v>
      </c>
      <c r="F15" s="60" t="s">
        <v>181</v>
      </c>
      <c r="G15" s="47">
        <v>24</v>
      </c>
      <c r="H15" s="133">
        <f t="shared" si="0"/>
        <v>4.1739130434782612E-2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 t="shared" ref="O15:O25" si="3">IF(P15=0,0,Q15/P15)</f>
        <v>69.2</v>
      </c>
      <c r="P15" s="118">
        <v>1</v>
      </c>
      <c r="Q15" s="106">
        <v>69.2</v>
      </c>
    </row>
    <row r="16" spans="1:17" x14ac:dyDescent="0.45">
      <c r="A16" s="54" t="s">
        <v>125</v>
      </c>
      <c r="B16" s="46">
        <v>188</v>
      </c>
      <c r="C16" s="37">
        <f>IF(B$14=0,0,B16/B$14)</f>
        <v>0.50673854447439348</v>
      </c>
      <c r="E16" s="63" t="s">
        <v>79</v>
      </c>
      <c r="F16" s="60" t="s">
        <v>34</v>
      </c>
      <c r="G16" s="47">
        <v>13</v>
      </c>
      <c r="H16" s="133">
        <f t="shared" si="0"/>
        <v>2.2608695652173914E-2</v>
      </c>
      <c r="I16" s="94">
        <v>8</v>
      </c>
      <c r="K16" s="38">
        <v>14</v>
      </c>
      <c r="L16" s="99">
        <v>473.50000000000006</v>
      </c>
      <c r="N16" s="115" t="s">
        <v>222</v>
      </c>
      <c r="O16" s="125">
        <f t="shared" si="3"/>
        <v>29.599999999999998</v>
      </c>
      <c r="P16" s="119">
        <v>1</v>
      </c>
      <c r="Q16" s="107">
        <v>29.599999999999998</v>
      </c>
    </row>
    <row r="17" spans="1:17" x14ac:dyDescent="0.45">
      <c r="A17" s="54" t="s">
        <v>10</v>
      </c>
      <c r="B17" s="46">
        <f>B19+B18</f>
        <v>575</v>
      </c>
      <c r="C17" s="37">
        <f>IF(B$3=0,0,B17/B$3)</f>
        <v>0.34063981042654029</v>
      </c>
      <c r="E17" s="63" t="s">
        <v>92</v>
      </c>
      <c r="F17" s="60" t="s">
        <v>47</v>
      </c>
      <c r="G17" s="47">
        <v>13</v>
      </c>
      <c r="H17" s="133">
        <f t="shared" si="0"/>
        <v>2.2608695652173914E-2</v>
      </c>
      <c r="I17" s="94">
        <v>4</v>
      </c>
      <c r="K17" s="38">
        <v>15</v>
      </c>
      <c r="L17" s="99">
        <v>481.50000000000006</v>
      </c>
      <c r="N17" s="115" t="s">
        <v>184</v>
      </c>
      <c r="O17" s="125">
        <f t="shared" si="3"/>
        <v>29.12142857142857</v>
      </c>
      <c r="P17" s="119">
        <v>14</v>
      </c>
      <c r="Q17" s="107">
        <v>407.7</v>
      </c>
    </row>
    <row r="18" spans="1:17" x14ac:dyDescent="0.45">
      <c r="A18" s="55" t="s">
        <v>12</v>
      </c>
      <c r="B18" s="47">
        <v>241</v>
      </c>
      <c r="C18" s="39">
        <f>IF(B$17=0,0,B18/B$17)</f>
        <v>0.4191304347826087</v>
      </c>
      <c r="E18" s="63" t="s">
        <v>82</v>
      </c>
      <c r="F18" s="60" t="s">
        <v>37</v>
      </c>
      <c r="G18" s="47">
        <v>12</v>
      </c>
      <c r="H18" s="133">
        <f t="shared" si="0"/>
        <v>2.0869565217391306E-2</v>
      </c>
      <c r="I18" s="94">
        <v>8</v>
      </c>
      <c r="K18" s="38">
        <v>16</v>
      </c>
      <c r="L18" s="99">
        <v>425.50000000000006</v>
      </c>
      <c r="N18" s="115" t="s">
        <v>172</v>
      </c>
      <c r="O18" s="125">
        <f t="shared" si="3"/>
        <v>27.732075471698106</v>
      </c>
      <c r="P18" s="119">
        <v>53</v>
      </c>
      <c r="Q18" s="107">
        <v>1469.7999999999997</v>
      </c>
    </row>
    <row r="19" spans="1:17" x14ac:dyDescent="0.45">
      <c r="A19" s="55" t="s">
        <v>11</v>
      </c>
      <c r="B19" s="47">
        <v>334</v>
      </c>
      <c r="C19" s="39">
        <f>IF(B$17=0,0,B19/B$17)</f>
        <v>0.5808695652173913</v>
      </c>
      <c r="E19" s="63" t="s">
        <v>80</v>
      </c>
      <c r="F19" s="60" t="s">
        <v>35</v>
      </c>
      <c r="G19" s="47">
        <v>8</v>
      </c>
      <c r="H19" s="133">
        <f t="shared" si="0"/>
        <v>1.391304347826087E-2</v>
      </c>
      <c r="I19" s="94">
        <v>8</v>
      </c>
      <c r="K19" s="38">
        <v>17</v>
      </c>
      <c r="L19" s="99">
        <v>427.40000000000003</v>
      </c>
      <c r="N19" s="115" t="s">
        <v>173</v>
      </c>
      <c r="O19" s="125">
        <f t="shared" si="3"/>
        <v>25.017857142857139</v>
      </c>
      <c r="P19" s="119">
        <v>28</v>
      </c>
      <c r="Q19" s="107">
        <v>700.49999999999989</v>
      </c>
    </row>
    <row r="20" spans="1:17" x14ac:dyDescent="0.45">
      <c r="A20" s="55" t="s">
        <v>13</v>
      </c>
      <c r="B20" s="47">
        <v>254</v>
      </c>
      <c r="C20" s="39">
        <f>IF(B$3=0,0,B20/B$3)</f>
        <v>0.1504739336492891</v>
      </c>
      <c r="E20" s="63" t="s">
        <v>86</v>
      </c>
      <c r="F20" s="60" t="s">
        <v>41</v>
      </c>
      <c r="G20" s="47">
        <v>6</v>
      </c>
      <c r="H20" s="133">
        <f t="shared" si="0"/>
        <v>1.0434782608695653E-2</v>
      </c>
      <c r="I20" s="94">
        <v>2</v>
      </c>
      <c r="K20" s="38">
        <v>18</v>
      </c>
      <c r="L20" s="99">
        <v>429.3</v>
      </c>
      <c r="N20" s="115" t="s">
        <v>129</v>
      </c>
      <c r="O20" s="125">
        <f t="shared" si="3"/>
        <v>24.658163265306126</v>
      </c>
      <c r="P20" s="119">
        <v>98</v>
      </c>
      <c r="Q20" s="107">
        <v>2416.5000000000005</v>
      </c>
    </row>
    <row r="21" spans="1:17" x14ac:dyDescent="0.45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4</v>
      </c>
      <c r="H21" s="133">
        <f t="shared" si="0"/>
        <v>6.956521739130435E-3</v>
      </c>
      <c r="I21" s="94">
        <v>5</v>
      </c>
      <c r="K21" s="38">
        <v>19</v>
      </c>
      <c r="L21" s="99">
        <v>405.40000000000003</v>
      </c>
      <c r="N21" s="115" t="s">
        <v>177</v>
      </c>
      <c r="O21" s="125">
        <f t="shared" si="3"/>
        <v>20.985714285714295</v>
      </c>
      <c r="P21" s="119">
        <v>42</v>
      </c>
      <c r="Q21" s="107">
        <v>881.40000000000032</v>
      </c>
    </row>
    <row r="22" spans="1:17" x14ac:dyDescent="0.45">
      <c r="A22" s="55" t="s">
        <v>192</v>
      </c>
      <c r="B22" s="47">
        <v>39</v>
      </c>
      <c r="C22" s="135">
        <v>0</v>
      </c>
      <c r="E22" s="63" t="s">
        <v>78</v>
      </c>
      <c r="F22" s="60" t="s">
        <v>33</v>
      </c>
      <c r="G22" s="47">
        <v>4</v>
      </c>
      <c r="H22" s="133">
        <f t="shared" si="0"/>
        <v>6.956521739130435E-3</v>
      </c>
      <c r="I22" s="94">
        <v>6</v>
      </c>
      <c r="K22" s="38">
        <v>20</v>
      </c>
      <c r="L22" s="99">
        <v>469.6</v>
      </c>
      <c r="N22" s="115" t="s">
        <v>128</v>
      </c>
      <c r="O22" s="125">
        <f t="shared" si="3"/>
        <v>19.544642857142861</v>
      </c>
      <c r="P22" s="119">
        <v>112</v>
      </c>
      <c r="Q22" s="107">
        <v>2189.0000000000005</v>
      </c>
    </row>
    <row r="23" spans="1:17" x14ac:dyDescent="0.45">
      <c r="A23" s="55" t="s">
        <v>5</v>
      </c>
      <c r="B23" s="51">
        <f>IF(B$17=0,0,C23/B$17)</f>
        <v>9215.652173913044</v>
      </c>
      <c r="C23" s="41">
        <v>5299000</v>
      </c>
      <c r="E23" s="63" t="s">
        <v>93</v>
      </c>
      <c r="F23" s="60" t="s">
        <v>48</v>
      </c>
      <c r="G23" s="47">
        <v>4</v>
      </c>
      <c r="H23" s="133">
        <f t="shared" si="0"/>
        <v>6.956521739130435E-3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 t="shared" si="3"/>
        <v>-1.0600000000000021</v>
      </c>
      <c r="P23" s="119">
        <v>60</v>
      </c>
      <c r="Q23" s="107">
        <v>-63.600000000000122</v>
      </c>
    </row>
    <row r="24" spans="1:17" x14ac:dyDescent="0.45">
      <c r="A24" s="57" t="s">
        <v>14</v>
      </c>
      <c r="B24" s="52">
        <f>IF(B$20=0,0,C24/B$20)</f>
        <v>-8210.2362204724413</v>
      </c>
      <c r="C24" s="45">
        <v>-2085400</v>
      </c>
      <c r="E24" s="63" t="s">
        <v>91</v>
      </c>
      <c r="F24" s="60" t="s">
        <v>46</v>
      </c>
      <c r="G24" s="47">
        <v>3</v>
      </c>
      <c r="H24" s="133">
        <f t="shared" si="0"/>
        <v>5.2173913043478265E-3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 t="shared" si="3"/>
        <v>-13.45</v>
      </c>
      <c r="P24" s="119">
        <v>2</v>
      </c>
      <c r="Q24" s="107">
        <v>-26.9</v>
      </c>
    </row>
    <row r="25" spans="1:17" x14ac:dyDescent="0.45">
      <c r="A25" s="90" t="s">
        <v>142</v>
      </c>
      <c r="B25" s="144">
        <v>8</v>
      </c>
      <c r="C25" s="145"/>
      <c r="E25" s="63" t="s">
        <v>89</v>
      </c>
      <c r="F25" s="60" t="s">
        <v>44</v>
      </c>
      <c r="G25" s="47">
        <v>2</v>
      </c>
      <c r="H25" s="133">
        <f t="shared" si="0"/>
        <v>3.4782608695652175E-3</v>
      </c>
      <c r="I25" s="94">
        <v>1</v>
      </c>
      <c r="K25" s="38">
        <v>23</v>
      </c>
      <c r="L25" s="99">
        <v>555.90000000000009</v>
      </c>
      <c r="N25" s="115" t="s">
        <v>223</v>
      </c>
      <c r="O25" s="125">
        <f t="shared" si="3"/>
        <v>-29.566666666666659</v>
      </c>
      <c r="P25" s="119">
        <v>3</v>
      </c>
      <c r="Q25" s="107">
        <v>-88.699999999999974</v>
      </c>
    </row>
    <row r="26" spans="1:17" x14ac:dyDescent="0.45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2</v>
      </c>
      <c r="H26" s="133">
        <f t="shared" si="0"/>
        <v>3.4782608695652175E-3</v>
      </c>
      <c r="I26" s="94">
        <v>4</v>
      </c>
      <c r="K26" s="38">
        <v>24</v>
      </c>
      <c r="L26" s="99">
        <v>592.20000000000005</v>
      </c>
    </row>
    <row r="27" spans="1:17" x14ac:dyDescent="0.45">
      <c r="A27" s="57" t="s">
        <v>143</v>
      </c>
      <c r="B27" s="65">
        <v>1</v>
      </c>
      <c r="C27" s="42">
        <f>IF(B$3=0,0,B27/B$3)</f>
        <v>5.9241706161137445E-4</v>
      </c>
      <c r="E27" s="63" t="s">
        <v>76</v>
      </c>
      <c r="F27" s="60" t="s">
        <v>31</v>
      </c>
      <c r="G27" s="47">
        <v>1</v>
      </c>
      <c r="H27" s="133">
        <f t="shared" si="0"/>
        <v>1.7391304347826088E-3</v>
      </c>
      <c r="I27" s="94">
        <v>8</v>
      </c>
      <c r="K27" s="38">
        <v>25</v>
      </c>
      <c r="L27" s="99">
        <v>655.20000000000005</v>
      </c>
    </row>
    <row r="28" spans="1:17" x14ac:dyDescent="0.45">
      <c r="E28" s="63" t="s">
        <v>85</v>
      </c>
      <c r="F28" s="60" t="s">
        <v>40</v>
      </c>
      <c r="G28" s="47">
        <v>1</v>
      </c>
      <c r="H28" s="133">
        <f t="shared" si="0"/>
        <v>1.7391304347826088E-3</v>
      </c>
      <c r="I28" s="94">
        <v>5</v>
      </c>
      <c r="K28" s="38">
        <v>26</v>
      </c>
      <c r="L28" s="99">
        <v>625.40000000000009</v>
      </c>
    </row>
    <row r="29" spans="1:17" x14ac:dyDescent="0.45">
      <c r="E29" s="63" t="s">
        <v>88</v>
      </c>
      <c r="F29" s="60" t="s">
        <v>43</v>
      </c>
      <c r="G29" s="47">
        <v>1</v>
      </c>
      <c r="H29" s="133">
        <f t="shared" si="0"/>
        <v>1.7391304347826088E-3</v>
      </c>
      <c r="I29" s="94">
        <v>6</v>
      </c>
      <c r="K29" s="38">
        <v>27</v>
      </c>
      <c r="L29" s="99">
        <v>596.30000000000007</v>
      </c>
    </row>
    <row r="30" spans="1:17" x14ac:dyDescent="0.45">
      <c r="E30" s="63" t="s">
        <v>96</v>
      </c>
      <c r="F30" s="60" t="s">
        <v>51</v>
      </c>
      <c r="G30" s="47">
        <v>1</v>
      </c>
      <c r="H30" s="133">
        <f t="shared" si="0"/>
        <v>1.7391304347826088E-3</v>
      </c>
      <c r="I30" s="94">
        <v>2</v>
      </c>
      <c r="K30" s="38">
        <v>28</v>
      </c>
      <c r="L30" s="99">
        <v>655.6</v>
      </c>
    </row>
    <row r="31" spans="1:17" x14ac:dyDescent="0.45">
      <c r="E31" s="63" t="s">
        <v>75</v>
      </c>
      <c r="F31" s="60" t="s">
        <v>30</v>
      </c>
      <c r="G31" s="47">
        <v>0</v>
      </c>
      <c r="H31" s="133">
        <f t="shared" si="0"/>
        <v>0</v>
      </c>
      <c r="I31" s="94">
        <v>7</v>
      </c>
      <c r="K31" s="38">
        <v>29</v>
      </c>
      <c r="L31" s="99">
        <v>703.1</v>
      </c>
    </row>
    <row r="32" spans="1:17" x14ac:dyDescent="0.45">
      <c r="E32" s="63" t="s">
        <v>77</v>
      </c>
      <c r="F32" s="60" t="s">
        <v>32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733.6</v>
      </c>
    </row>
    <row r="33" spans="5:12" x14ac:dyDescent="0.45">
      <c r="E33" s="63" t="s">
        <v>81</v>
      </c>
      <c r="F33" s="60" t="s">
        <v>36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796.80000000000007</v>
      </c>
    </row>
    <row r="34" spans="5:12" x14ac:dyDescent="0.45">
      <c r="E34" s="63" t="s">
        <v>83</v>
      </c>
      <c r="F34" s="60" t="s">
        <v>38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5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850.1</v>
      </c>
    </row>
    <row r="36" spans="5:12" x14ac:dyDescent="0.45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875.4</v>
      </c>
    </row>
    <row r="37" spans="5:12" x14ac:dyDescent="0.45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907.3</v>
      </c>
    </row>
    <row r="38" spans="5:12" x14ac:dyDescent="0.45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976.3</v>
      </c>
    </row>
    <row r="39" spans="5:12" x14ac:dyDescent="0.45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1013</v>
      </c>
    </row>
    <row r="40" spans="5:12" x14ac:dyDescent="0.45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1082.5999999999999</v>
      </c>
    </row>
    <row r="41" spans="5:12" x14ac:dyDescent="0.45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1131.0999999999999</v>
      </c>
    </row>
    <row r="42" spans="5:12" x14ac:dyDescent="0.45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1078.8</v>
      </c>
    </row>
    <row r="43" spans="5:12" x14ac:dyDescent="0.45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1114</v>
      </c>
    </row>
    <row r="44" spans="5:12" x14ac:dyDescent="0.45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1147.5</v>
      </c>
    </row>
    <row r="45" spans="5:12" x14ac:dyDescent="0.45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1151</v>
      </c>
    </row>
    <row r="46" spans="5:12" x14ac:dyDescent="0.45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3</v>
      </c>
      <c r="K46" s="38">
        <v>44</v>
      </c>
      <c r="L46" s="99">
        <v>1208</v>
      </c>
    </row>
    <row r="47" spans="5:12" x14ac:dyDescent="0.45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1203.5999999999999</v>
      </c>
    </row>
    <row r="48" spans="5:12" x14ac:dyDescent="0.45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1212.5999999999999</v>
      </c>
    </row>
    <row r="49" spans="5:12" x14ac:dyDescent="0.45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1264.5</v>
      </c>
    </row>
    <row r="50" spans="5:12" x14ac:dyDescent="0.45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1259.3</v>
      </c>
    </row>
    <row r="51" spans="5:12" x14ac:dyDescent="0.45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1289.8999999999999</v>
      </c>
    </row>
    <row r="52" spans="5:12" x14ac:dyDescent="0.45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1288.5999999999999</v>
      </c>
    </row>
    <row r="53" spans="5:12" x14ac:dyDescent="0.45">
      <c r="K53" s="38">
        <v>51</v>
      </c>
      <c r="L53" s="99">
        <v>1284.5</v>
      </c>
    </row>
    <row r="54" spans="5:12" x14ac:dyDescent="0.45">
      <c r="K54" s="38">
        <v>52</v>
      </c>
      <c r="L54" s="99">
        <v>1318.2</v>
      </c>
    </row>
    <row r="55" spans="5:12" x14ac:dyDescent="0.45">
      <c r="K55" s="38">
        <v>53</v>
      </c>
      <c r="L55" s="99">
        <v>1374.2</v>
      </c>
    </row>
    <row r="56" spans="5:12" x14ac:dyDescent="0.45">
      <c r="K56" s="38">
        <v>54</v>
      </c>
      <c r="L56" s="99">
        <v>1316.2</v>
      </c>
    </row>
    <row r="57" spans="5:12" x14ac:dyDescent="0.45">
      <c r="K57" s="38">
        <v>55</v>
      </c>
      <c r="L57" s="99">
        <v>1417.2</v>
      </c>
    </row>
    <row r="58" spans="5:12" x14ac:dyDescent="0.45">
      <c r="K58" s="38">
        <v>56</v>
      </c>
      <c r="L58" s="99">
        <v>1510.1000000000001</v>
      </c>
    </row>
    <row r="59" spans="5:12" x14ac:dyDescent="0.45">
      <c r="K59" s="38">
        <v>57</v>
      </c>
      <c r="L59" s="99">
        <v>1479.8000000000002</v>
      </c>
    </row>
    <row r="60" spans="5:12" x14ac:dyDescent="0.45">
      <c r="K60" s="38">
        <v>58</v>
      </c>
      <c r="L60" s="99">
        <v>1509.2000000000003</v>
      </c>
    </row>
    <row r="61" spans="5:12" x14ac:dyDescent="0.45">
      <c r="K61" s="38">
        <v>59</v>
      </c>
      <c r="L61" s="99">
        <v>1518.2000000000003</v>
      </c>
    </row>
    <row r="62" spans="5:12" x14ac:dyDescent="0.45">
      <c r="K62" s="38">
        <v>60</v>
      </c>
      <c r="L62" s="99">
        <v>1549.0000000000002</v>
      </c>
    </row>
    <row r="63" spans="5:12" x14ac:dyDescent="0.45">
      <c r="K63" s="38">
        <v>61</v>
      </c>
      <c r="L63" s="99">
        <v>1585.4000000000003</v>
      </c>
    </row>
    <row r="64" spans="5:12" x14ac:dyDescent="0.45">
      <c r="K64" s="38">
        <v>62</v>
      </c>
      <c r="L64" s="99">
        <v>1624.9000000000003</v>
      </c>
    </row>
    <row r="65" spans="11:12" x14ac:dyDescent="0.45">
      <c r="K65" s="38">
        <v>63</v>
      </c>
      <c r="L65" s="99">
        <v>1654.1000000000004</v>
      </c>
    </row>
    <row r="66" spans="11:12" x14ac:dyDescent="0.45">
      <c r="K66" s="38">
        <v>64</v>
      </c>
      <c r="L66" s="99">
        <v>1629.3000000000004</v>
      </c>
    </row>
    <row r="67" spans="11:12" x14ac:dyDescent="0.45">
      <c r="K67" s="38">
        <v>65</v>
      </c>
      <c r="L67" s="99">
        <v>1626.5000000000005</v>
      </c>
    </row>
    <row r="68" spans="11:12" x14ac:dyDescent="0.45">
      <c r="K68" s="38">
        <v>66</v>
      </c>
      <c r="L68" s="99">
        <v>1565.4000000000005</v>
      </c>
    </row>
    <row r="69" spans="11:12" x14ac:dyDescent="0.45">
      <c r="K69" s="38">
        <v>67</v>
      </c>
      <c r="L69" s="99">
        <v>1610.8000000000006</v>
      </c>
    </row>
    <row r="70" spans="11:12" x14ac:dyDescent="0.45">
      <c r="K70" s="38">
        <v>68</v>
      </c>
      <c r="L70" s="99">
        <v>1572.8000000000006</v>
      </c>
    </row>
    <row r="71" spans="11:12" x14ac:dyDescent="0.45">
      <c r="K71" s="38">
        <v>69</v>
      </c>
      <c r="L71" s="99">
        <v>1572.3000000000006</v>
      </c>
    </row>
    <row r="72" spans="11:12" x14ac:dyDescent="0.45">
      <c r="K72" s="38">
        <v>70</v>
      </c>
      <c r="L72" s="99">
        <v>1598.9000000000005</v>
      </c>
    </row>
    <row r="73" spans="11:12" x14ac:dyDescent="0.45">
      <c r="K73" s="38">
        <v>71</v>
      </c>
      <c r="L73" s="99">
        <v>1644.6000000000006</v>
      </c>
    </row>
    <row r="74" spans="11:12" x14ac:dyDescent="0.45">
      <c r="K74" s="38">
        <v>72</v>
      </c>
      <c r="L74" s="99">
        <v>1587.8000000000006</v>
      </c>
    </row>
    <row r="75" spans="11:12" x14ac:dyDescent="0.45">
      <c r="K75" s="38">
        <v>73</v>
      </c>
      <c r="L75" s="99">
        <v>1588.9000000000005</v>
      </c>
    </row>
    <row r="76" spans="11:12" x14ac:dyDescent="0.45">
      <c r="K76" s="38">
        <v>74</v>
      </c>
      <c r="L76" s="99">
        <v>1553.8000000000006</v>
      </c>
    </row>
    <row r="77" spans="11:12" x14ac:dyDescent="0.45">
      <c r="K77" s="38">
        <v>75</v>
      </c>
      <c r="L77" s="99">
        <v>1496.5000000000007</v>
      </c>
    </row>
    <row r="78" spans="11:12" x14ac:dyDescent="0.45">
      <c r="K78" s="38">
        <v>76</v>
      </c>
      <c r="L78" s="99">
        <v>1535.1000000000006</v>
      </c>
    </row>
    <row r="79" spans="11:12" x14ac:dyDescent="0.45">
      <c r="K79" s="38">
        <v>77</v>
      </c>
      <c r="L79" s="99">
        <v>1496.5000000000007</v>
      </c>
    </row>
    <row r="80" spans="11:12" x14ac:dyDescent="0.45">
      <c r="K80" s="38">
        <v>78</v>
      </c>
      <c r="L80" s="99">
        <v>1534.7000000000007</v>
      </c>
    </row>
    <row r="81" spans="11:12" x14ac:dyDescent="0.45">
      <c r="K81" s="38">
        <v>79</v>
      </c>
      <c r="L81" s="99">
        <v>1485.0000000000007</v>
      </c>
    </row>
    <row r="82" spans="11:12" x14ac:dyDescent="0.45">
      <c r="K82" s="38">
        <v>80</v>
      </c>
      <c r="L82" s="99">
        <v>1482.0000000000007</v>
      </c>
    </row>
    <row r="83" spans="11:12" x14ac:dyDescent="0.45">
      <c r="K83" s="38">
        <v>81</v>
      </c>
      <c r="L83" s="99">
        <v>1523.8000000000006</v>
      </c>
    </row>
    <row r="84" spans="11:12" x14ac:dyDescent="0.45">
      <c r="K84" s="38">
        <v>82</v>
      </c>
      <c r="L84" s="99">
        <v>1552.2000000000007</v>
      </c>
    </row>
    <row r="85" spans="11:12" x14ac:dyDescent="0.45">
      <c r="K85" s="38">
        <v>83</v>
      </c>
      <c r="L85" s="99">
        <v>1511.9000000000008</v>
      </c>
    </row>
    <row r="86" spans="11:12" x14ac:dyDescent="0.45">
      <c r="K86" s="38">
        <v>84</v>
      </c>
      <c r="L86" s="99">
        <v>1510.6000000000008</v>
      </c>
    </row>
    <row r="87" spans="11:12" x14ac:dyDescent="0.45">
      <c r="K87" s="38">
        <v>85</v>
      </c>
      <c r="L87" s="99">
        <v>1566.5000000000009</v>
      </c>
    </row>
    <row r="88" spans="11:12" x14ac:dyDescent="0.45">
      <c r="K88" s="38">
        <v>86</v>
      </c>
      <c r="L88" s="99">
        <v>1610.200000000001</v>
      </c>
    </row>
    <row r="89" spans="11:12" x14ac:dyDescent="0.45">
      <c r="K89" s="38">
        <v>87</v>
      </c>
      <c r="L89" s="99">
        <v>1662.8000000000009</v>
      </c>
    </row>
    <row r="90" spans="11:12" x14ac:dyDescent="0.45">
      <c r="K90" s="38">
        <v>88</v>
      </c>
      <c r="L90" s="99">
        <v>1664.200000000001</v>
      </c>
    </row>
    <row r="91" spans="11:12" x14ac:dyDescent="0.45">
      <c r="K91" s="38">
        <v>89</v>
      </c>
      <c r="L91" s="99">
        <v>1656.900000000001</v>
      </c>
    </row>
    <row r="92" spans="11:12" x14ac:dyDescent="0.45">
      <c r="K92" s="38">
        <v>90</v>
      </c>
      <c r="L92" s="99">
        <v>1620.900000000001</v>
      </c>
    </row>
    <row r="93" spans="11:12" x14ac:dyDescent="0.45">
      <c r="K93" s="38">
        <v>91</v>
      </c>
      <c r="L93" s="99">
        <v>1680.8000000000011</v>
      </c>
    </row>
    <row r="94" spans="11:12" x14ac:dyDescent="0.45">
      <c r="K94" s="38">
        <v>92</v>
      </c>
      <c r="L94" s="99">
        <v>1634.7000000000012</v>
      </c>
    </row>
    <row r="95" spans="11:12" x14ac:dyDescent="0.45">
      <c r="K95" s="38">
        <v>93</v>
      </c>
      <c r="L95" s="99">
        <v>1677.6000000000013</v>
      </c>
    </row>
    <row r="96" spans="11:12" x14ac:dyDescent="0.45">
      <c r="K96" s="38">
        <v>94</v>
      </c>
      <c r="L96" s="99">
        <v>1672.4000000000012</v>
      </c>
    </row>
    <row r="97" spans="11:12" x14ac:dyDescent="0.45">
      <c r="K97" s="38">
        <v>95</v>
      </c>
      <c r="L97" s="99">
        <v>1681.2000000000012</v>
      </c>
    </row>
    <row r="98" spans="11:12" x14ac:dyDescent="0.45">
      <c r="K98" s="38">
        <v>96</v>
      </c>
      <c r="L98" s="99">
        <v>1680.9000000000012</v>
      </c>
    </row>
    <row r="99" spans="11:12" x14ac:dyDescent="0.45">
      <c r="K99" s="38">
        <v>97</v>
      </c>
      <c r="L99" s="99">
        <v>1734.4000000000012</v>
      </c>
    </row>
    <row r="100" spans="11:12" x14ac:dyDescent="0.45">
      <c r="K100" s="38">
        <v>98</v>
      </c>
      <c r="L100" s="99">
        <v>1737.4000000000012</v>
      </c>
    </row>
    <row r="101" spans="11:12" x14ac:dyDescent="0.45">
      <c r="K101" s="38">
        <v>99</v>
      </c>
      <c r="L101" s="99">
        <v>1678.5000000000011</v>
      </c>
    </row>
    <row r="102" spans="11:12" x14ac:dyDescent="0.45">
      <c r="K102" s="38">
        <v>100</v>
      </c>
      <c r="L102" s="99">
        <v>1622.2000000000012</v>
      </c>
    </row>
    <row r="103" spans="11:12" x14ac:dyDescent="0.45">
      <c r="K103" s="38">
        <v>101</v>
      </c>
      <c r="L103" s="99">
        <v>1564.8000000000011</v>
      </c>
    </row>
    <row r="104" spans="11:12" x14ac:dyDescent="0.45">
      <c r="K104" s="38">
        <v>102</v>
      </c>
      <c r="L104" s="99">
        <v>1634.400000000001</v>
      </c>
    </row>
    <row r="105" spans="11:12" x14ac:dyDescent="0.45">
      <c r="K105" s="38">
        <v>103</v>
      </c>
      <c r="L105" s="99">
        <v>1615.700000000001</v>
      </c>
    </row>
    <row r="106" spans="11:12" x14ac:dyDescent="0.45">
      <c r="K106" s="38">
        <v>104</v>
      </c>
      <c r="L106" s="99">
        <v>1653.100000000001</v>
      </c>
    </row>
    <row r="107" spans="11:12" x14ac:dyDescent="0.45">
      <c r="K107" s="38">
        <v>105</v>
      </c>
      <c r="L107" s="99">
        <v>1593.100000000001</v>
      </c>
    </row>
    <row r="108" spans="11:12" x14ac:dyDescent="0.45">
      <c r="K108" s="38">
        <v>106</v>
      </c>
      <c r="L108" s="99">
        <v>1583.200000000001</v>
      </c>
    </row>
    <row r="109" spans="11:12" x14ac:dyDescent="0.45">
      <c r="K109" s="38">
        <v>107</v>
      </c>
      <c r="L109" s="99">
        <v>1517.3000000000009</v>
      </c>
    </row>
    <row r="110" spans="11:12" x14ac:dyDescent="0.45">
      <c r="K110" s="38">
        <v>108</v>
      </c>
      <c r="L110" s="99">
        <v>1569.1000000000008</v>
      </c>
    </row>
    <row r="111" spans="11:12" x14ac:dyDescent="0.45">
      <c r="K111" s="38">
        <v>109</v>
      </c>
      <c r="L111" s="99">
        <v>1512.2000000000007</v>
      </c>
    </row>
    <row r="112" spans="11:12" x14ac:dyDescent="0.45">
      <c r="K112" s="38">
        <v>110</v>
      </c>
      <c r="L112" s="99">
        <v>1513.7000000000007</v>
      </c>
    </row>
    <row r="113" spans="11:12" x14ac:dyDescent="0.45">
      <c r="K113" s="38">
        <v>111</v>
      </c>
      <c r="L113" s="99">
        <v>1461.9000000000008</v>
      </c>
    </row>
    <row r="114" spans="11:12" x14ac:dyDescent="0.45">
      <c r="K114" s="38">
        <v>112</v>
      </c>
      <c r="L114" s="99">
        <v>1405.8000000000009</v>
      </c>
    </row>
    <row r="115" spans="11:12" x14ac:dyDescent="0.45">
      <c r="K115" s="38">
        <v>113</v>
      </c>
      <c r="L115" s="99">
        <v>1346.8000000000009</v>
      </c>
    </row>
    <row r="116" spans="11:12" x14ac:dyDescent="0.45">
      <c r="K116" s="38">
        <v>114</v>
      </c>
      <c r="L116" s="99">
        <v>1351.1000000000008</v>
      </c>
    </row>
    <row r="117" spans="11:12" x14ac:dyDescent="0.45">
      <c r="K117" s="38">
        <v>115</v>
      </c>
      <c r="L117" s="99">
        <v>1435.5000000000009</v>
      </c>
    </row>
    <row r="118" spans="11:12" x14ac:dyDescent="0.45">
      <c r="K118" s="38">
        <v>116</v>
      </c>
      <c r="L118" s="99">
        <v>1471.900000000001</v>
      </c>
    </row>
    <row r="119" spans="11:12" x14ac:dyDescent="0.45">
      <c r="K119" s="38">
        <v>117</v>
      </c>
      <c r="L119" s="99">
        <v>1492.600000000001</v>
      </c>
    </row>
    <row r="120" spans="11:12" x14ac:dyDescent="0.45">
      <c r="K120" s="38">
        <v>118</v>
      </c>
      <c r="L120" s="99">
        <v>1530.0000000000011</v>
      </c>
    </row>
    <row r="121" spans="11:12" x14ac:dyDescent="0.45">
      <c r="K121" s="38">
        <v>119</v>
      </c>
      <c r="L121" s="99">
        <v>1530.0000000000011</v>
      </c>
    </row>
    <row r="122" spans="11:12" x14ac:dyDescent="0.45">
      <c r="K122" s="38">
        <v>120</v>
      </c>
      <c r="L122" s="99">
        <v>1527.0000000000011</v>
      </c>
    </row>
    <row r="123" spans="11:12" x14ac:dyDescent="0.45">
      <c r="K123" s="38">
        <v>121</v>
      </c>
      <c r="L123" s="99">
        <v>1556.600000000001</v>
      </c>
    </row>
    <row r="124" spans="11:12" x14ac:dyDescent="0.45">
      <c r="K124" s="38">
        <v>122</v>
      </c>
      <c r="L124" s="99">
        <v>1590.100000000001</v>
      </c>
    </row>
    <row r="125" spans="11:12" x14ac:dyDescent="0.45">
      <c r="K125" s="38">
        <v>123</v>
      </c>
      <c r="L125" s="99">
        <v>1598.200000000001</v>
      </c>
    </row>
    <row r="126" spans="11:12" x14ac:dyDescent="0.45">
      <c r="K126" s="38">
        <v>124</v>
      </c>
      <c r="L126" s="99">
        <v>1628.600000000001</v>
      </c>
    </row>
    <row r="127" spans="11:12" x14ac:dyDescent="0.45">
      <c r="K127" s="38">
        <v>125</v>
      </c>
      <c r="L127" s="99">
        <v>1565.600000000001</v>
      </c>
    </row>
    <row r="128" spans="11:12" x14ac:dyDescent="0.45">
      <c r="K128" s="38">
        <v>126</v>
      </c>
      <c r="L128" s="99">
        <v>1666.5000000000011</v>
      </c>
    </row>
    <row r="129" spans="11:12" x14ac:dyDescent="0.45">
      <c r="K129" s="38">
        <v>127</v>
      </c>
      <c r="L129" s="99">
        <v>1643.100000000001</v>
      </c>
    </row>
    <row r="130" spans="11:12" x14ac:dyDescent="0.45">
      <c r="K130" s="38">
        <v>128</v>
      </c>
      <c r="L130" s="99">
        <v>1573.600000000001</v>
      </c>
    </row>
    <row r="131" spans="11:12" x14ac:dyDescent="0.45">
      <c r="K131" s="38">
        <v>129</v>
      </c>
      <c r="L131" s="99">
        <v>1603.0000000000011</v>
      </c>
    </row>
    <row r="132" spans="11:12" x14ac:dyDescent="0.45">
      <c r="K132" s="38">
        <v>130</v>
      </c>
      <c r="L132" s="99">
        <v>1682.600000000001</v>
      </c>
    </row>
    <row r="133" spans="11:12" x14ac:dyDescent="0.45">
      <c r="K133" s="38">
        <v>131</v>
      </c>
      <c r="L133" s="99">
        <v>1632.100000000001</v>
      </c>
    </row>
    <row r="134" spans="11:12" x14ac:dyDescent="0.45">
      <c r="K134" s="38">
        <v>132</v>
      </c>
      <c r="L134" s="99">
        <v>1590.400000000001</v>
      </c>
    </row>
    <row r="135" spans="11:12" x14ac:dyDescent="0.45">
      <c r="K135" s="38">
        <v>133</v>
      </c>
      <c r="L135" s="99">
        <v>1555.5000000000009</v>
      </c>
    </row>
    <row r="136" spans="11:12" x14ac:dyDescent="0.45">
      <c r="K136" s="38">
        <v>134</v>
      </c>
      <c r="L136" s="99">
        <v>1549.3000000000009</v>
      </c>
    </row>
    <row r="137" spans="11:12" x14ac:dyDescent="0.45">
      <c r="K137" s="38">
        <v>135</v>
      </c>
      <c r="L137" s="99">
        <v>1609.6000000000008</v>
      </c>
    </row>
    <row r="138" spans="11:12" x14ac:dyDescent="0.45">
      <c r="K138" s="38">
        <v>136</v>
      </c>
      <c r="L138" s="99">
        <v>1638.4000000000008</v>
      </c>
    </row>
    <row r="139" spans="11:12" x14ac:dyDescent="0.45">
      <c r="K139" s="38">
        <v>137</v>
      </c>
      <c r="L139" s="99">
        <v>1631.8000000000009</v>
      </c>
    </row>
    <row r="140" spans="11:12" x14ac:dyDescent="0.45">
      <c r="K140" s="38">
        <v>138</v>
      </c>
      <c r="L140" s="99">
        <v>1633.8000000000009</v>
      </c>
    </row>
    <row r="141" spans="11:12" x14ac:dyDescent="0.45">
      <c r="K141" s="38">
        <v>139</v>
      </c>
      <c r="L141" s="99">
        <v>1701.6000000000008</v>
      </c>
    </row>
    <row r="142" spans="11:12" x14ac:dyDescent="0.45">
      <c r="K142" s="38">
        <v>140</v>
      </c>
      <c r="L142" s="99">
        <v>1700.4000000000008</v>
      </c>
    </row>
    <row r="143" spans="11:12" x14ac:dyDescent="0.45">
      <c r="K143" s="38">
        <v>141</v>
      </c>
      <c r="L143" s="99">
        <v>1724.1000000000008</v>
      </c>
    </row>
    <row r="144" spans="11:12" x14ac:dyDescent="0.45">
      <c r="K144" s="38">
        <v>142</v>
      </c>
      <c r="L144" s="99">
        <v>1751.8000000000009</v>
      </c>
    </row>
    <row r="145" spans="11:12" x14ac:dyDescent="0.45">
      <c r="K145" s="38">
        <v>143</v>
      </c>
      <c r="L145" s="99">
        <v>1797.1000000000008</v>
      </c>
    </row>
    <row r="146" spans="11:12" x14ac:dyDescent="0.45">
      <c r="K146" s="38">
        <v>144</v>
      </c>
      <c r="L146" s="99">
        <v>1806.1000000000008</v>
      </c>
    </row>
    <row r="147" spans="11:12" x14ac:dyDescent="0.45">
      <c r="K147" s="38">
        <v>145</v>
      </c>
      <c r="L147" s="99">
        <v>1774.3000000000009</v>
      </c>
    </row>
    <row r="148" spans="11:12" x14ac:dyDescent="0.45">
      <c r="K148" s="38">
        <v>146</v>
      </c>
      <c r="L148" s="99">
        <v>1767.0000000000009</v>
      </c>
    </row>
    <row r="149" spans="11:12" x14ac:dyDescent="0.45">
      <c r="K149" s="38">
        <v>147</v>
      </c>
      <c r="L149" s="99">
        <v>1763.5000000000009</v>
      </c>
    </row>
    <row r="150" spans="11:12" x14ac:dyDescent="0.45">
      <c r="K150" s="38">
        <v>148</v>
      </c>
      <c r="L150" s="99">
        <v>1727.1000000000008</v>
      </c>
    </row>
    <row r="151" spans="11:12" x14ac:dyDescent="0.45">
      <c r="K151" s="38">
        <v>149</v>
      </c>
      <c r="L151" s="99">
        <v>1744.7000000000007</v>
      </c>
    </row>
    <row r="152" spans="11:12" x14ac:dyDescent="0.45">
      <c r="K152" s="38">
        <v>150</v>
      </c>
      <c r="L152" s="99">
        <v>1788.5000000000007</v>
      </c>
    </row>
    <row r="153" spans="11:12" x14ac:dyDescent="0.45">
      <c r="K153" s="38">
        <v>151</v>
      </c>
      <c r="L153" s="99">
        <v>1847.5000000000007</v>
      </c>
    </row>
    <row r="154" spans="11:12" x14ac:dyDescent="0.45">
      <c r="K154" s="38">
        <v>152</v>
      </c>
      <c r="L154" s="99">
        <v>1812.8000000000006</v>
      </c>
    </row>
    <row r="155" spans="11:12" x14ac:dyDescent="0.45">
      <c r="K155" s="38">
        <v>153</v>
      </c>
      <c r="L155" s="99">
        <v>1805.4000000000005</v>
      </c>
    </row>
    <row r="156" spans="11:12" x14ac:dyDescent="0.45">
      <c r="K156" s="38">
        <v>154</v>
      </c>
      <c r="L156" s="99">
        <v>1855.1000000000006</v>
      </c>
    </row>
    <row r="157" spans="11:12" x14ac:dyDescent="0.45">
      <c r="K157" s="38">
        <v>155</v>
      </c>
      <c r="L157" s="99">
        <v>1940.5000000000007</v>
      </c>
    </row>
    <row r="158" spans="11:12" x14ac:dyDescent="0.45">
      <c r="K158" s="38">
        <v>156</v>
      </c>
      <c r="L158" s="99">
        <v>2009.8000000000006</v>
      </c>
    </row>
    <row r="159" spans="11:12" x14ac:dyDescent="0.45">
      <c r="K159" s="38">
        <v>157</v>
      </c>
      <c r="L159" s="99">
        <v>2024.8000000000006</v>
      </c>
    </row>
    <row r="160" spans="11:12" x14ac:dyDescent="0.45">
      <c r="K160" s="38">
        <v>158</v>
      </c>
      <c r="L160" s="99">
        <v>1973.9000000000005</v>
      </c>
    </row>
    <row r="161" spans="11:12" x14ac:dyDescent="0.45">
      <c r="K161" s="38">
        <v>159</v>
      </c>
      <c r="L161" s="99">
        <v>1932.7000000000005</v>
      </c>
    </row>
    <row r="162" spans="11:12" x14ac:dyDescent="0.45">
      <c r="K162" s="38">
        <v>160</v>
      </c>
      <c r="L162" s="99">
        <v>1899.8000000000004</v>
      </c>
    </row>
    <row r="163" spans="11:12" x14ac:dyDescent="0.45">
      <c r="K163" s="38">
        <v>161</v>
      </c>
      <c r="L163" s="99">
        <v>1913.3000000000004</v>
      </c>
    </row>
    <row r="164" spans="11:12" x14ac:dyDescent="0.45">
      <c r="K164" s="38">
        <v>162</v>
      </c>
      <c r="L164" s="99">
        <v>1955.5000000000005</v>
      </c>
    </row>
    <row r="165" spans="11:12" x14ac:dyDescent="0.45">
      <c r="K165" s="38">
        <v>163</v>
      </c>
      <c r="L165" s="99">
        <v>1950.5000000000005</v>
      </c>
    </row>
    <row r="166" spans="11:12" x14ac:dyDescent="0.45">
      <c r="K166" s="38">
        <v>164</v>
      </c>
      <c r="L166" s="99">
        <v>1985.5000000000005</v>
      </c>
    </row>
    <row r="167" spans="11:12" x14ac:dyDescent="0.45">
      <c r="K167" s="38">
        <v>165</v>
      </c>
      <c r="L167" s="99">
        <v>1995.0000000000005</v>
      </c>
    </row>
    <row r="168" spans="11:12" x14ac:dyDescent="0.45">
      <c r="K168" s="38">
        <v>166</v>
      </c>
      <c r="L168" s="99">
        <v>1939.7000000000005</v>
      </c>
    </row>
    <row r="169" spans="11:12" x14ac:dyDescent="0.45">
      <c r="K169" s="38">
        <v>167</v>
      </c>
      <c r="L169" s="99">
        <v>1970.7000000000005</v>
      </c>
    </row>
    <row r="170" spans="11:12" x14ac:dyDescent="0.45">
      <c r="K170" s="38">
        <v>168</v>
      </c>
      <c r="L170" s="99">
        <v>1935.4000000000005</v>
      </c>
    </row>
    <row r="171" spans="11:12" x14ac:dyDescent="0.45">
      <c r="K171" s="38">
        <v>169</v>
      </c>
      <c r="L171" s="99">
        <v>1976.5000000000005</v>
      </c>
    </row>
    <row r="172" spans="11:12" x14ac:dyDescent="0.45">
      <c r="K172" s="38">
        <v>170</v>
      </c>
      <c r="L172" s="99">
        <v>2031.1000000000004</v>
      </c>
    </row>
    <row r="173" spans="11:12" x14ac:dyDescent="0.45">
      <c r="K173" s="38">
        <v>171</v>
      </c>
      <c r="L173" s="99">
        <v>2031.0000000000005</v>
      </c>
    </row>
    <row r="174" spans="11:12" x14ac:dyDescent="0.45">
      <c r="K174" s="38">
        <v>172</v>
      </c>
      <c r="L174" s="99">
        <v>2043.9000000000005</v>
      </c>
    </row>
    <row r="175" spans="11:12" x14ac:dyDescent="0.45">
      <c r="K175" s="38">
        <v>173</v>
      </c>
      <c r="L175" s="99">
        <v>2066.5000000000005</v>
      </c>
    </row>
    <row r="176" spans="11:12" x14ac:dyDescent="0.45">
      <c r="K176" s="38">
        <v>174</v>
      </c>
      <c r="L176" s="99">
        <v>2121.1000000000004</v>
      </c>
    </row>
    <row r="177" spans="11:12" x14ac:dyDescent="0.45">
      <c r="K177" s="38">
        <v>175</v>
      </c>
      <c r="L177" s="99">
        <v>2087.3000000000002</v>
      </c>
    </row>
    <row r="178" spans="11:12" x14ac:dyDescent="0.45">
      <c r="K178" s="38">
        <v>176</v>
      </c>
      <c r="L178" s="99">
        <v>2055.5</v>
      </c>
    </row>
    <row r="179" spans="11:12" x14ac:dyDescent="0.45">
      <c r="K179" s="38">
        <v>177</v>
      </c>
      <c r="L179" s="99">
        <v>2093.1</v>
      </c>
    </row>
    <row r="180" spans="11:12" x14ac:dyDescent="0.45">
      <c r="K180" s="38">
        <v>178</v>
      </c>
      <c r="L180" s="99">
        <v>2146.2999999999997</v>
      </c>
    </row>
    <row r="181" spans="11:12" x14ac:dyDescent="0.45">
      <c r="K181" s="38">
        <v>179</v>
      </c>
      <c r="L181" s="99">
        <v>2182.3999999999996</v>
      </c>
    </row>
    <row r="182" spans="11:12" x14ac:dyDescent="0.45">
      <c r="K182" s="38">
        <v>180</v>
      </c>
      <c r="L182" s="99">
        <v>2155.9999999999995</v>
      </c>
    </row>
    <row r="183" spans="11:12" x14ac:dyDescent="0.45">
      <c r="K183" s="38">
        <v>181</v>
      </c>
      <c r="L183" s="99">
        <v>2216.9999999999995</v>
      </c>
    </row>
    <row r="184" spans="11:12" x14ac:dyDescent="0.45">
      <c r="K184" s="38">
        <v>182</v>
      </c>
      <c r="L184" s="99">
        <v>2252.3999999999996</v>
      </c>
    </row>
    <row r="185" spans="11:12" x14ac:dyDescent="0.45">
      <c r="K185" s="38">
        <v>183</v>
      </c>
      <c r="L185" s="99">
        <v>2307.8999999999996</v>
      </c>
    </row>
    <row r="186" spans="11:12" x14ac:dyDescent="0.45">
      <c r="K186" s="38">
        <v>184</v>
      </c>
      <c r="L186" s="99">
        <v>2341.1999999999998</v>
      </c>
    </row>
    <row r="187" spans="11:12" x14ac:dyDescent="0.45">
      <c r="K187" s="38">
        <v>185</v>
      </c>
      <c r="L187" s="99">
        <v>2314.3999999999996</v>
      </c>
    </row>
    <row r="188" spans="11:12" x14ac:dyDescent="0.45">
      <c r="K188" s="38">
        <v>186</v>
      </c>
      <c r="L188" s="99">
        <v>2307.6999999999998</v>
      </c>
    </row>
    <row r="189" spans="11:12" x14ac:dyDescent="0.45">
      <c r="K189" s="38">
        <v>187</v>
      </c>
      <c r="L189" s="99">
        <v>2348.1</v>
      </c>
    </row>
    <row r="190" spans="11:12" x14ac:dyDescent="0.45">
      <c r="K190" s="38">
        <v>188</v>
      </c>
      <c r="L190" s="99">
        <v>2290.1</v>
      </c>
    </row>
    <row r="191" spans="11:12" x14ac:dyDescent="0.45">
      <c r="K191" s="38">
        <v>189</v>
      </c>
      <c r="L191" s="99">
        <v>2337.6</v>
      </c>
    </row>
    <row r="192" spans="11:12" x14ac:dyDescent="0.45">
      <c r="K192" s="38">
        <v>190</v>
      </c>
      <c r="L192" s="99">
        <v>2335.6999999999998</v>
      </c>
    </row>
    <row r="193" spans="11:12" x14ac:dyDescent="0.45">
      <c r="K193" s="38">
        <v>191</v>
      </c>
      <c r="L193" s="99">
        <v>2390.1</v>
      </c>
    </row>
    <row r="194" spans="11:12" x14ac:dyDescent="0.45">
      <c r="K194" s="38">
        <v>192</v>
      </c>
      <c r="L194" s="99">
        <v>2392.9</v>
      </c>
    </row>
    <row r="195" spans="11:12" x14ac:dyDescent="0.45">
      <c r="K195" s="38">
        <v>193</v>
      </c>
      <c r="L195" s="99">
        <v>2389.8000000000002</v>
      </c>
    </row>
    <row r="196" spans="11:12" x14ac:dyDescent="0.45">
      <c r="K196" s="38">
        <v>194</v>
      </c>
      <c r="L196" s="99">
        <v>2355.3000000000002</v>
      </c>
    </row>
    <row r="197" spans="11:12" x14ac:dyDescent="0.45">
      <c r="K197" s="38">
        <v>195</v>
      </c>
      <c r="L197" s="99">
        <v>2406.4</v>
      </c>
    </row>
    <row r="198" spans="11:12" x14ac:dyDescent="0.45">
      <c r="K198" s="38">
        <v>196</v>
      </c>
      <c r="L198" s="99">
        <v>2442.9</v>
      </c>
    </row>
    <row r="199" spans="11:12" x14ac:dyDescent="0.45">
      <c r="K199" s="38">
        <v>197</v>
      </c>
      <c r="L199" s="99">
        <v>2485.4</v>
      </c>
    </row>
    <row r="200" spans="11:12" x14ac:dyDescent="0.45">
      <c r="K200" s="38">
        <v>198</v>
      </c>
      <c r="L200" s="99">
        <v>2519.9</v>
      </c>
    </row>
    <row r="201" spans="11:12" x14ac:dyDescent="0.45">
      <c r="K201" s="38">
        <v>199</v>
      </c>
      <c r="L201" s="99">
        <v>2503.3000000000002</v>
      </c>
    </row>
    <row r="202" spans="11:12" x14ac:dyDescent="0.45">
      <c r="K202" s="38">
        <v>200</v>
      </c>
      <c r="L202" s="99">
        <v>2466.9</v>
      </c>
    </row>
    <row r="203" spans="11:12" x14ac:dyDescent="0.45">
      <c r="K203" s="38">
        <v>201</v>
      </c>
      <c r="L203" s="99">
        <v>2528.5</v>
      </c>
    </row>
    <row r="204" spans="11:12" x14ac:dyDescent="0.45">
      <c r="K204" s="38">
        <v>202</v>
      </c>
      <c r="L204" s="99">
        <v>2521.3000000000002</v>
      </c>
    </row>
    <row r="205" spans="11:12" x14ac:dyDescent="0.45">
      <c r="K205" s="38">
        <v>203</v>
      </c>
      <c r="L205" s="99">
        <v>2568.6000000000004</v>
      </c>
    </row>
    <row r="206" spans="11:12" x14ac:dyDescent="0.45">
      <c r="K206" s="38">
        <v>204</v>
      </c>
      <c r="L206" s="99">
        <v>2629.6000000000004</v>
      </c>
    </row>
    <row r="207" spans="11:12" x14ac:dyDescent="0.45">
      <c r="K207" s="38">
        <v>205</v>
      </c>
      <c r="L207" s="99">
        <v>2674.5000000000005</v>
      </c>
    </row>
    <row r="208" spans="11:12" x14ac:dyDescent="0.45">
      <c r="K208" s="38">
        <v>206</v>
      </c>
      <c r="L208" s="99">
        <v>2726.5000000000005</v>
      </c>
    </row>
    <row r="209" spans="11:12" x14ac:dyDescent="0.45">
      <c r="K209" s="38">
        <v>207</v>
      </c>
      <c r="L209" s="99">
        <v>2661.5000000000005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89F29-572B-4194-BE39-87260DDB657C}">
  <sheetPr codeName="Sheet9"/>
  <dimension ref="A1:Q164"/>
  <sheetViews>
    <sheetView showGridLines="0" zoomScaleNormal="100" workbookViewId="0"/>
  </sheetViews>
  <sheetFormatPr defaultColWidth="9" defaultRowHeight="18" x14ac:dyDescent="0.45"/>
  <cols>
    <col min="1" max="1" width="13" style="33" customWidth="1"/>
    <col min="2" max="3" width="9" style="33" customWidth="1"/>
    <col min="4" max="4" width="3.59765625" style="33" customWidth="1"/>
    <col min="5" max="5" width="3.59765625" style="128" bestFit="1" customWidth="1"/>
    <col min="6" max="6" width="11" style="43" bestFit="1" customWidth="1"/>
    <col min="7" max="9" width="9" style="33" customWidth="1"/>
    <col min="10" max="10" width="3.59765625" style="33" customWidth="1"/>
    <col min="11" max="11" width="3.5" style="38" customWidth="1"/>
    <col min="12" max="12" width="9" style="99" customWidth="1"/>
    <col min="13" max="13" width="3.59765625" style="33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33"/>
  </cols>
  <sheetData>
    <row r="1" spans="1:17" x14ac:dyDescent="0.45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5">
      <c r="A2" s="54" t="s">
        <v>9</v>
      </c>
      <c r="B2" s="150">
        <v>162</v>
      </c>
      <c r="C2" s="151"/>
      <c r="E2" s="62" t="s">
        <v>65</v>
      </c>
      <c r="F2" s="59" t="s">
        <v>21</v>
      </c>
      <c r="G2" s="46">
        <v>218</v>
      </c>
      <c r="H2" s="132">
        <f t="shared" ref="H2:H33" si="0">IF(B$17=0,0,G2/B$17)</f>
        <v>0.59078590785907859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1">IF(P2=0,0,Q2/P2)</f>
        <v>700.61728395061732</v>
      </c>
      <c r="P2" s="118">
        <v>162</v>
      </c>
      <c r="Q2" s="102">
        <v>113500</v>
      </c>
    </row>
    <row r="3" spans="1:17" x14ac:dyDescent="0.45">
      <c r="A3" s="55" t="s">
        <v>8</v>
      </c>
      <c r="B3" s="152">
        <v>1330</v>
      </c>
      <c r="C3" s="153"/>
      <c r="E3" s="63" t="s">
        <v>66</v>
      </c>
      <c r="F3" s="60" t="s">
        <v>22</v>
      </c>
      <c r="G3" s="47">
        <v>52</v>
      </c>
      <c r="H3" s="133">
        <f t="shared" si="0"/>
        <v>0.14092140921409213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1"/>
        <v>-1628.0254777070063</v>
      </c>
      <c r="P3" s="119">
        <v>157</v>
      </c>
      <c r="Q3" s="103">
        <v>-255600</v>
      </c>
    </row>
    <row r="4" spans="1:17" x14ac:dyDescent="0.45">
      <c r="A4" s="55" t="s">
        <v>6</v>
      </c>
      <c r="B4" s="154">
        <v>-490.8</v>
      </c>
      <c r="C4" s="155"/>
      <c r="E4" s="63" t="s">
        <v>67</v>
      </c>
      <c r="F4" s="60" t="s">
        <v>23</v>
      </c>
      <c r="G4" s="47">
        <v>266</v>
      </c>
      <c r="H4" s="133">
        <f t="shared" si="0"/>
        <v>0.72086720867208676</v>
      </c>
      <c r="I4" s="94">
        <v>7</v>
      </c>
      <c r="K4" s="38">
        <v>2</v>
      </c>
      <c r="L4" s="99">
        <v>6.2999999999999972</v>
      </c>
      <c r="N4" s="115" t="s">
        <v>134</v>
      </c>
      <c r="O4" s="122">
        <f t="shared" si="1"/>
        <v>-369.33333333333331</v>
      </c>
      <c r="P4" s="119">
        <v>150</v>
      </c>
      <c r="Q4" s="103">
        <v>-55400</v>
      </c>
    </row>
    <row r="5" spans="1:17" x14ac:dyDescent="0.45">
      <c r="A5" s="55" t="s">
        <v>7</v>
      </c>
      <c r="B5" s="156">
        <f>IF(B$2=0,0,B$4/B$2)</f>
        <v>-3.0296296296296297</v>
      </c>
      <c r="C5" s="157"/>
      <c r="E5" s="63" t="s">
        <v>68</v>
      </c>
      <c r="F5" s="60" t="s">
        <v>24</v>
      </c>
      <c r="G5" s="47">
        <v>142</v>
      </c>
      <c r="H5" s="133">
        <f t="shared" si="0"/>
        <v>0.38482384823848237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1"/>
        <v>-335.55555555555554</v>
      </c>
      <c r="P5" s="119">
        <v>135</v>
      </c>
      <c r="Q5" s="103">
        <v>-45300</v>
      </c>
    </row>
    <row r="6" spans="1:17" x14ac:dyDescent="0.45">
      <c r="A6" s="55" t="s">
        <v>1</v>
      </c>
      <c r="B6" s="146">
        <f>IF(B$2=0,0,(B$7*1+B$8*2+B$9*3)/B$2)</f>
        <v>2.074074074074074</v>
      </c>
      <c r="C6" s="147"/>
      <c r="E6" s="63" t="s">
        <v>69</v>
      </c>
      <c r="F6" s="60" t="s">
        <v>12</v>
      </c>
      <c r="G6" s="47">
        <v>131</v>
      </c>
      <c r="H6" s="133">
        <f t="shared" si="0"/>
        <v>0.35501355013550134</v>
      </c>
      <c r="I6" s="94">
        <v>3</v>
      </c>
      <c r="K6" s="38">
        <v>4</v>
      </c>
      <c r="L6" s="99">
        <v>13.599999999999994</v>
      </c>
      <c r="N6" s="115" t="s">
        <v>136</v>
      </c>
      <c r="O6" s="122">
        <f t="shared" si="1"/>
        <v>212.60504201680672</v>
      </c>
      <c r="P6" s="119">
        <v>119</v>
      </c>
      <c r="Q6" s="103">
        <v>25300</v>
      </c>
    </row>
    <row r="7" spans="1:17" x14ac:dyDescent="0.45">
      <c r="A7" s="55" t="s">
        <v>2</v>
      </c>
      <c r="B7" s="47">
        <v>44</v>
      </c>
      <c r="C7" s="39">
        <f t="shared" ref="C7:C12" si="2">IF(B$2=0,0,B7/B$2)</f>
        <v>0.27160493827160492</v>
      </c>
      <c r="E7" s="63" t="s">
        <v>70</v>
      </c>
      <c r="F7" s="60" t="s">
        <v>25</v>
      </c>
      <c r="G7" s="47">
        <v>81</v>
      </c>
      <c r="H7" s="133">
        <f t="shared" si="0"/>
        <v>0.21951219512195122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1"/>
        <v>-143.92523364485982</v>
      </c>
      <c r="P7" s="120">
        <v>107</v>
      </c>
      <c r="Q7" s="104">
        <v>-15400</v>
      </c>
    </row>
    <row r="8" spans="1:17" x14ac:dyDescent="0.45">
      <c r="A8" s="55" t="s">
        <v>3</v>
      </c>
      <c r="B8" s="47">
        <v>62</v>
      </c>
      <c r="C8" s="39">
        <f t="shared" si="2"/>
        <v>0.38271604938271603</v>
      </c>
      <c r="E8" s="63" t="s">
        <v>71</v>
      </c>
      <c r="F8" s="60" t="s">
        <v>26</v>
      </c>
      <c r="G8" s="47">
        <v>48</v>
      </c>
      <c r="H8" s="133">
        <f t="shared" si="0"/>
        <v>0.13008130081300814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5">
      <c r="A9" s="56" t="s">
        <v>4</v>
      </c>
      <c r="B9" s="48">
        <v>56</v>
      </c>
      <c r="C9" s="40">
        <f t="shared" si="2"/>
        <v>0.34567901234567899</v>
      </c>
      <c r="E9" s="63" t="s">
        <v>72</v>
      </c>
      <c r="F9" s="60" t="s">
        <v>27</v>
      </c>
      <c r="G9" s="47">
        <v>18</v>
      </c>
      <c r="H9" s="133">
        <f t="shared" si="0"/>
        <v>4.878048780487805E-2</v>
      </c>
      <c r="I9" s="94">
        <v>11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5">
      <c r="A10" s="56" t="s">
        <v>19</v>
      </c>
      <c r="B10" s="48">
        <v>22</v>
      </c>
      <c r="C10" s="40">
        <f t="shared" si="2"/>
        <v>0.13580246913580246</v>
      </c>
      <c r="E10" s="63" t="s">
        <v>73</v>
      </c>
      <c r="F10" s="60" t="s">
        <v>28</v>
      </c>
      <c r="G10" s="47">
        <v>165</v>
      </c>
      <c r="H10" s="133">
        <f t="shared" si="0"/>
        <v>0.44715447154471544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-6.2922077922077939</v>
      </c>
      <c r="P10" s="118">
        <v>77</v>
      </c>
      <c r="Q10" s="106">
        <v>-484.50000000000011</v>
      </c>
    </row>
    <row r="11" spans="1:17" x14ac:dyDescent="0.45">
      <c r="A11" s="56" t="s">
        <v>140</v>
      </c>
      <c r="B11" s="48">
        <v>16</v>
      </c>
      <c r="C11" s="40">
        <f t="shared" si="2"/>
        <v>9.8765432098765427E-2</v>
      </c>
      <c r="E11" s="63" t="s">
        <v>74</v>
      </c>
      <c r="F11" s="60" t="s">
        <v>29</v>
      </c>
      <c r="G11" s="47">
        <v>3</v>
      </c>
      <c r="H11" s="133">
        <f t="shared" si="0"/>
        <v>8.130081300813009E-3</v>
      </c>
      <c r="I11" s="94">
        <v>4</v>
      </c>
      <c r="K11" s="38">
        <v>9</v>
      </c>
      <c r="L11" s="99">
        <v>-79.5</v>
      </c>
      <c r="N11" s="115" t="s">
        <v>165</v>
      </c>
      <c r="O11" s="125">
        <f>IF(P11=0,0,Q11/P11)</f>
        <v>-3.397727272727272</v>
      </c>
      <c r="P11" s="119">
        <v>44</v>
      </c>
      <c r="Q11" s="107">
        <v>-149.49999999999997</v>
      </c>
    </row>
    <row r="12" spans="1:17" x14ac:dyDescent="0.45">
      <c r="A12" s="57" t="s">
        <v>160</v>
      </c>
      <c r="B12" s="49">
        <v>9</v>
      </c>
      <c r="C12" s="42">
        <f t="shared" si="2"/>
        <v>5.5555555555555552E-2</v>
      </c>
      <c r="E12" s="63" t="s">
        <v>75</v>
      </c>
      <c r="F12" s="60" t="s">
        <v>30</v>
      </c>
      <c r="G12" s="47">
        <v>2</v>
      </c>
      <c r="H12" s="133">
        <f t="shared" si="0"/>
        <v>5.4200542005420054E-3</v>
      </c>
      <c r="I12" s="94">
        <v>4</v>
      </c>
      <c r="K12" s="38">
        <v>10</v>
      </c>
      <c r="L12" s="99">
        <v>-80.900000000000006</v>
      </c>
      <c r="N12" s="116" t="s">
        <v>166</v>
      </c>
      <c r="O12" s="126">
        <f>IF(P12=0,0,Q12/P12)</f>
        <v>3.4926829268292678</v>
      </c>
      <c r="P12" s="120">
        <v>41</v>
      </c>
      <c r="Q12" s="108">
        <v>143.19999999999999</v>
      </c>
    </row>
    <row r="13" spans="1:17" x14ac:dyDescent="0.45">
      <c r="A13" s="58" t="s">
        <v>122</v>
      </c>
      <c r="B13" s="50">
        <v>394</v>
      </c>
      <c r="C13" s="44">
        <f>IF(B$3=0,0,B13/B$3)</f>
        <v>0.29624060150375942</v>
      </c>
      <c r="E13" s="63" t="s">
        <v>76</v>
      </c>
      <c r="F13" s="60" t="s">
        <v>31</v>
      </c>
      <c r="G13" s="47">
        <v>4</v>
      </c>
      <c r="H13" s="133">
        <f t="shared" si="0"/>
        <v>1.0840108401084011E-2</v>
      </c>
      <c r="I13" s="94">
        <v>3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5">
      <c r="A14" s="55" t="s">
        <v>119</v>
      </c>
      <c r="B14" s="47">
        <v>229</v>
      </c>
      <c r="C14" s="39">
        <f>IF(B$3=0,0,B14/B$3)</f>
        <v>0.17218045112781954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5">
      <c r="A15" s="54" t="s">
        <v>124</v>
      </c>
      <c r="B15" s="46">
        <v>231</v>
      </c>
      <c r="C15" s="37">
        <f>IF(B$13=0,0,B15/B$13)</f>
        <v>0.58629441624365486</v>
      </c>
      <c r="E15" s="63" t="s">
        <v>78</v>
      </c>
      <c r="F15" s="60" t="s">
        <v>33</v>
      </c>
      <c r="G15" s="47">
        <v>1</v>
      </c>
      <c r="H15" s="133">
        <f t="shared" si="0"/>
        <v>2.7100271002710027E-3</v>
      </c>
      <c r="I15" s="94">
        <v>8</v>
      </c>
      <c r="K15" s="38">
        <v>13</v>
      </c>
      <c r="L15" s="99">
        <v>-81.900000000000006</v>
      </c>
      <c r="N15" s="114" t="s">
        <v>184</v>
      </c>
      <c r="O15" s="124">
        <f t="shared" ref="O15:O22" si="3">IF(P15=0,0,Q15/P15)</f>
        <v>21.07</v>
      </c>
      <c r="P15" s="118">
        <v>10</v>
      </c>
      <c r="Q15" s="106">
        <v>210.70000000000002</v>
      </c>
    </row>
    <row r="16" spans="1:17" x14ac:dyDescent="0.45">
      <c r="A16" s="54" t="s">
        <v>125</v>
      </c>
      <c r="B16" s="46">
        <v>73</v>
      </c>
      <c r="C16" s="37">
        <f>IF(B$14=0,0,B16/B$14)</f>
        <v>0.31877729257641924</v>
      </c>
      <c r="E16" s="63" t="s">
        <v>79</v>
      </c>
      <c r="F16" s="60" t="s">
        <v>34</v>
      </c>
      <c r="G16" s="47">
        <v>8</v>
      </c>
      <c r="H16" s="133">
        <f t="shared" si="0"/>
        <v>2.1680216802168022E-2</v>
      </c>
      <c r="I16" s="94">
        <v>9</v>
      </c>
      <c r="K16" s="38">
        <v>14</v>
      </c>
      <c r="L16" s="99">
        <v>-25.600000000000009</v>
      </c>
      <c r="N16" s="115" t="s">
        <v>173</v>
      </c>
      <c r="O16" s="125">
        <f t="shared" si="3"/>
        <v>9.2423076923076923</v>
      </c>
      <c r="P16" s="119">
        <v>26</v>
      </c>
      <c r="Q16" s="107">
        <v>240.29999999999998</v>
      </c>
    </row>
    <row r="17" spans="1:17" x14ac:dyDescent="0.45">
      <c r="A17" s="54" t="s">
        <v>10</v>
      </c>
      <c r="B17" s="46">
        <f>B19+B18</f>
        <v>369</v>
      </c>
      <c r="C17" s="37">
        <f>IF(B$3=0,0,B17/B$3)</f>
        <v>0.27744360902255638</v>
      </c>
      <c r="E17" s="63" t="s">
        <v>80</v>
      </c>
      <c r="F17" s="60" t="s">
        <v>35</v>
      </c>
      <c r="G17" s="47">
        <v>7</v>
      </c>
      <c r="H17" s="133">
        <f t="shared" si="0"/>
        <v>1.8970189701897018E-2</v>
      </c>
      <c r="I17" s="94">
        <v>5</v>
      </c>
      <c r="K17" s="38">
        <v>15</v>
      </c>
      <c r="L17" s="99">
        <v>47.999999999999986</v>
      </c>
      <c r="N17" s="115" t="s">
        <v>129</v>
      </c>
      <c r="O17" s="125">
        <f t="shared" si="3"/>
        <v>4.3045454545454529</v>
      </c>
      <c r="P17" s="119">
        <v>66</v>
      </c>
      <c r="Q17" s="107">
        <v>284.09999999999991</v>
      </c>
    </row>
    <row r="18" spans="1:17" x14ac:dyDescent="0.45">
      <c r="A18" s="55" t="s">
        <v>12</v>
      </c>
      <c r="B18" s="47">
        <v>163</v>
      </c>
      <c r="C18" s="39">
        <f>IF(B$17=0,0,B18/B$17)</f>
        <v>0.44173441734417346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K18" s="38">
        <v>16</v>
      </c>
      <c r="L18" s="99">
        <v>41.699999999999989</v>
      </c>
      <c r="N18" s="115" t="s">
        <v>177</v>
      </c>
      <c r="O18" s="125">
        <f t="shared" si="3"/>
        <v>0.50909090909090871</v>
      </c>
      <c r="P18" s="119">
        <v>33</v>
      </c>
      <c r="Q18" s="107">
        <v>16.799999999999986</v>
      </c>
    </row>
    <row r="19" spans="1:17" x14ac:dyDescent="0.45">
      <c r="A19" s="55" t="s">
        <v>11</v>
      </c>
      <c r="B19" s="47">
        <v>206</v>
      </c>
      <c r="C19" s="39">
        <f>IF(B$17=0,0,B19/B$17)</f>
        <v>0.5582655826558266</v>
      </c>
      <c r="E19" s="63" t="s">
        <v>82</v>
      </c>
      <c r="F19" s="60" t="s">
        <v>37</v>
      </c>
      <c r="G19" s="47">
        <v>11</v>
      </c>
      <c r="H19" s="133">
        <f t="shared" si="0"/>
        <v>2.9810298102981029E-2</v>
      </c>
      <c r="I19" s="94">
        <v>5</v>
      </c>
      <c r="K19" s="38">
        <v>17</v>
      </c>
      <c r="L19" s="99">
        <v>94.6</v>
      </c>
      <c r="N19" s="115" t="s">
        <v>171</v>
      </c>
      <c r="O19" s="125">
        <f t="shared" si="3"/>
        <v>-0.24736842105262649</v>
      </c>
      <c r="P19" s="119">
        <v>38</v>
      </c>
      <c r="Q19" s="107">
        <v>-9.3999999999998067</v>
      </c>
    </row>
    <row r="20" spans="1:17" x14ac:dyDescent="0.45">
      <c r="A20" s="55" t="s">
        <v>13</v>
      </c>
      <c r="B20" s="47">
        <v>243</v>
      </c>
      <c r="C20" s="39">
        <f>IF(B$3=0,0,B20/B$3)</f>
        <v>0.18270676691729323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116.69999999999999</v>
      </c>
      <c r="N20" s="115" t="s">
        <v>172</v>
      </c>
      <c r="O20" s="125">
        <f t="shared" si="3"/>
        <v>-0.40270270270270153</v>
      </c>
      <c r="P20" s="119">
        <v>37</v>
      </c>
      <c r="Q20" s="107">
        <v>-14.899999999999956</v>
      </c>
    </row>
    <row r="21" spans="1:17" x14ac:dyDescent="0.45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15</v>
      </c>
      <c r="H21" s="133">
        <f t="shared" si="0"/>
        <v>4.065040650406504E-2</v>
      </c>
      <c r="I21" s="94">
        <v>9</v>
      </c>
      <c r="K21" s="38">
        <v>19</v>
      </c>
      <c r="L21" s="99">
        <v>138.79999999999998</v>
      </c>
      <c r="N21" s="115" t="s">
        <v>200</v>
      </c>
      <c r="O21" s="125">
        <f t="shared" si="3"/>
        <v>-5.5000000000000018</v>
      </c>
      <c r="P21" s="119">
        <v>2</v>
      </c>
      <c r="Q21" s="107">
        <v>-11.000000000000004</v>
      </c>
    </row>
    <row r="22" spans="1:17" x14ac:dyDescent="0.45">
      <c r="A22" s="55" t="s">
        <v>192</v>
      </c>
      <c r="B22" s="47">
        <v>24</v>
      </c>
      <c r="C22" s="135">
        <v>0</v>
      </c>
      <c r="E22" s="63" t="s">
        <v>85</v>
      </c>
      <c r="F22" s="60" t="s">
        <v>40</v>
      </c>
      <c r="G22" s="47">
        <v>1</v>
      </c>
      <c r="H22" s="133">
        <f t="shared" si="0"/>
        <v>2.7100271002710027E-3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 t="shared" si="3"/>
        <v>-19.544642857142861</v>
      </c>
      <c r="P22" s="119">
        <v>112</v>
      </c>
      <c r="Q22" s="107">
        <v>-2189.0000000000005</v>
      </c>
    </row>
    <row r="23" spans="1:17" x14ac:dyDescent="0.45">
      <c r="A23" s="55" t="s">
        <v>5</v>
      </c>
      <c r="B23" s="51">
        <f>IF(B$17=0,0,C23/B$17)</f>
        <v>8953.6585365853662</v>
      </c>
      <c r="C23" s="41">
        <v>3303900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  <c r="K23" s="38">
        <v>21</v>
      </c>
      <c r="L23" s="99">
        <v>204.09999999999997</v>
      </c>
    </row>
    <row r="24" spans="1:17" x14ac:dyDescent="0.45">
      <c r="A24" s="57" t="s">
        <v>14</v>
      </c>
      <c r="B24" s="52">
        <f>IF(B$20=0,0,C24/B$20)</f>
        <v>-7664.1975308641977</v>
      </c>
      <c r="C24" s="45">
        <v>-1862400</v>
      </c>
      <c r="E24" s="63" t="s">
        <v>87</v>
      </c>
      <c r="F24" s="60" t="s">
        <v>42</v>
      </c>
      <c r="G24" s="47">
        <v>20</v>
      </c>
      <c r="H24" s="133">
        <f t="shared" si="0"/>
        <v>5.4200542005420058E-2</v>
      </c>
      <c r="I24" s="94">
        <v>8</v>
      </c>
      <c r="K24" s="38">
        <v>22</v>
      </c>
      <c r="L24" s="99">
        <v>239.39999999999998</v>
      </c>
    </row>
    <row r="25" spans="1:17" x14ac:dyDescent="0.45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7</v>
      </c>
      <c r="K25" s="38">
        <v>23</v>
      </c>
      <c r="L25" s="99">
        <v>245.49999999999997</v>
      </c>
    </row>
    <row r="26" spans="1:17" x14ac:dyDescent="0.45">
      <c r="A26" s="58" t="s">
        <v>152</v>
      </c>
      <c r="B26" s="142">
        <v>107600</v>
      </c>
      <c r="C26" s="143"/>
      <c r="E26" s="63" t="s">
        <v>89</v>
      </c>
      <c r="F26" s="60" t="s">
        <v>44</v>
      </c>
      <c r="G26" s="47">
        <v>1</v>
      </c>
      <c r="H26" s="133">
        <f t="shared" si="0"/>
        <v>2.7100271002710027E-3</v>
      </c>
      <c r="I26" s="94">
        <v>3</v>
      </c>
      <c r="K26" s="38">
        <v>24</v>
      </c>
      <c r="L26" s="99">
        <v>240.39999999999998</v>
      </c>
    </row>
    <row r="27" spans="1:17" x14ac:dyDescent="0.45">
      <c r="A27" s="57" t="s">
        <v>143</v>
      </c>
      <c r="B27" s="65">
        <v>6</v>
      </c>
      <c r="C27" s="42">
        <f>IF(B$3=0,0,B27/B$3)</f>
        <v>4.5112781954887221E-3</v>
      </c>
      <c r="E27" s="63" t="s">
        <v>90</v>
      </c>
      <c r="F27" s="60" t="s">
        <v>45</v>
      </c>
      <c r="G27" s="47">
        <v>43</v>
      </c>
      <c r="H27" s="133">
        <f t="shared" si="0"/>
        <v>0.11653116531165311</v>
      </c>
      <c r="I27" s="94">
        <v>9</v>
      </c>
      <c r="K27" s="38">
        <v>25</v>
      </c>
      <c r="L27" s="99">
        <v>245.59999999999997</v>
      </c>
    </row>
    <row r="28" spans="1:17" x14ac:dyDescent="0.45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5</v>
      </c>
      <c r="K28" s="38">
        <v>26</v>
      </c>
      <c r="L28" s="99">
        <v>237.69999999999996</v>
      </c>
    </row>
    <row r="29" spans="1:17" x14ac:dyDescent="0.45">
      <c r="E29" s="63" t="s">
        <v>92</v>
      </c>
      <c r="F29" s="60" t="s">
        <v>47</v>
      </c>
      <c r="G29" s="47">
        <v>7</v>
      </c>
      <c r="H29" s="133">
        <f t="shared" si="0"/>
        <v>1.8970189701897018E-2</v>
      </c>
      <c r="I29" s="94">
        <v>6</v>
      </c>
      <c r="K29" s="38">
        <v>27</v>
      </c>
      <c r="L29" s="99">
        <v>236.69999999999996</v>
      </c>
    </row>
    <row r="30" spans="1:17" x14ac:dyDescent="0.45">
      <c r="E30" s="63" t="s">
        <v>93</v>
      </c>
      <c r="F30" s="60" t="s">
        <v>48</v>
      </c>
      <c r="G30" s="47">
        <v>1</v>
      </c>
      <c r="H30" s="133">
        <f t="shared" si="0"/>
        <v>2.7100271002710027E-3</v>
      </c>
      <c r="I30" s="94">
        <v>6</v>
      </c>
      <c r="K30" s="38">
        <v>28</v>
      </c>
      <c r="L30" s="99">
        <v>191.39999999999998</v>
      </c>
    </row>
    <row r="31" spans="1:17" x14ac:dyDescent="0.45">
      <c r="E31" s="63" t="s">
        <v>94</v>
      </c>
      <c r="F31" s="60" t="s">
        <v>49</v>
      </c>
      <c r="G31" s="47">
        <v>1</v>
      </c>
      <c r="H31" s="133">
        <f t="shared" si="0"/>
        <v>2.7100271002710027E-3</v>
      </c>
      <c r="I31" s="94">
        <v>6</v>
      </c>
      <c r="K31" s="38">
        <v>29</v>
      </c>
      <c r="L31" s="99">
        <v>182.49999999999997</v>
      </c>
    </row>
    <row r="32" spans="1:17" x14ac:dyDescent="0.45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178.99999999999997</v>
      </c>
    </row>
    <row r="33" spans="5:12" x14ac:dyDescent="0.45">
      <c r="E33" s="63" t="s">
        <v>96</v>
      </c>
      <c r="F33" s="60" t="s">
        <v>51</v>
      </c>
      <c r="G33" s="47">
        <v>1</v>
      </c>
      <c r="H33" s="133">
        <f t="shared" si="0"/>
        <v>2.7100271002710027E-3</v>
      </c>
      <c r="I33" s="94">
        <v>1</v>
      </c>
      <c r="K33" s="38">
        <v>31</v>
      </c>
      <c r="L33" s="99">
        <v>186.99999999999997</v>
      </c>
    </row>
    <row r="34" spans="5:12" x14ac:dyDescent="0.45">
      <c r="E34" s="63" t="s">
        <v>97</v>
      </c>
      <c r="F34" s="60" t="s">
        <v>52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5">
      <c r="E35" s="63" t="s">
        <v>98</v>
      </c>
      <c r="F35" s="60" t="s">
        <v>53</v>
      </c>
      <c r="G35" s="47">
        <v>0</v>
      </c>
      <c r="H35" s="133">
        <f t="shared" si="4"/>
        <v>0</v>
      </c>
      <c r="I35" s="94">
        <v>3</v>
      </c>
      <c r="K35" s="38">
        <v>33</v>
      </c>
      <c r="L35" s="99">
        <v>230.89999999999998</v>
      </c>
    </row>
    <row r="36" spans="5:12" x14ac:dyDescent="0.45">
      <c r="E36" s="63" t="s">
        <v>99</v>
      </c>
      <c r="F36" s="60" t="s">
        <v>54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235.49999999999997</v>
      </c>
    </row>
    <row r="37" spans="5:12" x14ac:dyDescent="0.45">
      <c r="E37" s="63" t="s">
        <v>100</v>
      </c>
      <c r="F37" s="60" t="s">
        <v>55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232.99999999999997</v>
      </c>
    </row>
    <row r="38" spans="5:12" x14ac:dyDescent="0.45">
      <c r="E38" s="63" t="s">
        <v>101</v>
      </c>
      <c r="F38" s="60" t="s">
        <v>56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176.99999999999997</v>
      </c>
    </row>
    <row r="39" spans="5:12" x14ac:dyDescent="0.45">
      <c r="E39" s="63" t="s">
        <v>102</v>
      </c>
      <c r="F39" s="60" t="s">
        <v>57</v>
      </c>
      <c r="G39" s="47">
        <v>0</v>
      </c>
      <c r="H39" s="133">
        <f t="shared" si="4"/>
        <v>0</v>
      </c>
      <c r="I39" s="94">
        <v>3</v>
      </c>
      <c r="K39" s="38">
        <v>37</v>
      </c>
      <c r="L39" s="99">
        <v>189.39999999999998</v>
      </c>
    </row>
    <row r="40" spans="5:12" x14ac:dyDescent="0.45">
      <c r="E40" s="63" t="s">
        <v>103</v>
      </c>
      <c r="F40" s="60" t="s">
        <v>58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129.09999999999997</v>
      </c>
    </row>
    <row r="41" spans="5:12" x14ac:dyDescent="0.45">
      <c r="E41" s="63" t="s">
        <v>104</v>
      </c>
      <c r="F41" s="60" t="s">
        <v>59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127.59999999999997</v>
      </c>
    </row>
    <row r="42" spans="5:12" x14ac:dyDescent="0.45">
      <c r="E42" s="63" t="s">
        <v>105</v>
      </c>
      <c r="F42" s="60" t="s">
        <v>60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174.99999999999997</v>
      </c>
    </row>
    <row r="43" spans="5:12" x14ac:dyDescent="0.45">
      <c r="E43" s="63" t="s">
        <v>106</v>
      </c>
      <c r="F43" s="60" t="s">
        <v>113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248.59999999999997</v>
      </c>
    </row>
    <row r="44" spans="5:12" x14ac:dyDescent="0.45">
      <c r="E44" s="63" t="s">
        <v>107</v>
      </c>
      <c r="F44" s="60" t="s">
        <v>114</v>
      </c>
      <c r="G44" s="47">
        <v>0</v>
      </c>
      <c r="H44" s="133">
        <f t="shared" si="4"/>
        <v>0</v>
      </c>
      <c r="I44" s="94">
        <v>3</v>
      </c>
      <c r="K44" s="38">
        <v>42</v>
      </c>
      <c r="L44" s="99">
        <v>214.99999999999997</v>
      </c>
    </row>
    <row r="45" spans="5:12" x14ac:dyDescent="0.45">
      <c r="E45" s="63" t="s">
        <v>108</v>
      </c>
      <c r="F45" s="60" t="s">
        <v>115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230.09999999999997</v>
      </c>
    </row>
    <row r="46" spans="5:12" x14ac:dyDescent="0.45">
      <c r="E46" s="63" t="s">
        <v>109</v>
      </c>
      <c r="F46" s="60" t="s">
        <v>61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169.19999999999996</v>
      </c>
    </row>
    <row r="47" spans="5:12" x14ac:dyDescent="0.45">
      <c r="E47" s="63" t="s">
        <v>110</v>
      </c>
      <c r="F47" s="60" t="s">
        <v>62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111.49999999999996</v>
      </c>
    </row>
    <row r="48" spans="5:12" x14ac:dyDescent="0.45">
      <c r="E48" s="63" t="s">
        <v>111</v>
      </c>
      <c r="F48" s="60" t="s">
        <v>63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55.999999999999957</v>
      </c>
    </row>
    <row r="49" spans="5:12" x14ac:dyDescent="0.45">
      <c r="E49" s="63" t="s">
        <v>112</v>
      </c>
      <c r="F49" s="60" t="s">
        <v>64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-3.9000000000000412</v>
      </c>
    </row>
    <row r="50" spans="5:12" x14ac:dyDescent="0.45">
      <c r="E50" s="63" t="s">
        <v>180</v>
      </c>
      <c r="F50" s="60" t="s">
        <v>181</v>
      </c>
      <c r="G50" s="47">
        <v>8</v>
      </c>
      <c r="H50" s="133">
        <f t="shared" si="4"/>
        <v>2.1680216802168022E-2</v>
      </c>
      <c r="I50" s="94">
        <v>3</v>
      </c>
      <c r="K50" s="38">
        <v>48</v>
      </c>
      <c r="L50" s="99">
        <v>50.599999999999959</v>
      </c>
    </row>
    <row r="51" spans="5:12" x14ac:dyDescent="0.45">
      <c r="E51" s="136" t="s">
        <v>245</v>
      </c>
      <c r="F51" s="137" t="s">
        <v>246</v>
      </c>
      <c r="G51" s="48">
        <v>156</v>
      </c>
      <c r="H51" s="138">
        <f t="shared" si="4"/>
        <v>0.42276422764227645</v>
      </c>
      <c r="I51" s="139">
        <v>5</v>
      </c>
      <c r="K51" s="38">
        <v>49</v>
      </c>
      <c r="L51" s="99">
        <v>-4.8000000000000398</v>
      </c>
    </row>
    <row r="52" spans="5:12" x14ac:dyDescent="0.45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-0.70000000000004015</v>
      </c>
    </row>
    <row r="53" spans="5:12" x14ac:dyDescent="0.45">
      <c r="K53" s="38">
        <v>51</v>
      </c>
      <c r="L53" s="99">
        <v>-29.30000000000004</v>
      </c>
    </row>
    <row r="54" spans="5:12" x14ac:dyDescent="0.45">
      <c r="K54" s="38">
        <v>52</v>
      </c>
      <c r="L54" s="99">
        <v>-55.600000000000037</v>
      </c>
    </row>
    <row r="55" spans="5:12" x14ac:dyDescent="0.45">
      <c r="K55" s="38">
        <v>53</v>
      </c>
      <c r="L55" s="99">
        <v>-95.100000000000037</v>
      </c>
    </row>
    <row r="56" spans="5:12" x14ac:dyDescent="0.45">
      <c r="K56" s="38">
        <v>54</v>
      </c>
      <c r="L56" s="99">
        <v>-91.000000000000043</v>
      </c>
    </row>
    <row r="57" spans="5:12" x14ac:dyDescent="0.45">
      <c r="K57" s="38">
        <v>55</v>
      </c>
      <c r="L57" s="99">
        <v>-12.000000000000043</v>
      </c>
    </row>
    <row r="58" spans="5:12" x14ac:dyDescent="0.45">
      <c r="K58" s="38">
        <v>56</v>
      </c>
      <c r="L58" s="99">
        <v>-46.000000000000043</v>
      </c>
    </row>
    <row r="59" spans="5:12" x14ac:dyDescent="0.45">
      <c r="K59" s="38">
        <v>57</v>
      </c>
      <c r="L59" s="99">
        <v>-59.000000000000043</v>
      </c>
    </row>
    <row r="60" spans="5:12" x14ac:dyDescent="0.45">
      <c r="K60" s="38">
        <v>58</v>
      </c>
      <c r="L60" s="99">
        <v>-62.100000000000044</v>
      </c>
    </row>
    <row r="61" spans="5:12" x14ac:dyDescent="0.45">
      <c r="K61" s="38">
        <v>59</v>
      </c>
      <c r="L61" s="99">
        <v>-56.700000000000045</v>
      </c>
    </row>
    <row r="62" spans="5:12" x14ac:dyDescent="0.45">
      <c r="K62" s="38">
        <v>60</v>
      </c>
      <c r="L62" s="99">
        <v>-117.90000000000005</v>
      </c>
    </row>
    <row r="63" spans="5:12" x14ac:dyDescent="0.45">
      <c r="K63" s="38">
        <v>61</v>
      </c>
      <c r="L63" s="99">
        <v>-89.600000000000051</v>
      </c>
    </row>
    <row r="64" spans="5:12" x14ac:dyDescent="0.45">
      <c r="K64" s="38">
        <v>62</v>
      </c>
      <c r="L64" s="99">
        <v>-97.200000000000045</v>
      </c>
    </row>
    <row r="65" spans="11:12" x14ac:dyDescent="0.45">
      <c r="K65" s="38">
        <v>63</v>
      </c>
      <c r="L65" s="99">
        <v>-144.20000000000005</v>
      </c>
    </row>
    <row r="66" spans="11:12" x14ac:dyDescent="0.45">
      <c r="K66" s="38">
        <v>64</v>
      </c>
      <c r="L66" s="99">
        <v>-141.30000000000004</v>
      </c>
    </row>
    <row r="67" spans="11:12" x14ac:dyDescent="0.45">
      <c r="K67" s="38">
        <v>65</v>
      </c>
      <c r="L67" s="99">
        <v>-111.00000000000004</v>
      </c>
    </row>
    <row r="68" spans="11:12" x14ac:dyDescent="0.45">
      <c r="K68" s="38">
        <v>66</v>
      </c>
      <c r="L68" s="99">
        <v>-116.50000000000004</v>
      </c>
    </row>
    <row r="69" spans="11:12" x14ac:dyDescent="0.45">
      <c r="K69" s="38">
        <v>67</v>
      </c>
      <c r="L69" s="99">
        <v>-149.40000000000003</v>
      </c>
    </row>
    <row r="70" spans="11:12" x14ac:dyDescent="0.45">
      <c r="K70" s="38">
        <v>68</v>
      </c>
      <c r="L70" s="99">
        <v>-104.30000000000004</v>
      </c>
    </row>
    <row r="71" spans="11:12" x14ac:dyDescent="0.45">
      <c r="K71" s="38">
        <v>69</v>
      </c>
      <c r="L71" s="99">
        <v>-58.900000000000041</v>
      </c>
    </row>
    <row r="72" spans="11:12" x14ac:dyDescent="0.45">
      <c r="K72" s="38">
        <v>70</v>
      </c>
      <c r="L72" s="99">
        <v>-117.60000000000005</v>
      </c>
    </row>
    <row r="73" spans="11:12" x14ac:dyDescent="0.45">
      <c r="K73" s="38">
        <v>71</v>
      </c>
      <c r="L73" s="99">
        <v>-110.90000000000005</v>
      </c>
    </row>
    <row r="74" spans="11:12" x14ac:dyDescent="0.45">
      <c r="K74" s="38">
        <v>72</v>
      </c>
      <c r="L74" s="99">
        <v>-104.80000000000005</v>
      </c>
    </row>
    <row r="75" spans="11:12" x14ac:dyDescent="0.45">
      <c r="K75" s="38">
        <v>73</v>
      </c>
      <c r="L75" s="99">
        <v>-157.60000000000005</v>
      </c>
    </row>
    <row r="76" spans="11:12" x14ac:dyDescent="0.45">
      <c r="K76" s="38">
        <v>74</v>
      </c>
      <c r="L76" s="99">
        <v>-75.300000000000054</v>
      </c>
    </row>
    <row r="77" spans="11:12" x14ac:dyDescent="0.45">
      <c r="K77" s="38">
        <v>75</v>
      </c>
      <c r="L77" s="99">
        <v>-52.900000000000055</v>
      </c>
    </row>
    <row r="78" spans="11:12" x14ac:dyDescent="0.45">
      <c r="K78" s="38">
        <v>76</v>
      </c>
      <c r="L78" s="99">
        <v>-77.500000000000057</v>
      </c>
    </row>
    <row r="79" spans="11:12" x14ac:dyDescent="0.45">
      <c r="K79" s="38">
        <v>77</v>
      </c>
      <c r="L79" s="99">
        <v>-82.800000000000054</v>
      </c>
    </row>
    <row r="80" spans="11:12" x14ac:dyDescent="0.45">
      <c r="K80" s="38">
        <v>78</v>
      </c>
      <c r="L80" s="99">
        <v>-95.400000000000048</v>
      </c>
    </row>
    <row r="81" spans="11:12" x14ac:dyDescent="0.45">
      <c r="K81" s="38">
        <v>79</v>
      </c>
      <c r="L81" s="99">
        <v>-29.200000000000045</v>
      </c>
    </row>
    <row r="82" spans="11:12" x14ac:dyDescent="0.45">
      <c r="K82" s="38">
        <v>80</v>
      </c>
      <c r="L82" s="99">
        <v>-64.80000000000004</v>
      </c>
    </row>
    <row r="83" spans="11:12" x14ac:dyDescent="0.45">
      <c r="K83" s="38">
        <v>81</v>
      </c>
      <c r="L83" s="99">
        <v>-101.60000000000004</v>
      </c>
    </row>
    <row r="84" spans="11:12" x14ac:dyDescent="0.45">
      <c r="K84" s="38">
        <v>82</v>
      </c>
      <c r="L84" s="99">
        <v>-91.600000000000037</v>
      </c>
    </row>
    <row r="85" spans="11:12" x14ac:dyDescent="0.45">
      <c r="K85" s="38">
        <v>83</v>
      </c>
      <c r="L85" s="99">
        <v>-49.100000000000037</v>
      </c>
    </row>
    <row r="86" spans="11:12" x14ac:dyDescent="0.45">
      <c r="K86" s="38">
        <v>84</v>
      </c>
      <c r="L86" s="99">
        <v>-56.100000000000037</v>
      </c>
    </row>
    <row r="87" spans="11:12" x14ac:dyDescent="0.45">
      <c r="K87" s="38">
        <v>85</v>
      </c>
      <c r="L87" s="99">
        <v>-90.30000000000004</v>
      </c>
    </row>
    <row r="88" spans="11:12" x14ac:dyDescent="0.45">
      <c r="K88" s="38">
        <v>86</v>
      </c>
      <c r="L88" s="99">
        <v>-148.80000000000004</v>
      </c>
    </row>
    <row r="89" spans="11:12" x14ac:dyDescent="0.45">
      <c r="K89" s="38">
        <v>87</v>
      </c>
      <c r="L89" s="99">
        <v>-226.80000000000004</v>
      </c>
    </row>
    <row r="90" spans="11:12" x14ac:dyDescent="0.45">
      <c r="K90" s="38">
        <v>88</v>
      </c>
      <c r="L90" s="99">
        <v>-218.00000000000003</v>
      </c>
    </row>
    <row r="91" spans="11:12" x14ac:dyDescent="0.45">
      <c r="K91" s="38">
        <v>89</v>
      </c>
      <c r="L91" s="99">
        <v>-208.40000000000003</v>
      </c>
    </row>
    <row r="92" spans="11:12" x14ac:dyDescent="0.45">
      <c r="K92" s="38">
        <v>90</v>
      </c>
      <c r="L92" s="99">
        <v>-273.5</v>
      </c>
    </row>
    <row r="93" spans="11:12" x14ac:dyDescent="0.45">
      <c r="K93" s="38">
        <v>91</v>
      </c>
      <c r="L93" s="99">
        <v>-241.9</v>
      </c>
    </row>
    <row r="94" spans="11:12" x14ac:dyDescent="0.45">
      <c r="K94" s="38">
        <v>92</v>
      </c>
      <c r="L94" s="99">
        <v>-273.60000000000002</v>
      </c>
    </row>
    <row r="95" spans="11:12" x14ac:dyDescent="0.45">
      <c r="K95" s="38">
        <v>93</v>
      </c>
      <c r="L95" s="99">
        <v>-210.50000000000003</v>
      </c>
    </row>
    <row r="96" spans="11:12" x14ac:dyDescent="0.45">
      <c r="K96" s="38">
        <v>94</v>
      </c>
      <c r="L96" s="99">
        <v>-221.00000000000003</v>
      </c>
    </row>
    <row r="97" spans="11:12" x14ac:dyDescent="0.45">
      <c r="K97" s="38">
        <v>95</v>
      </c>
      <c r="L97" s="99">
        <v>-254.3</v>
      </c>
    </row>
    <row r="98" spans="11:12" x14ac:dyDescent="0.45">
      <c r="K98" s="38">
        <v>96</v>
      </c>
      <c r="L98" s="99">
        <v>-293.90000000000003</v>
      </c>
    </row>
    <row r="99" spans="11:12" x14ac:dyDescent="0.45">
      <c r="K99" s="38">
        <v>97</v>
      </c>
      <c r="L99" s="99">
        <v>-323.70000000000005</v>
      </c>
    </row>
    <row r="100" spans="11:12" x14ac:dyDescent="0.45">
      <c r="K100" s="38">
        <v>98</v>
      </c>
      <c r="L100" s="99">
        <v>-382.90000000000003</v>
      </c>
    </row>
    <row r="101" spans="11:12" x14ac:dyDescent="0.45">
      <c r="K101" s="38">
        <v>99</v>
      </c>
      <c r="L101" s="99">
        <v>-347.50000000000006</v>
      </c>
    </row>
    <row r="102" spans="11:12" x14ac:dyDescent="0.45">
      <c r="K102" s="38">
        <v>100</v>
      </c>
      <c r="L102" s="99">
        <v>-405.00000000000006</v>
      </c>
    </row>
    <row r="103" spans="11:12" x14ac:dyDescent="0.45">
      <c r="K103" s="38">
        <v>101</v>
      </c>
      <c r="L103" s="99">
        <v>-377.80000000000007</v>
      </c>
    </row>
    <row r="104" spans="11:12" x14ac:dyDescent="0.45">
      <c r="K104" s="38">
        <v>102</v>
      </c>
      <c r="L104" s="99">
        <v>-414.00000000000006</v>
      </c>
    </row>
    <row r="105" spans="11:12" x14ac:dyDescent="0.45">
      <c r="K105" s="38">
        <v>103</v>
      </c>
      <c r="L105" s="99">
        <v>-428.50000000000006</v>
      </c>
    </row>
    <row r="106" spans="11:12" x14ac:dyDescent="0.45">
      <c r="K106" s="38">
        <v>104</v>
      </c>
      <c r="L106" s="99">
        <v>-438.90000000000003</v>
      </c>
    </row>
    <row r="107" spans="11:12" x14ac:dyDescent="0.45">
      <c r="K107" s="38">
        <v>105</v>
      </c>
      <c r="L107" s="99">
        <v>-363.70000000000005</v>
      </c>
    </row>
    <row r="108" spans="11:12" x14ac:dyDescent="0.45">
      <c r="K108" s="38">
        <v>106</v>
      </c>
      <c r="L108" s="99">
        <v>-394.30000000000007</v>
      </c>
    </row>
    <row r="109" spans="11:12" x14ac:dyDescent="0.45">
      <c r="K109" s="38">
        <v>107</v>
      </c>
      <c r="L109" s="99">
        <v>-349.50000000000006</v>
      </c>
    </row>
    <row r="110" spans="11:12" x14ac:dyDescent="0.45">
      <c r="K110" s="38">
        <v>108</v>
      </c>
      <c r="L110" s="99">
        <v>-287.00000000000006</v>
      </c>
    </row>
    <row r="111" spans="11:12" x14ac:dyDescent="0.45">
      <c r="K111" s="38">
        <v>109</v>
      </c>
      <c r="L111" s="99">
        <v>-324.70000000000005</v>
      </c>
    </row>
    <row r="112" spans="11:12" x14ac:dyDescent="0.45">
      <c r="K112" s="38">
        <v>110</v>
      </c>
      <c r="L112" s="99">
        <v>-304.20000000000005</v>
      </c>
    </row>
    <row r="113" spans="11:12" x14ac:dyDescent="0.45">
      <c r="K113" s="38">
        <v>111</v>
      </c>
      <c r="L113" s="99">
        <v>-296.80000000000007</v>
      </c>
    </row>
    <row r="114" spans="11:12" x14ac:dyDescent="0.45">
      <c r="K114" s="38">
        <v>112</v>
      </c>
      <c r="L114" s="99">
        <v>-307.60000000000008</v>
      </c>
    </row>
    <row r="115" spans="11:12" x14ac:dyDescent="0.45">
      <c r="K115" s="38">
        <v>113</v>
      </c>
      <c r="L115" s="99">
        <v>-323.7000000000001</v>
      </c>
    </row>
    <row r="116" spans="11:12" x14ac:dyDescent="0.45">
      <c r="K116" s="38">
        <v>114</v>
      </c>
      <c r="L116" s="99">
        <v>-248.90000000000009</v>
      </c>
    </row>
    <row r="117" spans="11:12" x14ac:dyDescent="0.45">
      <c r="K117" s="38">
        <v>115</v>
      </c>
      <c r="L117" s="99">
        <v>-327.60000000000008</v>
      </c>
    </row>
    <row r="118" spans="11:12" x14ac:dyDescent="0.45">
      <c r="K118" s="38">
        <v>116</v>
      </c>
      <c r="L118" s="99">
        <v>-316.00000000000006</v>
      </c>
    </row>
    <row r="119" spans="11:12" x14ac:dyDescent="0.45">
      <c r="K119" s="38">
        <v>117</v>
      </c>
      <c r="L119" s="99">
        <v>-313.40000000000003</v>
      </c>
    </row>
    <row r="120" spans="11:12" x14ac:dyDescent="0.45">
      <c r="K120" s="38">
        <v>118</v>
      </c>
      <c r="L120" s="99">
        <v>-324.50000000000006</v>
      </c>
    </row>
    <row r="121" spans="11:12" x14ac:dyDescent="0.45">
      <c r="K121" s="38">
        <v>119</v>
      </c>
      <c r="L121" s="99">
        <v>-346.70000000000005</v>
      </c>
    </row>
    <row r="122" spans="11:12" x14ac:dyDescent="0.45">
      <c r="K122" s="38">
        <v>120</v>
      </c>
      <c r="L122" s="99">
        <v>-371.00000000000006</v>
      </c>
    </row>
    <row r="123" spans="11:12" x14ac:dyDescent="0.45">
      <c r="K123" s="38">
        <v>121</v>
      </c>
      <c r="L123" s="99">
        <v>-422.10000000000008</v>
      </c>
    </row>
    <row r="124" spans="11:12" x14ac:dyDescent="0.45">
      <c r="K124" s="38">
        <v>122</v>
      </c>
      <c r="L124" s="99">
        <v>-478.00000000000006</v>
      </c>
    </row>
    <row r="125" spans="11:12" x14ac:dyDescent="0.45">
      <c r="K125" s="38">
        <v>123</v>
      </c>
      <c r="L125" s="99">
        <v>-426.70000000000005</v>
      </c>
    </row>
    <row r="126" spans="11:12" x14ac:dyDescent="0.45">
      <c r="K126" s="38">
        <v>124</v>
      </c>
      <c r="L126" s="99">
        <v>-484.40000000000003</v>
      </c>
    </row>
    <row r="127" spans="11:12" x14ac:dyDescent="0.45">
      <c r="K127" s="38">
        <v>125</v>
      </c>
      <c r="L127" s="99">
        <v>-449.70000000000005</v>
      </c>
    </row>
    <row r="128" spans="11:12" x14ac:dyDescent="0.45">
      <c r="K128" s="38">
        <v>126</v>
      </c>
      <c r="L128" s="99">
        <v>-438.1</v>
      </c>
    </row>
    <row r="129" spans="11:12" x14ac:dyDescent="0.45">
      <c r="K129" s="38">
        <v>127</v>
      </c>
      <c r="L129" s="99">
        <v>-345.5</v>
      </c>
    </row>
    <row r="130" spans="11:12" x14ac:dyDescent="0.45">
      <c r="K130" s="38">
        <v>128</v>
      </c>
      <c r="L130" s="99">
        <v>-355.2</v>
      </c>
    </row>
    <row r="131" spans="11:12" x14ac:dyDescent="0.45">
      <c r="K131" s="38">
        <v>129</v>
      </c>
      <c r="L131" s="99">
        <v>-310.2</v>
      </c>
    </row>
    <row r="132" spans="11:12" x14ac:dyDescent="0.45">
      <c r="K132" s="38">
        <v>130</v>
      </c>
      <c r="L132" s="99">
        <v>-321</v>
      </c>
    </row>
    <row r="133" spans="11:12" x14ac:dyDescent="0.45">
      <c r="K133" s="38">
        <v>131</v>
      </c>
      <c r="L133" s="99">
        <v>-323.3</v>
      </c>
    </row>
    <row r="134" spans="11:12" x14ac:dyDescent="0.45">
      <c r="K134" s="38">
        <v>132</v>
      </c>
      <c r="L134" s="99">
        <v>-347.8</v>
      </c>
    </row>
    <row r="135" spans="11:12" x14ac:dyDescent="0.45">
      <c r="K135" s="38">
        <v>133</v>
      </c>
      <c r="L135" s="99">
        <v>-403.7</v>
      </c>
    </row>
    <row r="136" spans="11:12" x14ac:dyDescent="0.45">
      <c r="K136" s="38">
        <v>134</v>
      </c>
      <c r="L136" s="99">
        <v>-341.2</v>
      </c>
    </row>
    <row r="137" spans="11:12" x14ac:dyDescent="0.45">
      <c r="K137" s="38">
        <v>135</v>
      </c>
      <c r="L137" s="99">
        <v>-373.3</v>
      </c>
    </row>
    <row r="138" spans="11:12" x14ac:dyDescent="0.45">
      <c r="K138" s="38">
        <v>136</v>
      </c>
      <c r="L138" s="99">
        <v>-380.7</v>
      </c>
    </row>
    <row r="139" spans="11:12" x14ac:dyDescent="0.45">
      <c r="K139" s="38">
        <v>137</v>
      </c>
      <c r="L139" s="99">
        <v>-440.2</v>
      </c>
    </row>
    <row r="140" spans="11:12" x14ac:dyDescent="0.45">
      <c r="K140" s="38">
        <v>138</v>
      </c>
      <c r="L140" s="99">
        <v>-381.4</v>
      </c>
    </row>
    <row r="141" spans="11:12" x14ac:dyDescent="0.45">
      <c r="K141" s="38">
        <v>139</v>
      </c>
      <c r="L141" s="99">
        <v>-417.4</v>
      </c>
    </row>
    <row r="142" spans="11:12" x14ac:dyDescent="0.45">
      <c r="K142" s="38">
        <v>140</v>
      </c>
      <c r="L142" s="99">
        <v>-421</v>
      </c>
    </row>
    <row r="143" spans="11:12" x14ac:dyDescent="0.45">
      <c r="K143" s="38">
        <v>141</v>
      </c>
      <c r="L143" s="99">
        <v>-393.5</v>
      </c>
    </row>
    <row r="144" spans="11:12" x14ac:dyDescent="0.45">
      <c r="K144" s="38">
        <v>142</v>
      </c>
      <c r="L144" s="99">
        <v>-360.1</v>
      </c>
    </row>
    <row r="145" spans="11:12" x14ac:dyDescent="0.45">
      <c r="K145" s="38">
        <v>143</v>
      </c>
      <c r="L145" s="99">
        <v>-367.70000000000005</v>
      </c>
    </row>
    <row r="146" spans="11:12" x14ac:dyDescent="0.45">
      <c r="K146" s="38">
        <v>144</v>
      </c>
      <c r="L146" s="99">
        <v>-324.00000000000006</v>
      </c>
    </row>
    <row r="147" spans="11:12" x14ac:dyDescent="0.45">
      <c r="K147" s="38">
        <v>145</v>
      </c>
      <c r="L147" s="99">
        <v>-324.50000000000006</v>
      </c>
    </row>
    <row r="148" spans="11:12" x14ac:dyDescent="0.45">
      <c r="K148" s="38">
        <v>146</v>
      </c>
      <c r="L148" s="99">
        <v>-357.30000000000007</v>
      </c>
    </row>
    <row r="149" spans="11:12" x14ac:dyDescent="0.45">
      <c r="K149" s="38">
        <v>147</v>
      </c>
      <c r="L149" s="99">
        <v>-359.10000000000008</v>
      </c>
    </row>
    <row r="150" spans="11:12" x14ac:dyDescent="0.45">
      <c r="K150" s="38">
        <v>148</v>
      </c>
      <c r="L150" s="99">
        <v>-415.90000000000009</v>
      </c>
    </row>
    <row r="151" spans="11:12" x14ac:dyDescent="0.45">
      <c r="K151" s="38">
        <v>149</v>
      </c>
      <c r="L151" s="99">
        <v>-448.40000000000009</v>
      </c>
    </row>
    <row r="152" spans="11:12" x14ac:dyDescent="0.45">
      <c r="K152" s="38">
        <v>150</v>
      </c>
      <c r="L152" s="99">
        <v>-461.10000000000008</v>
      </c>
    </row>
    <row r="153" spans="11:12" x14ac:dyDescent="0.45">
      <c r="K153" s="38">
        <v>151</v>
      </c>
      <c r="L153" s="99">
        <v>-504.2000000000001</v>
      </c>
    </row>
    <row r="154" spans="11:12" x14ac:dyDescent="0.45">
      <c r="K154" s="38">
        <v>152</v>
      </c>
      <c r="L154" s="99">
        <v>-477.7000000000001</v>
      </c>
    </row>
    <row r="155" spans="11:12" x14ac:dyDescent="0.45">
      <c r="K155" s="38">
        <v>153</v>
      </c>
      <c r="L155" s="99">
        <v>-436.90000000000009</v>
      </c>
    </row>
    <row r="156" spans="11:12" x14ac:dyDescent="0.45">
      <c r="K156" s="38">
        <v>154</v>
      </c>
      <c r="L156" s="99">
        <v>-439.90000000000009</v>
      </c>
    </row>
    <row r="157" spans="11:12" x14ac:dyDescent="0.45">
      <c r="K157" s="38">
        <v>155</v>
      </c>
      <c r="L157" s="99">
        <v>-381.10000000000008</v>
      </c>
    </row>
    <row r="158" spans="11:12" x14ac:dyDescent="0.45">
      <c r="K158" s="38">
        <v>156</v>
      </c>
      <c r="L158" s="99">
        <v>-372.50000000000006</v>
      </c>
    </row>
    <row r="159" spans="11:12" x14ac:dyDescent="0.45">
      <c r="K159" s="38">
        <v>157</v>
      </c>
      <c r="L159" s="99">
        <v>-408.20000000000005</v>
      </c>
    </row>
    <row r="160" spans="11:12" x14ac:dyDescent="0.45">
      <c r="K160" s="38">
        <v>158</v>
      </c>
      <c r="L160" s="99">
        <v>-403.00000000000006</v>
      </c>
    </row>
    <row r="161" spans="11:12" x14ac:dyDescent="0.45">
      <c r="K161" s="38">
        <v>159</v>
      </c>
      <c r="L161" s="99">
        <v>-410.40000000000003</v>
      </c>
    </row>
    <row r="162" spans="11:12" x14ac:dyDescent="0.45">
      <c r="K162" s="38">
        <v>160</v>
      </c>
      <c r="L162" s="99">
        <v>-362.40000000000003</v>
      </c>
    </row>
    <row r="163" spans="11:12" x14ac:dyDescent="0.45">
      <c r="K163" s="38">
        <v>161</v>
      </c>
      <c r="L163" s="99">
        <v>-435</v>
      </c>
    </row>
    <row r="164" spans="11:12" x14ac:dyDescent="0.45">
      <c r="K164" s="38">
        <v>162</v>
      </c>
      <c r="L164" s="99">
        <v>-490.8</v>
      </c>
    </row>
  </sheetData>
  <sortState xmlns:xlrd2="http://schemas.microsoft.com/office/spreadsheetml/2017/richdata2" ref="E2:I16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A46A-E8DA-4DE9-ACED-7E8A943F17F3}">
  <sheetPr codeName="Sheet11"/>
  <dimension ref="A1:Q162"/>
  <sheetViews>
    <sheetView showGridLines="0" zoomScaleNormal="100" workbookViewId="0"/>
  </sheetViews>
  <sheetFormatPr defaultColWidth="9" defaultRowHeight="18" x14ac:dyDescent="0.45"/>
  <cols>
    <col min="1" max="1" width="13" style="33" customWidth="1"/>
    <col min="2" max="3" width="9" style="33" customWidth="1"/>
    <col min="4" max="4" width="3.59765625" style="33" customWidth="1"/>
    <col min="5" max="5" width="3.59765625" style="128" bestFit="1" customWidth="1"/>
    <col min="6" max="6" width="11" style="43" bestFit="1" customWidth="1"/>
    <col min="7" max="9" width="9" style="33" customWidth="1"/>
    <col min="10" max="10" width="3.59765625" style="33" customWidth="1"/>
    <col min="11" max="11" width="3.5" style="38" customWidth="1"/>
    <col min="12" max="12" width="9" style="99" customWidth="1"/>
    <col min="13" max="13" width="3.59765625" style="33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33"/>
  </cols>
  <sheetData>
    <row r="1" spans="1:17" x14ac:dyDescent="0.45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5">
      <c r="A2" s="54" t="s">
        <v>9</v>
      </c>
      <c r="B2" s="150">
        <v>160</v>
      </c>
      <c r="C2" s="151"/>
      <c r="E2" s="62" t="s">
        <v>67</v>
      </c>
      <c r="F2" s="59" t="s">
        <v>23</v>
      </c>
      <c r="G2" s="46">
        <v>292</v>
      </c>
      <c r="H2" s="132">
        <f t="shared" ref="H2:H33" si="0">IF(B$17=0,0,G2/B$17)</f>
        <v>0.81564245810055869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-1994.9685534591194</v>
      </c>
      <c r="P2" s="118">
        <v>159</v>
      </c>
      <c r="Q2" s="102">
        <v>-317200</v>
      </c>
    </row>
    <row r="3" spans="1:17" x14ac:dyDescent="0.45">
      <c r="A3" s="55" t="s">
        <v>8</v>
      </c>
      <c r="B3" s="152">
        <v>1335</v>
      </c>
      <c r="C3" s="153"/>
      <c r="E3" s="63" t="s">
        <v>65</v>
      </c>
      <c r="F3" s="60" t="s">
        <v>21</v>
      </c>
      <c r="G3" s="47">
        <v>172</v>
      </c>
      <c r="H3" s="133">
        <f t="shared" si="0"/>
        <v>0.48044692737430167</v>
      </c>
      <c r="I3" s="94">
        <v>9</v>
      </c>
      <c r="K3" s="38">
        <v>1</v>
      </c>
      <c r="L3" s="99">
        <v>-40.4</v>
      </c>
      <c r="N3" s="115" t="s">
        <v>133</v>
      </c>
      <c r="O3" s="122">
        <f t="shared" si="1"/>
        <v>-1411.6129032258063</v>
      </c>
      <c r="P3" s="119">
        <v>155</v>
      </c>
      <c r="Q3" s="103">
        <v>-218800</v>
      </c>
    </row>
    <row r="4" spans="1:17" x14ac:dyDescent="0.45">
      <c r="A4" s="55" t="s">
        <v>6</v>
      </c>
      <c r="B4" s="154">
        <v>-1265.7</v>
      </c>
      <c r="C4" s="155"/>
      <c r="E4" s="63" t="s">
        <v>73</v>
      </c>
      <c r="F4" s="60" t="s">
        <v>28</v>
      </c>
      <c r="G4" s="47">
        <v>159</v>
      </c>
      <c r="H4" s="133">
        <f t="shared" si="0"/>
        <v>0.44413407821229051</v>
      </c>
      <c r="I4" s="94">
        <v>12</v>
      </c>
      <c r="K4" s="38">
        <v>2</v>
      </c>
      <c r="L4" s="99">
        <v>-3.3999999999999986</v>
      </c>
      <c r="N4" s="115" t="s">
        <v>134</v>
      </c>
      <c r="O4" s="122">
        <f t="shared" si="1"/>
        <v>742.17687074829928</v>
      </c>
      <c r="P4" s="119">
        <v>147</v>
      </c>
      <c r="Q4" s="103">
        <v>109100</v>
      </c>
    </row>
    <row r="5" spans="1:17" x14ac:dyDescent="0.45">
      <c r="A5" s="55" t="s">
        <v>7</v>
      </c>
      <c r="B5" s="156">
        <f>IF(B$2=0,0,B$4/B$2)</f>
        <v>-7.9106250000000005</v>
      </c>
      <c r="C5" s="157"/>
      <c r="E5" s="63" t="s">
        <v>245</v>
      </c>
      <c r="F5" s="60" t="s">
        <v>246</v>
      </c>
      <c r="G5" s="47">
        <v>141</v>
      </c>
      <c r="H5" s="133">
        <f t="shared" si="0"/>
        <v>0.39385474860335196</v>
      </c>
      <c r="I5" s="94">
        <v>10</v>
      </c>
      <c r="K5" s="38">
        <v>3</v>
      </c>
      <c r="L5" s="99">
        <v>-23.099999999999998</v>
      </c>
      <c r="N5" s="115" t="s">
        <v>135</v>
      </c>
      <c r="O5" s="122">
        <f t="shared" si="1"/>
        <v>-2836.3636363636365</v>
      </c>
      <c r="P5" s="119">
        <v>132</v>
      </c>
      <c r="Q5" s="103">
        <v>-374400</v>
      </c>
    </row>
    <row r="6" spans="1:17" x14ac:dyDescent="0.45">
      <c r="A6" s="55" t="s">
        <v>1</v>
      </c>
      <c r="B6" s="146">
        <f>IF(B$2=0,0,(B$7*1+B$8*2+B$9*3)/B$2)</f>
        <v>2.125</v>
      </c>
      <c r="C6" s="147"/>
      <c r="E6" s="63" t="s">
        <v>69</v>
      </c>
      <c r="F6" s="60" t="s">
        <v>12</v>
      </c>
      <c r="G6" s="47">
        <v>118</v>
      </c>
      <c r="H6" s="133">
        <f t="shared" si="0"/>
        <v>0.32960893854748602</v>
      </c>
      <c r="I6" s="94">
        <v>6</v>
      </c>
      <c r="K6" s="38">
        <v>4</v>
      </c>
      <c r="L6" s="99">
        <v>-31.4</v>
      </c>
      <c r="N6" s="115" t="s">
        <v>136</v>
      </c>
      <c r="O6" s="122">
        <f t="shared" si="1"/>
        <v>-281.51260504201679</v>
      </c>
      <c r="P6" s="119">
        <v>119</v>
      </c>
      <c r="Q6" s="103">
        <v>-33500</v>
      </c>
    </row>
    <row r="7" spans="1:17" x14ac:dyDescent="0.45">
      <c r="A7" s="55" t="s">
        <v>2</v>
      </c>
      <c r="B7" s="47">
        <v>46</v>
      </c>
      <c r="C7" s="39">
        <f t="shared" ref="C7:C12" si="2">IF(B$2=0,0,B7/B$2)</f>
        <v>0.28749999999999998</v>
      </c>
      <c r="E7" s="63" t="s">
        <v>68</v>
      </c>
      <c r="F7" s="60" t="s">
        <v>24</v>
      </c>
      <c r="G7" s="47">
        <v>91</v>
      </c>
      <c r="H7" s="133">
        <f t="shared" si="0"/>
        <v>0.25418994413407819</v>
      </c>
      <c r="I7" s="94">
        <v>9</v>
      </c>
      <c r="K7" s="38">
        <v>5</v>
      </c>
      <c r="L7" s="99">
        <v>-32.199999999999996</v>
      </c>
      <c r="N7" s="116" t="s">
        <v>137</v>
      </c>
      <c r="O7" s="123">
        <f t="shared" si="1"/>
        <v>-385.84905660377359</v>
      </c>
      <c r="P7" s="120">
        <v>106</v>
      </c>
      <c r="Q7" s="104">
        <v>-40900</v>
      </c>
    </row>
    <row r="8" spans="1:17" x14ac:dyDescent="0.45">
      <c r="A8" s="55" t="s">
        <v>3</v>
      </c>
      <c r="B8" s="47">
        <v>48</v>
      </c>
      <c r="C8" s="39">
        <f t="shared" si="2"/>
        <v>0.3</v>
      </c>
      <c r="E8" s="63" t="s">
        <v>70</v>
      </c>
      <c r="F8" s="60" t="s">
        <v>25</v>
      </c>
      <c r="G8" s="47">
        <v>57</v>
      </c>
      <c r="H8" s="133">
        <f t="shared" si="0"/>
        <v>0.15921787709497207</v>
      </c>
      <c r="I8" s="94">
        <v>7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5">
      <c r="A9" s="56" t="s">
        <v>4</v>
      </c>
      <c r="B9" s="48">
        <v>66</v>
      </c>
      <c r="C9" s="40">
        <f t="shared" si="2"/>
        <v>0.41249999999999998</v>
      </c>
      <c r="E9" s="63" t="s">
        <v>71</v>
      </c>
      <c r="F9" s="60" t="s">
        <v>26</v>
      </c>
      <c r="G9" s="47">
        <v>53</v>
      </c>
      <c r="H9" s="133">
        <f t="shared" si="0"/>
        <v>0.14804469273743018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5">
      <c r="A10" s="56" t="s">
        <v>19</v>
      </c>
      <c r="B10" s="48">
        <v>24</v>
      </c>
      <c r="C10" s="40">
        <f t="shared" si="2"/>
        <v>0.15</v>
      </c>
      <c r="E10" s="63" t="s">
        <v>90</v>
      </c>
      <c r="F10" s="60" t="s">
        <v>45</v>
      </c>
      <c r="G10" s="47">
        <v>42</v>
      </c>
      <c r="H10" s="133">
        <f t="shared" si="0"/>
        <v>0.11731843575418995</v>
      </c>
      <c r="I10" s="94">
        <v>8</v>
      </c>
      <c r="K10" s="38">
        <v>8</v>
      </c>
      <c r="L10" s="99">
        <v>-79.599999999999994</v>
      </c>
      <c r="N10" s="114" t="s">
        <v>164</v>
      </c>
      <c r="O10" s="124">
        <f>IF(P10=0,0,Q10/P10)</f>
        <v>-11.399999999999995</v>
      </c>
      <c r="P10" s="118">
        <v>46</v>
      </c>
      <c r="Q10" s="106">
        <v>-524.39999999999975</v>
      </c>
    </row>
    <row r="11" spans="1:17" x14ac:dyDescent="0.45">
      <c r="A11" s="56" t="s">
        <v>140</v>
      </c>
      <c r="B11" s="48">
        <v>17</v>
      </c>
      <c r="C11" s="40">
        <f t="shared" si="2"/>
        <v>0.10625</v>
      </c>
      <c r="E11" s="63" t="s">
        <v>72</v>
      </c>
      <c r="F11" s="60" t="s">
        <v>27</v>
      </c>
      <c r="G11" s="47">
        <v>35</v>
      </c>
      <c r="H11" s="133">
        <f t="shared" si="0"/>
        <v>9.7765363128491614E-2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-5.5965517241379334</v>
      </c>
      <c r="P11" s="119">
        <v>58</v>
      </c>
      <c r="Q11" s="107">
        <v>-324.60000000000014</v>
      </c>
    </row>
    <row r="12" spans="1:17" x14ac:dyDescent="0.45">
      <c r="A12" s="57" t="s">
        <v>160</v>
      </c>
      <c r="B12" s="49">
        <v>15</v>
      </c>
      <c r="C12" s="42">
        <f t="shared" si="2"/>
        <v>9.375E-2</v>
      </c>
      <c r="E12" s="63" t="s">
        <v>66</v>
      </c>
      <c r="F12" s="60" t="s">
        <v>22</v>
      </c>
      <c r="G12" s="47">
        <v>32</v>
      </c>
      <c r="H12" s="133">
        <f t="shared" si="0"/>
        <v>8.9385474860335198E-2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-7.4410714285714255</v>
      </c>
      <c r="P12" s="120">
        <v>56</v>
      </c>
      <c r="Q12" s="108">
        <v>-416.69999999999982</v>
      </c>
    </row>
    <row r="13" spans="1:17" x14ac:dyDescent="0.45">
      <c r="A13" s="58" t="s">
        <v>122</v>
      </c>
      <c r="B13" s="50">
        <v>337</v>
      </c>
      <c r="C13" s="44">
        <f>IF(B$3=0,0,B13/B$3)</f>
        <v>0.25243445692883892</v>
      </c>
      <c r="E13" s="63" t="s">
        <v>87</v>
      </c>
      <c r="F13" s="60" t="s">
        <v>42</v>
      </c>
      <c r="G13" s="47">
        <v>20</v>
      </c>
      <c r="H13" s="133">
        <f t="shared" si="0"/>
        <v>5.5865921787709494E-2</v>
      </c>
      <c r="I13" s="94">
        <v>7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5">
      <c r="A14" s="55" t="s">
        <v>119</v>
      </c>
      <c r="B14" s="47">
        <v>258</v>
      </c>
      <c r="C14" s="39">
        <f>IF(B$3=0,0,B14/B$3)</f>
        <v>0.19325842696629214</v>
      </c>
      <c r="E14" s="63" t="s">
        <v>84</v>
      </c>
      <c r="F14" s="60" t="s">
        <v>39</v>
      </c>
      <c r="G14" s="47">
        <v>14</v>
      </c>
      <c r="H14" s="133">
        <f t="shared" si="0"/>
        <v>3.9106145251396648E-2</v>
      </c>
      <c r="I14" s="94">
        <v>10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5">
      <c r="A15" s="54" t="s">
        <v>124</v>
      </c>
      <c r="B15" s="46">
        <v>180</v>
      </c>
      <c r="C15" s="37">
        <f>IF(B$13=0,0,B15/B$13)</f>
        <v>0.53412462908011871</v>
      </c>
      <c r="E15" s="63" t="s">
        <v>79</v>
      </c>
      <c r="F15" s="60" t="s">
        <v>34</v>
      </c>
      <c r="G15" s="47">
        <v>12</v>
      </c>
      <c r="H15" s="133">
        <f t="shared" si="0"/>
        <v>3.3519553072625698E-2</v>
      </c>
      <c r="I15" s="94">
        <v>6</v>
      </c>
      <c r="K15" s="38">
        <v>13</v>
      </c>
      <c r="L15" s="99">
        <v>-369.1</v>
      </c>
      <c r="N15" s="114" t="s">
        <v>271</v>
      </c>
      <c r="O15" s="124">
        <f t="shared" ref="O15:O24" si="3">IF(P15=0,0,Q15/P15)</f>
        <v>52.959999999999994</v>
      </c>
      <c r="P15" s="118">
        <v>5</v>
      </c>
      <c r="Q15" s="106">
        <v>264.79999999999995</v>
      </c>
    </row>
    <row r="16" spans="1:17" x14ac:dyDescent="0.45">
      <c r="A16" s="54" t="s">
        <v>125</v>
      </c>
      <c r="B16" s="46">
        <v>87</v>
      </c>
      <c r="C16" s="37">
        <f>IF(B$14=0,0,B16/B$14)</f>
        <v>0.33720930232558138</v>
      </c>
      <c r="E16" s="63" t="s">
        <v>82</v>
      </c>
      <c r="F16" s="60" t="s">
        <v>37</v>
      </c>
      <c r="G16" s="47">
        <v>9</v>
      </c>
      <c r="H16" s="133">
        <f t="shared" si="0"/>
        <v>2.5139664804469275E-2</v>
      </c>
      <c r="I16" s="94">
        <v>7</v>
      </c>
      <c r="K16" s="38">
        <v>14</v>
      </c>
      <c r="L16" s="99">
        <v>-394.6</v>
      </c>
      <c r="N16" s="115" t="s">
        <v>223</v>
      </c>
      <c r="O16" s="125">
        <f t="shared" si="3"/>
        <v>42.5</v>
      </c>
      <c r="P16" s="119">
        <v>4</v>
      </c>
      <c r="Q16" s="107">
        <v>170</v>
      </c>
    </row>
    <row r="17" spans="1:17" x14ac:dyDescent="0.45">
      <c r="A17" s="54" t="s">
        <v>10</v>
      </c>
      <c r="B17" s="46">
        <f>B19+B18</f>
        <v>358</v>
      </c>
      <c r="C17" s="37">
        <f>IF(B$3=0,0,B17/B$3)</f>
        <v>0.26816479400749066</v>
      </c>
      <c r="E17" s="63" t="s">
        <v>78</v>
      </c>
      <c r="F17" s="60" t="s">
        <v>33</v>
      </c>
      <c r="G17" s="47">
        <v>5</v>
      </c>
      <c r="H17" s="133">
        <f t="shared" si="0"/>
        <v>1.3966480446927373E-2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 t="shared" si="3"/>
        <v>36.200000000000003</v>
      </c>
      <c r="P17" s="119">
        <v>6</v>
      </c>
      <c r="Q17" s="107">
        <v>217.20000000000002</v>
      </c>
    </row>
    <row r="18" spans="1:17" x14ac:dyDescent="0.45">
      <c r="A18" s="55" t="s">
        <v>12</v>
      </c>
      <c r="B18" s="47">
        <v>148</v>
      </c>
      <c r="C18" s="39">
        <f>IF(B$17=0,0,B18/B$17)</f>
        <v>0.41340782122905029</v>
      </c>
      <c r="E18" s="63" t="s">
        <v>92</v>
      </c>
      <c r="F18" s="60" t="s">
        <v>47</v>
      </c>
      <c r="G18" s="47">
        <v>5</v>
      </c>
      <c r="H18" s="133">
        <f t="shared" si="0"/>
        <v>1.3966480446927373E-2</v>
      </c>
      <c r="I18" s="94">
        <v>8</v>
      </c>
      <c r="K18" s="38">
        <v>16</v>
      </c>
      <c r="L18" s="99">
        <v>-472</v>
      </c>
      <c r="N18" s="115" t="s">
        <v>177</v>
      </c>
      <c r="O18" s="125">
        <f t="shared" si="3"/>
        <v>1.4837209302325594</v>
      </c>
      <c r="P18" s="119">
        <v>43</v>
      </c>
      <c r="Q18" s="107">
        <v>63.800000000000054</v>
      </c>
    </row>
    <row r="19" spans="1:17" x14ac:dyDescent="0.45">
      <c r="A19" s="55" t="s">
        <v>11</v>
      </c>
      <c r="B19" s="47">
        <v>210</v>
      </c>
      <c r="C19" s="39">
        <f>IF(B$17=0,0,B19/B$17)</f>
        <v>0.58659217877094971</v>
      </c>
      <c r="E19" s="63" t="s">
        <v>80</v>
      </c>
      <c r="F19" s="60" t="s">
        <v>35</v>
      </c>
      <c r="G19" s="47">
        <v>4</v>
      </c>
      <c r="H19" s="133">
        <f t="shared" si="0"/>
        <v>1.11731843575419E-2</v>
      </c>
      <c r="I19" s="94">
        <v>10</v>
      </c>
      <c r="K19" s="38">
        <v>17</v>
      </c>
      <c r="L19" s="99">
        <v>-538.29999999999995</v>
      </c>
      <c r="N19" s="115" t="s">
        <v>173</v>
      </c>
      <c r="O19" s="125">
        <f t="shared" si="3"/>
        <v>-2.7749999999999932</v>
      </c>
      <c r="P19" s="119">
        <v>16</v>
      </c>
      <c r="Q19" s="107">
        <v>-44.399999999999892</v>
      </c>
    </row>
    <row r="20" spans="1:17" x14ac:dyDescent="0.45">
      <c r="A20" s="55" t="s">
        <v>13</v>
      </c>
      <c r="B20" s="47">
        <v>233</v>
      </c>
      <c r="C20" s="39">
        <f>IF(B$3=0,0,B20/B$3)</f>
        <v>0.1745318352059925</v>
      </c>
      <c r="E20" s="63" t="s">
        <v>75</v>
      </c>
      <c r="F20" s="60" t="s">
        <v>30</v>
      </c>
      <c r="G20" s="47">
        <v>3</v>
      </c>
      <c r="H20" s="133">
        <f t="shared" si="0"/>
        <v>8.3798882681564244E-3</v>
      </c>
      <c r="I20" s="94">
        <v>2</v>
      </c>
      <c r="K20" s="38">
        <v>18</v>
      </c>
      <c r="L20" s="99">
        <v>-537.19999999999993</v>
      </c>
      <c r="N20" s="115" t="s">
        <v>128</v>
      </c>
      <c r="O20" s="125">
        <f t="shared" si="3"/>
        <v>-4.3045454545454538</v>
      </c>
      <c r="P20" s="119">
        <v>66</v>
      </c>
      <c r="Q20" s="107">
        <v>-284.09999999999997</v>
      </c>
    </row>
    <row r="21" spans="1:17" x14ac:dyDescent="0.45">
      <c r="A21" s="55" t="s">
        <v>191</v>
      </c>
      <c r="B21" s="47">
        <v>4</v>
      </c>
      <c r="C21" s="135">
        <v>3</v>
      </c>
      <c r="E21" s="63" t="s">
        <v>88</v>
      </c>
      <c r="F21" s="60" t="s">
        <v>43</v>
      </c>
      <c r="G21" s="47">
        <v>3</v>
      </c>
      <c r="H21" s="133">
        <f t="shared" si="0"/>
        <v>8.3798882681564244E-3</v>
      </c>
      <c r="I21" s="94">
        <v>1</v>
      </c>
      <c r="K21" s="38">
        <v>19</v>
      </c>
      <c r="L21" s="99">
        <v>-569.49999999999989</v>
      </c>
      <c r="N21" s="115" t="s">
        <v>171</v>
      </c>
      <c r="O21" s="125">
        <f t="shared" si="3"/>
        <v>-20.797499999999992</v>
      </c>
      <c r="P21" s="119">
        <v>40</v>
      </c>
      <c r="Q21" s="107">
        <v>-831.89999999999975</v>
      </c>
    </row>
    <row r="22" spans="1:17" x14ac:dyDescent="0.45">
      <c r="A22" s="55" t="s">
        <v>192</v>
      </c>
      <c r="B22" s="47">
        <v>31</v>
      </c>
      <c r="C22" s="135">
        <v>19</v>
      </c>
      <c r="E22" s="63" t="s">
        <v>76</v>
      </c>
      <c r="F22" s="60" t="s">
        <v>31</v>
      </c>
      <c r="G22" s="47">
        <v>2</v>
      </c>
      <c r="H22" s="133">
        <f t="shared" si="0"/>
        <v>5.5865921787709499E-3</v>
      </c>
      <c r="I22" s="94">
        <v>6</v>
      </c>
      <c r="K22" s="38">
        <v>20</v>
      </c>
      <c r="L22" s="99">
        <v>-632.99999999999989</v>
      </c>
      <c r="N22" s="115" t="s">
        <v>172</v>
      </c>
      <c r="O22" s="125">
        <f t="shared" si="3"/>
        <v>-20.858333333333327</v>
      </c>
      <c r="P22" s="119">
        <v>36</v>
      </c>
      <c r="Q22" s="107">
        <v>-750.89999999999975</v>
      </c>
    </row>
    <row r="23" spans="1:17" x14ac:dyDescent="0.45">
      <c r="A23" s="55" t="s">
        <v>5</v>
      </c>
      <c r="B23" s="51">
        <f>IF(B$17=0,0,C23/B$17)</f>
        <v>8325.4189944134087</v>
      </c>
      <c r="C23" s="41">
        <v>2980500</v>
      </c>
      <c r="E23" s="63" t="s">
        <v>85</v>
      </c>
      <c r="F23" s="60" t="s">
        <v>40</v>
      </c>
      <c r="G23" s="47">
        <v>2</v>
      </c>
      <c r="H23" s="133">
        <f t="shared" si="0"/>
        <v>5.5865921787709499E-3</v>
      </c>
      <c r="I23" s="94">
        <v>2</v>
      </c>
      <c r="K23" s="38">
        <v>21</v>
      </c>
      <c r="L23" s="99">
        <v>-629.49999999999989</v>
      </c>
      <c r="N23" s="115" t="s">
        <v>127</v>
      </c>
      <c r="O23" s="125">
        <f t="shared" si="3"/>
        <v>-24.658163265306133</v>
      </c>
      <c r="P23" s="119">
        <v>98</v>
      </c>
      <c r="Q23" s="107">
        <v>-2416.5000000000009</v>
      </c>
    </row>
    <row r="24" spans="1:17" x14ac:dyDescent="0.45">
      <c r="A24" s="57" t="s">
        <v>14</v>
      </c>
      <c r="B24" s="52">
        <f>IF(B$20=0,0,C24/B$20)</f>
        <v>-8471.2446351931339</v>
      </c>
      <c r="C24" s="45">
        <v>-1973800</v>
      </c>
      <c r="E24" s="63" t="s">
        <v>94</v>
      </c>
      <c r="F24" s="60" t="s">
        <v>49</v>
      </c>
      <c r="G24" s="47">
        <v>2</v>
      </c>
      <c r="H24" s="133">
        <f t="shared" si="0"/>
        <v>5.5865921787709499E-3</v>
      </c>
      <c r="I24" s="94">
        <v>1</v>
      </c>
      <c r="K24" s="38">
        <v>22</v>
      </c>
      <c r="L24" s="99">
        <v>-670.19999999999993</v>
      </c>
      <c r="N24" s="115" t="s">
        <v>184</v>
      </c>
      <c r="O24" s="125">
        <f t="shared" si="3"/>
        <v>-30.849999999999998</v>
      </c>
      <c r="P24" s="119">
        <v>6</v>
      </c>
      <c r="Q24" s="107">
        <v>-185.1</v>
      </c>
    </row>
    <row r="25" spans="1:17" x14ac:dyDescent="0.45">
      <c r="A25" s="90" t="s">
        <v>142</v>
      </c>
      <c r="B25" s="144">
        <v>7</v>
      </c>
      <c r="C25" s="145"/>
      <c r="E25" s="63" t="s">
        <v>86</v>
      </c>
      <c r="F25" s="60" t="s">
        <v>41</v>
      </c>
      <c r="G25" s="47">
        <v>1</v>
      </c>
      <c r="H25" s="133">
        <f t="shared" si="0"/>
        <v>2.7932960893854749E-3</v>
      </c>
      <c r="I25" s="94">
        <v>4</v>
      </c>
      <c r="K25" s="38">
        <v>23</v>
      </c>
      <c r="L25" s="99">
        <v>-737.19999999999993</v>
      </c>
    </row>
    <row r="26" spans="1:17" x14ac:dyDescent="0.45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 t="shared" si="0"/>
        <v>2.7932960893854749E-3</v>
      </c>
      <c r="I26" s="94">
        <v>2</v>
      </c>
      <c r="K26" s="38">
        <v>24</v>
      </c>
      <c r="L26" s="99">
        <v>-817.09999999999991</v>
      </c>
    </row>
    <row r="27" spans="1:17" x14ac:dyDescent="0.45">
      <c r="A27" s="57" t="s">
        <v>143</v>
      </c>
      <c r="B27" s="65">
        <v>2</v>
      </c>
      <c r="C27" s="42">
        <f>IF(B$3=0,0,B27/B$3)</f>
        <v>1.4981273408239701E-3</v>
      </c>
      <c r="E27" s="63" t="s">
        <v>93</v>
      </c>
      <c r="F27" s="60" t="s">
        <v>48</v>
      </c>
      <c r="G27" s="47">
        <v>1</v>
      </c>
      <c r="H27" s="133">
        <f t="shared" si="0"/>
        <v>2.7932960893854749E-3</v>
      </c>
      <c r="I27" s="94">
        <v>5</v>
      </c>
      <c r="K27" s="38">
        <v>25</v>
      </c>
      <c r="L27" s="99">
        <v>-783.69999999999993</v>
      </c>
    </row>
    <row r="28" spans="1:17" x14ac:dyDescent="0.45">
      <c r="E28" s="63" t="s">
        <v>180</v>
      </c>
      <c r="F28" s="60" t="s">
        <v>181</v>
      </c>
      <c r="G28" s="47">
        <v>1</v>
      </c>
      <c r="H28" s="133">
        <f t="shared" si="0"/>
        <v>2.7932960893854749E-3</v>
      </c>
      <c r="I28" s="94">
        <v>7</v>
      </c>
      <c r="K28" s="38">
        <v>26</v>
      </c>
      <c r="L28" s="99">
        <v>-818.49999999999989</v>
      </c>
    </row>
    <row r="29" spans="1:17" x14ac:dyDescent="0.45">
      <c r="E29" s="63" t="s">
        <v>74</v>
      </c>
      <c r="F29" s="60" t="s">
        <v>29</v>
      </c>
      <c r="G29" s="47">
        <v>0</v>
      </c>
      <c r="H29" s="133">
        <f t="shared" si="0"/>
        <v>0</v>
      </c>
      <c r="I29" s="94">
        <v>8</v>
      </c>
      <c r="K29" s="38">
        <v>27</v>
      </c>
      <c r="L29" s="99">
        <v>-876.19999999999993</v>
      </c>
    </row>
    <row r="30" spans="1:17" x14ac:dyDescent="0.45">
      <c r="E30" s="63" t="s">
        <v>77</v>
      </c>
      <c r="F30" s="60" t="s">
        <v>32</v>
      </c>
      <c r="G30" s="47">
        <v>0</v>
      </c>
      <c r="H30" s="133">
        <f t="shared" si="0"/>
        <v>0</v>
      </c>
      <c r="I30" s="94">
        <v>1</v>
      </c>
      <c r="K30" s="38">
        <v>28</v>
      </c>
      <c r="L30" s="99">
        <v>-931.09999999999991</v>
      </c>
    </row>
    <row r="31" spans="1:17" x14ac:dyDescent="0.45">
      <c r="E31" s="63" t="s">
        <v>81</v>
      </c>
      <c r="F31" s="60" t="s">
        <v>36</v>
      </c>
      <c r="G31" s="47">
        <v>0</v>
      </c>
      <c r="H31" s="133">
        <f t="shared" si="0"/>
        <v>0</v>
      </c>
      <c r="I31" s="94">
        <v>1</v>
      </c>
      <c r="K31" s="38">
        <v>29</v>
      </c>
      <c r="L31" s="99">
        <v>-908.69999999999993</v>
      </c>
    </row>
    <row r="32" spans="1:17" x14ac:dyDescent="0.45">
      <c r="E32" s="63" t="s">
        <v>83</v>
      </c>
      <c r="F32" s="60" t="s">
        <v>38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-826.8</v>
      </c>
    </row>
    <row r="33" spans="5:12" x14ac:dyDescent="0.45">
      <c r="E33" s="63" t="s">
        <v>91</v>
      </c>
      <c r="F33" s="60" t="s">
        <v>46</v>
      </c>
      <c r="G33" s="47">
        <v>0</v>
      </c>
      <c r="H33" s="133">
        <f t="shared" si="0"/>
        <v>0</v>
      </c>
      <c r="I33" s="94">
        <v>5</v>
      </c>
      <c r="K33" s="38">
        <v>31</v>
      </c>
      <c r="L33" s="99">
        <v>-835.69999999999993</v>
      </c>
    </row>
    <row r="34" spans="5:12" x14ac:dyDescent="0.45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5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4</v>
      </c>
      <c r="K35" s="38">
        <v>33</v>
      </c>
      <c r="L35" s="99">
        <v>-878.19999999999993</v>
      </c>
    </row>
    <row r="36" spans="5:12" x14ac:dyDescent="0.45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-833.19999999999993</v>
      </c>
    </row>
    <row r="37" spans="5:12" x14ac:dyDescent="0.45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-815.59999999999991</v>
      </c>
    </row>
    <row r="38" spans="5:12" x14ac:dyDescent="0.45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-783.49999999999989</v>
      </c>
    </row>
    <row r="39" spans="5:12" x14ac:dyDescent="0.45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-826.89999999999986</v>
      </c>
    </row>
    <row r="40" spans="5:12" x14ac:dyDescent="0.45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-829.99999999999989</v>
      </c>
    </row>
    <row r="41" spans="5:12" x14ac:dyDescent="0.45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-786.29999999999984</v>
      </c>
    </row>
    <row r="42" spans="5:12" x14ac:dyDescent="0.45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-820.5999999999998</v>
      </c>
    </row>
    <row r="43" spans="5:12" x14ac:dyDescent="0.45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-859.49999999999977</v>
      </c>
    </row>
    <row r="44" spans="5:12" x14ac:dyDescent="0.45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-828.89999999999975</v>
      </c>
    </row>
    <row r="45" spans="5:12" x14ac:dyDescent="0.45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-787.1999999999997</v>
      </c>
    </row>
    <row r="46" spans="5:12" x14ac:dyDescent="0.45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3</v>
      </c>
      <c r="K46" s="38">
        <v>44</v>
      </c>
      <c r="L46" s="99">
        <v>-744.79999999999973</v>
      </c>
    </row>
    <row r="47" spans="5:12" x14ac:dyDescent="0.45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-784.89999999999975</v>
      </c>
    </row>
    <row r="48" spans="5:12" x14ac:dyDescent="0.45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-738.89999999999975</v>
      </c>
    </row>
    <row r="49" spans="5:12" x14ac:dyDescent="0.45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-740.99999999999977</v>
      </c>
    </row>
    <row r="50" spans="5:12" x14ac:dyDescent="0.45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-699.39999999999975</v>
      </c>
    </row>
    <row r="51" spans="5:12" x14ac:dyDescent="0.45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-715.0999999999998</v>
      </c>
    </row>
    <row r="52" spans="5:12" x14ac:dyDescent="0.45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-774.29999999999984</v>
      </c>
    </row>
    <row r="53" spans="5:12" x14ac:dyDescent="0.45">
      <c r="K53" s="38">
        <v>51</v>
      </c>
      <c r="L53" s="99">
        <v>-830.79999999999984</v>
      </c>
    </row>
    <row r="54" spans="5:12" x14ac:dyDescent="0.45">
      <c r="K54" s="38">
        <v>52</v>
      </c>
      <c r="L54" s="99">
        <v>-837.5999999999998</v>
      </c>
    </row>
    <row r="55" spans="5:12" x14ac:dyDescent="0.45">
      <c r="K55" s="38">
        <v>53</v>
      </c>
      <c r="L55" s="99">
        <v>-843.69999999999982</v>
      </c>
    </row>
    <row r="56" spans="5:12" x14ac:dyDescent="0.45">
      <c r="K56" s="38">
        <v>54</v>
      </c>
      <c r="L56" s="99">
        <v>-902.89999999999986</v>
      </c>
    </row>
    <row r="57" spans="5:12" x14ac:dyDescent="0.45">
      <c r="K57" s="38">
        <v>55</v>
      </c>
      <c r="L57" s="99">
        <v>-835.19999999999982</v>
      </c>
    </row>
    <row r="58" spans="5:12" x14ac:dyDescent="0.45">
      <c r="K58" s="38">
        <v>56</v>
      </c>
      <c r="L58" s="99">
        <v>-865.69999999999982</v>
      </c>
    </row>
    <row r="59" spans="5:12" x14ac:dyDescent="0.45">
      <c r="K59" s="38">
        <v>57</v>
      </c>
      <c r="L59" s="99">
        <v>-858.49999999999977</v>
      </c>
    </row>
    <row r="60" spans="5:12" x14ac:dyDescent="0.45">
      <c r="K60" s="38">
        <v>58</v>
      </c>
      <c r="L60" s="99">
        <v>-877.29999999999973</v>
      </c>
    </row>
    <row r="61" spans="5:12" x14ac:dyDescent="0.45">
      <c r="K61" s="38">
        <v>59</v>
      </c>
      <c r="L61" s="99">
        <v>-940.6999999999997</v>
      </c>
    </row>
    <row r="62" spans="5:12" x14ac:dyDescent="0.45">
      <c r="K62" s="38">
        <v>60</v>
      </c>
      <c r="L62" s="99">
        <v>-960.99999999999966</v>
      </c>
    </row>
    <row r="63" spans="5:12" x14ac:dyDescent="0.45">
      <c r="K63" s="38">
        <v>61</v>
      </c>
      <c r="L63" s="99">
        <v>-924.1999999999997</v>
      </c>
    </row>
    <row r="64" spans="5:12" x14ac:dyDescent="0.45">
      <c r="K64" s="38">
        <v>62</v>
      </c>
      <c r="L64" s="99">
        <v>-970.09999999999968</v>
      </c>
    </row>
    <row r="65" spans="11:12" x14ac:dyDescent="0.45">
      <c r="K65" s="38">
        <v>63</v>
      </c>
      <c r="L65" s="99">
        <v>-1013.0999999999997</v>
      </c>
    </row>
    <row r="66" spans="11:12" x14ac:dyDescent="0.45">
      <c r="K66" s="38">
        <v>64</v>
      </c>
      <c r="L66" s="99">
        <v>-1056.0999999999997</v>
      </c>
    </row>
    <row r="67" spans="11:12" x14ac:dyDescent="0.45">
      <c r="K67" s="38">
        <v>65</v>
      </c>
      <c r="L67" s="99">
        <v>-1083.0999999999997</v>
      </c>
    </row>
    <row r="68" spans="11:12" x14ac:dyDescent="0.45">
      <c r="K68" s="38">
        <v>66</v>
      </c>
      <c r="L68" s="99">
        <v>-1122.9999999999998</v>
      </c>
    </row>
    <row r="69" spans="11:12" x14ac:dyDescent="0.45">
      <c r="K69" s="38">
        <v>67</v>
      </c>
      <c r="L69" s="99">
        <v>-1123.7999999999997</v>
      </c>
    </row>
    <row r="70" spans="11:12" x14ac:dyDescent="0.45">
      <c r="K70" s="38">
        <v>68</v>
      </c>
      <c r="L70" s="99">
        <v>-1066.5999999999997</v>
      </c>
    </row>
    <row r="71" spans="11:12" x14ac:dyDescent="0.45">
      <c r="K71" s="38">
        <v>69</v>
      </c>
      <c r="L71" s="99">
        <v>-1115.2999999999997</v>
      </c>
    </row>
    <row r="72" spans="11:12" x14ac:dyDescent="0.45">
      <c r="K72" s="38">
        <v>70</v>
      </c>
      <c r="L72" s="99">
        <v>-1170.9999999999998</v>
      </c>
    </row>
    <row r="73" spans="11:12" x14ac:dyDescent="0.45">
      <c r="K73" s="38">
        <v>71</v>
      </c>
      <c r="L73" s="99">
        <v>-1130.3999999999999</v>
      </c>
    </row>
    <row r="74" spans="11:12" x14ac:dyDescent="0.45">
      <c r="K74" s="38">
        <v>72</v>
      </c>
      <c r="L74" s="99">
        <v>-1129.6999999999998</v>
      </c>
    </row>
    <row r="75" spans="11:12" x14ac:dyDescent="0.45">
      <c r="K75" s="38">
        <v>73</v>
      </c>
      <c r="L75" s="99">
        <v>-1091.5999999999999</v>
      </c>
    </row>
    <row r="76" spans="11:12" x14ac:dyDescent="0.45">
      <c r="K76" s="38">
        <v>74</v>
      </c>
      <c r="L76" s="99">
        <v>-1149.5999999999999</v>
      </c>
    </row>
    <row r="77" spans="11:12" x14ac:dyDescent="0.45">
      <c r="K77" s="38">
        <v>75</v>
      </c>
      <c r="L77" s="99">
        <v>-1147.8999999999999</v>
      </c>
    </row>
    <row r="78" spans="11:12" x14ac:dyDescent="0.45">
      <c r="K78" s="38">
        <v>76</v>
      </c>
      <c r="L78" s="99">
        <v>-1183.9999999999998</v>
      </c>
    </row>
    <row r="79" spans="11:12" x14ac:dyDescent="0.45">
      <c r="K79" s="38">
        <v>77</v>
      </c>
      <c r="L79" s="99">
        <v>-1135.9999999999998</v>
      </c>
    </row>
    <row r="80" spans="11:12" x14ac:dyDescent="0.45">
      <c r="K80" s="38">
        <v>78</v>
      </c>
      <c r="L80" s="99">
        <v>-1169.8999999999999</v>
      </c>
    </row>
    <row r="81" spans="11:12" x14ac:dyDescent="0.45">
      <c r="K81" s="38">
        <v>79</v>
      </c>
      <c r="L81" s="99">
        <v>-1226.5999999999999</v>
      </c>
    </row>
    <row r="82" spans="11:12" x14ac:dyDescent="0.45">
      <c r="K82" s="38">
        <v>80</v>
      </c>
      <c r="L82" s="99">
        <v>-1201</v>
      </c>
    </row>
    <row r="83" spans="11:12" x14ac:dyDescent="0.45">
      <c r="K83" s="38">
        <v>81</v>
      </c>
      <c r="L83" s="99">
        <v>-1265.7</v>
      </c>
    </row>
    <row r="84" spans="11:12" x14ac:dyDescent="0.45">
      <c r="K84" s="38">
        <v>82</v>
      </c>
      <c r="L84" s="99">
        <v>-1267.2</v>
      </c>
    </row>
    <row r="85" spans="11:12" x14ac:dyDescent="0.45">
      <c r="K85" s="38">
        <v>83</v>
      </c>
      <c r="L85" s="99">
        <v>-1270.6000000000001</v>
      </c>
    </row>
    <row r="86" spans="11:12" x14ac:dyDescent="0.45">
      <c r="K86" s="38">
        <v>84</v>
      </c>
      <c r="L86" s="99">
        <v>-1264.8000000000002</v>
      </c>
    </row>
    <row r="87" spans="11:12" x14ac:dyDescent="0.45">
      <c r="K87" s="38">
        <v>85</v>
      </c>
      <c r="L87" s="99">
        <v>-1322.1000000000001</v>
      </c>
    </row>
    <row r="88" spans="11:12" x14ac:dyDescent="0.45">
      <c r="K88" s="38">
        <v>86</v>
      </c>
      <c r="L88" s="99">
        <v>-1272.1000000000001</v>
      </c>
    </row>
    <row r="89" spans="11:12" x14ac:dyDescent="0.45">
      <c r="K89" s="38">
        <v>87</v>
      </c>
      <c r="L89" s="99">
        <v>-1283.8000000000002</v>
      </c>
    </row>
    <row r="90" spans="11:12" x14ac:dyDescent="0.45">
      <c r="K90" s="38">
        <v>88</v>
      </c>
      <c r="L90" s="99">
        <v>-1241.1000000000001</v>
      </c>
    </row>
    <row r="91" spans="11:12" x14ac:dyDescent="0.45">
      <c r="K91" s="38">
        <v>89</v>
      </c>
      <c r="L91" s="99">
        <v>-1288.1000000000001</v>
      </c>
    </row>
    <row r="92" spans="11:12" x14ac:dyDescent="0.45">
      <c r="K92" s="38">
        <v>90</v>
      </c>
      <c r="L92" s="99">
        <v>-1324.2</v>
      </c>
    </row>
    <row r="93" spans="11:12" x14ac:dyDescent="0.45">
      <c r="K93" s="38">
        <v>91</v>
      </c>
      <c r="L93" s="99">
        <v>-1253.1000000000001</v>
      </c>
    </row>
    <row r="94" spans="11:12" x14ac:dyDescent="0.45">
      <c r="K94" s="38">
        <v>92</v>
      </c>
      <c r="L94" s="99">
        <v>-1291.9000000000001</v>
      </c>
    </row>
    <row r="95" spans="11:12" x14ac:dyDescent="0.45">
      <c r="K95" s="38">
        <v>93</v>
      </c>
      <c r="L95" s="99">
        <v>-1348.9</v>
      </c>
    </row>
    <row r="96" spans="11:12" x14ac:dyDescent="0.45">
      <c r="K96" s="38">
        <v>94</v>
      </c>
      <c r="L96" s="99">
        <v>-1306.3000000000002</v>
      </c>
    </row>
    <row r="97" spans="11:12" x14ac:dyDescent="0.45">
      <c r="K97" s="38">
        <v>95</v>
      </c>
      <c r="L97" s="99">
        <v>-1362.6000000000001</v>
      </c>
    </row>
    <row r="98" spans="11:12" x14ac:dyDescent="0.45">
      <c r="K98" s="38">
        <v>96</v>
      </c>
      <c r="L98" s="99">
        <v>-1335.8000000000002</v>
      </c>
    </row>
    <row r="99" spans="11:12" x14ac:dyDescent="0.45">
      <c r="K99" s="38">
        <v>97</v>
      </c>
      <c r="L99" s="99">
        <v>-1299.4000000000001</v>
      </c>
    </row>
    <row r="100" spans="11:12" x14ac:dyDescent="0.45">
      <c r="K100" s="38">
        <v>98</v>
      </c>
      <c r="L100" s="99">
        <v>-1305.7</v>
      </c>
    </row>
    <row r="101" spans="11:12" x14ac:dyDescent="0.45">
      <c r="K101" s="38">
        <v>99</v>
      </c>
      <c r="L101" s="99">
        <v>-1267.5</v>
      </c>
    </row>
    <row r="102" spans="11:12" x14ac:dyDescent="0.45">
      <c r="K102" s="38">
        <v>100</v>
      </c>
      <c r="L102" s="99">
        <v>-1255.3</v>
      </c>
    </row>
    <row r="103" spans="11:12" x14ac:dyDescent="0.45">
      <c r="K103" s="38">
        <v>101</v>
      </c>
      <c r="L103" s="99">
        <v>-1246.3</v>
      </c>
    </row>
    <row r="104" spans="11:12" x14ac:dyDescent="0.45">
      <c r="K104" s="38">
        <v>102</v>
      </c>
      <c r="L104" s="99">
        <v>-1206.5</v>
      </c>
    </row>
    <row r="105" spans="11:12" x14ac:dyDescent="0.45">
      <c r="K105" s="38">
        <v>103</v>
      </c>
      <c r="L105" s="99">
        <v>-1144.9000000000001</v>
      </c>
    </row>
    <row r="106" spans="11:12" x14ac:dyDescent="0.45">
      <c r="K106" s="38">
        <v>104</v>
      </c>
      <c r="L106" s="99">
        <v>-1134.8000000000002</v>
      </c>
    </row>
    <row r="107" spans="11:12" x14ac:dyDescent="0.45">
      <c r="K107" s="38">
        <v>105</v>
      </c>
      <c r="L107" s="99">
        <v>-1138.7000000000003</v>
      </c>
    </row>
    <row r="108" spans="11:12" x14ac:dyDescent="0.45">
      <c r="K108" s="38">
        <v>106</v>
      </c>
      <c r="L108" s="99">
        <v>-1119.7000000000003</v>
      </c>
    </row>
    <row r="109" spans="11:12" x14ac:dyDescent="0.45">
      <c r="K109" s="38">
        <v>107</v>
      </c>
      <c r="L109" s="99">
        <v>-1085.0000000000002</v>
      </c>
    </row>
    <row r="110" spans="11:12" x14ac:dyDescent="0.45">
      <c r="K110" s="38">
        <v>108</v>
      </c>
      <c r="L110" s="99">
        <v>-1048.6000000000001</v>
      </c>
    </row>
    <row r="111" spans="11:12" x14ac:dyDescent="0.45">
      <c r="K111" s="38">
        <v>109</v>
      </c>
      <c r="L111" s="99">
        <v>-982.60000000000014</v>
      </c>
    </row>
    <row r="112" spans="11:12" x14ac:dyDescent="0.45">
      <c r="K112" s="38">
        <v>110</v>
      </c>
      <c r="L112" s="99">
        <v>-940.00000000000011</v>
      </c>
    </row>
    <row r="113" spans="11:12" x14ac:dyDescent="0.45">
      <c r="K113" s="38">
        <v>111</v>
      </c>
      <c r="L113" s="99">
        <v>-890.80000000000007</v>
      </c>
    </row>
    <row r="114" spans="11:12" x14ac:dyDescent="0.45">
      <c r="K114" s="38">
        <v>112</v>
      </c>
      <c r="L114" s="99">
        <v>-971.2</v>
      </c>
    </row>
    <row r="115" spans="11:12" x14ac:dyDescent="0.45">
      <c r="K115" s="38">
        <v>113</v>
      </c>
      <c r="L115" s="99">
        <v>-921.2</v>
      </c>
    </row>
    <row r="116" spans="11:12" x14ac:dyDescent="0.45">
      <c r="K116" s="38">
        <v>114</v>
      </c>
      <c r="L116" s="99">
        <v>-924.7</v>
      </c>
    </row>
    <row r="117" spans="11:12" x14ac:dyDescent="0.45">
      <c r="K117" s="38">
        <v>115</v>
      </c>
      <c r="L117" s="99">
        <v>-919.7</v>
      </c>
    </row>
    <row r="118" spans="11:12" x14ac:dyDescent="0.45">
      <c r="K118" s="38">
        <v>116</v>
      </c>
      <c r="L118" s="99">
        <v>-880.80000000000007</v>
      </c>
    </row>
    <row r="119" spans="11:12" x14ac:dyDescent="0.45">
      <c r="K119" s="38">
        <v>117</v>
      </c>
      <c r="L119" s="99">
        <v>-932.80000000000007</v>
      </c>
    </row>
    <row r="120" spans="11:12" x14ac:dyDescent="0.45">
      <c r="K120" s="38">
        <v>118</v>
      </c>
      <c r="L120" s="99">
        <v>-988.7</v>
      </c>
    </row>
    <row r="121" spans="11:12" x14ac:dyDescent="0.45">
      <c r="K121" s="38">
        <v>119</v>
      </c>
      <c r="L121" s="99">
        <v>-950.40000000000009</v>
      </c>
    </row>
    <row r="122" spans="11:12" x14ac:dyDescent="0.45">
      <c r="K122" s="38">
        <v>120</v>
      </c>
      <c r="L122" s="99">
        <v>-902.50000000000011</v>
      </c>
    </row>
    <row r="123" spans="11:12" x14ac:dyDescent="0.45">
      <c r="K123" s="38">
        <v>121</v>
      </c>
      <c r="L123" s="99">
        <v>-911.60000000000014</v>
      </c>
    </row>
    <row r="124" spans="11:12" x14ac:dyDescent="0.45">
      <c r="K124" s="38">
        <v>122</v>
      </c>
      <c r="L124" s="99">
        <v>-881.60000000000014</v>
      </c>
    </row>
    <row r="125" spans="11:12" x14ac:dyDescent="0.45">
      <c r="K125" s="38">
        <v>123</v>
      </c>
      <c r="L125" s="99">
        <v>-881.00000000000011</v>
      </c>
    </row>
    <row r="126" spans="11:12" x14ac:dyDescent="0.45">
      <c r="K126" s="38">
        <v>124</v>
      </c>
      <c r="L126" s="99">
        <v>-849.50000000000011</v>
      </c>
    </row>
    <row r="127" spans="11:12" x14ac:dyDescent="0.45">
      <c r="K127" s="38">
        <v>125</v>
      </c>
      <c r="L127" s="99">
        <v>-877.90000000000009</v>
      </c>
    </row>
    <row r="128" spans="11:12" x14ac:dyDescent="0.45">
      <c r="K128" s="38">
        <v>126</v>
      </c>
      <c r="L128" s="99">
        <v>-883.00000000000011</v>
      </c>
    </row>
    <row r="129" spans="11:12" x14ac:dyDescent="0.45">
      <c r="K129" s="38">
        <v>127</v>
      </c>
      <c r="L129" s="99">
        <v>-881.50000000000011</v>
      </c>
    </row>
    <row r="130" spans="11:12" x14ac:dyDescent="0.45">
      <c r="K130" s="38">
        <v>128</v>
      </c>
      <c r="L130" s="99">
        <v>-908.40000000000009</v>
      </c>
    </row>
    <row r="131" spans="11:12" x14ac:dyDescent="0.45">
      <c r="K131" s="38">
        <v>129</v>
      </c>
      <c r="L131" s="99">
        <v>-970.40000000000009</v>
      </c>
    </row>
    <row r="132" spans="11:12" x14ac:dyDescent="0.45">
      <c r="K132" s="38">
        <v>130</v>
      </c>
      <c r="L132" s="99">
        <v>-939.30000000000007</v>
      </c>
    </row>
    <row r="133" spans="11:12" x14ac:dyDescent="0.45">
      <c r="K133" s="38">
        <v>131</v>
      </c>
      <c r="L133" s="99">
        <v>-938.50000000000011</v>
      </c>
    </row>
    <row r="134" spans="11:12" x14ac:dyDescent="0.45">
      <c r="K134" s="38">
        <v>132</v>
      </c>
      <c r="L134" s="99">
        <v>-967.90000000000009</v>
      </c>
    </row>
    <row r="135" spans="11:12" x14ac:dyDescent="0.45">
      <c r="K135" s="38">
        <v>133</v>
      </c>
      <c r="L135" s="99">
        <v>-1016.2</v>
      </c>
    </row>
    <row r="136" spans="11:12" x14ac:dyDescent="0.45">
      <c r="K136" s="38">
        <v>134</v>
      </c>
      <c r="L136" s="99">
        <v>-1019.5</v>
      </c>
    </row>
    <row r="137" spans="11:12" x14ac:dyDescent="0.45">
      <c r="K137" s="38">
        <v>135</v>
      </c>
      <c r="L137" s="99">
        <v>-991.3</v>
      </c>
    </row>
    <row r="138" spans="11:12" x14ac:dyDescent="0.45">
      <c r="K138" s="38">
        <v>136</v>
      </c>
      <c r="L138" s="99">
        <v>-995.5</v>
      </c>
    </row>
    <row r="139" spans="11:12" x14ac:dyDescent="0.45">
      <c r="K139" s="38">
        <v>137</v>
      </c>
      <c r="L139" s="99">
        <v>-998.4</v>
      </c>
    </row>
    <row r="140" spans="11:12" x14ac:dyDescent="0.45">
      <c r="K140" s="38">
        <v>138</v>
      </c>
      <c r="L140" s="99">
        <v>-1041.2</v>
      </c>
    </row>
    <row r="141" spans="11:12" x14ac:dyDescent="0.45">
      <c r="K141" s="38">
        <v>139</v>
      </c>
      <c r="L141" s="99">
        <v>-1031.4000000000001</v>
      </c>
    </row>
    <row r="142" spans="11:12" x14ac:dyDescent="0.45">
      <c r="K142" s="38">
        <v>140</v>
      </c>
      <c r="L142" s="99">
        <v>-1031.1000000000001</v>
      </c>
    </row>
    <row r="143" spans="11:12" x14ac:dyDescent="0.45">
      <c r="K143" s="38">
        <v>141</v>
      </c>
      <c r="L143" s="99">
        <v>-1065.2</v>
      </c>
    </row>
    <row r="144" spans="11:12" x14ac:dyDescent="0.45">
      <c r="K144" s="38">
        <v>142</v>
      </c>
      <c r="L144" s="99">
        <v>-1102.6000000000001</v>
      </c>
    </row>
    <row r="145" spans="11:12" x14ac:dyDescent="0.45">
      <c r="K145" s="38">
        <v>143</v>
      </c>
      <c r="L145" s="99">
        <v>-1103.4000000000001</v>
      </c>
    </row>
    <row r="146" spans="11:12" x14ac:dyDescent="0.45">
      <c r="K146" s="38">
        <v>144</v>
      </c>
      <c r="L146" s="99">
        <v>-1159.5</v>
      </c>
    </row>
    <row r="147" spans="11:12" x14ac:dyDescent="0.45">
      <c r="K147" s="38">
        <v>145</v>
      </c>
      <c r="L147" s="99">
        <v>-1121.9000000000001</v>
      </c>
    </row>
    <row r="148" spans="11:12" x14ac:dyDescent="0.45">
      <c r="K148" s="38">
        <v>146</v>
      </c>
      <c r="L148" s="99">
        <v>-1181.5</v>
      </c>
    </row>
    <row r="149" spans="11:12" x14ac:dyDescent="0.45">
      <c r="K149" s="38">
        <v>147</v>
      </c>
      <c r="L149" s="99">
        <v>-1213.9000000000001</v>
      </c>
    </row>
    <row r="150" spans="11:12" x14ac:dyDescent="0.45">
      <c r="K150" s="38">
        <v>148</v>
      </c>
      <c r="L150" s="99">
        <v>-1255.3000000000002</v>
      </c>
    </row>
    <row r="151" spans="11:12" x14ac:dyDescent="0.45">
      <c r="K151" s="38">
        <v>149</v>
      </c>
      <c r="L151" s="99">
        <v>-1227.8000000000002</v>
      </c>
    </row>
    <row r="152" spans="11:12" x14ac:dyDescent="0.45">
      <c r="K152" s="38">
        <v>150</v>
      </c>
      <c r="L152" s="99">
        <v>-1274.3000000000002</v>
      </c>
    </row>
    <row r="153" spans="11:12" x14ac:dyDescent="0.45">
      <c r="K153" s="38">
        <v>151</v>
      </c>
      <c r="L153" s="99">
        <v>-1320.4</v>
      </c>
    </row>
    <row r="154" spans="11:12" x14ac:dyDescent="0.45">
      <c r="K154" s="38">
        <v>152</v>
      </c>
      <c r="L154" s="99">
        <v>-1364.7</v>
      </c>
    </row>
    <row r="155" spans="11:12" x14ac:dyDescent="0.45">
      <c r="K155" s="38">
        <v>153</v>
      </c>
      <c r="L155" s="99">
        <v>-1415.8</v>
      </c>
    </row>
    <row r="156" spans="11:12" x14ac:dyDescent="0.45">
      <c r="K156" s="38">
        <v>154</v>
      </c>
      <c r="L156" s="99">
        <v>-1432.6</v>
      </c>
    </row>
    <row r="157" spans="11:12" x14ac:dyDescent="0.45">
      <c r="K157" s="38">
        <v>155</v>
      </c>
      <c r="L157" s="99">
        <v>-1352.8</v>
      </c>
    </row>
    <row r="158" spans="11:12" x14ac:dyDescent="0.45">
      <c r="K158" s="38">
        <v>156</v>
      </c>
      <c r="L158" s="99">
        <v>-1344.3</v>
      </c>
    </row>
    <row r="159" spans="11:12" x14ac:dyDescent="0.45">
      <c r="K159" s="38">
        <v>157</v>
      </c>
      <c r="L159" s="99">
        <v>-1357.7</v>
      </c>
    </row>
    <row r="160" spans="11:12" x14ac:dyDescent="0.45">
      <c r="K160" s="38">
        <v>158</v>
      </c>
      <c r="L160" s="99">
        <v>-1338.1000000000001</v>
      </c>
    </row>
    <row r="161" spans="11:12" x14ac:dyDescent="0.45">
      <c r="K161" s="38">
        <v>159</v>
      </c>
      <c r="L161" s="99">
        <v>-1330.7</v>
      </c>
    </row>
    <row r="162" spans="11:12" x14ac:dyDescent="0.45">
      <c r="K162" s="38">
        <v>160</v>
      </c>
      <c r="L162" s="99">
        <v>-1265.7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E052-5A5A-4B5F-9CE9-D13ABFC56BB9}">
  <sheetPr codeName="Sheet13"/>
  <dimension ref="A1:Q108"/>
  <sheetViews>
    <sheetView showGridLines="0" zoomScaleNormal="100" workbookViewId="0"/>
  </sheetViews>
  <sheetFormatPr defaultColWidth="9" defaultRowHeight="18" x14ac:dyDescent="0.45"/>
  <cols>
    <col min="1" max="1" width="13" style="33" customWidth="1"/>
    <col min="2" max="3" width="9" style="33" customWidth="1"/>
    <col min="4" max="4" width="3.59765625" style="33" customWidth="1"/>
    <col min="5" max="5" width="3.59765625" style="128" bestFit="1" customWidth="1"/>
    <col min="6" max="6" width="11" style="43" bestFit="1" customWidth="1"/>
    <col min="7" max="9" width="9" style="33" customWidth="1"/>
    <col min="10" max="10" width="3.59765625" style="33" customWidth="1"/>
    <col min="11" max="11" width="3.5" style="38" customWidth="1"/>
    <col min="12" max="12" width="9" style="99" customWidth="1"/>
    <col min="13" max="13" width="3.59765625" style="33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33"/>
  </cols>
  <sheetData>
    <row r="1" spans="1:17" x14ac:dyDescent="0.45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5">
      <c r="A2" s="54" t="s">
        <v>9</v>
      </c>
      <c r="B2" s="150">
        <v>106</v>
      </c>
      <c r="C2" s="151"/>
      <c r="E2" s="62" t="s">
        <v>65</v>
      </c>
      <c r="F2" s="59" t="s">
        <v>21</v>
      </c>
      <c r="G2" s="46">
        <v>134</v>
      </c>
      <c r="H2" s="132">
        <f t="shared" ref="H2:H33" si="0">IF(B$17=0,0,G2/B$17)</f>
        <v>0.5234375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1">IF(P2=0,0,Q2/P2)</f>
        <v>826.41509433962267</v>
      </c>
      <c r="P2" s="118">
        <v>106</v>
      </c>
      <c r="Q2" s="102">
        <v>87600</v>
      </c>
    </row>
    <row r="3" spans="1:17" x14ac:dyDescent="0.45">
      <c r="A3" s="55" t="s">
        <v>8</v>
      </c>
      <c r="B3" s="152">
        <v>880</v>
      </c>
      <c r="C3" s="153"/>
      <c r="E3" s="63" t="s">
        <v>66</v>
      </c>
      <c r="F3" s="60" t="s">
        <v>22</v>
      </c>
      <c r="G3" s="47">
        <v>30</v>
      </c>
      <c r="H3" s="133">
        <f t="shared" si="0"/>
        <v>0.1171875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1"/>
        <v>639.80582524271847</v>
      </c>
      <c r="P3" s="119">
        <v>103</v>
      </c>
      <c r="Q3" s="103">
        <v>65900</v>
      </c>
    </row>
    <row r="4" spans="1:17" x14ac:dyDescent="0.45">
      <c r="A4" s="55" t="s">
        <v>6</v>
      </c>
      <c r="B4" s="154">
        <v>140.5</v>
      </c>
      <c r="C4" s="155"/>
      <c r="E4" s="63" t="s">
        <v>67</v>
      </c>
      <c r="F4" s="60" t="s">
        <v>23</v>
      </c>
      <c r="G4" s="47">
        <v>201</v>
      </c>
      <c r="H4" s="133">
        <f t="shared" si="0"/>
        <v>0.78515625</v>
      </c>
      <c r="I4" s="94">
        <v>5</v>
      </c>
      <c r="K4" s="38">
        <v>2</v>
      </c>
      <c r="L4" s="99">
        <v>-93.300000000000011</v>
      </c>
      <c r="N4" s="115" t="s">
        <v>134</v>
      </c>
      <c r="O4" s="122">
        <f t="shared" si="1"/>
        <v>1893.6170212765958</v>
      </c>
      <c r="P4" s="119">
        <v>94</v>
      </c>
      <c r="Q4" s="103">
        <v>178000</v>
      </c>
    </row>
    <row r="5" spans="1:17" x14ac:dyDescent="0.45">
      <c r="A5" s="55" t="s">
        <v>7</v>
      </c>
      <c r="B5" s="156">
        <f>IF(B$2=0,0,B$4/B$2)</f>
        <v>1.3254716981132075</v>
      </c>
      <c r="C5" s="157"/>
      <c r="E5" s="63" t="s">
        <v>68</v>
      </c>
      <c r="F5" s="60" t="s">
        <v>24</v>
      </c>
      <c r="G5" s="47">
        <v>86</v>
      </c>
      <c r="H5" s="133">
        <f t="shared" si="0"/>
        <v>0.3359375</v>
      </c>
      <c r="I5" s="94">
        <v>5</v>
      </c>
      <c r="K5" s="38">
        <v>3</v>
      </c>
      <c r="L5" s="99">
        <v>-60.100000000000009</v>
      </c>
      <c r="N5" s="115" t="s">
        <v>135</v>
      </c>
      <c r="O5" s="122">
        <f t="shared" si="1"/>
        <v>-187.95180722891567</v>
      </c>
      <c r="P5" s="119">
        <v>83</v>
      </c>
      <c r="Q5" s="103">
        <v>-15600</v>
      </c>
    </row>
    <row r="6" spans="1:17" x14ac:dyDescent="0.45">
      <c r="A6" s="55" t="s">
        <v>1</v>
      </c>
      <c r="B6" s="146">
        <f>IF(B$2=0,0,(B$7*1+B$8*2+B$9*3)/B$2)</f>
        <v>2.0188679245283021</v>
      </c>
      <c r="C6" s="147"/>
      <c r="E6" s="63" t="s">
        <v>69</v>
      </c>
      <c r="F6" s="60" t="s">
        <v>12</v>
      </c>
      <c r="G6" s="47">
        <v>74</v>
      </c>
      <c r="H6" s="133">
        <f t="shared" si="0"/>
        <v>0.2890625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1"/>
        <v>-2070.2702702702704</v>
      </c>
      <c r="P6" s="119">
        <v>74</v>
      </c>
      <c r="Q6" s="103">
        <v>-153200</v>
      </c>
    </row>
    <row r="7" spans="1:17" x14ac:dyDescent="0.45">
      <c r="A7" s="55" t="s">
        <v>2</v>
      </c>
      <c r="B7" s="47">
        <v>34</v>
      </c>
      <c r="C7" s="39">
        <f t="shared" ref="C7:C12" si="2">IF(B$2=0,0,B7/B$2)</f>
        <v>0.32075471698113206</v>
      </c>
      <c r="E7" s="63" t="s">
        <v>70</v>
      </c>
      <c r="F7" s="60" t="s">
        <v>25</v>
      </c>
      <c r="G7" s="47">
        <v>47</v>
      </c>
      <c r="H7" s="133">
        <f t="shared" si="0"/>
        <v>0.18359375</v>
      </c>
      <c r="I7" s="94">
        <v>3</v>
      </c>
      <c r="K7" s="38">
        <v>5</v>
      </c>
      <c r="L7" s="99">
        <v>-36.100000000000009</v>
      </c>
      <c r="N7" s="116" t="s">
        <v>137</v>
      </c>
      <c r="O7" s="123">
        <f t="shared" si="1"/>
        <v>-551.5151515151515</v>
      </c>
      <c r="P7" s="120">
        <v>66</v>
      </c>
      <c r="Q7" s="104">
        <v>-36400</v>
      </c>
    </row>
    <row r="8" spans="1:17" x14ac:dyDescent="0.45">
      <c r="A8" s="55" t="s">
        <v>3</v>
      </c>
      <c r="B8" s="47">
        <v>36</v>
      </c>
      <c r="C8" s="39">
        <f t="shared" si="2"/>
        <v>0.33962264150943394</v>
      </c>
      <c r="E8" s="63" t="s">
        <v>71</v>
      </c>
      <c r="F8" s="60" t="s">
        <v>26</v>
      </c>
      <c r="G8" s="47">
        <v>26</v>
      </c>
      <c r="H8" s="133">
        <f t="shared" si="0"/>
        <v>0.1015625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5">
      <c r="A9" s="56" t="s">
        <v>4</v>
      </c>
      <c r="B9" s="48">
        <v>36</v>
      </c>
      <c r="C9" s="40">
        <f t="shared" si="2"/>
        <v>0.33962264150943394</v>
      </c>
      <c r="E9" s="63" t="s">
        <v>72</v>
      </c>
      <c r="F9" s="60" t="s">
        <v>27</v>
      </c>
      <c r="G9" s="47">
        <v>15</v>
      </c>
      <c r="H9" s="133">
        <f t="shared" si="0"/>
        <v>5.859375E-2</v>
      </c>
      <c r="I9" s="94">
        <v>9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5">
      <c r="A10" s="56" t="s">
        <v>19</v>
      </c>
      <c r="B10" s="48">
        <v>11</v>
      </c>
      <c r="C10" s="40">
        <f t="shared" si="2"/>
        <v>0.10377358490566038</v>
      </c>
      <c r="E10" s="63" t="s">
        <v>73</v>
      </c>
      <c r="F10" s="60" t="s">
        <v>28</v>
      </c>
      <c r="G10" s="47">
        <v>145</v>
      </c>
      <c r="H10" s="133">
        <f t="shared" si="0"/>
        <v>0.56640625</v>
      </c>
      <c r="I10" s="94">
        <v>6</v>
      </c>
      <c r="K10" s="38">
        <v>8</v>
      </c>
      <c r="L10" s="99">
        <v>-1.7000000000000028</v>
      </c>
      <c r="N10" s="114" t="s">
        <v>164</v>
      </c>
      <c r="O10" s="124">
        <f>IF(P10=0,0,Q10/P10)</f>
        <v>4.5344827586206895</v>
      </c>
      <c r="P10" s="118">
        <v>29</v>
      </c>
      <c r="Q10" s="106">
        <v>131.5</v>
      </c>
    </row>
    <row r="11" spans="1:17" x14ac:dyDescent="0.45">
      <c r="A11" s="56" t="s">
        <v>140</v>
      </c>
      <c r="B11" s="48">
        <v>16</v>
      </c>
      <c r="C11" s="40">
        <f t="shared" si="2"/>
        <v>0.15094339622641509</v>
      </c>
      <c r="E11" s="63" t="s">
        <v>74</v>
      </c>
      <c r="F11" s="60" t="s">
        <v>29</v>
      </c>
      <c r="G11" s="47">
        <v>3</v>
      </c>
      <c r="H11" s="133">
        <f t="shared" si="0"/>
        <v>1.171875E-2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4.5945945945947558E-2</v>
      </c>
      <c r="P11" s="119">
        <v>37</v>
      </c>
      <c r="Q11" s="107">
        <v>1.7000000000000597</v>
      </c>
    </row>
    <row r="12" spans="1:17" x14ac:dyDescent="0.45">
      <c r="A12" s="57" t="s">
        <v>160</v>
      </c>
      <c r="B12" s="49">
        <v>7</v>
      </c>
      <c r="C12" s="42">
        <f t="shared" si="2"/>
        <v>6.6037735849056603E-2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0.18249999999999994</v>
      </c>
      <c r="P12" s="120">
        <v>40</v>
      </c>
      <c r="Q12" s="108">
        <v>7.2999999999999972</v>
      </c>
    </row>
    <row r="13" spans="1:17" x14ac:dyDescent="0.45">
      <c r="A13" s="58" t="s">
        <v>122</v>
      </c>
      <c r="B13" s="50">
        <v>250</v>
      </c>
      <c r="C13" s="44">
        <f>IF(B$3=0,0,B13/B$3)</f>
        <v>0.28409090909090912</v>
      </c>
      <c r="E13" s="63" t="s">
        <v>76</v>
      </c>
      <c r="F13" s="60" t="s">
        <v>31</v>
      </c>
      <c r="G13" s="47">
        <v>3</v>
      </c>
      <c r="H13" s="133">
        <f t="shared" si="0"/>
        <v>1.171875E-2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5">
      <c r="A14" s="55" t="s">
        <v>119</v>
      </c>
      <c r="B14" s="47">
        <v>175</v>
      </c>
      <c r="C14" s="39">
        <f>IF(B$3=0,0,B14/B$3)</f>
        <v>0.19886363636363635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5">
      <c r="A15" s="54" t="s">
        <v>124</v>
      </c>
      <c r="B15" s="46">
        <v>142</v>
      </c>
      <c r="C15" s="37">
        <f>IF(B$13=0,0,B15/B$13)</f>
        <v>0.56799999999999995</v>
      </c>
      <c r="E15" s="63" t="s">
        <v>78</v>
      </c>
      <c r="F15" s="60" t="s">
        <v>33</v>
      </c>
      <c r="G15" s="47">
        <v>3</v>
      </c>
      <c r="H15" s="133">
        <f t="shared" si="0"/>
        <v>1.171875E-2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 t="shared" ref="O15:O23" si="3">IF(P15=0,0,Q15/P15)</f>
        <v>20.797499999999992</v>
      </c>
      <c r="P15" s="118">
        <v>40</v>
      </c>
      <c r="Q15" s="106">
        <v>831.89999999999964</v>
      </c>
    </row>
    <row r="16" spans="1:17" x14ac:dyDescent="0.45">
      <c r="A16" s="54" t="s">
        <v>125</v>
      </c>
      <c r="B16" s="46">
        <v>73</v>
      </c>
      <c r="C16" s="37">
        <f>IF(B$14=0,0,B16/B$14)</f>
        <v>0.41714285714285715</v>
      </c>
      <c r="E16" s="63" t="s">
        <v>79</v>
      </c>
      <c r="F16" s="60" t="s">
        <v>34</v>
      </c>
      <c r="G16" s="47">
        <v>11</v>
      </c>
      <c r="H16" s="133">
        <f t="shared" si="0"/>
        <v>4.296875E-2</v>
      </c>
      <c r="I16" s="94">
        <v>4</v>
      </c>
      <c r="K16" s="38">
        <v>14</v>
      </c>
      <c r="L16" s="99">
        <v>-29.400000000000002</v>
      </c>
      <c r="N16" s="115" t="s">
        <v>184</v>
      </c>
      <c r="O16" s="125">
        <f t="shared" si="3"/>
        <v>18.200000000000003</v>
      </c>
      <c r="P16" s="119">
        <v>4</v>
      </c>
      <c r="Q16" s="107">
        <v>72.800000000000011</v>
      </c>
    </row>
    <row r="17" spans="1:17" x14ac:dyDescent="0.45">
      <c r="A17" s="54" t="s">
        <v>10</v>
      </c>
      <c r="B17" s="46">
        <f>B19+B18</f>
        <v>256</v>
      </c>
      <c r="C17" s="37">
        <f>IF(B$3=0,0,B17/B$3)</f>
        <v>0.29090909090909089</v>
      </c>
      <c r="E17" s="63" t="s">
        <v>80</v>
      </c>
      <c r="F17" s="60" t="s">
        <v>35</v>
      </c>
      <c r="G17" s="47">
        <v>6</v>
      </c>
      <c r="H17" s="133">
        <f t="shared" si="0"/>
        <v>2.34375E-2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 t="shared" si="3"/>
        <v>12.777777777777775</v>
      </c>
      <c r="P17" s="119">
        <v>18</v>
      </c>
      <c r="Q17" s="107">
        <v>229.99999999999994</v>
      </c>
    </row>
    <row r="18" spans="1:17" x14ac:dyDescent="0.45">
      <c r="A18" s="55" t="s">
        <v>12</v>
      </c>
      <c r="B18" s="47">
        <v>103</v>
      </c>
      <c r="C18" s="39">
        <f>IF(B$17=0,0,B18/B$17)</f>
        <v>0.40234375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3"/>
        <v>7.0136363636363628</v>
      </c>
      <c r="P18" s="119">
        <v>22</v>
      </c>
      <c r="Q18" s="107">
        <v>154.29999999999998</v>
      </c>
    </row>
    <row r="19" spans="1:17" x14ac:dyDescent="0.45">
      <c r="A19" s="55" t="s">
        <v>11</v>
      </c>
      <c r="B19" s="47">
        <v>153</v>
      </c>
      <c r="C19" s="39">
        <f>IF(B$17=0,0,B19/B$17)</f>
        <v>0.59765625</v>
      </c>
      <c r="E19" s="63" t="s">
        <v>82</v>
      </c>
      <c r="F19" s="60" t="s">
        <v>37</v>
      </c>
      <c r="G19" s="47">
        <v>8</v>
      </c>
      <c r="H19" s="133">
        <f t="shared" si="0"/>
        <v>3.125E-2</v>
      </c>
      <c r="I19" s="94">
        <v>2</v>
      </c>
      <c r="K19" s="38">
        <v>17</v>
      </c>
      <c r="L19" s="99">
        <v>-74.3</v>
      </c>
      <c r="N19" s="115" t="s">
        <v>127</v>
      </c>
      <c r="O19" s="125">
        <f t="shared" si="3"/>
        <v>1.0600000000000032</v>
      </c>
      <c r="P19" s="119">
        <v>60</v>
      </c>
      <c r="Q19" s="107">
        <v>63.600000000000193</v>
      </c>
    </row>
    <row r="20" spans="1:17" x14ac:dyDescent="0.45">
      <c r="A20" s="55" t="s">
        <v>13</v>
      </c>
      <c r="B20" s="47">
        <v>155</v>
      </c>
      <c r="C20" s="39">
        <f>IF(B$3=0,0,B20/B$3)</f>
        <v>0.17613636363636365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-76.099999999999994</v>
      </c>
      <c r="N20" s="115" t="s">
        <v>128</v>
      </c>
      <c r="O20" s="125">
        <f t="shared" si="3"/>
        <v>0.24736842105262688</v>
      </c>
      <c r="P20" s="119">
        <v>38</v>
      </c>
      <c r="Q20" s="107">
        <v>9.3999999999998209</v>
      </c>
    </row>
    <row r="21" spans="1:17" x14ac:dyDescent="0.45">
      <c r="A21" s="55" t="s">
        <v>191</v>
      </c>
      <c r="B21" s="47">
        <v>6</v>
      </c>
      <c r="C21" s="135">
        <v>2</v>
      </c>
      <c r="E21" s="63" t="s">
        <v>84</v>
      </c>
      <c r="F21" s="60" t="s">
        <v>39</v>
      </c>
      <c r="G21" s="47">
        <v>11</v>
      </c>
      <c r="H21" s="133">
        <f t="shared" si="0"/>
        <v>4.296875E-2</v>
      </c>
      <c r="I21" s="94">
        <v>8</v>
      </c>
      <c r="K21" s="38">
        <v>19</v>
      </c>
      <c r="L21" s="99">
        <v>0.60000000000000853</v>
      </c>
      <c r="N21" s="115" t="s">
        <v>200</v>
      </c>
      <c r="O21" s="125">
        <f t="shared" si="3"/>
        <v>-12.75</v>
      </c>
      <c r="P21" s="119">
        <v>6</v>
      </c>
      <c r="Q21" s="107">
        <v>-76.5</v>
      </c>
    </row>
    <row r="22" spans="1:17" x14ac:dyDescent="0.45">
      <c r="A22" s="55" t="s">
        <v>192</v>
      </c>
      <c r="B22" s="47">
        <v>32</v>
      </c>
      <c r="C22" s="135">
        <v>3</v>
      </c>
      <c r="E22" s="63" t="s">
        <v>85</v>
      </c>
      <c r="F22" s="60" t="s">
        <v>40</v>
      </c>
      <c r="G22" s="47">
        <v>2</v>
      </c>
      <c r="H22" s="133">
        <f t="shared" si="0"/>
        <v>7.8125E-3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3"/>
        <v>-34.543478260869563</v>
      </c>
      <c r="P22" s="119">
        <v>23</v>
      </c>
      <c r="Q22" s="107">
        <v>-794.5</v>
      </c>
    </row>
    <row r="23" spans="1:17" x14ac:dyDescent="0.45">
      <c r="A23" s="55" t="s">
        <v>5</v>
      </c>
      <c r="B23" s="51">
        <f>IF(B$17=0,0,C23/B$17)</f>
        <v>9913.671875</v>
      </c>
      <c r="C23" s="41">
        <v>2537900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  <c r="K23" s="38">
        <v>21</v>
      </c>
      <c r="L23" s="99">
        <v>-3.0999999999999917</v>
      </c>
      <c r="N23" s="115" t="s">
        <v>222</v>
      </c>
      <c r="O23" s="125">
        <f t="shared" si="3"/>
        <v>-69.5</v>
      </c>
      <c r="P23" s="119">
        <v>1</v>
      </c>
      <c r="Q23" s="107">
        <v>-69.5</v>
      </c>
    </row>
    <row r="24" spans="1:17" x14ac:dyDescent="0.45">
      <c r="A24" s="57" t="s">
        <v>14</v>
      </c>
      <c r="B24" s="52">
        <f>IF(B$20=0,0,C24/B$20)</f>
        <v>-8313.5483870967746</v>
      </c>
      <c r="C24" s="45">
        <v>-1288600</v>
      </c>
      <c r="E24" s="63" t="s">
        <v>87</v>
      </c>
      <c r="F24" s="60" t="s">
        <v>42</v>
      </c>
      <c r="G24" s="47">
        <v>20</v>
      </c>
      <c r="H24" s="133">
        <f t="shared" si="0"/>
        <v>7.8125E-2</v>
      </c>
      <c r="I24" s="94">
        <v>4</v>
      </c>
      <c r="K24" s="38">
        <v>22</v>
      </c>
      <c r="L24" s="99">
        <v>-17.099999999999991</v>
      </c>
    </row>
    <row r="25" spans="1:17" x14ac:dyDescent="0.45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 t="shared" si="0"/>
        <v>3.90625E-3</v>
      </c>
      <c r="I25" s="94">
        <v>3</v>
      </c>
      <c r="K25" s="38">
        <v>23</v>
      </c>
      <c r="L25" s="99">
        <v>-55.699999999999989</v>
      </c>
    </row>
    <row r="26" spans="1:17" x14ac:dyDescent="0.45">
      <c r="A26" s="58" t="s">
        <v>152</v>
      </c>
      <c r="B26" s="142">
        <v>96000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5</v>
      </c>
      <c r="K26" s="38">
        <v>24</v>
      </c>
      <c r="L26" s="99">
        <v>-59.499999999999986</v>
      </c>
    </row>
    <row r="27" spans="1:17" x14ac:dyDescent="0.45">
      <c r="A27" s="57" t="s">
        <v>143</v>
      </c>
      <c r="B27" s="65">
        <v>2</v>
      </c>
      <c r="C27" s="42">
        <f>IF(B$3=0,0,B27/B$3)</f>
        <v>2.2727272727272726E-3</v>
      </c>
      <c r="E27" s="63" t="s">
        <v>90</v>
      </c>
      <c r="F27" s="60" t="s">
        <v>45</v>
      </c>
      <c r="G27" s="47">
        <v>44</v>
      </c>
      <c r="H27" s="133">
        <f t="shared" si="0"/>
        <v>0.171875</v>
      </c>
      <c r="I27" s="94">
        <v>3</v>
      </c>
      <c r="K27" s="38">
        <v>25</v>
      </c>
      <c r="L27" s="99">
        <v>-39.999999999999986</v>
      </c>
    </row>
    <row r="28" spans="1:17" x14ac:dyDescent="0.45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5</v>
      </c>
      <c r="K28" s="38">
        <v>26</v>
      </c>
      <c r="L28" s="99">
        <v>-71.099999999999994</v>
      </c>
    </row>
    <row r="29" spans="1:17" x14ac:dyDescent="0.45">
      <c r="E29" s="63" t="s">
        <v>92</v>
      </c>
      <c r="F29" s="60" t="s">
        <v>47</v>
      </c>
      <c r="G29" s="47">
        <v>8</v>
      </c>
      <c r="H29" s="133">
        <f t="shared" si="0"/>
        <v>3.125E-2</v>
      </c>
      <c r="I29" s="94">
        <v>3</v>
      </c>
      <c r="K29" s="38">
        <v>27</v>
      </c>
      <c r="L29" s="99">
        <v>-66.199999999999989</v>
      </c>
    </row>
    <row r="30" spans="1:17" x14ac:dyDescent="0.45">
      <c r="E30" s="63" t="s">
        <v>93</v>
      </c>
      <c r="F30" s="60" t="s">
        <v>48</v>
      </c>
      <c r="G30" s="47">
        <v>2</v>
      </c>
      <c r="H30" s="133">
        <f t="shared" si="0"/>
        <v>7.8125E-3</v>
      </c>
      <c r="I30" s="94">
        <v>1</v>
      </c>
      <c r="K30" s="38">
        <v>28</v>
      </c>
      <c r="L30" s="99">
        <v>-116.49999999999999</v>
      </c>
    </row>
    <row r="31" spans="1:17" x14ac:dyDescent="0.45">
      <c r="E31" s="63" t="s">
        <v>94</v>
      </c>
      <c r="F31" s="60" t="s">
        <v>49</v>
      </c>
      <c r="G31" s="47">
        <v>1</v>
      </c>
      <c r="H31" s="133">
        <f t="shared" si="0"/>
        <v>3.90625E-3</v>
      </c>
      <c r="I31" s="94">
        <v>3</v>
      </c>
      <c r="K31" s="38">
        <v>29</v>
      </c>
      <c r="L31" s="99">
        <v>-121.79999999999998</v>
      </c>
    </row>
    <row r="32" spans="1:17" x14ac:dyDescent="0.45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-156.19999999999999</v>
      </c>
    </row>
    <row r="33" spans="5:12" x14ac:dyDescent="0.45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4</v>
      </c>
      <c r="K33" s="38">
        <v>31</v>
      </c>
      <c r="L33" s="99">
        <v>-91.899999999999991</v>
      </c>
    </row>
    <row r="34" spans="5:12" x14ac:dyDescent="0.45">
      <c r="E34" s="63" t="s">
        <v>97</v>
      </c>
      <c r="F34" s="60" t="s">
        <v>52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-119</v>
      </c>
    </row>
    <row r="35" spans="5:12" x14ac:dyDescent="0.45">
      <c r="E35" s="63" t="s">
        <v>98</v>
      </c>
      <c r="F35" s="60" t="s">
        <v>53</v>
      </c>
      <c r="G35" s="47">
        <v>0</v>
      </c>
      <c r="H35" s="133">
        <f t="shared" si="4"/>
        <v>0</v>
      </c>
      <c r="I35" s="94">
        <v>3</v>
      </c>
      <c r="K35" s="38">
        <v>33</v>
      </c>
      <c r="L35" s="99">
        <v>-108.9</v>
      </c>
    </row>
    <row r="36" spans="5:12" x14ac:dyDescent="0.45">
      <c r="E36" s="63" t="s">
        <v>99</v>
      </c>
      <c r="F36" s="60" t="s">
        <v>54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-56.7</v>
      </c>
    </row>
    <row r="37" spans="5:12" x14ac:dyDescent="0.45">
      <c r="E37" s="63" t="s">
        <v>100</v>
      </c>
      <c r="F37" s="60" t="s">
        <v>55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-88.4</v>
      </c>
    </row>
    <row r="38" spans="5:12" x14ac:dyDescent="0.45">
      <c r="E38" s="63" t="s">
        <v>101</v>
      </c>
      <c r="F38" s="60" t="s">
        <v>56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-130.69999999999999</v>
      </c>
    </row>
    <row r="39" spans="5:12" x14ac:dyDescent="0.45">
      <c r="E39" s="63" t="s">
        <v>102</v>
      </c>
      <c r="F39" s="60" t="s">
        <v>57</v>
      </c>
      <c r="G39" s="47">
        <v>0</v>
      </c>
      <c r="H39" s="133">
        <f t="shared" si="4"/>
        <v>0</v>
      </c>
      <c r="I39" s="94">
        <v>3</v>
      </c>
      <c r="K39" s="38">
        <v>37</v>
      </c>
      <c r="L39" s="99">
        <v>-64.099999999999994</v>
      </c>
    </row>
    <row r="40" spans="5:12" x14ac:dyDescent="0.45">
      <c r="E40" s="63" t="s">
        <v>103</v>
      </c>
      <c r="F40" s="60" t="s">
        <v>58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-76.599999999999994</v>
      </c>
    </row>
    <row r="41" spans="5:12" x14ac:dyDescent="0.45">
      <c r="E41" s="63" t="s">
        <v>104</v>
      </c>
      <c r="F41" s="60" t="s">
        <v>59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-71.3</v>
      </c>
    </row>
    <row r="42" spans="5:12" x14ac:dyDescent="0.45">
      <c r="E42" s="63" t="s">
        <v>105</v>
      </c>
      <c r="F42" s="60" t="s">
        <v>60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-65.2</v>
      </c>
    </row>
    <row r="43" spans="5:12" x14ac:dyDescent="0.45">
      <c r="E43" s="63" t="s">
        <v>106</v>
      </c>
      <c r="F43" s="60" t="s">
        <v>113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-100</v>
      </c>
    </row>
    <row r="44" spans="5:12" x14ac:dyDescent="0.45">
      <c r="E44" s="63" t="s">
        <v>107</v>
      </c>
      <c r="F44" s="60" t="s">
        <v>114</v>
      </c>
      <c r="G44" s="47">
        <v>0</v>
      </c>
      <c r="H44" s="133">
        <f t="shared" si="4"/>
        <v>0</v>
      </c>
      <c r="I44" s="94">
        <v>3</v>
      </c>
      <c r="K44" s="38">
        <v>42</v>
      </c>
      <c r="L44" s="99">
        <v>-65.5</v>
      </c>
    </row>
    <row r="45" spans="5:12" x14ac:dyDescent="0.45">
      <c r="E45" s="63" t="s">
        <v>108</v>
      </c>
      <c r="F45" s="60" t="s">
        <v>115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-52</v>
      </c>
    </row>
    <row r="46" spans="5:12" x14ac:dyDescent="0.45">
      <c r="E46" s="63" t="s">
        <v>109</v>
      </c>
      <c r="F46" s="60" t="s">
        <v>61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8.3999999999999986</v>
      </c>
    </row>
    <row r="47" spans="5:12" x14ac:dyDescent="0.45">
      <c r="E47" s="63" t="s">
        <v>110</v>
      </c>
      <c r="F47" s="60" t="s">
        <v>62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-32.5</v>
      </c>
    </row>
    <row r="48" spans="5:12" x14ac:dyDescent="0.45">
      <c r="E48" s="63" t="s">
        <v>111</v>
      </c>
      <c r="F48" s="60" t="s">
        <v>63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-6.1000000000000014</v>
      </c>
    </row>
    <row r="49" spans="5:12" x14ac:dyDescent="0.45">
      <c r="E49" s="63" t="s">
        <v>112</v>
      </c>
      <c r="F49" s="60" t="s">
        <v>64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-33.1</v>
      </c>
    </row>
    <row r="50" spans="5:12" x14ac:dyDescent="0.45">
      <c r="E50" s="63" t="s">
        <v>180</v>
      </c>
      <c r="F50" s="60" t="s">
        <v>181</v>
      </c>
      <c r="G50" s="47">
        <v>5</v>
      </c>
      <c r="H50" s="133">
        <f t="shared" si="4"/>
        <v>1.953125E-2</v>
      </c>
      <c r="I50" s="94">
        <v>4</v>
      </c>
      <c r="K50" s="38">
        <v>48</v>
      </c>
      <c r="L50" s="99">
        <v>-33.800000000000004</v>
      </c>
    </row>
    <row r="51" spans="5:12" x14ac:dyDescent="0.45">
      <c r="E51" s="136" t="s">
        <v>245</v>
      </c>
      <c r="F51" s="137" t="s">
        <v>246</v>
      </c>
      <c r="G51" s="48">
        <v>102</v>
      </c>
      <c r="H51" s="138">
        <f t="shared" si="4"/>
        <v>0.3984375</v>
      </c>
      <c r="I51" s="139">
        <v>8</v>
      </c>
      <c r="K51" s="38">
        <v>49</v>
      </c>
      <c r="L51" s="99">
        <v>-23.100000000000005</v>
      </c>
    </row>
    <row r="52" spans="5:12" x14ac:dyDescent="0.45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-79.300000000000011</v>
      </c>
    </row>
    <row r="53" spans="5:12" x14ac:dyDescent="0.45">
      <c r="K53" s="38">
        <v>51</v>
      </c>
      <c r="L53" s="99">
        <v>-16.600000000000009</v>
      </c>
    </row>
    <row r="54" spans="5:12" x14ac:dyDescent="0.45">
      <c r="K54" s="38">
        <v>52</v>
      </c>
      <c r="L54" s="99">
        <v>18.499999999999993</v>
      </c>
    </row>
    <row r="55" spans="5:12" x14ac:dyDescent="0.45">
      <c r="K55" s="38">
        <v>53</v>
      </c>
      <c r="L55" s="99">
        <v>-4.1000000000000085</v>
      </c>
    </row>
    <row r="56" spans="5:12" x14ac:dyDescent="0.45">
      <c r="K56" s="38">
        <v>54</v>
      </c>
      <c r="L56" s="99">
        <v>13.099999999999991</v>
      </c>
    </row>
    <row r="57" spans="5:12" x14ac:dyDescent="0.45">
      <c r="K57" s="38">
        <v>55</v>
      </c>
      <c r="L57" s="99">
        <v>26.999999999999993</v>
      </c>
    </row>
    <row r="58" spans="5:12" x14ac:dyDescent="0.45">
      <c r="K58" s="38">
        <v>56</v>
      </c>
      <c r="L58" s="99">
        <v>-46.500000000000007</v>
      </c>
    </row>
    <row r="59" spans="5:12" x14ac:dyDescent="0.45">
      <c r="K59" s="38">
        <v>57</v>
      </c>
      <c r="L59" s="99">
        <v>-35.100000000000009</v>
      </c>
    </row>
    <row r="60" spans="5:12" x14ac:dyDescent="0.45">
      <c r="K60" s="38">
        <v>58</v>
      </c>
      <c r="L60" s="99">
        <v>-67.300000000000011</v>
      </c>
    </row>
    <row r="61" spans="5:12" x14ac:dyDescent="0.45">
      <c r="K61" s="38">
        <v>59</v>
      </c>
      <c r="L61" s="99">
        <v>-52.70000000000001</v>
      </c>
    </row>
    <row r="62" spans="5:12" x14ac:dyDescent="0.45">
      <c r="K62" s="38">
        <v>60</v>
      </c>
      <c r="L62" s="99">
        <v>13.599999999999987</v>
      </c>
    </row>
    <row r="63" spans="5:12" x14ac:dyDescent="0.45">
      <c r="K63" s="38">
        <v>61</v>
      </c>
      <c r="L63" s="99">
        <v>-25.100000000000016</v>
      </c>
    </row>
    <row r="64" spans="5:12" x14ac:dyDescent="0.45">
      <c r="K64" s="38">
        <v>62</v>
      </c>
      <c r="L64" s="99">
        <v>-27.600000000000016</v>
      </c>
    </row>
    <row r="65" spans="11:12" x14ac:dyDescent="0.45">
      <c r="K65" s="38">
        <v>63</v>
      </c>
      <c r="L65" s="99">
        <v>19.999999999999986</v>
      </c>
    </row>
    <row r="66" spans="11:12" x14ac:dyDescent="0.45">
      <c r="K66" s="38">
        <v>64</v>
      </c>
      <c r="L66" s="99">
        <v>60.099999999999987</v>
      </c>
    </row>
    <row r="67" spans="11:12" x14ac:dyDescent="0.45">
      <c r="K67" s="38">
        <v>65</v>
      </c>
      <c r="L67" s="99">
        <v>131.6</v>
      </c>
    </row>
    <row r="68" spans="11:12" x14ac:dyDescent="0.45">
      <c r="K68" s="38">
        <v>66</v>
      </c>
      <c r="L68" s="99">
        <v>86.1</v>
      </c>
    </row>
    <row r="69" spans="11:12" x14ac:dyDescent="0.45">
      <c r="K69" s="38">
        <v>67</v>
      </c>
      <c r="L69" s="99">
        <v>154.1</v>
      </c>
    </row>
    <row r="70" spans="11:12" x14ac:dyDescent="0.45">
      <c r="K70" s="38">
        <v>68</v>
      </c>
      <c r="L70" s="99">
        <v>152.29999999999998</v>
      </c>
    </row>
    <row r="71" spans="11:12" x14ac:dyDescent="0.45">
      <c r="K71" s="38">
        <v>69</v>
      </c>
      <c r="L71" s="99">
        <v>106.19999999999999</v>
      </c>
    </row>
    <row r="72" spans="11:12" x14ac:dyDescent="0.45">
      <c r="K72" s="38">
        <v>70</v>
      </c>
      <c r="L72" s="99">
        <v>146.79999999999998</v>
      </c>
    </row>
    <row r="73" spans="11:12" x14ac:dyDescent="0.45">
      <c r="K73" s="38">
        <v>71</v>
      </c>
      <c r="L73" s="99">
        <v>88.799999999999983</v>
      </c>
    </row>
    <row r="74" spans="11:12" x14ac:dyDescent="0.45">
      <c r="K74" s="38">
        <v>72</v>
      </c>
      <c r="L74" s="99">
        <v>98.299999999999983</v>
      </c>
    </row>
    <row r="75" spans="11:12" x14ac:dyDescent="0.45">
      <c r="K75" s="38">
        <v>73</v>
      </c>
      <c r="L75" s="99">
        <v>156.29999999999998</v>
      </c>
    </row>
    <row r="76" spans="11:12" x14ac:dyDescent="0.45">
      <c r="K76" s="38">
        <v>74</v>
      </c>
      <c r="L76" s="99">
        <v>99.299999999999983</v>
      </c>
    </row>
    <row r="77" spans="11:12" x14ac:dyDescent="0.45">
      <c r="K77" s="38">
        <v>75</v>
      </c>
      <c r="L77" s="99">
        <v>145.29999999999998</v>
      </c>
    </row>
    <row r="78" spans="11:12" x14ac:dyDescent="0.45">
      <c r="K78" s="38">
        <v>76</v>
      </c>
      <c r="L78" s="99">
        <v>163.29999999999998</v>
      </c>
    </row>
    <row r="79" spans="11:12" x14ac:dyDescent="0.45">
      <c r="K79" s="38">
        <v>77</v>
      </c>
      <c r="L79" s="99">
        <v>89.59999999999998</v>
      </c>
    </row>
    <row r="80" spans="11:12" x14ac:dyDescent="0.45">
      <c r="K80" s="38">
        <v>78</v>
      </c>
      <c r="L80" s="99">
        <v>94.299999999999983</v>
      </c>
    </row>
    <row r="81" spans="11:12" x14ac:dyDescent="0.45">
      <c r="K81" s="38">
        <v>79</v>
      </c>
      <c r="L81" s="99">
        <v>118.49999999999999</v>
      </c>
    </row>
    <row r="82" spans="11:12" x14ac:dyDescent="0.45">
      <c r="K82" s="38">
        <v>80</v>
      </c>
      <c r="L82" s="99">
        <v>109.69999999999999</v>
      </c>
    </row>
    <row r="83" spans="11:12" x14ac:dyDescent="0.45">
      <c r="K83" s="38">
        <v>81</v>
      </c>
      <c r="L83" s="99">
        <v>173.1</v>
      </c>
    </row>
    <row r="84" spans="11:12" x14ac:dyDescent="0.45">
      <c r="K84" s="38">
        <v>82</v>
      </c>
      <c r="L84" s="99">
        <v>214.1</v>
      </c>
    </row>
    <row r="85" spans="11:12" x14ac:dyDescent="0.45">
      <c r="K85" s="38">
        <v>83</v>
      </c>
      <c r="L85" s="99">
        <v>210.9</v>
      </c>
    </row>
    <row r="86" spans="11:12" x14ac:dyDescent="0.45">
      <c r="K86" s="38">
        <v>84</v>
      </c>
      <c r="L86" s="99">
        <v>275.10000000000002</v>
      </c>
    </row>
    <row r="87" spans="11:12" x14ac:dyDescent="0.45">
      <c r="K87" s="38">
        <v>85</v>
      </c>
      <c r="L87" s="99">
        <v>213.10000000000002</v>
      </c>
    </row>
    <row r="88" spans="11:12" x14ac:dyDescent="0.45">
      <c r="K88" s="38">
        <v>86</v>
      </c>
      <c r="L88" s="99">
        <v>158.50000000000003</v>
      </c>
    </row>
    <row r="89" spans="11:12" x14ac:dyDescent="0.45">
      <c r="K89" s="38">
        <v>87</v>
      </c>
      <c r="L89" s="99">
        <v>102.50000000000003</v>
      </c>
    </row>
    <row r="90" spans="11:12" x14ac:dyDescent="0.45">
      <c r="K90" s="38">
        <v>88</v>
      </c>
      <c r="L90" s="99">
        <v>46.300000000000026</v>
      </c>
    </row>
    <row r="91" spans="11:12" x14ac:dyDescent="0.45">
      <c r="K91" s="38">
        <v>89</v>
      </c>
      <c r="L91" s="99">
        <v>32.000000000000028</v>
      </c>
    </row>
    <row r="92" spans="11:12" x14ac:dyDescent="0.45">
      <c r="K92" s="38">
        <v>90</v>
      </c>
      <c r="L92" s="99">
        <v>1.7000000000000277</v>
      </c>
    </row>
    <row r="93" spans="11:12" x14ac:dyDescent="0.45">
      <c r="K93" s="38">
        <v>91</v>
      </c>
      <c r="L93" s="99">
        <v>-9.1999999999999726</v>
      </c>
    </row>
    <row r="94" spans="11:12" x14ac:dyDescent="0.45">
      <c r="K94" s="38">
        <v>92</v>
      </c>
      <c r="L94" s="99">
        <v>-69.199999999999974</v>
      </c>
    </row>
    <row r="95" spans="11:12" x14ac:dyDescent="0.45">
      <c r="K95" s="38">
        <v>93</v>
      </c>
      <c r="L95" s="99">
        <v>-125.79999999999998</v>
      </c>
    </row>
    <row r="96" spans="11:12" x14ac:dyDescent="0.45">
      <c r="K96" s="38">
        <v>94</v>
      </c>
      <c r="L96" s="99">
        <v>-44.799999999999983</v>
      </c>
    </row>
    <row r="97" spans="11:12" x14ac:dyDescent="0.45">
      <c r="K97" s="38">
        <v>95</v>
      </c>
      <c r="L97" s="99">
        <v>-1.8999999999999844</v>
      </c>
    </row>
    <row r="98" spans="11:12" x14ac:dyDescent="0.45">
      <c r="K98" s="38">
        <v>96</v>
      </c>
      <c r="L98" s="99">
        <v>-48.599999999999987</v>
      </c>
    </row>
    <row r="99" spans="11:12" x14ac:dyDescent="0.45">
      <c r="K99" s="38">
        <v>97</v>
      </c>
      <c r="L99" s="99">
        <v>-49.399999999999984</v>
      </c>
    </row>
    <row r="100" spans="11:12" x14ac:dyDescent="0.45">
      <c r="K100" s="38">
        <v>98</v>
      </c>
      <c r="L100" s="99">
        <v>22.600000000000016</v>
      </c>
    </row>
    <row r="101" spans="11:12" x14ac:dyDescent="0.45">
      <c r="K101" s="38">
        <v>99</v>
      </c>
      <c r="L101" s="99">
        <v>-10.099999999999987</v>
      </c>
    </row>
    <row r="102" spans="11:12" x14ac:dyDescent="0.45">
      <c r="K102" s="38">
        <v>100</v>
      </c>
      <c r="L102" s="99">
        <v>-46.699999999999989</v>
      </c>
    </row>
    <row r="103" spans="11:12" x14ac:dyDescent="0.45">
      <c r="K103" s="38">
        <v>101</v>
      </c>
      <c r="L103" s="99">
        <v>-17.099999999999987</v>
      </c>
    </row>
    <row r="104" spans="11:12" x14ac:dyDescent="0.45">
      <c r="K104" s="38">
        <v>102</v>
      </c>
      <c r="L104" s="99">
        <v>27.400000000000013</v>
      </c>
    </row>
    <row r="105" spans="11:12" x14ac:dyDescent="0.45">
      <c r="K105" s="38">
        <v>103</v>
      </c>
      <c r="L105" s="99">
        <v>34.400000000000013</v>
      </c>
    </row>
    <row r="106" spans="11:12" x14ac:dyDescent="0.45">
      <c r="K106" s="38">
        <v>104</v>
      </c>
      <c r="L106" s="99">
        <v>29.800000000000011</v>
      </c>
    </row>
    <row r="107" spans="11:12" x14ac:dyDescent="0.45">
      <c r="K107" s="38">
        <v>105</v>
      </c>
      <c r="L107" s="99">
        <v>105.00000000000001</v>
      </c>
    </row>
    <row r="108" spans="11:12" x14ac:dyDescent="0.45">
      <c r="K108" s="38">
        <v>106</v>
      </c>
      <c r="L108" s="99">
        <v>140.5</v>
      </c>
    </row>
  </sheetData>
  <sortState xmlns:xlrd2="http://schemas.microsoft.com/office/spreadsheetml/2017/richdata2" ref="E2:I10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1516F-05CE-4E71-9BB2-E488E52DDB31}">
  <sheetPr codeName="Sheet15"/>
  <dimension ref="A1:Q105"/>
  <sheetViews>
    <sheetView showGridLines="0" zoomScaleNormal="100" workbookViewId="0"/>
  </sheetViews>
  <sheetFormatPr defaultColWidth="9" defaultRowHeight="18" x14ac:dyDescent="0.45"/>
  <cols>
    <col min="1" max="1" width="13" style="33" customWidth="1"/>
    <col min="2" max="3" width="9" style="33" customWidth="1"/>
    <col min="4" max="4" width="3.59765625" style="33" customWidth="1"/>
    <col min="5" max="5" width="3.59765625" style="128" bestFit="1" customWidth="1"/>
    <col min="6" max="6" width="11" style="43" bestFit="1" customWidth="1"/>
    <col min="7" max="9" width="9" style="33" customWidth="1"/>
    <col min="10" max="10" width="3.59765625" style="33" customWidth="1"/>
    <col min="11" max="11" width="3.5" style="38" customWidth="1"/>
    <col min="12" max="12" width="9" style="99" customWidth="1"/>
    <col min="13" max="13" width="3.59765625" style="33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33"/>
  </cols>
  <sheetData>
    <row r="1" spans="1:17" x14ac:dyDescent="0.45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5">
      <c r="A2" s="54" t="s">
        <v>9</v>
      </c>
      <c r="B2" s="150">
        <v>103</v>
      </c>
      <c r="C2" s="151"/>
      <c r="E2" s="62" t="s">
        <v>65</v>
      </c>
      <c r="F2" s="59" t="s">
        <v>21</v>
      </c>
      <c r="G2" s="46">
        <v>103</v>
      </c>
      <c r="H2" s="132">
        <f t="shared" ref="H2:H33" si="0">IF(B$17=0,0,G2/B$17)</f>
        <v>0.35517241379310344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1">IF(P2=0,0,Q2/P2)</f>
        <v>178.64077669902912</v>
      </c>
      <c r="P2" s="118">
        <v>103</v>
      </c>
      <c r="Q2" s="102">
        <v>18400</v>
      </c>
    </row>
    <row r="3" spans="1:17" x14ac:dyDescent="0.45">
      <c r="A3" s="55" t="s">
        <v>8</v>
      </c>
      <c r="B3" s="152">
        <v>864</v>
      </c>
      <c r="C3" s="153"/>
      <c r="E3" s="63" t="s">
        <v>66</v>
      </c>
      <c r="F3" s="60" t="s">
        <v>22</v>
      </c>
      <c r="G3" s="47">
        <v>31</v>
      </c>
      <c r="H3" s="133">
        <f t="shared" si="0"/>
        <v>0.10689655172413794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1"/>
        <v>-1133.009708737864</v>
      </c>
      <c r="P3" s="119">
        <v>103</v>
      </c>
      <c r="Q3" s="103">
        <v>-116700</v>
      </c>
    </row>
    <row r="4" spans="1:17" x14ac:dyDescent="0.45">
      <c r="A4" s="55" t="s">
        <v>6</v>
      </c>
      <c r="B4" s="154">
        <v>-259.40000000000003</v>
      </c>
      <c r="C4" s="155"/>
      <c r="E4" s="63" t="s">
        <v>67</v>
      </c>
      <c r="F4" s="60" t="s">
        <v>23</v>
      </c>
      <c r="G4" s="47">
        <v>186</v>
      </c>
      <c r="H4" s="133">
        <f t="shared" si="0"/>
        <v>0.64137931034482754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1"/>
        <v>-993.54838709677415</v>
      </c>
      <c r="P4" s="119">
        <v>93</v>
      </c>
      <c r="Q4" s="103">
        <v>-92400</v>
      </c>
    </row>
    <row r="5" spans="1:17" x14ac:dyDescent="0.45">
      <c r="A5" s="55" t="s">
        <v>7</v>
      </c>
      <c r="B5" s="156">
        <f>IF(B$2=0,0,B$4/B$2)</f>
        <v>-2.518446601941748</v>
      </c>
      <c r="C5" s="157"/>
      <c r="E5" s="63" t="s">
        <v>68</v>
      </c>
      <c r="F5" s="60" t="s">
        <v>24</v>
      </c>
      <c r="G5" s="47">
        <v>50</v>
      </c>
      <c r="H5" s="133">
        <f t="shared" si="0"/>
        <v>0.17241379310344829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1"/>
        <v>978.40909090909088</v>
      </c>
      <c r="P5" s="119">
        <v>88</v>
      </c>
      <c r="Q5" s="103">
        <v>86100</v>
      </c>
    </row>
    <row r="6" spans="1:17" x14ac:dyDescent="0.45">
      <c r="A6" s="55" t="s">
        <v>1</v>
      </c>
      <c r="B6" s="146">
        <f>IF(B$2=0,0,(B$7*1+B$8*2+B$9*3)/B$2)</f>
        <v>2.0679611650485437</v>
      </c>
      <c r="C6" s="147"/>
      <c r="E6" s="63" t="s">
        <v>69</v>
      </c>
      <c r="F6" s="60" t="s">
        <v>12</v>
      </c>
      <c r="G6" s="47">
        <v>72</v>
      </c>
      <c r="H6" s="133">
        <f t="shared" si="0"/>
        <v>0.24827586206896551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1"/>
        <v>-159.7560975609756</v>
      </c>
      <c r="P6" s="119">
        <v>82</v>
      </c>
      <c r="Q6" s="103">
        <v>-13100</v>
      </c>
    </row>
    <row r="7" spans="1:17" x14ac:dyDescent="0.45">
      <c r="A7" s="55" t="s">
        <v>2</v>
      </c>
      <c r="B7" s="47">
        <v>25</v>
      </c>
      <c r="C7" s="39">
        <f t="shared" ref="C7:C12" si="2">IF(B$2=0,0,B7/B$2)</f>
        <v>0.24271844660194175</v>
      </c>
      <c r="E7" s="63" t="s">
        <v>70</v>
      </c>
      <c r="F7" s="60" t="s">
        <v>25</v>
      </c>
      <c r="G7" s="47">
        <v>46</v>
      </c>
      <c r="H7" s="133">
        <f t="shared" si="0"/>
        <v>0.15862068965517243</v>
      </c>
      <c r="I7" s="94">
        <v>8</v>
      </c>
      <c r="K7" s="38">
        <v>5</v>
      </c>
      <c r="L7" s="99">
        <v>29.4</v>
      </c>
      <c r="N7" s="116" t="s">
        <v>137</v>
      </c>
      <c r="O7" s="123">
        <f t="shared" si="1"/>
        <v>-671.42857142857144</v>
      </c>
      <c r="P7" s="120">
        <v>70</v>
      </c>
      <c r="Q7" s="104">
        <v>-47000</v>
      </c>
    </row>
    <row r="8" spans="1:17" x14ac:dyDescent="0.45">
      <c r="A8" s="55" t="s">
        <v>3</v>
      </c>
      <c r="B8" s="47">
        <v>46</v>
      </c>
      <c r="C8" s="39">
        <f t="shared" si="2"/>
        <v>0.44660194174757284</v>
      </c>
      <c r="E8" s="63" t="s">
        <v>71</v>
      </c>
      <c r="F8" s="60" t="s">
        <v>26</v>
      </c>
      <c r="G8" s="47">
        <v>21</v>
      </c>
      <c r="H8" s="133">
        <f t="shared" si="0"/>
        <v>7.2413793103448282E-2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5">
      <c r="A9" s="56" t="s">
        <v>4</v>
      </c>
      <c r="B9" s="48">
        <v>32</v>
      </c>
      <c r="C9" s="40">
        <f t="shared" si="2"/>
        <v>0.31067961165048541</v>
      </c>
      <c r="E9" s="63" t="s">
        <v>72</v>
      </c>
      <c r="F9" s="60" t="s">
        <v>27</v>
      </c>
      <c r="G9" s="47">
        <v>23</v>
      </c>
      <c r="H9" s="133">
        <f t="shared" si="0"/>
        <v>7.9310344827586213E-2</v>
      </c>
      <c r="I9" s="94">
        <v>4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5">
      <c r="A10" s="56" t="s">
        <v>19</v>
      </c>
      <c r="B10" s="48">
        <v>6</v>
      </c>
      <c r="C10" s="40">
        <f t="shared" si="2"/>
        <v>5.8252427184466021E-2</v>
      </c>
      <c r="E10" s="63" t="s">
        <v>73</v>
      </c>
      <c r="F10" s="60" t="s">
        <v>28</v>
      </c>
      <c r="G10" s="47">
        <v>165</v>
      </c>
      <c r="H10" s="133">
        <f t="shared" si="0"/>
        <v>0.56896551724137934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-5.0515151515151535</v>
      </c>
      <c r="P10" s="118">
        <v>33</v>
      </c>
      <c r="Q10" s="106">
        <v>-166.70000000000007</v>
      </c>
    </row>
    <row r="11" spans="1:17" x14ac:dyDescent="0.45">
      <c r="A11" s="56" t="s">
        <v>140</v>
      </c>
      <c r="B11" s="48">
        <v>10</v>
      </c>
      <c r="C11" s="40">
        <f t="shared" si="2"/>
        <v>9.7087378640776698E-2</v>
      </c>
      <c r="E11" s="63" t="s">
        <v>74</v>
      </c>
      <c r="F11" s="60" t="s">
        <v>29</v>
      </c>
      <c r="G11" s="47">
        <v>1</v>
      </c>
      <c r="H11" s="133">
        <f t="shared" si="0"/>
        <v>3.4482758620689655E-3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2.2866666666666666</v>
      </c>
      <c r="P11" s="119">
        <v>30</v>
      </c>
      <c r="Q11" s="107">
        <v>68.599999999999994</v>
      </c>
    </row>
    <row r="12" spans="1:17" x14ac:dyDescent="0.45">
      <c r="A12" s="57" t="s">
        <v>160</v>
      </c>
      <c r="B12" s="49">
        <v>8</v>
      </c>
      <c r="C12" s="42">
        <f t="shared" si="2"/>
        <v>7.7669902912621352E-2</v>
      </c>
      <c r="E12" s="63" t="s">
        <v>75</v>
      </c>
      <c r="F12" s="60" t="s">
        <v>30</v>
      </c>
      <c r="G12" s="47">
        <v>2</v>
      </c>
      <c r="H12" s="133">
        <f t="shared" si="0"/>
        <v>6.8965517241379309E-3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-4.0325000000000006</v>
      </c>
      <c r="P12" s="120">
        <v>40</v>
      </c>
      <c r="Q12" s="108">
        <v>-161.30000000000001</v>
      </c>
    </row>
    <row r="13" spans="1:17" x14ac:dyDescent="0.45">
      <c r="A13" s="58" t="s">
        <v>122</v>
      </c>
      <c r="B13" s="50">
        <v>183</v>
      </c>
      <c r="C13" s="44">
        <f>IF(B$3=0,0,B13/B$3)</f>
        <v>0.21180555555555555</v>
      </c>
      <c r="E13" s="63" t="s">
        <v>76</v>
      </c>
      <c r="F13" s="60" t="s">
        <v>31</v>
      </c>
      <c r="G13" s="47">
        <v>1</v>
      </c>
      <c r="H13" s="133">
        <f t="shared" si="0"/>
        <v>3.4482758620689655E-3</v>
      </c>
      <c r="I13" s="94">
        <v>7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5">
      <c r="A14" s="55" t="s">
        <v>119</v>
      </c>
      <c r="B14" s="47">
        <v>248</v>
      </c>
      <c r="C14" s="39">
        <f>IF(B$3=0,0,B14/B$3)</f>
        <v>0.28703703703703703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5">
      <c r="A15" s="54" t="s">
        <v>124</v>
      </c>
      <c r="B15" s="46">
        <v>102</v>
      </c>
      <c r="C15" s="37">
        <f>IF(B$13=0,0,B15/B$13)</f>
        <v>0.55737704918032782</v>
      </c>
      <c r="E15" s="63" t="s">
        <v>78</v>
      </c>
      <c r="F15" s="60" t="s">
        <v>33</v>
      </c>
      <c r="G15" s="47">
        <v>1</v>
      </c>
      <c r="H15" s="133">
        <f t="shared" si="0"/>
        <v>3.4482758620689655E-3</v>
      </c>
      <c r="I15" s="94">
        <v>7</v>
      </c>
      <c r="K15" s="38">
        <v>13</v>
      </c>
      <c r="L15" s="99">
        <v>-3</v>
      </c>
      <c r="N15" s="114" t="s">
        <v>184</v>
      </c>
      <c r="O15" s="124">
        <f t="shared" ref="O15:O23" si="3">IF(P15=0,0,Q15/P15)</f>
        <v>44.424999999999997</v>
      </c>
      <c r="P15" s="118">
        <v>4</v>
      </c>
      <c r="Q15" s="106">
        <v>177.7</v>
      </c>
    </row>
    <row r="16" spans="1:17" x14ac:dyDescent="0.45">
      <c r="A16" s="54" t="s">
        <v>125</v>
      </c>
      <c r="B16" s="46">
        <v>105</v>
      </c>
      <c r="C16" s="37">
        <f>IF(B$14=0,0,B16/B$14)</f>
        <v>0.42338709677419356</v>
      </c>
      <c r="E16" s="63" t="s">
        <v>79</v>
      </c>
      <c r="F16" s="60" t="s">
        <v>34</v>
      </c>
      <c r="G16" s="47">
        <v>4</v>
      </c>
      <c r="H16" s="133">
        <f t="shared" si="0"/>
        <v>1.3793103448275862E-2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 t="shared" si="3"/>
        <v>20.858333333333324</v>
      </c>
      <c r="P16" s="119">
        <v>36</v>
      </c>
      <c r="Q16" s="107">
        <v>750.89999999999964</v>
      </c>
    </row>
    <row r="17" spans="1:17" x14ac:dyDescent="0.45">
      <c r="A17" s="54" t="s">
        <v>10</v>
      </c>
      <c r="B17" s="46">
        <f>B19+B18</f>
        <v>290</v>
      </c>
      <c r="C17" s="37">
        <f>IF(B$3=0,0,B17/B$3)</f>
        <v>0.33564814814814814</v>
      </c>
      <c r="E17" s="63" t="s">
        <v>80</v>
      </c>
      <c r="F17" s="60" t="s">
        <v>35</v>
      </c>
      <c r="G17" s="47">
        <v>3</v>
      </c>
      <c r="H17" s="133">
        <f t="shared" si="0"/>
        <v>1.0344827586206896E-2</v>
      </c>
      <c r="I17" s="94">
        <v>11</v>
      </c>
      <c r="K17" s="38">
        <v>15</v>
      </c>
      <c r="L17" s="99">
        <v>-80.3</v>
      </c>
      <c r="N17" s="115" t="s">
        <v>173</v>
      </c>
      <c r="O17" s="125">
        <f t="shared" si="3"/>
        <v>4.0692307692307663</v>
      </c>
      <c r="P17" s="119">
        <v>13</v>
      </c>
      <c r="Q17" s="107">
        <v>52.899999999999963</v>
      </c>
    </row>
    <row r="18" spans="1:17" x14ac:dyDescent="0.45">
      <c r="A18" s="55" t="s">
        <v>12</v>
      </c>
      <c r="B18" s="47">
        <v>115</v>
      </c>
      <c r="C18" s="39">
        <f>IF(B$17=0,0,B18/B$17)</f>
        <v>0.39655172413793105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K18" s="38">
        <v>16</v>
      </c>
      <c r="L18" s="99">
        <v>-87.6</v>
      </c>
      <c r="N18" s="115" t="s">
        <v>177</v>
      </c>
      <c r="O18" s="125">
        <f t="shared" si="3"/>
        <v>2.2741935483870948</v>
      </c>
      <c r="P18" s="119">
        <v>31</v>
      </c>
      <c r="Q18" s="107">
        <v>70.499999999999943</v>
      </c>
    </row>
    <row r="19" spans="1:17" x14ac:dyDescent="0.45">
      <c r="A19" s="55" t="s">
        <v>11</v>
      </c>
      <c r="B19" s="47">
        <v>175</v>
      </c>
      <c r="C19" s="39">
        <f>IF(B$17=0,0,B19/B$17)</f>
        <v>0.60344827586206895</v>
      </c>
      <c r="E19" s="63" t="s">
        <v>82</v>
      </c>
      <c r="F19" s="60" t="s">
        <v>37</v>
      </c>
      <c r="G19" s="47">
        <v>9</v>
      </c>
      <c r="H19" s="133">
        <f t="shared" si="0"/>
        <v>3.1034482758620689E-2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 t="shared" si="3"/>
        <v>0.40270270270270248</v>
      </c>
      <c r="P19" s="119">
        <v>37</v>
      </c>
      <c r="Q19" s="107">
        <v>14.899999999999991</v>
      </c>
    </row>
    <row r="20" spans="1:17" x14ac:dyDescent="0.45">
      <c r="A20" s="55" t="s">
        <v>13</v>
      </c>
      <c r="B20" s="47">
        <v>124</v>
      </c>
      <c r="C20" s="39">
        <f>IF(B$3=0,0,B20/B$3)</f>
        <v>0.14351851851851852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-28.199999999999996</v>
      </c>
      <c r="N20" s="115" t="s">
        <v>171</v>
      </c>
      <c r="O20" s="125">
        <f t="shared" si="3"/>
        <v>-7.0136363636363646</v>
      </c>
      <c r="P20" s="119">
        <v>22</v>
      </c>
      <c r="Q20" s="107">
        <v>-154.30000000000001</v>
      </c>
    </row>
    <row r="21" spans="1:17" x14ac:dyDescent="0.45">
      <c r="A21" s="55" t="s">
        <v>191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21</v>
      </c>
      <c r="H21" s="133">
        <f t="shared" si="0"/>
        <v>7.2413793103448282E-2</v>
      </c>
      <c r="I21" s="94">
        <v>2</v>
      </c>
      <c r="K21" s="38">
        <v>19</v>
      </c>
      <c r="L21" s="99">
        <v>29.200000000000003</v>
      </c>
      <c r="N21" s="115" t="s">
        <v>200</v>
      </c>
      <c r="O21" s="125">
        <f t="shared" si="3"/>
        <v>-16.62857142857143</v>
      </c>
      <c r="P21" s="119">
        <v>7</v>
      </c>
      <c r="Q21" s="107">
        <v>-116.40000000000002</v>
      </c>
    </row>
    <row r="22" spans="1:17" x14ac:dyDescent="0.45">
      <c r="A22" s="55" t="s">
        <v>192</v>
      </c>
      <c r="B22" s="47">
        <v>23</v>
      </c>
      <c r="C22" s="135">
        <v>0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6</v>
      </c>
      <c r="K22" s="38">
        <v>20</v>
      </c>
      <c r="L22" s="99">
        <v>43</v>
      </c>
      <c r="N22" s="115" t="s">
        <v>127</v>
      </c>
      <c r="O22" s="125">
        <f t="shared" si="3"/>
        <v>-27.732075471698106</v>
      </c>
      <c r="P22" s="119">
        <v>53</v>
      </c>
      <c r="Q22" s="107">
        <v>-1469.7999999999997</v>
      </c>
    </row>
    <row r="23" spans="1:17" x14ac:dyDescent="0.45">
      <c r="A23" s="55" t="s">
        <v>5</v>
      </c>
      <c r="B23" s="51">
        <f>IF(B$17=0,0,C23/B$17)</f>
        <v>6773.7931034482763</v>
      </c>
      <c r="C23" s="41">
        <v>1964400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  <c r="K23" s="38">
        <v>21</v>
      </c>
      <c r="L23" s="99">
        <v>89.9</v>
      </c>
      <c r="N23" s="115" t="s">
        <v>223</v>
      </c>
      <c r="O23" s="125">
        <f t="shared" si="3"/>
        <v>-34.866666666666667</v>
      </c>
      <c r="P23" s="119">
        <v>3</v>
      </c>
      <c r="Q23" s="107">
        <v>-104.6</v>
      </c>
    </row>
    <row r="24" spans="1:17" x14ac:dyDescent="0.45">
      <c r="A24" s="57" t="s">
        <v>14</v>
      </c>
      <c r="B24" s="52">
        <f>IF(B$20=0,0,C24/B$20)</f>
        <v>-8308.0645161290322</v>
      </c>
      <c r="C24" s="45">
        <v>-1030200</v>
      </c>
      <c r="E24" s="63" t="s">
        <v>87</v>
      </c>
      <c r="F24" s="60" t="s">
        <v>42</v>
      </c>
      <c r="G24" s="47">
        <v>12</v>
      </c>
      <c r="H24" s="133">
        <f t="shared" si="0"/>
        <v>4.1379310344827586E-2</v>
      </c>
      <c r="I24" s="94">
        <v>11</v>
      </c>
      <c r="K24" s="38">
        <v>22</v>
      </c>
      <c r="L24" s="99">
        <v>54.7</v>
      </c>
    </row>
    <row r="25" spans="1:17" x14ac:dyDescent="0.45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 t="shared" si="0"/>
        <v>3.4482758620689655E-3</v>
      </c>
      <c r="I25" s="94">
        <v>4</v>
      </c>
      <c r="K25" s="38">
        <v>23</v>
      </c>
      <c r="L25" s="99">
        <v>-5.3999999999999986</v>
      </c>
    </row>
    <row r="26" spans="1:17" x14ac:dyDescent="0.45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5</v>
      </c>
      <c r="K26" s="38">
        <v>24</v>
      </c>
      <c r="L26" s="99">
        <v>68.900000000000006</v>
      </c>
    </row>
    <row r="27" spans="1:17" x14ac:dyDescent="0.45">
      <c r="A27" s="57" t="s">
        <v>143</v>
      </c>
      <c r="B27" s="65">
        <v>1</v>
      </c>
      <c r="C27" s="42">
        <f>IF(B$3=0,0,B27/B$3)</f>
        <v>1.1574074074074073E-3</v>
      </c>
      <c r="E27" s="63" t="s">
        <v>90</v>
      </c>
      <c r="F27" s="60" t="s">
        <v>45</v>
      </c>
      <c r="G27" s="47">
        <v>23</v>
      </c>
      <c r="H27" s="133">
        <f t="shared" si="0"/>
        <v>7.9310344827586213E-2</v>
      </c>
      <c r="I27" s="94">
        <v>12</v>
      </c>
      <c r="K27" s="38">
        <v>25</v>
      </c>
      <c r="L27" s="99">
        <v>30.400000000000006</v>
      </c>
    </row>
    <row r="28" spans="1:17" x14ac:dyDescent="0.45">
      <c r="E28" s="63" t="s">
        <v>91</v>
      </c>
      <c r="F28" s="60" t="s">
        <v>46</v>
      </c>
      <c r="G28" s="47">
        <v>1</v>
      </c>
      <c r="H28" s="133">
        <f t="shared" si="0"/>
        <v>3.4482758620689655E-3</v>
      </c>
      <c r="I28" s="94">
        <v>3</v>
      </c>
      <c r="K28" s="38">
        <v>26</v>
      </c>
      <c r="L28" s="99">
        <v>32.900000000000006</v>
      </c>
    </row>
    <row r="29" spans="1:17" x14ac:dyDescent="0.45">
      <c r="E29" s="63" t="s">
        <v>92</v>
      </c>
      <c r="F29" s="60" t="s">
        <v>47</v>
      </c>
      <c r="G29" s="47">
        <v>4</v>
      </c>
      <c r="H29" s="133">
        <f t="shared" si="0"/>
        <v>1.3793103448275862E-2</v>
      </c>
      <c r="I29" s="94">
        <v>9</v>
      </c>
      <c r="K29" s="38">
        <v>27</v>
      </c>
      <c r="L29" s="99">
        <v>40.400000000000006</v>
      </c>
    </row>
    <row r="30" spans="1:17" x14ac:dyDescent="0.45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7</v>
      </c>
      <c r="K30" s="38">
        <v>28</v>
      </c>
      <c r="L30" s="99">
        <v>8.3000000000000043</v>
      </c>
    </row>
    <row r="31" spans="1:17" x14ac:dyDescent="0.45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7</v>
      </c>
      <c r="K31" s="38">
        <v>29</v>
      </c>
      <c r="L31" s="99">
        <v>90.800000000000011</v>
      </c>
    </row>
    <row r="32" spans="1:17" x14ac:dyDescent="0.45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63.300000000000011</v>
      </c>
    </row>
    <row r="33" spans="5:12" x14ac:dyDescent="0.45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4</v>
      </c>
      <c r="K33" s="38">
        <v>31</v>
      </c>
      <c r="L33" s="99">
        <v>114.4</v>
      </c>
    </row>
    <row r="34" spans="5:12" x14ac:dyDescent="0.45">
      <c r="E34" s="63" t="s">
        <v>97</v>
      </c>
      <c r="F34" s="60" t="s">
        <v>52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5">
      <c r="E35" s="63" t="s">
        <v>98</v>
      </c>
      <c r="F35" s="60" t="s">
        <v>53</v>
      </c>
      <c r="G35" s="47">
        <v>0</v>
      </c>
      <c r="H35" s="133">
        <f t="shared" si="4"/>
        <v>0</v>
      </c>
      <c r="I35" s="94">
        <v>3</v>
      </c>
      <c r="K35" s="38">
        <v>33</v>
      </c>
      <c r="L35" s="99">
        <v>42.500000000000007</v>
      </c>
    </row>
    <row r="36" spans="5:12" x14ac:dyDescent="0.45">
      <c r="E36" s="63" t="s">
        <v>99</v>
      </c>
      <c r="F36" s="60" t="s">
        <v>54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9.8000000000000043</v>
      </c>
    </row>
    <row r="37" spans="5:12" x14ac:dyDescent="0.45">
      <c r="E37" s="63" t="s">
        <v>100</v>
      </c>
      <c r="F37" s="60" t="s">
        <v>55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-8.2999999999999972</v>
      </c>
    </row>
    <row r="38" spans="5:12" x14ac:dyDescent="0.45">
      <c r="E38" s="63" t="s">
        <v>101</v>
      </c>
      <c r="F38" s="60" t="s">
        <v>56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-9.6999999999999975</v>
      </c>
    </row>
    <row r="39" spans="5:12" x14ac:dyDescent="0.45">
      <c r="E39" s="63" t="s">
        <v>102</v>
      </c>
      <c r="F39" s="60" t="s">
        <v>57</v>
      </c>
      <c r="G39" s="47">
        <v>0</v>
      </c>
      <c r="H39" s="133">
        <f t="shared" si="4"/>
        <v>0</v>
      </c>
      <c r="I39" s="94">
        <v>3</v>
      </c>
      <c r="K39" s="38">
        <v>37</v>
      </c>
      <c r="L39" s="99">
        <v>30.000000000000007</v>
      </c>
    </row>
    <row r="40" spans="5:12" x14ac:dyDescent="0.45">
      <c r="E40" s="63" t="s">
        <v>103</v>
      </c>
      <c r="F40" s="60" t="s">
        <v>58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32.100000000000009</v>
      </c>
    </row>
    <row r="41" spans="5:12" x14ac:dyDescent="0.45">
      <c r="E41" s="63" t="s">
        <v>104</v>
      </c>
      <c r="F41" s="60" t="s">
        <v>59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62.800000000000011</v>
      </c>
    </row>
    <row r="42" spans="5:12" x14ac:dyDescent="0.45">
      <c r="E42" s="63" t="s">
        <v>105</v>
      </c>
      <c r="F42" s="60" t="s">
        <v>60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37.70000000000001</v>
      </c>
    </row>
    <row r="43" spans="5:12" x14ac:dyDescent="0.45">
      <c r="E43" s="63" t="s">
        <v>106</v>
      </c>
      <c r="F43" s="60" t="s">
        <v>113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46.900000000000006</v>
      </c>
    </row>
    <row r="44" spans="5:12" x14ac:dyDescent="0.45">
      <c r="E44" s="63" t="s">
        <v>107</v>
      </c>
      <c r="F44" s="60" t="s">
        <v>114</v>
      </c>
      <c r="G44" s="47">
        <v>0</v>
      </c>
      <c r="H44" s="133">
        <f t="shared" si="4"/>
        <v>0</v>
      </c>
      <c r="I44" s="94">
        <v>3</v>
      </c>
      <c r="K44" s="38">
        <v>42</v>
      </c>
      <c r="L44" s="99">
        <v>42.300000000000004</v>
      </c>
    </row>
    <row r="45" spans="5:12" x14ac:dyDescent="0.45">
      <c r="E45" s="63" t="s">
        <v>108</v>
      </c>
      <c r="F45" s="60" t="s">
        <v>115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-32.999999999999993</v>
      </c>
    </row>
    <row r="46" spans="5:12" x14ac:dyDescent="0.45">
      <c r="E46" s="63" t="s">
        <v>109</v>
      </c>
      <c r="F46" s="60" t="s">
        <v>61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-27.999999999999993</v>
      </c>
    </row>
    <row r="47" spans="5:12" x14ac:dyDescent="0.45">
      <c r="E47" s="63" t="s">
        <v>110</v>
      </c>
      <c r="F47" s="60" t="s">
        <v>62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-25.299999999999994</v>
      </c>
    </row>
    <row r="48" spans="5:12" x14ac:dyDescent="0.45">
      <c r="E48" s="63" t="s">
        <v>111</v>
      </c>
      <c r="F48" s="60" t="s">
        <v>63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12.900000000000009</v>
      </c>
    </row>
    <row r="49" spans="5:12" x14ac:dyDescent="0.45">
      <c r="E49" s="63" t="s">
        <v>112</v>
      </c>
      <c r="F49" s="60" t="s">
        <v>64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45.900000000000006</v>
      </c>
    </row>
    <row r="50" spans="5:12" x14ac:dyDescent="0.45">
      <c r="E50" s="63" t="s">
        <v>180</v>
      </c>
      <c r="F50" s="60" t="s">
        <v>181</v>
      </c>
      <c r="G50" s="47">
        <v>0</v>
      </c>
      <c r="H50" s="133">
        <f t="shared" si="4"/>
        <v>0</v>
      </c>
      <c r="I50" s="94">
        <v>8</v>
      </c>
      <c r="K50" s="38">
        <v>48</v>
      </c>
      <c r="L50" s="99">
        <v>111.4</v>
      </c>
    </row>
    <row r="51" spans="5:12" x14ac:dyDescent="0.45">
      <c r="E51" s="136" t="s">
        <v>245</v>
      </c>
      <c r="F51" s="137" t="s">
        <v>246</v>
      </c>
      <c r="G51" s="48">
        <v>123</v>
      </c>
      <c r="H51" s="138">
        <f t="shared" si="4"/>
        <v>0.42413793103448277</v>
      </c>
      <c r="I51" s="139">
        <v>3</v>
      </c>
      <c r="K51" s="38">
        <v>49</v>
      </c>
      <c r="L51" s="99">
        <v>113</v>
      </c>
    </row>
    <row r="52" spans="5:12" x14ac:dyDescent="0.45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106.3</v>
      </c>
    </row>
    <row r="53" spans="5:12" x14ac:dyDescent="0.45">
      <c r="K53" s="38">
        <v>51</v>
      </c>
      <c r="L53" s="99">
        <v>113.39999999999999</v>
      </c>
    </row>
    <row r="54" spans="5:12" x14ac:dyDescent="0.45">
      <c r="K54" s="38">
        <v>52</v>
      </c>
      <c r="L54" s="99">
        <v>98.8</v>
      </c>
    </row>
    <row r="55" spans="5:12" x14ac:dyDescent="0.45">
      <c r="K55" s="38">
        <v>53</v>
      </c>
      <c r="L55" s="99">
        <v>65.199999999999989</v>
      </c>
    </row>
    <row r="56" spans="5:12" x14ac:dyDescent="0.45">
      <c r="K56" s="38">
        <v>54</v>
      </c>
      <c r="L56" s="99">
        <v>55.599999999999987</v>
      </c>
    </row>
    <row r="57" spans="5:12" x14ac:dyDescent="0.45">
      <c r="K57" s="38">
        <v>55</v>
      </c>
      <c r="L57" s="99">
        <v>34.699999999999989</v>
      </c>
    </row>
    <row r="58" spans="5:12" x14ac:dyDescent="0.45">
      <c r="K58" s="38">
        <v>56</v>
      </c>
      <c r="L58" s="99">
        <v>-8.0000000000000142</v>
      </c>
    </row>
    <row r="59" spans="5:12" x14ac:dyDescent="0.45">
      <c r="K59" s="38">
        <v>57</v>
      </c>
      <c r="L59" s="99">
        <v>-6.0000000000000142</v>
      </c>
    </row>
    <row r="60" spans="5:12" x14ac:dyDescent="0.45">
      <c r="K60" s="38">
        <v>58</v>
      </c>
      <c r="L60" s="99">
        <v>-0.40000000000001457</v>
      </c>
    </row>
    <row r="61" spans="5:12" x14ac:dyDescent="0.45">
      <c r="K61" s="38">
        <v>59</v>
      </c>
      <c r="L61" s="99">
        <v>21.999999999999986</v>
      </c>
    </row>
    <row r="62" spans="5:12" x14ac:dyDescent="0.45">
      <c r="K62" s="38">
        <v>60</v>
      </c>
      <c r="L62" s="99">
        <v>66.999999999999986</v>
      </c>
    </row>
    <row r="63" spans="5:12" x14ac:dyDescent="0.45">
      <c r="K63" s="38">
        <v>61</v>
      </c>
      <c r="L63" s="99">
        <v>39.799999999999983</v>
      </c>
    </row>
    <row r="64" spans="5:12" x14ac:dyDescent="0.45">
      <c r="K64" s="38">
        <v>62</v>
      </c>
      <c r="L64" s="99">
        <v>7.9999999999999822</v>
      </c>
    </row>
    <row r="65" spans="11:12" x14ac:dyDescent="0.45">
      <c r="K65" s="38">
        <v>63</v>
      </c>
      <c r="L65" s="99">
        <v>45.09999999999998</v>
      </c>
    </row>
    <row r="66" spans="11:12" x14ac:dyDescent="0.45">
      <c r="K66" s="38">
        <v>64</v>
      </c>
      <c r="L66" s="99">
        <v>45.899999999999977</v>
      </c>
    </row>
    <row r="67" spans="11:12" x14ac:dyDescent="0.45">
      <c r="K67" s="38">
        <v>65</v>
      </c>
      <c r="L67" s="99">
        <v>38.199999999999974</v>
      </c>
    </row>
    <row r="68" spans="11:12" x14ac:dyDescent="0.45">
      <c r="K68" s="38">
        <v>66</v>
      </c>
      <c r="L68" s="99">
        <v>-5.400000000000027</v>
      </c>
    </row>
    <row r="69" spans="11:12" x14ac:dyDescent="0.45">
      <c r="K69" s="38">
        <v>67</v>
      </c>
      <c r="L69" s="99">
        <v>1.8999999999999728</v>
      </c>
    </row>
    <row r="70" spans="11:12" x14ac:dyDescent="0.45">
      <c r="K70" s="38">
        <v>68</v>
      </c>
      <c r="L70" s="99">
        <v>-39.500000000000028</v>
      </c>
    </row>
    <row r="71" spans="11:12" x14ac:dyDescent="0.45">
      <c r="K71" s="38">
        <v>69</v>
      </c>
      <c r="L71" s="99">
        <v>-7.6000000000000298</v>
      </c>
    </row>
    <row r="72" spans="11:12" x14ac:dyDescent="0.45">
      <c r="K72" s="38">
        <v>70</v>
      </c>
      <c r="L72" s="99">
        <v>-32.000000000000028</v>
      </c>
    </row>
    <row r="73" spans="11:12" x14ac:dyDescent="0.45">
      <c r="K73" s="38">
        <v>71</v>
      </c>
      <c r="L73" s="99">
        <v>-76.600000000000023</v>
      </c>
    </row>
    <row r="74" spans="11:12" x14ac:dyDescent="0.45">
      <c r="K74" s="38">
        <v>72</v>
      </c>
      <c r="L74" s="99">
        <v>-68.40000000000002</v>
      </c>
    </row>
    <row r="75" spans="11:12" x14ac:dyDescent="0.45">
      <c r="K75" s="38">
        <v>73</v>
      </c>
      <c r="L75" s="99">
        <v>-129.30000000000001</v>
      </c>
    </row>
    <row r="76" spans="11:12" x14ac:dyDescent="0.45">
      <c r="K76" s="38">
        <v>74</v>
      </c>
      <c r="L76" s="99">
        <v>-61.500000000000014</v>
      </c>
    </row>
    <row r="77" spans="11:12" x14ac:dyDescent="0.45">
      <c r="K77" s="38">
        <v>75</v>
      </c>
      <c r="L77" s="99">
        <v>-76.40000000000002</v>
      </c>
    </row>
    <row r="78" spans="11:12" x14ac:dyDescent="0.45">
      <c r="K78" s="38">
        <v>76</v>
      </c>
      <c r="L78" s="99">
        <v>-36.300000000000018</v>
      </c>
    </row>
    <row r="79" spans="11:12" x14ac:dyDescent="0.45">
      <c r="K79" s="38">
        <v>77</v>
      </c>
      <c r="L79" s="99">
        <v>-37.300000000000018</v>
      </c>
    </row>
    <row r="80" spans="11:12" x14ac:dyDescent="0.45">
      <c r="K80" s="38">
        <v>78</v>
      </c>
      <c r="L80" s="99">
        <v>-38.600000000000016</v>
      </c>
    </row>
    <row r="81" spans="11:12" x14ac:dyDescent="0.45">
      <c r="K81" s="38">
        <v>79</v>
      </c>
      <c r="L81" s="99">
        <v>-67.000000000000014</v>
      </c>
    </row>
    <row r="82" spans="11:12" x14ac:dyDescent="0.45">
      <c r="K82" s="38">
        <v>80</v>
      </c>
      <c r="L82" s="99">
        <v>-114.70000000000002</v>
      </c>
    </row>
    <row r="83" spans="11:12" x14ac:dyDescent="0.45">
      <c r="K83" s="38">
        <v>81</v>
      </c>
      <c r="L83" s="99">
        <v>-115.90000000000002</v>
      </c>
    </row>
    <row r="84" spans="11:12" x14ac:dyDescent="0.45">
      <c r="K84" s="38">
        <v>82</v>
      </c>
      <c r="L84" s="99">
        <v>-110.60000000000002</v>
      </c>
    </row>
    <row r="85" spans="11:12" x14ac:dyDescent="0.45">
      <c r="K85" s="38">
        <v>83</v>
      </c>
      <c r="L85" s="99">
        <v>-101.20000000000002</v>
      </c>
    </row>
    <row r="86" spans="11:12" x14ac:dyDescent="0.45">
      <c r="K86" s="38">
        <v>84</v>
      </c>
      <c r="L86" s="99">
        <v>-162.90000000000003</v>
      </c>
    </row>
    <row r="87" spans="11:12" x14ac:dyDescent="0.45">
      <c r="K87" s="38">
        <v>85</v>
      </c>
      <c r="L87" s="99">
        <v>-121.30000000000004</v>
      </c>
    </row>
    <row r="88" spans="11:12" x14ac:dyDescent="0.45">
      <c r="K88" s="38">
        <v>86</v>
      </c>
      <c r="L88" s="99">
        <v>-133.30000000000004</v>
      </c>
    </row>
    <row r="89" spans="11:12" x14ac:dyDescent="0.45">
      <c r="K89" s="38">
        <v>87</v>
      </c>
      <c r="L89" s="99">
        <v>-118.60000000000004</v>
      </c>
    </row>
    <row r="90" spans="11:12" x14ac:dyDescent="0.45">
      <c r="K90" s="38">
        <v>88</v>
      </c>
      <c r="L90" s="99">
        <v>-163.20000000000005</v>
      </c>
    </row>
    <row r="91" spans="11:12" x14ac:dyDescent="0.45">
      <c r="K91" s="38">
        <v>89</v>
      </c>
      <c r="L91" s="99">
        <v>-123.90000000000005</v>
      </c>
    </row>
    <row r="92" spans="11:12" x14ac:dyDescent="0.45">
      <c r="K92" s="38">
        <v>90</v>
      </c>
      <c r="L92" s="99">
        <v>-122.80000000000005</v>
      </c>
    </row>
    <row r="93" spans="11:12" x14ac:dyDescent="0.45">
      <c r="K93" s="38">
        <v>91</v>
      </c>
      <c r="L93" s="99">
        <v>-121.50000000000006</v>
      </c>
    </row>
    <row r="94" spans="11:12" x14ac:dyDescent="0.45">
      <c r="K94" s="38">
        <v>92</v>
      </c>
      <c r="L94" s="99">
        <v>-120.50000000000006</v>
      </c>
    </row>
    <row r="95" spans="11:12" x14ac:dyDescent="0.45">
      <c r="K95" s="38">
        <v>93</v>
      </c>
      <c r="L95" s="99">
        <v>-155.10000000000005</v>
      </c>
    </row>
    <row r="96" spans="11:12" x14ac:dyDescent="0.45">
      <c r="K96" s="38">
        <v>94</v>
      </c>
      <c r="L96" s="99">
        <v>-184.60000000000005</v>
      </c>
    </row>
    <row r="97" spans="11:12" x14ac:dyDescent="0.45">
      <c r="K97" s="38">
        <v>95</v>
      </c>
      <c r="L97" s="99">
        <v>-161.50000000000006</v>
      </c>
    </row>
    <row r="98" spans="11:12" x14ac:dyDescent="0.45">
      <c r="K98" s="38">
        <v>96</v>
      </c>
      <c r="L98" s="99">
        <v>-202.00000000000006</v>
      </c>
    </row>
    <row r="99" spans="11:12" x14ac:dyDescent="0.45">
      <c r="K99" s="38">
        <v>97</v>
      </c>
      <c r="L99" s="99">
        <v>-200.50000000000006</v>
      </c>
    </row>
    <row r="100" spans="11:12" x14ac:dyDescent="0.45">
      <c r="K100" s="38">
        <v>98</v>
      </c>
      <c r="L100" s="99">
        <v>-164.70000000000005</v>
      </c>
    </row>
    <row r="101" spans="11:12" x14ac:dyDescent="0.45">
      <c r="K101" s="38">
        <v>99</v>
      </c>
      <c r="L101" s="99">
        <v>-172.90000000000003</v>
      </c>
    </row>
    <row r="102" spans="11:12" x14ac:dyDescent="0.45">
      <c r="K102" s="38">
        <v>100</v>
      </c>
      <c r="L102" s="99">
        <v>-177.80000000000004</v>
      </c>
    </row>
    <row r="103" spans="11:12" x14ac:dyDescent="0.45">
      <c r="K103" s="38">
        <v>101</v>
      </c>
      <c r="L103" s="99">
        <v>-212.40000000000003</v>
      </c>
    </row>
    <row r="104" spans="11:12" x14ac:dyDescent="0.45">
      <c r="K104" s="38">
        <v>102</v>
      </c>
      <c r="L104" s="99">
        <v>-200.80000000000004</v>
      </c>
    </row>
    <row r="105" spans="11:12" x14ac:dyDescent="0.45">
      <c r="K105" s="38">
        <v>103</v>
      </c>
      <c r="L105" s="99">
        <v>-259.40000000000003</v>
      </c>
    </row>
  </sheetData>
  <sortState xmlns:xlrd2="http://schemas.microsoft.com/office/spreadsheetml/2017/richdata2" ref="E2:I10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4EFD6-7A02-4DF5-9CF7-2727707B2927}">
  <sheetPr codeName="Sheet17"/>
  <dimension ref="A1:Q61"/>
  <sheetViews>
    <sheetView showGridLines="0" tabSelected="1" zoomScaleNormal="100" workbookViewId="0"/>
  </sheetViews>
  <sheetFormatPr defaultColWidth="9" defaultRowHeight="18" x14ac:dyDescent="0.45"/>
  <cols>
    <col min="1" max="1" width="13" style="33" customWidth="1"/>
    <col min="2" max="3" width="9" style="33" customWidth="1"/>
    <col min="4" max="4" width="3.59765625" style="33" customWidth="1"/>
    <col min="5" max="5" width="3.59765625" style="128" bestFit="1" customWidth="1"/>
    <col min="6" max="6" width="11" style="43" bestFit="1" customWidth="1"/>
    <col min="7" max="9" width="9" style="33" customWidth="1"/>
    <col min="10" max="10" width="3.59765625" style="33" customWidth="1"/>
    <col min="11" max="11" width="3.5" style="38" customWidth="1"/>
    <col min="12" max="12" width="9" style="99" customWidth="1"/>
    <col min="13" max="13" width="3.59765625" style="33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33"/>
  </cols>
  <sheetData>
    <row r="1" spans="1:17" x14ac:dyDescent="0.45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5">
      <c r="A2" s="54" t="s">
        <v>9</v>
      </c>
      <c r="B2" s="150">
        <v>59</v>
      </c>
      <c r="C2" s="151"/>
      <c r="E2" s="62" t="s">
        <v>67</v>
      </c>
      <c r="F2" s="59" t="s">
        <v>23</v>
      </c>
      <c r="G2" s="46">
        <v>92</v>
      </c>
      <c r="H2" s="132">
        <f t="shared" ref="H2:H33" si="0">IF(B$17=0,0,G2/B$17)</f>
        <v>0.65248226950354615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-3356.8965517241381</v>
      </c>
      <c r="P2" s="118">
        <v>58</v>
      </c>
      <c r="Q2" s="102">
        <v>-194700</v>
      </c>
    </row>
    <row r="3" spans="1:17" x14ac:dyDescent="0.45">
      <c r="A3" s="55" t="s">
        <v>8</v>
      </c>
      <c r="B3" s="152">
        <v>505</v>
      </c>
      <c r="C3" s="153"/>
      <c r="E3" s="63" t="s">
        <v>73</v>
      </c>
      <c r="F3" s="60" t="s">
        <v>28</v>
      </c>
      <c r="G3" s="47">
        <v>69</v>
      </c>
      <c r="H3" s="133">
        <f t="shared" si="0"/>
        <v>0.48936170212765956</v>
      </c>
      <c r="I3" s="94">
        <v>9</v>
      </c>
      <c r="K3" s="38">
        <v>1</v>
      </c>
      <c r="L3" s="99">
        <v>-82.6</v>
      </c>
      <c r="N3" s="115" t="s">
        <v>133</v>
      </c>
      <c r="O3" s="122">
        <f t="shared" si="1"/>
        <v>1650</v>
      </c>
      <c r="P3" s="119">
        <v>58</v>
      </c>
      <c r="Q3" s="103">
        <v>95700</v>
      </c>
    </row>
    <row r="4" spans="1:17" x14ac:dyDescent="0.45">
      <c r="A4" s="55" t="s">
        <v>6</v>
      </c>
      <c r="B4" s="154">
        <v>-521</v>
      </c>
      <c r="C4" s="155"/>
      <c r="E4" s="63" t="s">
        <v>65</v>
      </c>
      <c r="F4" s="60" t="s">
        <v>21</v>
      </c>
      <c r="G4" s="47">
        <v>60</v>
      </c>
      <c r="H4" s="133">
        <f t="shared" si="0"/>
        <v>0.42553191489361702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1"/>
        <v>-1530.909090909091</v>
      </c>
      <c r="P4" s="119">
        <v>55</v>
      </c>
      <c r="Q4" s="103">
        <v>-84200</v>
      </c>
    </row>
    <row r="5" spans="1:17" x14ac:dyDescent="0.45">
      <c r="A5" s="55" t="s">
        <v>7</v>
      </c>
      <c r="B5" s="156">
        <f>IF(B$2=0,0,B$4/B$2)</f>
        <v>-8.8305084745762716</v>
      </c>
      <c r="C5" s="157"/>
      <c r="E5" s="63" t="s">
        <v>69</v>
      </c>
      <c r="F5" s="60" t="s">
        <v>12</v>
      </c>
      <c r="G5" s="47">
        <v>55</v>
      </c>
      <c r="H5" s="133">
        <f t="shared" si="0"/>
        <v>0.39007092198581561</v>
      </c>
      <c r="I5" s="94">
        <v>2</v>
      </c>
      <c r="K5" s="38">
        <v>3</v>
      </c>
      <c r="L5" s="99">
        <v>-149</v>
      </c>
      <c r="N5" s="115" t="s">
        <v>135</v>
      </c>
      <c r="O5" s="122">
        <f t="shared" si="1"/>
        <v>-4210</v>
      </c>
      <c r="P5" s="119">
        <v>50</v>
      </c>
      <c r="Q5" s="103">
        <v>-210500</v>
      </c>
    </row>
    <row r="6" spans="1:17" x14ac:dyDescent="0.45">
      <c r="A6" s="55" t="s">
        <v>1</v>
      </c>
      <c r="B6" s="146">
        <f>IF(B$2=0,0,(B$7*1+B$8*2+B$9*3)/B$2)</f>
        <v>2.1355932203389831</v>
      </c>
      <c r="C6" s="147"/>
      <c r="E6" s="63" t="s">
        <v>245</v>
      </c>
      <c r="F6" s="60" t="s">
        <v>246</v>
      </c>
      <c r="G6" s="47">
        <v>51</v>
      </c>
      <c r="H6" s="133">
        <f t="shared" si="0"/>
        <v>0.36170212765957449</v>
      </c>
      <c r="I6" s="94">
        <v>12</v>
      </c>
      <c r="K6" s="38">
        <v>4</v>
      </c>
      <c r="L6" s="99">
        <v>-150.6</v>
      </c>
      <c r="N6" s="115" t="s">
        <v>136</v>
      </c>
      <c r="O6" s="122">
        <f t="shared" si="1"/>
        <v>120.45454545454545</v>
      </c>
      <c r="P6" s="119">
        <v>44</v>
      </c>
      <c r="Q6" s="103">
        <v>5300</v>
      </c>
    </row>
    <row r="7" spans="1:17" x14ac:dyDescent="0.45">
      <c r="A7" s="55" t="s">
        <v>2</v>
      </c>
      <c r="B7" s="47">
        <v>16</v>
      </c>
      <c r="C7" s="39">
        <f t="shared" ref="C7:C12" si="2">IF(B$2=0,0,B7/B$2)</f>
        <v>0.2711864406779661</v>
      </c>
      <c r="E7" s="63" t="s">
        <v>68</v>
      </c>
      <c r="F7" s="60" t="s">
        <v>24</v>
      </c>
      <c r="G7" s="47">
        <v>30</v>
      </c>
      <c r="H7" s="133">
        <f t="shared" si="0"/>
        <v>0.21276595744680851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1"/>
        <v>-169.04761904761904</v>
      </c>
      <c r="P7" s="120">
        <v>42</v>
      </c>
      <c r="Q7" s="104">
        <v>-7100</v>
      </c>
    </row>
    <row r="8" spans="1:17" x14ac:dyDescent="0.45">
      <c r="A8" s="55" t="s">
        <v>3</v>
      </c>
      <c r="B8" s="47">
        <v>19</v>
      </c>
      <c r="C8" s="39">
        <f t="shared" si="2"/>
        <v>0.32203389830508472</v>
      </c>
      <c r="E8" s="63" t="s">
        <v>70</v>
      </c>
      <c r="F8" s="60" t="s">
        <v>25</v>
      </c>
      <c r="G8" s="47">
        <v>19</v>
      </c>
      <c r="H8" s="133">
        <f t="shared" si="0"/>
        <v>0.13475177304964539</v>
      </c>
      <c r="I8" s="94">
        <v>11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5">
      <c r="A9" s="56" t="s">
        <v>4</v>
      </c>
      <c r="B9" s="48">
        <v>24</v>
      </c>
      <c r="C9" s="40">
        <f t="shared" si="2"/>
        <v>0.40677966101694918</v>
      </c>
      <c r="E9" s="63" t="s">
        <v>90</v>
      </c>
      <c r="F9" s="60" t="s">
        <v>45</v>
      </c>
      <c r="G9" s="47">
        <v>18</v>
      </c>
      <c r="H9" s="133">
        <f t="shared" si="0"/>
        <v>0.1276595744680851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5">
      <c r="A10" s="56" t="s">
        <v>19</v>
      </c>
      <c r="B10" s="48">
        <v>10</v>
      </c>
      <c r="C10" s="40">
        <f t="shared" si="2"/>
        <v>0.16949152542372881</v>
      </c>
      <c r="E10" s="63" t="s">
        <v>71</v>
      </c>
      <c r="F10" s="60" t="s">
        <v>26</v>
      </c>
      <c r="G10" s="47">
        <v>17</v>
      </c>
      <c r="H10" s="133">
        <f t="shared" si="0"/>
        <v>0.12056737588652482</v>
      </c>
      <c r="I10" s="94">
        <v>4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5">
      <c r="A11" s="56" t="s">
        <v>140</v>
      </c>
      <c r="B11" s="48">
        <v>4</v>
      </c>
      <c r="C11" s="40">
        <f t="shared" si="2"/>
        <v>6.7796610169491525E-2</v>
      </c>
      <c r="E11" s="63" t="s">
        <v>66</v>
      </c>
      <c r="F11" s="60" t="s">
        <v>22</v>
      </c>
      <c r="G11" s="47">
        <v>10</v>
      </c>
      <c r="H11" s="133">
        <f t="shared" si="0"/>
        <v>7.0921985815602842E-2</v>
      </c>
      <c r="I11" s="94">
        <v>10</v>
      </c>
      <c r="K11" s="38">
        <v>9</v>
      </c>
      <c r="L11" s="99">
        <v>-260.59999999999997</v>
      </c>
      <c r="N11" s="115" t="s">
        <v>165</v>
      </c>
      <c r="O11" s="125">
        <f>IF(P11=0,0,Q11/P11)</f>
        <v>-7.753333333333333</v>
      </c>
      <c r="P11" s="119">
        <v>30</v>
      </c>
      <c r="Q11" s="107">
        <v>-232.6</v>
      </c>
    </row>
    <row r="12" spans="1:17" x14ac:dyDescent="0.45">
      <c r="A12" s="57" t="s">
        <v>160</v>
      </c>
      <c r="B12" s="49">
        <v>3</v>
      </c>
      <c r="C12" s="42">
        <f t="shared" si="2"/>
        <v>5.0847457627118647E-2</v>
      </c>
      <c r="E12" s="63" t="s">
        <v>72</v>
      </c>
      <c r="F12" s="60" t="s">
        <v>27</v>
      </c>
      <c r="G12" s="47">
        <v>7</v>
      </c>
      <c r="H12" s="133">
        <f t="shared" si="0"/>
        <v>4.9645390070921988E-2</v>
      </c>
      <c r="I12" s="94">
        <v>10</v>
      </c>
      <c r="K12" s="38">
        <v>10</v>
      </c>
      <c r="L12" s="99">
        <v>-318.39999999999998</v>
      </c>
      <c r="N12" s="116" t="s">
        <v>166</v>
      </c>
      <c r="O12" s="126">
        <f>IF(P12=0,0,Q12/P12)</f>
        <v>-6.4599999999999982</v>
      </c>
      <c r="P12" s="120">
        <v>15</v>
      </c>
      <c r="Q12" s="108">
        <v>-96.899999999999977</v>
      </c>
    </row>
    <row r="13" spans="1:17" x14ac:dyDescent="0.45">
      <c r="A13" s="58" t="s">
        <v>122</v>
      </c>
      <c r="B13" s="50">
        <v>110</v>
      </c>
      <c r="C13" s="44">
        <f>IF(B$3=0,0,B13/B$3)</f>
        <v>0.21782178217821782</v>
      </c>
      <c r="E13" s="63" t="s">
        <v>87</v>
      </c>
      <c r="F13" s="60" t="s">
        <v>42</v>
      </c>
      <c r="G13" s="47">
        <v>6</v>
      </c>
      <c r="H13" s="133">
        <f t="shared" si="0"/>
        <v>4.2553191489361701E-2</v>
      </c>
      <c r="I13" s="94">
        <v>10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5">
      <c r="A14" s="55" t="s">
        <v>119</v>
      </c>
      <c r="B14" s="47">
        <v>113</v>
      </c>
      <c r="C14" s="39">
        <f>IF(B$3=0,0,B14/B$3)</f>
        <v>0.22376237623762377</v>
      </c>
      <c r="E14" s="63" t="s">
        <v>74</v>
      </c>
      <c r="F14" s="60" t="s">
        <v>29</v>
      </c>
      <c r="G14" s="47">
        <v>3</v>
      </c>
      <c r="H14" s="133">
        <f t="shared" si="0"/>
        <v>2.1276595744680851E-2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5">
      <c r="A15" s="54" t="s">
        <v>124</v>
      </c>
      <c r="B15" s="46">
        <v>62</v>
      </c>
      <c r="C15" s="37">
        <f>IF(B$13=0,0,B15/B$13)</f>
        <v>0.5636363636363636</v>
      </c>
      <c r="E15" s="63" t="s">
        <v>79</v>
      </c>
      <c r="F15" s="60" t="s">
        <v>34</v>
      </c>
      <c r="G15" s="47">
        <v>3</v>
      </c>
      <c r="H15" s="133">
        <f t="shared" si="0"/>
        <v>2.1276595744680851E-2</v>
      </c>
      <c r="I15" s="94">
        <v>10</v>
      </c>
      <c r="K15" s="38">
        <v>13</v>
      </c>
      <c r="L15" s="99">
        <v>-302.59999999999997</v>
      </c>
      <c r="N15" s="114" t="s">
        <v>271</v>
      </c>
      <c r="O15" s="124">
        <f t="shared" ref="O15:O24" si="3">IF(P15=0,0,Q15/P15)</f>
        <v>83.449999999999989</v>
      </c>
      <c r="P15" s="118">
        <v>2</v>
      </c>
      <c r="Q15" s="106">
        <v>166.89999999999998</v>
      </c>
    </row>
    <row r="16" spans="1:17" x14ac:dyDescent="0.45">
      <c r="A16" s="54" t="s">
        <v>125</v>
      </c>
      <c r="B16" s="46">
        <v>38</v>
      </c>
      <c r="C16" s="37">
        <f>IF(B$14=0,0,B16/B$14)</f>
        <v>0.33628318584070799</v>
      </c>
      <c r="E16" s="63" t="s">
        <v>80</v>
      </c>
      <c r="F16" s="60" t="s">
        <v>35</v>
      </c>
      <c r="G16" s="47">
        <v>3</v>
      </c>
      <c r="H16" s="133">
        <f t="shared" si="0"/>
        <v>2.1276595744680851E-2</v>
      </c>
      <c r="I16" s="94">
        <v>4</v>
      </c>
      <c r="K16" s="38">
        <v>14</v>
      </c>
      <c r="L16" s="99">
        <v>-269.99999999999994</v>
      </c>
      <c r="N16" s="115" t="s">
        <v>129</v>
      </c>
      <c r="O16" s="125">
        <f t="shared" si="3"/>
        <v>2.7750000000000004</v>
      </c>
      <c r="P16" s="119">
        <v>16</v>
      </c>
      <c r="Q16" s="107">
        <v>44.400000000000006</v>
      </c>
    </row>
    <row r="17" spans="1:17" x14ac:dyDescent="0.45">
      <c r="A17" s="54" t="s">
        <v>10</v>
      </c>
      <c r="B17" s="46">
        <f>B19+B18</f>
        <v>141</v>
      </c>
      <c r="C17" s="37">
        <f>IF(B$3=0,0,B17/B$3)</f>
        <v>0.27920792079207923</v>
      </c>
      <c r="E17" s="63" t="s">
        <v>84</v>
      </c>
      <c r="F17" s="60" t="s">
        <v>39</v>
      </c>
      <c r="G17" s="47">
        <v>3</v>
      </c>
      <c r="H17" s="133">
        <f t="shared" si="0"/>
        <v>2.1276595744680851E-2</v>
      </c>
      <c r="I17" s="94">
        <v>11</v>
      </c>
      <c r="K17" s="38">
        <v>15</v>
      </c>
      <c r="L17" s="99">
        <v>-264.59999999999997</v>
      </c>
      <c r="N17" s="115" t="s">
        <v>172</v>
      </c>
      <c r="O17" s="125">
        <f t="shared" si="3"/>
        <v>-4.0692307692307681</v>
      </c>
      <c r="P17" s="119">
        <v>13</v>
      </c>
      <c r="Q17" s="107">
        <v>-52.899999999999984</v>
      </c>
    </row>
    <row r="18" spans="1:17" x14ac:dyDescent="0.45">
      <c r="A18" s="55" t="s">
        <v>12</v>
      </c>
      <c r="B18" s="47">
        <v>71</v>
      </c>
      <c r="C18" s="39">
        <f>IF(B$17=0,0,B18/B$17)</f>
        <v>0.50354609929078009</v>
      </c>
      <c r="E18" s="63" t="s">
        <v>92</v>
      </c>
      <c r="F18" s="60" t="s">
        <v>47</v>
      </c>
      <c r="G18" s="47">
        <v>2</v>
      </c>
      <c r="H18" s="133">
        <f t="shared" si="0"/>
        <v>1.4184397163120567E-2</v>
      </c>
      <c r="I18" s="94">
        <v>7</v>
      </c>
      <c r="K18" s="38">
        <v>16</v>
      </c>
      <c r="L18" s="99">
        <v>-292.79999999999995</v>
      </c>
      <c r="N18" s="115" t="s">
        <v>128</v>
      </c>
      <c r="O18" s="125">
        <f t="shared" si="3"/>
        <v>-9.2423076923076888</v>
      </c>
      <c r="P18" s="119">
        <v>26</v>
      </c>
      <c r="Q18" s="107">
        <v>-240.29999999999993</v>
      </c>
    </row>
    <row r="19" spans="1:17" x14ac:dyDescent="0.45">
      <c r="A19" s="55" t="s">
        <v>11</v>
      </c>
      <c r="B19" s="47">
        <v>70</v>
      </c>
      <c r="C19" s="39">
        <f>IF(B$17=0,0,B19/B$17)</f>
        <v>0.49645390070921985</v>
      </c>
      <c r="E19" s="63" t="s">
        <v>180</v>
      </c>
      <c r="F19" s="60" t="s">
        <v>181</v>
      </c>
      <c r="G19" s="47">
        <v>2</v>
      </c>
      <c r="H19" s="133">
        <f t="shared" si="0"/>
        <v>1.4184397163120567E-2</v>
      </c>
      <c r="I19" s="94">
        <v>6</v>
      </c>
      <c r="K19" s="38">
        <v>17</v>
      </c>
      <c r="L19" s="99">
        <v>-248.89999999999995</v>
      </c>
      <c r="N19" s="115" t="s">
        <v>171</v>
      </c>
      <c r="O19" s="125">
        <f t="shared" si="3"/>
        <v>-12.777777777777775</v>
      </c>
      <c r="P19" s="119">
        <v>18</v>
      </c>
      <c r="Q19" s="107">
        <v>-229.99999999999994</v>
      </c>
    </row>
    <row r="20" spans="1:17" x14ac:dyDescent="0.45">
      <c r="A20" s="55" t="s">
        <v>13</v>
      </c>
      <c r="B20" s="47">
        <v>97</v>
      </c>
      <c r="C20" s="39">
        <f>IF(B$3=0,0,B20/B$3)</f>
        <v>0.19207920792079208</v>
      </c>
      <c r="E20" s="63" t="s">
        <v>82</v>
      </c>
      <c r="F20" s="60" t="s">
        <v>37</v>
      </c>
      <c r="G20" s="47">
        <v>1</v>
      </c>
      <c r="H20" s="133">
        <f t="shared" si="0"/>
        <v>7.0921985815602835E-3</v>
      </c>
      <c r="I20" s="94">
        <v>11</v>
      </c>
      <c r="K20" s="38">
        <v>18</v>
      </c>
      <c r="L20" s="99">
        <v>-218.99999999999994</v>
      </c>
      <c r="N20" s="115" t="s">
        <v>177</v>
      </c>
      <c r="O20" s="125">
        <f t="shared" si="3"/>
        <v>-16.7</v>
      </c>
      <c r="P20" s="119">
        <v>10</v>
      </c>
      <c r="Q20" s="107">
        <v>-167</v>
      </c>
    </row>
    <row r="21" spans="1:17" x14ac:dyDescent="0.45">
      <c r="A21" s="55" t="s">
        <v>191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 t="shared" si="0"/>
        <v>7.0921985815602835E-3</v>
      </c>
      <c r="I21" s="94">
        <v>2</v>
      </c>
      <c r="K21" s="38">
        <v>19</v>
      </c>
      <c r="L21" s="99">
        <v>-188.59999999999994</v>
      </c>
      <c r="N21" s="115" t="s">
        <v>127</v>
      </c>
      <c r="O21" s="125">
        <f t="shared" si="3"/>
        <v>-25.017857142857142</v>
      </c>
      <c r="P21" s="119">
        <v>28</v>
      </c>
      <c r="Q21" s="107">
        <v>-700.5</v>
      </c>
    </row>
    <row r="22" spans="1:17" x14ac:dyDescent="0.45">
      <c r="A22" s="55" t="s">
        <v>192</v>
      </c>
      <c r="B22" s="47">
        <v>24</v>
      </c>
      <c r="C22" s="135">
        <v>2</v>
      </c>
      <c r="E22" s="63" t="s">
        <v>107</v>
      </c>
      <c r="F22" s="60" t="s">
        <v>114</v>
      </c>
      <c r="G22" s="47">
        <v>1</v>
      </c>
      <c r="H22" s="133">
        <f t="shared" si="0"/>
        <v>7.0921985815602835E-3</v>
      </c>
      <c r="I22" s="94">
        <v>1</v>
      </c>
      <c r="K22" s="38">
        <v>20</v>
      </c>
      <c r="L22" s="99">
        <v>-182.79999999999993</v>
      </c>
      <c r="N22" s="115" t="s">
        <v>183</v>
      </c>
      <c r="O22" s="125">
        <f t="shared" si="3"/>
        <v>-45.5</v>
      </c>
      <c r="P22" s="119">
        <v>1</v>
      </c>
      <c r="Q22" s="107">
        <v>-45.5</v>
      </c>
    </row>
    <row r="23" spans="1:17" x14ac:dyDescent="0.45">
      <c r="A23" s="55" t="s">
        <v>5</v>
      </c>
      <c r="B23" s="51">
        <f>IF(B$17=0,0,C23/B$17)</f>
        <v>7531.2056737588655</v>
      </c>
      <c r="C23" s="41">
        <v>1061900</v>
      </c>
      <c r="E23" s="63" t="s">
        <v>75</v>
      </c>
      <c r="F23" s="60" t="s">
        <v>30</v>
      </c>
      <c r="G23" s="47">
        <v>0</v>
      </c>
      <c r="H23" s="133">
        <f t="shared" si="0"/>
        <v>0</v>
      </c>
      <c r="I23" s="94">
        <v>7</v>
      </c>
      <c r="K23" s="38">
        <v>21</v>
      </c>
      <c r="L23" s="99">
        <v>-203.79999999999993</v>
      </c>
      <c r="N23" s="115" t="s">
        <v>200</v>
      </c>
      <c r="O23" s="125">
        <f t="shared" si="3"/>
        <v>-59.70000000000001</v>
      </c>
      <c r="P23" s="119">
        <v>3</v>
      </c>
      <c r="Q23" s="107">
        <v>-179.10000000000002</v>
      </c>
    </row>
    <row r="24" spans="1:17" x14ac:dyDescent="0.45">
      <c r="A24" s="57" t="s">
        <v>14</v>
      </c>
      <c r="B24" s="52">
        <f>IF(B$20=0,0,C24/B$20)</f>
        <v>-8221.649484536083</v>
      </c>
      <c r="C24" s="45">
        <v>-797500</v>
      </c>
      <c r="E24" s="63" t="s">
        <v>76</v>
      </c>
      <c r="F24" s="60" t="s">
        <v>31</v>
      </c>
      <c r="G24" s="47">
        <v>0</v>
      </c>
      <c r="H24" s="133">
        <f t="shared" si="0"/>
        <v>0</v>
      </c>
      <c r="I24" s="94">
        <v>9</v>
      </c>
      <c r="K24" s="38">
        <v>22</v>
      </c>
      <c r="L24" s="99">
        <v>-262.49999999999994</v>
      </c>
      <c r="N24" s="115" t="s">
        <v>184</v>
      </c>
      <c r="O24" s="125">
        <f t="shared" si="3"/>
        <v>-159</v>
      </c>
      <c r="P24" s="119">
        <v>1</v>
      </c>
      <c r="Q24" s="107">
        <v>-159</v>
      </c>
    </row>
    <row r="25" spans="1:17" x14ac:dyDescent="0.45">
      <c r="A25" s="90" t="s">
        <v>142</v>
      </c>
      <c r="B25" s="144">
        <v>6</v>
      </c>
      <c r="C25" s="145"/>
      <c r="E25" s="63" t="s">
        <v>77</v>
      </c>
      <c r="F25" s="60" t="s">
        <v>32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-259.09999999999997</v>
      </c>
    </row>
    <row r="26" spans="1:17" x14ac:dyDescent="0.45">
      <c r="A26" s="58" t="s">
        <v>152</v>
      </c>
      <c r="B26" s="142">
        <v>113300</v>
      </c>
      <c r="C26" s="143"/>
      <c r="E26" s="63" t="s">
        <v>78</v>
      </c>
      <c r="F26" s="60" t="s">
        <v>33</v>
      </c>
      <c r="G26" s="47">
        <v>0</v>
      </c>
      <c r="H26" s="133">
        <f t="shared" si="0"/>
        <v>0</v>
      </c>
      <c r="I26" s="94">
        <v>9</v>
      </c>
      <c r="K26" s="38">
        <v>24</v>
      </c>
      <c r="L26" s="99">
        <v>-287.89999999999998</v>
      </c>
    </row>
    <row r="27" spans="1:17" x14ac:dyDescent="0.45">
      <c r="A27" s="57" t="s">
        <v>143</v>
      </c>
      <c r="B27" s="65">
        <v>2</v>
      </c>
      <c r="C27" s="42">
        <f>IF(B$3=0,0,B27/B$3)</f>
        <v>3.9603960396039604E-3</v>
      </c>
      <c r="E27" s="63" t="s">
        <v>81</v>
      </c>
      <c r="F27" s="60" t="s">
        <v>36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-344.29999999999995</v>
      </c>
    </row>
    <row r="28" spans="1:17" x14ac:dyDescent="0.45">
      <c r="E28" s="63" t="s">
        <v>83</v>
      </c>
      <c r="F28" s="60" t="s">
        <v>38</v>
      </c>
      <c r="G28" s="47">
        <v>0</v>
      </c>
      <c r="H28" s="133">
        <f t="shared" si="0"/>
        <v>0</v>
      </c>
      <c r="I28" s="94">
        <v>1</v>
      </c>
      <c r="K28" s="38">
        <v>26</v>
      </c>
      <c r="L28" s="99">
        <v>-285.09999999999997</v>
      </c>
    </row>
    <row r="29" spans="1:17" x14ac:dyDescent="0.45">
      <c r="E29" s="63" t="s">
        <v>85</v>
      </c>
      <c r="F29" s="60" t="s">
        <v>40</v>
      </c>
      <c r="G29" s="47">
        <v>0</v>
      </c>
      <c r="H29" s="133">
        <f t="shared" si="0"/>
        <v>0</v>
      </c>
      <c r="I29" s="94">
        <v>6</v>
      </c>
      <c r="K29" s="38">
        <v>27</v>
      </c>
      <c r="L29" s="99">
        <v>-257.39999999999998</v>
      </c>
    </row>
    <row r="30" spans="1:17" x14ac:dyDescent="0.45">
      <c r="E30" s="63" t="s">
        <v>86</v>
      </c>
      <c r="F30" s="60" t="s">
        <v>41</v>
      </c>
      <c r="G30" s="47">
        <v>0</v>
      </c>
      <c r="H30" s="133">
        <f t="shared" si="0"/>
        <v>0</v>
      </c>
      <c r="I30" s="94">
        <v>5</v>
      </c>
      <c r="K30" s="38">
        <v>28</v>
      </c>
      <c r="L30" s="99">
        <v>-248.2</v>
      </c>
    </row>
    <row r="31" spans="1:17" x14ac:dyDescent="0.45">
      <c r="E31" s="63" t="s">
        <v>89</v>
      </c>
      <c r="F31" s="60" t="s">
        <v>44</v>
      </c>
      <c r="G31" s="47">
        <v>0</v>
      </c>
      <c r="H31" s="133">
        <f t="shared" si="0"/>
        <v>0</v>
      </c>
      <c r="I31" s="94">
        <v>5</v>
      </c>
      <c r="K31" s="38">
        <v>29</v>
      </c>
      <c r="L31" s="99">
        <v>-177.29999999999998</v>
      </c>
    </row>
    <row r="32" spans="1:17" x14ac:dyDescent="0.45">
      <c r="E32" s="63" t="s">
        <v>91</v>
      </c>
      <c r="F32" s="60" t="s">
        <v>46</v>
      </c>
      <c r="G32" s="47">
        <v>0</v>
      </c>
      <c r="H32" s="133">
        <f t="shared" si="0"/>
        <v>0</v>
      </c>
      <c r="I32" s="94">
        <v>5</v>
      </c>
      <c r="K32" s="38">
        <v>30</v>
      </c>
      <c r="L32" s="99">
        <v>-202.79999999999998</v>
      </c>
    </row>
    <row r="33" spans="5:12" x14ac:dyDescent="0.45">
      <c r="E33" s="63" t="s">
        <v>93</v>
      </c>
      <c r="F33" s="60" t="s">
        <v>48</v>
      </c>
      <c r="G33" s="47">
        <v>0</v>
      </c>
      <c r="H33" s="133">
        <f t="shared" si="0"/>
        <v>0</v>
      </c>
      <c r="I33" s="94">
        <v>7</v>
      </c>
      <c r="K33" s="38">
        <v>31</v>
      </c>
      <c r="L33" s="99">
        <v>-226.29999999999998</v>
      </c>
    </row>
    <row r="34" spans="5:12" x14ac:dyDescent="0.45">
      <c r="E34" s="63" t="s">
        <v>94</v>
      </c>
      <c r="F34" s="60" t="s">
        <v>49</v>
      </c>
      <c r="G34" s="47">
        <v>0</v>
      </c>
      <c r="H34" s="133">
        <f t="shared" ref="H34:H65" si="4">IF(B$17=0,0,G34/B$17)</f>
        <v>0</v>
      </c>
      <c r="I34" s="94">
        <v>7</v>
      </c>
      <c r="K34" s="38">
        <v>32</v>
      </c>
      <c r="L34" s="99">
        <v>-193.79999999999998</v>
      </c>
    </row>
    <row r="35" spans="5:12" x14ac:dyDescent="0.45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-194.1</v>
      </c>
    </row>
    <row r="36" spans="5:12" x14ac:dyDescent="0.45">
      <c r="E36" s="63" t="s">
        <v>96</v>
      </c>
      <c r="F36" s="60" t="s">
        <v>51</v>
      </c>
      <c r="G36" s="47">
        <v>0</v>
      </c>
      <c r="H36" s="133">
        <f t="shared" si="4"/>
        <v>0</v>
      </c>
      <c r="I36" s="94">
        <v>4</v>
      </c>
      <c r="K36" s="38">
        <v>34</v>
      </c>
      <c r="L36" s="99">
        <v>-224.6</v>
      </c>
    </row>
    <row r="37" spans="5:12" x14ac:dyDescent="0.45">
      <c r="E37" s="63" t="s">
        <v>97</v>
      </c>
      <c r="F37" s="60" t="s">
        <v>52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-224.9</v>
      </c>
    </row>
    <row r="38" spans="5:12" x14ac:dyDescent="0.45">
      <c r="E38" s="63" t="s">
        <v>98</v>
      </c>
      <c r="F38" s="60" t="s">
        <v>53</v>
      </c>
      <c r="G38" s="47">
        <v>0</v>
      </c>
      <c r="H38" s="133">
        <f t="shared" si="4"/>
        <v>0</v>
      </c>
      <c r="I38" s="94">
        <v>3</v>
      </c>
      <c r="K38" s="38">
        <v>36</v>
      </c>
      <c r="L38" s="99">
        <v>-190.5</v>
      </c>
    </row>
    <row r="39" spans="5:12" x14ac:dyDescent="0.45">
      <c r="E39" s="63" t="s">
        <v>99</v>
      </c>
      <c r="F39" s="60" t="s">
        <v>54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-234.4</v>
      </c>
    </row>
    <row r="40" spans="5:12" x14ac:dyDescent="0.45">
      <c r="E40" s="63" t="s">
        <v>100</v>
      </c>
      <c r="F40" s="60" t="s">
        <v>55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-211.5</v>
      </c>
    </row>
    <row r="41" spans="5:12" x14ac:dyDescent="0.45">
      <c r="E41" s="63" t="s">
        <v>101</v>
      </c>
      <c r="F41" s="60" t="s">
        <v>56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-223.9</v>
      </c>
    </row>
    <row r="42" spans="5:12" x14ac:dyDescent="0.45">
      <c r="E42" s="63" t="s">
        <v>102</v>
      </c>
      <c r="F42" s="60" t="s">
        <v>57</v>
      </c>
      <c r="G42" s="47">
        <v>0</v>
      </c>
      <c r="H42" s="133">
        <f t="shared" si="4"/>
        <v>0</v>
      </c>
      <c r="I42" s="94">
        <v>3</v>
      </c>
      <c r="K42" s="38">
        <v>40</v>
      </c>
      <c r="L42" s="99">
        <v>-279.89999999999998</v>
      </c>
    </row>
    <row r="43" spans="5:12" x14ac:dyDescent="0.45">
      <c r="E43" s="63" t="s">
        <v>103</v>
      </c>
      <c r="F43" s="60" t="s">
        <v>58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-303.59999999999997</v>
      </c>
    </row>
    <row r="44" spans="5:12" x14ac:dyDescent="0.45">
      <c r="E44" s="63" t="s">
        <v>104</v>
      </c>
      <c r="F44" s="60" t="s">
        <v>59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-338.7</v>
      </c>
    </row>
    <row r="45" spans="5:12" x14ac:dyDescent="0.45">
      <c r="E45" s="63" t="s">
        <v>105</v>
      </c>
      <c r="F45" s="60" t="s">
        <v>60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-289.7</v>
      </c>
    </row>
    <row r="46" spans="5:12" x14ac:dyDescent="0.45">
      <c r="E46" s="63" t="s">
        <v>106</v>
      </c>
      <c r="F46" s="60" t="s">
        <v>113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-262.59999999999997</v>
      </c>
    </row>
    <row r="47" spans="5:12" x14ac:dyDescent="0.45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-295.39999999999998</v>
      </c>
    </row>
    <row r="48" spans="5:12" x14ac:dyDescent="0.45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-377.4</v>
      </c>
    </row>
    <row r="49" spans="5:12" x14ac:dyDescent="0.45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-439.7</v>
      </c>
    </row>
    <row r="50" spans="5:12" x14ac:dyDescent="0.45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-387.7</v>
      </c>
    </row>
    <row r="51" spans="5:12" x14ac:dyDescent="0.45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-433</v>
      </c>
    </row>
    <row r="52" spans="5:12" x14ac:dyDescent="0.45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-437.3</v>
      </c>
    </row>
    <row r="53" spans="5:12" x14ac:dyDescent="0.45">
      <c r="K53" s="38">
        <v>51</v>
      </c>
      <c r="L53" s="99">
        <v>-495.90000000000003</v>
      </c>
    </row>
    <row r="54" spans="5:12" x14ac:dyDescent="0.45">
      <c r="K54" s="38">
        <v>52</v>
      </c>
      <c r="L54" s="99">
        <v>-397.6</v>
      </c>
    </row>
    <row r="55" spans="5:12" x14ac:dyDescent="0.45">
      <c r="K55" s="38">
        <v>53</v>
      </c>
      <c r="L55" s="99">
        <v>-396.70000000000005</v>
      </c>
    </row>
    <row r="56" spans="5:12" x14ac:dyDescent="0.45">
      <c r="K56" s="38">
        <v>54</v>
      </c>
      <c r="L56" s="99">
        <v>-404.6</v>
      </c>
    </row>
    <row r="57" spans="5:12" x14ac:dyDescent="0.45">
      <c r="K57" s="38">
        <v>55</v>
      </c>
      <c r="L57" s="99">
        <v>-349.5</v>
      </c>
    </row>
    <row r="58" spans="5:12" x14ac:dyDescent="0.45">
      <c r="K58" s="38">
        <v>56</v>
      </c>
      <c r="L58" s="99">
        <v>-397.1</v>
      </c>
    </row>
    <row r="59" spans="5:12" x14ac:dyDescent="0.45">
      <c r="K59" s="38">
        <v>57</v>
      </c>
      <c r="L59" s="99">
        <v>-461.6</v>
      </c>
    </row>
    <row r="60" spans="5:12" x14ac:dyDescent="0.45">
      <c r="K60" s="38">
        <v>58</v>
      </c>
      <c r="L60" s="99">
        <v>-521</v>
      </c>
    </row>
    <row r="61" spans="5:12" x14ac:dyDescent="0.45">
      <c r="K61" s="38">
        <v>59</v>
      </c>
      <c r="L61" s="99">
        <v>-521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256F6-5061-448B-8B1C-543DD81A1EE8}">
  <sheetPr codeName="Sheet19"/>
  <dimension ref="A1:Q105"/>
  <sheetViews>
    <sheetView showGridLines="0" zoomScaleNormal="100" workbookViewId="0"/>
  </sheetViews>
  <sheetFormatPr defaultColWidth="9" defaultRowHeight="18" x14ac:dyDescent="0.45"/>
  <cols>
    <col min="1" max="1" width="13" style="33" customWidth="1"/>
    <col min="2" max="3" width="9" style="33" customWidth="1"/>
    <col min="4" max="4" width="3.59765625" style="33" customWidth="1"/>
    <col min="5" max="5" width="3.59765625" style="128" bestFit="1" customWidth="1"/>
    <col min="6" max="6" width="11" style="43" bestFit="1" customWidth="1"/>
    <col min="7" max="9" width="9" style="33" customWidth="1"/>
    <col min="10" max="10" width="3.59765625" style="33" customWidth="1"/>
    <col min="11" max="11" width="3.5" style="38" customWidth="1"/>
    <col min="12" max="12" width="9" style="99" customWidth="1"/>
    <col min="13" max="13" width="3.59765625" style="33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33"/>
  </cols>
  <sheetData>
    <row r="1" spans="1:17" x14ac:dyDescent="0.45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5">
      <c r="A2" s="54" t="s">
        <v>9</v>
      </c>
      <c r="B2" s="150">
        <v>103</v>
      </c>
      <c r="C2" s="151"/>
      <c r="E2" s="62" t="s">
        <v>65</v>
      </c>
      <c r="F2" s="59" t="s">
        <v>21</v>
      </c>
      <c r="G2" s="46">
        <v>143</v>
      </c>
      <c r="H2" s="132">
        <f t="shared" ref="H2:H33" si="0">IF(B$17=0,0,G2/B$17)</f>
        <v>0.61111111111111116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1">IF(P2=0,0,Q2/P2)</f>
        <v>833.98058252427188</v>
      </c>
      <c r="P2" s="118">
        <v>103</v>
      </c>
      <c r="Q2" s="102">
        <v>85900</v>
      </c>
    </row>
    <row r="3" spans="1:17" x14ac:dyDescent="0.45">
      <c r="A3" s="55" t="s">
        <v>8</v>
      </c>
      <c r="B3" s="152">
        <v>850</v>
      </c>
      <c r="C3" s="153"/>
      <c r="E3" s="63" t="s">
        <v>66</v>
      </c>
      <c r="F3" s="60" t="s">
        <v>22</v>
      </c>
      <c r="G3" s="47">
        <v>27</v>
      </c>
      <c r="H3" s="133">
        <f t="shared" si="0"/>
        <v>0.11538461538461539</v>
      </c>
      <c r="I3" s="94">
        <v>4</v>
      </c>
      <c r="K3" s="38">
        <v>1</v>
      </c>
      <c r="L3" s="99">
        <v>-1.9</v>
      </c>
      <c r="N3" s="115" t="s">
        <v>133</v>
      </c>
      <c r="O3" s="122">
        <f t="shared" si="1"/>
        <v>489.8989898989899</v>
      </c>
      <c r="P3" s="119">
        <v>99</v>
      </c>
      <c r="Q3" s="103">
        <v>48500</v>
      </c>
    </row>
    <row r="4" spans="1:17" x14ac:dyDescent="0.45">
      <c r="A4" s="55" t="s">
        <v>6</v>
      </c>
      <c r="B4" s="154">
        <v>67.699999999999932</v>
      </c>
      <c r="C4" s="155"/>
      <c r="E4" s="63" t="s">
        <v>67</v>
      </c>
      <c r="F4" s="60" t="s">
        <v>23</v>
      </c>
      <c r="G4" s="47">
        <v>125</v>
      </c>
      <c r="H4" s="133">
        <f t="shared" si="0"/>
        <v>0.53418803418803418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1"/>
        <v>-752.17391304347825</v>
      </c>
      <c r="P4" s="119">
        <v>92</v>
      </c>
      <c r="Q4" s="103">
        <v>-69200</v>
      </c>
    </row>
    <row r="5" spans="1:17" x14ac:dyDescent="0.45">
      <c r="A5" s="55" t="s">
        <v>7</v>
      </c>
      <c r="B5" s="156">
        <f>IF(B$2=0,0,B$4/B$2)</f>
        <v>0.65728155339805761</v>
      </c>
      <c r="C5" s="157"/>
      <c r="E5" s="63" t="s">
        <v>68</v>
      </c>
      <c r="F5" s="60" t="s">
        <v>24</v>
      </c>
      <c r="G5" s="47">
        <v>97</v>
      </c>
      <c r="H5" s="133">
        <f t="shared" si="0"/>
        <v>0.41452991452991456</v>
      </c>
      <c r="I5" s="94">
        <v>2</v>
      </c>
      <c r="K5" s="38">
        <v>3</v>
      </c>
      <c r="L5" s="99">
        <v>-10</v>
      </c>
      <c r="N5" s="115" t="s">
        <v>135</v>
      </c>
      <c r="O5" s="122">
        <f t="shared" si="1"/>
        <v>1512.6436781609195</v>
      </c>
      <c r="P5" s="119">
        <v>87</v>
      </c>
      <c r="Q5" s="103">
        <v>131600</v>
      </c>
    </row>
    <row r="6" spans="1:17" x14ac:dyDescent="0.45">
      <c r="A6" s="55" t="s">
        <v>1</v>
      </c>
      <c r="B6" s="146">
        <f>IF(B$2=0,0,(B$7*1+B$8*2+B$9*3)/B$2)</f>
        <v>1.9805825242718447</v>
      </c>
      <c r="C6" s="147"/>
      <c r="E6" s="63" t="s">
        <v>69</v>
      </c>
      <c r="F6" s="60" t="s">
        <v>12</v>
      </c>
      <c r="G6" s="47">
        <v>80</v>
      </c>
      <c r="H6" s="133">
        <f t="shared" si="0"/>
        <v>0.34188034188034189</v>
      </c>
      <c r="I6" s="94">
        <v>5</v>
      </c>
      <c r="K6" s="38">
        <v>4</v>
      </c>
      <c r="L6" s="99">
        <v>40</v>
      </c>
      <c r="N6" s="115" t="s">
        <v>136</v>
      </c>
      <c r="O6" s="122">
        <f t="shared" si="1"/>
        <v>-1945</v>
      </c>
      <c r="P6" s="119">
        <v>80</v>
      </c>
      <c r="Q6" s="103">
        <v>-155600</v>
      </c>
    </row>
    <row r="7" spans="1:17" x14ac:dyDescent="0.45">
      <c r="A7" s="55" t="s">
        <v>2</v>
      </c>
      <c r="B7" s="47">
        <v>35</v>
      </c>
      <c r="C7" s="39">
        <f t="shared" ref="C7:C12" si="2">IF(B$2=0,0,B7/B$2)</f>
        <v>0.33980582524271846</v>
      </c>
      <c r="E7" s="63" t="s">
        <v>70</v>
      </c>
      <c r="F7" s="60" t="s">
        <v>25</v>
      </c>
      <c r="G7" s="47">
        <v>36</v>
      </c>
      <c r="H7" s="133">
        <f t="shared" si="0"/>
        <v>0.15384615384615385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1"/>
        <v>700</v>
      </c>
      <c r="P7" s="120">
        <v>65</v>
      </c>
      <c r="Q7" s="104">
        <v>45500</v>
      </c>
    </row>
    <row r="8" spans="1:17" x14ac:dyDescent="0.45">
      <c r="A8" s="55" t="s">
        <v>3</v>
      </c>
      <c r="B8" s="47">
        <v>35</v>
      </c>
      <c r="C8" s="39">
        <f t="shared" si="2"/>
        <v>0.33980582524271846</v>
      </c>
      <c r="E8" s="63" t="s">
        <v>71</v>
      </c>
      <c r="F8" s="60" t="s">
        <v>26</v>
      </c>
      <c r="G8" s="47">
        <v>17</v>
      </c>
      <c r="H8" s="133">
        <f t="shared" si="0"/>
        <v>7.2649572649572655E-2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5">
      <c r="A9" s="56" t="s">
        <v>4</v>
      </c>
      <c r="B9" s="48">
        <v>33</v>
      </c>
      <c r="C9" s="40">
        <f t="shared" si="2"/>
        <v>0.32038834951456313</v>
      </c>
      <c r="E9" s="63" t="s">
        <v>72</v>
      </c>
      <c r="F9" s="60" t="s">
        <v>27</v>
      </c>
      <c r="G9" s="47">
        <v>17</v>
      </c>
      <c r="H9" s="133">
        <f t="shared" si="0"/>
        <v>7.2649572649572655E-2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5">
      <c r="A10" s="56" t="s">
        <v>19</v>
      </c>
      <c r="B10" s="48">
        <v>13</v>
      </c>
      <c r="C10" s="40">
        <f t="shared" si="2"/>
        <v>0.12621359223300971</v>
      </c>
      <c r="E10" s="63" t="s">
        <v>73</v>
      </c>
      <c r="F10" s="60" t="s">
        <v>28</v>
      </c>
      <c r="G10" s="47">
        <v>104</v>
      </c>
      <c r="H10" s="133">
        <f t="shared" si="0"/>
        <v>0.44444444444444442</v>
      </c>
      <c r="I10" s="94">
        <v>11</v>
      </c>
      <c r="K10" s="38">
        <v>8</v>
      </c>
      <c r="L10" s="99">
        <v>-87.1</v>
      </c>
      <c r="N10" s="114" t="s">
        <v>164</v>
      </c>
      <c r="O10" s="124">
        <f>IF(P10=0,0,Q10/P10)</f>
        <v>-8.2171428571428571</v>
      </c>
      <c r="P10" s="118">
        <v>35</v>
      </c>
      <c r="Q10" s="106">
        <v>-287.60000000000002</v>
      </c>
    </row>
    <row r="11" spans="1:17" x14ac:dyDescent="0.45">
      <c r="A11" s="56" t="s">
        <v>140</v>
      </c>
      <c r="B11" s="48">
        <v>11</v>
      </c>
      <c r="C11" s="40">
        <f t="shared" si="2"/>
        <v>0.10679611650485436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5.4972972972972967</v>
      </c>
      <c r="P11" s="119">
        <v>37</v>
      </c>
      <c r="Q11" s="107">
        <v>203.39999999999998</v>
      </c>
    </row>
    <row r="12" spans="1:17" x14ac:dyDescent="0.45">
      <c r="A12" s="57" t="s">
        <v>160</v>
      </c>
      <c r="B12" s="49">
        <v>8</v>
      </c>
      <c r="C12" s="42">
        <f t="shared" si="2"/>
        <v>7.7669902912621352E-2</v>
      </c>
      <c r="E12" s="63" t="s">
        <v>75</v>
      </c>
      <c r="F12" s="60" t="s">
        <v>30</v>
      </c>
      <c r="G12" s="47">
        <v>1</v>
      </c>
      <c r="H12" s="133">
        <f t="shared" si="0"/>
        <v>4.2735042735042739E-3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4.8999999999999995</v>
      </c>
      <c r="P12" s="120">
        <v>31</v>
      </c>
      <c r="Q12" s="108">
        <v>151.89999999999998</v>
      </c>
    </row>
    <row r="13" spans="1:17" x14ac:dyDescent="0.45">
      <c r="A13" s="58" t="s">
        <v>122</v>
      </c>
      <c r="B13" s="50">
        <v>232</v>
      </c>
      <c r="C13" s="44">
        <f>IF(B$3=0,0,B13/B$3)</f>
        <v>0.27294117647058824</v>
      </c>
      <c r="E13" s="63" t="s">
        <v>76</v>
      </c>
      <c r="F13" s="60" t="s">
        <v>31</v>
      </c>
      <c r="G13" s="47">
        <v>2</v>
      </c>
      <c r="H13" s="133">
        <f t="shared" si="0"/>
        <v>8.5470085470085479E-3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5">
      <c r="A14" s="55" t="s">
        <v>119</v>
      </c>
      <c r="B14" s="47">
        <v>158</v>
      </c>
      <c r="C14" s="39">
        <f>IF(B$3=0,0,B14/B$3)</f>
        <v>0.18588235294117647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5">
      <c r="A15" s="54" t="s">
        <v>124</v>
      </c>
      <c r="B15" s="46">
        <v>143</v>
      </c>
      <c r="C15" s="37">
        <f>IF(B$13=0,0,B15/B$13)</f>
        <v>0.61637931034482762</v>
      </c>
      <c r="E15" s="63" t="s">
        <v>78</v>
      </c>
      <c r="F15" s="60" t="s">
        <v>33</v>
      </c>
      <c r="G15" s="47">
        <v>2</v>
      </c>
      <c r="H15" s="133">
        <f t="shared" si="0"/>
        <v>8.5470085470085479E-3</v>
      </c>
      <c r="I15" s="94">
        <v>4</v>
      </c>
      <c r="K15" s="38">
        <v>13</v>
      </c>
      <c r="L15" s="99">
        <v>-209.59999999999997</v>
      </c>
      <c r="N15" s="114" t="s">
        <v>271</v>
      </c>
      <c r="O15" s="124">
        <f t="shared" ref="O15:O24" si="3">IF(P15=0,0,Q15/P15)</f>
        <v>69.774999999999991</v>
      </c>
      <c r="P15" s="118">
        <v>4</v>
      </c>
      <c r="Q15" s="106">
        <v>279.09999999999997</v>
      </c>
    </row>
    <row r="16" spans="1:17" x14ac:dyDescent="0.45">
      <c r="A16" s="54" t="s">
        <v>125</v>
      </c>
      <c r="B16" s="46">
        <v>54</v>
      </c>
      <c r="C16" s="37">
        <f>IF(B$14=0,0,B16/B$14)</f>
        <v>0.34177215189873417</v>
      </c>
      <c r="E16" s="63" t="s">
        <v>79</v>
      </c>
      <c r="F16" s="60" t="s">
        <v>34</v>
      </c>
      <c r="G16" s="47">
        <v>8</v>
      </c>
      <c r="H16" s="133">
        <f t="shared" si="0"/>
        <v>3.4188034188034191E-2</v>
      </c>
      <c r="I16" s="94">
        <v>5</v>
      </c>
      <c r="K16" s="38">
        <v>14</v>
      </c>
      <c r="L16" s="99">
        <v>-178.49999999999997</v>
      </c>
      <c r="N16" s="115" t="s">
        <v>171</v>
      </c>
      <c r="O16" s="125">
        <f t="shared" si="3"/>
        <v>34.54347826086957</v>
      </c>
      <c r="P16" s="119">
        <v>23</v>
      </c>
      <c r="Q16" s="107">
        <v>794.50000000000011</v>
      </c>
    </row>
    <row r="17" spans="1:17" x14ac:dyDescent="0.45">
      <c r="A17" s="54" t="s">
        <v>10</v>
      </c>
      <c r="B17" s="46">
        <f>B19+B18</f>
        <v>234</v>
      </c>
      <c r="C17" s="37">
        <f>IF(B$3=0,0,B17/B$3)</f>
        <v>0.2752941176470588</v>
      </c>
      <c r="E17" s="63" t="s">
        <v>80</v>
      </c>
      <c r="F17" s="60" t="s">
        <v>35</v>
      </c>
      <c r="G17" s="47">
        <v>3</v>
      </c>
      <c r="H17" s="133">
        <f t="shared" si="0"/>
        <v>1.282051282051282E-2</v>
      </c>
      <c r="I17" s="94">
        <v>9</v>
      </c>
      <c r="K17" s="38">
        <v>15</v>
      </c>
      <c r="L17" s="99">
        <v>-146.19999999999999</v>
      </c>
      <c r="N17" s="115" t="s">
        <v>173</v>
      </c>
      <c r="O17" s="125">
        <f t="shared" si="3"/>
        <v>16.700000000000003</v>
      </c>
      <c r="P17" s="119">
        <v>10</v>
      </c>
      <c r="Q17" s="107">
        <v>167.00000000000003</v>
      </c>
    </row>
    <row r="18" spans="1:17" x14ac:dyDescent="0.45">
      <c r="A18" s="55" t="s">
        <v>12</v>
      </c>
      <c r="B18" s="47">
        <v>107</v>
      </c>
      <c r="C18" s="39">
        <f>IF(B$17=0,0,B18/B$17)</f>
        <v>0.45726495726495725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K18" s="38">
        <v>16</v>
      </c>
      <c r="L18" s="99">
        <v>-153.29999999999998</v>
      </c>
      <c r="N18" s="115" t="s">
        <v>200</v>
      </c>
      <c r="O18" s="125">
        <f t="shared" si="3"/>
        <v>9.3545454545454572</v>
      </c>
      <c r="P18" s="119">
        <v>11</v>
      </c>
      <c r="Q18" s="107">
        <v>102.90000000000002</v>
      </c>
    </row>
    <row r="19" spans="1:17" x14ac:dyDescent="0.45">
      <c r="A19" s="55" t="s">
        <v>11</v>
      </c>
      <c r="B19" s="47">
        <v>127</v>
      </c>
      <c r="C19" s="39">
        <f>IF(B$17=0,0,B19/B$17)</f>
        <v>0.54273504273504269</v>
      </c>
      <c r="E19" s="63" t="s">
        <v>82</v>
      </c>
      <c r="F19" s="60" t="s">
        <v>37</v>
      </c>
      <c r="G19" s="47">
        <v>7</v>
      </c>
      <c r="H19" s="133">
        <f t="shared" si="0"/>
        <v>2.9914529914529916E-2</v>
      </c>
      <c r="I19" s="94">
        <v>4</v>
      </c>
      <c r="K19" s="38">
        <v>17</v>
      </c>
      <c r="L19" s="99">
        <v>-161.19999999999999</v>
      </c>
      <c r="N19" s="115" t="s">
        <v>184</v>
      </c>
      <c r="O19" s="125">
        <f t="shared" si="3"/>
        <v>4.8666666666666698</v>
      </c>
      <c r="P19" s="119">
        <v>6</v>
      </c>
      <c r="Q19" s="107">
        <v>29.200000000000017</v>
      </c>
    </row>
    <row r="20" spans="1:17" x14ac:dyDescent="0.45">
      <c r="A20" s="55" t="s">
        <v>13</v>
      </c>
      <c r="B20" s="47">
        <v>127</v>
      </c>
      <c r="C20" s="39">
        <f>IF(B$3=0,0,B20/B$3)</f>
        <v>0.14941176470588236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-159</v>
      </c>
      <c r="N20" s="115" t="s">
        <v>128</v>
      </c>
      <c r="O20" s="125">
        <f t="shared" si="3"/>
        <v>-0.50909090909090871</v>
      </c>
      <c r="P20" s="119">
        <v>33</v>
      </c>
      <c r="Q20" s="107">
        <v>-16.799999999999986</v>
      </c>
    </row>
    <row r="21" spans="1:17" x14ac:dyDescent="0.45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13</v>
      </c>
      <c r="H21" s="133">
        <f t="shared" si="0"/>
        <v>5.5555555555555552E-2</v>
      </c>
      <c r="I21" s="94">
        <v>4</v>
      </c>
      <c r="K21" s="38">
        <v>19</v>
      </c>
      <c r="L21" s="99">
        <v>-235.6</v>
      </c>
      <c r="N21" s="115" t="s">
        <v>129</v>
      </c>
      <c r="O21" s="125">
        <f t="shared" si="3"/>
        <v>-1.4837209302325587</v>
      </c>
      <c r="P21" s="119">
        <v>43</v>
      </c>
      <c r="Q21" s="107">
        <v>-63.800000000000026</v>
      </c>
    </row>
    <row r="22" spans="1:17" x14ac:dyDescent="0.45">
      <c r="A22" s="55" t="s">
        <v>192</v>
      </c>
      <c r="B22" s="47">
        <v>45</v>
      </c>
      <c r="C22" s="135">
        <v>1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6</v>
      </c>
      <c r="K22" s="38">
        <v>20</v>
      </c>
      <c r="L22" s="99">
        <v>-200.8</v>
      </c>
      <c r="N22" s="115" t="s">
        <v>172</v>
      </c>
      <c r="O22" s="125">
        <f t="shared" si="3"/>
        <v>-2.2741935483870979</v>
      </c>
      <c r="P22" s="119">
        <v>31</v>
      </c>
      <c r="Q22" s="107">
        <v>-70.500000000000028</v>
      </c>
    </row>
    <row r="23" spans="1:17" x14ac:dyDescent="0.45">
      <c r="A23" s="55" t="s">
        <v>5</v>
      </c>
      <c r="B23" s="51">
        <f>IF(B$17=0,0,C23/B$17)</f>
        <v>8729.9145299145293</v>
      </c>
      <c r="C23" s="41">
        <v>2042800</v>
      </c>
      <c r="E23" s="63" t="s">
        <v>86</v>
      </c>
      <c r="F23" s="60" t="s">
        <v>41</v>
      </c>
      <c r="G23" s="47">
        <v>5</v>
      </c>
      <c r="H23" s="133">
        <f t="shared" si="0"/>
        <v>2.1367521367521368E-2</v>
      </c>
      <c r="I23" s="94">
        <v>1</v>
      </c>
      <c r="K23" s="38">
        <v>21</v>
      </c>
      <c r="L23" s="99">
        <v>-188.60000000000002</v>
      </c>
      <c r="N23" s="115" t="s">
        <v>127</v>
      </c>
      <c r="O23" s="125">
        <f t="shared" si="3"/>
        <v>-20.985714285714295</v>
      </c>
      <c r="P23" s="119">
        <v>42</v>
      </c>
      <c r="Q23" s="107">
        <v>-881.40000000000032</v>
      </c>
    </row>
    <row r="24" spans="1:17" x14ac:dyDescent="0.45">
      <c r="A24" s="57" t="s">
        <v>14</v>
      </c>
      <c r="B24" s="52">
        <f>IF(B$20=0,0,C24/B$20)</f>
        <v>-7113.3858267716532</v>
      </c>
      <c r="C24" s="45">
        <v>-903400</v>
      </c>
      <c r="E24" s="63" t="s">
        <v>87</v>
      </c>
      <c r="F24" s="60" t="s">
        <v>42</v>
      </c>
      <c r="G24" s="47">
        <v>10</v>
      </c>
      <c r="H24" s="133">
        <f t="shared" si="0"/>
        <v>4.2735042735042736E-2</v>
      </c>
      <c r="I24" s="94">
        <v>9</v>
      </c>
      <c r="K24" s="38">
        <v>22</v>
      </c>
      <c r="L24" s="99">
        <v>-142.60000000000002</v>
      </c>
      <c r="N24" s="115" t="s">
        <v>183</v>
      </c>
      <c r="O24" s="125">
        <f t="shared" si="3"/>
        <v>-45.699999999999996</v>
      </c>
      <c r="P24" s="119">
        <v>3</v>
      </c>
      <c r="Q24" s="107">
        <v>-137.1</v>
      </c>
    </row>
    <row r="25" spans="1:17" x14ac:dyDescent="0.45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7</v>
      </c>
      <c r="K25" s="38">
        <v>23</v>
      </c>
      <c r="L25" s="99">
        <v>-145.80000000000001</v>
      </c>
    </row>
    <row r="26" spans="1:17" x14ac:dyDescent="0.45">
      <c r="A26" s="58" t="s">
        <v>152</v>
      </c>
      <c r="B26" s="142">
        <v>103000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5</v>
      </c>
      <c r="K26" s="38">
        <v>24</v>
      </c>
      <c r="L26" s="99">
        <v>-204</v>
      </c>
    </row>
    <row r="27" spans="1:17" x14ac:dyDescent="0.45">
      <c r="A27" s="57" t="s">
        <v>143</v>
      </c>
      <c r="B27" s="65">
        <v>3</v>
      </c>
      <c r="C27" s="42">
        <f>IF(B$3=0,0,B27/B$3)</f>
        <v>3.5294117647058825E-3</v>
      </c>
      <c r="E27" s="63" t="s">
        <v>90</v>
      </c>
      <c r="F27" s="60" t="s">
        <v>45</v>
      </c>
      <c r="G27" s="47">
        <v>26</v>
      </c>
      <c r="H27" s="133">
        <f t="shared" si="0"/>
        <v>0.1111111111111111</v>
      </c>
      <c r="I27" s="94">
        <v>10</v>
      </c>
      <c r="K27" s="38">
        <v>25</v>
      </c>
      <c r="L27" s="99">
        <v>-151.5</v>
      </c>
    </row>
    <row r="28" spans="1:17" x14ac:dyDescent="0.45">
      <c r="E28" s="63" t="s">
        <v>91</v>
      </c>
      <c r="F28" s="60" t="s">
        <v>46</v>
      </c>
      <c r="G28" s="47">
        <v>2</v>
      </c>
      <c r="H28" s="133">
        <f t="shared" si="0"/>
        <v>8.5470085470085479E-3</v>
      </c>
      <c r="I28" s="94">
        <v>1</v>
      </c>
      <c r="K28" s="38">
        <v>26</v>
      </c>
      <c r="L28" s="99">
        <v>-115.1</v>
      </c>
    </row>
    <row r="29" spans="1:17" x14ac:dyDescent="0.45">
      <c r="E29" s="63" t="s">
        <v>92</v>
      </c>
      <c r="F29" s="60" t="s">
        <v>47</v>
      </c>
      <c r="G29" s="47">
        <v>8</v>
      </c>
      <c r="H29" s="133">
        <f t="shared" si="0"/>
        <v>3.4188034188034191E-2</v>
      </c>
      <c r="I29" s="94">
        <v>2</v>
      </c>
      <c r="K29" s="38">
        <v>27</v>
      </c>
      <c r="L29" s="99">
        <v>-27.099999999999994</v>
      </c>
    </row>
    <row r="30" spans="1:17" x14ac:dyDescent="0.45">
      <c r="E30" s="63" t="s">
        <v>93</v>
      </c>
      <c r="F30" s="60" t="s">
        <v>48</v>
      </c>
      <c r="G30" s="47">
        <v>1</v>
      </c>
      <c r="H30" s="133">
        <f t="shared" si="0"/>
        <v>4.2735042735042739E-3</v>
      </c>
      <c r="I30" s="94">
        <v>3</v>
      </c>
      <c r="K30" s="38">
        <v>28</v>
      </c>
      <c r="L30" s="99">
        <v>7.2000000000000028</v>
      </c>
    </row>
    <row r="31" spans="1:17" x14ac:dyDescent="0.45">
      <c r="E31" s="63" t="s">
        <v>94</v>
      </c>
      <c r="F31" s="60" t="s">
        <v>49</v>
      </c>
      <c r="G31" s="47">
        <v>1</v>
      </c>
      <c r="H31" s="133">
        <f t="shared" si="0"/>
        <v>4.2735042735042739E-3</v>
      </c>
      <c r="I31" s="94">
        <v>2</v>
      </c>
      <c r="K31" s="38">
        <v>29</v>
      </c>
      <c r="L31" s="99">
        <v>-49</v>
      </c>
    </row>
    <row r="32" spans="1:17" x14ac:dyDescent="0.45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-99.6</v>
      </c>
    </row>
    <row r="33" spans="5:12" x14ac:dyDescent="0.45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4</v>
      </c>
      <c r="K33" s="38">
        <v>31</v>
      </c>
      <c r="L33" s="99">
        <v>-54.199999999999996</v>
      </c>
    </row>
    <row r="34" spans="5:12" x14ac:dyDescent="0.45">
      <c r="E34" s="63" t="s">
        <v>97</v>
      </c>
      <c r="F34" s="60" t="s">
        <v>52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-92</v>
      </c>
    </row>
    <row r="35" spans="5:12" x14ac:dyDescent="0.45">
      <c r="E35" s="63" t="s">
        <v>98</v>
      </c>
      <c r="F35" s="60" t="s">
        <v>53</v>
      </c>
      <c r="G35" s="47">
        <v>0</v>
      </c>
      <c r="H35" s="133">
        <f t="shared" si="4"/>
        <v>0</v>
      </c>
      <c r="I35" s="94">
        <v>3</v>
      </c>
      <c r="K35" s="38">
        <v>33</v>
      </c>
      <c r="L35" s="99">
        <v>-107.4</v>
      </c>
    </row>
    <row r="36" spans="5:12" x14ac:dyDescent="0.45">
      <c r="E36" s="63" t="s">
        <v>99</v>
      </c>
      <c r="F36" s="60" t="s">
        <v>54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-45.800000000000004</v>
      </c>
    </row>
    <row r="37" spans="5:12" x14ac:dyDescent="0.45">
      <c r="E37" s="63" t="s">
        <v>100</v>
      </c>
      <c r="F37" s="60" t="s">
        <v>55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19.399999999999999</v>
      </c>
    </row>
    <row r="38" spans="5:12" x14ac:dyDescent="0.45">
      <c r="E38" s="63" t="s">
        <v>101</v>
      </c>
      <c r="F38" s="60" t="s">
        <v>56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85.800000000000011</v>
      </c>
    </row>
    <row r="39" spans="5:12" x14ac:dyDescent="0.45">
      <c r="E39" s="63" t="s">
        <v>102</v>
      </c>
      <c r="F39" s="60" t="s">
        <v>57</v>
      </c>
      <c r="G39" s="47">
        <v>1</v>
      </c>
      <c r="H39" s="133">
        <f t="shared" si="4"/>
        <v>4.2735042735042739E-3</v>
      </c>
      <c r="I39" s="94">
        <v>1</v>
      </c>
      <c r="K39" s="38">
        <v>37</v>
      </c>
      <c r="L39" s="99">
        <v>44.70000000000001</v>
      </c>
    </row>
    <row r="40" spans="5:12" x14ac:dyDescent="0.45">
      <c r="E40" s="63" t="s">
        <v>103</v>
      </c>
      <c r="F40" s="60" t="s">
        <v>58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-18.79999999999999</v>
      </c>
    </row>
    <row r="41" spans="5:12" x14ac:dyDescent="0.45">
      <c r="E41" s="63" t="s">
        <v>104</v>
      </c>
      <c r="F41" s="60" t="s">
        <v>59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-16.699999999999989</v>
      </c>
    </row>
    <row r="42" spans="5:12" x14ac:dyDescent="0.45">
      <c r="E42" s="63" t="s">
        <v>105</v>
      </c>
      <c r="F42" s="60" t="s">
        <v>60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39.300000000000011</v>
      </c>
    </row>
    <row r="43" spans="5:12" x14ac:dyDescent="0.45">
      <c r="E43" s="63" t="s">
        <v>106</v>
      </c>
      <c r="F43" s="60" t="s">
        <v>113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96.300000000000011</v>
      </c>
    </row>
    <row r="44" spans="5:12" x14ac:dyDescent="0.45">
      <c r="E44" s="63" t="s">
        <v>107</v>
      </c>
      <c r="F44" s="60" t="s">
        <v>114</v>
      </c>
      <c r="G44" s="47">
        <v>0</v>
      </c>
      <c r="H44" s="133">
        <f t="shared" si="4"/>
        <v>0</v>
      </c>
      <c r="I44" s="94">
        <v>3</v>
      </c>
      <c r="K44" s="38">
        <v>42</v>
      </c>
      <c r="L44" s="99">
        <v>97.600000000000009</v>
      </c>
    </row>
    <row r="45" spans="5:12" x14ac:dyDescent="0.45">
      <c r="E45" s="63" t="s">
        <v>108</v>
      </c>
      <c r="F45" s="60" t="s">
        <v>115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103.10000000000001</v>
      </c>
    </row>
    <row r="46" spans="5:12" x14ac:dyDescent="0.45">
      <c r="E46" s="63" t="s">
        <v>109</v>
      </c>
      <c r="F46" s="60" t="s">
        <v>61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96.600000000000009</v>
      </c>
    </row>
    <row r="47" spans="5:12" x14ac:dyDescent="0.45">
      <c r="E47" s="63" t="s">
        <v>110</v>
      </c>
      <c r="F47" s="60" t="s">
        <v>62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39.500000000000007</v>
      </c>
    </row>
    <row r="48" spans="5:12" x14ac:dyDescent="0.45">
      <c r="E48" s="63" t="s">
        <v>111</v>
      </c>
      <c r="F48" s="60" t="s">
        <v>63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37.300000000000004</v>
      </c>
    </row>
    <row r="49" spans="5:12" x14ac:dyDescent="0.45">
      <c r="E49" s="63" t="s">
        <v>112</v>
      </c>
      <c r="F49" s="60" t="s">
        <v>64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71.099999999999994</v>
      </c>
    </row>
    <row r="50" spans="5:12" x14ac:dyDescent="0.45">
      <c r="E50" s="63" t="s">
        <v>180</v>
      </c>
      <c r="F50" s="60" t="s">
        <v>181</v>
      </c>
      <c r="G50" s="47">
        <v>0</v>
      </c>
      <c r="H50" s="133">
        <f t="shared" si="4"/>
        <v>0</v>
      </c>
      <c r="I50" s="94">
        <v>8</v>
      </c>
      <c r="K50" s="38">
        <v>48</v>
      </c>
      <c r="L50" s="99">
        <v>40.899999999999991</v>
      </c>
    </row>
    <row r="51" spans="5:12" x14ac:dyDescent="0.45">
      <c r="E51" s="136" t="s">
        <v>245</v>
      </c>
      <c r="F51" s="137" t="s">
        <v>246</v>
      </c>
      <c r="G51" s="48">
        <v>99</v>
      </c>
      <c r="H51" s="138">
        <f t="shared" si="4"/>
        <v>0.42307692307692307</v>
      </c>
      <c r="I51" s="139">
        <v>4</v>
      </c>
      <c r="K51" s="38">
        <v>49</v>
      </c>
      <c r="L51" s="99">
        <v>-29.900000000000006</v>
      </c>
    </row>
    <row r="52" spans="5:12" x14ac:dyDescent="0.45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-26.900000000000006</v>
      </c>
    </row>
    <row r="53" spans="5:12" x14ac:dyDescent="0.45">
      <c r="K53" s="38">
        <v>51</v>
      </c>
      <c r="L53" s="99">
        <v>20.999999999999993</v>
      </c>
    </row>
    <row r="54" spans="5:12" x14ac:dyDescent="0.45">
      <c r="K54" s="38">
        <v>52</v>
      </c>
      <c r="L54" s="99">
        <v>30.699999999999992</v>
      </c>
    </row>
    <row r="55" spans="5:12" x14ac:dyDescent="0.45">
      <c r="K55" s="38">
        <v>53</v>
      </c>
      <c r="L55" s="99">
        <v>76.8</v>
      </c>
    </row>
    <row r="56" spans="5:12" x14ac:dyDescent="0.45">
      <c r="K56" s="38">
        <v>54</v>
      </c>
      <c r="L56" s="99">
        <v>133.30000000000001</v>
      </c>
    </row>
    <row r="57" spans="5:12" x14ac:dyDescent="0.45">
      <c r="K57" s="38">
        <v>55</v>
      </c>
      <c r="L57" s="99">
        <v>181.60000000000002</v>
      </c>
    </row>
    <row r="58" spans="5:12" x14ac:dyDescent="0.45">
      <c r="K58" s="38">
        <v>56</v>
      </c>
      <c r="L58" s="99">
        <v>187.60000000000002</v>
      </c>
    </row>
    <row r="59" spans="5:12" x14ac:dyDescent="0.45">
      <c r="K59" s="38">
        <v>57</v>
      </c>
      <c r="L59" s="99">
        <v>255.50000000000003</v>
      </c>
    </row>
    <row r="60" spans="5:12" x14ac:dyDescent="0.45">
      <c r="K60" s="38">
        <v>58</v>
      </c>
      <c r="L60" s="99">
        <v>244.60000000000002</v>
      </c>
    </row>
    <row r="61" spans="5:12" x14ac:dyDescent="0.45">
      <c r="K61" s="38">
        <v>59</v>
      </c>
      <c r="L61" s="99">
        <v>295</v>
      </c>
    </row>
    <row r="62" spans="5:12" x14ac:dyDescent="0.45">
      <c r="K62" s="38">
        <v>60</v>
      </c>
      <c r="L62" s="99">
        <v>359.4</v>
      </c>
    </row>
    <row r="63" spans="5:12" x14ac:dyDescent="0.45">
      <c r="K63" s="38">
        <v>61</v>
      </c>
      <c r="L63" s="99">
        <v>347.5</v>
      </c>
    </row>
    <row r="64" spans="5:12" x14ac:dyDescent="0.45">
      <c r="K64" s="38">
        <v>62</v>
      </c>
      <c r="L64" s="99">
        <v>345.6</v>
      </c>
    </row>
    <row r="65" spans="11:12" x14ac:dyDescent="0.45">
      <c r="K65" s="38">
        <v>63</v>
      </c>
      <c r="L65" s="99">
        <v>287.60000000000002</v>
      </c>
    </row>
    <row r="66" spans="11:12" x14ac:dyDescent="0.45">
      <c r="K66" s="38">
        <v>64</v>
      </c>
      <c r="L66" s="99">
        <v>323.60000000000002</v>
      </c>
    </row>
    <row r="67" spans="11:12" x14ac:dyDescent="0.45">
      <c r="K67" s="38">
        <v>65</v>
      </c>
      <c r="L67" s="99">
        <v>328.6</v>
      </c>
    </row>
    <row r="68" spans="11:12" x14ac:dyDescent="0.45">
      <c r="K68" s="38">
        <v>66</v>
      </c>
      <c r="L68" s="99">
        <v>307</v>
      </c>
    </row>
    <row r="69" spans="11:12" x14ac:dyDescent="0.45">
      <c r="K69" s="38">
        <v>67</v>
      </c>
      <c r="L69" s="99">
        <v>274.10000000000002</v>
      </c>
    </row>
    <row r="70" spans="11:12" x14ac:dyDescent="0.45">
      <c r="K70" s="38">
        <v>68</v>
      </c>
      <c r="L70" s="99">
        <v>285.40000000000003</v>
      </c>
    </row>
    <row r="71" spans="11:12" x14ac:dyDescent="0.45">
      <c r="K71" s="38">
        <v>69</v>
      </c>
      <c r="L71" s="99">
        <v>330.40000000000003</v>
      </c>
    </row>
    <row r="72" spans="11:12" x14ac:dyDescent="0.45">
      <c r="K72" s="38">
        <v>70</v>
      </c>
      <c r="L72" s="99">
        <v>382.50000000000006</v>
      </c>
    </row>
    <row r="73" spans="11:12" x14ac:dyDescent="0.45">
      <c r="K73" s="38">
        <v>71</v>
      </c>
      <c r="L73" s="99">
        <v>350.40000000000003</v>
      </c>
    </row>
    <row r="74" spans="11:12" x14ac:dyDescent="0.45">
      <c r="K74" s="38">
        <v>72</v>
      </c>
      <c r="L74" s="99">
        <v>304.60000000000002</v>
      </c>
    </row>
    <row r="75" spans="11:12" x14ac:dyDescent="0.45">
      <c r="K75" s="38">
        <v>73</v>
      </c>
      <c r="L75" s="99">
        <v>275</v>
      </c>
    </row>
    <row r="76" spans="11:12" x14ac:dyDescent="0.45">
      <c r="K76" s="38">
        <v>74</v>
      </c>
      <c r="L76" s="99">
        <v>242.1</v>
      </c>
    </row>
    <row r="77" spans="11:12" x14ac:dyDescent="0.45">
      <c r="K77" s="38">
        <v>75</v>
      </c>
      <c r="L77" s="99">
        <v>255.79999999999998</v>
      </c>
    </row>
    <row r="78" spans="11:12" x14ac:dyDescent="0.45">
      <c r="K78" s="38">
        <v>76</v>
      </c>
      <c r="L78" s="99">
        <v>198.29999999999998</v>
      </c>
    </row>
    <row r="79" spans="11:12" x14ac:dyDescent="0.45">
      <c r="K79" s="38">
        <v>77</v>
      </c>
      <c r="L79" s="99">
        <v>201.7</v>
      </c>
    </row>
    <row r="80" spans="11:12" x14ac:dyDescent="0.45">
      <c r="K80" s="38">
        <v>78</v>
      </c>
      <c r="L80" s="99">
        <v>193.39999999999998</v>
      </c>
    </row>
    <row r="81" spans="11:12" x14ac:dyDescent="0.45">
      <c r="K81" s="38">
        <v>79</v>
      </c>
      <c r="L81" s="99">
        <v>151.59999999999997</v>
      </c>
    </row>
    <row r="82" spans="11:12" x14ac:dyDescent="0.45">
      <c r="K82" s="38">
        <v>80</v>
      </c>
      <c r="L82" s="99">
        <v>154.19999999999996</v>
      </c>
    </row>
    <row r="83" spans="11:12" x14ac:dyDescent="0.45">
      <c r="K83" s="38">
        <v>81</v>
      </c>
      <c r="L83" s="99">
        <v>216.19999999999996</v>
      </c>
    </row>
    <row r="84" spans="11:12" x14ac:dyDescent="0.45">
      <c r="K84" s="38">
        <v>82</v>
      </c>
      <c r="L84" s="99">
        <v>225.79999999999995</v>
      </c>
    </row>
    <row r="85" spans="11:12" x14ac:dyDescent="0.45">
      <c r="K85" s="38">
        <v>83</v>
      </c>
      <c r="L85" s="99">
        <v>167.49999999999994</v>
      </c>
    </row>
    <row r="86" spans="11:12" x14ac:dyDescent="0.45">
      <c r="K86" s="38">
        <v>84</v>
      </c>
      <c r="L86" s="99">
        <v>131.69999999999993</v>
      </c>
    </row>
    <row r="87" spans="11:12" x14ac:dyDescent="0.45">
      <c r="K87" s="38">
        <v>85</v>
      </c>
      <c r="L87" s="99">
        <v>103.19999999999993</v>
      </c>
    </row>
    <row r="88" spans="11:12" x14ac:dyDescent="0.45">
      <c r="K88" s="38">
        <v>86</v>
      </c>
      <c r="L88" s="99">
        <v>69.899999999999935</v>
      </c>
    </row>
    <row r="89" spans="11:12" x14ac:dyDescent="0.45">
      <c r="K89" s="38">
        <v>87</v>
      </c>
      <c r="L89" s="99">
        <v>18.699999999999932</v>
      </c>
    </row>
    <row r="90" spans="11:12" x14ac:dyDescent="0.45">
      <c r="K90" s="38">
        <v>88</v>
      </c>
      <c r="L90" s="99">
        <v>-51.800000000000068</v>
      </c>
    </row>
    <row r="91" spans="11:12" x14ac:dyDescent="0.45">
      <c r="K91" s="38">
        <v>89</v>
      </c>
      <c r="L91" s="99">
        <v>-75.500000000000071</v>
      </c>
    </row>
    <row r="92" spans="11:12" x14ac:dyDescent="0.45">
      <c r="K92" s="38">
        <v>90</v>
      </c>
      <c r="L92" s="99">
        <v>-66.500000000000071</v>
      </c>
    </row>
    <row r="93" spans="11:12" x14ac:dyDescent="0.45">
      <c r="K93" s="38">
        <v>91</v>
      </c>
      <c r="L93" s="99">
        <v>-39.600000000000072</v>
      </c>
    </row>
    <row r="94" spans="11:12" x14ac:dyDescent="0.45">
      <c r="K94" s="38">
        <v>92</v>
      </c>
      <c r="L94" s="99">
        <v>-0.7000000000000739</v>
      </c>
    </row>
    <row r="95" spans="11:12" x14ac:dyDescent="0.45">
      <c r="K95" s="38">
        <v>93</v>
      </c>
      <c r="L95" s="99">
        <v>29.599999999999927</v>
      </c>
    </row>
    <row r="96" spans="11:12" x14ac:dyDescent="0.45">
      <c r="K96" s="38">
        <v>94</v>
      </c>
      <c r="L96" s="99">
        <v>57.299999999999926</v>
      </c>
    </row>
    <row r="97" spans="11:12" x14ac:dyDescent="0.45">
      <c r="K97" s="38">
        <v>95</v>
      </c>
      <c r="L97" s="99">
        <v>47.299999999999926</v>
      </c>
    </row>
    <row r="98" spans="11:12" x14ac:dyDescent="0.45">
      <c r="K98" s="38">
        <v>96</v>
      </c>
      <c r="L98" s="99">
        <v>48.899999999999928</v>
      </c>
    </row>
    <row r="99" spans="11:12" x14ac:dyDescent="0.45">
      <c r="K99" s="38">
        <v>97</v>
      </c>
      <c r="L99" s="99">
        <v>19.799999999999926</v>
      </c>
    </row>
    <row r="100" spans="11:12" x14ac:dyDescent="0.45">
      <c r="K100" s="38">
        <v>98</v>
      </c>
      <c r="L100" s="99">
        <v>87.099999999999923</v>
      </c>
    </row>
    <row r="101" spans="11:12" x14ac:dyDescent="0.45">
      <c r="K101" s="38">
        <v>99</v>
      </c>
      <c r="L101" s="99">
        <v>119.29999999999993</v>
      </c>
    </row>
    <row r="102" spans="11:12" x14ac:dyDescent="0.45">
      <c r="K102" s="38">
        <v>100</v>
      </c>
      <c r="L102" s="99">
        <v>115.59999999999992</v>
      </c>
    </row>
    <row r="103" spans="11:12" x14ac:dyDescent="0.45">
      <c r="K103" s="38">
        <v>101</v>
      </c>
      <c r="L103" s="99">
        <v>111.59999999999992</v>
      </c>
    </row>
    <row r="104" spans="11:12" x14ac:dyDescent="0.45">
      <c r="K104" s="38">
        <v>102</v>
      </c>
      <c r="L104" s="99">
        <v>112.49999999999993</v>
      </c>
    </row>
    <row r="105" spans="11:12" x14ac:dyDescent="0.45">
      <c r="K105" s="38">
        <v>103</v>
      </c>
      <c r="L105" s="99">
        <v>67.699999999999932</v>
      </c>
    </row>
  </sheetData>
  <sortState xmlns:xlrd2="http://schemas.microsoft.com/office/spreadsheetml/2017/richdata2" ref="E2:I10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FE0D2-114B-4B59-87BC-2D69547E56BB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3" customWidth="1"/>
    <col min="2" max="3" width="9" style="33" customWidth="1"/>
    <col min="4" max="4" width="3.59765625" style="33" customWidth="1"/>
    <col min="5" max="5" width="3.59765625" style="128" bestFit="1" customWidth="1"/>
    <col min="6" max="6" width="11" style="43" bestFit="1" customWidth="1"/>
    <col min="7" max="9" width="9" style="33" customWidth="1"/>
    <col min="10" max="10" width="3.59765625" style="33" customWidth="1"/>
    <col min="11" max="11" width="3.5" style="38" customWidth="1"/>
    <col min="12" max="12" width="9" style="99" customWidth="1"/>
    <col min="13" max="13" width="3.59765625" style="33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33"/>
  </cols>
  <sheetData>
    <row r="1" spans="1:17" x14ac:dyDescent="0.45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5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 t="shared" ref="H2:H33" si="0"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1">IF(P2=0,0,Q2/P2)</f>
        <v>3000</v>
      </c>
      <c r="P2" s="118">
        <v>3</v>
      </c>
      <c r="Q2" s="102">
        <v>9000</v>
      </c>
    </row>
    <row r="3" spans="1:17" x14ac:dyDescent="0.45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 t="shared" si="0"/>
        <v>0</v>
      </c>
      <c r="I3" s="94">
        <v>13</v>
      </c>
      <c r="K3" s="38">
        <v>1</v>
      </c>
      <c r="L3" s="99">
        <v>-14.6</v>
      </c>
      <c r="N3" s="115" t="s">
        <v>133</v>
      </c>
      <c r="O3" s="122">
        <f t="shared" si="1"/>
        <v>2233.3333333333335</v>
      </c>
      <c r="P3" s="119">
        <v>3</v>
      </c>
      <c r="Q3" s="103">
        <v>6700</v>
      </c>
    </row>
    <row r="4" spans="1:17" x14ac:dyDescent="0.45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 t="shared" si="0"/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1"/>
        <v>-1000</v>
      </c>
      <c r="P4" s="119">
        <v>3</v>
      </c>
      <c r="Q4" s="103">
        <v>-3000</v>
      </c>
    </row>
    <row r="5" spans="1:17" x14ac:dyDescent="0.45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 t="shared" si="0"/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1"/>
        <v>6233.333333333333</v>
      </c>
      <c r="P5" s="119">
        <v>3</v>
      </c>
      <c r="Q5" s="103">
        <v>18700</v>
      </c>
    </row>
    <row r="6" spans="1:17" x14ac:dyDescent="0.45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 t="shared" si="0"/>
        <v>0.2</v>
      </c>
      <c r="I6" s="94">
        <v>14</v>
      </c>
      <c r="N6" s="115" t="s">
        <v>136</v>
      </c>
      <c r="O6" s="122">
        <f t="shared" si="1"/>
        <v>100</v>
      </c>
      <c r="P6" s="119">
        <v>3</v>
      </c>
      <c r="Q6" s="103">
        <v>300</v>
      </c>
    </row>
    <row r="7" spans="1:17" x14ac:dyDescent="0.45">
      <c r="A7" s="55" t="s">
        <v>2</v>
      </c>
      <c r="B7" s="47">
        <v>2</v>
      </c>
      <c r="C7" s="39">
        <f t="shared" ref="C7:C12" si="2">IF(B$2=0,0,B7/B$2)</f>
        <v>0.66666666666666663</v>
      </c>
      <c r="E7" s="63" t="s">
        <v>70</v>
      </c>
      <c r="F7" s="60" t="s">
        <v>25</v>
      </c>
      <c r="G7" s="47">
        <v>1</v>
      </c>
      <c r="H7" s="133">
        <f t="shared" si="0"/>
        <v>0.2</v>
      </c>
      <c r="I7" s="94">
        <v>2</v>
      </c>
      <c r="N7" s="116" t="s">
        <v>137</v>
      </c>
      <c r="O7" s="123">
        <f t="shared" si="1"/>
        <v>-3566.6666666666665</v>
      </c>
      <c r="P7" s="120">
        <v>3</v>
      </c>
      <c r="Q7" s="104">
        <v>-10700</v>
      </c>
    </row>
    <row r="8" spans="1:17" x14ac:dyDescent="0.45">
      <c r="A8" s="55" t="s">
        <v>3</v>
      </c>
      <c r="B8" s="47">
        <v>1</v>
      </c>
      <c r="C8" s="39">
        <f t="shared" si="2"/>
        <v>0.33333333333333331</v>
      </c>
      <c r="E8" s="63" t="s">
        <v>71</v>
      </c>
      <c r="F8" s="60" t="s">
        <v>26</v>
      </c>
      <c r="G8" s="47">
        <v>0</v>
      </c>
      <c r="H8" s="133">
        <f t="shared" si="0"/>
        <v>0</v>
      </c>
      <c r="I8" s="94">
        <v>13</v>
      </c>
      <c r="N8" s="43"/>
      <c r="O8" s="127"/>
      <c r="P8" s="111"/>
      <c r="Q8" s="109"/>
    </row>
    <row r="9" spans="1:17" x14ac:dyDescent="0.45">
      <c r="A9" s="56" t="s">
        <v>4</v>
      </c>
      <c r="B9" s="48">
        <v>0</v>
      </c>
      <c r="C9" s="40">
        <f t="shared" si="2"/>
        <v>0</v>
      </c>
      <c r="E9" s="63" t="s">
        <v>72</v>
      </c>
      <c r="F9" s="60" t="s">
        <v>27</v>
      </c>
      <c r="G9" s="47">
        <v>1</v>
      </c>
      <c r="H9" s="133">
        <f t="shared" si="0"/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5">
      <c r="A10" s="56" t="s">
        <v>19</v>
      </c>
      <c r="B10" s="48">
        <v>0</v>
      </c>
      <c r="C10" s="40">
        <f t="shared" si="2"/>
        <v>0</v>
      </c>
      <c r="E10" s="63" t="s">
        <v>73</v>
      </c>
      <c r="F10" s="60" t="s">
        <v>28</v>
      </c>
      <c r="G10" s="47">
        <v>3</v>
      </c>
      <c r="H10" s="133">
        <f t="shared" si="0"/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5">
      <c r="A11" s="56" t="s">
        <v>140</v>
      </c>
      <c r="B11" s="48">
        <v>0</v>
      </c>
      <c r="C11" s="40">
        <f t="shared" si="2"/>
        <v>0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5">
      <c r="A12" s="57" t="s">
        <v>160</v>
      </c>
      <c r="B12" s="49">
        <v>0</v>
      </c>
      <c r="C12" s="42">
        <f t="shared" si="2"/>
        <v>0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5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 t="shared" si="0"/>
        <v>0</v>
      </c>
      <c r="I13" s="94">
        <v>9</v>
      </c>
      <c r="N13" s="33"/>
      <c r="O13" s="110"/>
      <c r="P13" s="112"/>
      <c r="Q13" s="110"/>
    </row>
    <row r="14" spans="1:17" x14ac:dyDescent="0.45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5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9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5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 t="shared" si="0"/>
        <v>0</v>
      </c>
      <c r="I16" s="94">
        <v>12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5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 t="shared" si="0"/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5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5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 t="shared" si="0"/>
        <v>0</v>
      </c>
      <c r="I19" s="94">
        <v>12</v>
      </c>
    </row>
    <row r="20" spans="1:17" x14ac:dyDescent="0.45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</row>
    <row r="21" spans="1:17" x14ac:dyDescent="0.45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 t="shared" si="0"/>
        <v>0</v>
      </c>
      <c r="I21" s="94">
        <v>12</v>
      </c>
    </row>
    <row r="22" spans="1:17" x14ac:dyDescent="0.45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6</v>
      </c>
    </row>
    <row r="23" spans="1:17" x14ac:dyDescent="0.45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</row>
    <row r="24" spans="1:17" x14ac:dyDescent="0.45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 t="shared" si="0"/>
        <v>0.2</v>
      </c>
      <c r="I24" s="94">
        <v>1</v>
      </c>
    </row>
    <row r="25" spans="1:17" x14ac:dyDescent="0.45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7</v>
      </c>
    </row>
    <row r="26" spans="1:17" x14ac:dyDescent="0.45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5</v>
      </c>
    </row>
    <row r="27" spans="1:17" x14ac:dyDescent="0.45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 t="shared" si="0"/>
        <v>0.4</v>
      </c>
      <c r="I27" s="94">
        <v>1</v>
      </c>
    </row>
    <row r="28" spans="1:17" x14ac:dyDescent="0.45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5</v>
      </c>
    </row>
    <row r="29" spans="1:17" x14ac:dyDescent="0.45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10</v>
      </c>
    </row>
    <row r="30" spans="1:17" x14ac:dyDescent="0.45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7</v>
      </c>
    </row>
    <row r="31" spans="1:17" x14ac:dyDescent="0.45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7</v>
      </c>
    </row>
    <row r="32" spans="1:17" x14ac:dyDescent="0.45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5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4</v>
      </c>
    </row>
    <row r="34" spans="5:9" x14ac:dyDescent="0.45">
      <c r="E34" s="63" t="s">
        <v>97</v>
      </c>
      <c r="F34" s="60" t="s">
        <v>52</v>
      </c>
      <c r="G34" s="47">
        <v>0</v>
      </c>
      <c r="H34" s="133">
        <f t="shared" ref="H34:H65" si="3">IF(B$17=0,0,G34/B$17)</f>
        <v>0</v>
      </c>
      <c r="I34" s="94">
        <v>1</v>
      </c>
    </row>
    <row r="35" spans="5:9" x14ac:dyDescent="0.45">
      <c r="E35" s="63" t="s">
        <v>98</v>
      </c>
      <c r="F35" s="60" t="s">
        <v>53</v>
      </c>
      <c r="G35" s="47">
        <v>0</v>
      </c>
      <c r="H35" s="133">
        <f t="shared" si="3"/>
        <v>0</v>
      </c>
      <c r="I35" s="94">
        <v>3</v>
      </c>
    </row>
    <row r="36" spans="5:9" x14ac:dyDescent="0.45">
      <c r="E36" s="63" t="s">
        <v>99</v>
      </c>
      <c r="F36" s="60" t="s">
        <v>54</v>
      </c>
      <c r="G36" s="47">
        <v>0</v>
      </c>
      <c r="H36" s="133">
        <f t="shared" si="3"/>
        <v>0</v>
      </c>
      <c r="I36" s="94">
        <v>1</v>
      </c>
    </row>
    <row r="37" spans="5:9" x14ac:dyDescent="0.45">
      <c r="E37" s="63" t="s">
        <v>100</v>
      </c>
      <c r="F37" s="60" t="s">
        <v>55</v>
      </c>
      <c r="G37" s="47">
        <v>0</v>
      </c>
      <c r="H37" s="133">
        <f t="shared" si="3"/>
        <v>0</v>
      </c>
      <c r="I37" s="94">
        <v>1</v>
      </c>
    </row>
    <row r="38" spans="5:9" x14ac:dyDescent="0.45">
      <c r="E38" s="63" t="s">
        <v>101</v>
      </c>
      <c r="F38" s="60" t="s">
        <v>56</v>
      </c>
      <c r="G38" s="47">
        <v>0</v>
      </c>
      <c r="H38" s="133">
        <f t="shared" si="3"/>
        <v>0</v>
      </c>
      <c r="I38" s="94">
        <v>1</v>
      </c>
    </row>
    <row r="39" spans="5:9" x14ac:dyDescent="0.45">
      <c r="E39" s="63" t="s">
        <v>102</v>
      </c>
      <c r="F39" s="60" t="s">
        <v>57</v>
      </c>
      <c r="G39" s="47">
        <v>0</v>
      </c>
      <c r="H39" s="133">
        <f t="shared" si="3"/>
        <v>0</v>
      </c>
      <c r="I39" s="94">
        <v>3</v>
      </c>
    </row>
    <row r="40" spans="5:9" x14ac:dyDescent="0.45">
      <c r="E40" s="63" t="s">
        <v>103</v>
      </c>
      <c r="F40" s="60" t="s">
        <v>58</v>
      </c>
      <c r="G40" s="47">
        <v>0</v>
      </c>
      <c r="H40" s="133">
        <f t="shared" si="3"/>
        <v>0</v>
      </c>
      <c r="I40" s="94">
        <v>1</v>
      </c>
    </row>
    <row r="41" spans="5:9" x14ac:dyDescent="0.45">
      <c r="E41" s="63" t="s">
        <v>104</v>
      </c>
      <c r="F41" s="60" t="s">
        <v>59</v>
      </c>
      <c r="G41" s="47">
        <v>0</v>
      </c>
      <c r="H41" s="133">
        <f t="shared" si="3"/>
        <v>0</v>
      </c>
      <c r="I41" s="94">
        <v>1</v>
      </c>
    </row>
    <row r="42" spans="5:9" x14ac:dyDescent="0.45">
      <c r="E42" s="63" t="s">
        <v>105</v>
      </c>
      <c r="F42" s="60" t="s">
        <v>60</v>
      </c>
      <c r="G42" s="47">
        <v>0</v>
      </c>
      <c r="H42" s="133">
        <f t="shared" si="3"/>
        <v>0</v>
      </c>
      <c r="I42" s="94">
        <v>1</v>
      </c>
    </row>
    <row r="43" spans="5:9" x14ac:dyDescent="0.45">
      <c r="E43" s="63" t="s">
        <v>106</v>
      </c>
      <c r="F43" s="60" t="s">
        <v>113</v>
      </c>
      <c r="G43" s="47">
        <v>0</v>
      </c>
      <c r="H43" s="133">
        <f t="shared" si="3"/>
        <v>0</v>
      </c>
      <c r="I43" s="94">
        <v>1</v>
      </c>
    </row>
    <row r="44" spans="5:9" x14ac:dyDescent="0.45">
      <c r="E44" s="63" t="s">
        <v>107</v>
      </c>
      <c r="F44" s="60" t="s">
        <v>114</v>
      </c>
      <c r="G44" s="47">
        <v>0</v>
      </c>
      <c r="H44" s="133">
        <f t="shared" si="3"/>
        <v>0</v>
      </c>
      <c r="I44" s="94">
        <v>3</v>
      </c>
    </row>
    <row r="45" spans="5:9" x14ac:dyDescent="0.45">
      <c r="E45" s="63" t="s">
        <v>108</v>
      </c>
      <c r="F45" s="60" t="s">
        <v>115</v>
      </c>
      <c r="G45" s="47">
        <v>0</v>
      </c>
      <c r="H45" s="133">
        <f t="shared" si="3"/>
        <v>0</v>
      </c>
      <c r="I45" s="94">
        <v>1</v>
      </c>
    </row>
    <row r="46" spans="5:9" x14ac:dyDescent="0.45">
      <c r="E46" s="63" t="s">
        <v>109</v>
      </c>
      <c r="F46" s="60" t="s">
        <v>61</v>
      </c>
      <c r="G46" s="47">
        <v>0</v>
      </c>
      <c r="H46" s="133">
        <f t="shared" si="3"/>
        <v>0</v>
      </c>
      <c r="I46" s="94">
        <v>1</v>
      </c>
    </row>
    <row r="47" spans="5:9" x14ac:dyDescent="0.45">
      <c r="E47" s="63" t="s">
        <v>110</v>
      </c>
      <c r="F47" s="60" t="s">
        <v>62</v>
      </c>
      <c r="G47" s="47">
        <v>0</v>
      </c>
      <c r="H47" s="133">
        <f t="shared" si="3"/>
        <v>0</v>
      </c>
      <c r="I47" s="94">
        <v>1</v>
      </c>
    </row>
    <row r="48" spans="5:9" x14ac:dyDescent="0.45">
      <c r="E48" s="63" t="s">
        <v>111</v>
      </c>
      <c r="F48" s="60" t="s">
        <v>63</v>
      </c>
      <c r="G48" s="47">
        <v>0</v>
      </c>
      <c r="H48" s="133">
        <f t="shared" si="3"/>
        <v>0</v>
      </c>
      <c r="I48" s="94">
        <v>1</v>
      </c>
    </row>
    <row r="49" spans="5:9" x14ac:dyDescent="0.45">
      <c r="E49" s="63" t="s">
        <v>112</v>
      </c>
      <c r="F49" s="60" t="s">
        <v>64</v>
      </c>
      <c r="G49" s="47">
        <v>0</v>
      </c>
      <c r="H49" s="133">
        <f t="shared" si="3"/>
        <v>0</v>
      </c>
      <c r="I49" s="94">
        <v>1</v>
      </c>
    </row>
    <row r="50" spans="5:9" x14ac:dyDescent="0.45">
      <c r="E50" s="63" t="s">
        <v>180</v>
      </c>
      <c r="F50" s="60" t="s">
        <v>181</v>
      </c>
      <c r="G50" s="47">
        <v>0</v>
      </c>
      <c r="H50" s="133">
        <f t="shared" si="3"/>
        <v>0</v>
      </c>
      <c r="I50" s="94">
        <v>8</v>
      </c>
    </row>
    <row r="51" spans="5:9" x14ac:dyDescent="0.45">
      <c r="E51" s="136" t="s">
        <v>245</v>
      </c>
      <c r="F51" s="137" t="s">
        <v>246</v>
      </c>
      <c r="G51" s="48">
        <v>2</v>
      </c>
      <c r="H51" s="138">
        <f t="shared" si="3"/>
        <v>0.4</v>
      </c>
      <c r="I51" s="139">
        <v>7</v>
      </c>
    </row>
    <row r="52" spans="5:9" x14ac:dyDescent="0.45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D1226-BDF4-44F2-9F16-2BCA27D3D284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3" customWidth="1"/>
    <col min="2" max="3" width="9" style="33" customWidth="1"/>
    <col min="4" max="4" width="3.59765625" style="33" customWidth="1"/>
    <col min="5" max="5" width="3.59765625" style="128" bestFit="1" customWidth="1"/>
    <col min="6" max="6" width="11" style="43" bestFit="1" customWidth="1"/>
    <col min="7" max="9" width="9" style="33" customWidth="1"/>
    <col min="10" max="10" width="3.59765625" style="33" customWidth="1"/>
    <col min="11" max="11" width="3.5" style="38" customWidth="1"/>
    <col min="12" max="12" width="9" style="99" customWidth="1"/>
    <col min="13" max="13" width="3.59765625" style="33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33"/>
  </cols>
  <sheetData>
    <row r="1" spans="1:17" x14ac:dyDescent="0.45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5">
      <c r="A2" s="54" t="s">
        <v>9</v>
      </c>
      <c r="B2" s="150">
        <v>24</v>
      </c>
      <c r="C2" s="151"/>
      <c r="E2" s="62" t="s">
        <v>65</v>
      </c>
      <c r="F2" s="59" t="s">
        <v>21</v>
      </c>
      <c r="G2" s="46">
        <v>27</v>
      </c>
      <c r="H2" s="132">
        <f t="shared" ref="H2:H33" si="0">IF(B$17=0,0,G2/B$17)</f>
        <v>0.54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-408.33333333333331</v>
      </c>
      <c r="P2" s="118">
        <v>24</v>
      </c>
      <c r="Q2" s="102">
        <v>-9800</v>
      </c>
    </row>
    <row r="3" spans="1:17" x14ac:dyDescent="0.45">
      <c r="A3" s="55" t="s">
        <v>8</v>
      </c>
      <c r="B3" s="152">
        <v>181</v>
      </c>
      <c r="C3" s="153"/>
      <c r="E3" s="63" t="s">
        <v>66</v>
      </c>
      <c r="F3" s="60" t="s">
        <v>22</v>
      </c>
      <c r="G3" s="47">
        <v>4</v>
      </c>
      <c r="H3" s="133">
        <f t="shared" si="0"/>
        <v>0.08</v>
      </c>
      <c r="I3" s="94">
        <v>8</v>
      </c>
      <c r="K3" s="38">
        <v>1</v>
      </c>
      <c r="L3" s="99">
        <v>-43.7</v>
      </c>
      <c r="N3" s="115" t="s">
        <v>133</v>
      </c>
      <c r="O3" s="122">
        <f t="shared" si="1"/>
        <v>-4537.5</v>
      </c>
      <c r="P3" s="119">
        <v>24</v>
      </c>
      <c r="Q3" s="103">
        <v>-108900</v>
      </c>
    </row>
    <row r="4" spans="1:17" x14ac:dyDescent="0.45">
      <c r="A4" s="55" t="s">
        <v>6</v>
      </c>
      <c r="B4" s="154">
        <v>-300.5</v>
      </c>
      <c r="C4" s="155"/>
      <c r="E4" s="63" t="s">
        <v>67</v>
      </c>
      <c r="F4" s="60" t="s">
        <v>23</v>
      </c>
      <c r="G4" s="47">
        <v>43</v>
      </c>
      <c r="H4" s="133">
        <f t="shared" si="0"/>
        <v>0.86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1"/>
        <v>-70</v>
      </c>
      <c r="P4" s="119">
        <v>20</v>
      </c>
      <c r="Q4" s="103">
        <v>-1400</v>
      </c>
    </row>
    <row r="5" spans="1:17" x14ac:dyDescent="0.45">
      <c r="A5" s="55" t="s">
        <v>7</v>
      </c>
      <c r="B5" s="156">
        <f>IF(B$2=0,0,B$4/B$2)</f>
        <v>-12.520833333333334</v>
      </c>
      <c r="C5" s="157"/>
      <c r="E5" s="63" t="s">
        <v>68</v>
      </c>
      <c r="F5" s="60" t="s">
        <v>24</v>
      </c>
      <c r="G5" s="47">
        <v>12</v>
      </c>
      <c r="H5" s="133">
        <f t="shared" si="0"/>
        <v>0.24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1"/>
        <v>-3300</v>
      </c>
      <c r="P5" s="119">
        <v>20</v>
      </c>
      <c r="Q5" s="103">
        <v>-66000</v>
      </c>
    </row>
    <row r="6" spans="1:17" x14ac:dyDescent="0.45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 t="shared" si="0"/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1"/>
        <v>-1533.3333333333333</v>
      </c>
      <c r="P6" s="119">
        <v>18</v>
      </c>
      <c r="Q6" s="103">
        <v>-27600</v>
      </c>
    </row>
    <row r="7" spans="1:17" x14ac:dyDescent="0.45">
      <c r="A7" s="55" t="s">
        <v>2</v>
      </c>
      <c r="B7" s="47">
        <v>8</v>
      </c>
      <c r="C7" s="39">
        <f t="shared" ref="C7:C12" si="2">IF(B$2=0,0,B7/B$2)</f>
        <v>0.33333333333333331</v>
      </c>
      <c r="E7" s="63" t="s">
        <v>70</v>
      </c>
      <c r="F7" s="60" t="s">
        <v>25</v>
      </c>
      <c r="G7" s="47">
        <v>8</v>
      </c>
      <c r="H7" s="133">
        <f t="shared" si="0"/>
        <v>0.16</v>
      </c>
      <c r="I7" s="94">
        <v>5</v>
      </c>
      <c r="K7" s="38">
        <v>5</v>
      </c>
      <c r="L7" s="99">
        <v>-121</v>
      </c>
      <c r="N7" s="116" t="s">
        <v>137</v>
      </c>
      <c r="O7" s="123">
        <f t="shared" si="1"/>
        <v>-3320</v>
      </c>
      <c r="P7" s="120">
        <v>15</v>
      </c>
      <c r="Q7" s="104">
        <v>-49800</v>
      </c>
    </row>
    <row r="8" spans="1:17" x14ac:dyDescent="0.45">
      <c r="A8" s="55" t="s">
        <v>3</v>
      </c>
      <c r="B8" s="47">
        <v>3</v>
      </c>
      <c r="C8" s="39">
        <f t="shared" si="2"/>
        <v>0.125</v>
      </c>
      <c r="E8" s="63" t="s">
        <v>71</v>
      </c>
      <c r="F8" s="60" t="s">
        <v>26</v>
      </c>
      <c r="G8" s="47">
        <v>8</v>
      </c>
      <c r="H8" s="133">
        <f t="shared" si="0"/>
        <v>0.16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5">
      <c r="A9" s="56" t="s">
        <v>4</v>
      </c>
      <c r="B9" s="48">
        <v>13</v>
      </c>
      <c r="C9" s="40">
        <f t="shared" si="2"/>
        <v>0.54166666666666663</v>
      </c>
      <c r="E9" s="63" t="s">
        <v>72</v>
      </c>
      <c r="F9" s="60" t="s">
        <v>27</v>
      </c>
      <c r="G9" s="47">
        <v>3</v>
      </c>
      <c r="H9" s="133">
        <f t="shared" si="0"/>
        <v>0.06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5">
      <c r="A10" s="56" t="s">
        <v>19</v>
      </c>
      <c r="B10" s="48">
        <v>7</v>
      </c>
      <c r="C10" s="40">
        <f t="shared" si="2"/>
        <v>0.29166666666666669</v>
      </c>
      <c r="E10" s="63" t="s">
        <v>73</v>
      </c>
      <c r="F10" s="60" t="s">
        <v>28</v>
      </c>
      <c r="G10" s="47">
        <v>30</v>
      </c>
      <c r="H10" s="133">
        <f t="shared" si="0"/>
        <v>0.6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5">
      <c r="A11" s="56" t="s">
        <v>140</v>
      </c>
      <c r="B11" s="48">
        <v>2</v>
      </c>
      <c r="C11" s="40">
        <f t="shared" si="2"/>
        <v>8.3333333333333329E-2</v>
      </c>
      <c r="E11" s="63" t="s">
        <v>74</v>
      </c>
      <c r="F11" s="60" t="s">
        <v>29</v>
      </c>
      <c r="G11" s="47">
        <v>1</v>
      </c>
      <c r="H11" s="133">
        <f t="shared" si="0"/>
        <v>0.02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5">
      <c r="A12" s="57" t="s">
        <v>160</v>
      </c>
      <c r="B12" s="49">
        <v>3</v>
      </c>
      <c r="C12" s="42">
        <f t="shared" si="2"/>
        <v>0.125</v>
      </c>
      <c r="E12" s="63" t="s">
        <v>75</v>
      </c>
      <c r="F12" s="60" t="s">
        <v>30</v>
      </c>
      <c r="G12" s="47">
        <v>1</v>
      </c>
      <c r="H12" s="133">
        <f t="shared" si="0"/>
        <v>0.02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5">
      <c r="A13" s="58" t="s">
        <v>122</v>
      </c>
      <c r="B13" s="50">
        <v>42</v>
      </c>
      <c r="C13" s="44">
        <f>IF(B$3=0,0,B13/B$3)</f>
        <v>0.23204419889502761</v>
      </c>
      <c r="E13" s="63" t="s">
        <v>76</v>
      </c>
      <c r="F13" s="60" t="s">
        <v>31</v>
      </c>
      <c r="G13" s="47">
        <v>1</v>
      </c>
      <c r="H13" s="133">
        <f t="shared" si="0"/>
        <v>0.02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5">
      <c r="A14" s="55" t="s">
        <v>119</v>
      </c>
      <c r="B14" s="47">
        <v>45</v>
      </c>
      <c r="C14" s="39">
        <f>IF(B$3=0,0,B14/B$3)</f>
        <v>0.24861878453038674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5">
      <c r="A15" s="54" t="s">
        <v>124</v>
      </c>
      <c r="B15" s="46">
        <v>28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9</v>
      </c>
      <c r="K15" s="38">
        <v>13</v>
      </c>
      <c r="L15" s="99">
        <v>-144.79999999999998</v>
      </c>
      <c r="N15" s="114" t="s">
        <v>173</v>
      </c>
      <c r="O15" s="124">
        <f t="shared" ref="O15:O23" si="3">IF(P15=0,0,Q15/P15)</f>
        <v>159</v>
      </c>
      <c r="P15" s="118">
        <v>1</v>
      </c>
      <c r="Q15" s="106">
        <v>159</v>
      </c>
    </row>
    <row r="16" spans="1:17" x14ac:dyDescent="0.45">
      <c r="A16" s="54" t="s">
        <v>125</v>
      </c>
      <c r="B16" s="46">
        <v>17</v>
      </c>
      <c r="C16" s="37">
        <f>IF(B$14=0,0,B16/B$14)</f>
        <v>0.37777777777777777</v>
      </c>
      <c r="E16" s="63" t="s">
        <v>79</v>
      </c>
      <c r="F16" s="60" t="s">
        <v>34</v>
      </c>
      <c r="G16" s="47">
        <v>0</v>
      </c>
      <c r="H16" s="133">
        <f t="shared" si="0"/>
        <v>0</v>
      </c>
      <c r="I16" s="94">
        <v>12</v>
      </c>
      <c r="K16" s="38">
        <v>14</v>
      </c>
      <c r="L16" s="99">
        <v>-138.69999999999999</v>
      </c>
      <c r="N16" s="115" t="s">
        <v>129</v>
      </c>
      <c r="O16" s="125">
        <f t="shared" si="3"/>
        <v>30.850000000000005</v>
      </c>
      <c r="P16" s="119">
        <v>6</v>
      </c>
      <c r="Q16" s="107">
        <v>185.10000000000002</v>
      </c>
    </row>
    <row r="17" spans="1:17" x14ac:dyDescent="0.45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80</v>
      </c>
      <c r="F17" s="60" t="s">
        <v>35</v>
      </c>
      <c r="G17" s="47">
        <v>3</v>
      </c>
      <c r="H17" s="133">
        <f t="shared" si="0"/>
        <v>0.06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3"/>
        <v>-4.8666666666666698</v>
      </c>
      <c r="P17" s="119">
        <v>6</v>
      </c>
      <c r="Q17" s="107">
        <v>-29.200000000000017</v>
      </c>
    </row>
    <row r="18" spans="1:17" x14ac:dyDescent="0.45">
      <c r="A18" s="55" t="s">
        <v>12</v>
      </c>
      <c r="B18" s="47">
        <v>24</v>
      </c>
      <c r="C18" s="39">
        <f>IF(B$17=0,0,B18/B$17)</f>
        <v>0.48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3"/>
        <v>-18.200000000000003</v>
      </c>
      <c r="P18" s="119">
        <v>4</v>
      </c>
      <c r="Q18" s="107">
        <v>-72.800000000000011</v>
      </c>
    </row>
    <row r="19" spans="1:17" x14ac:dyDescent="0.45">
      <c r="A19" s="55" t="s">
        <v>11</v>
      </c>
      <c r="B19" s="47">
        <v>26</v>
      </c>
      <c r="C19" s="39">
        <f>IF(B$17=0,0,B19/B$17)</f>
        <v>0.52</v>
      </c>
      <c r="E19" s="63" t="s">
        <v>82</v>
      </c>
      <c r="F19" s="60" t="s">
        <v>37</v>
      </c>
      <c r="G19" s="47">
        <v>1</v>
      </c>
      <c r="H19" s="133">
        <f t="shared" si="0"/>
        <v>0.02</v>
      </c>
      <c r="I19" s="94">
        <v>9</v>
      </c>
      <c r="K19" s="38">
        <v>17</v>
      </c>
      <c r="L19" s="99">
        <v>-203.5</v>
      </c>
      <c r="N19" s="115" t="s">
        <v>128</v>
      </c>
      <c r="O19" s="125">
        <f t="shared" si="3"/>
        <v>-21.07</v>
      </c>
      <c r="P19" s="119">
        <v>10</v>
      </c>
      <c r="Q19" s="107">
        <v>-210.7</v>
      </c>
    </row>
    <row r="20" spans="1:17" x14ac:dyDescent="0.45">
      <c r="A20" s="55" t="s">
        <v>13</v>
      </c>
      <c r="B20" s="47">
        <v>41</v>
      </c>
      <c r="C20" s="39">
        <f>IF(B$3=0,0,B20/B$3)</f>
        <v>0.22651933701657459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3"/>
        <v>-29.121428571428577</v>
      </c>
      <c r="P20" s="119">
        <v>14</v>
      </c>
      <c r="Q20" s="107">
        <v>-407.7000000000001</v>
      </c>
    </row>
    <row r="21" spans="1:17" x14ac:dyDescent="0.45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 t="shared" si="0"/>
        <v>0.12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3"/>
        <v>-44.424999999999997</v>
      </c>
      <c r="P21" s="119">
        <v>4</v>
      </c>
      <c r="Q21" s="107">
        <v>-177.7</v>
      </c>
    </row>
    <row r="22" spans="1:17" x14ac:dyDescent="0.45">
      <c r="A22" s="55" t="s">
        <v>192</v>
      </c>
      <c r="B22" s="47">
        <v>17</v>
      </c>
      <c r="C22" s="135">
        <v>1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3"/>
        <v>-69.599999999999994</v>
      </c>
      <c r="P22" s="119">
        <v>1</v>
      </c>
      <c r="Q22" s="107">
        <v>-69.599999999999994</v>
      </c>
    </row>
    <row r="23" spans="1:17" x14ac:dyDescent="0.45">
      <c r="A23" s="55" t="s">
        <v>5</v>
      </c>
      <c r="B23" s="51">
        <f>IF(B$17=0,0,C23/B$17)</f>
        <v>8434</v>
      </c>
      <c r="C23" s="41">
        <v>421700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  <c r="K23" s="38">
        <v>21</v>
      </c>
      <c r="L23" s="99">
        <v>-189.2</v>
      </c>
      <c r="N23" s="115" t="s">
        <v>223</v>
      </c>
      <c r="O23" s="125">
        <f t="shared" si="3"/>
        <v>-138.94999999999999</v>
      </c>
      <c r="P23" s="119">
        <v>2</v>
      </c>
      <c r="Q23" s="107">
        <v>-277.89999999999998</v>
      </c>
    </row>
    <row r="24" spans="1:17" x14ac:dyDescent="0.45">
      <c r="A24" s="57" t="s">
        <v>14</v>
      </c>
      <c r="B24" s="52">
        <f>IF(B$20=0,0,C24/B$20)</f>
        <v>-9878.0487804878048</v>
      </c>
      <c r="C24" s="45">
        <v>-405000</v>
      </c>
      <c r="E24" s="63" t="s">
        <v>87</v>
      </c>
      <c r="F24" s="60" t="s">
        <v>42</v>
      </c>
      <c r="G24" s="47">
        <v>0</v>
      </c>
      <c r="H24" s="133">
        <f t="shared" si="0"/>
        <v>0</v>
      </c>
      <c r="I24" s="94">
        <v>12</v>
      </c>
      <c r="K24" s="38">
        <v>22</v>
      </c>
      <c r="L24" s="99">
        <v>-264.39999999999998</v>
      </c>
    </row>
    <row r="25" spans="1:17" x14ac:dyDescent="0.45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7</v>
      </c>
      <c r="K25" s="38">
        <v>23</v>
      </c>
      <c r="L25" s="99">
        <v>-253.49999999999997</v>
      </c>
    </row>
    <row r="26" spans="1:17" x14ac:dyDescent="0.45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5</v>
      </c>
      <c r="K26" s="38">
        <v>24</v>
      </c>
      <c r="L26" s="99">
        <v>-300.5</v>
      </c>
    </row>
    <row r="27" spans="1:17" x14ac:dyDescent="0.45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 t="shared" si="0"/>
        <v>0.1</v>
      </c>
      <c r="I27" s="94">
        <v>11</v>
      </c>
    </row>
    <row r="28" spans="1:17" x14ac:dyDescent="0.45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5</v>
      </c>
    </row>
    <row r="29" spans="1:17" x14ac:dyDescent="0.45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10</v>
      </c>
    </row>
    <row r="30" spans="1:17" x14ac:dyDescent="0.45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7</v>
      </c>
    </row>
    <row r="31" spans="1:17" x14ac:dyDescent="0.45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7</v>
      </c>
    </row>
    <row r="32" spans="1:17" x14ac:dyDescent="0.45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5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4</v>
      </c>
    </row>
    <row r="34" spans="5:9" x14ac:dyDescent="0.45">
      <c r="E34" s="63" t="s">
        <v>97</v>
      </c>
      <c r="F34" s="60" t="s">
        <v>52</v>
      </c>
      <c r="G34" s="47">
        <v>0</v>
      </c>
      <c r="H34" s="133">
        <f t="shared" ref="H34:H65" si="4">IF(B$17=0,0,G34/B$17)</f>
        <v>0</v>
      </c>
      <c r="I34" s="94">
        <v>1</v>
      </c>
    </row>
    <row r="35" spans="5:9" x14ac:dyDescent="0.45">
      <c r="E35" s="63" t="s">
        <v>98</v>
      </c>
      <c r="F35" s="60" t="s">
        <v>53</v>
      </c>
      <c r="G35" s="47">
        <v>1</v>
      </c>
      <c r="H35" s="133">
        <f t="shared" si="4"/>
        <v>0.02</v>
      </c>
      <c r="I35" s="94">
        <v>1</v>
      </c>
    </row>
    <row r="36" spans="5:9" x14ac:dyDescent="0.45">
      <c r="E36" s="63" t="s">
        <v>99</v>
      </c>
      <c r="F36" s="60" t="s">
        <v>54</v>
      </c>
      <c r="G36" s="47">
        <v>0</v>
      </c>
      <c r="H36" s="133">
        <f t="shared" si="4"/>
        <v>0</v>
      </c>
      <c r="I36" s="94">
        <v>1</v>
      </c>
    </row>
    <row r="37" spans="5:9" x14ac:dyDescent="0.45">
      <c r="E37" s="63" t="s">
        <v>100</v>
      </c>
      <c r="F37" s="60" t="s">
        <v>55</v>
      </c>
      <c r="G37" s="47">
        <v>0</v>
      </c>
      <c r="H37" s="133">
        <f t="shared" si="4"/>
        <v>0</v>
      </c>
      <c r="I37" s="94">
        <v>1</v>
      </c>
    </row>
    <row r="38" spans="5:9" x14ac:dyDescent="0.45">
      <c r="E38" s="63" t="s">
        <v>101</v>
      </c>
      <c r="F38" s="60" t="s">
        <v>56</v>
      </c>
      <c r="G38" s="47">
        <v>0</v>
      </c>
      <c r="H38" s="133">
        <f t="shared" si="4"/>
        <v>0</v>
      </c>
      <c r="I38" s="94">
        <v>1</v>
      </c>
    </row>
    <row r="39" spans="5:9" x14ac:dyDescent="0.45">
      <c r="E39" s="63" t="s">
        <v>102</v>
      </c>
      <c r="F39" s="60" t="s">
        <v>57</v>
      </c>
      <c r="G39" s="47">
        <v>0</v>
      </c>
      <c r="H39" s="133">
        <f t="shared" si="4"/>
        <v>0</v>
      </c>
      <c r="I39" s="94">
        <v>3</v>
      </c>
    </row>
    <row r="40" spans="5:9" x14ac:dyDescent="0.45">
      <c r="E40" s="63" t="s">
        <v>103</v>
      </c>
      <c r="F40" s="60" t="s">
        <v>58</v>
      </c>
      <c r="G40" s="47">
        <v>0</v>
      </c>
      <c r="H40" s="133">
        <f t="shared" si="4"/>
        <v>0</v>
      </c>
      <c r="I40" s="94">
        <v>1</v>
      </c>
    </row>
    <row r="41" spans="5:9" x14ac:dyDescent="0.45">
      <c r="E41" s="63" t="s">
        <v>104</v>
      </c>
      <c r="F41" s="60" t="s">
        <v>59</v>
      </c>
      <c r="G41" s="47">
        <v>0</v>
      </c>
      <c r="H41" s="133">
        <f t="shared" si="4"/>
        <v>0</v>
      </c>
      <c r="I41" s="94">
        <v>1</v>
      </c>
    </row>
    <row r="42" spans="5:9" x14ac:dyDescent="0.45">
      <c r="E42" s="63" t="s">
        <v>105</v>
      </c>
      <c r="F42" s="60" t="s">
        <v>60</v>
      </c>
      <c r="G42" s="47">
        <v>0</v>
      </c>
      <c r="H42" s="133">
        <f t="shared" si="4"/>
        <v>0</v>
      </c>
      <c r="I42" s="94">
        <v>1</v>
      </c>
    </row>
    <row r="43" spans="5:9" x14ac:dyDescent="0.45">
      <c r="E43" s="63" t="s">
        <v>106</v>
      </c>
      <c r="F43" s="60" t="s">
        <v>113</v>
      </c>
      <c r="G43" s="47">
        <v>0</v>
      </c>
      <c r="H43" s="133">
        <f t="shared" si="4"/>
        <v>0</v>
      </c>
      <c r="I43" s="94">
        <v>1</v>
      </c>
    </row>
    <row r="44" spans="5:9" x14ac:dyDescent="0.45">
      <c r="E44" s="63" t="s">
        <v>107</v>
      </c>
      <c r="F44" s="60" t="s">
        <v>114</v>
      </c>
      <c r="G44" s="47">
        <v>0</v>
      </c>
      <c r="H44" s="133">
        <f t="shared" si="4"/>
        <v>0</v>
      </c>
      <c r="I44" s="94">
        <v>3</v>
      </c>
    </row>
    <row r="45" spans="5:9" x14ac:dyDescent="0.45">
      <c r="E45" s="63" t="s">
        <v>108</v>
      </c>
      <c r="F45" s="60" t="s">
        <v>115</v>
      </c>
      <c r="G45" s="47">
        <v>0</v>
      </c>
      <c r="H45" s="133">
        <f t="shared" si="4"/>
        <v>0</v>
      </c>
      <c r="I45" s="94">
        <v>1</v>
      </c>
    </row>
    <row r="46" spans="5:9" x14ac:dyDescent="0.45">
      <c r="E46" s="63" t="s">
        <v>109</v>
      </c>
      <c r="F46" s="60" t="s">
        <v>61</v>
      </c>
      <c r="G46" s="47">
        <v>0</v>
      </c>
      <c r="H46" s="133">
        <f t="shared" si="4"/>
        <v>0</v>
      </c>
      <c r="I46" s="94">
        <v>1</v>
      </c>
    </row>
    <row r="47" spans="5:9" x14ac:dyDescent="0.45">
      <c r="E47" s="63" t="s">
        <v>110</v>
      </c>
      <c r="F47" s="60" t="s">
        <v>62</v>
      </c>
      <c r="G47" s="47">
        <v>0</v>
      </c>
      <c r="H47" s="133">
        <f t="shared" si="4"/>
        <v>0</v>
      </c>
      <c r="I47" s="94">
        <v>1</v>
      </c>
    </row>
    <row r="48" spans="5:9" x14ac:dyDescent="0.45">
      <c r="E48" s="63" t="s">
        <v>111</v>
      </c>
      <c r="F48" s="60" t="s">
        <v>63</v>
      </c>
      <c r="G48" s="47">
        <v>0</v>
      </c>
      <c r="H48" s="133">
        <f t="shared" si="4"/>
        <v>0</v>
      </c>
      <c r="I48" s="94">
        <v>1</v>
      </c>
    </row>
    <row r="49" spans="5:9" x14ac:dyDescent="0.45">
      <c r="E49" s="63" t="s">
        <v>112</v>
      </c>
      <c r="F49" s="60" t="s">
        <v>64</v>
      </c>
      <c r="G49" s="47">
        <v>0</v>
      </c>
      <c r="H49" s="133">
        <f t="shared" si="4"/>
        <v>0</v>
      </c>
      <c r="I49" s="94">
        <v>1</v>
      </c>
    </row>
    <row r="50" spans="5:9" x14ac:dyDescent="0.45">
      <c r="E50" s="63" t="s">
        <v>180</v>
      </c>
      <c r="F50" s="60" t="s">
        <v>181</v>
      </c>
      <c r="G50" s="47">
        <v>0</v>
      </c>
      <c r="H50" s="133">
        <f t="shared" si="4"/>
        <v>0</v>
      </c>
      <c r="I50" s="94">
        <v>8</v>
      </c>
    </row>
    <row r="51" spans="5:9" x14ac:dyDescent="0.45">
      <c r="E51" s="136" t="s">
        <v>245</v>
      </c>
      <c r="F51" s="137" t="s">
        <v>246</v>
      </c>
      <c r="G51" s="48">
        <v>16</v>
      </c>
      <c r="H51" s="138">
        <f t="shared" si="4"/>
        <v>0.32</v>
      </c>
      <c r="I51" s="139">
        <v>14</v>
      </c>
    </row>
    <row r="52" spans="5:9" x14ac:dyDescent="0.45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ACAE-267F-43B3-BCB7-011BCC18A1EE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3" customWidth="1"/>
    <col min="2" max="3" width="9" style="33" customWidth="1"/>
    <col min="4" max="4" width="3.59765625" style="33" customWidth="1"/>
    <col min="5" max="5" width="3.59765625" style="128" bestFit="1" customWidth="1"/>
    <col min="6" max="6" width="11" style="43" bestFit="1" customWidth="1"/>
    <col min="7" max="9" width="9" style="33" customWidth="1"/>
    <col min="10" max="10" width="3.59765625" style="33" customWidth="1"/>
    <col min="11" max="11" width="3.5" style="38" customWidth="1"/>
    <col min="12" max="12" width="9" style="99" customWidth="1"/>
    <col min="13" max="13" width="3.59765625" style="33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33"/>
  </cols>
  <sheetData>
    <row r="1" spans="1:17" x14ac:dyDescent="0.45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5">
      <c r="A2" s="54" t="s">
        <v>9</v>
      </c>
      <c r="B2" s="150">
        <v>21</v>
      </c>
      <c r="C2" s="151"/>
      <c r="E2" s="62" t="s">
        <v>65</v>
      </c>
      <c r="F2" s="59" t="s">
        <v>21</v>
      </c>
      <c r="G2" s="46">
        <v>29</v>
      </c>
      <c r="H2" s="132">
        <f t="shared" ref="H2:H33" si="0">IF(B$17=0,0,G2/B$17)</f>
        <v>0.44615384615384618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-1095.2380952380952</v>
      </c>
      <c r="P2" s="118">
        <v>21</v>
      </c>
      <c r="Q2" s="102">
        <v>-23000</v>
      </c>
    </row>
    <row r="3" spans="1:17" x14ac:dyDescent="0.45">
      <c r="A3" s="55" t="s">
        <v>8</v>
      </c>
      <c r="B3" s="152">
        <v>191</v>
      </c>
      <c r="C3" s="153"/>
      <c r="E3" s="63" t="s">
        <v>66</v>
      </c>
      <c r="F3" s="60" t="s">
        <v>22</v>
      </c>
      <c r="G3" s="47">
        <v>5</v>
      </c>
      <c r="H3" s="133">
        <f t="shared" si="0"/>
        <v>7.6923076923076927E-2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1"/>
        <v>2014.2857142857142</v>
      </c>
      <c r="P3" s="119">
        <v>21</v>
      </c>
      <c r="Q3" s="103">
        <v>42300</v>
      </c>
    </row>
    <row r="4" spans="1:17" x14ac:dyDescent="0.45">
      <c r="A4" s="55" t="s">
        <v>6</v>
      </c>
      <c r="B4" s="154">
        <v>82.799999999999983</v>
      </c>
      <c r="C4" s="155"/>
      <c r="E4" s="63" t="s">
        <v>67</v>
      </c>
      <c r="F4" s="60" t="s">
        <v>23</v>
      </c>
      <c r="G4" s="47">
        <v>34</v>
      </c>
      <c r="H4" s="133">
        <f t="shared" si="0"/>
        <v>0.52307692307692311</v>
      </c>
      <c r="I4" s="94">
        <v>14</v>
      </c>
      <c r="K4" s="38">
        <v>2</v>
      </c>
      <c r="L4" s="99">
        <v>-28.1</v>
      </c>
      <c r="N4" s="115" t="s">
        <v>134</v>
      </c>
      <c r="O4" s="122">
        <f t="shared" si="1"/>
        <v>-6390</v>
      </c>
      <c r="P4" s="119">
        <v>20</v>
      </c>
      <c r="Q4" s="103">
        <v>-127800</v>
      </c>
    </row>
    <row r="5" spans="1:17" x14ac:dyDescent="0.45">
      <c r="A5" s="55" t="s">
        <v>7</v>
      </c>
      <c r="B5" s="156">
        <f>IF(B$2=0,0,B$4/B$2)</f>
        <v>3.9428571428571422</v>
      </c>
      <c r="C5" s="157"/>
      <c r="E5" s="63" t="s">
        <v>68</v>
      </c>
      <c r="F5" s="60" t="s">
        <v>24</v>
      </c>
      <c r="G5" s="47">
        <v>20</v>
      </c>
      <c r="H5" s="133">
        <f t="shared" si="0"/>
        <v>0.30769230769230771</v>
      </c>
      <c r="I5" s="94">
        <v>6</v>
      </c>
      <c r="K5" s="38">
        <v>3</v>
      </c>
      <c r="L5" s="99">
        <v>-20.400000000000002</v>
      </c>
      <c r="N5" s="115" t="s">
        <v>135</v>
      </c>
      <c r="O5" s="122">
        <f t="shared" si="1"/>
        <v>-755</v>
      </c>
      <c r="P5" s="119">
        <v>20</v>
      </c>
      <c r="Q5" s="103">
        <v>-15100</v>
      </c>
    </row>
    <row r="6" spans="1:17" x14ac:dyDescent="0.45">
      <c r="A6" s="55" t="s">
        <v>1</v>
      </c>
      <c r="B6" s="146">
        <f>IF(B$2=0,0,(B$7*1+B$8*2+B$9*3)/B$2)</f>
        <v>1.8571428571428572</v>
      </c>
      <c r="C6" s="147"/>
      <c r="E6" s="63" t="s">
        <v>69</v>
      </c>
      <c r="F6" s="60" t="s">
        <v>12</v>
      </c>
      <c r="G6" s="47">
        <v>23</v>
      </c>
      <c r="H6" s="133">
        <f t="shared" si="0"/>
        <v>0.35384615384615387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1"/>
        <v>9129.4117647058829</v>
      </c>
      <c r="P6" s="119">
        <v>17</v>
      </c>
      <c r="Q6" s="103">
        <v>155200</v>
      </c>
    </row>
    <row r="7" spans="1:17" x14ac:dyDescent="0.45">
      <c r="A7" s="55" t="s">
        <v>2</v>
      </c>
      <c r="B7" s="47">
        <v>7</v>
      </c>
      <c r="C7" s="39">
        <f t="shared" ref="C7:C12" si="2">IF(B$2=0,0,B7/B$2)</f>
        <v>0.33333333333333331</v>
      </c>
      <c r="E7" s="63" t="s">
        <v>70</v>
      </c>
      <c r="F7" s="60" t="s">
        <v>25</v>
      </c>
      <c r="G7" s="47">
        <v>10</v>
      </c>
      <c r="H7" s="133">
        <f t="shared" si="0"/>
        <v>0.15384615384615385</v>
      </c>
      <c r="I7" s="94">
        <v>9</v>
      </c>
      <c r="K7" s="38">
        <v>5</v>
      </c>
      <c r="L7" s="99">
        <v>-16.100000000000005</v>
      </c>
      <c r="N7" s="116" t="s">
        <v>137</v>
      </c>
      <c r="O7" s="123">
        <f t="shared" si="1"/>
        <v>2073.3333333333335</v>
      </c>
      <c r="P7" s="120">
        <v>15</v>
      </c>
      <c r="Q7" s="104">
        <v>31100</v>
      </c>
    </row>
    <row r="8" spans="1:17" x14ac:dyDescent="0.45">
      <c r="A8" s="55" t="s">
        <v>3</v>
      </c>
      <c r="B8" s="47">
        <v>10</v>
      </c>
      <c r="C8" s="39">
        <f t="shared" si="2"/>
        <v>0.47619047619047616</v>
      </c>
      <c r="E8" s="63" t="s">
        <v>71</v>
      </c>
      <c r="F8" s="60" t="s">
        <v>26</v>
      </c>
      <c r="G8" s="47">
        <v>3</v>
      </c>
      <c r="H8" s="133">
        <f t="shared" si="0"/>
        <v>4.6153846153846156E-2</v>
      </c>
      <c r="I8" s="94">
        <v>12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5">
      <c r="A9" s="56" t="s">
        <v>4</v>
      </c>
      <c r="B9" s="48">
        <v>4</v>
      </c>
      <c r="C9" s="40">
        <f t="shared" si="2"/>
        <v>0.19047619047619047</v>
      </c>
      <c r="E9" s="63" t="s">
        <v>72</v>
      </c>
      <c r="F9" s="60" t="s">
        <v>27</v>
      </c>
      <c r="G9" s="47">
        <v>1</v>
      </c>
      <c r="H9" s="133">
        <f t="shared" si="0"/>
        <v>1.5384615384615385E-2</v>
      </c>
      <c r="I9" s="94">
        <v>12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5">
      <c r="A10" s="56" t="s">
        <v>19</v>
      </c>
      <c r="B10" s="48">
        <v>3</v>
      </c>
      <c r="C10" s="40">
        <f t="shared" si="2"/>
        <v>0.14285714285714285</v>
      </c>
      <c r="E10" s="63" t="s">
        <v>73</v>
      </c>
      <c r="F10" s="60" t="s">
        <v>28</v>
      </c>
      <c r="G10" s="47">
        <v>48</v>
      </c>
      <c r="H10" s="133">
        <f t="shared" si="0"/>
        <v>0.7384615384615385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5">
      <c r="A11" s="56" t="s">
        <v>140</v>
      </c>
      <c r="B11" s="48">
        <v>1</v>
      </c>
      <c r="C11" s="40">
        <f t="shared" si="2"/>
        <v>4.7619047619047616E-2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9.5285714285714267</v>
      </c>
      <c r="P11" s="119">
        <v>7</v>
      </c>
      <c r="Q11" s="107">
        <v>66.699999999999989</v>
      </c>
    </row>
    <row r="12" spans="1:17" x14ac:dyDescent="0.45">
      <c r="A12" s="57" t="s">
        <v>160</v>
      </c>
      <c r="B12" s="49">
        <v>2</v>
      </c>
      <c r="C12" s="42">
        <f t="shared" si="2"/>
        <v>9.5238095238095233E-2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7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5">
      <c r="A13" s="58" t="s">
        <v>122</v>
      </c>
      <c r="B13" s="50">
        <v>48</v>
      </c>
      <c r="C13" s="44">
        <f>IF(B$3=0,0,B13/B$3)</f>
        <v>0.2513089005235602</v>
      </c>
      <c r="E13" s="63" t="s">
        <v>76</v>
      </c>
      <c r="F13" s="60" t="s">
        <v>31</v>
      </c>
      <c r="G13" s="47">
        <v>0</v>
      </c>
      <c r="H13" s="133">
        <f t="shared" si="0"/>
        <v>0</v>
      </c>
      <c r="I13" s="94">
        <v>9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5">
      <c r="A14" s="55" t="s">
        <v>119</v>
      </c>
      <c r="B14" s="47">
        <v>62</v>
      </c>
      <c r="C14" s="39">
        <f>IF(B$3=0,0,B14/B$3)</f>
        <v>0.32460732984293195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5">
      <c r="A15" s="54" t="s">
        <v>124</v>
      </c>
      <c r="B15" s="46">
        <v>29</v>
      </c>
      <c r="C15" s="37">
        <f>IF(B$13=0,0,B15/B$13)</f>
        <v>0.60416666666666663</v>
      </c>
      <c r="E15" s="63" t="s">
        <v>78</v>
      </c>
      <c r="F15" s="60" t="s">
        <v>33</v>
      </c>
      <c r="G15" s="47">
        <v>3</v>
      </c>
      <c r="H15" s="133">
        <f t="shared" si="0"/>
        <v>4.6153846153846156E-2</v>
      </c>
      <c r="I15" s="94">
        <v>1</v>
      </c>
      <c r="K15" s="38">
        <v>13</v>
      </c>
      <c r="L15" s="99">
        <v>83.299999999999983</v>
      </c>
      <c r="N15" s="114" t="s">
        <v>173</v>
      </c>
      <c r="O15" s="124">
        <f t="shared" ref="O15:O22" si="3">IF(P15=0,0,Q15/P15)</f>
        <v>59.70000000000001</v>
      </c>
      <c r="P15" s="118">
        <v>3</v>
      </c>
      <c r="Q15" s="106">
        <v>179.10000000000002</v>
      </c>
    </row>
    <row r="16" spans="1:17" x14ac:dyDescent="0.45">
      <c r="A16" s="54" t="s">
        <v>125</v>
      </c>
      <c r="B16" s="46">
        <v>27</v>
      </c>
      <c r="C16" s="37">
        <f>IF(B$14=0,0,B16/B$14)</f>
        <v>0.43548387096774194</v>
      </c>
      <c r="E16" s="63" t="s">
        <v>79</v>
      </c>
      <c r="F16" s="60" t="s">
        <v>34</v>
      </c>
      <c r="G16" s="47">
        <v>4</v>
      </c>
      <c r="H16" s="133">
        <f t="shared" si="0"/>
        <v>6.1538461538461542E-2</v>
      </c>
      <c r="I16" s="94">
        <v>2</v>
      </c>
      <c r="K16" s="38">
        <v>14</v>
      </c>
      <c r="L16" s="99">
        <v>114.99999999999999</v>
      </c>
      <c r="N16" s="115" t="s">
        <v>271</v>
      </c>
      <c r="O16" s="125">
        <f t="shared" si="3"/>
        <v>31.72</v>
      </c>
      <c r="P16" s="119">
        <v>5</v>
      </c>
      <c r="Q16" s="107">
        <v>158.6</v>
      </c>
    </row>
    <row r="17" spans="1:17" x14ac:dyDescent="0.45">
      <c r="A17" s="54" t="s">
        <v>10</v>
      </c>
      <c r="B17" s="46">
        <f>B19+B18</f>
        <v>65</v>
      </c>
      <c r="C17" s="37">
        <f>IF(B$3=0,0,B17/B$3)</f>
        <v>0.34031413612565448</v>
      </c>
      <c r="E17" s="63" t="s">
        <v>80</v>
      </c>
      <c r="F17" s="60" t="s">
        <v>35</v>
      </c>
      <c r="G17" s="47">
        <v>1</v>
      </c>
      <c r="H17" s="133">
        <f t="shared" si="0"/>
        <v>1.5384615384615385E-2</v>
      </c>
      <c r="I17" s="94">
        <v>7</v>
      </c>
      <c r="K17" s="38">
        <v>15</v>
      </c>
      <c r="L17" s="99">
        <v>157.69999999999999</v>
      </c>
      <c r="N17" s="115" t="s">
        <v>172</v>
      </c>
      <c r="O17" s="125">
        <f t="shared" si="3"/>
        <v>16.62857142857143</v>
      </c>
      <c r="P17" s="119">
        <v>7</v>
      </c>
      <c r="Q17" s="107">
        <v>116.4</v>
      </c>
    </row>
    <row r="18" spans="1:17" x14ac:dyDescent="0.45">
      <c r="A18" s="55" t="s">
        <v>12</v>
      </c>
      <c r="B18" s="47">
        <v>36</v>
      </c>
      <c r="C18" s="39">
        <f>IF(B$17=0,0,B18/B$17)</f>
        <v>0.55384615384615388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K18" s="38">
        <v>16</v>
      </c>
      <c r="L18" s="99">
        <v>99.6</v>
      </c>
      <c r="N18" s="115" t="s">
        <v>127</v>
      </c>
      <c r="O18" s="125">
        <f t="shared" si="3"/>
        <v>13.45</v>
      </c>
      <c r="P18" s="119">
        <v>2</v>
      </c>
      <c r="Q18" s="107">
        <v>26.9</v>
      </c>
    </row>
    <row r="19" spans="1:17" x14ac:dyDescent="0.45">
      <c r="A19" s="55" t="s">
        <v>11</v>
      </c>
      <c r="B19" s="47">
        <v>29</v>
      </c>
      <c r="C19" s="39">
        <f>IF(B$17=0,0,B19/B$17)</f>
        <v>0.44615384615384618</v>
      </c>
      <c r="E19" s="63" t="s">
        <v>82</v>
      </c>
      <c r="F19" s="60" t="s">
        <v>37</v>
      </c>
      <c r="G19" s="47">
        <v>1</v>
      </c>
      <c r="H19" s="133">
        <f t="shared" si="0"/>
        <v>1.5384615384615385E-2</v>
      </c>
      <c r="I19" s="94">
        <v>10</v>
      </c>
      <c r="K19" s="38">
        <v>17</v>
      </c>
      <c r="L19" s="99">
        <v>112.39999999999999</v>
      </c>
      <c r="N19" s="115" t="s">
        <v>171</v>
      </c>
      <c r="O19" s="125">
        <f t="shared" si="3"/>
        <v>12.75</v>
      </c>
      <c r="P19" s="119">
        <v>6</v>
      </c>
      <c r="Q19" s="107">
        <v>76.5</v>
      </c>
    </row>
    <row r="20" spans="1:17" x14ac:dyDescent="0.45">
      <c r="A20" s="55" t="s">
        <v>13</v>
      </c>
      <c r="B20" s="47">
        <v>31</v>
      </c>
      <c r="C20" s="39">
        <f>IF(B$3=0,0,B20/B$3)</f>
        <v>0.16230366492146597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45.399999999999991</v>
      </c>
      <c r="N20" s="115" t="s">
        <v>128</v>
      </c>
      <c r="O20" s="125">
        <f t="shared" si="3"/>
        <v>5.5000000000000018</v>
      </c>
      <c r="P20" s="119">
        <v>2</v>
      </c>
      <c r="Q20" s="107">
        <v>11.000000000000004</v>
      </c>
    </row>
    <row r="21" spans="1:17" x14ac:dyDescent="0.45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3</v>
      </c>
      <c r="H21" s="133">
        <f t="shared" si="0"/>
        <v>4.6153846153846156E-2</v>
      </c>
      <c r="I21" s="94">
        <v>7</v>
      </c>
      <c r="K21" s="38">
        <v>19</v>
      </c>
      <c r="L21" s="99">
        <v>94.299999999999983</v>
      </c>
      <c r="N21" s="115" t="s">
        <v>177</v>
      </c>
      <c r="O21" s="125">
        <f t="shared" si="3"/>
        <v>-9.3545454545454518</v>
      </c>
      <c r="P21" s="119">
        <v>11</v>
      </c>
      <c r="Q21" s="107">
        <v>-102.89999999999998</v>
      </c>
    </row>
    <row r="22" spans="1:17" x14ac:dyDescent="0.45">
      <c r="A22" s="55" t="s">
        <v>192</v>
      </c>
      <c r="B22" s="47">
        <v>14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6</v>
      </c>
      <c r="K22" s="38">
        <v>20</v>
      </c>
      <c r="L22" s="99">
        <v>80.999999999999986</v>
      </c>
      <c r="N22" s="115" t="s">
        <v>129</v>
      </c>
      <c r="O22" s="125">
        <f t="shared" si="3"/>
        <v>-36.199999999999996</v>
      </c>
      <c r="P22" s="119">
        <v>6</v>
      </c>
      <c r="Q22" s="107">
        <v>-217.2</v>
      </c>
    </row>
    <row r="23" spans="1:17" x14ac:dyDescent="0.45">
      <c r="A23" s="55" t="s">
        <v>5</v>
      </c>
      <c r="B23" s="51">
        <f>IF(B$17=0,0,C23/B$17)</f>
        <v>8000</v>
      </c>
      <c r="C23" s="41">
        <v>520000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  <c r="K23" s="38">
        <v>21</v>
      </c>
      <c r="L23" s="99">
        <v>82.799999999999983</v>
      </c>
    </row>
    <row r="24" spans="1:17" x14ac:dyDescent="0.45">
      <c r="A24" s="57" t="s">
        <v>14</v>
      </c>
      <c r="B24" s="52">
        <f>IF(B$20=0,0,C24/B$20)</f>
        <v>-8645.1612903225814</v>
      </c>
      <c r="C24" s="45">
        <v>-268000</v>
      </c>
      <c r="E24" s="63" t="s">
        <v>87</v>
      </c>
      <c r="F24" s="60" t="s">
        <v>42</v>
      </c>
      <c r="G24" s="47">
        <v>7</v>
      </c>
      <c r="H24" s="133">
        <f t="shared" si="0"/>
        <v>0.1076923076923077</v>
      </c>
      <c r="I24" s="94">
        <v>3</v>
      </c>
    </row>
    <row r="25" spans="1:17" x14ac:dyDescent="0.45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7</v>
      </c>
    </row>
    <row r="26" spans="1:17" x14ac:dyDescent="0.45">
      <c r="A26" s="58" t="s">
        <v>152</v>
      </c>
      <c r="B26" s="142">
        <v>106300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5</v>
      </c>
    </row>
    <row r="27" spans="1:17" x14ac:dyDescent="0.45">
      <c r="A27" s="57" t="s">
        <v>143</v>
      </c>
      <c r="B27" s="65">
        <v>2</v>
      </c>
      <c r="C27" s="42">
        <f>IF(B$3=0,0,B27/B$3)</f>
        <v>1.0471204188481676E-2</v>
      </c>
      <c r="E27" s="63" t="s">
        <v>90</v>
      </c>
      <c r="F27" s="60" t="s">
        <v>45</v>
      </c>
      <c r="G27" s="47">
        <v>10</v>
      </c>
      <c r="H27" s="133">
        <f t="shared" si="0"/>
        <v>0.15384615384615385</v>
      </c>
      <c r="I27" s="94">
        <v>5</v>
      </c>
    </row>
    <row r="28" spans="1:17" x14ac:dyDescent="0.45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5</v>
      </c>
    </row>
    <row r="29" spans="1:17" x14ac:dyDescent="0.45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10</v>
      </c>
    </row>
    <row r="30" spans="1:17" x14ac:dyDescent="0.45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7</v>
      </c>
    </row>
    <row r="31" spans="1:17" x14ac:dyDescent="0.45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7</v>
      </c>
    </row>
    <row r="32" spans="1:17" x14ac:dyDescent="0.45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5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4</v>
      </c>
    </row>
    <row r="34" spans="5:9" x14ac:dyDescent="0.45">
      <c r="E34" s="63" t="s">
        <v>97</v>
      </c>
      <c r="F34" s="60" t="s">
        <v>52</v>
      </c>
      <c r="G34" s="47">
        <v>0</v>
      </c>
      <c r="H34" s="133">
        <f t="shared" ref="H34:H65" si="4">IF(B$17=0,0,G34/B$17)</f>
        <v>0</v>
      </c>
      <c r="I34" s="94">
        <v>1</v>
      </c>
    </row>
    <row r="35" spans="5:9" x14ac:dyDescent="0.45">
      <c r="E35" s="63" t="s">
        <v>98</v>
      </c>
      <c r="F35" s="60" t="s">
        <v>53</v>
      </c>
      <c r="G35" s="47">
        <v>0</v>
      </c>
      <c r="H35" s="133">
        <f t="shared" si="4"/>
        <v>0</v>
      </c>
      <c r="I35" s="94">
        <v>3</v>
      </c>
    </row>
    <row r="36" spans="5:9" x14ac:dyDescent="0.45">
      <c r="E36" s="63" t="s">
        <v>99</v>
      </c>
      <c r="F36" s="60" t="s">
        <v>54</v>
      </c>
      <c r="G36" s="47">
        <v>0</v>
      </c>
      <c r="H36" s="133">
        <f t="shared" si="4"/>
        <v>0</v>
      </c>
      <c r="I36" s="94">
        <v>1</v>
      </c>
    </row>
    <row r="37" spans="5:9" x14ac:dyDescent="0.45">
      <c r="E37" s="63" t="s">
        <v>100</v>
      </c>
      <c r="F37" s="60" t="s">
        <v>55</v>
      </c>
      <c r="G37" s="47">
        <v>0</v>
      </c>
      <c r="H37" s="133">
        <f t="shared" si="4"/>
        <v>0</v>
      </c>
      <c r="I37" s="94">
        <v>1</v>
      </c>
    </row>
    <row r="38" spans="5:9" x14ac:dyDescent="0.45">
      <c r="E38" s="63" t="s">
        <v>101</v>
      </c>
      <c r="F38" s="60" t="s">
        <v>56</v>
      </c>
      <c r="G38" s="47">
        <v>0</v>
      </c>
      <c r="H38" s="133">
        <f t="shared" si="4"/>
        <v>0</v>
      </c>
      <c r="I38" s="94">
        <v>1</v>
      </c>
    </row>
    <row r="39" spans="5:9" x14ac:dyDescent="0.45">
      <c r="E39" s="63" t="s">
        <v>102</v>
      </c>
      <c r="F39" s="60" t="s">
        <v>57</v>
      </c>
      <c r="G39" s="47">
        <v>0</v>
      </c>
      <c r="H39" s="133">
        <f t="shared" si="4"/>
        <v>0</v>
      </c>
      <c r="I39" s="94">
        <v>3</v>
      </c>
    </row>
    <row r="40" spans="5:9" x14ac:dyDescent="0.45">
      <c r="E40" s="63" t="s">
        <v>103</v>
      </c>
      <c r="F40" s="60" t="s">
        <v>58</v>
      </c>
      <c r="G40" s="47">
        <v>0</v>
      </c>
      <c r="H40" s="133">
        <f t="shared" si="4"/>
        <v>0</v>
      </c>
      <c r="I40" s="94">
        <v>1</v>
      </c>
    </row>
    <row r="41" spans="5:9" x14ac:dyDescent="0.45">
      <c r="E41" s="63" t="s">
        <v>104</v>
      </c>
      <c r="F41" s="60" t="s">
        <v>59</v>
      </c>
      <c r="G41" s="47">
        <v>0</v>
      </c>
      <c r="H41" s="133">
        <f t="shared" si="4"/>
        <v>0</v>
      </c>
      <c r="I41" s="94">
        <v>1</v>
      </c>
    </row>
    <row r="42" spans="5:9" x14ac:dyDescent="0.45">
      <c r="E42" s="63" t="s">
        <v>105</v>
      </c>
      <c r="F42" s="60" t="s">
        <v>60</v>
      </c>
      <c r="G42" s="47">
        <v>0</v>
      </c>
      <c r="H42" s="133">
        <f t="shared" si="4"/>
        <v>0</v>
      </c>
      <c r="I42" s="94">
        <v>1</v>
      </c>
    </row>
    <row r="43" spans="5:9" x14ac:dyDescent="0.45">
      <c r="E43" s="63" t="s">
        <v>106</v>
      </c>
      <c r="F43" s="60" t="s">
        <v>113</v>
      </c>
      <c r="G43" s="47">
        <v>0</v>
      </c>
      <c r="H43" s="133">
        <f t="shared" si="4"/>
        <v>0</v>
      </c>
      <c r="I43" s="94">
        <v>1</v>
      </c>
    </row>
    <row r="44" spans="5:9" x14ac:dyDescent="0.45">
      <c r="E44" s="63" t="s">
        <v>107</v>
      </c>
      <c r="F44" s="60" t="s">
        <v>114</v>
      </c>
      <c r="G44" s="47">
        <v>0</v>
      </c>
      <c r="H44" s="133">
        <f t="shared" si="4"/>
        <v>0</v>
      </c>
      <c r="I44" s="94">
        <v>3</v>
      </c>
    </row>
    <row r="45" spans="5:9" x14ac:dyDescent="0.45">
      <c r="E45" s="63" t="s">
        <v>108</v>
      </c>
      <c r="F45" s="60" t="s">
        <v>115</v>
      </c>
      <c r="G45" s="47">
        <v>0</v>
      </c>
      <c r="H45" s="133">
        <f t="shared" si="4"/>
        <v>0</v>
      </c>
      <c r="I45" s="94">
        <v>1</v>
      </c>
    </row>
    <row r="46" spans="5:9" x14ac:dyDescent="0.45">
      <c r="E46" s="63" t="s">
        <v>109</v>
      </c>
      <c r="F46" s="60" t="s">
        <v>61</v>
      </c>
      <c r="G46" s="47">
        <v>0</v>
      </c>
      <c r="H46" s="133">
        <f t="shared" si="4"/>
        <v>0</v>
      </c>
      <c r="I46" s="94">
        <v>1</v>
      </c>
    </row>
    <row r="47" spans="5:9" x14ac:dyDescent="0.45">
      <c r="E47" s="63" t="s">
        <v>110</v>
      </c>
      <c r="F47" s="60" t="s">
        <v>62</v>
      </c>
      <c r="G47" s="47">
        <v>0</v>
      </c>
      <c r="H47" s="133">
        <f t="shared" si="4"/>
        <v>0</v>
      </c>
      <c r="I47" s="94">
        <v>1</v>
      </c>
    </row>
    <row r="48" spans="5:9" x14ac:dyDescent="0.45">
      <c r="E48" s="63" t="s">
        <v>111</v>
      </c>
      <c r="F48" s="60" t="s">
        <v>63</v>
      </c>
      <c r="G48" s="47">
        <v>0</v>
      </c>
      <c r="H48" s="133">
        <f t="shared" si="4"/>
        <v>0</v>
      </c>
      <c r="I48" s="94">
        <v>1</v>
      </c>
    </row>
    <row r="49" spans="5:9" x14ac:dyDescent="0.45">
      <c r="E49" s="63" t="s">
        <v>112</v>
      </c>
      <c r="F49" s="60" t="s">
        <v>64</v>
      </c>
      <c r="G49" s="47">
        <v>0</v>
      </c>
      <c r="H49" s="133">
        <f t="shared" si="4"/>
        <v>0</v>
      </c>
      <c r="I49" s="94">
        <v>1</v>
      </c>
    </row>
    <row r="50" spans="5:9" x14ac:dyDescent="0.45">
      <c r="E50" s="63" t="s">
        <v>180</v>
      </c>
      <c r="F50" s="60" t="s">
        <v>181</v>
      </c>
      <c r="G50" s="47">
        <v>0</v>
      </c>
      <c r="H50" s="133">
        <f t="shared" si="4"/>
        <v>0</v>
      </c>
      <c r="I50" s="94">
        <v>8</v>
      </c>
    </row>
    <row r="51" spans="5:9" x14ac:dyDescent="0.45">
      <c r="E51" s="136" t="s">
        <v>245</v>
      </c>
      <c r="F51" s="137" t="s">
        <v>246</v>
      </c>
      <c r="G51" s="48">
        <v>21</v>
      </c>
      <c r="H51" s="138">
        <f t="shared" si="4"/>
        <v>0.32307692307692309</v>
      </c>
      <c r="I51" s="139">
        <v>13</v>
      </c>
    </row>
    <row r="52" spans="5:9" x14ac:dyDescent="0.45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D449E-3599-439E-A753-9209FCC06FB1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3" customWidth="1"/>
    <col min="2" max="3" width="9" style="33" customWidth="1"/>
    <col min="4" max="4" width="3.59765625" style="33" customWidth="1"/>
    <col min="5" max="5" width="3.59765625" style="128" bestFit="1" customWidth="1"/>
    <col min="6" max="6" width="11" style="43" bestFit="1" customWidth="1"/>
    <col min="7" max="9" width="9" style="33" customWidth="1"/>
    <col min="10" max="10" width="3.59765625" style="33" customWidth="1"/>
    <col min="11" max="11" width="3.5" style="38" customWidth="1"/>
    <col min="12" max="12" width="9" style="99" customWidth="1"/>
    <col min="13" max="13" width="3.59765625" style="33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33"/>
  </cols>
  <sheetData>
    <row r="1" spans="1:17" x14ac:dyDescent="0.45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5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 t="shared" ref="H2:H33" si="0">IF(B$17=0,0,G2/B$17)</f>
        <v>0.5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1">IF(P2=0,0,Q2/P2)</f>
        <v>1500</v>
      </c>
      <c r="P2" s="118">
        <v>1</v>
      </c>
      <c r="Q2" s="102">
        <v>1500</v>
      </c>
    </row>
    <row r="3" spans="1:17" x14ac:dyDescent="0.45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 t="shared" si="0"/>
        <v>0</v>
      </c>
      <c r="I3" s="94">
        <v>13</v>
      </c>
      <c r="K3" s="38">
        <v>1</v>
      </c>
      <c r="L3" s="99">
        <v>13.3</v>
      </c>
      <c r="N3" s="115" t="s">
        <v>133</v>
      </c>
      <c r="O3" s="122">
        <f t="shared" si="1"/>
        <v>12500</v>
      </c>
      <c r="P3" s="119">
        <v>1</v>
      </c>
      <c r="Q3" s="103">
        <v>12500</v>
      </c>
    </row>
    <row r="4" spans="1:17" x14ac:dyDescent="0.45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 t="shared" si="0"/>
        <v>1.5</v>
      </c>
      <c r="I4" s="94">
        <v>1</v>
      </c>
      <c r="N4" s="115" t="s">
        <v>134</v>
      </c>
      <c r="O4" s="122">
        <f t="shared" si="1"/>
        <v>-14000</v>
      </c>
      <c r="P4" s="119">
        <v>1</v>
      </c>
      <c r="Q4" s="103">
        <v>-14000</v>
      </c>
    </row>
    <row r="5" spans="1:17" x14ac:dyDescent="0.45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 t="shared" si="0"/>
        <v>0.5</v>
      </c>
      <c r="I5" s="94">
        <v>1</v>
      </c>
      <c r="N5" s="115" t="s">
        <v>135</v>
      </c>
      <c r="O5" s="122">
        <f t="shared" si="1"/>
        <v>-2800</v>
      </c>
      <c r="P5" s="119">
        <v>1</v>
      </c>
      <c r="Q5" s="103">
        <v>-2800</v>
      </c>
    </row>
    <row r="6" spans="1:17" x14ac:dyDescent="0.45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 t="shared" si="0"/>
        <v>0.5</v>
      </c>
      <c r="I6" s="94">
        <v>1</v>
      </c>
      <c r="N6" s="115" t="s">
        <v>136</v>
      </c>
      <c r="O6" s="122">
        <f t="shared" si="1"/>
        <v>16100</v>
      </c>
      <c r="P6" s="119">
        <v>1</v>
      </c>
      <c r="Q6" s="103">
        <v>16100</v>
      </c>
    </row>
    <row r="7" spans="1:17" x14ac:dyDescent="0.45">
      <c r="A7" s="55" t="s">
        <v>2</v>
      </c>
      <c r="B7" s="47">
        <v>0</v>
      </c>
      <c r="C7" s="39">
        <f t="shared" ref="C7:C12" si="2">IF(B$2=0,0,B7/B$2)</f>
        <v>0</v>
      </c>
      <c r="E7" s="63" t="s">
        <v>70</v>
      </c>
      <c r="F7" s="60" t="s">
        <v>25</v>
      </c>
      <c r="G7" s="47">
        <v>0</v>
      </c>
      <c r="H7" s="133">
        <f t="shared" si="0"/>
        <v>0</v>
      </c>
      <c r="I7" s="94">
        <v>14</v>
      </c>
      <c r="N7" s="116" t="s">
        <v>137</v>
      </c>
      <c r="O7" s="123">
        <f t="shared" si="1"/>
        <v>0</v>
      </c>
      <c r="P7" s="120">
        <v>0</v>
      </c>
      <c r="Q7" s="104">
        <v>0</v>
      </c>
    </row>
    <row r="8" spans="1:17" x14ac:dyDescent="0.45">
      <c r="A8" s="55" t="s">
        <v>3</v>
      </c>
      <c r="B8" s="47">
        <v>1</v>
      </c>
      <c r="C8" s="39">
        <f t="shared" si="2"/>
        <v>1</v>
      </c>
      <c r="E8" s="63" t="s">
        <v>71</v>
      </c>
      <c r="F8" s="60" t="s">
        <v>26</v>
      </c>
      <c r="G8" s="47">
        <v>0</v>
      </c>
      <c r="H8" s="133">
        <f t="shared" si="0"/>
        <v>0</v>
      </c>
      <c r="I8" s="94">
        <v>13</v>
      </c>
      <c r="N8" s="43"/>
      <c r="O8" s="127"/>
      <c r="P8" s="111"/>
      <c r="Q8" s="109"/>
    </row>
    <row r="9" spans="1:17" x14ac:dyDescent="0.45">
      <c r="A9" s="56" t="s">
        <v>4</v>
      </c>
      <c r="B9" s="48">
        <v>0</v>
      </c>
      <c r="C9" s="40">
        <f t="shared" si="2"/>
        <v>0</v>
      </c>
      <c r="E9" s="63" t="s">
        <v>72</v>
      </c>
      <c r="F9" s="60" t="s">
        <v>27</v>
      </c>
      <c r="G9" s="47">
        <v>0</v>
      </c>
      <c r="H9" s="133">
        <f t="shared" si="0"/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5">
      <c r="A10" s="56" t="s">
        <v>19</v>
      </c>
      <c r="B10" s="48">
        <v>0</v>
      </c>
      <c r="C10" s="40">
        <f t="shared" si="2"/>
        <v>0</v>
      </c>
      <c r="E10" s="63" t="s">
        <v>73</v>
      </c>
      <c r="F10" s="60" t="s">
        <v>28</v>
      </c>
      <c r="G10" s="47">
        <v>0</v>
      </c>
      <c r="H10" s="133">
        <f t="shared" si="0"/>
        <v>0</v>
      </c>
      <c r="I10" s="94">
        <v>14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5">
      <c r="A11" s="56" t="s">
        <v>140</v>
      </c>
      <c r="B11" s="48">
        <v>0</v>
      </c>
      <c r="C11" s="40">
        <f t="shared" si="2"/>
        <v>0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5">
      <c r="A12" s="57" t="s">
        <v>160</v>
      </c>
      <c r="B12" s="49">
        <v>0</v>
      </c>
      <c r="C12" s="42">
        <f t="shared" si="2"/>
        <v>0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5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 t="shared" si="0"/>
        <v>0</v>
      </c>
      <c r="I13" s="94">
        <v>9</v>
      </c>
      <c r="N13" s="33"/>
      <c r="O13" s="110"/>
      <c r="P13" s="112"/>
      <c r="Q13" s="110"/>
    </row>
    <row r="14" spans="1:17" x14ac:dyDescent="0.45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5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5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 t="shared" si="0"/>
        <v>0</v>
      </c>
      <c r="I16" s="94">
        <v>12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5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 t="shared" si="0"/>
        <v>0</v>
      </c>
      <c r="I17" s="94">
        <v>12</v>
      </c>
    </row>
    <row r="18" spans="1:9" x14ac:dyDescent="0.45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</row>
    <row r="19" spans="1:9" x14ac:dyDescent="0.45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 t="shared" si="0"/>
        <v>0.5</v>
      </c>
      <c r="I19" s="94">
        <v>1</v>
      </c>
    </row>
    <row r="20" spans="1:9" x14ac:dyDescent="0.45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</row>
    <row r="21" spans="1:9" x14ac:dyDescent="0.45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 t="shared" si="0"/>
        <v>0</v>
      </c>
      <c r="I21" s="94">
        <v>12</v>
      </c>
    </row>
    <row r="22" spans="1:9" x14ac:dyDescent="0.45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6</v>
      </c>
    </row>
    <row r="23" spans="1:9" x14ac:dyDescent="0.45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</row>
    <row r="24" spans="1:9" x14ac:dyDescent="0.45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 t="shared" si="0"/>
        <v>0</v>
      </c>
      <c r="I24" s="94">
        <v>12</v>
      </c>
    </row>
    <row r="25" spans="1:9" x14ac:dyDescent="0.45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7</v>
      </c>
    </row>
    <row r="26" spans="1:9" x14ac:dyDescent="0.45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5</v>
      </c>
    </row>
    <row r="27" spans="1:9" x14ac:dyDescent="0.45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 t="shared" si="0"/>
        <v>0</v>
      </c>
      <c r="I27" s="94">
        <v>14</v>
      </c>
    </row>
    <row r="28" spans="1:9" x14ac:dyDescent="0.45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5</v>
      </c>
    </row>
    <row r="29" spans="1:9" x14ac:dyDescent="0.45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10</v>
      </c>
    </row>
    <row r="30" spans="1:9" x14ac:dyDescent="0.45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7</v>
      </c>
    </row>
    <row r="31" spans="1:9" x14ac:dyDescent="0.45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7</v>
      </c>
    </row>
    <row r="32" spans="1:9" x14ac:dyDescent="0.45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5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4</v>
      </c>
    </row>
    <row r="34" spans="5:9" x14ac:dyDescent="0.45">
      <c r="E34" s="63" t="s">
        <v>97</v>
      </c>
      <c r="F34" s="60" t="s">
        <v>52</v>
      </c>
      <c r="G34" s="47">
        <v>0</v>
      </c>
      <c r="H34" s="133">
        <f t="shared" ref="H34:H65" si="3">IF(B$17=0,0,G34/B$17)</f>
        <v>0</v>
      </c>
      <c r="I34" s="94">
        <v>1</v>
      </c>
    </row>
    <row r="35" spans="5:9" x14ac:dyDescent="0.45">
      <c r="E35" s="63" t="s">
        <v>98</v>
      </c>
      <c r="F35" s="60" t="s">
        <v>53</v>
      </c>
      <c r="G35" s="47">
        <v>0</v>
      </c>
      <c r="H35" s="133">
        <f t="shared" si="3"/>
        <v>0</v>
      </c>
      <c r="I35" s="94">
        <v>3</v>
      </c>
    </row>
    <row r="36" spans="5:9" x14ac:dyDescent="0.45">
      <c r="E36" s="63" t="s">
        <v>99</v>
      </c>
      <c r="F36" s="60" t="s">
        <v>54</v>
      </c>
      <c r="G36" s="47">
        <v>0</v>
      </c>
      <c r="H36" s="133">
        <f t="shared" si="3"/>
        <v>0</v>
      </c>
      <c r="I36" s="94">
        <v>1</v>
      </c>
    </row>
    <row r="37" spans="5:9" x14ac:dyDescent="0.45">
      <c r="E37" s="63" t="s">
        <v>100</v>
      </c>
      <c r="F37" s="60" t="s">
        <v>55</v>
      </c>
      <c r="G37" s="47">
        <v>0</v>
      </c>
      <c r="H37" s="133">
        <f t="shared" si="3"/>
        <v>0</v>
      </c>
      <c r="I37" s="94">
        <v>1</v>
      </c>
    </row>
    <row r="38" spans="5:9" x14ac:dyDescent="0.45">
      <c r="E38" s="63" t="s">
        <v>101</v>
      </c>
      <c r="F38" s="60" t="s">
        <v>56</v>
      </c>
      <c r="G38" s="47">
        <v>0</v>
      </c>
      <c r="H38" s="133">
        <f t="shared" si="3"/>
        <v>0</v>
      </c>
      <c r="I38" s="94">
        <v>1</v>
      </c>
    </row>
    <row r="39" spans="5:9" x14ac:dyDescent="0.45">
      <c r="E39" s="63" t="s">
        <v>102</v>
      </c>
      <c r="F39" s="60" t="s">
        <v>57</v>
      </c>
      <c r="G39" s="47">
        <v>0</v>
      </c>
      <c r="H39" s="133">
        <f t="shared" si="3"/>
        <v>0</v>
      </c>
      <c r="I39" s="94">
        <v>3</v>
      </c>
    </row>
    <row r="40" spans="5:9" x14ac:dyDescent="0.45">
      <c r="E40" s="63" t="s">
        <v>103</v>
      </c>
      <c r="F40" s="60" t="s">
        <v>58</v>
      </c>
      <c r="G40" s="47">
        <v>0</v>
      </c>
      <c r="H40" s="133">
        <f t="shared" si="3"/>
        <v>0</v>
      </c>
      <c r="I40" s="94">
        <v>1</v>
      </c>
    </row>
    <row r="41" spans="5:9" x14ac:dyDescent="0.45">
      <c r="E41" s="63" t="s">
        <v>104</v>
      </c>
      <c r="F41" s="60" t="s">
        <v>59</v>
      </c>
      <c r="G41" s="47">
        <v>0</v>
      </c>
      <c r="H41" s="133">
        <f t="shared" si="3"/>
        <v>0</v>
      </c>
      <c r="I41" s="94">
        <v>1</v>
      </c>
    </row>
    <row r="42" spans="5:9" x14ac:dyDescent="0.45">
      <c r="E42" s="63" t="s">
        <v>105</v>
      </c>
      <c r="F42" s="60" t="s">
        <v>60</v>
      </c>
      <c r="G42" s="47">
        <v>0</v>
      </c>
      <c r="H42" s="133">
        <f t="shared" si="3"/>
        <v>0</v>
      </c>
      <c r="I42" s="94">
        <v>1</v>
      </c>
    </row>
    <row r="43" spans="5:9" x14ac:dyDescent="0.45">
      <c r="E43" s="63" t="s">
        <v>106</v>
      </c>
      <c r="F43" s="60" t="s">
        <v>113</v>
      </c>
      <c r="G43" s="47">
        <v>0</v>
      </c>
      <c r="H43" s="133">
        <f t="shared" si="3"/>
        <v>0</v>
      </c>
      <c r="I43" s="94">
        <v>1</v>
      </c>
    </row>
    <row r="44" spans="5:9" x14ac:dyDescent="0.45">
      <c r="E44" s="63" t="s">
        <v>107</v>
      </c>
      <c r="F44" s="60" t="s">
        <v>114</v>
      </c>
      <c r="G44" s="47">
        <v>0</v>
      </c>
      <c r="H44" s="133">
        <f t="shared" si="3"/>
        <v>0</v>
      </c>
      <c r="I44" s="94">
        <v>3</v>
      </c>
    </row>
    <row r="45" spans="5:9" x14ac:dyDescent="0.45">
      <c r="E45" s="63" t="s">
        <v>108</v>
      </c>
      <c r="F45" s="60" t="s">
        <v>115</v>
      </c>
      <c r="G45" s="47">
        <v>0</v>
      </c>
      <c r="H45" s="133">
        <f t="shared" si="3"/>
        <v>0</v>
      </c>
      <c r="I45" s="94">
        <v>1</v>
      </c>
    </row>
    <row r="46" spans="5:9" x14ac:dyDescent="0.45">
      <c r="E46" s="63" t="s">
        <v>109</v>
      </c>
      <c r="F46" s="60" t="s">
        <v>61</v>
      </c>
      <c r="G46" s="47">
        <v>0</v>
      </c>
      <c r="H46" s="133">
        <f t="shared" si="3"/>
        <v>0</v>
      </c>
      <c r="I46" s="94">
        <v>1</v>
      </c>
    </row>
    <row r="47" spans="5:9" x14ac:dyDescent="0.45">
      <c r="E47" s="63" t="s">
        <v>110</v>
      </c>
      <c r="F47" s="60" t="s">
        <v>62</v>
      </c>
      <c r="G47" s="47">
        <v>0</v>
      </c>
      <c r="H47" s="133">
        <f t="shared" si="3"/>
        <v>0</v>
      </c>
      <c r="I47" s="94">
        <v>1</v>
      </c>
    </row>
    <row r="48" spans="5:9" x14ac:dyDescent="0.45">
      <c r="E48" s="63" t="s">
        <v>111</v>
      </c>
      <c r="F48" s="60" t="s">
        <v>63</v>
      </c>
      <c r="G48" s="47">
        <v>0</v>
      </c>
      <c r="H48" s="133">
        <f t="shared" si="3"/>
        <v>0</v>
      </c>
      <c r="I48" s="94">
        <v>1</v>
      </c>
    </row>
    <row r="49" spans="5:9" x14ac:dyDescent="0.45">
      <c r="E49" s="63" t="s">
        <v>112</v>
      </c>
      <c r="F49" s="60" t="s">
        <v>64</v>
      </c>
      <c r="G49" s="47">
        <v>0</v>
      </c>
      <c r="H49" s="133">
        <f t="shared" si="3"/>
        <v>0</v>
      </c>
      <c r="I49" s="94">
        <v>1</v>
      </c>
    </row>
    <row r="50" spans="5:9" x14ac:dyDescent="0.45">
      <c r="E50" s="63" t="s">
        <v>180</v>
      </c>
      <c r="F50" s="60" t="s">
        <v>181</v>
      </c>
      <c r="G50" s="47">
        <v>0</v>
      </c>
      <c r="H50" s="133">
        <f t="shared" si="3"/>
        <v>0</v>
      </c>
      <c r="I50" s="94">
        <v>8</v>
      </c>
    </row>
    <row r="51" spans="5:9" x14ac:dyDescent="0.45">
      <c r="E51" s="136" t="s">
        <v>245</v>
      </c>
      <c r="F51" s="137" t="s">
        <v>246</v>
      </c>
      <c r="G51" s="48">
        <v>1</v>
      </c>
      <c r="H51" s="138">
        <f t="shared" si="3"/>
        <v>0.5</v>
      </c>
      <c r="I51" s="139">
        <v>2</v>
      </c>
    </row>
    <row r="52" spans="5:9" x14ac:dyDescent="0.45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8E87-5C66-4819-911F-4476543A35FE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3" customWidth="1"/>
    <col min="2" max="3" width="9" style="33" customWidth="1"/>
    <col min="4" max="4" width="3.59765625" style="33" customWidth="1"/>
    <col min="5" max="5" width="3.59765625" style="128" bestFit="1" customWidth="1"/>
    <col min="6" max="6" width="11" style="43" bestFit="1" customWidth="1"/>
    <col min="7" max="9" width="9" style="33" customWidth="1"/>
    <col min="10" max="10" width="3.59765625" style="33" customWidth="1"/>
    <col min="11" max="11" width="3.5" style="38" customWidth="1"/>
    <col min="12" max="12" width="9" style="99" customWidth="1"/>
    <col min="13" max="13" width="3.59765625" style="33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33"/>
  </cols>
  <sheetData>
    <row r="1" spans="1:17" x14ac:dyDescent="0.45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5">
      <c r="A2" s="54" t="s">
        <v>9</v>
      </c>
      <c r="B2" s="150">
        <v>6</v>
      </c>
      <c r="C2" s="151"/>
      <c r="E2" s="62" t="s">
        <v>65</v>
      </c>
      <c r="F2" s="59" t="s">
        <v>21</v>
      </c>
      <c r="G2" s="46">
        <v>4</v>
      </c>
      <c r="H2" s="132">
        <f t="shared" ref="H2:H33" si="0">IF(B$17=0,0,G2/B$17)</f>
        <v>0.25</v>
      </c>
      <c r="I2" s="93">
        <v>14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-1083.3333333333333</v>
      </c>
      <c r="P2" s="118">
        <v>6</v>
      </c>
      <c r="Q2" s="102">
        <v>-6500</v>
      </c>
    </row>
    <row r="3" spans="1:17" x14ac:dyDescent="0.45">
      <c r="A3" s="55" t="s">
        <v>8</v>
      </c>
      <c r="B3" s="152">
        <v>46</v>
      </c>
      <c r="C3" s="153"/>
      <c r="E3" s="63" t="s">
        <v>66</v>
      </c>
      <c r="F3" s="60" t="s">
        <v>22</v>
      </c>
      <c r="G3" s="47">
        <v>1</v>
      </c>
      <c r="H3" s="133">
        <f t="shared" si="0"/>
        <v>6.25E-2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1"/>
        <v>10800</v>
      </c>
      <c r="P3" s="119">
        <v>6</v>
      </c>
      <c r="Q3" s="103">
        <v>64800</v>
      </c>
    </row>
    <row r="4" spans="1:17" x14ac:dyDescent="0.45">
      <c r="A4" s="55" t="s">
        <v>6</v>
      </c>
      <c r="B4" s="154">
        <v>100.39999999999999</v>
      </c>
      <c r="C4" s="155"/>
      <c r="E4" s="63" t="s">
        <v>67</v>
      </c>
      <c r="F4" s="60" t="s">
        <v>23</v>
      </c>
      <c r="G4" s="47">
        <v>16</v>
      </c>
      <c r="H4" s="133">
        <f t="shared" si="0"/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1"/>
        <v>-3000</v>
      </c>
      <c r="P4" s="119">
        <v>5</v>
      </c>
      <c r="Q4" s="103">
        <v>-15000</v>
      </c>
    </row>
    <row r="5" spans="1:17" x14ac:dyDescent="0.45">
      <c r="A5" s="55" t="s">
        <v>7</v>
      </c>
      <c r="B5" s="156">
        <f>IF(B$2=0,0,B$4/B$2)</f>
        <v>16.733333333333331</v>
      </c>
      <c r="C5" s="157"/>
      <c r="E5" s="63" t="s">
        <v>68</v>
      </c>
      <c r="F5" s="60" t="s">
        <v>24</v>
      </c>
      <c r="G5" s="47">
        <v>4</v>
      </c>
      <c r="H5" s="133">
        <f t="shared" si="0"/>
        <v>0.25</v>
      </c>
      <c r="I5" s="94">
        <v>10</v>
      </c>
      <c r="K5" s="38">
        <v>3</v>
      </c>
      <c r="L5" s="99">
        <v>14.500000000000004</v>
      </c>
      <c r="N5" s="115" t="s">
        <v>135</v>
      </c>
      <c r="O5" s="122">
        <f t="shared" si="1"/>
        <v>6360</v>
      </c>
      <c r="P5" s="119">
        <v>5</v>
      </c>
      <c r="Q5" s="103">
        <v>31800</v>
      </c>
    </row>
    <row r="6" spans="1:17" x14ac:dyDescent="0.45">
      <c r="A6" s="55" t="s">
        <v>1</v>
      </c>
      <c r="B6" s="146">
        <f>IF(B$2=0,0,(B$7*1+B$8*2+B$9*3)/B$2)</f>
        <v>1.8333333333333333</v>
      </c>
      <c r="C6" s="147"/>
      <c r="E6" s="63" t="s">
        <v>69</v>
      </c>
      <c r="F6" s="60" t="s">
        <v>12</v>
      </c>
      <c r="G6" s="47">
        <v>5</v>
      </c>
      <c r="H6" s="133">
        <f t="shared" si="0"/>
        <v>0.3125</v>
      </c>
      <c r="I6" s="94">
        <v>7</v>
      </c>
      <c r="K6" s="38">
        <v>4</v>
      </c>
      <c r="L6" s="99">
        <v>-37.200000000000003</v>
      </c>
      <c r="N6" s="115" t="s">
        <v>136</v>
      </c>
      <c r="O6" s="122">
        <f t="shared" si="1"/>
        <v>-50</v>
      </c>
      <c r="P6" s="119">
        <v>4</v>
      </c>
      <c r="Q6" s="103">
        <v>-200</v>
      </c>
    </row>
    <row r="7" spans="1:17" x14ac:dyDescent="0.45">
      <c r="A7" s="55" t="s">
        <v>2</v>
      </c>
      <c r="B7" s="47">
        <v>3</v>
      </c>
      <c r="C7" s="39">
        <f t="shared" ref="C7:C12" si="2">IF(B$2=0,0,B7/B$2)</f>
        <v>0.5</v>
      </c>
      <c r="E7" s="63" t="s">
        <v>70</v>
      </c>
      <c r="F7" s="60" t="s">
        <v>25</v>
      </c>
      <c r="G7" s="47">
        <v>1</v>
      </c>
      <c r="H7" s="133">
        <f t="shared" si="0"/>
        <v>6.25E-2</v>
      </c>
      <c r="I7" s="94">
        <v>13</v>
      </c>
      <c r="K7" s="38">
        <v>5</v>
      </c>
      <c r="L7" s="99">
        <v>39.899999999999991</v>
      </c>
      <c r="N7" s="116" t="s">
        <v>137</v>
      </c>
      <c r="O7" s="123">
        <f t="shared" si="1"/>
        <v>1833.3333333333333</v>
      </c>
      <c r="P7" s="120">
        <v>3</v>
      </c>
      <c r="Q7" s="104">
        <v>5500</v>
      </c>
    </row>
    <row r="8" spans="1:17" x14ac:dyDescent="0.45">
      <c r="A8" s="55" t="s">
        <v>3</v>
      </c>
      <c r="B8" s="47">
        <v>1</v>
      </c>
      <c r="C8" s="39">
        <f t="shared" si="2"/>
        <v>0.16666666666666666</v>
      </c>
      <c r="E8" s="63" t="s">
        <v>71</v>
      </c>
      <c r="F8" s="60" t="s">
        <v>26</v>
      </c>
      <c r="G8" s="47">
        <v>1</v>
      </c>
      <c r="H8" s="133">
        <f t="shared" si="0"/>
        <v>6.25E-2</v>
      </c>
      <c r="I8" s="94">
        <v>10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5">
      <c r="A9" s="56" t="s">
        <v>4</v>
      </c>
      <c r="B9" s="48">
        <v>2</v>
      </c>
      <c r="C9" s="40">
        <f t="shared" si="2"/>
        <v>0.33333333333333331</v>
      </c>
      <c r="E9" s="63" t="s">
        <v>72</v>
      </c>
      <c r="F9" s="60" t="s">
        <v>27</v>
      </c>
      <c r="G9" s="47">
        <v>2</v>
      </c>
      <c r="H9" s="133">
        <f t="shared" si="0"/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5">
      <c r="A10" s="56" t="s">
        <v>19</v>
      </c>
      <c r="B10" s="48">
        <v>0</v>
      </c>
      <c r="C10" s="40">
        <f t="shared" si="2"/>
        <v>0</v>
      </c>
      <c r="E10" s="63" t="s">
        <v>73</v>
      </c>
      <c r="F10" s="60" t="s">
        <v>28</v>
      </c>
      <c r="G10" s="47">
        <v>14</v>
      </c>
      <c r="H10" s="133">
        <f t="shared" si="0"/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5">
      <c r="A11" s="56" t="s">
        <v>140</v>
      </c>
      <c r="B11" s="48">
        <v>2</v>
      </c>
      <c r="C11" s="40">
        <f t="shared" si="2"/>
        <v>0.33333333333333331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8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5">
      <c r="A12" s="57" t="s">
        <v>160</v>
      </c>
      <c r="B12" s="49">
        <v>1</v>
      </c>
      <c r="C12" s="42">
        <f t="shared" si="2"/>
        <v>0.16666666666666666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5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 t="shared" si="0"/>
        <v>0</v>
      </c>
      <c r="I13" s="94">
        <v>9</v>
      </c>
      <c r="N13" s="33"/>
      <c r="O13" s="110"/>
      <c r="P13" s="112"/>
      <c r="Q13" s="110"/>
    </row>
    <row r="14" spans="1:17" x14ac:dyDescent="0.45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5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9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5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 t="shared" si="0"/>
        <v>6.25E-2</v>
      </c>
      <c r="I16" s="94">
        <v>1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5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 t="shared" si="0"/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5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5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 t="shared" si="0"/>
        <v>0</v>
      </c>
      <c r="I19" s="94">
        <v>12</v>
      </c>
    </row>
    <row r="20" spans="1:17" x14ac:dyDescent="0.45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</row>
    <row r="21" spans="1:17" x14ac:dyDescent="0.45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 t="shared" si="0"/>
        <v>6.25E-2</v>
      </c>
      <c r="I21" s="94">
        <v>3</v>
      </c>
    </row>
    <row r="22" spans="1:17" x14ac:dyDescent="0.45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6</v>
      </c>
    </row>
    <row r="23" spans="1:17" x14ac:dyDescent="0.45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</row>
    <row r="24" spans="1:17" x14ac:dyDescent="0.45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 t="shared" si="0"/>
        <v>0</v>
      </c>
      <c r="I24" s="94">
        <v>12</v>
      </c>
    </row>
    <row r="25" spans="1:17" x14ac:dyDescent="0.45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7</v>
      </c>
    </row>
    <row r="26" spans="1:17" x14ac:dyDescent="0.45">
      <c r="A26" s="58" t="s">
        <v>152</v>
      </c>
      <c r="B26" s="142">
        <v>92100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5</v>
      </c>
    </row>
    <row r="27" spans="1:17" x14ac:dyDescent="0.45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 t="shared" si="0"/>
        <v>0.1875</v>
      </c>
      <c r="I27" s="94">
        <v>2</v>
      </c>
    </row>
    <row r="28" spans="1:17" x14ac:dyDescent="0.45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5</v>
      </c>
    </row>
    <row r="29" spans="1:17" x14ac:dyDescent="0.45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10</v>
      </c>
    </row>
    <row r="30" spans="1:17" x14ac:dyDescent="0.45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7</v>
      </c>
    </row>
    <row r="31" spans="1:17" x14ac:dyDescent="0.45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7</v>
      </c>
    </row>
    <row r="32" spans="1:17" x14ac:dyDescent="0.45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5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4</v>
      </c>
    </row>
    <row r="34" spans="5:9" x14ac:dyDescent="0.45">
      <c r="E34" s="63" t="s">
        <v>97</v>
      </c>
      <c r="F34" s="60" t="s">
        <v>52</v>
      </c>
      <c r="G34" s="47">
        <v>0</v>
      </c>
      <c r="H34" s="133">
        <f t="shared" ref="H34:H65" si="3">IF(B$17=0,0,G34/B$17)</f>
        <v>0</v>
      </c>
      <c r="I34" s="94">
        <v>1</v>
      </c>
    </row>
    <row r="35" spans="5:9" x14ac:dyDescent="0.45">
      <c r="E35" s="63" t="s">
        <v>98</v>
      </c>
      <c r="F35" s="60" t="s">
        <v>53</v>
      </c>
      <c r="G35" s="47">
        <v>0</v>
      </c>
      <c r="H35" s="133">
        <f t="shared" si="3"/>
        <v>0</v>
      </c>
      <c r="I35" s="94">
        <v>3</v>
      </c>
    </row>
    <row r="36" spans="5:9" x14ac:dyDescent="0.45">
      <c r="E36" s="63" t="s">
        <v>99</v>
      </c>
      <c r="F36" s="60" t="s">
        <v>54</v>
      </c>
      <c r="G36" s="47">
        <v>0</v>
      </c>
      <c r="H36" s="133">
        <f t="shared" si="3"/>
        <v>0</v>
      </c>
      <c r="I36" s="94">
        <v>1</v>
      </c>
    </row>
    <row r="37" spans="5:9" x14ac:dyDescent="0.45">
      <c r="E37" s="63" t="s">
        <v>100</v>
      </c>
      <c r="F37" s="60" t="s">
        <v>55</v>
      </c>
      <c r="G37" s="47">
        <v>0</v>
      </c>
      <c r="H37" s="133">
        <f t="shared" si="3"/>
        <v>0</v>
      </c>
      <c r="I37" s="94">
        <v>1</v>
      </c>
    </row>
    <row r="38" spans="5:9" x14ac:dyDescent="0.45">
      <c r="E38" s="63" t="s">
        <v>101</v>
      </c>
      <c r="F38" s="60" t="s">
        <v>56</v>
      </c>
      <c r="G38" s="47">
        <v>0</v>
      </c>
      <c r="H38" s="133">
        <f t="shared" si="3"/>
        <v>0</v>
      </c>
      <c r="I38" s="94">
        <v>1</v>
      </c>
    </row>
    <row r="39" spans="5:9" x14ac:dyDescent="0.45">
      <c r="E39" s="63" t="s">
        <v>102</v>
      </c>
      <c r="F39" s="60" t="s">
        <v>57</v>
      </c>
      <c r="G39" s="47">
        <v>0</v>
      </c>
      <c r="H39" s="133">
        <f t="shared" si="3"/>
        <v>0</v>
      </c>
      <c r="I39" s="94">
        <v>3</v>
      </c>
    </row>
    <row r="40" spans="5:9" x14ac:dyDescent="0.45">
      <c r="E40" s="63" t="s">
        <v>103</v>
      </c>
      <c r="F40" s="60" t="s">
        <v>58</v>
      </c>
      <c r="G40" s="47">
        <v>0</v>
      </c>
      <c r="H40" s="133">
        <f t="shared" si="3"/>
        <v>0</v>
      </c>
      <c r="I40" s="94">
        <v>1</v>
      </c>
    </row>
    <row r="41" spans="5:9" x14ac:dyDescent="0.45">
      <c r="E41" s="63" t="s">
        <v>104</v>
      </c>
      <c r="F41" s="60" t="s">
        <v>59</v>
      </c>
      <c r="G41" s="47">
        <v>0</v>
      </c>
      <c r="H41" s="133">
        <f t="shared" si="3"/>
        <v>0</v>
      </c>
      <c r="I41" s="94">
        <v>1</v>
      </c>
    </row>
    <row r="42" spans="5:9" x14ac:dyDescent="0.45">
      <c r="E42" s="63" t="s">
        <v>105</v>
      </c>
      <c r="F42" s="60" t="s">
        <v>60</v>
      </c>
      <c r="G42" s="47">
        <v>0</v>
      </c>
      <c r="H42" s="133">
        <f t="shared" si="3"/>
        <v>0</v>
      </c>
      <c r="I42" s="94">
        <v>1</v>
      </c>
    </row>
    <row r="43" spans="5:9" x14ac:dyDescent="0.45">
      <c r="E43" s="63" t="s">
        <v>106</v>
      </c>
      <c r="F43" s="60" t="s">
        <v>113</v>
      </c>
      <c r="G43" s="47">
        <v>0</v>
      </c>
      <c r="H43" s="133">
        <f t="shared" si="3"/>
        <v>0</v>
      </c>
      <c r="I43" s="94">
        <v>1</v>
      </c>
    </row>
    <row r="44" spans="5:9" x14ac:dyDescent="0.45">
      <c r="E44" s="63" t="s">
        <v>107</v>
      </c>
      <c r="F44" s="60" t="s">
        <v>114</v>
      </c>
      <c r="G44" s="47">
        <v>0</v>
      </c>
      <c r="H44" s="133">
        <f t="shared" si="3"/>
        <v>0</v>
      </c>
      <c r="I44" s="94">
        <v>3</v>
      </c>
    </row>
    <row r="45" spans="5:9" x14ac:dyDescent="0.45">
      <c r="E45" s="63" t="s">
        <v>108</v>
      </c>
      <c r="F45" s="60" t="s">
        <v>115</v>
      </c>
      <c r="G45" s="47">
        <v>0</v>
      </c>
      <c r="H45" s="133">
        <f t="shared" si="3"/>
        <v>0</v>
      </c>
      <c r="I45" s="94">
        <v>1</v>
      </c>
    </row>
    <row r="46" spans="5:9" x14ac:dyDescent="0.45">
      <c r="E46" s="63" t="s">
        <v>109</v>
      </c>
      <c r="F46" s="60" t="s">
        <v>61</v>
      </c>
      <c r="G46" s="47">
        <v>0</v>
      </c>
      <c r="H46" s="133">
        <f t="shared" si="3"/>
        <v>0</v>
      </c>
      <c r="I46" s="94">
        <v>1</v>
      </c>
    </row>
    <row r="47" spans="5:9" x14ac:dyDescent="0.45">
      <c r="E47" s="63" t="s">
        <v>110</v>
      </c>
      <c r="F47" s="60" t="s">
        <v>62</v>
      </c>
      <c r="G47" s="47">
        <v>0</v>
      </c>
      <c r="H47" s="133">
        <f t="shared" si="3"/>
        <v>0</v>
      </c>
      <c r="I47" s="94">
        <v>1</v>
      </c>
    </row>
    <row r="48" spans="5:9" x14ac:dyDescent="0.45">
      <c r="E48" s="63" t="s">
        <v>111</v>
      </c>
      <c r="F48" s="60" t="s">
        <v>63</v>
      </c>
      <c r="G48" s="47">
        <v>0</v>
      </c>
      <c r="H48" s="133">
        <f t="shared" si="3"/>
        <v>0</v>
      </c>
      <c r="I48" s="94">
        <v>1</v>
      </c>
    </row>
    <row r="49" spans="5:9" x14ac:dyDescent="0.45">
      <c r="E49" s="63" t="s">
        <v>112</v>
      </c>
      <c r="F49" s="60" t="s">
        <v>64</v>
      </c>
      <c r="G49" s="47">
        <v>0</v>
      </c>
      <c r="H49" s="133">
        <f t="shared" si="3"/>
        <v>0</v>
      </c>
      <c r="I49" s="94">
        <v>1</v>
      </c>
    </row>
    <row r="50" spans="5:9" x14ac:dyDescent="0.45">
      <c r="E50" s="63" t="s">
        <v>180</v>
      </c>
      <c r="F50" s="60" t="s">
        <v>181</v>
      </c>
      <c r="G50" s="47">
        <v>2</v>
      </c>
      <c r="H50" s="133">
        <f t="shared" si="3"/>
        <v>0.125</v>
      </c>
      <c r="I50" s="94">
        <v>1</v>
      </c>
    </row>
    <row r="51" spans="5:9" x14ac:dyDescent="0.45">
      <c r="E51" s="136" t="s">
        <v>245</v>
      </c>
      <c r="F51" s="137" t="s">
        <v>246</v>
      </c>
      <c r="G51" s="48">
        <v>6</v>
      </c>
      <c r="H51" s="138">
        <f t="shared" si="3"/>
        <v>0.375</v>
      </c>
      <c r="I51" s="139">
        <v>11</v>
      </c>
    </row>
    <row r="52" spans="5:9" x14ac:dyDescent="0.45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C462E-AE1C-424B-85CC-510DF4460F11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3" customWidth="1"/>
    <col min="2" max="3" width="9" style="33" customWidth="1"/>
    <col min="4" max="4" width="3.59765625" style="33" customWidth="1"/>
    <col min="5" max="5" width="3.59765625" style="128" bestFit="1" customWidth="1"/>
    <col min="6" max="6" width="11" style="43" bestFit="1" customWidth="1"/>
    <col min="7" max="9" width="9" style="33" customWidth="1"/>
    <col min="10" max="10" width="3.59765625" style="33" customWidth="1"/>
    <col min="11" max="11" width="3.5" style="38" customWidth="1"/>
    <col min="12" max="12" width="9" style="99" customWidth="1"/>
    <col min="13" max="13" width="3.59765625" style="33" customWidth="1"/>
    <col min="14" max="14" width="9" style="115" customWidth="1"/>
    <col min="15" max="15" width="9" style="125" customWidth="1"/>
    <col min="16" max="16" width="9" style="119" customWidth="1"/>
    <col min="17" max="17" width="3.59765625" style="107" customWidth="1"/>
    <col min="18" max="16384" width="9" style="33"/>
  </cols>
  <sheetData>
    <row r="1" spans="1:17" x14ac:dyDescent="0.45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5">
      <c r="A2" s="54" t="s">
        <v>9</v>
      </c>
      <c r="B2" s="150">
        <v>8</v>
      </c>
      <c r="C2" s="151"/>
      <c r="E2" s="62" t="s">
        <v>65</v>
      </c>
      <c r="F2" s="59" t="s">
        <v>21</v>
      </c>
      <c r="G2" s="46">
        <v>9</v>
      </c>
      <c r="H2" s="132">
        <f t="shared" ref="H2:H33" si="0">IF(B$17=0,0,G2/B$17)</f>
        <v>0.52941176470588236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-5362.5</v>
      </c>
      <c r="P2" s="118">
        <v>8</v>
      </c>
      <c r="Q2" s="102">
        <v>-42900</v>
      </c>
    </row>
    <row r="3" spans="1:17" x14ac:dyDescent="0.45">
      <c r="A3" s="55" t="s">
        <v>8</v>
      </c>
      <c r="B3" s="152">
        <v>72</v>
      </c>
      <c r="C3" s="153"/>
      <c r="E3" s="63" t="s">
        <v>66</v>
      </c>
      <c r="F3" s="60" t="s">
        <v>22</v>
      </c>
      <c r="G3" s="47">
        <v>1</v>
      </c>
      <c r="H3" s="133">
        <f t="shared" si="0"/>
        <v>5.8823529411764705E-2</v>
      </c>
      <c r="I3" s="94">
        <v>12</v>
      </c>
      <c r="K3" s="38">
        <v>1</v>
      </c>
      <c r="L3" s="99">
        <v>-43.2</v>
      </c>
      <c r="N3" s="115" t="s">
        <v>133</v>
      </c>
      <c r="O3" s="122">
        <f t="shared" si="1"/>
        <v>-4025</v>
      </c>
      <c r="P3" s="119">
        <v>8</v>
      </c>
      <c r="Q3" s="103">
        <v>-32200</v>
      </c>
    </row>
    <row r="4" spans="1:17" x14ac:dyDescent="0.45">
      <c r="A4" s="55" t="s">
        <v>6</v>
      </c>
      <c r="B4" s="154">
        <v>-289.8</v>
      </c>
      <c r="C4" s="155"/>
      <c r="E4" s="63" t="s">
        <v>67</v>
      </c>
      <c r="F4" s="60" t="s">
        <v>23</v>
      </c>
      <c r="G4" s="47">
        <v>9</v>
      </c>
      <c r="H4" s="133">
        <f t="shared" si="0"/>
        <v>0.52941176470588236</v>
      </c>
      <c r="I4" s="94">
        <v>13</v>
      </c>
      <c r="K4" s="38">
        <v>2</v>
      </c>
      <c r="L4" s="99">
        <v>-96.5</v>
      </c>
      <c r="N4" s="115" t="s">
        <v>134</v>
      </c>
      <c r="O4" s="122">
        <f t="shared" si="1"/>
        <v>-300</v>
      </c>
      <c r="P4" s="119">
        <v>7</v>
      </c>
      <c r="Q4" s="103">
        <v>-2100</v>
      </c>
    </row>
    <row r="5" spans="1:17" x14ac:dyDescent="0.45">
      <c r="A5" s="55" t="s">
        <v>7</v>
      </c>
      <c r="B5" s="156">
        <f>IF(B$2=0,0,B$4/B$2)</f>
        <v>-36.225000000000001</v>
      </c>
      <c r="C5" s="157"/>
      <c r="E5" s="63" t="s">
        <v>68</v>
      </c>
      <c r="F5" s="60" t="s">
        <v>24</v>
      </c>
      <c r="G5" s="47">
        <v>0</v>
      </c>
      <c r="H5" s="133">
        <f t="shared" si="0"/>
        <v>0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1"/>
        <v>3914.2857142857142</v>
      </c>
      <c r="P5" s="119">
        <v>7</v>
      </c>
      <c r="Q5" s="103">
        <v>27400</v>
      </c>
    </row>
    <row r="6" spans="1:17" x14ac:dyDescent="0.45">
      <c r="A6" s="55" t="s">
        <v>1</v>
      </c>
      <c r="B6" s="146">
        <f>IF(B$2=0,0,(B$7*1+B$8*2+B$9*3)/B$2)</f>
        <v>2.75</v>
      </c>
      <c r="C6" s="147"/>
      <c r="E6" s="63" t="s">
        <v>69</v>
      </c>
      <c r="F6" s="60" t="s">
        <v>12</v>
      </c>
      <c r="G6" s="47">
        <v>4</v>
      </c>
      <c r="H6" s="133">
        <f t="shared" si="0"/>
        <v>0.23529411764705882</v>
      </c>
      <c r="I6" s="94">
        <v>13</v>
      </c>
      <c r="K6" s="38">
        <v>4</v>
      </c>
      <c r="L6" s="99">
        <v>-134.1</v>
      </c>
      <c r="N6" s="115" t="s">
        <v>136</v>
      </c>
      <c r="O6" s="122">
        <f t="shared" si="1"/>
        <v>-6466.666666666667</v>
      </c>
      <c r="P6" s="119">
        <v>6</v>
      </c>
      <c r="Q6" s="103">
        <v>-38800</v>
      </c>
    </row>
    <row r="7" spans="1:17" x14ac:dyDescent="0.45">
      <c r="A7" s="55" t="s">
        <v>2</v>
      </c>
      <c r="B7" s="47">
        <v>0</v>
      </c>
      <c r="C7" s="39">
        <f t="shared" ref="C7:C12" si="2">IF(B$2=0,0,B7/B$2)</f>
        <v>0</v>
      </c>
      <c r="E7" s="63" t="s">
        <v>70</v>
      </c>
      <c r="F7" s="60" t="s">
        <v>25</v>
      </c>
      <c r="G7" s="47">
        <v>2</v>
      </c>
      <c r="H7" s="133">
        <f t="shared" si="0"/>
        <v>0.11764705882352941</v>
      </c>
      <c r="I7" s="94">
        <v>12</v>
      </c>
      <c r="K7" s="38">
        <v>5</v>
      </c>
      <c r="L7" s="99">
        <v>-152</v>
      </c>
      <c r="N7" s="116" t="s">
        <v>137</v>
      </c>
      <c r="O7" s="123">
        <f t="shared" si="1"/>
        <v>-6140</v>
      </c>
      <c r="P7" s="120">
        <v>5</v>
      </c>
      <c r="Q7" s="104">
        <v>-30700</v>
      </c>
    </row>
    <row r="8" spans="1:17" x14ac:dyDescent="0.45">
      <c r="A8" s="55" t="s">
        <v>3</v>
      </c>
      <c r="B8" s="47">
        <v>2</v>
      </c>
      <c r="C8" s="39">
        <f t="shared" si="2"/>
        <v>0.25</v>
      </c>
      <c r="E8" s="63" t="s">
        <v>71</v>
      </c>
      <c r="F8" s="60" t="s">
        <v>26</v>
      </c>
      <c r="G8" s="47">
        <v>1</v>
      </c>
      <c r="H8" s="133">
        <f t="shared" si="0"/>
        <v>5.8823529411764705E-2</v>
      </c>
      <c r="I8" s="94">
        <v>11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5">
      <c r="A9" s="56" t="s">
        <v>4</v>
      </c>
      <c r="B9" s="48">
        <v>6</v>
      </c>
      <c r="C9" s="40">
        <f t="shared" si="2"/>
        <v>0.75</v>
      </c>
      <c r="E9" s="63" t="s">
        <v>72</v>
      </c>
      <c r="F9" s="60" t="s">
        <v>27</v>
      </c>
      <c r="G9" s="47">
        <v>0</v>
      </c>
      <c r="H9" s="133">
        <f t="shared" si="0"/>
        <v>0</v>
      </c>
      <c r="I9" s="94">
        <v>13</v>
      </c>
      <c r="K9" s="38">
        <v>7</v>
      </c>
      <c r="L9" s="99">
        <v>-255.8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5">
      <c r="A10" s="56" t="s">
        <v>19</v>
      </c>
      <c r="B10" s="48">
        <v>1</v>
      </c>
      <c r="C10" s="40">
        <f t="shared" si="2"/>
        <v>0.125</v>
      </c>
      <c r="E10" s="63" t="s">
        <v>73</v>
      </c>
      <c r="F10" s="60" t="s">
        <v>28</v>
      </c>
      <c r="G10" s="47">
        <v>7</v>
      </c>
      <c r="H10" s="133">
        <f t="shared" si="0"/>
        <v>0.41176470588235292</v>
      </c>
      <c r="I10" s="94">
        <v>13</v>
      </c>
      <c r="K10" s="38">
        <v>8</v>
      </c>
      <c r="L10" s="99">
        <v>-289.8</v>
      </c>
      <c r="N10" s="114" t="s">
        <v>164</v>
      </c>
      <c r="O10" s="124">
        <f>IF(P10=0,0,Q10/P10)</f>
        <v>-30.183333333333334</v>
      </c>
      <c r="P10" s="118">
        <v>6</v>
      </c>
      <c r="Q10" s="106">
        <v>-181.1</v>
      </c>
    </row>
    <row r="11" spans="1:17" x14ac:dyDescent="0.45">
      <c r="A11" s="56" t="s">
        <v>140</v>
      </c>
      <c r="B11" s="48">
        <v>0</v>
      </c>
      <c r="C11" s="40">
        <f t="shared" si="2"/>
        <v>0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8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5">
      <c r="A12" s="57" t="s">
        <v>160</v>
      </c>
      <c r="B12" s="49">
        <v>0</v>
      </c>
      <c r="C12" s="42">
        <f t="shared" si="2"/>
        <v>0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5">
      <c r="A13" s="58" t="s">
        <v>122</v>
      </c>
      <c r="B13" s="50">
        <v>13</v>
      </c>
      <c r="C13" s="44">
        <f>IF(B$3=0,0,B13/B$3)</f>
        <v>0.18055555555555555</v>
      </c>
      <c r="E13" s="63" t="s">
        <v>76</v>
      </c>
      <c r="F13" s="60" t="s">
        <v>31</v>
      </c>
      <c r="G13" s="47">
        <v>0</v>
      </c>
      <c r="H13" s="133">
        <f t="shared" si="0"/>
        <v>0</v>
      </c>
      <c r="I13" s="94">
        <v>9</v>
      </c>
      <c r="N13" s="33"/>
      <c r="O13" s="110"/>
      <c r="P13" s="112"/>
      <c r="Q13" s="110"/>
    </row>
    <row r="14" spans="1:17" x14ac:dyDescent="0.45">
      <c r="A14" s="55" t="s">
        <v>119</v>
      </c>
      <c r="B14" s="47">
        <v>24</v>
      </c>
      <c r="C14" s="39">
        <f>IF(B$3=0,0,B14/B$3)</f>
        <v>0.33333333333333331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5">
      <c r="A15" s="54" t="s">
        <v>124</v>
      </c>
      <c r="B15" s="46">
        <v>9</v>
      </c>
      <c r="C15" s="37">
        <f>IF(B$13=0,0,B15/B$13)</f>
        <v>0.69230769230769229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9</v>
      </c>
      <c r="N15" s="114" t="s">
        <v>200</v>
      </c>
      <c r="O15" s="124">
        <f>IF(P15=0,0,Q15/P15)</f>
        <v>-31.720000000000006</v>
      </c>
      <c r="P15" s="118">
        <v>5</v>
      </c>
      <c r="Q15" s="106">
        <v>-158.60000000000002</v>
      </c>
    </row>
    <row r="16" spans="1:17" x14ac:dyDescent="0.45">
      <c r="A16" s="54" t="s">
        <v>125</v>
      </c>
      <c r="B16" s="46">
        <v>6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 t="shared" si="0"/>
        <v>5.8823529411764705E-2</v>
      </c>
      <c r="I16" s="94">
        <v>3</v>
      </c>
      <c r="N16" s="115" t="s">
        <v>129</v>
      </c>
      <c r="O16" s="125">
        <f>IF(P16=0,0,Q16/P16)</f>
        <v>-52.959999999999994</v>
      </c>
      <c r="P16" s="119">
        <v>5</v>
      </c>
      <c r="Q16" s="107">
        <v>-264.79999999999995</v>
      </c>
    </row>
    <row r="17" spans="1:17" x14ac:dyDescent="0.45">
      <c r="A17" s="54" t="s">
        <v>10</v>
      </c>
      <c r="B17" s="46">
        <f>B19+B18</f>
        <v>17</v>
      </c>
      <c r="C17" s="37">
        <f>IF(B$3=0,0,B17/B$3)</f>
        <v>0.2361111111111111</v>
      </c>
      <c r="E17" s="63" t="s">
        <v>80</v>
      </c>
      <c r="F17" s="60" t="s">
        <v>35</v>
      </c>
      <c r="G17" s="47">
        <v>0</v>
      </c>
      <c r="H17" s="133">
        <f t="shared" si="0"/>
        <v>0</v>
      </c>
      <c r="I17" s="94">
        <v>12</v>
      </c>
      <c r="N17" s="115" t="s">
        <v>177</v>
      </c>
      <c r="O17" s="125">
        <f>IF(P17=0,0,Q17/P17)</f>
        <v>-69.775000000000006</v>
      </c>
      <c r="P17" s="119">
        <v>4</v>
      </c>
      <c r="Q17" s="107">
        <v>-279.10000000000002</v>
      </c>
    </row>
    <row r="18" spans="1:17" x14ac:dyDescent="0.45">
      <c r="A18" s="55" t="s">
        <v>12</v>
      </c>
      <c r="B18" s="47">
        <v>7</v>
      </c>
      <c r="C18" s="39">
        <f>IF(B$17=0,0,B18/B$17)</f>
        <v>0.41176470588235292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5">
      <c r="A19" s="55" t="s">
        <v>11</v>
      </c>
      <c r="B19" s="47">
        <v>10</v>
      </c>
      <c r="C19" s="39">
        <f>IF(B$17=0,0,B19/B$17)</f>
        <v>0.58823529411764708</v>
      </c>
      <c r="E19" s="63" t="s">
        <v>82</v>
      </c>
      <c r="F19" s="60" t="s">
        <v>37</v>
      </c>
      <c r="G19" s="47">
        <v>0</v>
      </c>
      <c r="H19" s="133">
        <f t="shared" si="0"/>
        <v>0</v>
      </c>
      <c r="I19" s="94">
        <v>12</v>
      </c>
    </row>
    <row r="20" spans="1:17" x14ac:dyDescent="0.45">
      <c r="A20" s="55" t="s">
        <v>13</v>
      </c>
      <c r="B20" s="47">
        <v>19</v>
      </c>
      <c r="C20" s="39">
        <f>IF(B$3=0,0,B20/B$3)</f>
        <v>0.2638888888888889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</row>
    <row r="21" spans="1:17" x14ac:dyDescent="0.45">
      <c r="A21" s="55" t="s">
        <v>191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 t="shared" si="0"/>
        <v>0</v>
      </c>
      <c r="I21" s="94">
        <v>12</v>
      </c>
    </row>
    <row r="22" spans="1:17" x14ac:dyDescent="0.45">
      <c r="A22" s="55" t="s">
        <v>192</v>
      </c>
      <c r="B22" s="47">
        <v>8</v>
      </c>
      <c r="C22" s="135">
        <v>1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6</v>
      </c>
    </row>
    <row r="23" spans="1:17" x14ac:dyDescent="0.45">
      <c r="A23" s="55" t="s">
        <v>5</v>
      </c>
      <c r="B23" s="51">
        <f>IF(B$17=0,0,C23/B$17)</f>
        <v>6776.4705882352937</v>
      </c>
      <c r="C23" s="41">
        <v>115200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5</v>
      </c>
    </row>
    <row r="24" spans="1:17" x14ac:dyDescent="0.45">
      <c r="A24" s="57" t="s">
        <v>14</v>
      </c>
      <c r="B24" s="52">
        <f>IF(B$20=0,0,C24/B$20)</f>
        <v>-7089.4736842105267</v>
      </c>
      <c r="C24" s="45">
        <v>-134700</v>
      </c>
      <c r="E24" s="63" t="s">
        <v>87</v>
      </c>
      <c r="F24" s="60" t="s">
        <v>42</v>
      </c>
      <c r="G24" s="47">
        <v>2</v>
      </c>
      <c r="H24" s="133">
        <f t="shared" si="0"/>
        <v>0.11764705882352941</v>
      </c>
      <c r="I24" s="94">
        <v>2</v>
      </c>
    </row>
    <row r="25" spans="1:17" x14ac:dyDescent="0.45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7</v>
      </c>
    </row>
    <row r="26" spans="1:17" x14ac:dyDescent="0.45">
      <c r="A26" s="58" t="s">
        <v>152</v>
      </c>
      <c r="B26" s="142">
        <v>52800</v>
      </c>
      <c r="C26" s="143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5</v>
      </c>
    </row>
    <row r="27" spans="1:17" x14ac:dyDescent="0.45">
      <c r="A27" s="57" t="s">
        <v>143</v>
      </c>
      <c r="B27" s="65">
        <v>1</v>
      </c>
      <c r="C27" s="42">
        <f>IF(B$3=0,0,B27/B$3)</f>
        <v>1.3888888888888888E-2</v>
      </c>
      <c r="E27" s="63" t="s">
        <v>90</v>
      </c>
      <c r="F27" s="60" t="s">
        <v>45</v>
      </c>
      <c r="G27" s="47">
        <v>1</v>
      </c>
      <c r="H27" s="133">
        <f t="shared" si="0"/>
        <v>5.8823529411764705E-2</v>
      </c>
      <c r="I27" s="94">
        <v>13</v>
      </c>
    </row>
    <row r="28" spans="1:17" x14ac:dyDescent="0.45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5</v>
      </c>
    </row>
    <row r="29" spans="1:17" x14ac:dyDescent="0.45">
      <c r="E29" s="63" t="s">
        <v>92</v>
      </c>
      <c r="F29" s="60" t="s">
        <v>47</v>
      </c>
      <c r="G29" s="47">
        <v>1</v>
      </c>
      <c r="H29" s="133">
        <f t="shared" si="0"/>
        <v>5.8823529411764705E-2</v>
      </c>
      <c r="I29" s="94">
        <v>1</v>
      </c>
    </row>
    <row r="30" spans="1:17" x14ac:dyDescent="0.45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7</v>
      </c>
    </row>
    <row r="31" spans="1:17" x14ac:dyDescent="0.45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7</v>
      </c>
    </row>
    <row r="32" spans="1:17" x14ac:dyDescent="0.45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5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4</v>
      </c>
    </row>
    <row r="34" spans="5:9" x14ac:dyDescent="0.45">
      <c r="E34" s="63" t="s">
        <v>97</v>
      </c>
      <c r="F34" s="60" t="s">
        <v>52</v>
      </c>
      <c r="G34" s="47">
        <v>0</v>
      </c>
      <c r="H34" s="133">
        <f t="shared" ref="H34:H65" si="3">IF(B$17=0,0,G34/B$17)</f>
        <v>0</v>
      </c>
      <c r="I34" s="94">
        <v>1</v>
      </c>
    </row>
    <row r="35" spans="5:9" x14ac:dyDescent="0.45">
      <c r="E35" s="63" t="s">
        <v>98</v>
      </c>
      <c r="F35" s="60" t="s">
        <v>53</v>
      </c>
      <c r="G35" s="47">
        <v>0</v>
      </c>
      <c r="H35" s="133">
        <f t="shared" si="3"/>
        <v>0</v>
      </c>
      <c r="I35" s="94">
        <v>3</v>
      </c>
    </row>
    <row r="36" spans="5:9" x14ac:dyDescent="0.45">
      <c r="E36" s="63" t="s">
        <v>99</v>
      </c>
      <c r="F36" s="60" t="s">
        <v>54</v>
      </c>
      <c r="G36" s="47">
        <v>0</v>
      </c>
      <c r="H36" s="133">
        <f t="shared" si="3"/>
        <v>0</v>
      </c>
      <c r="I36" s="94">
        <v>1</v>
      </c>
    </row>
    <row r="37" spans="5:9" x14ac:dyDescent="0.45">
      <c r="E37" s="63" t="s">
        <v>100</v>
      </c>
      <c r="F37" s="60" t="s">
        <v>55</v>
      </c>
      <c r="G37" s="47">
        <v>0</v>
      </c>
      <c r="H37" s="133">
        <f t="shared" si="3"/>
        <v>0</v>
      </c>
      <c r="I37" s="94">
        <v>1</v>
      </c>
    </row>
    <row r="38" spans="5:9" x14ac:dyDescent="0.45">
      <c r="E38" s="63" t="s">
        <v>101</v>
      </c>
      <c r="F38" s="60" t="s">
        <v>56</v>
      </c>
      <c r="G38" s="47">
        <v>0</v>
      </c>
      <c r="H38" s="133">
        <f t="shared" si="3"/>
        <v>0</v>
      </c>
      <c r="I38" s="94">
        <v>1</v>
      </c>
    </row>
    <row r="39" spans="5:9" x14ac:dyDescent="0.45">
      <c r="E39" s="63" t="s">
        <v>102</v>
      </c>
      <c r="F39" s="60" t="s">
        <v>57</v>
      </c>
      <c r="G39" s="47">
        <v>0</v>
      </c>
      <c r="H39" s="133">
        <f t="shared" si="3"/>
        <v>0</v>
      </c>
      <c r="I39" s="94">
        <v>3</v>
      </c>
    </row>
    <row r="40" spans="5:9" x14ac:dyDescent="0.45">
      <c r="E40" s="63" t="s">
        <v>103</v>
      </c>
      <c r="F40" s="60" t="s">
        <v>58</v>
      </c>
      <c r="G40" s="47">
        <v>0</v>
      </c>
      <c r="H40" s="133">
        <f t="shared" si="3"/>
        <v>0</v>
      </c>
      <c r="I40" s="94">
        <v>1</v>
      </c>
    </row>
    <row r="41" spans="5:9" x14ac:dyDescent="0.45">
      <c r="E41" s="63" t="s">
        <v>104</v>
      </c>
      <c r="F41" s="60" t="s">
        <v>59</v>
      </c>
      <c r="G41" s="47">
        <v>0</v>
      </c>
      <c r="H41" s="133">
        <f t="shared" si="3"/>
        <v>0</v>
      </c>
      <c r="I41" s="94">
        <v>1</v>
      </c>
    </row>
    <row r="42" spans="5:9" x14ac:dyDescent="0.45">
      <c r="E42" s="63" t="s">
        <v>105</v>
      </c>
      <c r="F42" s="60" t="s">
        <v>60</v>
      </c>
      <c r="G42" s="47">
        <v>0</v>
      </c>
      <c r="H42" s="133">
        <f t="shared" si="3"/>
        <v>0</v>
      </c>
      <c r="I42" s="94">
        <v>1</v>
      </c>
    </row>
    <row r="43" spans="5:9" x14ac:dyDescent="0.45">
      <c r="E43" s="63" t="s">
        <v>106</v>
      </c>
      <c r="F43" s="60" t="s">
        <v>113</v>
      </c>
      <c r="G43" s="47">
        <v>0</v>
      </c>
      <c r="H43" s="133">
        <f t="shared" si="3"/>
        <v>0</v>
      </c>
      <c r="I43" s="94">
        <v>1</v>
      </c>
    </row>
    <row r="44" spans="5:9" x14ac:dyDescent="0.45">
      <c r="E44" s="63" t="s">
        <v>107</v>
      </c>
      <c r="F44" s="60" t="s">
        <v>114</v>
      </c>
      <c r="G44" s="47">
        <v>0</v>
      </c>
      <c r="H44" s="133">
        <f t="shared" si="3"/>
        <v>0</v>
      </c>
      <c r="I44" s="94">
        <v>3</v>
      </c>
    </row>
    <row r="45" spans="5:9" x14ac:dyDescent="0.45">
      <c r="E45" s="63" t="s">
        <v>108</v>
      </c>
      <c r="F45" s="60" t="s">
        <v>115</v>
      </c>
      <c r="G45" s="47">
        <v>0</v>
      </c>
      <c r="H45" s="133">
        <f t="shared" si="3"/>
        <v>0</v>
      </c>
      <c r="I45" s="94">
        <v>1</v>
      </c>
    </row>
    <row r="46" spans="5:9" x14ac:dyDescent="0.45">
      <c r="E46" s="63" t="s">
        <v>109</v>
      </c>
      <c r="F46" s="60" t="s">
        <v>61</v>
      </c>
      <c r="G46" s="47">
        <v>0</v>
      </c>
      <c r="H46" s="133">
        <f t="shared" si="3"/>
        <v>0</v>
      </c>
      <c r="I46" s="94">
        <v>1</v>
      </c>
    </row>
    <row r="47" spans="5:9" x14ac:dyDescent="0.45">
      <c r="E47" s="63" t="s">
        <v>110</v>
      </c>
      <c r="F47" s="60" t="s">
        <v>62</v>
      </c>
      <c r="G47" s="47">
        <v>0</v>
      </c>
      <c r="H47" s="133">
        <f t="shared" si="3"/>
        <v>0</v>
      </c>
      <c r="I47" s="94">
        <v>1</v>
      </c>
    </row>
    <row r="48" spans="5:9" x14ac:dyDescent="0.45">
      <c r="E48" s="63" t="s">
        <v>111</v>
      </c>
      <c r="F48" s="60" t="s">
        <v>63</v>
      </c>
      <c r="G48" s="47">
        <v>0</v>
      </c>
      <c r="H48" s="133">
        <f t="shared" si="3"/>
        <v>0</v>
      </c>
      <c r="I48" s="94">
        <v>1</v>
      </c>
    </row>
    <row r="49" spans="5:9" x14ac:dyDescent="0.45">
      <c r="E49" s="63" t="s">
        <v>112</v>
      </c>
      <c r="F49" s="60" t="s">
        <v>64</v>
      </c>
      <c r="G49" s="47">
        <v>0</v>
      </c>
      <c r="H49" s="133">
        <f t="shared" si="3"/>
        <v>0</v>
      </c>
      <c r="I49" s="94">
        <v>1</v>
      </c>
    </row>
    <row r="50" spans="5:9" x14ac:dyDescent="0.45">
      <c r="E50" s="63" t="s">
        <v>180</v>
      </c>
      <c r="F50" s="60" t="s">
        <v>181</v>
      </c>
      <c r="G50" s="47">
        <v>0</v>
      </c>
      <c r="H50" s="133">
        <f t="shared" si="3"/>
        <v>0</v>
      </c>
      <c r="I50" s="94">
        <v>8</v>
      </c>
    </row>
    <row r="51" spans="5:9" x14ac:dyDescent="0.45">
      <c r="E51" s="136" t="s">
        <v>245</v>
      </c>
      <c r="F51" s="137" t="s">
        <v>246</v>
      </c>
      <c r="G51" s="48">
        <v>9</v>
      </c>
      <c r="H51" s="138">
        <f t="shared" si="3"/>
        <v>0.52941176470588236</v>
      </c>
      <c r="I51" s="139">
        <v>1</v>
      </c>
    </row>
    <row r="52" spans="5:9" x14ac:dyDescent="0.45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87A8-BE2B-42A3-AF71-AEEE2BD79822}">
  <sheetPr codeName="Sheet33"/>
  <dimension ref="A1:Q11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5">
      <c r="A3" s="69">
        <v>0</v>
      </c>
      <c r="B3" s="66">
        <v>0</v>
      </c>
    </row>
    <row r="4" spans="1:17" x14ac:dyDescent="0.45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5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5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5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5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5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  <row r="10" spans="1:17" x14ac:dyDescent="0.45">
      <c r="A10" s="69">
        <v>7</v>
      </c>
      <c r="B10" s="66">
        <v>-255.8</v>
      </c>
      <c r="C10" s="66">
        <v>-36.542857142857144</v>
      </c>
      <c r="D10" s="71">
        <v>2.7142857142857144</v>
      </c>
      <c r="E10" s="67">
        <v>0</v>
      </c>
      <c r="F10" s="67">
        <v>0.7142857142857143</v>
      </c>
      <c r="G10" s="67">
        <v>0.23809523809523808</v>
      </c>
      <c r="H10" s="67">
        <v>0.23809523809523808</v>
      </c>
      <c r="I10" s="68">
        <v>6706.666666666667</v>
      </c>
      <c r="J10" s="68">
        <v>-7593.333333333333</v>
      </c>
      <c r="K10" s="67">
        <v>0.14285714285714285</v>
      </c>
      <c r="L10" s="67">
        <v>0</v>
      </c>
      <c r="M10" s="67">
        <v>0.17460317460317459</v>
      </c>
      <c r="N10" s="67">
        <v>0.33333333333333331</v>
      </c>
      <c r="O10" s="67">
        <v>0.72727272727272729</v>
      </c>
      <c r="P10" s="67">
        <v>0.23809523809523808</v>
      </c>
      <c r="Q10" s="67">
        <v>0.4</v>
      </c>
    </row>
    <row r="11" spans="1:17" x14ac:dyDescent="0.45">
      <c r="A11" s="69">
        <v>8</v>
      </c>
      <c r="B11" s="66">
        <v>-289.8</v>
      </c>
      <c r="C11" s="66">
        <v>-36.225000000000001</v>
      </c>
      <c r="D11" s="71">
        <v>2.75</v>
      </c>
      <c r="E11" s="67">
        <v>0</v>
      </c>
      <c r="F11" s="67">
        <v>0.75</v>
      </c>
      <c r="G11" s="67">
        <v>0.2361111111111111</v>
      </c>
      <c r="H11" s="67">
        <v>0.2638888888888889</v>
      </c>
      <c r="I11" s="68">
        <v>6776.4705882352937</v>
      </c>
      <c r="J11" s="68">
        <v>-7089.4736842105267</v>
      </c>
      <c r="K11" s="67">
        <v>0.125</v>
      </c>
      <c r="L11" s="67">
        <v>0</v>
      </c>
      <c r="M11" s="67">
        <v>0.18055555555555555</v>
      </c>
      <c r="N11" s="67">
        <v>0.33333333333333331</v>
      </c>
      <c r="O11" s="67">
        <v>0.69230769230769229</v>
      </c>
      <c r="P11" s="67">
        <v>0.25</v>
      </c>
      <c r="Q11" s="67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7C37B-C67C-494A-A563-7DF7747F0872}">
  <sheetPr codeName="Sheet30"/>
  <dimension ref="A1:Q9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5">
      <c r="A3" s="69">
        <v>0</v>
      </c>
      <c r="B3" s="66">
        <v>0</v>
      </c>
    </row>
    <row r="4" spans="1:17" x14ac:dyDescent="0.45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5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5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5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5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5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ADF4C-CDCB-453E-BD90-B0185FC642FC}">
  <sheetPr codeName="Sheet28"/>
  <dimension ref="A1:Q4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5">
      <c r="A3" s="69">
        <v>0</v>
      </c>
      <c r="B3" s="66">
        <v>0</v>
      </c>
    </row>
    <row r="4" spans="1:17" x14ac:dyDescent="0.45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F47A5-4BDB-4AE4-98E3-9E0042B93A70}">
  <sheetPr codeName="Sheet26"/>
  <dimension ref="A1:Q24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5">
      <c r="A3" s="69">
        <v>0</v>
      </c>
      <c r="B3" s="66">
        <v>0</v>
      </c>
    </row>
    <row r="4" spans="1:17" x14ac:dyDescent="0.45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5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5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5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5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5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5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5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5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5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5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5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5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5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5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5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5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5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5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  <row r="23" spans="1:17" x14ac:dyDescent="0.45">
      <c r="A23" s="69">
        <v>20</v>
      </c>
      <c r="B23" s="66">
        <v>80.999999999999986</v>
      </c>
      <c r="C23" s="66">
        <v>4.0499999999999989</v>
      </c>
      <c r="D23" s="71">
        <v>1.85</v>
      </c>
      <c r="E23" s="67">
        <v>0.35</v>
      </c>
      <c r="F23" s="67">
        <v>0.2</v>
      </c>
      <c r="G23" s="67">
        <v>0.34065934065934067</v>
      </c>
      <c r="H23" s="67">
        <v>0.15934065934065933</v>
      </c>
      <c r="I23" s="68">
        <v>7943.5483870967746</v>
      </c>
      <c r="J23" s="68">
        <v>-8355.1724137931033</v>
      </c>
      <c r="K23" s="67">
        <v>0.15</v>
      </c>
      <c r="L23" s="67">
        <v>0.05</v>
      </c>
      <c r="M23" s="67">
        <v>0.25274725274725274</v>
      </c>
      <c r="N23" s="67">
        <v>0.31318681318681318</v>
      </c>
      <c r="O23" s="67">
        <v>0.60869565217391308</v>
      </c>
      <c r="P23" s="67">
        <v>0.43859649122807015</v>
      </c>
      <c r="Q23" s="67">
        <v>0.56451612903225812</v>
      </c>
    </row>
    <row r="24" spans="1:17" x14ac:dyDescent="0.45">
      <c r="A24" s="69">
        <v>21</v>
      </c>
      <c r="B24" s="66">
        <v>82.799999999999983</v>
      </c>
      <c r="C24" s="66">
        <v>3.9428571428571422</v>
      </c>
      <c r="D24" s="71">
        <v>1.8571428571428572</v>
      </c>
      <c r="E24" s="67">
        <v>0.33333333333333331</v>
      </c>
      <c r="F24" s="67">
        <v>0.19047619047619047</v>
      </c>
      <c r="G24" s="67">
        <v>0.34031413612565448</v>
      </c>
      <c r="H24" s="67">
        <v>0.16230366492146597</v>
      </c>
      <c r="I24" s="68">
        <v>8000</v>
      </c>
      <c r="J24" s="68">
        <v>-8645.1612903225814</v>
      </c>
      <c r="K24" s="67">
        <v>0.14285714285714285</v>
      </c>
      <c r="L24" s="67">
        <v>4.7619047619047616E-2</v>
      </c>
      <c r="M24" s="67">
        <v>0.2513089005235602</v>
      </c>
      <c r="N24" s="67">
        <v>0.32460732984293195</v>
      </c>
      <c r="O24" s="67">
        <v>0.60416666666666663</v>
      </c>
      <c r="P24" s="67">
        <v>0.43548387096774194</v>
      </c>
      <c r="Q24" s="67">
        <v>0.55384615384615388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8F870-C171-4491-B5D7-DA2630134B4F}">
  <sheetPr codeName="Sheet24"/>
  <dimension ref="A1:Q27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5">
      <c r="A3" s="69">
        <v>0</v>
      </c>
      <c r="B3" s="66">
        <v>0</v>
      </c>
    </row>
    <row r="4" spans="1:17" x14ac:dyDescent="0.45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5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5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5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5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5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5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5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5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5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5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5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5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5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5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5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5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5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5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5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5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5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5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5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901B2-ED97-4D84-A144-DAB8F99F8197}">
  <sheetPr codeName="Sheet22"/>
  <dimension ref="A1:Q6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5">
      <c r="A3" s="69">
        <v>0</v>
      </c>
      <c r="B3" s="66">
        <v>0</v>
      </c>
    </row>
    <row r="4" spans="1:17" x14ac:dyDescent="0.45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5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5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15F17-7E21-4F70-9FE1-8704985F4A2F}">
  <sheetPr codeName="Sheet20"/>
  <dimension ref="A1:Q106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5">
      <c r="A3" s="69">
        <v>0</v>
      </c>
      <c r="B3" s="66">
        <v>0</v>
      </c>
    </row>
    <row r="4" spans="1:17" x14ac:dyDescent="0.45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5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5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5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5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5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5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5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5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5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5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5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5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5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5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5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5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5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5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5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5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5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5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5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5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5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5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5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5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5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5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5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5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5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5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5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5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5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5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5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5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5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5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5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5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5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5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5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5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5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5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5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5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5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5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5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5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5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5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5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5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5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5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5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5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5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5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5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5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5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5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5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5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5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5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5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5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5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5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5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5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5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5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5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5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5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5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5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5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5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5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5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5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5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5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5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  <row r="100" spans="1:17" x14ac:dyDescent="0.45">
      <c r="A100" s="69">
        <v>97</v>
      </c>
      <c r="B100" s="66">
        <v>19.799999999999926</v>
      </c>
      <c r="C100" s="66">
        <v>0.20412371134020543</v>
      </c>
      <c r="D100" s="71">
        <v>1.9896907216494846</v>
      </c>
      <c r="E100" s="67">
        <v>0.34020618556701032</v>
      </c>
      <c r="F100" s="67">
        <v>0.32989690721649484</v>
      </c>
      <c r="G100" s="67">
        <v>0.27490542244640603</v>
      </c>
      <c r="H100" s="67">
        <v>0.15006305170239598</v>
      </c>
      <c r="I100" s="68">
        <v>8802.2935779816507</v>
      </c>
      <c r="J100" s="68">
        <v>-7187.3949579831933</v>
      </c>
      <c r="K100" s="67">
        <v>0.13402061855670103</v>
      </c>
      <c r="L100" s="67">
        <v>0.1134020618556701</v>
      </c>
      <c r="M100" s="67">
        <v>0.27742749054224464</v>
      </c>
      <c r="N100" s="67">
        <v>0.1828499369482976</v>
      </c>
      <c r="O100" s="67">
        <v>0.60909090909090913</v>
      </c>
      <c r="P100" s="67">
        <v>0.33793103448275863</v>
      </c>
      <c r="Q100" s="67">
        <v>0.45871559633027525</v>
      </c>
    </row>
    <row r="101" spans="1:17" x14ac:dyDescent="0.45">
      <c r="A101" s="69">
        <v>98</v>
      </c>
      <c r="B101" s="66">
        <v>87.099999999999923</v>
      </c>
      <c r="C101" s="66">
        <v>0.88877551020408085</v>
      </c>
      <c r="D101" s="71">
        <v>1.9795918367346939</v>
      </c>
      <c r="E101" s="67">
        <v>0.34693877551020408</v>
      </c>
      <c r="F101" s="67">
        <v>0.32653061224489793</v>
      </c>
      <c r="G101" s="67">
        <v>0.27750000000000002</v>
      </c>
      <c r="H101" s="67">
        <v>0.15</v>
      </c>
      <c r="I101" s="68">
        <v>8856.7567567567567</v>
      </c>
      <c r="J101" s="68">
        <v>-7135.833333333333</v>
      </c>
      <c r="K101" s="67">
        <v>0.1326530612244898</v>
      </c>
      <c r="L101" s="67">
        <v>0.11224489795918367</v>
      </c>
      <c r="M101" s="67">
        <v>0.28000000000000003</v>
      </c>
      <c r="N101" s="67">
        <v>0.1825</v>
      </c>
      <c r="O101" s="67">
        <v>0.6116071428571429</v>
      </c>
      <c r="P101" s="67">
        <v>0.34246575342465752</v>
      </c>
      <c r="Q101" s="67">
        <v>0.45945945945945948</v>
      </c>
    </row>
    <row r="102" spans="1:17" x14ac:dyDescent="0.45">
      <c r="A102" s="69">
        <v>99</v>
      </c>
      <c r="B102" s="66">
        <v>119.29999999999993</v>
      </c>
      <c r="C102" s="66">
        <v>1.2050505050505043</v>
      </c>
      <c r="D102" s="71">
        <v>1.9696969696969697</v>
      </c>
      <c r="E102" s="67">
        <v>0.35353535353535354</v>
      </c>
      <c r="F102" s="67">
        <v>0.32323232323232326</v>
      </c>
      <c r="G102" s="67">
        <v>0.27935723114956734</v>
      </c>
      <c r="H102" s="67">
        <v>0.14956736711990112</v>
      </c>
      <c r="I102" s="68">
        <v>8835.3982300884963</v>
      </c>
      <c r="J102" s="68">
        <v>-7172.727272727273</v>
      </c>
      <c r="K102" s="67">
        <v>0.13131313131313133</v>
      </c>
      <c r="L102" s="67">
        <v>0.1111111111111111</v>
      </c>
      <c r="M102" s="67">
        <v>0.27812113720642767</v>
      </c>
      <c r="N102" s="67">
        <v>0.18665018541409148</v>
      </c>
      <c r="O102" s="67">
        <v>0.61333333333333329</v>
      </c>
      <c r="P102" s="67">
        <v>0.35099337748344372</v>
      </c>
      <c r="Q102" s="67">
        <v>0.45132743362831856</v>
      </c>
    </row>
    <row r="103" spans="1:17" x14ac:dyDescent="0.45">
      <c r="A103" s="69">
        <v>100</v>
      </c>
      <c r="B103" s="66">
        <v>115.59999999999992</v>
      </c>
      <c r="C103" s="66">
        <v>1.1559999999999993</v>
      </c>
      <c r="D103" s="71">
        <v>1.97</v>
      </c>
      <c r="E103" s="67">
        <v>0.35</v>
      </c>
      <c r="F103" s="67">
        <v>0.32</v>
      </c>
      <c r="G103" s="67">
        <v>0.27892813641900122</v>
      </c>
      <c r="H103" s="67">
        <v>0.15103532277710111</v>
      </c>
      <c r="I103" s="68">
        <v>8838.427947598253</v>
      </c>
      <c r="J103" s="68">
        <v>-7139.5161290322585</v>
      </c>
      <c r="K103" s="67">
        <v>0.13</v>
      </c>
      <c r="L103" s="67">
        <v>0.11</v>
      </c>
      <c r="M103" s="67">
        <v>0.27771010962241172</v>
      </c>
      <c r="N103" s="67">
        <v>0.18635809987819732</v>
      </c>
      <c r="O103" s="67">
        <v>0.61403508771929827</v>
      </c>
      <c r="P103" s="67">
        <v>0.34640522875816993</v>
      </c>
      <c r="Q103" s="67">
        <v>0.45851528384279477</v>
      </c>
    </row>
    <row r="104" spans="1:17" x14ac:dyDescent="0.45">
      <c r="A104" s="69">
        <v>101</v>
      </c>
      <c r="B104" s="66">
        <v>111.59999999999992</v>
      </c>
      <c r="C104" s="66">
        <v>1.1049504950495042</v>
      </c>
      <c r="D104" s="71">
        <v>1.9702970297029703</v>
      </c>
      <c r="E104" s="67">
        <v>0.34653465346534651</v>
      </c>
      <c r="F104" s="67">
        <v>0.31683168316831684</v>
      </c>
      <c r="G104" s="67">
        <v>0.27677496991576411</v>
      </c>
      <c r="H104" s="67">
        <v>0.15042117930204574</v>
      </c>
      <c r="I104" s="68">
        <v>8806.95652173913</v>
      </c>
      <c r="J104" s="68">
        <v>-7092.8</v>
      </c>
      <c r="K104" s="67">
        <v>0.12871287128712872</v>
      </c>
      <c r="L104" s="67">
        <v>0.10891089108910891</v>
      </c>
      <c r="M104" s="67">
        <v>0.27557160048134777</v>
      </c>
      <c r="N104" s="67">
        <v>0.18772563176895307</v>
      </c>
      <c r="O104" s="67">
        <v>0.611353711790393</v>
      </c>
      <c r="P104" s="67">
        <v>0.34615384615384615</v>
      </c>
      <c r="Q104" s="67">
        <v>0.46086956521739131</v>
      </c>
    </row>
    <row r="105" spans="1:17" x14ac:dyDescent="0.45">
      <c r="A105" s="69">
        <v>102</v>
      </c>
      <c r="B105" s="66">
        <v>112.49999999999993</v>
      </c>
      <c r="C105" s="66">
        <v>1.1029411764705876</v>
      </c>
      <c r="D105" s="71">
        <v>1.9705882352941178</v>
      </c>
      <c r="E105" s="67">
        <v>0.34313725490196079</v>
      </c>
      <c r="F105" s="67">
        <v>0.31372549019607843</v>
      </c>
      <c r="G105" s="67">
        <v>0.27824019024970276</v>
      </c>
      <c r="H105" s="67">
        <v>0.14982164090368608</v>
      </c>
      <c r="I105" s="68">
        <v>8729.9145299145293</v>
      </c>
      <c r="J105" s="68">
        <v>-7128.5714285714284</v>
      </c>
      <c r="K105" s="67">
        <v>0.12745098039215685</v>
      </c>
      <c r="L105" s="67">
        <v>0.10784313725490197</v>
      </c>
      <c r="M105" s="67">
        <v>0.27586206896551724</v>
      </c>
      <c r="N105" s="67">
        <v>0.18549346016646848</v>
      </c>
      <c r="O105" s="67">
        <v>0.61637931034482762</v>
      </c>
      <c r="P105" s="67">
        <v>0.34615384615384615</v>
      </c>
      <c r="Q105" s="67">
        <v>0.45726495726495725</v>
      </c>
    </row>
    <row r="106" spans="1:17" x14ac:dyDescent="0.45">
      <c r="A106" s="69">
        <v>103</v>
      </c>
      <c r="B106" s="66">
        <v>67.699999999999932</v>
      </c>
      <c r="C106" s="66">
        <v>0.65728155339805761</v>
      </c>
      <c r="D106" s="71">
        <v>1.9805825242718447</v>
      </c>
      <c r="E106" s="67">
        <v>0.33980582524271846</v>
      </c>
      <c r="F106" s="67">
        <v>0.32038834951456313</v>
      </c>
      <c r="G106" s="67">
        <v>0.2752941176470588</v>
      </c>
      <c r="H106" s="67">
        <v>0.14941176470588236</v>
      </c>
      <c r="I106" s="68">
        <v>8729.9145299145293</v>
      </c>
      <c r="J106" s="68">
        <v>-7113.3858267716532</v>
      </c>
      <c r="K106" s="67">
        <v>0.12621359223300971</v>
      </c>
      <c r="L106" s="67">
        <v>0.10679611650485436</v>
      </c>
      <c r="M106" s="67">
        <v>0.27294117647058824</v>
      </c>
      <c r="N106" s="67">
        <v>0.18588235294117647</v>
      </c>
      <c r="O106" s="67">
        <v>0.61637931034482762</v>
      </c>
      <c r="P106" s="67">
        <v>0.34177215189873417</v>
      </c>
      <c r="Q106" s="67">
        <v>0.45726495726495725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EA65-AA77-4DF0-8DDF-183586E97343}">
  <sheetPr codeName="Sheet18"/>
  <dimension ref="A1:Q62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5">
      <c r="A3" s="69">
        <v>0</v>
      </c>
      <c r="B3" s="66">
        <v>0</v>
      </c>
    </row>
    <row r="4" spans="1:17" x14ac:dyDescent="0.45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5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5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5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5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5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5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5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5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5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5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5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5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5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5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5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5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5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5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5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5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5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5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5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5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5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5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5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5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5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5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5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5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5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5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5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5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5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5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5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5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5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5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5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5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5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5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5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5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5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5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5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5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  <row r="57" spans="1:17" x14ac:dyDescent="0.45">
      <c r="A57" s="69">
        <v>54</v>
      </c>
      <c r="B57" s="66">
        <v>-404.6</v>
      </c>
      <c r="C57" s="66">
        <v>-7.4925925925925929</v>
      </c>
      <c r="D57" s="71">
        <v>2.1111111111111112</v>
      </c>
      <c r="E57" s="67">
        <v>0.27777777777777779</v>
      </c>
      <c r="F57" s="67">
        <v>0.3888888888888889</v>
      </c>
      <c r="G57" s="67">
        <v>0.28358208955223879</v>
      </c>
      <c r="H57" s="67">
        <v>0.18336886993603413</v>
      </c>
      <c r="I57" s="68">
        <v>7569.1729323308273</v>
      </c>
      <c r="J57" s="68">
        <v>-8275.5813953488378</v>
      </c>
      <c r="K57" s="67">
        <v>0.14814814814814814</v>
      </c>
      <c r="L57" s="67">
        <v>7.407407407407407E-2</v>
      </c>
      <c r="M57" s="67">
        <v>0.21961620469083157</v>
      </c>
      <c r="N57" s="67">
        <v>0.23454157782515991</v>
      </c>
      <c r="O57" s="67">
        <v>0.55339805825242716</v>
      </c>
      <c r="P57" s="67">
        <v>0.34545454545454546</v>
      </c>
      <c r="Q57" s="67">
        <v>0.50375939849624063</v>
      </c>
    </row>
    <row r="58" spans="1:17" x14ac:dyDescent="0.45">
      <c r="A58" s="69">
        <v>55</v>
      </c>
      <c r="B58" s="66">
        <v>-349.5</v>
      </c>
      <c r="C58" s="66">
        <v>-6.3545454545454545</v>
      </c>
      <c r="D58" s="71">
        <v>2.0909090909090908</v>
      </c>
      <c r="E58" s="67">
        <v>0.29090909090909089</v>
      </c>
      <c r="F58" s="67">
        <v>0.38181818181818183</v>
      </c>
      <c r="G58" s="67">
        <v>0.2881002087682672</v>
      </c>
      <c r="H58" s="67">
        <v>0.17954070981210857</v>
      </c>
      <c r="I58" s="68">
        <v>7540.579710144928</v>
      </c>
      <c r="J58" s="68">
        <v>-8275.5813953488378</v>
      </c>
      <c r="K58" s="67">
        <v>0.14545454545454545</v>
      </c>
      <c r="L58" s="67">
        <v>7.2727272727272724E-2</v>
      </c>
      <c r="M58" s="67">
        <v>0.22129436325678498</v>
      </c>
      <c r="N58" s="67">
        <v>0.23173277661795408</v>
      </c>
      <c r="O58" s="67">
        <v>0.56603773584905659</v>
      </c>
      <c r="P58" s="67">
        <v>0.34234234234234234</v>
      </c>
      <c r="Q58" s="67">
        <v>0.5</v>
      </c>
    </row>
    <row r="59" spans="1:17" x14ac:dyDescent="0.45">
      <c r="A59" s="69">
        <v>56</v>
      </c>
      <c r="B59" s="66">
        <v>-397.1</v>
      </c>
      <c r="C59" s="66">
        <v>-7.0910714285714294</v>
      </c>
      <c r="D59" s="71">
        <v>2.1071428571428572</v>
      </c>
      <c r="E59" s="67">
        <v>0.2857142857142857</v>
      </c>
      <c r="F59" s="67">
        <v>0.39285714285714285</v>
      </c>
      <c r="G59" s="67">
        <v>0.2857142857142857</v>
      </c>
      <c r="H59" s="67">
        <v>0.18571428571428572</v>
      </c>
      <c r="I59" s="68">
        <v>7573.5714285714284</v>
      </c>
      <c r="J59" s="68">
        <v>-8203.2967032967026</v>
      </c>
      <c r="K59" s="67">
        <v>0.14285714285714285</v>
      </c>
      <c r="L59" s="67">
        <v>7.1428571428571425E-2</v>
      </c>
      <c r="M59" s="67">
        <v>0.22040816326530613</v>
      </c>
      <c r="N59" s="67">
        <v>0.22653061224489796</v>
      </c>
      <c r="O59" s="67">
        <v>0.57407407407407407</v>
      </c>
      <c r="P59" s="67">
        <v>0.34234234234234234</v>
      </c>
      <c r="Q59" s="67">
        <v>0.5</v>
      </c>
    </row>
    <row r="60" spans="1:17" x14ac:dyDescent="0.45">
      <c r="A60" s="69">
        <v>57</v>
      </c>
      <c r="B60" s="66">
        <v>-461.6</v>
      </c>
      <c r="C60" s="66">
        <v>-8.098245614035088</v>
      </c>
      <c r="D60" s="71">
        <v>2.1228070175438596</v>
      </c>
      <c r="E60" s="67">
        <v>0.2807017543859649</v>
      </c>
      <c r="F60" s="67">
        <v>0.40350877192982454</v>
      </c>
      <c r="G60" s="67">
        <v>0.28370221327967809</v>
      </c>
      <c r="H60" s="67">
        <v>0.1891348088531187</v>
      </c>
      <c r="I60" s="68">
        <v>7531.2056737588655</v>
      </c>
      <c r="J60" s="68">
        <v>-8229.7872340425529</v>
      </c>
      <c r="K60" s="67">
        <v>0.15789473684210525</v>
      </c>
      <c r="L60" s="67">
        <v>7.0175438596491224E-2</v>
      </c>
      <c r="M60" s="67">
        <v>0.22132796780684105</v>
      </c>
      <c r="N60" s="67">
        <v>0.22535211267605634</v>
      </c>
      <c r="O60" s="67">
        <v>0.5636363636363636</v>
      </c>
      <c r="P60" s="67">
        <v>0.3392857142857143</v>
      </c>
      <c r="Q60" s="67">
        <v>0.50354609929078009</v>
      </c>
    </row>
    <row r="61" spans="1:17" x14ac:dyDescent="0.45">
      <c r="A61" s="69">
        <v>58</v>
      </c>
      <c r="B61" s="66">
        <v>-521</v>
      </c>
      <c r="C61" s="66">
        <v>-8.9827586206896548</v>
      </c>
      <c r="D61" s="71">
        <v>2.1379310344827585</v>
      </c>
      <c r="E61" s="67">
        <v>0.27586206896551724</v>
      </c>
      <c r="F61" s="67">
        <v>0.41379310344827586</v>
      </c>
      <c r="G61" s="67">
        <v>0.28031809145129227</v>
      </c>
      <c r="H61" s="67">
        <v>0.19284294234592445</v>
      </c>
      <c r="I61" s="68">
        <v>7531.2056737588655</v>
      </c>
      <c r="J61" s="68">
        <v>-8221.649484536083</v>
      </c>
      <c r="K61" s="67">
        <v>0.17241379310344829</v>
      </c>
      <c r="L61" s="67">
        <v>6.8965517241379309E-2</v>
      </c>
      <c r="M61" s="67">
        <v>0.21868787276341947</v>
      </c>
      <c r="N61" s="67">
        <v>0.22465208747514911</v>
      </c>
      <c r="O61" s="67">
        <v>0.5636363636363636</v>
      </c>
      <c r="P61" s="67">
        <v>0.33628318584070799</v>
      </c>
      <c r="Q61" s="67">
        <v>0.50354609929078009</v>
      </c>
    </row>
    <row r="62" spans="1:17" x14ac:dyDescent="0.45">
      <c r="A62" s="69">
        <v>59</v>
      </c>
      <c r="B62" s="66">
        <v>-521</v>
      </c>
      <c r="C62" s="66">
        <v>-8.8305084745762716</v>
      </c>
      <c r="D62" s="71">
        <v>2.1355932203389831</v>
      </c>
      <c r="E62" s="67">
        <v>0.2711864406779661</v>
      </c>
      <c r="F62" s="67">
        <v>0.40677966101694918</v>
      </c>
      <c r="G62" s="67">
        <v>0.27920792079207923</v>
      </c>
      <c r="H62" s="67">
        <v>0.19207920792079208</v>
      </c>
      <c r="I62" s="68">
        <v>7531.2056737588655</v>
      </c>
      <c r="J62" s="68">
        <v>-8221.649484536083</v>
      </c>
      <c r="K62" s="67">
        <v>0.16949152542372881</v>
      </c>
      <c r="L62" s="67">
        <v>6.7796610169491525E-2</v>
      </c>
      <c r="M62" s="67">
        <v>0.21782178217821782</v>
      </c>
      <c r="N62" s="67">
        <v>0.22376237623762377</v>
      </c>
      <c r="O62" s="67">
        <v>0.5636363636363636</v>
      </c>
      <c r="P62" s="67">
        <v>0.33628318584070799</v>
      </c>
      <c r="Q62" s="67">
        <v>0.50354609929078009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40688-FB11-4D5B-BE50-EFB2375ACB09}">
  <sheetPr codeName="Sheet16"/>
  <dimension ref="A1:Q106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5">
      <c r="A3" s="69">
        <v>0</v>
      </c>
      <c r="B3" s="66">
        <v>0</v>
      </c>
    </row>
    <row r="4" spans="1:17" x14ac:dyDescent="0.45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5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5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5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5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5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5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5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5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5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5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5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5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5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5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5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5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5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5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5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5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5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5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5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5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5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5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5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5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5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5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5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5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5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5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5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5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5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5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5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5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5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5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5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5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5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5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5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5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5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5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5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5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5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5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5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5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5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5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5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5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5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5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5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5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5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5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5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5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5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5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5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5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5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5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5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5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5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5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5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5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5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5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5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5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5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5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5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5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5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5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5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5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5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5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5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5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  <row r="101" spans="1:17" x14ac:dyDescent="0.45">
      <c r="A101" s="69">
        <v>98</v>
      </c>
      <c r="B101" s="66">
        <v>-164.70000000000005</v>
      </c>
      <c r="C101" s="66">
        <v>-1.6806122448979597</v>
      </c>
      <c r="D101" s="71">
        <v>2.0510204081632653</v>
      </c>
      <c r="E101" s="67">
        <v>0.25510204081632654</v>
      </c>
      <c r="F101" s="67">
        <v>0.30612244897959184</v>
      </c>
      <c r="G101" s="67">
        <v>0.3385731559854897</v>
      </c>
      <c r="H101" s="67">
        <v>0.14147521160822249</v>
      </c>
      <c r="I101" s="68">
        <v>6786.7857142857147</v>
      </c>
      <c r="J101" s="68">
        <v>-8153.8461538461543</v>
      </c>
      <c r="K101" s="67">
        <v>5.1020408163265307E-2</v>
      </c>
      <c r="L101" s="67">
        <v>0.10204081632653061</v>
      </c>
      <c r="M101" s="67">
        <v>0.21402660217654171</v>
      </c>
      <c r="N101" s="67">
        <v>0.2841596130592503</v>
      </c>
      <c r="O101" s="67">
        <v>0.5536723163841808</v>
      </c>
      <c r="P101" s="67">
        <v>0.42553191489361702</v>
      </c>
      <c r="Q101" s="67">
        <v>0.4</v>
      </c>
    </row>
    <row r="102" spans="1:17" x14ac:dyDescent="0.45">
      <c r="A102" s="69">
        <v>99</v>
      </c>
      <c r="B102" s="66">
        <v>-172.90000000000003</v>
      </c>
      <c r="C102" s="66">
        <v>-1.7464646464646467</v>
      </c>
      <c r="D102" s="71">
        <v>2.0505050505050506</v>
      </c>
      <c r="E102" s="67">
        <v>0.25252525252525254</v>
      </c>
      <c r="F102" s="67">
        <v>0.30303030303030304</v>
      </c>
      <c r="G102" s="67">
        <v>0.33693045563549162</v>
      </c>
      <c r="H102" s="67">
        <v>0.14028776978417265</v>
      </c>
      <c r="I102" s="68">
        <v>6766.9039145907473</v>
      </c>
      <c r="J102" s="68">
        <v>-8153.8461538461543</v>
      </c>
      <c r="K102" s="67">
        <v>5.0505050505050504E-2</v>
      </c>
      <c r="L102" s="67">
        <v>0.10101010101010101</v>
      </c>
      <c r="M102" s="67">
        <v>0.21223021582733814</v>
      </c>
      <c r="N102" s="67">
        <v>0.28776978417266186</v>
      </c>
      <c r="O102" s="67">
        <v>0.5536723163841808</v>
      </c>
      <c r="P102" s="67">
        <v>0.42083333333333334</v>
      </c>
      <c r="Q102" s="67">
        <v>0.40213523131672596</v>
      </c>
    </row>
    <row r="103" spans="1:17" x14ac:dyDescent="0.45">
      <c r="A103" s="69">
        <v>100</v>
      </c>
      <c r="B103" s="66">
        <v>-177.80000000000004</v>
      </c>
      <c r="C103" s="66">
        <v>-1.7780000000000005</v>
      </c>
      <c r="D103" s="71">
        <v>2.0499999999999998</v>
      </c>
      <c r="E103" s="67">
        <v>0.25</v>
      </c>
      <c r="F103" s="67">
        <v>0.3</v>
      </c>
      <c r="G103" s="67">
        <v>0.33847980997624705</v>
      </c>
      <c r="H103" s="67">
        <v>0.14133016627078385</v>
      </c>
      <c r="I103" s="68">
        <v>6753.333333333333</v>
      </c>
      <c r="J103" s="68">
        <v>-8181.5126050420167</v>
      </c>
      <c r="K103" s="67">
        <v>0.05</v>
      </c>
      <c r="L103" s="67">
        <v>0.1</v>
      </c>
      <c r="M103" s="67">
        <v>0.21377672209026127</v>
      </c>
      <c r="N103" s="67">
        <v>0.28978622327790976</v>
      </c>
      <c r="O103" s="67">
        <v>0.55555555555555558</v>
      </c>
      <c r="P103" s="67">
        <v>0.42213114754098363</v>
      </c>
      <c r="Q103" s="67">
        <v>0.4</v>
      </c>
    </row>
    <row r="104" spans="1:17" x14ac:dyDescent="0.45">
      <c r="A104" s="69">
        <v>101</v>
      </c>
      <c r="B104" s="66">
        <v>-212.40000000000003</v>
      </c>
      <c r="C104" s="66">
        <v>-2.1029702970297035</v>
      </c>
      <c r="D104" s="71">
        <v>2.0594059405940595</v>
      </c>
      <c r="E104" s="67">
        <v>0.24752475247524752</v>
      </c>
      <c r="F104" s="67">
        <v>0.30693069306930693</v>
      </c>
      <c r="G104" s="67">
        <v>0.33647058823529413</v>
      </c>
      <c r="H104" s="67">
        <v>0.14117647058823529</v>
      </c>
      <c r="I104" s="68">
        <v>6763.2867132867132</v>
      </c>
      <c r="J104" s="68">
        <v>-8246.6666666666661</v>
      </c>
      <c r="K104" s="67">
        <v>4.9504950495049507E-2</v>
      </c>
      <c r="L104" s="67">
        <v>9.9009900990099015E-2</v>
      </c>
      <c r="M104" s="67">
        <v>0.21294117647058824</v>
      </c>
      <c r="N104" s="67">
        <v>0.28705882352941176</v>
      </c>
      <c r="O104" s="67">
        <v>0.5524861878453039</v>
      </c>
      <c r="P104" s="67">
        <v>0.42213114754098363</v>
      </c>
      <c r="Q104" s="67">
        <v>0.39860139860139859</v>
      </c>
    </row>
    <row r="105" spans="1:17" x14ac:dyDescent="0.45">
      <c r="A105" s="69">
        <v>102</v>
      </c>
      <c r="B105" s="66">
        <v>-200.80000000000004</v>
      </c>
      <c r="C105" s="66">
        <v>-1.9686274509803925</v>
      </c>
      <c r="D105" s="71">
        <v>2.0588235294117645</v>
      </c>
      <c r="E105" s="67">
        <v>0.24509803921568626</v>
      </c>
      <c r="F105" s="67">
        <v>0.30392156862745096</v>
      </c>
      <c r="G105" s="67">
        <v>0.3368298368298368</v>
      </c>
      <c r="H105" s="67">
        <v>0.14102564102564102</v>
      </c>
      <c r="I105" s="68">
        <v>6779.2387543252598</v>
      </c>
      <c r="J105" s="68">
        <v>-8226.446280991735</v>
      </c>
      <c r="K105" s="67">
        <v>4.9019607843137254E-2</v>
      </c>
      <c r="L105" s="67">
        <v>9.8039215686274508E-2</v>
      </c>
      <c r="M105" s="67">
        <v>0.21212121212121213</v>
      </c>
      <c r="N105" s="67">
        <v>0.28904428904428903</v>
      </c>
      <c r="O105" s="67">
        <v>0.55494505494505497</v>
      </c>
      <c r="P105" s="67">
        <v>0.42338709677419356</v>
      </c>
      <c r="Q105" s="67">
        <v>0.39792387543252594</v>
      </c>
    </row>
    <row r="106" spans="1:17" x14ac:dyDescent="0.45">
      <c r="A106" s="69">
        <v>103</v>
      </c>
      <c r="B106" s="66">
        <v>-259.40000000000003</v>
      </c>
      <c r="C106" s="66">
        <v>-2.518446601941748</v>
      </c>
      <c r="D106" s="71">
        <v>2.0679611650485437</v>
      </c>
      <c r="E106" s="67">
        <v>0.24271844660194175</v>
      </c>
      <c r="F106" s="67">
        <v>0.31067961165048541</v>
      </c>
      <c r="G106" s="67">
        <v>0.33564814814814814</v>
      </c>
      <c r="H106" s="67">
        <v>0.14351851851851852</v>
      </c>
      <c r="I106" s="68">
        <v>6773.7931034482763</v>
      </c>
      <c r="J106" s="68">
        <v>-8308.0645161290322</v>
      </c>
      <c r="K106" s="67">
        <v>5.8252427184466021E-2</v>
      </c>
      <c r="L106" s="67">
        <v>9.7087378640776698E-2</v>
      </c>
      <c r="M106" s="67">
        <v>0.21180555555555555</v>
      </c>
      <c r="N106" s="67">
        <v>0.28703703703703703</v>
      </c>
      <c r="O106" s="67">
        <v>0.55737704918032782</v>
      </c>
      <c r="P106" s="67">
        <v>0.42338709677419356</v>
      </c>
      <c r="Q106" s="67">
        <v>0.39655172413793105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0AAF-3AB7-4131-9DFF-404881CD7E76}">
  <sheetPr codeName="Sheet14"/>
  <dimension ref="A1:Q109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5">
      <c r="A3" s="69">
        <v>0</v>
      </c>
      <c r="B3" s="66">
        <v>0</v>
      </c>
    </row>
    <row r="4" spans="1:17" x14ac:dyDescent="0.45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5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5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5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5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5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5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5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5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5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5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5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5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5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5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5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5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5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5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5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5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5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5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5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5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5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5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5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5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5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5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5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5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5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5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5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5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5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5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5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5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5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5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5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5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5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5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5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5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5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5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5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5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5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5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5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5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5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5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5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5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5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5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5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5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5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5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5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5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5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5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5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5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5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5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5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5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5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5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5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5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5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5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5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5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5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5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5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5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5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5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5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5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5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5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5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5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5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5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  <row r="103" spans="1:17" x14ac:dyDescent="0.45">
      <c r="A103" s="69">
        <v>100</v>
      </c>
      <c r="B103" s="66">
        <v>-46.699999999999989</v>
      </c>
      <c r="C103" s="66">
        <v>-0.46699999999999986</v>
      </c>
      <c r="D103" s="71">
        <v>2.06</v>
      </c>
      <c r="E103" s="67">
        <v>0.3</v>
      </c>
      <c r="F103" s="67">
        <v>0.36</v>
      </c>
      <c r="G103" s="67">
        <v>0.28226779252110978</v>
      </c>
      <c r="H103" s="67">
        <v>0.1773220747889023</v>
      </c>
      <c r="I103" s="68">
        <v>9999.1452991452988</v>
      </c>
      <c r="J103" s="68">
        <v>-8448.299319727892</v>
      </c>
      <c r="K103" s="67">
        <v>0.11</v>
      </c>
      <c r="L103" s="67">
        <v>0.15</v>
      </c>
      <c r="M103" s="67">
        <v>0.28829915560916769</v>
      </c>
      <c r="N103" s="67">
        <v>0.19662243667068757</v>
      </c>
      <c r="O103" s="67">
        <v>0.56485355648535562</v>
      </c>
      <c r="P103" s="67">
        <v>0.40490797546012269</v>
      </c>
      <c r="Q103" s="67">
        <v>0.40598290598290598</v>
      </c>
    </row>
    <row r="104" spans="1:17" x14ac:dyDescent="0.45">
      <c r="A104" s="69">
        <v>101</v>
      </c>
      <c r="B104" s="66">
        <v>-17.099999999999987</v>
      </c>
      <c r="C104" s="66">
        <v>-0.16930693069306918</v>
      </c>
      <c r="D104" s="71">
        <v>2.0495049504950495</v>
      </c>
      <c r="E104" s="67">
        <v>0.30693069306930693</v>
      </c>
      <c r="F104" s="67">
        <v>0.35643564356435642</v>
      </c>
      <c r="G104" s="67">
        <v>0.28229665071770332</v>
      </c>
      <c r="H104" s="67">
        <v>0.17822966507177032</v>
      </c>
      <c r="I104" s="68">
        <v>10024.576271186441</v>
      </c>
      <c r="J104" s="68">
        <v>-8423.4899328859065</v>
      </c>
      <c r="K104" s="67">
        <v>0.10891089108910891</v>
      </c>
      <c r="L104" s="67">
        <v>0.14851485148514851</v>
      </c>
      <c r="M104" s="67">
        <v>0.28708133971291866</v>
      </c>
      <c r="N104" s="67">
        <v>0.19856459330143542</v>
      </c>
      <c r="O104" s="67">
        <v>0.5625</v>
      </c>
      <c r="P104" s="67">
        <v>0.40361445783132532</v>
      </c>
      <c r="Q104" s="67">
        <v>0.40677966101694918</v>
      </c>
    </row>
    <row r="105" spans="1:17" x14ac:dyDescent="0.45">
      <c r="A105" s="69">
        <v>102</v>
      </c>
      <c r="B105" s="66">
        <v>27.400000000000013</v>
      </c>
      <c r="C105" s="66">
        <v>0.26862745098039226</v>
      </c>
      <c r="D105" s="71">
        <v>2.0392156862745097</v>
      </c>
      <c r="E105" s="67">
        <v>0.31372549019607843</v>
      </c>
      <c r="F105" s="67">
        <v>0.35294117647058826</v>
      </c>
      <c r="G105" s="67">
        <v>0.28436018957345971</v>
      </c>
      <c r="H105" s="67">
        <v>0.17772511848341233</v>
      </c>
      <c r="I105" s="68">
        <v>10017.083333333334</v>
      </c>
      <c r="J105" s="68">
        <v>-8399.3333333333339</v>
      </c>
      <c r="K105" s="67">
        <v>0.10784313725490197</v>
      </c>
      <c r="L105" s="67">
        <v>0.14705882352941177</v>
      </c>
      <c r="M105" s="67">
        <v>0.28554502369668244</v>
      </c>
      <c r="N105" s="67">
        <v>0.1990521327014218</v>
      </c>
      <c r="O105" s="67">
        <v>0.56431535269709543</v>
      </c>
      <c r="P105" s="67">
        <v>0.40476190476190477</v>
      </c>
      <c r="Q105" s="67">
        <v>0.40416666666666667</v>
      </c>
    </row>
    <row r="106" spans="1:17" x14ac:dyDescent="0.45">
      <c r="A106" s="69">
        <v>103</v>
      </c>
      <c r="B106" s="66">
        <v>34.400000000000013</v>
      </c>
      <c r="C106" s="66">
        <v>0.33398058252427199</v>
      </c>
      <c r="D106" s="71">
        <v>2.0388349514563107</v>
      </c>
      <c r="E106" s="67">
        <v>0.31067961165048541</v>
      </c>
      <c r="F106" s="67">
        <v>0.34951456310679613</v>
      </c>
      <c r="G106" s="67">
        <v>0.2847058823529412</v>
      </c>
      <c r="H106" s="67">
        <v>0.17647058823529413</v>
      </c>
      <c r="I106" s="68">
        <v>10000.413223140496</v>
      </c>
      <c r="J106" s="68">
        <v>-8399.3333333333339</v>
      </c>
      <c r="K106" s="67">
        <v>0.10679611650485436</v>
      </c>
      <c r="L106" s="67">
        <v>0.14563106796116504</v>
      </c>
      <c r="M106" s="67">
        <v>0.28352941176470586</v>
      </c>
      <c r="N106" s="67">
        <v>0.1976470588235294</v>
      </c>
      <c r="O106" s="67">
        <v>0.56431535269709543</v>
      </c>
      <c r="P106" s="67">
        <v>0.40476190476190477</v>
      </c>
      <c r="Q106" s="67">
        <v>0.4049586776859504</v>
      </c>
    </row>
    <row r="107" spans="1:17" x14ac:dyDescent="0.45">
      <c r="A107" s="69">
        <v>104</v>
      </c>
      <c r="B107" s="66">
        <v>29.800000000000011</v>
      </c>
      <c r="C107" s="66">
        <v>0.28653846153846163</v>
      </c>
      <c r="D107" s="71">
        <v>2.0384615384615383</v>
      </c>
      <c r="E107" s="67">
        <v>0.30769230769230771</v>
      </c>
      <c r="F107" s="67">
        <v>0.34615384615384615</v>
      </c>
      <c r="G107" s="67">
        <v>0.28587962962962965</v>
      </c>
      <c r="H107" s="67">
        <v>0.17476851851851852</v>
      </c>
      <c r="I107" s="68">
        <v>9887.4493927125513</v>
      </c>
      <c r="J107" s="68">
        <v>-8369.5364238410602</v>
      </c>
      <c r="K107" s="67">
        <v>0.10576923076923077</v>
      </c>
      <c r="L107" s="67">
        <v>0.14423076923076922</v>
      </c>
      <c r="M107" s="67">
        <v>0.28356481481481483</v>
      </c>
      <c r="N107" s="67">
        <v>0.19675925925925927</v>
      </c>
      <c r="O107" s="67">
        <v>0.56326530612244896</v>
      </c>
      <c r="P107" s="67">
        <v>0.4</v>
      </c>
      <c r="Q107" s="67">
        <v>0.40485829959514169</v>
      </c>
    </row>
    <row r="108" spans="1:17" x14ac:dyDescent="0.45">
      <c r="A108" s="69">
        <v>105</v>
      </c>
      <c r="B108" s="66">
        <v>105.00000000000001</v>
      </c>
      <c r="C108" s="66">
        <v>1.0000000000000002</v>
      </c>
      <c r="D108" s="71">
        <v>2.0285714285714285</v>
      </c>
      <c r="E108" s="67">
        <v>0.31428571428571428</v>
      </c>
      <c r="F108" s="67">
        <v>0.34285714285714286</v>
      </c>
      <c r="G108" s="67">
        <v>0.28965517241379313</v>
      </c>
      <c r="H108" s="67">
        <v>0.17471264367816092</v>
      </c>
      <c r="I108" s="68">
        <v>9907.1428571428569</v>
      </c>
      <c r="J108" s="68">
        <v>-8348.6842105263149</v>
      </c>
      <c r="K108" s="67">
        <v>0.10476190476190476</v>
      </c>
      <c r="L108" s="67">
        <v>0.15238095238095239</v>
      </c>
      <c r="M108" s="67">
        <v>0.28620689655172415</v>
      </c>
      <c r="N108" s="67">
        <v>0.19770114942528735</v>
      </c>
      <c r="O108" s="67">
        <v>0.5662650602409639</v>
      </c>
      <c r="P108" s="67">
        <v>0.40697674418604651</v>
      </c>
      <c r="Q108" s="67">
        <v>0.40079365079365081</v>
      </c>
    </row>
    <row r="109" spans="1:17" x14ac:dyDescent="0.45">
      <c r="A109" s="69">
        <v>106</v>
      </c>
      <c r="B109" s="66">
        <v>140.5</v>
      </c>
      <c r="C109" s="66">
        <v>1.3254716981132075</v>
      </c>
      <c r="D109" s="71">
        <v>2.0188679245283021</v>
      </c>
      <c r="E109" s="67">
        <v>0.32075471698113206</v>
      </c>
      <c r="F109" s="67">
        <v>0.33962264150943394</v>
      </c>
      <c r="G109" s="67">
        <v>0.29090909090909089</v>
      </c>
      <c r="H109" s="67">
        <v>0.17613636363636365</v>
      </c>
      <c r="I109" s="68">
        <v>9913.671875</v>
      </c>
      <c r="J109" s="68">
        <v>-8313.5483870967746</v>
      </c>
      <c r="K109" s="67">
        <v>0.10377358490566038</v>
      </c>
      <c r="L109" s="67">
        <v>0.15094339622641509</v>
      </c>
      <c r="M109" s="67">
        <v>0.28409090909090912</v>
      </c>
      <c r="N109" s="67">
        <v>0.19886363636363635</v>
      </c>
      <c r="O109" s="67">
        <v>0.56799999999999995</v>
      </c>
      <c r="P109" s="67">
        <v>0.41714285714285715</v>
      </c>
      <c r="Q109" s="67">
        <v>0.40234375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03992-7F68-4A00-90DB-AB3044AE7802}">
  <sheetPr codeName="Sheet12"/>
  <dimension ref="A1:Q163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5">
      <c r="A3" s="69">
        <v>0</v>
      </c>
      <c r="B3" s="66">
        <v>0</v>
      </c>
    </row>
    <row r="4" spans="1:17" x14ac:dyDescent="0.45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5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5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5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5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5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5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5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5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5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5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5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5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5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5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5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5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5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5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5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5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5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5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5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5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5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5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5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5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5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5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5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5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5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5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5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5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5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5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5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5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5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5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5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5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5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5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5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5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5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5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5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5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5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5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5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5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5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5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5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5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5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5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5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5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5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5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5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5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5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5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5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5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5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5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5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5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5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5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5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5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5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5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5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5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5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5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5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5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5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5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5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5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5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5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5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5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5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5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5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5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5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5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5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5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5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5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5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5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5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5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5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5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5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5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5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5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5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5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5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5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5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5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5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5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5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5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5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5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5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  <row r="134" spans="1:17" x14ac:dyDescent="0.45">
      <c r="A134" s="69">
        <v>131</v>
      </c>
      <c r="B134" s="66">
        <v>-938.50000000000011</v>
      </c>
      <c r="C134" s="66">
        <v>-7.1641221374045809</v>
      </c>
      <c r="D134" s="71">
        <v>2.0916030534351147</v>
      </c>
      <c r="E134" s="67">
        <v>0.31297709923664124</v>
      </c>
      <c r="F134" s="67">
        <v>0.40458015267175573</v>
      </c>
      <c r="G134" s="67">
        <v>0.27017225747960111</v>
      </c>
      <c r="H134" s="67">
        <v>0.17769718948322757</v>
      </c>
      <c r="I134" s="68">
        <v>8558.3892617449656</v>
      </c>
      <c r="J134" s="68">
        <v>-8792.8571428571431</v>
      </c>
      <c r="K134" s="67">
        <v>0.16793893129770993</v>
      </c>
      <c r="L134" s="67">
        <v>0.11450381679389313</v>
      </c>
      <c r="M134" s="67">
        <v>0.25929283771532186</v>
      </c>
      <c r="N134" s="67">
        <v>0.18041704442429737</v>
      </c>
      <c r="O134" s="67">
        <v>0.534965034965035</v>
      </c>
      <c r="P134" s="67">
        <v>0.32160804020100503</v>
      </c>
      <c r="Q134" s="67">
        <v>0.43624161073825501</v>
      </c>
    </row>
    <row r="135" spans="1:17" x14ac:dyDescent="0.45">
      <c r="A135" s="69">
        <v>132</v>
      </c>
      <c r="B135" s="66">
        <v>-967.90000000000009</v>
      </c>
      <c r="C135" s="66">
        <v>-7.332575757575758</v>
      </c>
      <c r="D135" s="71">
        <v>2.0984848484848486</v>
      </c>
      <c r="E135" s="67">
        <v>0.31060606060606061</v>
      </c>
      <c r="F135" s="67">
        <v>0.40909090909090912</v>
      </c>
      <c r="G135" s="67">
        <v>0.26936936936936939</v>
      </c>
      <c r="H135" s="67">
        <v>0.17747747747747747</v>
      </c>
      <c r="I135" s="68">
        <v>8555.5183946488287</v>
      </c>
      <c r="J135" s="68">
        <v>-8787.3096446700511</v>
      </c>
      <c r="K135" s="67">
        <v>0.16666666666666666</v>
      </c>
      <c r="L135" s="67">
        <v>0.11363636363636363</v>
      </c>
      <c r="M135" s="67">
        <v>0.25765765765765763</v>
      </c>
      <c r="N135" s="67">
        <v>0.18378378378378379</v>
      </c>
      <c r="O135" s="67">
        <v>0.534965034965035</v>
      </c>
      <c r="P135" s="67">
        <v>0.31862745098039214</v>
      </c>
      <c r="Q135" s="67">
        <v>0.43812709030100333</v>
      </c>
    </row>
    <row r="136" spans="1:17" x14ac:dyDescent="0.45">
      <c r="A136" s="69">
        <v>133</v>
      </c>
      <c r="B136" s="66">
        <v>-1016.2</v>
      </c>
      <c r="C136" s="66">
        <v>-7.6406015037593988</v>
      </c>
      <c r="D136" s="71">
        <v>2.1052631578947367</v>
      </c>
      <c r="E136" s="67">
        <v>0.30827067669172931</v>
      </c>
      <c r="F136" s="67">
        <v>0.41353383458646614</v>
      </c>
      <c r="G136" s="67">
        <v>0.26744186046511625</v>
      </c>
      <c r="H136" s="67">
        <v>0.17889087656529518</v>
      </c>
      <c r="I136" s="68">
        <v>8555.5183946488287</v>
      </c>
      <c r="J136" s="68">
        <v>-8740.5</v>
      </c>
      <c r="K136" s="67">
        <v>0.16541353383458646</v>
      </c>
      <c r="L136" s="67">
        <v>0.11278195488721804</v>
      </c>
      <c r="M136" s="67">
        <v>0.2558139534883721</v>
      </c>
      <c r="N136" s="67">
        <v>0.18515205724508049</v>
      </c>
      <c r="O136" s="67">
        <v>0.534965034965035</v>
      </c>
      <c r="P136" s="67">
        <v>0.3140096618357488</v>
      </c>
      <c r="Q136" s="67">
        <v>0.43812709030100333</v>
      </c>
    </row>
    <row r="137" spans="1:17" x14ac:dyDescent="0.45">
      <c r="A137" s="69">
        <v>134</v>
      </c>
      <c r="B137" s="66">
        <v>-1019.5</v>
      </c>
      <c r="C137" s="66">
        <v>-7.6082089552238807</v>
      </c>
      <c r="D137" s="71">
        <v>2.1044776119402986</v>
      </c>
      <c r="E137" s="67">
        <v>0.30597014925373134</v>
      </c>
      <c r="F137" s="67">
        <v>0.41044776119402987</v>
      </c>
      <c r="G137" s="67">
        <v>0.26885536823425021</v>
      </c>
      <c r="H137" s="67">
        <v>0.17923691215616683</v>
      </c>
      <c r="I137" s="68">
        <v>8540.924092409241</v>
      </c>
      <c r="J137" s="68">
        <v>-8726.2376237623757</v>
      </c>
      <c r="K137" s="67">
        <v>0.16417910447761194</v>
      </c>
      <c r="L137" s="67">
        <v>0.11194029850746269</v>
      </c>
      <c r="M137" s="67">
        <v>0.25554569653948533</v>
      </c>
      <c r="N137" s="67">
        <v>0.18633540372670807</v>
      </c>
      <c r="O137" s="67">
        <v>0.53819444444444442</v>
      </c>
      <c r="P137" s="67">
        <v>0.31904761904761902</v>
      </c>
      <c r="Q137" s="67">
        <v>0.43564356435643564</v>
      </c>
    </row>
    <row r="138" spans="1:17" x14ac:dyDescent="0.45">
      <c r="A138" s="69">
        <v>135</v>
      </c>
      <c r="B138" s="66">
        <v>-991.3</v>
      </c>
      <c r="C138" s="66">
        <v>-7.3429629629629627</v>
      </c>
      <c r="D138" s="71">
        <v>2.0962962962962961</v>
      </c>
      <c r="E138" s="67">
        <v>0.31111111111111112</v>
      </c>
      <c r="F138" s="67">
        <v>0.40740740740740738</v>
      </c>
      <c r="G138" s="67">
        <v>0.26919682259488087</v>
      </c>
      <c r="H138" s="67">
        <v>0.18005295675198588</v>
      </c>
      <c r="I138" s="68">
        <v>8541.3114754098369</v>
      </c>
      <c r="J138" s="68">
        <v>-8684.8039215686276</v>
      </c>
      <c r="K138" s="67">
        <v>0.16296296296296298</v>
      </c>
      <c r="L138" s="67">
        <v>0.1111111111111111</v>
      </c>
      <c r="M138" s="67">
        <v>0.25595763459841131</v>
      </c>
      <c r="N138" s="67">
        <v>0.18534863195057369</v>
      </c>
      <c r="O138" s="67">
        <v>0.54137931034482756</v>
      </c>
      <c r="P138" s="67">
        <v>0.31904761904761902</v>
      </c>
      <c r="Q138" s="67">
        <v>0.43606557377049182</v>
      </c>
    </row>
    <row r="139" spans="1:17" x14ac:dyDescent="0.45">
      <c r="A139" s="69">
        <v>136</v>
      </c>
      <c r="B139" s="66">
        <v>-995.5</v>
      </c>
      <c r="C139" s="66">
        <v>-7.319852941176471</v>
      </c>
      <c r="D139" s="71">
        <v>2.0955882352941178</v>
      </c>
      <c r="E139" s="67">
        <v>0.30882352941176472</v>
      </c>
      <c r="F139" s="67">
        <v>0.40441176470588236</v>
      </c>
      <c r="G139" s="67">
        <v>0.27017543859649124</v>
      </c>
      <c r="H139" s="67">
        <v>0.17894736842105263</v>
      </c>
      <c r="I139" s="68">
        <v>8486.6883116883109</v>
      </c>
      <c r="J139" s="68">
        <v>-8684.8039215686276</v>
      </c>
      <c r="K139" s="67">
        <v>0.16176470588235295</v>
      </c>
      <c r="L139" s="67">
        <v>0.11029411764705882</v>
      </c>
      <c r="M139" s="67">
        <v>0.256140350877193</v>
      </c>
      <c r="N139" s="67">
        <v>0.18684210526315789</v>
      </c>
      <c r="O139" s="67">
        <v>0.54109589041095896</v>
      </c>
      <c r="P139" s="67">
        <v>0.323943661971831</v>
      </c>
      <c r="Q139" s="67">
        <v>0.43181818181818182</v>
      </c>
    </row>
    <row r="140" spans="1:17" x14ac:dyDescent="0.45">
      <c r="A140" s="69">
        <v>137</v>
      </c>
      <c r="B140" s="66">
        <v>-998.4</v>
      </c>
      <c r="C140" s="66">
        <v>-7.287591240875912</v>
      </c>
      <c r="D140" s="71">
        <v>2.0948905109489053</v>
      </c>
      <c r="E140" s="67">
        <v>0.30656934306569344</v>
      </c>
      <c r="F140" s="67">
        <v>0.40145985401459855</v>
      </c>
      <c r="G140" s="67">
        <v>0.27050610820244331</v>
      </c>
      <c r="H140" s="67">
        <v>0.17975567190226877</v>
      </c>
      <c r="I140" s="68">
        <v>8467.0967741935492</v>
      </c>
      <c r="J140" s="68">
        <v>-8638.3495145631059</v>
      </c>
      <c r="K140" s="67">
        <v>0.16058394160583941</v>
      </c>
      <c r="L140" s="67">
        <v>0.10948905109489052</v>
      </c>
      <c r="M140" s="67">
        <v>0.25654450261780104</v>
      </c>
      <c r="N140" s="67">
        <v>0.18673647469458987</v>
      </c>
      <c r="O140" s="67">
        <v>0.54081632653061229</v>
      </c>
      <c r="P140" s="67">
        <v>0.32710280373831774</v>
      </c>
      <c r="Q140" s="67">
        <v>0.42903225806451611</v>
      </c>
    </row>
    <row r="141" spans="1:17" x14ac:dyDescent="0.45">
      <c r="A141" s="69">
        <v>138</v>
      </c>
      <c r="B141" s="66">
        <v>-1041.2</v>
      </c>
      <c r="C141" s="66">
        <v>-7.5449275362318842</v>
      </c>
      <c r="D141" s="71">
        <v>2.1014492753623188</v>
      </c>
      <c r="E141" s="67">
        <v>0.30434782608695654</v>
      </c>
      <c r="F141" s="67">
        <v>0.40579710144927539</v>
      </c>
      <c r="G141" s="67">
        <v>0.26973113616652211</v>
      </c>
      <c r="H141" s="67">
        <v>0.1795316565481353</v>
      </c>
      <c r="I141" s="68">
        <v>8456.5916398713834</v>
      </c>
      <c r="J141" s="68">
        <v>-8635.2657004830926</v>
      </c>
      <c r="K141" s="67">
        <v>0.15942028985507245</v>
      </c>
      <c r="L141" s="67">
        <v>0.10869565217391304</v>
      </c>
      <c r="M141" s="67">
        <v>0.25498699045967044</v>
      </c>
      <c r="N141" s="67">
        <v>0.18647007805724197</v>
      </c>
      <c r="O141" s="67">
        <v>0.54081632653061229</v>
      </c>
      <c r="P141" s="67">
        <v>0.32558139534883723</v>
      </c>
      <c r="Q141" s="67">
        <v>0.42765273311897106</v>
      </c>
    </row>
    <row r="142" spans="1:17" x14ac:dyDescent="0.45">
      <c r="A142" s="69">
        <v>139</v>
      </c>
      <c r="B142" s="66">
        <v>-1031.4000000000001</v>
      </c>
      <c r="C142" s="66">
        <v>-7.4201438848920871</v>
      </c>
      <c r="D142" s="71">
        <v>2.1007194244604315</v>
      </c>
      <c r="E142" s="67">
        <v>0.30215827338129497</v>
      </c>
      <c r="F142" s="67">
        <v>0.40287769784172661</v>
      </c>
      <c r="G142" s="67">
        <v>0.27131782945736432</v>
      </c>
      <c r="H142" s="67">
        <v>0.17915590008613264</v>
      </c>
      <c r="I142" s="68">
        <v>8415.2380952380954</v>
      </c>
      <c r="J142" s="68">
        <v>-8651.4423076923085</v>
      </c>
      <c r="K142" s="67">
        <v>0.15827338129496402</v>
      </c>
      <c r="L142" s="67">
        <v>0.1079136690647482</v>
      </c>
      <c r="M142" s="67">
        <v>0.2558139534883721</v>
      </c>
      <c r="N142" s="67">
        <v>0.18518518518518517</v>
      </c>
      <c r="O142" s="67">
        <v>0.54208754208754206</v>
      </c>
      <c r="P142" s="67">
        <v>0.32558139534883723</v>
      </c>
      <c r="Q142" s="67">
        <v>0.42857142857142855</v>
      </c>
    </row>
    <row r="143" spans="1:17" x14ac:dyDescent="0.45">
      <c r="A143" s="69">
        <v>140</v>
      </c>
      <c r="B143" s="66">
        <v>-1031.1000000000001</v>
      </c>
      <c r="C143" s="66">
        <v>-7.3650000000000011</v>
      </c>
      <c r="D143" s="71">
        <v>2.1</v>
      </c>
      <c r="E143" s="67">
        <v>0.3</v>
      </c>
      <c r="F143" s="67">
        <v>0.4</v>
      </c>
      <c r="G143" s="67">
        <v>0.27241673783091375</v>
      </c>
      <c r="H143" s="67">
        <v>0.17847993168232279</v>
      </c>
      <c r="I143" s="68">
        <v>8410.9717868338557</v>
      </c>
      <c r="J143" s="68">
        <v>-8667.4641148325354</v>
      </c>
      <c r="K143" s="67">
        <v>0.15714285714285714</v>
      </c>
      <c r="L143" s="67">
        <v>0.10714285714285714</v>
      </c>
      <c r="M143" s="67">
        <v>0.25533731853116992</v>
      </c>
      <c r="N143" s="67">
        <v>0.18616567036720752</v>
      </c>
      <c r="O143" s="67">
        <v>0.54515050167224077</v>
      </c>
      <c r="P143" s="67">
        <v>0.3256880733944954</v>
      </c>
      <c r="Q143" s="67">
        <v>0.42946708463949845</v>
      </c>
    </row>
    <row r="144" spans="1:17" x14ac:dyDescent="0.45">
      <c r="A144" s="69">
        <v>141</v>
      </c>
      <c r="B144" s="66">
        <v>-1065.2</v>
      </c>
      <c r="C144" s="66">
        <v>-7.5546099290780147</v>
      </c>
      <c r="D144" s="71">
        <v>2.1063829787234041</v>
      </c>
      <c r="E144" s="67">
        <v>0.2978723404255319</v>
      </c>
      <c r="F144" s="67">
        <v>0.40425531914893614</v>
      </c>
      <c r="G144" s="67">
        <v>0.27241962774957701</v>
      </c>
      <c r="H144" s="67">
        <v>0.17851099830795261</v>
      </c>
      <c r="I144" s="68">
        <v>8377.6397515527951</v>
      </c>
      <c r="J144" s="68">
        <v>-8659.7156398104271</v>
      </c>
      <c r="K144" s="67">
        <v>0.15602836879432624</v>
      </c>
      <c r="L144" s="67">
        <v>0.10638297872340426</v>
      </c>
      <c r="M144" s="67">
        <v>0.25380710659898476</v>
      </c>
      <c r="N144" s="67">
        <v>0.18612521150592218</v>
      </c>
      <c r="O144" s="67">
        <v>0.54666666666666663</v>
      </c>
      <c r="P144" s="67">
        <v>0.33181818181818185</v>
      </c>
      <c r="Q144" s="67">
        <v>0.42857142857142855</v>
      </c>
    </row>
    <row r="145" spans="1:17" x14ac:dyDescent="0.45">
      <c r="A145" s="69">
        <v>142</v>
      </c>
      <c r="B145" s="66">
        <v>-1102.6000000000001</v>
      </c>
      <c r="C145" s="66">
        <v>-7.7647887323943667</v>
      </c>
      <c r="D145" s="71">
        <v>2.112676056338028</v>
      </c>
      <c r="E145" s="67">
        <v>0.29577464788732394</v>
      </c>
      <c r="F145" s="67">
        <v>0.40845070422535212</v>
      </c>
      <c r="G145" s="67">
        <v>0.27348993288590606</v>
      </c>
      <c r="H145" s="67">
        <v>0.17785234899328858</v>
      </c>
      <c r="I145" s="68">
        <v>8320.2453987730059</v>
      </c>
      <c r="J145" s="68">
        <v>-8656.6037735849059</v>
      </c>
      <c r="K145" s="67">
        <v>0.15492957746478872</v>
      </c>
      <c r="L145" s="67">
        <v>0.10563380281690141</v>
      </c>
      <c r="M145" s="67">
        <v>0.25419463087248323</v>
      </c>
      <c r="N145" s="67">
        <v>0.18624161073825504</v>
      </c>
      <c r="O145" s="67">
        <v>0.54785478547854782</v>
      </c>
      <c r="P145" s="67">
        <v>0.33333333333333331</v>
      </c>
      <c r="Q145" s="67">
        <v>0.42944785276073622</v>
      </c>
    </row>
    <row r="146" spans="1:17" x14ac:dyDescent="0.45">
      <c r="A146" s="69">
        <v>143</v>
      </c>
      <c r="B146" s="66">
        <v>-1103.4000000000001</v>
      </c>
      <c r="C146" s="66">
        <v>-7.7160839160839165</v>
      </c>
      <c r="D146" s="71">
        <v>2.1118881118881121</v>
      </c>
      <c r="E146" s="67">
        <v>0.2937062937062937</v>
      </c>
      <c r="F146" s="67">
        <v>0.40559440559440557</v>
      </c>
      <c r="G146" s="67">
        <v>0.27341137123745818</v>
      </c>
      <c r="H146" s="67">
        <v>0.17809364548494983</v>
      </c>
      <c r="I146" s="68">
        <v>8331.4984709480123</v>
      </c>
      <c r="J146" s="68">
        <v>-8638.4976525821603</v>
      </c>
      <c r="K146" s="67">
        <v>0.15384615384615385</v>
      </c>
      <c r="L146" s="67">
        <v>0.1048951048951049</v>
      </c>
      <c r="M146" s="67">
        <v>0.25501672240802675</v>
      </c>
      <c r="N146" s="67">
        <v>0.18561872909698995</v>
      </c>
      <c r="O146" s="67">
        <v>0.54754098360655734</v>
      </c>
      <c r="P146" s="67">
        <v>0.33333333333333331</v>
      </c>
      <c r="Q146" s="67">
        <v>0.42813455657492355</v>
      </c>
    </row>
    <row r="147" spans="1:17" x14ac:dyDescent="0.45">
      <c r="A147" s="69">
        <v>144</v>
      </c>
      <c r="B147" s="66">
        <v>-1159.5</v>
      </c>
      <c r="C147" s="66">
        <v>-8.0520833333333339</v>
      </c>
      <c r="D147" s="71">
        <v>2.1180555555555554</v>
      </c>
      <c r="E147" s="67">
        <v>0.29166666666666669</v>
      </c>
      <c r="F147" s="67">
        <v>0.40972222222222221</v>
      </c>
      <c r="G147" s="67">
        <v>0.27129859387923905</v>
      </c>
      <c r="H147" s="67">
        <v>0.17866004962779156</v>
      </c>
      <c r="I147" s="68">
        <v>8317.9878048780483</v>
      </c>
      <c r="J147" s="68">
        <v>-8584.7222222222226</v>
      </c>
      <c r="K147" s="67">
        <v>0.15972222222222221</v>
      </c>
      <c r="L147" s="67">
        <v>0.10416666666666667</v>
      </c>
      <c r="M147" s="67">
        <v>0.25392886683209265</v>
      </c>
      <c r="N147" s="67">
        <v>0.18610421836228289</v>
      </c>
      <c r="O147" s="67">
        <v>0.54723127035830621</v>
      </c>
      <c r="P147" s="67">
        <v>0.3288888888888889</v>
      </c>
      <c r="Q147" s="67">
        <v>0.42682926829268292</v>
      </c>
    </row>
    <row r="148" spans="1:17" x14ac:dyDescent="0.45">
      <c r="A148" s="69">
        <v>145</v>
      </c>
      <c r="B148" s="66">
        <v>-1121.9000000000001</v>
      </c>
      <c r="C148" s="66">
        <v>-7.7372413793103458</v>
      </c>
      <c r="D148" s="71">
        <v>2.1103448275862071</v>
      </c>
      <c r="E148" s="67">
        <v>0.29655172413793102</v>
      </c>
      <c r="F148" s="67">
        <v>0.40689655172413791</v>
      </c>
      <c r="G148" s="67">
        <v>0.27220394736842107</v>
      </c>
      <c r="H148" s="67">
        <v>0.17763157894736842</v>
      </c>
      <c r="I148" s="68">
        <v>8294.2598187311178</v>
      </c>
      <c r="J148" s="68">
        <v>-8584.7222222222226</v>
      </c>
      <c r="K148" s="67">
        <v>0.15862068965517243</v>
      </c>
      <c r="L148" s="67">
        <v>0.10344827586206896</v>
      </c>
      <c r="M148" s="67">
        <v>0.25657894736842107</v>
      </c>
      <c r="N148" s="67">
        <v>0.18667763157894737</v>
      </c>
      <c r="O148" s="67">
        <v>0.54487179487179482</v>
      </c>
      <c r="P148" s="67">
        <v>0.33039647577092512</v>
      </c>
      <c r="Q148" s="67">
        <v>0.42598187311178248</v>
      </c>
    </row>
    <row r="149" spans="1:17" x14ac:dyDescent="0.45">
      <c r="A149" s="69">
        <v>146</v>
      </c>
      <c r="B149" s="66">
        <v>-1181.5</v>
      </c>
      <c r="C149" s="66">
        <v>-8.0924657534246567</v>
      </c>
      <c r="D149" s="71">
        <v>2.1164383561643834</v>
      </c>
      <c r="E149" s="67">
        <v>0.29452054794520549</v>
      </c>
      <c r="F149" s="67">
        <v>0.41095890410958902</v>
      </c>
      <c r="G149" s="67">
        <v>0.27146361406377761</v>
      </c>
      <c r="H149" s="67">
        <v>0.17988552739165986</v>
      </c>
      <c r="I149" s="68">
        <v>8275.3012048192777</v>
      </c>
      <c r="J149" s="68">
        <v>-8580</v>
      </c>
      <c r="K149" s="67">
        <v>0.16438356164383561</v>
      </c>
      <c r="L149" s="67">
        <v>0.10273972602739725</v>
      </c>
      <c r="M149" s="67">
        <v>0.25592804578904332</v>
      </c>
      <c r="N149" s="67">
        <v>0.18642681929681112</v>
      </c>
      <c r="O149" s="67">
        <v>0.54313099041533541</v>
      </c>
      <c r="P149" s="67">
        <v>0.33333333333333331</v>
      </c>
      <c r="Q149" s="67">
        <v>0.4246987951807229</v>
      </c>
    </row>
    <row r="150" spans="1:17" x14ac:dyDescent="0.45">
      <c r="A150" s="69">
        <v>147</v>
      </c>
      <c r="B150" s="66">
        <v>-1213.9000000000001</v>
      </c>
      <c r="C150" s="66">
        <v>-8.257823129251701</v>
      </c>
      <c r="D150" s="71">
        <v>2.1224489795918369</v>
      </c>
      <c r="E150" s="67">
        <v>0.29251700680272108</v>
      </c>
      <c r="F150" s="67">
        <v>0.41496598639455784</v>
      </c>
      <c r="G150" s="67">
        <v>0.27154471544715447</v>
      </c>
      <c r="H150" s="67">
        <v>0.17967479674796749</v>
      </c>
      <c r="I150" s="68">
        <v>8265.2694610778435</v>
      </c>
      <c r="J150" s="68">
        <v>-8595.4751131221728</v>
      </c>
      <c r="K150" s="67">
        <v>0.16326530612244897</v>
      </c>
      <c r="L150" s="67">
        <v>0.10204081632653061</v>
      </c>
      <c r="M150" s="67">
        <v>0.25447154471544714</v>
      </c>
      <c r="N150" s="67">
        <v>0.1886178861788618</v>
      </c>
      <c r="O150" s="67">
        <v>0.54313099041533541</v>
      </c>
      <c r="P150" s="67">
        <v>0.33620689655172414</v>
      </c>
      <c r="Q150" s="67">
        <v>0.42215568862275449</v>
      </c>
    </row>
    <row r="151" spans="1:17" x14ac:dyDescent="0.45">
      <c r="A151" s="69">
        <v>148</v>
      </c>
      <c r="B151" s="66">
        <v>-1255.3000000000002</v>
      </c>
      <c r="C151" s="66">
        <v>-8.4817567567567576</v>
      </c>
      <c r="D151" s="71">
        <v>2.1283783783783785</v>
      </c>
      <c r="E151" s="67">
        <v>0.29054054054054052</v>
      </c>
      <c r="F151" s="67">
        <v>0.41891891891891891</v>
      </c>
      <c r="G151" s="67">
        <v>0.27059773828756056</v>
      </c>
      <c r="H151" s="67">
        <v>0.1801292407108239</v>
      </c>
      <c r="I151" s="68">
        <v>8264.4776119402977</v>
      </c>
      <c r="J151" s="68">
        <v>-8589.686098654709</v>
      </c>
      <c r="K151" s="67">
        <v>0.16216216216216217</v>
      </c>
      <c r="L151" s="67">
        <v>0.10135135135135136</v>
      </c>
      <c r="M151" s="67">
        <v>0.25282714054927302</v>
      </c>
      <c r="N151" s="67">
        <v>0.19063004846526657</v>
      </c>
      <c r="O151" s="67">
        <v>0.54313099041533541</v>
      </c>
      <c r="P151" s="67">
        <v>0.3347457627118644</v>
      </c>
      <c r="Q151" s="67">
        <v>0.42388059701492536</v>
      </c>
    </row>
    <row r="152" spans="1:17" x14ac:dyDescent="0.45">
      <c r="A152" s="69">
        <v>149</v>
      </c>
      <c r="B152" s="66">
        <v>-1227.8000000000002</v>
      </c>
      <c r="C152" s="66">
        <v>-8.2402684563758406</v>
      </c>
      <c r="D152" s="71">
        <v>2.1208053691275168</v>
      </c>
      <c r="E152" s="67">
        <v>0.29530201342281881</v>
      </c>
      <c r="F152" s="67">
        <v>0.41610738255033558</v>
      </c>
      <c r="G152" s="67">
        <v>0.27090032154340837</v>
      </c>
      <c r="H152" s="67">
        <v>0.17926045016077172</v>
      </c>
      <c r="I152" s="68">
        <v>8262.9080118694365</v>
      </c>
      <c r="J152" s="68">
        <v>-8589.686098654709</v>
      </c>
      <c r="K152" s="67">
        <v>0.16107382550335569</v>
      </c>
      <c r="L152" s="67">
        <v>0.10067114093959731</v>
      </c>
      <c r="M152" s="67">
        <v>0.25241157556270094</v>
      </c>
      <c r="N152" s="67">
        <v>0.19131832797427653</v>
      </c>
      <c r="O152" s="67">
        <v>0.54458598726114649</v>
      </c>
      <c r="P152" s="67">
        <v>0.33613445378151263</v>
      </c>
      <c r="Q152" s="67">
        <v>0.42433234421364985</v>
      </c>
    </row>
    <row r="153" spans="1:17" x14ac:dyDescent="0.45">
      <c r="A153" s="69">
        <v>150</v>
      </c>
      <c r="B153" s="66">
        <v>-1274.3000000000002</v>
      </c>
      <c r="C153" s="66">
        <v>-8.4953333333333347</v>
      </c>
      <c r="D153" s="71">
        <v>2.1266666666666665</v>
      </c>
      <c r="E153" s="67">
        <v>0.29333333333333333</v>
      </c>
      <c r="F153" s="67">
        <v>0.42</v>
      </c>
      <c r="G153" s="67">
        <v>0.27027027027027029</v>
      </c>
      <c r="H153" s="67">
        <v>0.17885532591414943</v>
      </c>
      <c r="I153" s="68">
        <v>8236.4705882352937</v>
      </c>
      <c r="J153" s="68">
        <v>-8550.6666666666661</v>
      </c>
      <c r="K153" s="67">
        <v>0.16</v>
      </c>
      <c r="L153" s="67">
        <v>0.1</v>
      </c>
      <c r="M153" s="67">
        <v>0.25437201907790141</v>
      </c>
      <c r="N153" s="67">
        <v>0.1915739268680445</v>
      </c>
      <c r="O153" s="67">
        <v>0.53749999999999998</v>
      </c>
      <c r="P153" s="67">
        <v>0.33609958506224069</v>
      </c>
      <c r="Q153" s="67">
        <v>0.42352941176470588</v>
      </c>
    </row>
    <row r="154" spans="1:17" x14ac:dyDescent="0.45">
      <c r="A154" s="69">
        <v>151</v>
      </c>
      <c r="B154" s="66">
        <v>-1320.4</v>
      </c>
      <c r="C154" s="66">
        <v>-8.7443708609271535</v>
      </c>
      <c r="D154" s="71">
        <v>2.1324503311258276</v>
      </c>
      <c r="E154" s="67">
        <v>0.29139072847682118</v>
      </c>
      <c r="F154" s="67">
        <v>0.42384105960264901</v>
      </c>
      <c r="G154" s="67">
        <v>0.26856240126382308</v>
      </c>
      <c r="H154" s="67">
        <v>0.18009478672985782</v>
      </c>
      <c r="I154" s="68">
        <v>8236.4705882352937</v>
      </c>
      <c r="J154" s="68">
        <v>-8504.8245614035095</v>
      </c>
      <c r="K154" s="67">
        <v>0.15894039735099338</v>
      </c>
      <c r="L154" s="67">
        <v>9.9337748344370855E-2</v>
      </c>
      <c r="M154" s="67">
        <v>0.25434439178515006</v>
      </c>
      <c r="N154" s="67">
        <v>0.19115323854660349</v>
      </c>
      <c r="O154" s="67">
        <v>0.53416149068322982</v>
      </c>
      <c r="P154" s="67">
        <v>0.33471074380165289</v>
      </c>
      <c r="Q154" s="67">
        <v>0.42352941176470588</v>
      </c>
    </row>
    <row r="155" spans="1:17" x14ac:dyDescent="0.45">
      <c r="A155" s="69">
        <v>152</v>
      </c>
      <c r="B155" s="66">
        <v>-1364.7</v>
      </c>
      <c r="C155" s="66">
        <v>-8.9782894736842103</v>
      </c>
      <c r="D155" s="71">
        <v>2.138157894736842</v>
      </c>
      <c r="E155" s="67">
        <v>0.28947368421052633</v>
      </c>
      <c r="F155" s="67">
        <v>0.42763157894736842</v>
      </c>
      <c r="G155" s="67">
        <v>0.26760563380281688</v>
      </c>
      <c r="H155" s="67">
        <v>0.17840375586854459</v>
      </c>
      <c r="I155" s="68">
        <v>8214.6198830409357</v>
      </c>
      <c r="J155" s="68">
        <v>-8504.8245614035095</v>
      </c>
      <c r="K155" s="67">
        <v>0.15789473684210525</v>
      </c>
      <c r="L155" s="67">
        <v>9.8684210526315791E-2</v>
      </c>
      <c r="M155" s="67">
        <v>0.25273865414710484</v>
      </c>
      <c r="N155" s="67">
        <v>0.19327073552425664</v>
      </c>
      <c r="O155" s="67">
        <v>0.5356037151702786</v>
      </c>
      <c r="P155" s="67">
        <v>0.33198380566801622</v>
      </c>
      <c r="Q155" s="67">
        <v>0.42105263157894735</v>
      </c>
    </row>
    <row r="156" spans="1:17" x14ac:dyDescent="0.45">
      <c r="A156" s="69">
        <v>153</v>
      </c>
      <c r="B156" s="66">
        <v>-1415.8</v>
      </c>
      <c r="C156" s="66">
        <v>-9.2535947712418292</v>
      </c>
      <c r="D156" s="71">
        <v>2.1437908496732025</v>
      </c>
      <c r="E156" s="67">
        <v>0.28758169934640521</v>
      </c>
      <c r="F156" s="67">
        <v>0.43137254901960786</v>
      </c>
      <c r="G156" s="67">
        <v>0.26552795031055898</v>
      </c>
      <c r="H156" s="67">
        <v>0.17857142857142858</v>
      </c>
      <c r="I156" s="68">
        <v>8214.6198830409357</v>
      </c>
      <c r="J156" s="68">
        <v>-8487.391304347826</v>
      </c>
      <c r="K156" s="67">
        <v>0.15686274509803921</v>
      </c>
      <c r="L156" s="67">
        <v>9.8039215686274508E-2</v>
      </c>
      <c r="M156" s="67">
        <v>0.25232919254658387</v>
      </c>
      <c r="N156" s="67">
        <v>0.19332298136645962</v>
      </c>
      <c r="O156" s="67">
        <v>0.53230769230769226</v>
      </c>
      <c r="P156" s="67">
        <v>0.32931726907630521</v>
      </c>
      <c r="Q156" s="67">
        <v>0.42105263157894735</v>
      </c>
    </row>
    <row r="157" spans="1:17" x14ac:dyDescent="0.45">
      <c r="A157" s="69">
        <v>154</v>
      </c>
      <c r="B157" s="66">
        <v>-1432.6</v>
      </c>
      <c r="C157" s="66">
        <v>-9.3025974025974012</v>
      </c>
      <c r="D157" s="71">
        <v>2.1428571428571428</v>
      </c>
      <c r="E157" s="67">
        <v>0.2857142857142857</v>
      </c>
      <c r="F157" s="67">
        <v>0.42857142857142855</v>
      </c>
      <c r="G157" s="67">
        <v>0.26445643793369311</v>
      </c>
      <c r="H157" s="67">
        <v>0.17810331534309945</v>
      </c>
      <c r="I157" s="68">
        <v>8198.8338192419833</v>
      </c>
      <c r="J157" s="68">
        <v>-8475.757575757576</v>
      </c>
      <c r="K157" s="67">
        <v>0.15584415584415584</v>
      </c>
      <c r="L157" s="67">
        <v>9.7402597402597407E-2</v>
      </c>
      <c r="M157" s="67">
        <v>0.25366229760986891</v>
      </c>
      <c r="N157" s="67">
        <v>0.19352351580570548</v>
      </c>
      <c r="O157" s="67">
        <v>0.52583586626139822</v>
      </c>
      <c r="P157" s="67">
        <v>0.33067729083665337</v>
      </c>
      <c r="Q157" s="67">
        <v>0.42274052478134111</v>
      </c>
    </row>
    <row r="158" spans="1:17" x14ac:dyDescent="0.45">
      <c r="A158" s="69">
        <v>155</v>
      </c>
      <c r="B158" s="66">
        <v>-1352.8</v>
      </c>
      <c r="C158" s="66">
        <v>-8.7277419354838699</v>
      </c>
      <c r="D158" s="71">
        <v>2.1354838709677417</v>
      </c>
      <c r="E158" s="67">
        <v>0.29032258064516131</v>
      </c>
      <c r="F158" s="67">
        <v>0.4258064516129032</v>
      </c>
      <c r="G158" s="67">
        <v>0.26610429447852763</v>
      </c>
      <c r="H158" s="67">
        <v>0.17714723926380369</v>
      </c>
      <c r="I158" s="68">
        <v>8299.1354466858793</v>
      </c>
      <c r="J158" s="68">
        <v>-8475.757575757576</v>
      </c>
      <c r="K158" s="67">
        <v>0.15483870967741936</v>
      </c>
      <c r="L158" s="67">
        <v>0.1032258064516129</v>
      </c>
      <c r="M158" s="67">
        <v>0.25383435582822084</v>
      </c>
      <c r="N158" s="67">
        <v>0.19325153374233128</v>
      </c>
      <c r="O158" s="67">
        <v>0.52870090634441091</v>
      </c>
      <c r="P158" s="67">
        <v>0.33333333333333331</v>
      </c>
      <c r="Q158" s="67">
        <v>0.42363112391930835</v>
      </c>
    </row>
    <row r="159" spans="1:17" x14ac:dyDescent="0.45">
      <c r="A159" s="69">
        <v>156</v>
      </c>
      <c r="B159" s="66">
        <v>-1344.3</v>
      </c>
      <c r="C159" s="66">
        <v>-8.6173076923076923</v>
      </c>
      <c r="D159" s="71">
        <v>2.1346153846153846</v>
      </c>
      <c r="E159" s="67">
        <v>0.28846153846153844</v>
      </c>
      <c r="F159" s="67">
        <v>0.42307692307692307</v>
      </c>
      <c r="G159" s="67">
        <v>0.26585179526355995</v>
      </c>
      <c r="H159" s="67">
        <v>0.17647058823529413</v>
      </c>
      <c r="I159" s="68">
        <v>8298.2758620689656</v>
      </c>
      <c r="J159" s="68">
        <v>-8475.757575757576</v>
      </c>
      <c r="K159" s="67">
        <v>0.15384615384615385</v>
      </c>
      <c r="L159" s="67">
        <v>0.10256410256410256</v>
      </c>
      <c r="M159" s="67">
        <v>0.25286478227654696</v>
      </c>
      <c r="N159" s="67">
        <v>0.19327731092436976</v>
      </c>
      <c r="O159" s="67">
        <v>0.52870090634441091</v>
      </c>
      <c r="P159" s="67">
        <v>0.33201581027667987</v>
      </c>
      <c r="Q159" s="67">
        <v>0.42241379310344829</v>
      </c>
    </row>
    <row r="160" spans="1:17" x14ac:dyDescent="0.45">
      <c r="A160" s="69">
        <v>157</v>
      </c>
      <c r="B160" s="66">
        <v>-1357.7</v>
      </c>
      <c r="C160" s="66">
        <v>-8.6477707006369435</v>
      </c>
      <c r="D160" s="71">
        <v>2.1337579617834397</v>
      </c>
      <c r="E160" s="67">
        <v>0.28662420382165604</v>
      </c>
      <c r="F160" s="67">
        <v>0.42038216560509556</v>
      </c>
      <c r="G160" s="67">
        <v>0.26590909090909093</v>
      </c>
      <c r="H160" s="67">
        <v>0.17651515151515151</v>
      </c>
      <c r="I160" s="68">
        <v>8256.9800569800573</v>
      </c>
      <c r="J160" s="68">
        <v>-8471.2446351931339</v>
      </c>
      <c r="K160" s="67">
        <v>0.15286624203821655</v>
      </c>
      <c r="L160" s="67">
        <v>0.10191082802547771</v>
      </c>
      <c r="M160" s="67">
        <v>0.25151515151515152</v>
      </c>
      <c r="N160" s="67">
        <v>0.19242424242424241</v>
      </c>
      <c r="O160" s="67">
        <v>0.53012048192771088</v>
      </c>
      <c r="P160" s="67">
        <v>0.3346456692913386</v>
      </c>
      <c r="Q160" s="67">
        <v>0.41880341880341881</v>
      </c>
    </row>
    <row r="161" spans="1:17" x14ac:dyDescent="0.45">
      <c r="A161" s="69">
        <v>158</v>
      </c>
      <c r="B161" s="66">
        <v>-1338.1000000000001</v>
      </c>
      <c r="C161" s="66">
        <v>-8.4689873417721522</v>
      </c>
      <c r="D161" s="71">
        <v>2.1329113924050631</v>
      </c>
      <c r="E161" s="67">
        <v>0.2848101265822785</v>
      </c>
      <c r="F161" s="67">
        <v>0.41772151898734178</v>
      </c>
      <c r="G161" s="67">
        <v>0.266767143933685</v>
      </c>
      <c r="H161" s="67">
        <v>0.17558402411454407</v>
      </c>
      <c r="I161" s="68">
        <v>8267.2316384180795</v>
      </c>
      <c r="J161" s="68">
        <v>-8471.2446351931339</v>
      </c>
      <c r="K161" s="67">
        <v>0.15189873417721519</v>
      </c>
      <c r="L161" s="67">
        <v>0.10126582278481013</v>
      </c>
      <c r="M161" s="67">
        <v>0.25320271288620949</v>
      </c>
      <c r="N161" s="67">
        <v>0.19140919366993217</v>
      </c>
      <c r="O161" s="67">
        <v>0.53273809523809523</v>
      </c>
      <c r="P161" s="67">
        <v>0.3346456692913386</v>
      </c>
      <c r="Q161" s="67">
        <v>0.4152542372881356</v>
      </c>
    </row>
    <row r="162" spans="1:17" x14ac:dyDescent="0.45">
      <c r="A162" s="69">
        <v>159</v>
      </c>
      <c r="B162" s="66">
        <v>-1330.7</v>
      </c>
      <c r="C162" s="66">
        <v>-8.3691823899371069</v>
      </c>
      <c r="D162" s="71">
        <v>2.1320754716981134</v>
      </c>
      <c r="E162" s="67">
        <v>0.28301886792452829</v>
      </c>
      <c r="F162" s="67">
        <v>0.41509433962264153</v>
      </c>
      <c r="G162" s="67">
        <v>0.2670667666916729</v>
      </c>
      <c r="H162" s="67">
        <v>0.17479369842460615</v>
      </c>
      <c r="I162" s="68">
        <v>8254.213483146068</v>
      </c>
      <c r="J162" s="68">
        <v>-8471.2446351931339</v>
      </c>
      <c r="K162" s="67">
        <v>0.15094339622641509</v>
      </c>
      <c r="L162" s="67">
        <v>0.10062893081761007</v>
      </c>
      <c r="M162" s="67">
        <v>0.25281320330082518</v>
      </c>
      <c r="N162" s="67">
        <v>0.19279819954988747</v>
      </c>
      <c r="O162" s="67">
        <v>0.53412462908011871</v>
      </c>
      <c r="P162" s="67">
        <v>0.33463035019455251</v>
      </c>
      <c r="Q162" s="67">
        <v>0.4157303370786517</v>
      </c>
    </row>
    <row r="163" spans="1:17" x14ac:dyDescent="0.45">
      <c r="A163" s="69">
        <v>160</v>
      </c>
      <c r="B163" s="66">
        <v>-1265.7</v>
      </c>
      <c r="C163" s="66">
        <v>-7.9106250000000005</v>
      </c>
      <c r="D163" s="71">
        <v>2.125</v>
      </c>
      <c r="E163" s="67">
        <v>0.28749999999999998</v>
      </c>
      <c r="F163" s="67">
        <v>0.41249999999999998</v>
      </c>
      <c r="G163" s="67">
        <v>0.26816479400749066</v>
      </c>
      <c r="H163" s="67">
        <v>0.1745318352059925</v>
      </c>
      <c r="I163" s="68">
        <v>8325.4189944134087</v>
      </c>
      <c r="J163" s="68">
        <v>-8471.2446351931339</v>
      </c>
      <c r="K163" s="67">
        <v>0.15</v>
      </c>
      <c r="L163" s="67">
        <v>0.10625</v>
      </c>
      <c r="M163" s="67">
        <v>0.25243445692883892</v>
      </c>
      <c r="N163" s="67">
        <v>0.19325842696629214</v>
      </c>
      <c r="O163" s="67">
        <v>0.53412462908011871</v>
      </c>
      <c r="P163" s="67">
        <v>0.33720930232558138</v>
      </c>
      <c r="Q163" s="67">
        <v>0.41340782122905029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201F-3A2F-4C4E-A036-3CA84BB87C2E}">
  <sheetPr codeName="Sheet10"/>
  <dimension ref="A1:Q165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5">
      <c r="A3" s="69">
        <v>0</v>
      </c>
      <c r="B3" s="66">
        <v>0</v>
      </c>
    </row>
    <row r="4" spans="1:17" x14ac:dyDescent="0.45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5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5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5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5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5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5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5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5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5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5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5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5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5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5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5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5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5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5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5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5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5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5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5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5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5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5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5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5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5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5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5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5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5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5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5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5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5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5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5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5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5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5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5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5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5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5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5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5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5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5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5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5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5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5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5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5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5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5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5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5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5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5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5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5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5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5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5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5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5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5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5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5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5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5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5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5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5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5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5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5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5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5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5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5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5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5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5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5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5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5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5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5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5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5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5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5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5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5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5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5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5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5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5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5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5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5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5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5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5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5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5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5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5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5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5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5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5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5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5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5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5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5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5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5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5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5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5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5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5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5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5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5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5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5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5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5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5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5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5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5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5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5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5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5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  <row r="149" spans="1:17" x14ac:dyDescent="0.45">
      <c r="A149" s="69">
        <v>146</v>
      </c>
      <c r="B149" s="66">
        <v>-357.30000000000007</v>
      </c>
      <c r="C149" s="66">
        <v>-2.4472602739726033</v>
      </c>
      <c r="D149" s="71">
        <v>2.0684931506849313</v>
      </c>
      <c r="E149" s="67">
        <v>0.27397260273972601</v>
      </c>
      <c r="F149" s="67">
        <v>0.34246575342465752</v>
      </c>
      <c r="G149" s="67">
        <v>0.27583333333333332</v>
      </c>
      <c r="H149" s="67">
        <v>0.17249999999999999</v>
      </c>
      <c r="I149" s="68">
        <v>9079.1540785498491</v>
      </c>
      <c r="J149" s="68">
        <v>-7743.9613526570047</v>
      </c>
      <c r="K149" s="67">
        <v>0.13013698630136986</v>
      </c>
      <c r="L149" s="67">
        <v>0.10273972602739725</v>
      </c>
      <c r="M149" s="67">
        <v>0.29833333333333334</v>
      </c>
      <c r="N149" s="67">
        <v>0.17666666666666667</v>
      </c>
      <c r="O149" s="67">
        <v>0.58938547486033521</v>
      </c>
      <c r="P149" s="67">
        <v>0.31603773584905659</v>
      </c>
      <c r="Q149" s="67">
        <v>0.42598187311178248</v>
      </c>
    </row>
    <row r="150" spans="1:17" x14ac:dyDescent="0.45">
      <c r="A150" s="69">
        <v>147</v>
      </c>
      <c r="B150" s="66">
        <v>-359.10000000000008</v>
      </c>
      <c r="C150" s="66">
        <v>-2.4428571428571435</v>
      </c>
      <c r="D150" s="71">
        <v>2.0680272108843538</v>
      </c>
      <c r="E150" s="67">
        <v>0.27210884353741499</v>
      </c>
      <c r="F150" s="67">
        <v>0.3401360544217687</v>
      </c>
      <c r="G150" s="67">
        <v>0.27694859038142622</v>
      </c>
      <c r="H150" s="67">
        <v>0.17247097844112769</v>
      </c>
      <c r="I150" s="68">
        <v>9047.6047904191619</v>
      </c>
      <c r="J150" s="68">
        <v>-7764.4230769230771</v>
      </c>
      <c r="K150" s="67">
        <v>0.12925170068027211</v>
      </c>
      <c r="L150" s="67">
        <v>0.10204081632653061</v>
      </c>
      <c r="M150" s="67">
        <v>0.29850746268656714</v>
      </c>
      <c r="N150" s="67">
        <v>0.17744610281923714</v>
      </c>
      <c r="O150" s="67">
        <v>0.59166666666666667</v>
      </c>
      <c r="P150" s="67">
        <v>0.31775700934579437</v>
      </c>
      <c r="Q150" s="67">
        <v>0.42215568862275449</v>
      </c>
    </row>
    <row r="151" spans="1:17" x14ac:dyDescent="0.45">
      <c r="A151" s="69">
        <v>148</v>
      </c>
      <c r="B151" s="66">
        <v>-415.90000000000009</v>
      </c>
      <c r="C151" s="66">
        <v>-2.8101351351351358</v>
      </c>
      <c r="D151" s="71">
        <v>2.0743243243243241</v>
      </c>
      <c r="E151" s="67">
        <v>0.27027027027027029</v>
      </c>
      <c r="F151" s="67">
        <v>0.34459459459459457</v>
      </c>
      <c r="G151" s="67">
        <v>0.27535037098103876</v>
      </c>
      <c r="H151" s="67">
        <v>0.1755976916735367</v>
      </c>
      <c r="I151" s="68">
        <v>9047.6047904191619</v>
      </c>
      <c r="J151" s="68">
        <v>-7689.2018779342725</v>
      </c>
      <c r="K151" s="67">
        <v>0.13513513513513514</v>
      </c>
      <c r="L151" s="67">
        <v>0.10135135135135136</v>
      </c>
      <c r="M151" s="67">
        <v>0.29843363561417974</v>
      </c>
      <c r="N151" s="67">
        <v>0.17642209398186315</v>
      </c>
      <c r="O151" s="67">
        <v>0.58839779005524862</v>
      </c>
      <c r="P151" s="67">
        <v>0.31775700934579437</v>
      </c>
      <c r="Q151" s="67">
        <v>0.42215568862275449</v>
      </c>
    </row>
    <row r="152" spans="1:17" x14ac:dyDescent="0.45">
      <c r="A152" s="69">
        <v>149</v>
      </c>
      <c r="B152" s="66">
        <v>-448.40000000000009</v>
      </c>
      <c r="C152" s="66">
        <v>-3.0093959731543629</v>
      </c>
      <c r="D152" s="71">
        <v>2.0805369127516777</v>
      </c>
      <c r="E152" s="67">
        <v>0.26845637583892618</v>
      </c>
      <c r="F152" s="67">
        <v>0.34899328859060402</v>
      </c>
      <c r="G152" s="67">
        <v>0.27481542247744051</v>
      </c>
      <c r="H152" s="67">
        <v>0.17719442165709598</v>
      </c>
      <c r="I152" s="68">
        <v>9044.4776119402977</v>
      </c>
      <c r="J152" s="68">
        <v>-7677.3148148148148</v>
      </c>
      <c r="K152" s="67">
        <v>0.13422818791946309</v>
      </c>
      <c r="L152" s="67">
        <v>0.10067114093959731</v>
      </c>
      <c r="M152" s="67">
        <v>0.2969647251845775</v>
      </c>
      <c r="N152" s="67">
        <v>0.1763740771123872</v>
      </c>
      <c r="O152" s="67">
        <v>0.58839779005524862</v>
      </c>
      <c r="P152" s="67">
        <v>0.31627906976744186</v>
      </c>
      <c r="Q152" s="67">
        <v>0.42388059701492536</v>
      </c>
    </row>
    <row r="153" spans="1:17" x14ac:dyDescent="0.45">
      <c r="A153" s="69">
        <v>150</v>
      </c>
      <c r="B153" s="66">
        <v>-461.10000000000008</v>
      </c>
      <c r="C153" s="66">
        <v>-3.0740000000000007</v>
      </c>
      <c r="D153" s="71">
        <v>2.08</v>
      </c>
      <c r="E153" s="67">
        <v>0.26666666666666666</v>
      </c>
      <c r="F153" s="67">
        <v>0.34666666666666668</v>
      </c>
      <c r="G153" s="67">
        <v>0.27487765089722677</v>
      </c>
      <c r="H153" s="67">
        <v>0.17781402936378465</v>
      </c>
      <c r="I153" s="68">
        <v>9030.2670623145405</v>
      </c>
      <c r="J153" s="68">
        <v>-7667.4311926605506</v>
      </c>
      <c r="K153" s="67">
        <v>0.13333333333333333</v>
      </c>
      <c r="L153" s="67">
        <v>0.1</v>
      </c>
      <c r="M153" s="67">
        <v>0.29853181076672103</v>
      </c>
      <c r="N153" s="67">
        <v>0.1769983686786297</v>
      </c>
      <c r="O153" s="67">
        <v>0.58469945355191255</v>
      </c>
      <c r="P153" s="67">
        <v>0.31797235023041476</v>
      </c>
      <c r="Q153" s="67">
        <v>0.42433234421364985</v>
      </c>
    </row>
    <row r="154" spans="1:17" x14ac:dyDescent="0.45">
      <c r="A154" s="69">
        <v>151</v>
      </c>
      <c r="B154" s="66">
        <v>-504.2000000000001</v>
      </c>
      <c r="C154" s="66">
        <v>-3.3390728476821199</v>
      </c>
      <c r="D154" s="71">
        <v>2.0860927152317883</v>
      </c>
      <c r="E154" s="67">
        <v>0.26490066225165565</v>
      </c>
      <c r="F154" s="67">
        <v>0.35099337748344372</v>
      </c>
      <c r="G154" s="67">
        <v>0.27390599675850891</v>
      </c>
      <c r="H154" s="67">
        <v>0.17990275526742303</v>
      </c>
      <c r="I154" s="68">
        <v>9018.9349112426044</v>
      </c>
      <c r="J154" s="68">
        <v>-7613.5135135135133</v>
      </c>
      <c r="K154" s="67">
        <v>0.13245033112582782</v>
      </c>
      <c r="L154" s="67">
        <v>9.9337748344370855E-2</v>
      </c>
      <c r="M154" s="67">
        <v>0.29821717990275526</v>
      </c>
      <c r="N154" s="67">
        <v>0.17585089141004862</v>
      </c>
      <c r="O154" s="67">
        <v>0.58423913043478259</v>
      </c>
      <c r="P154" s="67">
        <v>0.31797235023041476</v>
      </c>
      <c r="Q154" s="67">
        <v>0.42307692307692307</v>
      </c>
    </row>
    <row r="155" spans="1:17" x14ac:dyDescent="0.45">
      <c r="A155" s="69">
        <v>152</v>
      </c>
      <c r="B155" s="66">
        <v>-477.7000000000001</v>
      </c>
      <c r="C155" s="66">
        <v>-3.1427631578947377</v>
      </c>
      <c r="D155" s="71">
        <v>2.0789473684210527</v>
      </c>
      <c r="E155" s="67">
        <v>0.26973684210526316</v>
      </c>
      <c r="F155" s="67">
        <v>0.34868421052631576</v>
      </c>
      <c r="G155" s="67">
        <v>0.27491961414790994</v>
      </c>
      <c r="H155" s="67">
        <v>0.17926045016077172</v>
      </c>
      <c r="I155" s="68">
        <v>8982.4561403508778</v>
      </c>
      <c r="J155" s="68">
        <v>-7591.0313901345289</v>
      </c>
      <c r="K155" s="67">
        <v>0.13157894736842105</v>
      </c>
      <c r="L155" s="67">
        <v>9.8684210526315791E-2</v>
      </c>
      <c r="M155" s="67">
        <v>0.29823151125401931</v>
      </c>
      <c r="N155" s="67">
        <v>0.17604501607717041</v>
      </c>
      <c r="O155" s="67">
        <v>0.58490566037735847</v>
      </c>
      <c r="P155" s="67">
        <v>0.32420091324200911</v>
      </c>
      <c r="Q155" s="67">
        <v>0.42982456140350878</v>
      </c>
    </row>
    <row r="156" spans="1:17" x14ac:dyDescent="0.45">
      <c r="A156" s="69">
        <v>153</v>
      </c>
      <c r="B156" s="66">
        <v>-436.90000000000009</v>
      </c>
      <c r="C156" s="66">
        <v>-2.8555555555555561</v>
      </c>
      <c r="D156" s="71">
        <v>2.0718954248366015</v>
      </c>
      <c r="E156" s="67">
        <v>0.27450980392156865</v>
      </c>
      <c r="F156" s="67">
        <v>0.34640522875816993</v>
      </c>
      <c r="G156" s="67">
        <v>0.27569721115537849</v>
      </c>
      <c r="H156" s="67">
        <v>0.1800796812749004</v>
      </c>
      <c r="I156" s="68">
        <v>8992.7745664739887</v>
      </c>
      <c r="J156" s="68">
        <v>-7582.7433628318586</v>
      </c>
      <c r="K156" s="67">
        <v>0.13071895424836602</v>
      </c>
      <c r="L156" s="67">
        <v>9.8039215686274508E-2</v>
      </c>
      <c r="M156" s="67">
        <v>0.29960159362549799</v>
      </c>
      <c r="N156" s="67">
        <v>0.1752988047808765</v>
      </c>
      <c r="O156" s="67">
        <v>0.58776595744680848</v>
      </c>
      <c r="P156" s="67">
        <v>0.32272727272727275</v>
      </c>
      <c r="Q156" s="67">
        <v>0.430635838150289</v>
      </c>
    </row>
    <row r="157" spans="1:17" x14ac:dyDescent="0.45">
      <c r="A157" s="69">
        <v>154</v>
      </c>
      <c r="B157" s="66">
        <v>-439.90000000000009</v>
      </c>
      <c r="C157" s="66">
        <v>-2.8564935064935071</v>
      </c>
      <c r="D157" s="71">
        <v>2.0714285714285716</v>
      </c>
      <c r="E157" s="67">
        <v>0.27272727272727271</v>
      </c>
      <c r="F157" s="67">
        <v>0.34415584415584416</v>
      </c>
      <c r="G157" s="67">
        <v>0.27588932806324112</v>
      </c>
      <c r="H157" s="67">
        <v>0.18023715415019761</v>
      </c>
      <c r="I157" s="68">
        <v>8985.3868194842398</v>
      </c>
      <c r="J157" s="68">
        <v>-7536.8421052631575</v>
      </c>
      <c r="K157" s="67">
        <v>0.12987012987012986</v>
      </c>
      <c r="L157" s="67">
        <v>9.7402597402597407E-2</v>
      </c>
      <c r="M157" s="67">
        <v>0.29881422924901185</v>
      </c>
      <c r="N157" s="67">
        <v>0.17549407114624507</v>
      </c>
      <c r="O157" s="67">
        <v>0.58730158730158732</v>
      </c>
      <c r="P157" s="67">
        <v>0.32432432432432434</v>
      </c>
      <c r="Q157" s="67">
        <v>0.43266475644699143</v>
      </c>
    </row>
    <row r="158" spans="1:17" x14ac:dyDescent="0.45">
      <c r="A158" s="69">
        <v>155</v>
      </c>
      <c r="B158" s="66">
        <v>-381.10000000000008</v>
      </c>
      <c r="C158" s="66">
        <v>-2.4587096774193555</v>
      </c>
      <c r="D158" s="71">
        <v>2.064516129032258</v>
      </c>
      <c r="E158" s="67">
        <v>0.27741935483870966</v>
      </c>
      <c r="F158" s="67">
        <v>0.34193548387096773</v>
      </c>
      <c r="G158" s="67">
        <v>0.27738376674546888</v>
      </c>
      <c r="H158" s="67">
        <v>0.17966903073286053</v>
      </c>
      <c r="I158" s="68">
        <v>9007.670454545454</v>
      </c>
      <c r="J158" s="68">
        <v>-7536.8421052631575</v>
      </c>
      <c r="K158" s="67">
        <v>0.12903225806451613</v>
      </c>
      <c r="L158" s="67">
        <v>0.1032258064516129</v>
      </c>
      <c r="M158" s="67">
        <v>0.29866036249014971</v>
      </c>
      <c r="N158" s="67">
        <v>0.17494089834515367</v>
      </c>
      <c r="O158" s="67">
        <v>0.58839050131926118</v>
      </c>
      <c r="P158" s="67">
        <v>0.32432432432432434</v>
      </c>
      <c r="Q158" s="67">
        <v>0.43181818181818182</v>
      </c>
    </row>
    <row r="159" spans="1:17" x14ac:dyDescent="0.45">
      <c r="A159" s="69">
        <v>156</v>
      </c>
      <c r="B159" s="66">
        <v>-372.50000000000006</v>
      </c>
      <c r="C159" s="66">
        <v>-2.3878205128205132</v>
      </c>
      <c r="D159" s="71">
        <v>2.0641025641025643</v>
      </c>
      <c r="E159" s="67">
        <v>0.27564102564102566</v>
      </c>
      <c r="F159" s="67">
        <v>0.33974358974358976</v>
      </c>
      <c r="G159" s="67">
        <v>0.27769110764430577</v>
      </c>
      <c r="H159" s="67">
        <v>0.18096723868954759</v>
      </c>
      <c r="I159" s="68">
        <v>9005.0561797752816</v>
      </c>
      <c r="J159" s="68">
        <v>-7469.8275862068967</v>
      </c>
      <c r="K159" s="67">
        <v>0.12820512820512819</v>
      </c>
      <c r="L159" s="67">
        <v>0.10256410256410256</v>
      </c>
      <c r="M159" s="67">
        <v>0.29797191887675506</v>
      </c>
      <c r="N159" s="67">
        <v>0.17394695787831513</v>
      </c>
      <c r="O159" s="67">
        <v>0.58900523560209428</v>
      </c>
      <c r="P159" s="67">
        <v>0.32286995515695066</v>
      </c>
      <c r="Q159" s="67">
        <v>0.4353932584269663</v>
      </c>
    </row>
    <row r="160" spans="1:17" x14ac:dyDescent="0.45">
      <c r="A160" s="69">
        <v>157</v>
      </c>
      <c r="B160" s="66">
        <v>-408.20000000000005</v>
      </c>
      <c r="C160" s="66">
        <v>-2.6</v>
      </c>
      <c r="D160" s="71">
        <v>2.0700636942675161</v>
      </c>
      <c r="E160" s="67">
        <v>0.27388535031847133</v>
      </c>
      <c r="F160" s="67">
        <v>0.34394904458598724</v>
      </c>
      <c r="G160" s="67">
        <v>0.27695888285492631</v>
      </c>
      <c r="H160" s="67">
        <v>0.18153607447633824</v>
      </c>
      <c r="I160" s="68">
        <v>8991.0364145658259</v>
      </c>
      <c r="J160" s="68">
        <v>-7462.3931623931621</v>
      </c>
      <c r="K160" s="67">
        <v>0.12738853503184713</v>
      </c>
      <c r="L160" s="67">
        <v>0.10191082802547771</v>
      </c>
      <c r="M160" s="67">
        <v>0.29712955779674166</v>
      </c>
      <c r="N160" s="67">
        <v>0.1730023273855702</v>
      </c>
      <c r="O160" s="67">
        <v>0.58746736292428203</v>
      </c>
      <c r="P160" s="67">
        <v>0.32286995515695066</v>
      </c>
      <c r="Q160" s="67">
        <v>0.43697478991596639</v>
      </c>
    </row>
    <row r="161" spans="1:17" x14ac:dyDescent="0.45">
      <c r="A161" s="69">
        <v>158</v>
      </c>
      <c r="B161" s="66">
        <v>-403.00000000000006</v>
      </c>
      <c r="C161" s="66">
        <v>-2.5506329113924053</v>
      </c>
      <c r="D161" s="71">
        <v>2.0696202531645569</v>
      </c>
      <c r="E161" s="67">
        <v>0.27215189873417722</v>
      </c>
      <c r="F161" s="67">
        <v>0.34177215189873417</v>
      </c>
      <c r="G161" s="67">
        <v>0.27623456790123457</v>
      </c>
      <c r="H161" s="67">
        <v>0.18132716049382716</v>
      </c>
      <c r="I161" s="68">
        <v>8987.4301675977658</v>
      </c>
      <c r="J161" s="68">
        <v>-7439.1489361702124</v>
      </c>
      <c r="K161" s="67">
        <v>0.12658227848101267</v>
      </c>
      <c r="L161" s="67">
        <v>0.10126582278481013</v>
      </c>
      <c r="M161" s="67">
        <v>0.29706790123456789</v>
      </c>
      <c r="N161" s="67">
        <v>0.17206790123456789</v>
      </c>
      <c r="O161" s="67">
        <v>0.58701298701298699</v>
      </c>
      <c r="P161" s="67">
        <v>0.32286995515695066</v>
      </c>
      <c r="Q161" s="67">
        <v>0.43854748603351956</v>
      </c>
    </row>
    <row r="162" spans="1:17" x14ac:dyDescent="0.45">
      <c r="A162" s="69">
        <v>159</v>
      </c>
      <c r="B162" s="66">
        <v>-410.40000000000003</v>
      </c>
      <c r="C162" s="66">
        <v>-2.5811320754716984</v>
      </c>
      <c r="D162" s="71">
        <v>2.0691823899371071</v>
      </c>
      <c r="E162" s="67">
        <v>0.27044025157232704</v>
      </c>
      <c r="F162" s="67">
        <v>0.33962264150943394</v>
      </c>
      <c r="G162" s="67">
        <v>0.27718223583460949</v>
      </c>
      <c r="H162" s="67">
        <v>0.18147013782542112</v>
      </c>
      <c r="I162" s="68">
        <v>8941.9889502762435</v>
      </c>
      <c r="J162" s="68">
        <v>-7465.8227848101269</v>
      </c>
      <c r="K162" s="67">
        <v>0.12578616352201258</v>
      </c>
      <c r="L162" s="67">
        <v>0.10062893081761007</v>
      </c>
      <c r="M162" s="67">
        <v>0.29555895865237364</v>
      </c>
      <c r="N162" s="67">
        <v>0.17151607963246554</v>
      </c>
      <c r="O162" s="67">
        <v>0.58808290155440412</v>
      </c>
      <c r="P162" s="67">
        <v>0.32142857142857145</v>
      </c>
      <c r="Q162" s="67">
        <v>0.43922651933701656</v>
      </c>
    </row>
    <row r="163" spans="1:17" x14ac:dyDescent="0.45">
      <c r="A163" s="69">
        <v>160</v>
      </c>
      <c r="B163" s="66">
        <v>-362.40000000000003</v>
      </c>
      <c r="C163" s="66">
        <v>-2.2650000000000001</v>
      </c>
      <c r="D163" s="71">
        <v>2.0625</v>
      </c>
      <c r="E163" s="67">
        <v>0.27500000000000002</v>
      </c>
      <c r="F163" s="67">
        <v>0.33750000000000002</v>
      </c>
      <c r="G163" s="67">
        <v>0.27845220030349016</v>
      </c>
      <c r="H163" s="67">
        <v>0.18057663125948406</v>
      </c>
      <c r="I163" s="68">
        <v>8947.9564032697544</v>
      </c>
      <c r="J163" s="68">
        <v>-7447.8991596638652</v>
      </c>
      <c r="K163" s="67">
        <v>0.125</v>
      </c>
      <c r="L163" s="67">
        <v>0.1</v>
      </c>
      <c r="M163" s="67">
        <v>0.29590288315629742</v>
      </c>
      <c r="N163" s="67">
        <v>0.17223065250379363</v>
      </c>
      <c r="O163" s="67">
        <v>0.58974358974358976</v>
      </c>
      <c r="P163" s="67">
        <v>0.32158590308370044</v>
      </c>
      <c r="Q163" s="67">
        <v>0.44141689373297005</v>
      </c>
    </row>
    <row r="164" spans="1:17" x14ac:dyDescent="0.45">
      <c r="A164" s="69">
        <v>161</v>
      </c>
      <c r="B164" s="66">
        <v>-435</v>
      </c>
      <c r="C164" s="66">
        <v>-2.701863354037267</v>
      </c>
      <c r="D164" s="71">
        <v>2.0683229813664594</v>
      </c>
      <c r="E164" s="67">
        <v>0.27329192546583853</v>
      </c>
      <c r="F164" s="67">
        <v>0.34161490683229812</v>
      </c>
      <c r="G164" s="67">
        <v>0.27773584905660376</v>
      </c>
      <c r="H164" s="67">
        <v>0.1811320754716981</v>
      </c>
      <c r="I164" s="68">
        <v>8945.3804347826081</v>
      </c>
      <c r="J164" s="68">
        <v>-7569.166666666667</v>
      </c>
      <c r="K164" s="67">
        <v>0.13043478260869565</v>
      </c>
      <c r="L164" s="67">
        <v>9.9378881987577633E-2</v>
      </c>
      <c r="M164" s="67">
        <v>0.29584905660377359</v>
      </c>
      <c r="N164" s="67">
        <v>0.17283018867924529</v>
      </c>
      <c r="O164" s="67">
        <v>0.5892857142857143</v>
      </c>
      <c r="P164" s="67">
        <v>0.31877729257641924</v>
      </c>
      <c r="Q164" s="67">
        <v>0.44293478260869568</v>
      </c>
    </row>
    <row r="165" spans="1:17" x14ac:dyDescent="0.45">
      <c r="A165" s="69">
        <v>162</v>
      </c>
      <c r="B165" s="66">
        <v>-490.8</v>
      </c>
      <c r="C165" s="66">
        <v>-3.0296296296296297</v>
      </c>
      <c r="D165" s="71">
        <v>2.074074074074074</v>
      </c>
      <c r="E165" s="67">
        <v>0.27160493827160492</v>
      </c>
      <c r="F165" s="67">
        <v>0.34567901234567899</v>
      </c>
      <c r="G165" s="67">
        <v>0.27744360902255638</v>
      </c>
      <c r="H165" s="67">
        <v>0.18270676691729323</v>
      </c>
      <c r="I165" s="68">
        <v>8953.6585365853662</v>
      </c>
      <c r="J165" s="68">
        <v>-7664.1975308641977</v>
      </c>
      <c r="K165" s="67">
        <v>0.13580246913580246</v>
      </c>
      <c r="L165" s="67">
        <v>9.8765432098765427E-2</v>
      </c>
      <c r="M165" s="67">
        <v>0.29624060150375942</v>
      </c>
      <c r="N165" s="67">
        <v>0.17218045112781954</v>
      </c>
      <c r="O165" s="67">
        <v>0.58629441624365486</v>
      </c>
      <c r="P165" s="67">
        <v>0.31877729257641924</v>
      </c>
      <c r="Q165" s="67">
        <v>0.44173441734417346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98308-BACC-491A-94AD-3E1F46787C04}">
  <sheetPr codeName="Sheet8"/>
  <dimension ref="A1:Q210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5">
      <c r="A3" s="69">
        <v>0</v>
      </c>
      <c r="B3" s="66">
        <v>0</v>
      </c>
    </row>
    <row r="4" spans="1:17" x14ac:dyDescent="0.45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5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5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5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5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5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5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5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5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5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5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5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5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5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5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5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5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5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5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5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5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5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5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5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5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5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5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5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5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5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5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5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5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5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5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5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5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5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5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5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5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5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5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5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5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5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5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5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5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5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5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5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5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5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5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5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5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5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5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5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5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5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5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5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5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5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5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5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5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5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5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5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5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5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5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5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5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5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5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5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5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5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5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5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5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5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5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5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5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5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5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5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5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5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5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5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5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5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5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5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5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5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5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5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5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5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5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5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5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5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5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5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5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5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5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5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5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5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5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5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5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5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5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5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5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5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5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5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5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5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5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5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5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5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5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5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5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5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5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5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5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5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5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5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5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5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5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5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5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5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5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5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5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5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5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5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5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5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5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5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5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5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5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5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5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5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5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5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5">
      <c r="A172" s="69">
        <v>169</v>
      </c>
      <c r="B172" s="66">
        <v>1976.5000000000005</v>
      </c>
      <c r="C172" s="66">
        <v>11.695266272189352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5">
      <c r="A173" s="69">
        <v>170</v>
      </c>
      <c r="B173" s="66">
        <v>2031.1000000000004</v>
      </c>
      <c r="C173" s="66">
        <v>11.947647058823531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5">
      <c r="A174" s="69">
        <v>171</v>
      </c>
      <c r="B174" s="66">
        <v>2031.0000000000005</v>
      </c>
      <c r="C174" s="66">
        <v>11.877192982456142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5">
      <c r="A175" s="69">
        <v>172</v>
      </c>
      <c r="B175" s="66">
        <v>2043.9000000000005</v>
      </c>
      <c r="C175" s="66">
        <v>11.883139534883725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5">
      <c r="A176" s="69">
        <v>173</v>
      </c>
      <c r="B176" s="66">
        <v>2066.5000000000005</v>
      </c>
      <c r="C176" s="66">
        <v>11.945086705202314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5">
      <c r="A177" s="69">
        <v>174</v>
      </c>
      <c r="B177" s="66">
        <v>2121.1000000000004</v>
      </c>
      <c r="C177" s="66">
        <v>12.190229885057473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5">
      <c r="A178" s="69">
        <v>175</v>
      </c>
      <c r="B178" s="66">
        <v>2087.3000000000002</v>
      </c>
      <c r="C178" s="66">
        <v>11.927428571428573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5">
      <c r="A179" s="69">
        <v>176</v>
      </c>
      <c r="B179" s="66">
        <v>2055.5</v>
      </c>
      <c r="C179" s="66">
        <v>11.678977272727273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  <row r="180" spans="1:17" x14ac:dyDescent="0.45">
      <c r="A180" s="69">
        <v>177</v>
      </c>
      <c r="B180" s="66">
        <v>2093.1</v>
      </c>
      <c r="C180" s="66">
        <v>11.82542372881356</v>
      </c>
      <c r="D180" s="71">
        <v>1.7740112994350283</v>
      </c>
      <c r="E180" s="67">
        <v>0.46892655367231639</v>
      </c>
      <c r="F180" s="67">
        <v>0.24293785310734464</v>
      </c>
      <c r="G180" s="67">
        <v>0.33907649896623021</v>
      </c>
      <c r="H180" s="67">
        <v>0.1543762922122674</v>
      </c>
      <c r="I180" s="68">
        <v>9255.8943089430886</v>
      </c>
      <c r="J180" s="68">
        <v>-8129.9107142857147</v>
      </c>
      <c r="K180" s="67">
        <v>9.03954802259887E-2</v>
      </c>
      <c r="L180" s="67">
        <v>0.16949152542372881</v>
      </c>
      <c r="M180" s="67">
        <v>0.31495520330806343</v>
      </c>
      <c r="N180" s="67">
        <v>0.20951068228807718</v>
      </c>
      <c r="O180" s="67">
        <v>0.57768052516411383</v>
      </c>
      <c r="P180" s="67">
        <v>0.51315789473684215</v>
      </c>
      <c r="Q180" s="67">
        <v>0.42682926829268292</v>
      </c>
    </row>
    <row r="181" spans="1:17" x14ac:dyDescent="0.45">
      <c r="A181" s="69">
        <v>178</v>
      </c>
      <c r="B181" s="66">
        <v>2146.2999999999997</v>
      </c>
      <c r="C181" s="66">
        <v>12.057865168539324</v>
      </c>
      <c r="D181" s="71">
        <v>1.7696629213483146</v>
      </c>
      <c r="E181" s="67">
        <v>0.47191011235955055</v>
      </c>
      <c r="F181" s="67">
        <v>0.24157303370786518</v>
      </c>
      <c r="G181" s="67">
        <v>0.3399588759424263</v>
      </c>
      <c r="H181" s="67">
        <v>0.15421521590130227</v>
      </c>
      <c r="I181" s="68">
        <v>9261.0887096774186</v>
      </c>
      <c r="J181" s="68">
        <v>-8105.333333333333</v>
      </c>
      <c r="K181" s="67">
        <v>8.98876404494382E-2</v>
      </c>
      <c r="L181" s="67">
        <v>0.16853932584269662</v>
      </c>
      <c r="M181" s="67">
        <v>0.31459904043865661</v>
      </c>
      <c r="N181" s="67">
        <v>0.21041809458533242</v>
      </c>
      <c r="O181" s="67">
        <v>0.579520697167756</v>
      </c>
      <c r="P181" s="67">
        <v>0.51465798045602607</v>
      </c>
      <c r="Q181" s="67">
        <v>0.42540322580645162</v>
      </c>
    </row>
    <row r="182" spans="1:17" x14ac:dyDescent="0.45">
      <c r="A182" s="69">
        <v>179</v>
      </c>
      <c r="B182" s="66">
        <v>2182.3999999999996</v>
      </c>
      <c r="C182" s="66">
        <v>12.192178770949718</v>
      </c>
      <c r="D182" s="71">
        <v>1.76536312849162</v>
      </c>
      <c r="E182" s="67">
        <v>0.47486033519553073</v>
      </c>
      <c r="F182" s="67">
        <v>0.24022346368715083</v>
      </c>
      <c r="G182" s="67">
        <v>0.34059945504087191</v>
      </c>
      <c r="H182" s="67">
        <v>0.15463215258855587</v>
      </c>
      <c r="I182" s="68">
        <v>9272.2000000000007</v>
      </c>
      <c r="J182" s="68">
        <v>-8122.0264317180618</v>
      </c>
      <c r="K182" s="67">
        <v>8.9385474860335198E-2</v>
      </c>
      <c r="L182" s="67">
        <v>0.16759776536312848</v>
      </c>
      <c r="M182" s="67">
        <v>0.3133514986376022</v>
      </c>
      <c r="N182" s="67">
        <v>0.2098092643051771</v>
      </c>
      <c r="O182" s="67">
        <v>0.58043478260869563</v>
      </c>
      <c r="P182" s="67">
        <v>0.51623376623376627</v>
      </c>
      <c r="Q182" s="67">
        <v>0.42599999999999999</v>
      </c>
    </row>
    <row r="183" spans="1:17" x14ac:dyDescent="0.45">
      <c r="A183" s="69">
        <v>180</v>
      </c>
      <c r="B183" s="66">
        <v>2155.9999999999995</v>
      </c>
      <c r="C183" s="66">
        <v>11.977777777777776</v>
      </c>
      <c r="D183" s="71">
        <v>1.7722222222222221</v>
      </c>
      <c r="E183" s="67">
        <v>0.47222222222222221</v>
      </c>
      <c r="F183" s="67">
        <v>0.24444444444444444</v>
      </c>
      <c r="G183" s="67">
        <v>0.33989145183175035</v>
      </c>
      <c r="H183" s="67">
        <v>0.15535956580732699</v>
      </c>
      <c r="I183" s="68">
        <v>9277.6447105788429</v>
      </c>
      <c r="J183" s="68">
        <v>-8107.4235807860259</v>
      </c>
      <c r="K183" s="67">
        <v>8.8888888888888892E-2</v>
      </c>
      <c r="L183" s="67">
        <v>0.16666666666666666</v>
      </c>
      <c r="M183" s="67">
        <v>0.31275440976933516</v>
      </c>
      <c r="N183" s="67">
        <v>0.21031207598371776</v>
      </c>
      <c r="O183" s="67">
        <v>0.57917570498915405</v>
      </c>
      <c r="P183" s="67">
        <v>0.5161290322580645</v>
      </c>
      <c r="Q183" s="67">
        <v>0.42514970059880242</v>
      </c>
    </row>
    <row r="184" spans="1:17" x14ac:dyDescent="0.45">
      <c r="A184" s="69">
        <v>181</v>
      </c>
      <c r="B184" s="66">
        <v>2216.9999999999995</v>
      </c>
      <c r="C184" s="66">
        <v>12.248618784530384</v>
      </c>
      <c r="D184" s="71">
        <v>1.7679558011049723</v>
      </c>
      <c r="E184" s="67">
        <v>0.47513812154696133</v>
      </c>
      <c r="F184" s="67">
        <v>0.24309392265193369</v>
      </c>
      <c r="G184" s="67">
        <v>0.34098582039162728</v>
      </c>
      <c r="H184" s="67">
        <v>0.15462525320729237</v>
      </c>
      <c r="I184" s="68">
        <v>9279.4059405940588</v>
      </c>
      <c r="J184" s="68">
        <v>-8107.4235807860259</v>
      </c>
      <c r="K184" s="67">
        <v>8.8397790055248615E-2</v>
      </c>
      <c r="L184" s="67">
        <v>0.17127071823204421</v>
      </c>
      <c r="M184" s="67">
        <v>0.31127616475354491</v>
      </c>
      <c r="N184" s="67">
        <v>0.21134368669817691</v>
      </c>
      <c r="O184" s="67">
        <v>0.57917570498915405</v>
      </c>
      <c r="P184" s="67">
        <v>0.52076677316293929</v>
      </c>
      <c r="Q184" s="67">
        <v>0.42574257425742573</v>
      </c>
    </row>
    <row r="185" spans="1:17" x14ac:dyDescent="0.45">
      <c r="A185" s="69">
        <v>182</v>
      </c>
      <c r="B185" s="66">
        <v>2252.3999999999996</v>
      </c>
      <c r="C185" s="66">
        <v>12.375824175824174</v>
      </c>
      <c r="D185" s="71">
        <v>1.7637362637362637</v>
      </c>
      <c r="E185" s="67">
        <v>0.47802197802197804</v>
      </c>
      <c r="F185" s="67">
        <v>0.24175824175824176</v>
      </c>
      <c r="G185" s="67">
        <v>0.34162743779421656</v>
      </c>
      <c r="H185" s="67">
        <v>0.15400134498991258</v>
      </c>
      <c r="I185" s="68">
        <v>9258.8582677165359</v>
      </c>
      <c r="J185" s="68">
        <v>-8107.4235807860259</v>
      </c>
      <c r="K185" s="67">
        <v>8.7912087912087919E-2</v>
      </c>
      <c r="L185" s="67">
        <v>0.17032967032967034</v>
      </c>
      <c r="M185" s="67">
        <v>0.31069266980497645</v>
      </c>
      <c r="N185" s="67">
        <v>0.2125084061869536</v>
      </c>
      <c r="O185" s="67">
        <v>0.58008658008658009</v>
      </c>
      <c r="P185" s="67">
        <v>0.51898734177215189</v>
      </c>
      <c r="Q185" s="67">
        <v>0.42322834645669294</v>
      </c>
    </row>
    <row r="186" spans="1:17" x14ac:dyDescent="0.45">
      <c r="A186" s="69">
        <v>183</v>
      </c>
      <c r="B186" s="66">
        <v>2307.8999999999996</v>
      </c>
      <c r="C186" s="66">
        <v>12.611475409836064</v>
      </c>
      <c r="D186" s="71">
        <v>1.7595628415300546</v>
      </c>
      <c r="E186" s="67">
        <v>0.48087431693989069</v>
      </c>
      <c r="F186" s="67">
        <v>0.24043715846994534</v>
      </c>
      <c r="G186" s="67">
        <v>0.34203480589022756</v>
      </c>
      <c r="H186" s="67">
        <v>0.15327978580990628</v>
      </c>
      <c r="I186" s="68">
        <v>9277.495107632094</v>
      </c>
      <c r="J186" s="68">
        <v>-8107.4235807860259</v>
      </c>
      <c r="K186" s="67">
        <v>8.7431693989071038E-2</v>
      </c>
      <c r="L186" s="67">
        <v>0.16939890710382513</v>
      </c>
      <c r="M186" s="67">
        <v>0.3112449799196787</v>
      </c>
      <c r="N186" s="67">
        <v>0.21218206157965194</v>
      </c>
      <c r="O186" s="67">
        <v>0.58279569892473115</v>
      </c>
      <c r="P186" s="67">
        <v>0.51735015772870663</v>
      </c>
      <c r="Q186" s="67">
        <v>0.42465753424657532</v>
      </c>
    </row>
    <row r="187" spans="1:17" x14ac:dyDescent="0.45">
      <c r="A187" s="69">
        <v>184</v>
      </c>
      <c r="B187" s="66">
        <v>2341.1999999999998</v>
      </c>
      <c r="C187" s="66">
        <v>12.723913043478261</v>
      </c>
      <c r="D187" s="71">
        <v>1.7554347826086956</v>
      </c>
      <c r="E187" s="67">
        <v>0.48369565217391303</v>
      </c>
      <c r="F187" s="67">
        <v>0.2391304347826087</v>
      </c>
      <c r="G187" s="67">
        <v>0.34221038615179761</v>
      </c>
      <c r="H187" s="67">
        <v>0.15312916111850866</v>
      </c>
      <c r="I187" s="68">
        <v>9269.2607003891044</v>
      </c>
      <c r="J187" s="68">
        <v>-8094.782608695652</v>
      </c>
      <c r="K187" s="67">
        <v>8.6956521739130432E-2</v>
      </c>
      <c r="L187" s="67">
        <v>0.16847826086956522</v>
      </c>
      <c r="M187" s="67">
        <v>0.30958721704394143</v>
      </c>
      <c r="N187" s="67">
        <v>0.21371504660452731</v>
      </c>
      <c r="O187" s="67">
        <v>0.58279569892473115</v>
      </c>
      <c r="P187" s="67">
        <v>0.52024922118380057</v>
      </c>
      <c r="Q187" s="67">
        <v>0.42217898832684825</v>
      </c>
    </row>
    <row r="188" spans="1:17" x14ac:dyDescent="0.45">
      <c r="A188" s="69">
        <v>185</v>
      </c>
      <c r="B188" s="66">
        <v>2314.3999999999996</v>
      </c>
      <c r="C188" s="66">
        <v>12.510270270270269</v>
      </c>
      <c r="D188" s="71">
        <v>1.7621621621621621</v>
      </c>
      <c r="E188" s="67">
        <v>0.48108108108108111</v>
      </c>
      <c r="F188" s="67">
        <v>0.24324324324324326</v>
      </c>
      <c r="G188" s="67">
        <v>0.34126984126984128</v>
      </c>
      <c r="H188" s="67">
        <v>0.15277777777777779</v>
      </c>
      <c r="I188" s="68">
        <v>9279.8449612403092</v>
      </c>
      <c r="J188" s="68">
        <v>-8093.0735930735927</v>
      </c>
      <c r="K188" s="67">
        <v>8.6486486486486491E-2</v>
      </c>
      <c r="L188" s="67">
        <v>0.16756756756756758</v>
      </c>
      <c r="M188" s="67">
        <v>0.3082010582010582</v>
      </c>
      <c r="N188" s="67">
        <v>0.21362433862433863</v>
      </c>
      <c r="O188" s="67">
        <v>0.58154506437768239</v>
      </c>
      <c r="P188" s="67">
        <v>0.52012383900928794</v>
      </c>
      <c r="Q188" s="67">
        <v>0.42248062015503873</v>
      </c>
    </row>
    <row r="189" spans="1:17" x14ac:dyDescent="0.45">
      <c r="A189" s="69">
        <v>186</v>
      </c>
      <c r="B189" s="66">
        <v>2307.6999999999998</v>
      </c>
      <c r="C189" s="66">
        <v>12.406989247311827</v>
      </c>
      <c r="D189" s="71">
        <v>1.7634408602150538</v>
      </c>
      <c r="E189" s="67">
        <v>0.478494623655914</v>
      </c>
      <c r="F189" s="67">
        <v>0.24193548387096775</v>
      </c>
      <c r="G189" s="67">
        <v>0.33946158896913986</v>
      </c>
      <c r="H189" s="67">
        <v>0.15167432698621142</v>
      </c>
      <c r="I189" s="68">
        <v>9277.3694390715664</v>
      </c>
      <c r="J189" s="68">
        <v>-8093.0735930735927</v>
      </c>
      <c r="K189" s="67">
        <v>8.6021505376344093E-2</v>
      </c>
      <c r="L189" s="67">
        <v>0.16666666666666666</v>
      </c>
      <c r="M189" s="67">
        <v>0.30728824688115564</v>
      </c>
      <c r="N189" s="67">
        <v>0.21339461588969139</v>
      </c>
      <c r="O189" s="67">
        <v>0.58119658119658124</v>
      </c>
      <c r="P189" s="67">
        <v>0.51692307692307693</v>
      </c>
      <c r="Q189" s="67">
        <v>0.42166344294003866</v>
      </c>
    </row>
    <row r="190" spans="1:17" x14ac:dyDescent="0.45">
      <c r="A190" s="69">
        <v>187</v>
      </c>
      <c r="B190" s="66">
        <v>2348.1</v>
      </c>
      <c r="C190" s="66">
        <v>12.55668449197861</v>
      </c>
      <c r="D190" s="71">
        <v>1.7593582887700534</v>
      </c>
      <c r="E190" s="67">
        <v>0.48128342245989303</v>
      </c>
      <c r="F190" s="67">
        <v>0.24064171122994651</v>
      </c>
      <c r="G190" s="67">
        <v>0.33920417482061316</v>
      </c>
      <c r="H190" s="67">
        <v>0.15068493150684931</v>
      </c>
      <c r="I190" s="68">
        <v>9293.8461538461543</v>
      </c>
      <c r="J190" s="68">
        <v>-8093.0735930735927</v>
      </c>
      <c r="K190" s="67">
        <v>8.5561497326203204E-2</v>
      </c>
      <c r="L190" s="67">
        <v>0.16577540106951871</v>
      </c>
      <c r="M190" s="67">
        <v>0.30789302022178733</v>
      </c>
      <c r="N190" s="67">
        <v>0.21200260926288322</v>
      </c>
      <c r="O190" s="67">
        <v>0.58050847457627119</v>
      </c>
      <c r="P190" s="67">
        <v>0.51692307692307693</v>
      </c>
      <c r="Q190" s="67">
        <v>0.42499999999999999</v>
      </c>
    </row>
    <row r="191" spans="1:17" x14ac:dyDescent="0.45">
      <c r="A191" s="69">
        <v>188</v>
      </c>
      <c r="B191" s="66">
        <v>2290.1</v>
      </c>
      <c r="C191" s="66">
        <v>12.181382978723404</v>
      </c>
      <c r="D191" s="71">
        <v>1.7659574468085106</v>
      </c>
      <c r="E191" s="67">
        <v>0.47872340425531917</v>
      </c>
      <c r="F191" s="67">
        <v>0.24468085106382978</v>
      </c>
      <c r="G191" s="67">
        <v>0.33832140533506833</v>
      </c>
      <c r="H191" s="67">
        <v>0.15159401431359792</v>
      </c>
      <c r="I191" s="68">
        <v>9293.8461538461543</v>
      </c>
      <c r="J191" s="68">
        <v>-8152.3605150214589</v>
      </c>
      <c r="K191" s="67">
        <v>9.0425531914893623E-2</v>
      </c>
      <c r="L191" s="67">
        <v>0.16489361702127658</v>
      </c>
      <c r="M191" s="67">
        <v>0.30839297332465843</v>
      </c>
      <c r="N191" s="67">
        <v>0.2114508783344177</v>
      </c>
      <c r="O191" s="67">
        <v>0.57805907172995785</v>
      </c>
      <c r="P191" s="67">
        <v>0.51692307692307693</v>
      </c>
      <c r="Q191" s="67">
        <v>0.42499999999999999</v>
      </c>
    </row>
    <row r="192" spans="1:17" x14ac:dyDescent="0.45">
      <c r="A192" s="69">
        <v>189</v>
      </c>
      <c r="B192" s="66">
        <v>2337.6</v>
      </c>
      <c r="C192" s="66">
        <v>12.368253968253967</v>
      </c>
      <c r="D192" s="71">
        <v>1.7619047619047619</v>
      </c>
      <c r="E192" s="67">
        <v>0.48148148148148145</v>
      </c>
      <c r="F192" s="67">
        <v>0.24338624338624337</v>
      </c>
      <c r="G192" s="67">
        <v>0.34</v>
      </c>
      <c r="H192" s="67">
        <v>0.15096774193548387</v>
      </c>
      <c r="I192" s="68">
        <v>9226.944971537001</v>
      </c>
      <c r="J192" s="68">
        <v>-8168.8034188034189</v>
      </c>
      <c r="K192" s="67">
        <v>8.9947089947089942E-2</v>
      </c>
      <c r="L192" s="67">
        <v>0.1693121693121693</v>
      </c>
      <c r="M192" s="67">
        <v>0.30774193548387097</v>
      </c>
      <c r="N192" s="67">
        <v>0.21225806451612902</v>
      </c>
      <c r="O192" s="67">
        <v>0.5765199161425576</v>
      </c>
      <c r="P192" s="67">
        <v>0.52279635258358659</v>
      </c>
      <c r="Q192" s="67">
        <v>0.42125237191650855</v>
      </c>
    </row>
    <row r="193" spans="1:17" x14ac:dyDescent="0.45">
      <c r="A193" s="69">
        <v>190</v>
      </c>
      <c r="B193" s="66">
        <v>2335.6999999999998</v>
      </c>
      <c r="C193" s="66">
        <v>12.293157894736842</v>
      </c>
      <c r="D193" s="71">
        <v>1.763157894736842</v>
      </c>
      <c r="E193" s="67">
        <v>0.47894736842105262</v>
      </c>
      <c r="F193" s="67">
        <v>0.24210526315789474</v>
      </c>
      <c r="G193" s="67">
        <v>0.33911368015414256</v>
      </c>
      <c r="H193" s="67">
        <v>0.15093127809890816</v>
      </c>
      <c r="I193" s="68">
        <v>9224.621212121212</v>
      </c>
      <c r="J193" s="68">
        <v>-8150.6382978723404</v>
      </c>
      <c r="K193" s="67">
        <v>8.9473684210526316E-2</v>
      </c>
      <c r="L193" s="67">
        <v>0.16842105263157894</v>
      </c>
      <c r="M193" s="67">
        <v>0.30700064226075785</v>
      </c>
      <c r="N193" s="67">
        <v>0.21323057161207451</v>
      </c>
      <c r="O193" s="67">
        <v>0.57740585774058573</v>
      </c>
      <c r="P193" s="67">
        <v>0.51807228915662651</v>
      </c>
      <c r="Q193" s="67">
        <v>0.42045454545454547</v>
      </c>
    </row>
    <row r="194" spans="1:17" x14ac:dyDescent="0.45">
      <c r="A194" s="69">
        <v>191</v>
      </c>
      <c r="B194" s="66">
        <v>2390.1</v>
      </c>
      <c r="C194" s="66">
        <v>12.513612565445026</v>
      </c>
      <c r="D194" s="71">
        <v>1.7591623036649215</v>
      </c>
      <c r="E194" s="67">
        <v>0.48167539267015708</v>
      </c>
      <c r="F194" s="67">
        <v>0.24083769633507854</v>
      </c>
      <c r="G194" s="67">
        <v>0.34015345268542202</v>
      </c>
      <c r="H194" s="67">
        <v>0.15025575447570333</v>
      </c>
      <c r="I194" s="68">
        <v>9217.8571428571431</v>
      </c>
      <c r="J194" s="68">
        <v>-8150.6382978723404</v>
      </c>
      <c r="K194" s="67">
        <v>8.9005235602094238E-2</v>
      </c>
      <c r="L194" s="67">
        <v>0.17277486910994763</v>
      </c>
      <c r="M194" s="67">
        <v>0.30754475703324807</v>
      </c>
      <c r="N194" s="67">
        <v>0.21355498721227623</v>
      </c>
      <c r="O194" s="67">
        <v>0.57796257796257799</v>
      </c>
      <c r="P194" s="67">
        <v>0.52095808383233533</v>
      </c>
      <c r="Q194" s="67">
        <v>0.41729323308270677</v>
      </c>
    </row>
    <row r="195" spans="1:17" x14ac:dyDescent="0.45">
      <c r="A195" s="69">
        <v>192</v>
      </c>
      <c r="B195" s="66">
        <v>2392.9</v>
      </c>
      <c r="C195" s="66">
        <v>12.463020833333333</v>
      </c>
      <c r="D195" s="71">
        <v>1.7604166666666667</v>
      </c>
      <c r="E195" s="67">
        <v>0.47916666666666669</v>
      </c>
      <c r="F195" s="67">
        <v>0.23958333333333334</v>
      </c>
      <c r="G195" s="67">
        <v>0.33991088478676001</v>
      </c>
      <c r="H195" s="67">
        <v>0.15022278803309994</v>
      </c>
      <c r="I195" s="68">
        <v>9211.0486891385772</v>
      </c>
      <c r="J195" s="68">
        <v>-8124.5762711864409</v>
      </c>
      <c r="K195" s="67">
        <v>8.8541666666666671E-2</v>
      </c>
      <c r="L195" s="67">
        <v>0.171875</v>
      </c>
      <c r="M195" s="67">
        <v>0.30808402291534054</v>
      </c>
      <c r="N195" s="67">
        <v>0.21323997453851051</v>
      </c>
      <c r="O195" s="67">
        <v>0.57851239669421484</v>
      </c>
      <c r="P195" s="67">
        <v>0.5194029850746269</v>
      </c>
      <c r="Q195" s="67">
        <v>0.41760299625468167</v>
      </c>
    </row>
    <row r="196" spans="1:17" x14ac:dyDescent="0.45">
      <c r="A196" s="69">
        <v>193</v>
      </c>
      <c r="B196" s="66">
        <v>2389.8000000000002</v>
      </c>
      <c r="C196" s="66">
        <v>12.38238341968912</v>
      </c>
      <c r="D196" s="71">
        <v>1.7616580310880829</v>
      </c>
      <c r="E196" s="67">
        <v>0.47668393782383417</v>
      </c>
      <c r="F196" s="67">
        <v>0.23834196891191708</v>
      </c>
      <c r="G196" s="67">
        <v>0.33945535148828371</v>
      </c>
      <c r="H196" s="67">
        <v>0.15009499683343888</v>
      </c>
      <c r="I196" s="68">
        <v>9208.0223880597023</v>
      </c>
      <c r="J196" s="68">
        <v>-8117.2995780590718</v>
      </c>
      <c r="K196" s="67">
        <v>8.8082901554404139E-2</v>
      </c>
      <c r="L196" s="67">
        <v>0.17098445595854922</v>
      </c>
      <c r="M196" s="67">
        <v>0.30715642811906269</v>
      </c>
      <c r="N196" s="67">
        <v>0.21279290690310323</v>
      </c>
      <c r="O196" s="67">
        <v>0.57938144329896912</v>
      </c>
      <c r="P196" s="67">
        <v>0.52083333333333337</v>
      </c>
      <c r="Q196" s="67">
        <v>0.41791044776119401</v>
      </c>
    </row>
    <row r="197" spans="1:17" x14ac:dyDescent="0.45">
      <c r="A197" s="69">
        <v>194</v>
      </c>
      <c r="B197" s="66">
        <v>2355.3000000000002</v>
      </c>
      <c r="C197" s="66">
        <v>12.140721649484536</v>
      </c>
      <c r="D197" s="71">
        <v>1.768041237113402</v>
      </c>
      <c r="E197" s="67">
        <v>0.47422680412371132</v>
      </c>
      <c r="F197" s="67">
        <v>0.2422680412371134</v>
      </c>
      <c r="G197" s="67">
        <v>0.33880126182965298</v>
      </c>
      <c r="H197" s="67">
        <v>0.15078864353312302</v>
      </c>
      <c r="I197" s="68">
        <v>9213.2216014897585</v>
      </c>
      <c r="J197" s="68">
        <v>-8133.0543933054396</v>
      </c>
      <c r="K197" s="67">
        <v>8.7628865979381437E-2</v>
      </c>
      <c r="L197" s="67">
        <v>0.17010309278350516</v>
      </c>
      <c r="M197" s="67">
        <v>0.305993690851735</v>
      </c>
      <c r="N197" s="67">
        <v>0.21324921135646688</v>
      </c>
      <c r="O197" s="67">
        <v>0.57938144329896912</v>
      </c>
      <c r="P197" s="67">
        <v>0.52071005917159763</v>
      </c>
      <c r="Q197" s="67">
        <v>0.41899441340782123</v>
      </c>
    </row>
    <row r="198" spans="1:17" x14ac:dyDescent="0.45">
      <c r="A198" s="69">
        <v>195</v>
      </c>
      <c r="B198" s="66">
        <v>2406.4</v>
      </c>
      <c r="C198" s="66">
        <v>12.340512820512821</v>
      </c>
      <c r="D198" s="71">
        <v>1.7641025641025641</v>
      </c>
      <c r="E198" s="67">
        <v>0.47692307692307695</v>
      </c>
      <c r="F198" s="67">
        <v>0.24102564102564103</v>
      </c>
      <c r="G198" s="67">
        <v>0.33896185115697308</v>
      </c>
      <c r="H198" s="67">
        <v>0.15134459036898062</v>
      </c>
      <c r="I198" s="68">
        <v>9223.9852398523981</v>
      </c>
      <c r="J198" s="68">
        <v>-8085.9504132231405</v>
      </c>
      <c r="K198" s="67">
        <v>8.7179487179487175E-2</v>
      </c>
      <c r="L198" s="67">
        <v>0.16923076923076924</v>
      </c>
      <c r="M198" s="67">
        <v>0.30456535334584117</v>
      </c>
      <c r="N198" s="67">
        <v>0.21513445903689807</v>
      </c>
      <c r="O198" s="67">
        <v>0.58110882956878851</v>
      </c>
      <c r="P198" s="67">
        <v>0.51453488372093026</v>
      </c>
      <c r="Q198" s="67">
        <v>0.42066420664206644</v>
      </c>
    </row>
    <row r="199" spans="1:17" x14ac:dyDescent="0.45">
      <c r="A199" s="69">
        <v>196</v>
      </c>
      <c r="B199" s="66">
        <v>2442.9</v>
      </c>
      <c r="C199" s="66">
        <v>12.463775510204082</v>
      </c>
      <c r="D199" s="71">
        <v>1.760204081632653</v>
      </c>
      <c r="E199" s="67">
        <v>0.47959183673469385</v>
      </c>
      <c r="F199" s="67">
        <v>0.23979591836734693</v>
      </c>
      <c r="G199" s="67">
        <v>0.33871970167806092</v>
      </c>
      <c r="H199" s="67">
        <v>0.15102548166563082</v>
      </c>
      <c r="I199" s="68">
        <v>9226.0550458715588</v>
      </c>
      <c r="J199" s="68">
        <v>-8085.5967078189296</v>
      </c>
      <c r="K199" s="67">
        <v>8.673469387755102E-2</v>
      </c>
      <c r="L199" s="67">
        <v>0.1683673469387755</v>
      </c>
      <c r="M199" s="67">
        <v>0.30267246737103792</v>
      </c>
      <c r="N199" s="67">
        <v>0.21628340584213798</v>
      </c>
      <c r="O199" s="67">
        <v>0.58110882956878851</v>
      </c>
      <c r="P199" s="67">
        <v>0.51436781609195403</v>
      </c>
      <c r="Q199" s="67">
        <v>0.42018348623853213</v>
      </c>
    </row>
    <row r="200" spans="1:17" x14ac:dyDescent="0.45">
      <c r="A200" s="69">
        <v>197</v>
      </c>
      <c r="B200" s="66">
        <v>2485.4</v>
      </c>
      <c r="C200" s="66">
        <v>12.616243654822336</v>
      </c>
      <c r="D200" s="71">
        <v>1.7563451776649746</v>
      </c>
      <c r="E200" s="67">
        <v>0.48223350253807107</v>
      </c>
      <c r="F200" s="67">
        <v>0.23857868020304568</v>
      </c>
      <c r="G200" s="67">
        <v>0.33889919604205321</v>
      </c>
      <c r="H200" s="67">
        <v>0.15089672232529375</v>
      </c>
      <c r="I200" s="68">
        <v>9216.7883211678836</v>
      </c>
      <c r="J200" s="68">
        <v>-8060.6557377049185</v>
      </c>
      <c r="K200" s="67">
        <v>8.6294416243654817E-2</v>
      </c>
      <c r="L200" s="67">
        <v>0.16751269035532995</v>
      </c>
      <c r="M200" s="67">
        <v>0.30117501546072972</v>
      </c>
      <c r="N200" s="67">
        <v>0.21830550401978974</v>
      </c>
      <c r="O200" s="67">
        <v>0.58110882956878851</v>
      </c>
      <c r="P200" s="67">
        <v>0.5127478753541076</v>
      </c>
      <c r="Q200" s="67">
        <v>0.41970802919708028</v>
      </c>
    </row>
    <row r="201" spans="1:17" x14ac:dyDescent="0.45">
      <c r="A201" s="69">
        <v>198</v>
      </c>
      <c r="B201" s="66">
        <v>2519.9</v>
      </c>
      <c r="C201" s="66">
        <v>12.726767676767677</v>
      </c>
      <c r="D201" s="71">
        <v>1.7525252525252526</v>
      </c>
      <c r="E201" s="67">
        <v>0.48484848484848486</v>
      </c>
      <c r="F201" s="67">
        <v>0.23737373737373738</v>
      </c>
      <c r="G201" s="67">
        <v>0.33969230769230768</v>
      </c>
      <c r="H201" s="67">
        <v>0.15076923076923077</v>
      </c>
      <c r="I201" s="68">
        <v>9200.36231884058</v>
      </c>
      <c r="J201" s="68">
        <v>-8076.7346938775509</v>
      </c>
      <c r="K201" s="67">
        <v>8.5858585858585856E-2</v>
      </c>
      <c r="L201" s="67">
        <v>0.16666666666666666</v>
      </c>
      <c r="M201" s="67">
        <v>0.3009230769230769</v>
      </c>
      <c r="N201" s="67">
        <v>0.21907692307692309</v>
      </c>
      <c r="O201" s="67">
        <v>0.58077709611451944</v>
      </c>
      <c r="P201" s="67">
        <v>0.5168539325842697</v>
      </c>
      <c r="Q201" s="67">
        <v>0.41847826086956524</v>
      </c>
    </row>
    <row r="202" spans="1:17" x14ac:dyDescent="0.45">
      <c r="A202" s="69">
        <v>199</v>
      </c>
      <c r="B202" s="66">
        <v>2503.3000000000002</v>
      </c>
      <c r="C202" s="66">
        <v>12.579396984924625</v>
      </c>
      <c r="D202" s="71">
        <v>1.7537688442211055</v>
      </c>
      <c r="E202" s="67">
        <v>0.48241206030150752</v>
      </c>
      <c r="F202" s="67">
        <v>0.23618090452261306</v>
      </c>
      <c r="G202" s="67">
        <v>0.33844267320662169</v>
      </c>
      <c r="H202" s="67">
        <v>0.15082771305947271</v>
      </c>
      <c r="I202" s="68">
        <v>9200.36231884058</v>
      </c>
      <c r="J202" s="68">
        <v>-8091.0569105691056</v>
      </c>
      <c r="K202" s="67">
        <v>8.5427135678391955E-2</v>
      </c>
      <c r="L202" s="67">
        <v>0.16582914572864321</v>
      </c>
      <c r="M202" s="67">
        <v>0.30042918454935624</v>
      </c>
      <c r="N202" s="67">
        <v>0.21888412017167383</v>
      </c>
      <c r="O202" s="67">
        <v>0.57959183673469383</v>
      </c>
      <c r="P202" s="67">
        <v>0.51540616246498594</v>
      </c>
      <c r="Q202" s="67">
        <v>0.41847826086956524</v>
      </c>
    </row>
    <row r="203" spans="1:17" x14ac:dyDescent="0.45">
      <c r="A203" s="69">
        <v>200</v>
      </c>
      <c r="B203" s="66">
        <v>2466.9</v>
      </c>
      <c r="C203" s="66">
        <v>12.3345</v>
      </c>
      <c r="D203" s="71">
        <v>1.76</v>
      </c>
      <c r="E203" s="67">
        <v>0.48</v>
      </c>
      <c r="F203" s="67">
        <v>0.24</v>
      </c>
      <c r="G203" s="67">
        <v>0.33759902498476541</v>
      </c>
      <c r="H203" s="67">
        <v>0.15112736136502133</v>
      </c>
      <c r="I203" s="68">
        <v>9186.6425992779787</v>
      </c>
      <c r="J203" s="68">
        <v>-8100.8064516129034</v>
      </c>
      <c r="K203" s="67">
        <v>8.5000000000000006E-2</v>
      </c>
      <c r="L203" s="67">
        <v>0.16500000000000001</v>
      </c>
      <c r="M203" s="67">
        <v>0.30103595368677638</v>
      </c>
      <c r="N203" s="67">
        <v>0.21937842778793418</v>
      </c>
      <c r="O203" s="67">
        <v>0.57894736842105265</v>
      </c>
      <c r="P203" s="67">
        <v>0.51111111111111107</v>
      </c>
      <c r="Q203" s="67">
        <v>0.41877256317689532</v>
      </c>
    </row>
    <row r="204" spans="1:17" x14ac:dyDescent="0.45">
      <c r="A204" s="69">
        <v>201</v>
      </c>
      <c r="B204" s="66">
        <v>2528.5</v>
      </c>
      <c r="C204" s="66">
        <v>12.579601990049751</v>
      </c>
      <c r="D204" s="71">
        <v>1.7562189054726369</v>
      </c>
      <c r="E204" s="67">
        <v>0.48258706467661694</v>
      </c>
      <c r="F204" s="67">
        <v>0.23880597014925373</v>
      </c>
      <c r="G204" s="67">
        <v>0.33818181818181819</v>
      </c>
      <c r="H204" s="67">
        <v>0.1503030303030303</v>
      </c>
      <c r="I204" s="68">
        <v>9182.2580645161288</v>
      </c>
      <c r="J204" s="68">
        <v>-8100.8064516129034</v>
      </c>
      <c r="K204" s="67">
        <v>8.45771144278607E-2</v>
      </c>
      <c r="L204" s="67">
        <v>0.16417910447761194</v>
      </c>
      <c r="M204" s="67">
        <v>0.30242424242424243</v>
      </c>
      <c r="N204" s="67">
        <v>0.21939393939393939</v>
      </c>
      <c r="O204" s="67">
        <v>0.58116232464929862</v>
      </c>
      <c r="P204" s="67">
        <v>0.50828729281767959</v>
      </c>
      <c r="Q204" s="67">
        <v>0.41935483870967744</v>
      </c>
    </row>
    <row r="205" spans="1:17" x14ac:dyDescent="0.45">
      <c r="A205" s="69">
        <v>202</v>
      </c>
      <c r="B205" s="66">
        <v>2521.3000000000002</v>
      </c>
      <c r="C205" s="66">
        <v>12.481683168316833</v>
      </c>
      <c r="D205" s="71">
        <v>1.7574257425742574</v>
      </c>
      <c r="E205" s="67">
        <v>0.48019801980198018</v>
      </c>
      <c r="F205" s="67">
        <v>0.23762376237623761</v>
      </c>
      <c r="G205" s="67">
        <v>0.33796016898008446</v>
      </c>
      <c r="H205" s="67">
        <v>0.14966807483403741</v>
      </c>
      <c r="I205" s="68">
        <v>9167.5</v>
      </c>
      <c r="J205" s="68">
        <v>-8100.8064516129034</v>
      </c>
      <c r="K205" s="67">
        <v>8.4158415841584164E-2</v>
      </c>
      <c r="L205" s="67">
        <v>0.16336633663366337</v>
      </c>
      <c r="M205" s="67">
        <v>0.30235365117682561</v>
      </c>
      <c r="N205" s="67">
        <v>0.21907060953530477</v>
      </c>
      <c r="O205" s="67">
        <v>0.58083832335329344</v>
      </c>
      <c r="P205" s="67">
        <v>0.50688705234159781</v>
      </c>
      <c r="Q205" s="67">
        <v>0.42142857142857143</v>
      </c>
    </row>
    <row r="206" spans="1:17" x14ac:dyDescent="0.45">
      <c r="A206" s="69">
        <v>203</v>
      </c>
      <c r="B206" s="66">
        <v>2568.6000000000004</v>
      </c>
      <c r="C206" s="66">
        <v>12.653201970443352</v>
      </c>
      <c r="D206" s="71">
        <v>1.7536945812807883</v>
      </c>
      <c r="E206" s="67">
        <v>0.48275862068965519</v>
      </c>
      <c r="F206" s="67">
        <v>0.23645320197044334</v>
      </c>
      <c r="G206" s="67">
        <v>0.33814681107099881</v>
      </c>
      <c r="H206" s="67">
        <v>0.14981949458483754</v>
      </c>
      <c r="I206" s="68">
        <v>9202.1352313167263</v>
      </c>
      <c r="J206" s="68">
        <v>-8116.4658634538155</v>
      </c>
      <c r="K206" s="67">
        <v>8.3743842364532015E-2</v>
      </c>
      <c r="L206" s="67">
        <v>0.16748768472906403</v>
      </c>
      <c r="M206" s="67">
        <v>0.30144404332129965</v>
      </c>
      <c r="N206" s="67">
        <v>0.21961492178098677</v>
      </c>
      <c r="O206" s="67">
        <v>0.58083832335329344</v>
      </c>
      <c r="P206" s="67">
        <v>0.50684931506849318</v>
      </c>
      <c r="Q206" s="67">
        <v>0.41992882562277578</v>
      </c>
    </row>
    <row r="207" spans="1:17" x14ac:dyDescent="0.45">
      <c r="A207" s="69">
        <v>204</v>
      </c>
      <c r="B207" s="66">
        <v>2629.6000000000004</v>
      </c>
      <c r="C207" s="66">
        <v>12.890196078431375</v>
      </c>
      <c r="D207" s="71">
        <v>1.75</v>
      </c>
      <c r="E207" s="67">
        <v>0.48529411764705882</v>
      </c>
      <c r="F207" s="67">
        <v>0.23529411764705882</v>
      </c>
      <c r="G207" s="67">
        <v>0.33950986252241483</v>
      </c>
      <c r="H207" s="67">
        <v>0.15002988643156007</v>
      </c>
      <c r="I207" s="68">
        <v>9216.7253521126768</v>
      </c>
      <c r="J207" s="68">
        <v>-8120.3187250996016</v>
      </c>
      <c r="K207" s="67">
        <v>8.3333333333333329E-2</v>
      </c>
      <c r="L207" s="67">
        <v>0.16666666666666666</v>
      </c>
      <c r="M207" s="67">
        <v>0.3030484160191273</v>
      </c>
      <c r="N207" s="67">
        <v>0.22056186491332935</v>
      </c>
      <c r="O207" s="67">
        <v>0.5818540433925049</v>
      </c>
      <c r="P207" s="67">
        <v>0.50677506775067749</v>
      </c>
      <c r="Q207" s="67">
        <v>0.41725352112676056</v>
      </c>
    </row>
    <row r="208" spans="1:17" x14ac:dyDescent="0.45">
      <c r="A208" s="69">
        <v>205</v>
      </c>
      <c r="B208" s="66">
        <v>2674.5000000000005</v>
      </c>
      <c r="C208" s="66">
        <v>13.046341463414636</v>
      </c>
      <c r="D208" s="71">
        <v>1.7463414634146341</v>
      </c>
      <c r="E208" s="67">
        <v>0.48780487804878048</v>
      </c>
      <c r="F208" s="67">
        <v>0.23414634146341465</v>
      </c>
      <c r="G208" s="67">
        <v>0.33988095238095239</v>
      </c>
      <c r="H208" s="67">
        <v>0.15</v>
      </c>
      <c r="I208" s="68">
        <v>9217.1628721541165</v>
      </c>
      <c r="J208" s="68">
        <v>-8108.730158730159</v>
      </c>
      <c r="K208" s="67">
        <v>8.2926829268292687E-2</v>
      </c>
      <c r="L208" s="67">
        <v>0.17073170731707318</v>
      </c>
      <c r="M208" s="67">
        <v>0.30476190476190479</v>
      </c>
      <c r="N208" s="67">
        <v>0.21964285714285714</v>
      </c>
      <c r="O208" s="67">
        <v>0.58203125</v>
      </c>
      <c r="P208" s="67">
        <v>0.50677506775067749</v>
      </c>
      <c r="Q208" s="67">
        <v>0.41856392294220668</v>
      </c>
    </row>
    <row r="209" spans="1:17" x14ac:dyDescent="0.45">
      <c r="A209" s="69">
        <v>206</v>
      </c>
      <c r="B209" s="66">
        <v>2726.5000000000005</v>
      </c>
      <c r="C209" s="66">
        <v>13.235436893203886</v>
      </c>
      <c r="D209" s="71">
        <v>1.7427184466019416</v>
      </c>
      <c r="E209" s="67">
        <v>0.49029126213592233</v>
      </c>
      <c r="F209" s="67">
        <v>0.23300970873786409</v>
      </c>
      <c r="G209" s="67">
        <v>0.34104389086595494</v>
      </c>
      <c r="H209" s="67">
        <v>0.1494661921708185</v>
      </c>
      <c r="I209" s="68">
        <v>9215.652173913044</v>
      </c>
      <c r="J209" s="68">
        <v>-8108.730158730159</v>
      </c>
      <c r="K209" s="67">
        <v>8.2524271844660199E-2</v>
      </c>
      <c r="L209" s="67">
        <v>0.17475728155339806</v>
      </c>
      <c r="M209" s="67">
        <v>0.30545670225385529</v>
      </c>
      <c r="N209" s="67">
        <v>0.22004744958481615</v>
      </c>
      <c r="O209" s="67">
        <v>0.58446601941747578</v>
      </c>
      <c r="P209" s="67">
        <v>0.50673854447439348</v>
      </c>
      <c r="Q209" s="67">
        <v>0.4191304347826087</v>
      </c>
    </row>
    <row r="210" spans="1:17" x14ac:dyDescent="0.45">
      <c r="A210" s="69">
        <v>207</v>
      </c>
      <c r="B210" s="66">
        <v>2661.5000000000005</v>
      </c>
      <c r="C210" s="66">
        <v>12.857487922705316</v>
      </c>
      <c r="D210" s="71">
        <v>1.748792270531401</v>
      </c>
      <c r="E210" s="67">
        <v>0.48792270531400966</v>
      </c>
      <c r="F210" s="67">
        <v>0.23671497584541062</v>
      </c>
      <c r="G210" s="67">
        <v>0.34063981042654029</v>
      </c>
      <c r="H210" s="67">
        <v>0.1504739336492891</v>
      </c>
      <c r="I210" s="68">
        <v>9215.652173913044</v>
      </c>
      <c r="J210" s="68">
        <v>-8210.2362204724413</v>
      </c>
      <c r="K210" s="67">
        <v>8.6956521739130432E-2</v>
      </c>
      <c r="L210" s="67">
        <v>0.17391304347826086</v>
      </c>
      <c r="M210" s="67">
        <v>0.30627962085308058</v>
      </c>
      <c r="N210" s="67">
        <v>0.21978672985781991</v>
      </c>
      <c r="O210" s="67">
        <v>0.58220502901353965</v>
      </c>
      <c r="P210" s="67">
        <v>0.50673854447439348</v>
      </c>
      <c r="Q210" s="67">
        <v>0.4191304347826087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5E0A1-3671-477F-8E5D-F76354472F80}">
  <sheetPr codeName="Sheet6"/>
  <dimension ref="A1:Q324"/>
  <sheetViews>
    <sheetView workbookViewId="0"/>
  </sheetViews>
  <sheetFormatPr defaultColWidth="10.69921875" defaultRowHeight="18" x14ac:dyDescent="0.45"/>
  <cols>
    <col min="1" max="1" width="10.69921875" style="69"/>
    <col min="2" max="3" width="10.69921875" style="66"/>
    <col min="4" max="4" width="10.69921875" style="71"/>
    <col min="5" max="8" width="10.69921875" style="67"/>
    <col min="9" max="10" width="10.69921875" style="68"/>
    <col min="11" max="17" width="10.69921875" style="67"/>
    <col min="18" max="16384" width="10.69921875" style="70"/>
  </cols>
  <sheetData>
    <row r="1" spans="1:17" x14ac:dyDescent="0.45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5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5">
      <c r="A3" s="69">
        <v>0</v>
      </c>
      <c r="B3" s="66">
        <v>0</v>
      </c>
    </row>
    <row r="4" spans="1:17" x14ac:dyDescent="0.45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5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5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5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5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5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5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5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5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5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5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5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5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5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5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5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5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5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5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5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5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5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5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5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5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5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5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5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5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5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5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5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5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5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5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5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5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5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5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5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5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5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5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5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5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5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5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5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5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5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5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5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5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5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5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5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5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5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5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5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5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5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5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5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5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5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5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5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5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5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5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5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5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5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5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5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5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5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5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5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5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5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5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5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5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5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5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5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5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5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5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5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5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5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5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5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5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5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5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5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5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5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5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5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5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5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5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5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5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5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5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5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5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5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5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5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5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5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5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5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5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5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5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5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5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5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5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5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5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5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5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5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5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5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5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5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5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5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5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5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5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5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5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5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5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5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5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5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5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5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5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5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5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5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5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5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5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5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5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5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5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5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5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5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5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5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5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5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5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5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5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5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5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5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5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5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5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5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5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5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5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5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5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5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5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5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5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5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5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5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5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5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5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5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5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5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5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5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5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5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5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5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5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5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5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5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5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5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5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5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5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5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5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5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5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5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5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5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5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5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5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5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5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5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5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5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5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5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5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5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5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5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5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5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5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5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5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5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5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5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5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5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5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5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5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5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5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5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5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5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5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5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5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5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5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5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5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5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5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5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5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5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5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5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5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5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5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5">
      <c r="A271" s="69">
        <v>268</v>
      </c>
      <c r="B271" s="66">
        <v>0</v>
      </c>
      <c r="C271" s="66">
        <v>0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5">
      <c r="A272" s="69">
        <v>269</v>
      </c>
      <c r="B272" s="66">
        <v>0</v>
      </c>
      <c r="C272" s="66">
        <v>0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5">
      <c r="A273" s="69">
        <v>270</v>
      </c>
      <c r="B273" s="66">
        <v>0</v>
      </c>
      <c r="C273" s="66">
        <v>0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5">
      <c r="A274" s="69">
        <v>271</v>
      </c>
      <c r="B274" s="66">
        <v>1.4155343563970746E-15</v>
      </c>
      <c r="C274" s="66">
        <v>1.7411246696150978E-18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5">
      <c r="A275" s="69">
        <v>272</v>
      </c>
      <c r="B275" s="66">
        <v>-5.3290705182007514E-15</v>
      </c>
      <c r="C275" s="66">
        <v>-6.5307236742656266E-18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5">
      <c r="A276" s="69">
        <v>273</v>
      </c>
      <c r="B276" s="66">
        <v>-7.1054273576010019E-15</v>
      </c>
      <c r="C276" s="66">
        <v>-8.6757354793663026E-18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5">
      <c r="A277" s="69">
        <v>274</v>
      </c>
      <c r="B277" s="66">
        <v>-7.1054273576010019E-15</v>
      </c>
      <c r="C277" s="66">
        <v>-8.6440722111934331E-18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5">
      <c r="A278" s="69">
        <v>275</v>
      </c>
      <c r="B278" s="66">
        <v>-5.3290705182007514E-15</v>
      </c>
      <c r="C278" s="66">
        <v>-6.4594794160009108E-18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5">
      <c r="A279" s="69">
        <v>276</v>
      </c>
      <c r="B279" s="66">
        <v>-7.1054273576010019E-15</v>
      </c>
      <c r="C279" s="66">
        <v>-8.5814340067644946E-18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5">
      <c r="A280" s="69">
        <v>277</v>
      </c>
      <c r="B280" s="66">
        <v>-7.1054273576010019E-15</v>
      </c>
      <c r="C280" s="66">
        <v>-8.5504541006028906E-18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5">
      <c r="A281" s="69">
        <v>278</v>
      </c>
      <c r="B281" s="66">
        <v>-4.9960036108132044E-15</v>
      </c>
      <c r="C281" s="66">
        <v>-5.9904120033731465E-18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5">
      <c r="A282" s="69">
        <v>279</v>
      </c>
      <c r="B282" s="66">
        <v>-7.1054273576010019E-15</v>
      </c>
      <c r="C282" s="66">
        <v>-8.4891605228207902E-18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5">
      <c r="A283" s="69">
        <v>280</v>
      </c>
      <c r="B283" s="66">
        <v>-7.1054273576010019E-15</v>
      </c>
      <c r="C283" s="66">
        <v>-8.4588420923821458E-18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5">
      <c r="A284" s="69">
        <v>281</v>
      </c>
      <c r="B284" s="66">
        <v>-5.3290705182007514E-15</v>
      </c>
      <c r="C284" s="66">
        <v>-6.3215545886129907E-18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5">
      <c r="A285" s="69">
        <v>282</v>
      </c>
      <c r="B285" s="66">
        <v>-3.5527136788005009E-15</v>
      </c>
      <c r="C285" s="66">
        <v>-4.1994251522464549E-18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5">
      <c r="A286" s="69">
        <v>283</v>
      </c>
      <c r="B286" s="66">
        <v>-3.5527136788005009E-15</v>
      </c>
      <c r="C286" s="66">
        <v>-4.1845861941113082E-18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5">
      <c r="A287" s="69">
        <v>284</v>
      </c>
      <c r="B287" s="66">
        <v>0</v>
      </c>
      <c r="C287" s="66">
        <v>0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5">
      <c r="A288" s="69">
        <v>285</v>
      </c>
      <c r="B288" s="66">
        <v>0</v>
      </c>
      <c r="C288" s="66">
        <v>0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  <row r="289" spans="1:17" x14ac:dyDescent="0.45">
      <c r="A289" s="69">
        <v>286</v>
      </c>
      <c r="B289" s="66">
        <v>-4.2188474935755949E-15</v>
      </c>
      <c r="C289" s="66">
        <v>-4.9170716708340265E-18</v>
      </c>
      <c r="D289" s="71">
        <v>2</v>
      </c>
      <c r="E289" s="67">
        <v>0.33333333333333331</v>
      </c>
      <c r="F289" s="67">
        <v>0.33333333333333331</v>
      </c>
      <c r="G289" s="67">
        <v>0.2978395061728395</v>
      </c>
      <c r="H289" s="67">
        <v>0.16568462401795736</v>
      </c>
      <c r="I289" s="68">
        <v>8705.605275553462</v>
      </c>
      <c r="J289" s="68">
        <v>-8204.8264182895855</v>
      </c>
      <c r="K289" s="67">
        <v>0.12237762237762238</v>
      </c>
      <c r="L289" s="67">
        <v>0.12237762237762238</v>
      </c>
      <c r="M289" s="67">
        <v>0.27216610549943882</v>
      </c>
      <c r="N289" s="67">
        <v>0.21085858585858586</v>
      </c>
      <c r="O289" s="67">
        <v>0.57680412371134016</v>
      </c>
      <c r="P289" s="67">
        <v>0.39520958083832336</v>
      </c>
      <c r="Q289" s="67">
        <v>0.43570419218087614</v>
      </c>
    </row>
    <row r="290" spans="1:17" x14ac:dyDescent="0.45">
      <c r="A290" s="69">
        <v>287</v>
      </c>
      <c r="B290" s="66">
        <v>0</v>
      </c>
      <c r="C290" s="66">
        <v>0</v>
      </c>
      <c r="D290" s="71">
        <v>2</v>
      </c>
      <c r="E290" s="67">
        <v>0.33333333333333331</v>
      </c>
      <c r="F290" s="67">
        <v>0.33333333333333331</v>
      </c>
      <c r="G290" s="67">
        <v>0.29780388865575608</v>
      </c>
      <c r="H290" s="67">
        <v>0.16533780948384388</v>
      </c>
      <c r="I290" s="68">
        <v>8696.8060122123061</v>
      </c>
      <c r="J290" s="68">
        <v>-8204.3993231810491</v>
      </c>
      <c r="K290" s="67">
        <v>0.12195121951219512</v>
      </c>
      <c r="L290" s="67">
        <v>0.12195121951219512</v>
      </c>
      <c r="M290" s="67">
        <v>0.27178626381312071</v>
      </c>
      <c r="N290" s="67">
        <v>0.21191775073436844</v>
      </c>
      <c r="O290" s="67">
        <v>0.57694287184765825</v>
      </c>
      <c r="P290" s="67">
        <v>0.39405940594059408</v>
      </c>
      <c r="Q290" s="67">
        <v>0.43682480037576327</v>
      </c>
    </row>
    <row r="291" spans="1:17" x14ac:dyDescent="0.45">
      <c r="A291" s="69">
        <v>288</v>
      </c>
      <c r="B291" s="66">
        <v>7.1054273576010019E-15</v>
      </c>
      <c r="C291" s="66">
        <v>8.2238742564826406E-18</v>
      </c>
      <c r="D291" s="71">
        <v>2</v>
      </c>
      <c r="E291" s="67">
        <v>0.33333333333333331</v>
      </c>
      <c r="F291" s="67">
        <v>0.33333333333333331</v>
      </c>
      <c r="G291" s="67">
        <v>0.29792276592778477</v>
      </c>
      <c r="H291" s="67">
        <v>0.16562107904642409</v>
      </c>
      <c r="I291" s="68">
        <v>8693.6359382311657</v>
      </c>
      <c r="J291" s="68">
        <v>-8195.9595959595954</v>
      </c>
      <c r="K291" s="67">
        <v>0.12152777777777778</v>
      </c>
      <c r="L291" s="67">
        <v>0.12152777777777778</v>
      </c>
      <c r="M291" s="67">
        <v>0.2715739578976718</v>
      </c>
      <c r="N291" s="67">
        <v>0.21260281611599052</v>
      </c>
      <c r="O291" s="67">
        <v>0.57751540041067762</v>
      </c>
      <c r="P291" s="67">
        <v>0.39409836065573772</v>
      </c>
      <c r="Q291" s="67">
        <v>0.4361254094525035</v>
      </c>
    </row>
    <row r="292" spans="1:17" x14ac:dyDescent="0.45">
      <c r="A292" s="69">
        <v>289</v>
      </c>
      <c r="B292" s="66">
        <v>1.1546319456101628E-14</v>
      </c>
      <c r="C292" s="66">
        <v>1.3317554159286768E-17</v>
      </c>
      <c r="D292" s="71">
        <v>2</v>
      </c>
      <c r="E292" s="67">
        <v>0.33333333333333331</v>
      </c>
      <c r="F292" s="67">
        <v>0.33333333333333331</v>
      </c>
      <c r="G292" s="67">
        <v>0.29805555555555557</v>
      </c>
      <c r="H292" s="67">
        <v>0.16569444444444445</v>
      </c>
      <c r="I292" s="68">
        <v>8696.5051258154708</v>
      </c>
      <c r="J292" s="68">
        <v>-8195.4735959765294</v>
      </c>
      <c r="K292" s="67">
        <v>0.12110726643598616</v>
      </c>
      <c r="L292" s="67">
        <v>0.12110726643598616</v>
      </c>
      <c r="M292" s="67">
        <v>0.27152777777777776</v>
      </c>
      <c r="N292" s="67">
        <v>0.21249999999999999</v>
      </c>
      <c r="O292" s="67">
        <v>0.57749360613810741</v>
      </c>
      <c r="P292" s="67">
        <v>0.39477124183006534</v>
      </c>
      <c r="Q292" s="67">
        <v>0.43616029822926372</v>
      </c>
    </row>
    <row r="293" spans="1:17" x14ac:dyDescent="0.45">
      <c r="A293" s="69">
        <v>290</v>
      </c>
      <c r="B293" s="66">
        <v>1.0658141036401503E-14</v>
      </c>
      <c r="C293" s="66">
        <v>1.2250736823450003E-17</v>
      </c>
      <c r="D293" s="71">
        <v>2</v>
      </c>
      <c r="E293" s="67">
        <v>0.33333333333333331</v>
      </c>
      <c r="F293" s="67">
        <v>0.33333333333333331</v>
      </c>
      <c r="G293" s="67">
        <v>0.29814353006372957</v>
      </c>
      <c r="H293" s="67">
        <v>0.16597395400387918</v>
      </c>
      <c r="I293" s="68">
        <v>8693.5873605947963</v>
      </c>
      <c r="J293" s="68">
        <v>-8189.5659432387311</v>
      </c>
      <c r="K293" s="67">
        <v>0.1206896551724138</v>
      </c>
      <c r="L293" s="67">
        <v>0.1206896551724138</v>
      </c>
      <c r="M293" s="67">
        <v>0.27154336381269051</v>
      </c>
      <c r="N293" s="67">
        <v>0.21252424494319755</v>
      </c>
      <c r="O293" s="67">
        <v>0.57806122448979591</v>
      </c>
      <c r="P293" s="67">
        <v>0.39504563233376794</v>
      </c>
      <c r="Q293" s="67">
        <v>0.4354089219330855</v>
      </c>
    </row>
    <row r="294" spans="1:17" x14ac:dyDescent="0.45">
      <c r="A294" s="69">
        <v>291</v>
      </c>
      <c r="B294" s="66">
        <v>1.6875389974302379E-14</v>
      </c>
      <c r="C294" s="66">
        <v>1.9330343613175691E-17</v>
      </c>
      <c r="D294" s="71">
        <v>2</v>
      </c>
      <c r="E294" s="67">
        <v>0.33333333333333331</v>
      </c>
      <c r="F294" s="67">
        <v>0.33333333333333331</v>
      </c>
      <c r="G294" s="67">
        <v>0.2982456140350877</v>
      </c>
      <c r="H294" s="67">
        <v>0.1661831744716121</v>
      </c>
      <c r="I294" s="68">
        <v>8687.0773506252899</v>
      </c>
      <c r="J294" s="68">
        <v>-8174.4804655029093</v>
      </c>
      <c r="K294" s="67">
        <v>0.12142038946162657</v>
      </c>
      <c r="L294" s="67">
        <v>0.12142038946162657</v>
      </c>
      <c r="M294" s="67">
        <v>0.27130819173919052</v>
      </c>
      <c r="N294" s="67">
        <v>0.21273656582400885</v>
      </c>
      <c r="O294" s="67">
        <v>0.57739307535641549</v>
      </c>
      <c r="P294" s="67">
        <v>0.39675324675324675</v>
      </c>
      <c r="Q294" s="67">
        <v>0.43492357572950441</v>
      </c>
    </row>
    <row r="295" spans="1:17" x14ac:dyDescent="0.45">
      <c r="A295" s="69">
        <v>292</v>
      </c>
      <c r="B295" s="66">
        <v>1.2878587085651816E-14</v>
      </c>
      <c r="C295" s="66">
        <v>1.4701583431109378E-17</v>
      </c>
      <c r="D295" s="71">
        <v>2</v>
      </c>
      <c r="E295" s="67">
        <v>0.33333333333333331</v>
      </c>
      <c r="F295" s="67">
        <v>0.33333333333333331</v>
      </c>
      <c r="G295" s="67">
        <v>0.29833264434339257</v>
      </c>
      <c r="H295" s="67">
        <v>0.1664599696844426</v>
      </c>
      <c r="I295" s="68">
        <v>8679.7690531177832</v>
      </c>
      <c r="J295" s="68">
        <v>-8164.0728476821196</v>
      </c>
      <c r="K295" s="67">
        <v>0.12100456621004566</v>
      </c>
      <c r="L295" s="67">
        <v>0.12100456621004566</v>
      </c>
      <c r="M295" s="67">
        <v>0.27104864268981671</v>
      </c>
      <c r="N295" s="67">
        <v>0.21289789169078133</v>
      </c>
      <c r="O295" s="67">
        <v>0.57752923233350284</v>
      </c>
      <c r="P295" s="67">
        <v>0.39676375404530745</v>
      </c>
      <c r="Q295" s="67">
        <v>0.43418013856812931</v>
      </c>
    </row>
    <row r="296" spans="1:17" x14ac:dyDescent="0.45">
      <c r="A296" s="69">
        <v>293</v>
      </c>
      <c r="B296" s="66">
        <v>1.4210854715202004E-14</v>
      </c>
      <c r="C296" s="66">
        <v>1.6167070210696249E-17</v>
      </c>
      <c r="D296" s="71">
        <v>2</v>
      </c>
      <c r="E296" s="67">
        <v>0.33333333333333331</v>
      </c>
      <c r="F296" s="67">
        <v>0.33333333333333331</v>
      </c>
      <c r="G296" s="67">
        <v>0.29829623522945864</v>
      </c>
      <c r="H296" s="67">
        <v>0.16639186589722452</v>
      </c>
      <c r="I296" s="68">
        <v>8681.4831874712108</v>
      </c>
      <c r="J296" s="68">
        <v>-8161.3542526837327</v>
      </c>
      <c r="K296" s="67">
        <v>0.12059158134243458</v>
      </c>
      <c r="L296" s="67">
        <v>0.12059158134243458</v>
      </c>
      <c r="M296" s="67">
        <v>0.27122835943940643</v>
      </c>
      <c r="N296" s="67">
        <v>0.21283319593294861</v>
      </c>
      <c r="O296" s="67">
        <v>0.57750759878419455</v>
      </c>
      <c r="P296" s="67">
        <v>0.39638476436410586</v>
      </c>
      <c r="Q296" s="67">
        <v>0.43436204514048826</v>
      </c>
    </row>
    <row r="297" spans="1:17" x14ac:dyDescent="0.45">
      <c r="A297" s="69">
        <v>294</v>
      </c>
      <c r="B297" s="66">
        <v>1.0658141036401503E-14</v>
      </c>
      <c r="C297" s="66">
        <v>1.2084060131974493E-17</v>
      </c>
      <c r="D297" s="71">
        <v>2</v>
      </c>
      <c r="E297" s="67">
        <v>0.33333333333333331</v>
      </c>
      <c r="F297" s="67">
        <v>0.33333333333333331</v>
      </c>
      <c r="G297" s="67">
        <v>0.29841139413859219</v>
      </c>
      <c r="H297" s="67">
        <v>0.16666666666666666</v>
      </c>
      <c r="I297" s="68">
        <v>8672.3726480036712</v>
      </c>
      <c r="J297" s="68">
        <v>-8150.6162695152016</v>
      </c>
      <c r="K297" s="67">
        <v>0.12018140589569161</v>
      </c>
      <c r="L297" s="67">
        <v>0.12018140589569161</v>
      </c>
      <c r="M297" s="67">
        <v>0.27102163790742262</v>
      </c>
      <c r="N297" s="67">
        <v>0.2126814571350315</v>
      </c>
      <c r="O297" s="67">
        <v>0.5775644264780192</v>
      </c>
      <c r="P297" s="67">
        <v>0.39729555698647778</v>
      </c>
      <c r="Q297" s="67">
        <v>0.43368517668655349</v>
      </c>
    </row>
    <row r="298" spans="1:17" x14ac:dyDescent="0.45">
      <c r="A298" s="69">
        <v>295</v>
      </c>
      <c r="B298" s="66">
        <v>9.936496070395151E-15</v>
      </c>
      <c r="C298" s="66">
        <v>1.1227679175587742E-17</v>
      </c>
      <c r="D298" s="71">
        <v>2</v>
      </c>
      <c r="E298" s="67">
        <v>0.33333333333333331</v>
      </c>
      <c r="F298" s="67">
        <v>0.33333333333333331</v>
      </c>
      <c r="G298" s="67">
        <v>0.29855428259683581</v>
      </c>
      <c r="H298" s="67">
        <v>0.16639388979814512</v>
      </c>
      <c r="I298" s="68">
        <v>8669.25536774783</v>
      </c>
      <c r="J298" s="68">
        <v>-8148.8524590163934</v>
      </c>
      <c r="K298" s="67">
        <v>0.11977401129943503</v>
      </c>
      <c r="L298" s="67">
        <v>0.11977401129943503</v>
      </c>
      <c r="M298" s="67">
        <v>0.27073104200763776</v>
      </c>
      <c r="N298" s="67">
        <v>0.21276595744680851</v>
      </c>
      <c r="O298" s="67">
        <v>0.57783375314861463</v>
      </c>
      <c r="P298" s="67">
        <v>0.39807692307692305</v>
      </c>
      <c r="Q298" s="67">
        <v>0.43490178163544996</v>
      </c>
    </row>
    <row r="299" spans="1:17" x14ac:dyDescent="0.45">
      <c r="A299" s="69">
        <v>296</v>
      </c>
      <c r="B299" s="66">
        <v>0</v>
      </c>
      <c r="C299" s="66">
        <v>0</v>
      </c>
      <c r="D299" s="71">
        <v>2</v>
      </c>
      <c r="E299" s="67">
        <v>0.33333333333333331</v>
      </c>
      <c r="F299" s="67">
        <v>0.33333333333333331</v>
      </c>
      <c r="G299" s="67">
        <v>0.29830278343516631</v>
      </c>
      <c r="H299" s="67">
        <v>0.16632722335369993</v>
      </c>
      <c r="I299" s="68">
        <v>8665.9080564406013</v>
      </c>
      <c r="J299" s="68">
        <v>-8145.4693877551017</v>
      </c>
      <c r="K299" s="67">
        <v>0.11936936936936937</v>
      </c>
      <c r="L299" s="67">
        <v>0.11936936936936937</v>
      </c>
      <c r="M299" s="67">
        <v>0.27060420909708077</v>
      </c>
      <c r="N299" s="67">
        <v>0.21249151391717583</v>
      </c>
      <c r="O299" s="67">
        <v>0.57852483692925238</v>
      </c>
      <c r="P299" s="67">
        <v>0.39808306709265173</v>
      </c>
      <c r="Q299" s="67">
        <v>0.43468365953573052</v>
      </c>
    </row>
    <row r="300" spans="1:17" x14ac:dyDescent="0.45">
      <c r="A300" s="69">
        <v>297</v>
      </c>
      <c r="B300" s="66">
        <v>0</v>
      </c>
      <c r="C300" s="66">
        <v>0</v>
      </c>
      <c r="D300" s="71">
        <v>2</v>
      </c>
      <c r="E300" s="67">
        <v>0.33333333333333331</v>
      </c>
      <c r="F300" s="67">
        <v>0.33333333333333331</v>
      </c>
      <c r="G300" s="67">
        <v>0.2984448951994591</v>
      </c>
      <c r="H300" s="67">
        <v>0.16605814739688979</v>
      </c>
      <c r="I300" s="68">
        <v>8660.8971454463081</v>
      </c>
      <c r="J300" s="68">
        <v>-8135.9120521172636</v>
      </c>
      <c r="K300" s="67">
        <v>0.11896745230078563</v>
      </c>
      <c r="L300" s="67">
        <v>0.11896745230078563</v>
      </c>
      <c r="M300" s="67">
        <v>0.27072346179851253</v>
      </c>
      <c r="N300" s="67">
        <v>0.21217038539553754</v>
      </c>
      <c r="O300" s="67">
        <v>0.57842157842157838</v>
      </c>
      <c r="P300" s="67">
        <v>0.39834289356277885</v>
      </c>
      <c r="Q300" s="67">
        <v>0.43588581785228819</v>
      </c>
    </row>
    <row r="301" spans="1:17" x14ac:dyDescent="0.45">
      <c r="A301" s="69">
        <v>298</v>
      </c>
      <c r="B301" s="66">
        <v>-2.886579864025407E-15</v>
      </c>
      <c r="C301" s="66">
        <v>-3.228836536941171E-18</v>
      </c>
      <c r="D301" s="71">
        <v>2</v>
      </c>
      <c r="E301" s="67">
        <v>0.33333333333333331</v>
      </c>
      <c r="F301" s="67">
        <v>0.33333333333333331</v>
      </c>
      <c r="G301" s="67">
        <v>0.29850141757796678</v>
      </c>
      <c r="H301" s="67">
        <v>0.16619414067773727</v>
      </c>
      <c r="I301" s="68">
        <v>8666.3952962460426</v>
      </c>
      <c r="J301" s="68">
        <v>-8144.3541835905771</v>
      </c>
      <c r="K301" s="67">
        <v>0.11968680089485459</v>
      </c>
      <c r="L301" s="67">
        <v>0.11968680089485459</v>
      </c>
      <c r="M301" s="67">
        <v>0.27095990279465371</v>
      </c>
      <c r="N301" s="67">
        <v>0.21182665046577562</v>
      </c>
      <c r="O301" s="67">
        <v>0.57797708021923266</v>
      </c>
      <c r="P301" s="67">
        <v>0.39834289356277885</v>
      </c>
      <c r="Q301" s="67">
        <v>0.43554952510176392</v>
      </c>
    </row>
    <row r="302" spans="1:17" x14ac:dyDescent="0.45">
      <c r="A302" s="69">
        <v>299</v>
      </c>
      <c r="B302" s="66">
        <v>-7.1054273576010019E-15</v>
      </c>
      <c r="C302" s="66">
        <v>-7.9213236985518414E-18</v>
      </c>
      <c r="D302" s="71">
        <v>2</v>
      </c>
      <c r="E302" s="67">
        <v>0.33333333333333331</v>
      </c>
      <c r="F302" s="67">
        <v>0.33333333333333331</v>
      </c>
      <c r="G302" s="67">
        <v>0.29854955680902501</v>
      </c>
      <c r="H302" s="67">
        <v>0.16639806607574537</v>
      </c>
      <c r="I302" s="68">
        <v>8650.5623031938812</v>
      </c>
      <c r="J302" s="68">
        <v>-8124.7780468119454</v>
      </c>
      <c r="K302" s="67">
        <v>0.12040133779264214</v>
      </c>
      <c r="L302" s="67">
        <v>0.12040133779264214</v>
      </c>
      <c r="M302" s="67">
        <v>0.27061509535320977</v>
      </c>
      <c r="N302" s="67">
        <v>0.21179156594144508</v>
      </c>
      <c r="O302" s="67">
        <v>0.57766749379652604</v>
      </c>
      <c r="P302" s="67">
        <v>0.398858592263792</v>
      </c>
      <c r="Q302" s="67">
        <v>0.43499775078722447</v>
      </c>
    </row>
    <row r="303" spans="1:17" x14ac:dyDescent="0.45">
      <c r="A303" s="69">
        <v>300</v>
      </c>
      <c r="B303" s="66">
        <v>-7.1054273576010019E-15</v>
      </c>
      <c r="C303" s="66">
        <v>-7.8949192862233354E-18</v>
      </c>
      <c r="D303" s="71">
        <v>2</v>
      </c>
      <c r="E303" s="67">
        <v>0.33333333333333331</v>
      </c>
      <c r="F303" s="67">
        <v>0.33333333333333331</v>
      </c>
      <c r="G303" s="67">
        <v>0.29837953662782912</v>
      </c>
      <c r="H303" s="67">
        <v>0.16633186018481319</v>
      </c>
      <c r="I303" s="68">
        <v>8644.2100538599643</v>
      </c>
      <c r="J303" s="68">
        <v>-8118.9210950080515</v>
      </c>
      <c r="K303" s="67">
        <v>0.12</v>
      </c>
      <c r="L303" s="67">
        <v>0.12</v>
      </c>
      <c r="M303" s="67">
        <v>0.27079148252310165</v>
      </c>
      <c r="N303" s="67">
        <v>0.21186554171688765</v>
      </c>
      <c r="O303" s="67">
        <v>0.5771513353115727</v>
      </c>
      <c r="P303" s="67">
        <v>0.39823008849557523</v>
      </c>
      <c r="Q303" s="67">
        <v>0.43491921005385997</v>
      </c>
    </row>
    <row r="304" spans="1:17" x14ac:dyDescent="0.45">
      <c r="A304" s="69">
        <v>301</v>
      </c>
      <c r="B304" s="66">
        <v>-7.1054273576010019E-15</v>
      </c>
      <c r="C304" s="66">
        <v>-7.8686903184950183E-18</v>
      </c>
      <c r="D304" s="71">
        <v>2</v>
      </c>
      <c r="E304" s="67">
        <v>0.33333333333333331</v>
      </c>
      <c r="F304" s="67">
        <v>0.33333333333333331</v>
      </c>
      <c r="G304" s="67">
        <v>0.29834401709401709</v>
      </c>
      <c r="H304" s="67">
        <v>0.16653311965811965</v>
      </c>
      <c r="I304" s="68">
        <v>8640.2417188898835</v>
      </c>
      <c r="J304" s="68">
        <v>-8114.6752205292705</v>
      </c>
      <c r="K304" s="67">
        <v>0.12070874861572536</v>
      </c>
      <c r="L304" s="67">
        <v>0.12070874861572536</v>
      </c>
      <c r="M304" s="67">
        <v>0.27083333333333331</v>
      </c>
      <c r="N304" s="67">
        <v>0.21167200854700854</v>
      </c>
      <c r="O304" s="67">
        <v>0.57692307692307687</v>
      </c>
      <c r="P304" s="67">
        <v>0.39936908517350156</v>
      </c>
      <c r="Q304" s="67">
        <v>0.43419874664279318</v>
      </c>
    </row>
    <row r="305" spans="1:17" x14ac:dyDescent="0.45">
      <c r="A305" s="69">
        <v>302</v>
      </c>
      <c r="B305" s="66">
        <v>-7.1054273576010019E-15</v>
      </c>
      <c r="C305" s="66">
        <v>-7.8426350525397371E-18</v>
      </c>
      <c r="D305" s="71">
        <v>2</v>
      </c>
      <c r="E305" s="67">
        <v>0.33333333333333331</v>
      </c>
      <c r="F305" s="67">
        <v>0.33333333333333331</v>
      </c>
      <c r="G305" s="67">
        <v>0.29830869623118922</v>
      </c>
      <c r="H305" s="67">
        <v>0.16660007990411507</v>
      </c>
      <c r="I305" s="68">
        <v>8641.2053571428569</v>
      </c>
      <c r="J305" s="68">
        <v>-8110.4716227018389</v>
      </c>
      <c r="K305" s="67">
        <v>0.12030905077262694</v>
      </c>
      <c r="L305" s="67">
        <v>0.12030905077262694</v>
      </c>
      <c r="M305" s="67">
        <v>0.27060860300972167</v>
      </c>
      <c r="N305" s="67">
        <v>0.2121454254894127</v>
      </c>
      <c r="O305" s="67">
        <v>0.57677165354330706</v>
      </c>
      <c r="P305" s="67">
        <v>0.3992467043314501</v>
      </c>
      <c r="Q305" s="67">
        <v>0.43392857142857144</v>
      </c>
    </row>
    <row r="306" spans="1:17" x14ac:dyDescent="0.45">
      <c r="A306" s="69">
        <v>303</v>
      </c>
      <c r="B306" s="66">
        <v>-7.1054273576010019E-15</v>
      </c>
      <c r="C306" s="66">
        <v>-7.8167517685379554E-18</v>
      </c>
      <c r="D306" s="71">
        <v>2</v>
      </c>
      <c r="E306" s="67">
        <v>0.33333333333333331</v>
      </c>
      <c r="F306" s="67">
        <v>0.33333333333333331</v>
      </c>
      <c r="G306" s="67">
        <v>0.29828753484667464</v>
      </c>
      <c r="H306" s="67">
        <v>0.16660029204832072</v>
      </c>
      <c r="I306" s="68">
        <v>8642.3676012461056</v>
      </c>
      <c r="J306" s="68">
        <v>-8106.2151394422308</v>
      </c>
      <c r="K306" s="67">
        <v>0.11991199119911991</v>
      </c>
      <c r="L306" s="67">
        <v>0.11991199119911991</v>
      </c>
      <c r="M306" s="67">
        <v>0.27001194743130225</v>
      </c>
      <c r="N306" s="67">
        <v>0.21239877870702242</v>
      </c>
      <c r="O306" s="67">
        <v>0.57718780727630281</v>
      </c>
      <c r="P306" s="67">
        <v>0.39937499999999998</v>
      </c>
      <c r="Q306" s="67">
        <v>0.43391188251001334</v>
      </c>
    </row>
    <row r="307" spans="1:17" x14ac:dyDescent="0.45">
      <c r="A307" s="69">
        <v>304</v>
      </c>
      <c r="B307" s="66">
        <v>-7.1054273576010019E-15</v>
      </c>
      <c r="C307" s="66">
        <v>-7.7910387692993437E-18</v>
      </c>
      <c r="D307" s="71">
        <v>2</v>
      </c>
      <c r="E307" s="67">
        <v>0.33333333333333331</v>
      </c>
      <c r="F307" s="67">
        <v>0.33333333333333331</v>
      </c>
      <c r="G307" s="67">
        <v>0.29823864388822674</v>
      </c>
      <c r="H307" s="67">
        <v>0.16646801748112833</v>
      </c>
      <c r="I307" s="68">
        <v>8642.7175843694495</v>
      </c>
      <c r="J307" s="68">
        <v>-8109.2283214001591</v>
      </c>
      <c r="K307" s="67">
        <v>0.11951754385964912</v>
      </c>
      <c r="L307" s="67">
        <v>0.11951754385964912</v>
      </c>
      <c r="M307" s="67">
        <v>0.269500728380347</v>
      </c>
      <c r="N307" s="67">
        <v>0.21242219573566415</v>
      </c>
      <c r="O307" s="67">
        <v>0.57739557739557734</v>
      </c>
      <c r="P307" s="67">
        <v>0.39962593516209477</v>
      </c>
      <c r="Q307" s="67">
        <v>0.43428063943161632</v>
      </c>
    </row>
    <row r="308" spans="1:17" x14ac:dyDescent="0.45">
      <c r="A308" s="69">
        <v>305</v>
      </c>
      <c r="B308" s="66">
        <v>-7.1054273576010019E-15</v>
      </c>
      <c r="C308" s="66">
        <v>-7.7654943798918053E-18</v>
      </c>
      <c r="D308" s="71">
        <v>2</v>
      </c>
      <c r="E308" s="67">
        <v>0.33333333333333331</v>
      </c>
      <c r="F308" s="67">
        <v>0.33333333333333331</v>
      </c>
      <c r="G308" s="67">
        <v>0.29830106677202689</v>
      </c>
      <c r="H308" s="67">
        <v>0.16633741604109048</v>
      </c>
      <c r="I308" s="68">
        <v>8632.7593818984551</v>
      </c>
      <c r="J308" s="68">
        <v>-8090.7363420427555</v>
      </c>
      <c r="K308" s="67">
        <v>0.11912568306010929</v>
      </c>
      <c r="L308" s="67">
        <v>0.11912568306010929</v>
      </c>
      <c r="M308" s="67">
        <v>0.2695904122217832</v>
      </c>
      <c r="N308" s="67">
        <v>0.21269590412221784</v>
      </c>
      <c r="O308" s="67">
        <v>0.57645334636052759</v>
      </c>
      <c r="P308" s="67">
        <v>0.39814241486068114</v>
      </c>
      <c r="Q308" s="67">
        <v>0.43443708609271525</v>
      </c>
    </row>
    <row r="309" spans="1:17" x14ac:dyDescent="0.45">
      <c r="A309" s="69">
        <v>306</v>
      </c>
      <c r="B309" s="66">
        <v>-7.1054273576010019E-15</v>
      </c>
      <c r="C309" s="66">
        <v>-7.7401169472777806E-18</v>
      </c>
      <c r="D309" s="71">
        <v>2</v>
      </c>
      <c r="E309" s="67">
        <v>0.33333333333333331</v>
      </c>
      <c r="F309" s="67">
        <v>0.33333333333333331</v>
      </c>
      <c r="G309" s="67">
        <v>0.29843893480257117</v>
      </c>
      <c r="H309" s="67">
        <v>0.16633871179325724</v>
      </c>
      <c r="I309" s="68">
        <v>8620.7912087912082</v>
      </c>
      <c r="J309" s="68">
        <v>-8089.3533123028392</v>
      </c>
      <c r="K309" s="67">
        <v>0.11873638344226579</v>
      </c>
      <c r="L309" s="67">
        <v>0.11873638344226579</v>
      </c>
      <c r="M309" s="67">
        <v>0.26905417814508725</v>
      </c>
      <c r="N309" s="67">
        <v>0.21290830381739473</v>
      </c>
      <c r="O309" s="67">
        <v>0.57630424183325202</v>
      </c>
      <c r="P309" s="67">
        <v>0.39802834257547753</v>
      </c>
      <c r="Q309" s="67">
        <v>0.43472527472527472</v>
      </c>
    </row>
    <row r="310" spans="1:17" x14ac:dyDescent="0.45">
      <c r="A310" s="69">
        <v>307</v>
      </c>
      <c r="B310" s="66">
        <v>-7.1054273576010019E-15</v>
      </c>
      <c r="C310" s="66">
        <v>-7.7149048399576571E-18</v>
      </c>
      <c r="D310" s="71">
        <v>2</v>
      </c>
      <c r="E310" s="67">
        <v>0.33333333333333331</v>
      </c>
      <c r="F310" s="67">
        <v>0.33333333333333331</v>
      </c>
      <c r="G310" s="67">
        <v>0.2982869098993069</v>
      </c>
      <c r="H310" s="67">
        <v>0.16633974107493135</v>
      </c>
      <c r="I310" s="68">
        <v>8614.3358176238489</v>
      </c>
      <c r="J310" s="68">
        <v>-8087.6572327044023</v>
      </c>
      <c r="K310" s="67">
        <v>0.11834961997828447</v>
      </c>
      <c r="L310" s="67">
        <v>0.11834961997828447</v>
      </c>
      <c r="M310" s="67">
        <v>0.26834052569635153</v>
      </c>
      <c r="N310" s="67">
        <v>0.21302471557473518</v>
      </c>
      <c r="O310" s="67">
        <v>0.57602339181286555</v>
      </c>
      <c r="P310" s="67">
        <v>0.3984039287906691</v>
      </c>
      <c r="Q310" s="67">
        <v>0.43445857080227968</v>
      </c>
    </row>
    <row r="311" spans="1:17" x14ac:dyDescent="0.45">
      <c r="A311" s="69">
        <v>308</v>
      </c>
      <c r="B311" s="66">
        <v>-8.8817841970012523E-15</v>
      </c>
      <c r="C311" s="66">
        <v>-9.6123205595251645E-18</v>
      </c>
      <c r="D311" s="71">
        <v>2</v>
      </c>
      <c r="E311" s="67">
        <v>0.33333333333333331</v>
      </c>
      <c r="F311" s="67">
        <v>0.33333333333333331</v>
      </c>
      <c r="G311" s="67">
        <v>0.29826619736670579</v>
      </c>
      <c r="H311" s="67">
        <v>0.16647112501629513</v>
      </c>
      <c r="I311" s="68">
        <v>8611.0139860139861</v>
      </c>
      <c r="J311" s="68">
        <v>-8081.8324197337506</v>
      </c>
      <c r="K311" s="67">
        <v>0.11796536796536797</v>
      </c>
      <c r="L311" s="67">
        <v>0.11796536796536797</v>
      </c>
      <c r="M311" s="67">
        <v>0.26815278320949026</v>
      </c>
      <c r="N311" s="67">
        <v>0.21340112110546214</v>
      </c>
      <c r="O311" s="67">
        <v>0.57559552746718523</v>
      </c>
      <c r="P311" s="67">
        <v>0.39951130116065975</v>
      </c>
      <c r="Q311" s="67">
        <v>0.43400349650349651</v>
      </c>
    </row>
    <row r="312" spans="1:17" x14ac:dyDescent="0.45">
      <c r="A312" s="69">
        <v>309</v>
      </c>
      <c r="B312" s="66">
        <v>-1.4210854715202004E-14</v>
      </c>
      <c r="C312" s="66">
        <v>-1.5329940361598708E-17</v>
      </c>
      <c r="D312" s="71">
        <v>2</v>
      </c>
      <c r="E312" s="67">
        <v>0.33333333333333331</v>
      </c>
      <c r="F312" s="67">
        <v>0.33333333333333331</v>
      </c>
      <c r="G312" s="67">
        <v>0.29836193447737908</v>
      </c>
      <c r="H312" s="67">
        <v>0.16666666666666666</v>
      </c>
      <c r="I312" s="68">
        <v>8612.7668845315911</v>
      </c>
      <c r="J312" s="68">
        <v>-8082.2932917316693</v>
      </c>
      <c r="K312" s="67">
        <v>0.11758360302049622</v>
      </c>
      <c r="L312" s="67">
        <v>0.11758360302049622</v>
      </c>
      <c r="M312" s="67">
        <v>0.26846073842953716</v>
      </c>
      <c r="N312" s="67">
        <v>0.21333853354134166</v>
      </c>
      <c r="O312" s="67">
        <v>0.57578692493946726</v>
      </c>
      <c r="P312" s="67">
        <v>0.39975624619134675</v>
      </c>
      <c r="Q312" s="67">
        <v>0.43355119825708061</v>
      </c>
    </row>
    <row r="313" spans="1:17" x14ac:dyDescent="0.45">
      <c r="A313" s="69">
        <v>310</v>
      </c>
      <c r="B313" s="66">
        <v>-1.4210854715202004E-14</v>
      </c>
      <c r="C313" s="66">
        <v>-1.5280488941077423E-17</v>
      </c>
      <c r="D313" s="71">
        <v>2</v>
      </c>
      <c r="E313" s="67">
        <v>0.33333333333333331</v>
      </c>
      <c r="F313" s="67">
        <v>0.33333333333333331</v>
      </c>
      <c r="G313" s="67">
        <v>0.29848425961912167</v>
      </c>
      <c r="H313" s="67">
        <v>0.166990542816427</v>
      </c>
      <c r="I313" s="68">
        <v>8610.6770833333339</v>
      </c>
      <c r="J313" s="68">
        <v>-8083.4755624515128</v>
      </c>
      <c r="K313" s="67">
        <v>0.11720430107526882</v>
      </c>
      <c r="L313" s="67">
        <v>0.11720430107526882</v>
      </c>
      <c r="M313" s="67">
        <v>0.26816945200155462</v>
      </c>
      <c r="N313" s="67">
        <v>0.21427646068143541</v>
      </c>
      <c r="O313" s="67">
        <v>0.57584541062801931</v>
      </c>
      <c r="P313" s="67">
        <v>0.40024183796856105</v>
      </c>
      <c r="Q313" s="67">
        <v>0.43272569444444442</v>
      </c>
    </row>
    <row r="314" spans="1:17" x14ac:dyDescent="0.45">
      <c r="A314" s="69">
        <v>311</v>
      </c>
      <c r="B314" s="66">
        <v>-1.4210854715202004E-14</v>
      </c>
      <c r="C314" s="66">
        <v>-1.523135553612219E-17</v>
      </c>
      <c r="D314" s="71">
        <v>2</v>
      </c>
      <c r="E314" s="67">
        <v>0.33333333333333331</v>
      </c>
      <c r="F314" s="67">
        <v>0.33333333333333331</v>
      </c>
      <c r="G314" s="67">
        <v>0.29838813668600905</v>
      </c>
      <c r="H314" s="67">
        <v>0.1667311411992263</v>
      </c>
      <c r="I314" s="68">
        <v>8609.3777009507339</v>
      </c>
      <c r="J314" s="68">
        <v>-8074.400618716164</v>
      </c>
      <c r="K314" s="67">
        <v>0.11682743837084673</v>
      </c>
      <c r="L314" s="67">
        <v>0.11682743837084673</v>
      </c>
      <c r="M314" s="67">
        <v>0.26795615731785943</v>
      </c>
      <c r="N314" s="67">
        <v>0.21457124435847841</v>
      </c>
      <c r="O314" s="67">
        <v>0.57651588065447545</v>
      </c>
      <c r="P314" s="67">
        <v>0.39903846153846156</v>
      </c>
      <c r="Q314" s="67">
        <v>0.43344857389801211</v>
      </c>
    </row>
    <row r="315" spans="1:17" x14ac:dyDescent="0.45">
      <c r="A315" s="69">
        <v>312</v>
      </c>
      <c r="B315" s="66">
        <v>-1.4210854715202004E-14</v>
      </c>
      <c r="C315" s="66">
        <v>-1.5182537088891031E-17</v>
      </c>
      <c r="D315" s="71">
        <v>2</v>
      </c>
      <c r="E315" s="67">
        <v>0.33333333333333331</v>
      </c>
      <c r="F315" s="67">
        <v>0.33333333333333331</v>
      </c>
      <c r="G315" s="67">
        <v>0.29800899165061012</v>
      </c>
      <c r="H315" s="67">
        <v>0.16647398843930636</v>
      </c>
      <c r="I315" s="68">
        <v>8602.4137931034475</v>
      </c>
      <c r="J315" s="68">
        <v>-8066.7438271604942</v>
      </c>
      <c r="K315" s="67">
        <v>0.11645299145299146</v>
      </c>
      <c r="L315" s="67">
        <v>0.11645299145299146</v>
      </c>
      <c r="M315" s="67">
        <v>0.26769428387925498</v>
      </c>
      <c r="N315" s="67">
        <v>0.21451509312780989</v>
      </c>
      <c r="O315" s="67">
        <v>0.5762955854126679</v>
      </c>
      <c r="P315" s="67">
        <v>0.39820359281437123</v>
      </c>
      <c r="Q315" s="67">
        <v>0.43362068965517242</v>
      </c>
    </row>
    <row r="316" spans="1:17" x14ac:dyDescent="0.45">
      <c r="A316" s="69">
        <v>313</v>
      </c>
      <c r="B316" s="66">
        <v>-1.4210854715202004E-14</v>
      </c>
      <c r="C316" s="66">
        <v>-1.5134030580619814E-17</v>
      </c>
      <c r="D316" s="71">
        <v>2</v>
      </c>
      <c r="E316" s="67">
        <v>0.33333333333333331</v>
      </c>
      <c r="F316" s="67">
        <v>0.33333333333333331</v>
      </c>
      <c r="G316" s="67">
        <v>0.29809047802127386</v>
      </c>
      <c r="H316" s="67">
        <v>0.16673074458541587</v>
      </c>
      <c r="I316" s="68">
        <v>8605.8469475494403</v>
      </c>
      <c r="J316" s="68">
        <v>-8075.403535741737</v>
      </c>
      <c r="K316" s="67">
        <v>0.11714589989350373</v>
      </c>
      <c r="L316" s="67">
        <v>0.11714589989350373</v>
      </c>
      <c r="M316" s="67">
        <v>0.26784570037165195</v>
      </c>
      <c r="N316" s="67">
        <v>0.21440471613481993</v>
      </c>
      <c r="O316" s="67">
        <v>0.57655502392344493</v>
      </c>
      <c r="P316" s="67">
        <v>0.39868499701135685</v>
      </c>
      <c r="Q316" s="67">
        <v>0.43293207222699914</v>
      </c>
    </row>
    <row r="317" spans="1:17" x14ac:dyDescent="0.45">
      <c r="A317" s="69">
        <v>314</v>
      </c>
      <c r="B317" s="66">
        <v>-1.27675647831893E-14</v>
      </c>
      <c r="C317" s="66">
        <v>-1.3553678113789066E-17</v>
      </c>
      <c r="D317" s="71">
        <v>2</v>
      </c>
      <c r="E317" s="67">
        <v>0.33333333333333331</v>
      </c>
      <c r="F317" s="67">
        <v>0.33333333333333331</v>
      </c>
      <c r="G317" s="67">
        <v>0.29822545640240011</v>
      </c>
      <c r="H317" s="67">
        <v>0.16685816417719904</v>
      </c>
      <c r="I317" s="68">
        <v>8598.6729452054788</v>
      </c>
      <c r="J317" s="68">
        <v>-8076.4345830145367</v>
      </c>
      <c r="K317" s="67">
        <v>0.11677282377919321</v>
      </c>
      <c r="L317" s="67">
        <v>0.11677282377919321</v>
      </c>
      <c r="M317" s="67">
        <v>0.26784118473126517</v>
      </c>
      <c r="N317" s="67">
        <v>0.21434954678922508</v>
      </c>
      <c r="O317" s="67">
        <v>0.57721639656816015</v>
      </c>
      <c r="P317" s="67">
        <v>0.39904705181655747</v>
      </c>
      <c r="Q317" s="67">
        <v>0.43279109589041098</v>
      </c>
    </row>
    <row r="318" spans="1:17" x14ac:dyDescent="0.45">
      <c r="A318" s="69">
        <v>315</v>
      </c>
      <c r="B318" s="66">
        <v>-1.0658141036401503E-14</v>
      </c>
      <c r="C318" s="66">
        <v>-1.1278456123176193E-17</v>
      </c>
      <c r="D318" s="71">
        <v>2</v>
      </c>
      <c r="E318" s="67">
        <v>0.33333333333333331</v>
      </c>
      <c r="F318" s="67">
        <v>0.33333333333333331</v>
      </c>
      <c r="G318" s="67">
        <v>0.29783715012722645</v>
      </c>
      <c r="H318" s="67">
        <v>0.16653944020356234</v>
      </c>
      <c r="I318" s="68">
        <v>8596.1554891072192</v>
      </c>
      <c r="J318" s="68">
        <v>-8072.498090145149</v>
      </c>
      <c r="K318" s="67">
        <v>0.1164021164021164</v>
      </c>
      <c r="L318" s="67">
        <v>0.1164021164021164</v>
      </c>
      <c r="M318" s="67">
        <v>0.26806615776081427</v>
      </c>
      <c r="N318" s="67">
        <v>0.21437659033078879</v>
      </c>
      <c r="O318" s="67">
        <v>0.57664926435690556</v>
      </c>
      <c r="P318" s="67">
        <v>0.39821958456973294</v>
      </c>
      <c r="Q318" s="67">
        <v>0.43314822725331054</v>
      </c>
    </row>
    <row r="319" spans="1:17" x14ac:dyDescent="0.45">
      <c r="A319" s="69">
        <v>316</v>
      </c>
      <c r="B319" s="66">
        <v>-1.4210854715202004E-14</v>
      </c>
      <c r="C319" s="66">
        <v>-1.4990353075107598E-17</v>
      </c>
      <c r="D319" s="71">
        <v>2</v>
      </c>
      <c r="E319" s="67">
        <v>0.33333333333333331</v>
      </c>
      <c r="F319" s="67">
        <v>0.33333333333333331</v>
      </c>
      <c r="G319" s="67">
        <v>0.29793173455145289</v>
      </c>
      <c r="H319" s="67">
        <v>0.16634944803958887</v>
      </c>
      <c r="I319" s="68">
        <v>8607.0272572402046</v>
      </c>
      <c r="J319" s="68">
        <v>-8093.7452326468347</v>
      </c>
      <c r="K319" s="67">
        <v>0.11708860759493671</v>
      </c>
      <c r="L319" s="67">
        <v>0.11708860759493671</v>
      </c>
      <c r="M319" s="67">
        <v>0.26811318360614134</v>
      </c>
      <c r="N319" s="67">
        <v>0.21431290445374954</v>
      </c>
      <c r="O319" s="67">
        <v>0.57690487458589679</v>
      </c>
      <c r="P319" s="67">
        <v>0.39786856127886322</v>
      </c>
      <c r="Q319" s="67">
        <v>0.43398637137989776</v>
      </c>
    </row>
    <row r="320" spans="1:17" x14ac:dyDescent="0.45">
      <c r="A320" s="69">
        <v>317</v>
      </c>
      <c r="B320" s="66">
        <v>-1.4210854715202004E-14</v>
      </c>
      <c r="C320" s="66">
        <v>-1.494306489505994E-17</v>
      </c>
      <c r="D320" s="71">
        <v>2</v>
      </c>
      <c r="E320" s="67">
        <v>0.33333333333333331</v>
      </c>
      <c r="F320" s="67">
        <v>0.33333333333333331</v>
      </c>
      <c r="G320" s="67">
        <v>0.2978723404255319</v>
      </c>
      <c r="H320" s="67">
        <v>0.16654002026342452</v>
      </c>
      <c r="I320" s="68">
        <v>8616.9642857142862</v>
      </c>
      <c r="J320" s="68">
        <v>-8113.0798479087453</v>
      </c>
      <c r="K320" s="67">
        <v>0.11777076761303891</v>
      </c>
      <c r="L320" s="67">
        <v>0.11777076761303891</v>
      </c>
      <c r="M320" s="67">
        <v>0.26785714285714285</v>
      </c>
      <c r="N320" s="67">
        <v>0.21428571428571427</v>
      </c>
      <c r="O320" s="67">
        <v>0.57635933806146578</v>
      </c>
      <c r="P320" s="67">
        <v>0.39775413711583923</v>
      </c>
      <c r="Q320" s="67">
        <v>0.43324829931972791</v>
      </c>
    </row>
    <row r="321" spans="1:17" x14ac:dyDescent="0.45">
      <c r="A321" s="69">
        <v>318</v>
      </c>
      <c r="B321" s="66">
        <v>-1.5987211554602254E-14</v>
      </c>
      <c r="C321" s="66">
        <v>-1.67580833905684E-17</v>
      </c>
      <c r="D321" s="71">
        <v>2</v>
      </c>
      <c r="E321" s="67">
        <v>0.33333333333333331</v>
      </c>
      <c r="F321" s="67">
        <v>0.33333333333333331</v>
      </c>
      <c r="G321" s="67">
        <v>0.29801992685080086</v>
      </c>
      <c r="H321" s="67">
        <v>0.16698196493883213</v>
      </c>
      <c r="I321" s="68">
        <v>8616.4621244181126</v>
      </c>
      <c r="J321" s="68">
        <v>-8109.2145015105743</v>
      </c>
      <c r="K321" s="67">
        <v>0.11740041928721175</v>
      </c>
      <c r="L321" s="67">
        <v>0.11740041928721175</v>
      </c>
      <c r="M321" s="67">
        <v>0.26787741203178206</v>
      </c>
      <c r="N321" s="67">
        <v>0.21402446714592005</v>
      </c>
      <c r="O321" s="67">
        <v>0.57721280602636538</v>
      </c>
      <c r="P321" s="67">
        <v>0.39835002946375958</v>
      </c>
      <c r="Q321" s="67">
        <v>0.43207786711807022</v>
      </c>
    </row>
    <row r="322" spans="1:17" x14ac:dyDescent="0.45">
      <c r="A322" s="69">
        <v>319</v>
      </c>
      <c r="B322" s="66">
        <v>-1.4210854715202004E-14</v>
      </c>
      <c r="C322" s="66">
        <v>-1.4849377967818187E-17</v>
      </c>
      <c r="D322" s="71">
        <v>2</v>
      </c>
      <c r="E322" s="67">
        <v>0.33333333333333331</v>
      </c>
      <c r="F322" s="67">
        <v>0.33333333333333331</v>
      </c>
      <c r="G322" s="67">
        <v>0.2981132075471698</v>
      </c>
      <c r="H322" s="67">
        <v>0.16704402515723271</v>
      </c>
      <c r="I322" s="68">
        <v>8615.4430379746827</v>
      </c>
      <c r="J322" s="68">
        <v>-8109.1114457831327</v>
      </c>
      <c r="K322" s="67">
        <v>0.1180773249738767</v>
      </c>
      <c r="L322" s="67">
        <v>0.1180773249738767</v>
      </c>
      <c r="M322" s="67">
        <v>0.26855345911949685</v>
      </c>
      <c r="N322" s="67">
        <v>0.21358490566037736</v>
      </c>
      <c r="O322" s="67">
        <v>0.57704918032786889</v>
      </c>
      <c r="P322" s="67">
        <v>0.39811542991755006</v>
      </c>
      <c r="Q322" s="67">
        <v>0.43206751054852321</v>
      </c>
    </row>
    <row r="323" spans="1:17" x14ac:dyDescent="0.45">
      <c r="A323" s="69">
        <v>320</v>
      </c>
      <c r="B323" s="66">
        <v>-1.2434497875801753E-14</v>
      </c>
      <c r="C323" s="66">
        <v>-1.295260195396016E-17</v>
      </c>
      <c r="D323" s="71">
        <v>2</v>
      </c>
      <c r="E323" s="67">
        <v>0.33333333333333331</v>
      </c>
      <c r="F323" s="67">
        <v>0.33333333333333331</v>
      </c>
      <c r="G323" s="67">
        <v>0.29819277108433734</v>
      </c>
      <c r="H323" s="67">
        <v>0.16704317269076305</v>
      </c>
      <c r="I323" s="68">
        <v>8613.8468013468009</v>
      </c>
      <c r="J323" s="68">
        <v>-8108.790383170548</v>
      </c>
      <c r="K323" s="67">
        <v>0.11874999999999999</v>
      </c>
      <c r="L323" s="67">
        <v>0.11874999999999999</v>
      </c>
      <c r="M323" s="67">
        <v>0.2684487951807229</v>
      </c>
      <c r="N323" s="67">
        <v>0.21385542168674698</v>
      </c>
      <c r="O323" s="67">
        <v>0.57784011220196352</v>
      </c>
      <c r="P323" s="67">
        <v>0.397887323943662</v>
      </c>
      <c r="Q323" s="67">
        <v>0.43223905723905726</v>
      </c>
    </row>
    <row r="324" spans="1:17" x14ac:dyDescent="0.45">
      <c r="A324" s="69">
        <v>321</v>
      </c>
      <c r="B324" s="66">
        <v>-1.4210854715202004E-14</v>
      </c>
      <c r="C324" s="66">
        <v>-1.4756858478922122E-17</v>
      </c>
      <c r="D324" s="71">
        <v>2</v>
      </c>
      <c r="E324" s="67">
        <v>0.33333333333333331</v>
      </c>
      <c r="F324" s="67">
        <v>0.33333333333333331</v>
      </c>
      <c r="G324" s="67">
        <v>0.29821921244043142</v>
      </c>
      <c r="H324" s="67">
        <v>0.16716829696513669</v>
      </c>
      <c r="I324" s="68">
        <v>8624.2640874684603</v>
      </c>
      <c r="J324" s="68">
        <v>-8128.1320330082517</v>
      </c>
      <c r="K324" s="67">
        <v>0.11941848390446522</v>
      </c>
      <c r="L324" s="67">
        <v>0.11941848390446522</v>
      </c>
      <c r="M324" s="67">
        <v>0.26849761725608229</v>
      </c>
      <c r="N324" s="67">
        <v>0.21381991472284925</v>
      </c>
      <c r="O324" s="67">
        <v>0.57730032695002331</v>
      </c>
      <c r="P324" s="67">
        <v>0.39824046920821116</v>
      </c>
      <c r="Q324" s="67">
        <v>0.43187552565180826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2019-07-27T13:28:38Z</dcterms:modified>
</cp:coreProperties>
</file>