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4C5B6ED-D6EE-454A-9719-A4A600AB3E5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6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6" i="5459"/>
  <c r="O21" i="5467"/>
  <c r="O19" i="5467"/>
  <c r="O21" i="5455" l="1"/>
  <c r="O17" i="5471"/>
  <c r="O20" i="5471" l="1"/>
  <c r="O15" i="5471"/>
  <c r="O15" i="5461"/>
  <c r="O22" i="5459"/>
  <c r="O17" i="5469" l="1"/>
  <c r="O22" i="5465"/>
  <c r="O15" i="5469"/>
  <c r="O21" i="5471"/>
  <c r="O15" i="5457"/>
  <c r="O17" i="5467"/>
  <c r="O17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8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20" i="5467" l="1"/>
  <c r="O18" i="5465"/>
  <c r="O16" i="5465"/>
  <c r="O17" i="5457"/>
  <c r="O18" i="5463" l="1"/>
  <c r="O17" i="5461"/>
  <c r="O17" i="5465"/>
  <c r="O19" i="5465"/>
  <c r="O15" i="5463" l="1"/>
  <c r="O16" i="5461"/>
  <c r="O21" i="5459"/>
  <c r="O18" i="5459"/>
  <c r="O15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8" i="5467"/>
  <c r="H29" i="5467"/>
  <c r="H18" i="5467"/>
  <c r="H32" i="5467"/>
  <c r="H15" i="5467"/>
  <c r="H35" i="5467"/>
  <c r="H39" i="5467"/>
  <c r="H42" i="5467"/>
  <c r="H46" i="5467"/>
  <c r="H50" i="5467"/>
  <c r="H8" i="5467"/>
  <c r="H21" i="5467"/>
  <c r="H27" i="5467"/>
  <c r="C19" i="5467"/>
  <c r="H13" i="5467"/>
  <c r="H23" i="5467"/>
  <c r="H36" i="5467"/>
  <c r="H40" i="5467"/>
  <c r="H43" i="5467"/>
  <c r="H47" i="5467"/>
  <c r="H51" i="5467"/>
  <c r="H9" i="5467"/>
  <c r="H7" i="5467"/>
  <c r="H12" i="5467"/>
  <c r="H20" i="5467"/>
  <c r="H19" i="5467"/>
  <c r="H16" i="5467"/>
  <c r="H30" i="5467"/>
  <c r="H17" i="5467"/>
  <c r="H10" i="5467"/>
  <c r="H33" i="5467"/>
  <c r="H37" i="5467"/>
  <c r="H24" i="5467"/>
  <c r="H44" i="5467"/>
  <c r="H48" i="5467"/>
  <c r="H4" i="5467"/>
  <c r="H6" i="5467"/>
  <c r="H25" i="5467"/>
  <c r="H26" i="5467"/>
  <c r="H14" i="5467"/>
  <c r="C18" i="5467"/>
  <c r="B23" i="5467"/>
  <c r="H31" i="5467"/>
  <c r="H22" i="5467"/>
  <c r="H34" i="5467"/>
  <c r="H38" i="5467"/>
  <c r="H41" i="5467"/>
  <c r="H45" i="5467"/>
  <c r="H49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8" i="5453"/>
  <c r="O19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7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12" i="5459"/>
  <c r="H7" i="5459"/>
  <c r="H44" i="5459"/>
  <c r="H11" i="5459"/>
  <c r="H5" i="5459"/>
  <c r="H30" i="5459"/>
  <c r="H9" i="5459"/>
  <c r="C17" i="5459"/>
  <c r="H23" i="5455"/>
  <c r="H13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4" i="5459"/>
  <c r="H24" i="5459"/>
  <c r="H35" i="5459"/>
  <c r="H39" i="5459"/>
  <c r="H43" i="5459"/>
  <c r="H47" i="5459"/>
  <c r="H51" i="5459"/>
  <c r="H6" i="5459"/>
  <c r="H25" i="5459"/>
  <c r="H27" i="5459"/>
  <c r="H15" i="5459"/>
  <c r="C18" i="5459"/>
  <c r="B23" i="5459"/>
  <c r="H18" i="5459"/>
  <c r="H32" i="5459"/>
  <c r="H33" i="5459"/>
  <c r="H37" i="5459"/>
  <c r="H41" i="5459"/>
  <c r="H45" i="5459"/>
  <c r="H49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6" i="5453"/>
  <c r="H11" i="5453"/>
  <c r="H32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2" i="5455"/>
  <c r="H9" i="5455"/>
  <c r="H28" i="5455"/>
  <c r="H37" i="5455"/>
  <c r="H41" i="5455"/>
  <c r="H45" i="5455"/>
  <c r="H49" i="5455"/>
  <c r="H33" i="5453"/>
  <c r="H28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8" i="5453"/>
  <c r="H45" i="5453"/>
  <c r="H5" i="5453"/>
  <c r="C17" i="5453"/>
  <c r="H13" i="5453"/>
  <c r="H29" i="5453"/>
  <c r="H39" i="5453"/>
  <c r="H46" i="5453"/>
  <c r="H52" i="5453"/>
  <c r="H34" i="5453"/>
  <c r="H35" i="5453"/>
  <c r="H22" i="5453"/>
  <c r="H30" i="5453"/>
  <c r="H17" i="5453"/>
  <c r="H31" i="5453"/>
  <c r="H40" i="5453"/>
  <c r="H43" i="5453"/>
  <c r="H47" i="5453"/>
  <c r="H51" i="5453"/>
  <c r="H8" i="5453"/>
  <c r="H21" i="5453"/>
  <c r="H27" i="5453"/>
  <c r="C19" i="5453"/>
  <c r="H14" i="5453"/>
  <c r="H23" i="5453"/>
  <c r="H37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<sst xmlns="http://schemas.openxmlformats.org/spreadsheetml/2006/main" count="3295" uniqueCount="254">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</sst>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-13.953488372093023</c:v>
                </c:pt>
                <c:pt idx="1">
                  <c:v>-7.9365079365079367</c:v>
                </c:pt>
                <c:pt idx="2">
                  <c:v>8.4175084175084169</c:v>
                </c:pt>
                <c:pt idx="3">
                  <c:v>9.2592592592592595</c:v>
                </c:pt>
                <c:pt idx="4">
                  <c:v>-12.345679012345679</c:v>
                </c:pt>
                <c:pt idx="5">
                  <c:v>22.988505747126435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2274.4827586206898</c:v>
                </c:pt>
                <c:pt idx="1">
                  <c:v>1181.5602836879432</c:v>
                </c:pt>
                <c:pt idx="2">
                  <c:v>791.04477611940297</c:v>
                </c:pt>
                <c:pt idx="3">
                  <c:v>2605.6910569105689</c:v>
                </c:pt>
                <c:pt idx="4">
                  <c:v>232.11009174311926</c:v>
                </c:pt>
                <c:pt idx="5">
                  <c:v>811.57894736842104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-3288.6363636363635</c:v>
                </c:pt>
                <c:pt idx="1">
                  <c:v>-1413.953488372093</c:v>
                </c:pt>
                <c:pt idx="2">
                  <c:v>386.41975308641975</c:v>
                </c:pt>
                <c:pt idx="3">
                  <c:v>-4704.2253521126759</c:v>
                </c:pt>
                <c:pt idx="4">
                  <c:v>-859.375</c:v>
                </c:pt>
                <c:pt idx="5">
                  <c:v>-1129.3103448275863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984.48275862068965</c:v>
                </c:pt>
                <c:pt idx="1">
                  <c:v>1969.090909090909</c:v>
                </c:pt>
                <c:pt idx="2">
                  <c:v>-1154</c:v>
                </c:pt>
                <c:pt idx="3">
                  <c:v>1956.25</c:v>
                </c:pt>
                <c:pt idx="4">
                  <c:v>-1288.3720930232557</c:v>
                </c:pt>
                <c:pt idx="5">
                  <c:v>531.42857142857144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まっつん2!$B$3:$B$61</c:f>
              <c:numCache>
                <c:formatCode>\+0.0;\-0.0;\±0</c:formatCode>
                <c:ptCount val="5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まっつん2!$C$3:$C$61</c:f>
              <c:numCache>
                <c:formatCode>\+0.0;\-0.0;\±0</c:formatCode>
                <c:ptCount val="5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30484993376790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まっつん2!$D$3:$D$61</c:f>
              <c:numCache>
                <c:formatCode>0.00\ "位"</c:formatCode>
                <c:ptCount val="5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まっつん2!$E$3:$E$61</c:f>
              <c:numCache>
                <c:formatCode>0.0%</c:formatCode>
                <c:ptCount val="5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まっつん2!$F$3:$F$61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まっつん2!$G$3:$G$61</c:f>
              <c:numCache>
                <c:formatCode>0.0%</c:formatCode>
                <c:ptCount val="5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02712746190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まっつん2!$H$3:$H$61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338907469342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まっつん2!$I$3:$I$61</c:f>
              <c:numCache>
                <c:formatCode>0</c:formatCode>
                <c:ptCount val="5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35.4618722876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まっつん2!$J$3:$J$61</c:f>
              <c:numCache>
                <c:formatCode>0</c:formatCode>
                <c:ptCount val="5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80.4635761589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まっつん2!$K$3:$K$61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27906976744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まっつん2!$L$3:$L$61</c:f>
              <c:numCache>
                <c:formatCode>0.0%</c:formatCode>
                <c:ptCount val="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27906976744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まっつん2!$M$3:$M$61</c:f>
              <c:numCache>
                <c:formatCode>0.0%</c:formatCode>
                <c:ptCount val="5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37904124860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まっつん2!$N$3:$N$61</c:f>
              <c:numCache>
                <c:formatCode>0.0%</c:formatCode>
                <c:ptCount val="5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844295800817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まっつん2!$O$3:$O$61</c:f>
              <c:numCache>
                <c:formatCode>0.0%</c:formatCode>
                <c:ptCount val="5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191517561298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まっつん2!$P$3:$P$61</c:f>
              <c:numCache>
                <c:formatCode>0.0%</c:formatCode>
                <c:ptCount val="5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12811387900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まっつん2!$A$3:$A$61</c:f>
              <c:numCache>
                <c:formatCode>0\ "回"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まっつん2!$Q$3:$Q$61</c:f>
              <c:numCache>
                <c:formatCode>0.0%</c:formatCode>
                <c:ptCount val="5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114073155610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645</v>
      </c>
    </row>
    <row r="2" spans="1:2" x14ac:dyDescent="0.4">
      <c r="A2" t="s">
        <v>127</v>
      </c>
      <c r="B2">
        <v>145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88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0.96428121832865532</v>
      </c>
      <c r="G2" s="163"/>
      <c r="H2" s="162">
        <v>0.74000730318192054</v>
      </c>
      <c r="I2" s="163"/>
      <c r="J2" s="162">
        <v>0.93533393306834567</v>
      </c>
      <c r="K2" s="163"/>
      <c r="L2" s="162">
        <v>0.76618844078799619</v>
      </c>
      <c r="M2" s="163"/>
      <c r="N2" s="162">
        <v>0.68143916988747255</v>
      </c>
      <c r="O2" s="163"/>
      <c r="P2" s="162">
        <v>0.3009546322804903</v>
      </c>
      <c r="Q2" s="163"/>
      <c r="R2" s="162">
        <v>0.30484730825148793</v>
      </c>
      <c r="S2" s="163"/>
      <c r="T2" s="162">
        <v>0.46278456622840825</v>
      </c>
      <c r="U2" s="163"/>
      <c r="V2" s="162">
        <v>0.74959330102100852</v>
      </c>
      <c r="W2" s="163"/>
      <c r="X2" s="162">
        <v>0.42007930928125797</v>
      </c>
      <c r="Y2" s="163"/>
      <c r="Z2" s="162">
        <v>0.17357131323660688</v>
      </c>
      <c r="AA2" s="163"/>
      <c r="AB2" s="162">
        <v>0.11822190264677999</v>
      </c>
      <c r="AC2" s="163"/>
      <c r="AD2" s="162">
        <v>0.69961213549411638</v>
      </c>
      <c r="AE2" s="163"/>
      <c r="AF2" s="162">
        <v>-0.53910108182047878</v>
      </c>
      <c r="AG2" s="163"/>
      <c r="AH2" s="162">
        <v>0.68527941950401927</v>
      </c>
      <c r="AI2" s="163"/>
    </row>
    <row r="3" spans="1:35" x14ac:dyDescent="0.4">
      <c r="A3" s="74">
        <v>1</v>
      </c>
      <c r="B3" s="75" t="s">
        <v>127</v>
      </c>
      <c r="C3" s="76">
        <v>1774.3000000000009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0.34819175777964678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0.17241379310344829</v>
      </c>
      <c r="X3" s="77" t="s">
        <v>127</v>
      </c>
      <c r="Y3" s="80">
        <v>0.31286795626576958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244.60000000000002</v>
      </c>
      <c r="D4" s="85" t="s">
        <v>222</v>
      </c>
      <c r="E4" s="97">
        <v>13.3</v>
      </c>
      <c r="F4" s="85" t="s">
        <v>127</v>
      </c>
      <c r="G4" s="86">
        <v>1.7448275862068965</v>
      </c>
      <c r="H4" s="85" t="s">
        <v>127</v>
      </c>
      <c r="I4" s="87">
        <v>0.48965517241379308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0.13793103448275862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12.236551724137938</v>
      </c>
      <c r="F5" s="85" t="s">
        <v>200</v>
      </c>
      <c r="G5" s="86">
        <v>1.8888888888888888</v>
      </c>
      <c r="H5" s="85" t="s">
        <v>177</v>
      </c>
      <c r="I5" s="87">
        <v>0.39655172413793105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10010.731707317073</v>
      </c>
      <c r="R5" s="85" t="s">
        <v>128</v>
      </c>
      <c r="S5" s="89">
        <v>-7776.6081871345032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4.2172413793103454</v>
      </c>
      <c r="F6" s="85" t="s">
        <v>177</v>
      </c>
      <c r="G6" s="86">
        <v>1.896551724137931</v>
      </c>
      <c r="H6" s="85" t="s">
        <v>184</v>
      </c>
      <c r="I6" s="87">
        <v>0.35714285714285715</v>
      </c>
      <c r="J6" s="85" t="s">
        <v>127</v>
      </c>
      <c r="K6" s="87">
        <v>0.23448275862068965</v>
      </c>
      <c r="L6" s="85" t="s">
        <v>177</v>
      </c>
      <c r="M6" s="88">
        <v>0.30916844349680173</v>
      </c>
      <c r="N6" s="85" t="s">
        <v>177</v>
      </c>
      <c r="O6" s="88">
        <v>0.15351812366737741</v>
      </c>
      <c r="P6" s="85" t="s">
        <v>128</v>
      </c>
      <c r="Q6" s="89">
        <v>9253.1365313653132</v>
      </c>
      <c r="R6" s="85" t="s">
        <v>177</v>
      </c>
      <c r="S6" s="89">
        <v>-7793.0555555555557</v>
      </c>
      <c r="T6" s="85" t="s">
        <v>223</v>
      </c>
      <c r="U6" s="87">
        <v>0</v>
      </c>
      <c r="V6" s="85" t="s">
        <v>145</v>
      </c>
      <c r="W6" s="87">
        <v>0.11627906976744186</v>
      </c>
      <c r="X6" s="85" t="s">
        <v>129</v>
      </c>
      <c r="Y6" s="88">
        <v>0.28396739130434784</v>
      </c>
      <c r="Z6" s="85" t="s">
        <v>223</v>
      </c>
      <c r="AA6" s="88">
        <v>0.23529411764705882</v>
      </c>
      <c r="AB6" s="85" t="s">
        <v>177</v>
      </c>
      <c r="AC6" s="88">
        <v>0.66917293233082709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0.29310344827586204</v>
      </c>
      <c r="L7" s="85" t="s">
        <v>145</v>
      </c>
      <c r="M7" s="88">
        <v>0.29970271274619098</v>
      </c>
      <c r="N7" s="85" t="s">
        <v>127</v>
      </c>
      <c r="O7" s="88">
        <v>0.159798149705635</v>
      </c>
      <c r="P7" s="85" t="s">
        <v>127</v>
      </c>
      <c r="Q7" s="89">
        <v>9094.4444444444453</v>
      </c>
      <c r="R7" s="85" t="s">
        <v>173</v>
      </c>
      <c r="S7" s="89">
        <v>-7866.1971830985913</v>
      </c>
      <c r="T7" s="85" t="s">
        <v>172</v>
      </c>
      <c r="U7" s="87">
        <v>4.1666666666666664E-2</v>
      </c>
      <c r="V7" s="85" t="s">
        <v>129</v>
      </c>
      <c r="W7" s="87">
        <v>0.10227272727272728</v>
      </c>
      <c r="X7" s="85" t="s">
        <v>177</v>
      </c>
      <c r="Y7" s="88">
        <v>0.28358208955223879</v>
      </c>
      <c r="Z7" s="85" t="s">
        <v>127</v>
      </c>
      <c r="AA7" s="88">
        <v>0.22035323801513879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8818.2857142857138</v>
      </c>
      <c r="R8" s="85" t="s">
        <v>184</v>
      </c>
      <c r="S8" s="89">
        <v>-8107.6923076923076</v>
      </c>
      <c r="T8" s="85" t="s">
        <v>171</v>
      </c>
      <c r="U8" s="87">
        <v>0.10227272727272728</v>
      </c>
      <c r="V8" s="85" t="s">
        <v>172</v>
      </c>
      <c r="W8" s="87">
        <v>9.7222222222222224E-2</v>
      </c>
      <c r="X8" s="85" t="s">
        <v>145</v>
      </c>
      <c r="Y8" s="88">
        <v>0.28037904124860646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177</v>
      </c>
      <c r="AG8" s="88">
        <v>0.43448275862068964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-2.1316282072803006E-14</v>
      </c>
      <c r="D9" s="85" t="s">
        <v>145</v>
      </c>
      <c r="E9" s="97">
        <v>-3.3048499337679078E-17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0.16833890746934224</v>
      </c>
      <c r="P9" s="85" t="s">
        <v>177</v>
      </c>
      <c r="Q9" s="89">
        <v>8762.0689655172409</v>
      </c>
      <c r="R9" s="85" t="s">
        <v>127</v>
      </c>
      <c r="S9" s="89">
        <v>-8250.5263157894733</v>
      </c>
      <c r="T9" s="85" t="s">
        <v>127</v>
      </c>
      <c r="U9" s="87">
        <v>0.10344827586206896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0.57919151756129883</v>
      </c>
      <c r="AD9" s="85" t="s">
        <v>145</v>
      </c>
      <c r="AE9" s="88">
        <v>0.39412811387900354</v>
      </c>
      <c r="AF9" s="85" t="s">
        <v>129</v>
      </c>
      <c r="AG9" s="88">
        <v>0.43428571428571427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0.35227272727272729</v>
      </c>
      <c r="L10" s="85" t="s">
        <v>184</v>
      </c>
      <c r="M10" s="88">
        <v>0.28813559322033899</v>
      </c>
      <c r="N10" s="85" t="s">
        <v>128</v>
      </c>
      <c r="O10" s="88">
        <v>0.17014925373134329</v>
      </c>
      <c r="P10" s="85" t="s">
        <v>145</v>
      </c>
      <c r="Q10" s="89">
        <v>8635.4618722876621</v>
      </c>
      <c r="R10" s="85" t="s">
        <v>145</v>
      </c>
      <c r="S10" s="89">
        <v>-8280.4635761589398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0.20884429580081754</v>
      </c>
      <c r="AB10" s="85" t="s">
        <v>127</v>
      </c>
      <c r="AC10" s="88">
        <v>0.57795698924731187</v>
      </c>
      <c r="AD10" s="85" t="s">
        <v>177</v>
      </c>
      <c r="AE10" s="88">
        <v>0.37931034482758619</v>
      </c>
      <c r="AF10" s="85" t="s">
        <v>145</v>
      </c>
      <c r="AG10" s="88">
        <v>0.43211407315561068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173</v>
      </c>
      <c r="G11" s="86">
        <v>2.0681818181818183</v>
      </c>
      <c r="H11" s="85" t="s">
        <v>128</v>
      </c>
      <c r="I11" s="87">
        <v>0.256198347107438</v>
      </c>
      <c r="J11" s="85" t="s">
        <v>128</v>
      </c>
      <c r="K11" s="87">
        <v>0.35537190082644626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183</v>
      </c>
      <c r="Q11" s="89">
        <v>7860</v>
      </c>
      <c r="R11" s="85" t="s">
        <v>171</v>
      </c>
      <c r="S11" s="89">
        <v>-8534.645669291338</v>
      </c>
      <c r="T11" s="85" t="s">
        <v>145</v>
      </c>
      <c r="U11" s="87">
        <v>0.11627906976744186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0.18818681318681318</v>
      </c>
      <c r="AB11" s="85" t="s">
        <v>128</v>
      </c>
      <c r="AC11" s="88">
        <v>0.57755775577557755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2.0991735537190084</v>
      </c>
      <c r="H12" s="85" t="s">
        <v>129</v>
      </c>
      <c r="I12" s="87">
        <v>0.25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0.18550106609808104</v>
      </c>
      <c r="AB12" s="85" t="s">
        <v>171</v>
      </c>
      <c r="AC12" s="88">
        <v>0.56603773584905659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0.47727272727272729</v>
      </c>
      <c r="L13" s="85" t="s">
        <v>183</v>
      </c>
      <c r="M13" s="88">
        <v>0.26315789473684209</v>
      </c>
      <c r="N13" s="85" t="s">
        <v>129</v>
      </c>
      <c r="O13" s="88">
        <v>0.19429347826086957</v>
      </c>
      <c r="P13" s="85" t="s">
        <v>173</v>
      </c>
      <c r="Q13" s="89">
        <v>6998.2456140350878</v>
      </c>
      <c r="R13" s="85" t="s">
        <v>129</v>
      </c>
      <c r="S13" s="89">
        <v>-9054.545454545454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127</v>
      </c>
      <c r="AG13" s="88">
        <v>0.41062801932367149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2.2272727272727271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0.23777173913043478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0.15517241379310345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0.16440217391304349</v>
      </c>
      <c r="AB14" s="85" t="s">
        <v>129</v>
      </c>
      <c r="AC14" s="88">
        <v>0.52153110047846885</v>
      </c>
      <c r="AD14" s="85" t="s">
        <v>129</v>
      </c>
      <c r="AE14" s="88">
        <v>0.24793388429752067</v>
      </c>
      <c r="AF14" s="85" t="s">
        <v>171</v>
      </c>
      <c r="AG14" s="88">
        <v>0.40975609756097559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-1241.1000000000001</v>
      </c>
      <c r="D15" s="85" t="s">
        <v>129</v>
      </c>
      <c r="E15" s="97">
        <v>-14.103409090909093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0.19318181818181818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645</v>
      </c>
      <c r="C2" s="151"/>
      <c r="E2" s="62" t="s">
        <v>67</v>
      </c>
      <c r="F2" s="59" t="s">
        <v>23</v>
      </c>
      <c r="G2" s="46">
        <v>1180</v>
      </c>
      <c r="H2" s="132">
        <f>IF(B$17=0,0,G2/B$17)</f>
        <v>0.73155610663360193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-13.953488372093023</v>
      </c>
      <c r="P2" s="118">
        <v>645</v>
      </c>
      <c r="Q2" s="102">
        <v>-9000</v>
      </c>
    </row>
    <row r="3" spans="1:17" x14ac:dyDescent="0.4">
      <c r="A3" s="55" t="s">
        <v>8</v>
      </c>
      <c r="B3" s="152">
        <v>5382</v>
      </c>
      <c r="C3" s="153"/>
      <c r="E3" s="63" t="s">
        <v>65</v>
      </c>
      <c r="F3" s="60" t="s">
        <v>21</v>
      </c>
      <c r="G3" s="47">
        <v>834</v>
      </c>
      <c r="H3" s="133">
        <f>IF(B$17=0,0,G3/B$17)</f>
        <v>0.51704897706137631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-7.9365079365079367</v>
      </c>
      <c r="P3" s="119">
        <v>630</v>
      </c>
      <c r="Q3" s="103">
        <v>-5000</v>
      </c>
    </row>
    <row r="4" spans="1:17" x14ac:dyDescent="0.4">
      <c r="A4" s="55" t="s">
        <v>6</v>
      </c>
      <c r="B4" s="154">
        <v>-2.1316282072803006E-14</v>
      </c>
      <c r="C4" s="155"/>
      <c r="E4" s="63" t="s">
        <v>73</v>
      </c>
      <c r="F4" s="60" t="s">
        <v>28</v>
      </c>
      <c r="G4" s="47">
        <v>813</v>
      </c>
      <c r="H4" s="133">
        <f>IF(B$17=0,0,G4/B$17)</f>
        <v>0.50402975821450713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8.4175084175084169</v>
      </c>
      <c r="P4" s="119">
        <v>594</v>
      </c>
      <c r="Q4" s="103">
        <v>5000</v>
      </c>
    </row>
    <row r="5" spans="1:17" x14ac:dyDescent="0.4">
      <c r="A5" s="55" t="s">
        <v>7</v>
      </c>
      <c r="B5" s="156">
        <f>IF(B$2=0,0,B$4/B$2)</f>
        <v>-3.3048499337679078E-17</v>
      </c>
      <c r="C5" s="157"/>
      <c r="E5" s="63" t="s">
        <v>245</v>
      </c>
      <c r="F5" s="60" t="s">
        <v>246</v>
      </c>
      <c r="G5" s="47">
        <v>665</v>
      </c>
      <c r="H5" s="133">
        <f>IF(B$17=0,0,G5/B$17)</f>
        <v>0.41227526348419097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9.2592592592592595</v>
      </c>
      <c r="P5" s="119">
        <v>540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503</v>
      </c>
      <c r="H6" s="133">
        <f>IF(B$17=0,0,G6/B$17)</f>
        <v>0.31184128952262863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-12.345679012345679</v>
      </c>
      <c r="P6" s="119">
        <v>486</v>
      </c>
      <c r="Q6" s="103">
        <v>-6000</v>
      </c>
    </row>
    <row r="7" spans="1:17" x14ac:dyDescent="0.4">
      <c r="A7" s="55" t="s">
        <v>2</v>
      </c>
      <c r="B7" s="47">
        <v>215</v>
      </c>
      <c r="C7" s="39">
        <f>IF(B$2=0,0,B7/B$2)</f>
        <v>0.33333333333333331</v>
      </c>
      <c r="E7" s="63" t="s">
        <v>68</v>
      </c>
      <c r="F7" s="60" t="s">
        <v>24</v>
      </c>
      <c r="G7" s="47">
        <v>489</v>
      </c>
      <c r="H7" s="133">
        <f>IF(B$17=0,0,G7/B$17)</f>
        <v>0.30316181029138251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22.988505747126435</v>
      </c>
      <c r="P7" s="120">
        <v>435</v>
      </c>
      <c r="Q7" s="104">
        <v>10000</v>
      </c>
    </row>
    <row r="8" spans="1:17" x14ac:dyDescent="0.4">
      <c r="A8" s="55" t="s">
        <v>3</v>
      </c>
      <c r="B8" s="47">
        <v>215</v>
      </c>
      <c r="C8" s="39">
        <f>IF(B$2=0,0,B8/B$2)</f>
        <v>0.33333333333333331</v>
      </c>
      <c r="E8" s="63" t="s">
        <v>70</v>
      </c>
      <c r="F8" s="60" t="s">
        <v>25</v>
      </c>
      <c r="G8" s="47">
        <v>284</v>
      </c>
      <c r="H8" s="133">
        <f>IF(B$17=0,0,G8/B$17)</f>
        <v>0.17606943583384996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202</v>
      </c>
      <c r="H9" s="133">
        <f>IF(B$17=0,0,G9/B$17)</f>
        <v>0.12523248605083695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0.11627906976744186</v>
      </c>
      <c r="E10" s="63" t="s">
        <v>66</v>
      </c>
      <c r="F10" s="60" t="s">
        <v>22</v>
      </c>
      <c r="G10" s="47">
        <v>196</v>
      </c>
      <c r="H10" s="133">
        <f>IF(B$17=0,0,G10/B$17)</f>
        <v>0.12151270923744575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-1.2860465116279065</v>
      </c>
      <c r="P10" s="118">
        <v>215</v>
      </c>
      <c r="Q10" s="106">
        <v>-276.49999999999989</v>
      </c>
    </row>
    <row r="11" spans="1:17" x14ac:dyDescent="0.4">
      <c r="A11" s="56" t="s">
        <v>140</v>
      </c>
      <c r="B11" s="48">
        <v>75</v>
      </c>
      <c r="C11" s="40">
        <f>IF(B$2=0,0,B11/B$2)</f>
        <v>0.11627906976744186</v>
      </c>
      <c r="E11" s="63" t="s">
        <v>71</v>
      </c>
      <c r="F11" s="60" t="s">
        <v>26</v>
      </c>
      <c r="G11" s="47">
        <v>161</v>
      </c>
      <c r="H11" s="133">
        <f>IF(B$17=0,0,G11/B$17)</f>
        <v>9.9814011159330446E-2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-0.29906976744186059</v>
      </c>
      <c r="P11" s="119">
        <v>215</v>
      </c>
      <c r="Q11" s="107">
        <v>-64.300000000000026</v>
      </c>
    </row>
    <row r="12" spans="1:17" x14ac:dyDescent="0.4">
      <c r="A12" s="57" t="s">
        <v>160</v>
      </c>
      <c r="B12" s="49">
        <v>55</v>
      </c>
      <c r="C12" s="42">
        <f>IF(B$2=0,0,B12/B$2)</f>
        <v>8.5271317829457363E-2</v>
      </c>
      <c r="E12" s="63" t="s">
        <v>72</v>
      </c>
      <c r="F12" s="60" t="s">
        <v>27</v>
      </c>
      <c r="G12" s="47">
        <v>112</v>
      </c>
      <c r="H12" s="133">
        <f>IF(B$17=0,0,G12/B$17)</f>
        <v>6.9435833849969E-2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1.5851162790697673</v>
      </c>
      <c r="P12" s="120">
        <v>215</v>
      </c>
      <c r="Q12" s="108">
        <v>340.79999999999995</v>
      </c>
    </row>
    <row r="13" spans="1:17" x14ac:dyDescent="0.4">
      <c r="A13" s="58" t="s">
        <v>122</v>
      </c>
      <c r="B13" s="50">
        <v>1509</v>
      </c>
      <c r="C13" s="44">
        <f>IF(B$3=0,0,B13/B$3)</f>
        <v>0.28037904124860646</v>
      </c>
      <c r="E13" s="63" t="s">
        <v>87</v>
      </c>
      <c r="F13" s="60" t="s">
        <v>42</v>
      </c>
      <c r="G13" s="47">
        <v>89</v>
      </c>
      <c r="H13" s="133">
        <f>IF(B$17=0,0,G13/B$17)</f>
        <v>5.5176689398636083E-2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1124</v>
      </c>
      <c r="C14" s="39">
        <f>IF(B$3=0,0,B14/B$3)</f>
        <v>0.20884429580081754</v>
      </c>
      <c r="E14" s="63" t="s">
        <v>84</v>
      </c>
      <c r="F14" s="60" t="s">
        <v>39</v>
      </c>
      <c r="G14" s="47">
        <v>81</v>
      </c>
      <c r="H14" s="133">
        <f>IF(B$17=0,0,G14/B$17)</f>
        <v>5.0216986980781156E-2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874</v>
      </c>
      <c r="C15" s="37">
        <f>IF(B$13=0,0,B15/B$13)</f>
        <v>0.57919151756129883</v>
      </c>
      <c r="E15" s="63" t="s">
        <v>82</v>
      </c>
      <c r="F15" s="60" t="s">
        <v>37</v>
      </c>
      <c r="G15" s="47">
        <v>46</v>
      </c>
      <c r="H15" s="133">
        <f>IF(B$17=0,0,G15/B$17)</f>
        <v>2.8518288902665841E-2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21.155113636363662</v>
      </c>
      <c r="P15" s="118">
        <v>176</v>
      </c>
      <c r="Q15" s="106">
        <v>3723.3000000000047</v>
      </c>
    </row>
    <row r="16" spans="1:17" x14ac:dyDescent="0.4">
      <c r="A16" s="54" t="s">
        <v>125</v>
      </c>
      <c r="B16" s="46">
        <v>443</v>
      </c>
      <c r="C16" s="37">
        <f>IF(B$14=0,0,B16/B$14)</f>
        <v>0.39412811387900354</v>
      </c>
      <c r="E16" s="63" t="s">
        <v>79</v>
      </c>
      <c r="F16" s="60" t="s">
        <v>34</v>
      </c>
      <c r="G16" s="47">
        <v>41</v>
      </c>
      <c r="H16" s="133">
        <f>IF(B$17=0,0,G16/B$17)</f>
        <v>2.5418474891506511E-2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1613</v>
      </c>
      <c r="C17" s="37">
        <f>IF(B$3=0,0,B17/B$3)</f>
        <v>0.29970271274619098</v>
      </c>
      <c r="E17" s="63" t="s">
        <v>92</v>
      </c>
      <c r="F17" s="60" t="s">
        <v>47</v>
      </c>
      <c r="G17" s="47">
        <v>30</v>
      </c>
      <c r="H17" s="133">
        <f>IF(B$17=0,0,G17/B$17)</f>
        <v>1.8598884066955982E-2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697</v>
      </c>
      <c r="C18" s="39">
        <f>IF(B$17=0,0,B18/B$17)</f>
        <v>0.43211407315561068</v>
      </c>
      <c r="E18" s="63" t="s">
        <v>80</v>
      </c>
      <c r="F18" s="60" t="s">
        <v>35</v>
      </c>
      <c r="G18" s="47">
        <v>25</v>
      </c>
      <c r="H18" s="133">
        <f>IF(B$17=0,0,G18/B$17)</f>
        <v>1.5499070055796652E-2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916</v>
      </c>
      <c r="C19" s="39">
        <f>IF(B$17=0,0,B19/B$17)</f>
        <v>0.56788592684438932</v>
      </c>
      <c r="E19" s="63" t="s">
        <v>180</v>
      </c>
      <c r="F19" s="60" t="s">
        <v>181</v>
      </c>
      <c r="G19" s="47">
        <v>25</v>
      </c>
      <c r="H19" s="133">
        <f>IF(B$17=0,0,G19/B$17)</f>
        <v>1.5499070055796652E-2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906</v>
      </c>
      <c r="C20" s="39">
        <f>IF(B$3=0,0,B20/B$3)</f>
        <v>0.16833890746934224</v>
      </c>
      <c r="E20" s="63" t="s">
        <v>74</v>
      </c>
      <c r="F20" s="60" t="s">
        <v>29</v>
      </c>
      <c r="G20" s="47">
        <v>11</v>
      </c>
      <c r="H20" s="133">
        <f>IF(B$17=0,0,G20/B$17)</f>
        <v>6.8195908245505272E-3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9</v>
      </c>
      <c r="H21" s="133">
        <f>IF(B$17=0,0,G21/B$17)</f>
        <v>5.5796652200867944E-3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86</v>
      </c>
      <c r="F22" s="60" t="s">
        <v>41</v>
      </c>
      <c r="G22" s="47">
        <v>7</v>
      </c>
      <c r="H22" s="133">
        <f>IF(B$17=0,0,G22/B$17)</f>
        <v>4.3397396156230625E-3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8635.4618722876621</v>
      </c>
      <c r="C23" s="41">
        <v>13929000</v>
      </c>
      <c r="E23" s="63" t="s">
        <v>93</v>
      </c>
      <c r="F23" s="60" t="s">
        <v>48</v>
      </c>
      <c r="G23" s="47">
        <v>7</v>
      </c>
      <c r="H23" s="133">
        <f>IF(B$17=0,0,G23/B$17)</f>
        <v>4.3397396156230625E-3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-6.3258620689655185</v>
      </c>
      <c r="P23" s="119">
        <v>116</v>
      </c>
      <c r="Q23" s="107">
        <v>-733.80000000000018</v>
      </c>
    </row>
    <row r="24" spans="1:17" x14ac:dyDescent="0.4">
      <c r="A24" s="57" t="s">
        <v>14</v>
      </c>
      <c r="B24" s="52">
        <f>IF(B$20=0,0,C24/B$20)</f>
        <v>-8280.4635761589398</v>
      </c>
      <c r="C24" s="45">
        <v>-7502100</v>
      </c>
      <c r="E24" s="63" t="s">
        <v>75</v>
      </c>
      <c r="F24" s="60" t="s">
        <v>30</v>
      </c>
      <c r="G24" s="47">
        <v>6</v>
      </c>
      <c r="H24" s="133">
        <f>IF(B$17=0,0,G24/B$17)</f>
        <v>3.7197768133911966E-3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-18.354827586206873</v>
      </c>
      <c r="P24" s="119">
        <v>290</v>
      </c>
      <c r="Q24" s="107">
        <v>-5322.8999999999933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3.7197768133911966E-3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3.0998140111593306E-3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2.601263470828688E-3</v>
      </c>
      <c r="E27" s="63" t="s">
        <v>78</v>
      </c>
      <c r="F27" s="60" t="s">
        <v>33</v>
      </c>
      <c r="G27" s="47">
        <v>4</v>
      </c>
      <c r="H27" s="133">
        <f>IF(B$17=0,0,G27/B$17)</f>
        <v>2.4798512089274642E-3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2.4798512089274642E-3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2.4798512089274642E-3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1.2399256044637321E-3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1.2399256044637321E-3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6.1996280223186606E-4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145</v>
      </c>
      <c r="C2" s="151"/>
      <c r="E2" s="62" t="s">
        <v>67</v>
      </c>
      <c r="F2" s="59" t="s">
        <v>23</v>
      </c>
      <c r="G2" s="46">
        <v>298</v>
      </c>
      <c r="H2" s="132">
        <f>IF(B$17=0,0,G2/B$17)</f>
        <v>0.71980676328502413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2274.4827586206898</v>
      </c>
      <c r="P2" s="118">
        <v>145</v>
      </c>
      <c r="Q2" s="102">
        <v>329800</v>
      </c>
    </row>
    <row r="3" spans="1:17" x14ac:dyDescent="0.4">
      <c r="A3" s="55" t="s">
        <v>8</v>
      </c>
      <c r="B3" s="152">
        <v>1189</v>
      </c>
      <c r="C3" s="153"/>
      <c r="E3" s="63" t="s">
        <v>73</v>
      </c>
      <c r="F3" s="60" t="s">
        <v>28</v>
      </c>
      <c r="G3" s="47">
        <v>237</v>
      </c>
      <c r="H3" s="133">
        <f>IF(B$17=0,0,G3/B$17)</f>
        <v>0.57246376811594202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1181.5602836879432</v>
      </c>
      <c r="P3" s="119">
        <v>141</v>
      </c>
      <c r="Q3" s="103">
        <v>166600</v>
      </c>
    </row>
    <row r="4" spans="1:17" x14ac:dyDescent="0.4">
      <c r="A4" s="55" t="s">
        <v>6</v>
      </c>
      <c r="B4" s="154">
        <v>1774.3000000000009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0.47584541062801933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791.04477611940297</v>
      </c>
      <c r="P4" s="119">
        <v>134</v>
      </c>
      <c r="Q4" s="103">
        <v>106000</v>
      </c>
    </row>
    <row r="5" spans="1:17" x14ac:dyDescent="0.4">
      <c r="A5" s="55" t="s">
        <v>7</v>
      </c>
      <c r="B5" s="156">
        <f>IF(B$2=0,0,B$4/B$2)</f>
        <v>12.236551724137938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0.41545893719806765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2605.6910569105689</v>
      </c>
      <c r="P5" s="119">
        <v>123</v>
      </c>
      <c r="Q5" s="103">
        <v>320500</v>
      </c>
    </row>
    <row r="6" spans="1:17" x14ac:dyDescent="0.4">
      <c r="A6" s="55" t="s">
        <v>1</v>
      </c>
      <c r="B6" s="146">
        <f>IF(B$2=0,0,(B$7*1+B$8*2+B$9*3)/B$2)</f>
        <v>1.7448275862068965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0.27777777777777779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232.11009174311926</v>
      </c>
      <c r="P6" s="119">
        <v>109</v>
      </c>
      <c r="Q6" s="103">
        <v>25300</v>
      </c>
    </row>
    <row r="7" spans="1:17" x14ac:dyDescent="0.4">
      <c r="A7" s="55" t="s">
        <v>2</v>
      </c>
      <c r="B7" s="47">
        <v>71</v>
      </c>
      <c r="C7" s="39">
        <f>IF(B$2=0,0,B7/B$2)</f>
        <v>0.48965517241379308</v>
      </c>
      <c r="E7" s="63" t="s">
        <v>69</v>
      </c>
      <c r="F7" s="60" t="s">
        <v>12</v>
      </c>
      <c r="G7" s="47">
        <v>109</v>
      </c>
      <c r="H7" s="133">
        <f>IF(B$17=0,0,G7/B$17)</f>
        <v>0.26328502415458938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811.57894736842104</v>
      </c>
      <c r="P7" s="120">
        <v>95</v>
      </c>
      <c r="Q7" s="104">
        <v>77100</v>
      </c>
    </row>
    <row r="8" spans="1:17" x14ac:dyDescent="0.4">
      <c r="A8" s="55" t="s">
        <v>3</v>
      </c>
      <c r="B8" s="47">
        <v>40</v>
      </c>
      <c r="C8" s="39">
        <f>IF(B$2=0,0,B8/B$2)</f>
        <v>0.27586206896551724</v>
      </c>
      <c r="E8" s="63" t="s">
        <v>70</v>
      </c>
      <c r="F8" s="60" t="s">
        <v>25</v>
      </c>
      <c r="G8" s="47">
        <v>67</v>
      </c>
      <c r="H8" s="133">
        <f>IF(B$17=0,0,G8/B$17)</f>
        <v>0.16183574879227053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0.23448275862068965</v>
      </c>
      <c r="E9" s="63" t="s">
        <v>90</v>
      </c>
      <c r="F9" s="60" t="s">
        <v>45</v>
      </c>
      <c r="G9" s="47">
        <v>64</v>
      </c>
      <c r="H9" s="133">
        <f>IF(B$17=0,0,G9/B$17)</f>
        <v>0.15458937198067632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0.10344827586206896</v>
      </c>
      <c r="E10" s="63" t="s">
        <v>66</v>
      </c>
      <c r="F10" s="60" t="s">
        <v>22</v>
      </c>
      <c r="G10" s="47">
        <v>53</v>
      </c>
      <c r="H10" s="133">
        <f>IF(B$17=0,0,G10/B$17)</f>
        <v>0.1280193236714976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14.802173913043477</v>
      </c>
      <c r="P10" s="118">
        <v>46</v>
      </c>
      <c r="Q10" s="106">
        <v>680.9</v>
      </c>
    </row>
    <row r="11" spans="1:17" x14ac:dyDescent="0.4">
      <c r="A11" s="56" t="s">
        <v>140</v>
      </c>
      <c r="B11" s="48">
        <v>25</v>
      </c>
      <c r="C11" s="40">
        <f>IF(B$2=0,0,B11/B$2)</f>
        <v>0.17241379310344829</v>
      </c>
      <c r="E11" s="63" t="s">
        <v>71</v>
      </c>
      <c r="F11" s="60" t="s">
        <v>26</v>
      </c>
      <c r="G11" s="47">
        <v>37</v>
      </c>
      <c r="H11" s="133">
        <f>IF(B$17=0,0,G11/B$17)</f>
        <v>8.9371980676328497E-2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0.14482758620689656</v>
      </c>
      <c r="E12" s="63" t="s">
        <v>87</v>
      </c>
      <c r="F12" s="60" t="s">
        <v>42</v>
      </c>
      <c r="G12" s="47">
        <v>30</v>
      </c>
      <c r="H12" s="133">
        <f>IF(B$17=0,0,G12/B$17)</f>
        <v>7.2463768115942032E-2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11.705357142857144</v>
      </c>
      <c r="P12" s="120">
        <v>56</v>
      </c>
      <c r="Q12" s="108">
        <v>655.50000000000011</v>
      </c>
    </row>
    <row r="13" spans="1:17" x14ac:dyDescent="0.4">
      <c r="A13" s="58" t="s">
        <v>122</v>
      </c>
      <c r="B13" s="50">
        <v>372</v>
      </c>
      <c r="C13" s="44">
        <f>IF(B$3=0,0,B13/B$3)</f>
        <v>0.31286795626576958</v>
      </c>
      <c r="E13" s="63" t="s">
        <v>72</v>
      </c>
      <c r="F13" s="60" t="s">
        <v>27</v>
      </c>
      <c r="G13" s="47">
        <v>29</v>
      </c>
      <c r="H13" s="133">
        <f>IF(B$17=0,0,G13/B$17)</f>
        <v>7.0048309178743967E-2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0.22035323801513879</v>
      </c>
      <c r="E14" s="63" t="s">
        <v>84</v>
      </c>
      <c r="F14" s="60" t="s">
        <v>39</v>
      </c>
      <c r="G14" s="47">
        <v>25</v>
      </c>
      <c r="H14" s="133">
        <f>IF(B$17=0,0,G14/B$17)</f>
        <v>6.0386473429951688E-2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0.57795698924731187</v>
      </c>
      <c r="E15" s="63" t="s">
        <v>180</v>
      </c>
      <c r="F15" s="60" t="s">
        <v>181</v>
      </c>
      <c r="G15" s="47">
        <v>14</v>
      </c>
      <c r="H15" s="133">
        <f>IF(B$17=0,0,G15/B$17)</f>
        <v>3.3816425120772944E-2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82</v>
      </c>
      <c r="F16" s="60" t="s">
        <v>37</v>
      </c>
      <c r="G16" s="47">
        <v>12</v>
      </c>
      <c r="H16" s="133">
        <f>IF(B$17=0,0,G16/B$17)</f>
        <v>2.8985507246376812E-2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414</v>
      </c>
      <c r="C17" s="37">
        <f>IF(B$3=0,0,B17/B$3)</f>
        <v>0.34819175777964678</v>
      </c>
      <c r="E17" s="63" t="s">
        <v>79</v>
      </c>
      <c r="F17" s="60" t="s">
        <v>34</v>
      </c>
      <c r="G17" s="47">
        <v>9</v>
      </c>
      <c r="H17" s="133">
        <f>IF(B$17=0,0,G17/B$17)</f>
        <v>2.1739130434782608E-2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27.518181818181823</v>
      </c>
      <c r="P17" s="119">
        <v>55</v>
      </c>
      <c r="Q17" s="107">
        <v>1513.5000000000002</v>
      </c>
    </row>
    <row r="18" spans="1:17" x14ac:dyDescent="0.4">
      <c r="A18" s="55" t="s">
        <v>12</v>
      </c>
      <c r="B18" s="47">
        <v>170</v>
      </c>
      <c r="C18" s="39">
        <f>IF(B$17=0,0,B18/B$17)</f>
        <v>0.41062801932367149</v>
      </c>
      <c r="E18" s="63" t="s">
        <v>92</v>
      </c>
      <c r="F18" s="60" t="s">
        <v>47</v>
      </c>
      <c r="G18" s="47">
        <v>8</v>
      </c>
      <c r="H18" s="133">
        <f>IF(B$17=0,0,G18/B$17)</f>
        <v>1.932367149758454E-2</v>
      </c>
      <c r="I18" s="94">
        <v>4</v>
      </c>
      <c r="K18" s="38">
        <v>16</v>
      </c>
      <c r="L18" s="99">
        <v>425.50000000000006</v>
      </c>
      <c r="N18" s="115" t="s">
        <v>177</v>
      </c>
      <c r="O18" s="125">
        <f>IF(P18=0,0,Q18/P18)</f>
        <v>25.936000000000007</v>
      </c>
      <c r="P18" s="119">
        <v>25</v>
      </c>
      <c r="Q18" s="107">
        <v>648.4000000000002</v>
      </c>
    </row>
    <row r="19" spans="1:17" x14ac:dyDescent="0.4">
      <c r="A19" s="55" t="s">
        <v>11</v>
      </c>
      <c r="B19" s="47">
        <v>244</v>
      </c>
      <c r="C19" s="39">
        <f>IF(B$17=0,0,B19/B$17)</f>
        <v>0.58937198067632846</v>
      </c>
      <c r="E19" s="63" t="s">
        <v>80</v>
      </c>
      <c r="F19" s="60" t="s">
        <v>35</v>
      </c>
      <c r="G19" s="47">
        <v>5</v>
      </c>
      <c r="H19" s="133">
        <f>IF(B$17=0,0,G19/B$17)</f>
        <v>1.2077294685990338E-2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190</v>
      </c>
      <c r="C20" s="39">
        <f>IF(B$3=0,0,B20/B$3)</f>
        <v>0.159798149705635</v>
      </c>
      <c r="E20" s="63" t="s">
        <v>86</v>
      </c>
      <c r="F20" s="60" t="s">
        <v>41</v>
      </c>
      <c r="G20" s="47">
        <v>4</v>
      </c>
      <c r="H20" s="133">
        <f>IF(B$17=0,0,G20/B$17)</f>
        <v>9.6618357487922701E-3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7.246376811594203E-3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0</v>
      </c>
      <c r="E22" s="63" t="s">
        <v>78</v>
      </c>
      <c r="F22" s="60" t="s">
        <v>33</v>
      </c>
      <c r="G22" s="47">
        <v>2</v>
      </c>
      <c r="H22" s="133">
        <f>IF(B$17=0,0,G22/B$17)</f>
        <v>4.830917874396135E-3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19.230952380952381</v>
      </c>
      <c r="P22" s="119">
        <v>84</v>
      </c>
      <c r="Q22" s="107">
        <v>1615.4</v>
      </c>
    </row>
    <row r="23" spans="1:17" x14ac:dyDescent="0.4">
      <c r="A23" s="55" t="s">
        <v>5</v>
      </c>
      <c r="B23" s="51">
        <f>IF(B$17=0,0,C23/B$17)</f>
        <v>9094.4444444444453</v>
      </c>
      <c r="C23" s="41">
        <v>3765100</v>
      </c>
      <c r="E23" s="63" t="s">
        <v>91</v>
      </c>
      <c r="F23" s="60" t="s">
        <v>46</v>
      </c>
      <c r="G23" s="47">
        <v>2</v>
      </c>
      <c r="H23" s="133">
        <f>IF(B$17=0,0,G23/B$17)</f>
        <v>4.830917874396135E-3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-8250.5263157894733</v>
      </c>
      <c r="C24" s="45">
        <v>-1567600</v>
      </c>
      <c r="E24" s="63" t="s">
        <v>93</v>
      </c>
      <c r="F24" s="60" t="s">
        <v>48</v>
      </c>
      <c r="G24" s="47">
        <v>2</v>
      </c>
      <c r="H24" s="133">
        <f>IF(B$17=0,0,G24/B$17)</f>
        <v>4.830917874396135E-3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2.4154589371980675E-3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2.4154589371980675E-3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8.4104289318755253E-4</v>
      </c>
      <c r="E27" s="63" t="s">
        <v>88</v>
      </c>
      <c r="F27" s="60" t="s">
        <v>43</v>
      </c>
      <c r="G27" s="47">
        <v>1</v>
      </c>
      <c r="H27" s="133">
        <f>IF(B$17=0,0,G27/B$17)</f>
        <v>2.4154589371980675E-3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2.4154589371980675E-3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2.4154589371980675E-3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65</v>
      </c>
      <c r="F2" s="59" t="s">
        <v>21</v>
      </c>
      <c r="G2" s="46">
        <v>166</v>
      </c>
      <c r="H2" s="132">
        <f>IF(B$17=0,0,G2/B$17)</f>
        <v>0.61254612546125464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66</v>
      </c>
      <c r="F3" s="60" t="s">
        <v>22</v>
      </c>
      <c r="G3" s="47">
        <v>43</v>
      </c>
      <c r="H3" s="133">
        <f>IF(B$17=0,0,G3/B$17)</f>
        <v>0.15867158671586715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67</v>
      </c>
      <c r="F4" s="60" t="s">
        <v>23</v>
      </c>
      <c r="G4" s="47">
        <v>209</v>
      </c>
      <c r="H4" s="133">
        <f>IF(B$17=0,0,G4/B$17)</f>
        <v>0.77121771217712176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68</v>
      </c>
      <c r="F5" s="60" t="s">
        <v>24</v>
      </c>
      <c r="G5" s="47">
        <v>102</v>
      </c>
      <c r="H5" s="133">
        <f>IF(B$17=0,0,G5/B$17)</f>
        <v>0.37638376383763839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69</v>
      </c>
      <c r="F6" s="60" t="s">
        <v>12</v>
      </c>
      <c r="G6" s="47">
        <v>93</v>
      </c>
      <c r="H6" s="133">
        <f>IF(B$17=0,0,G6/B$17)</f>
        <v>0.34317343173431736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70</v>
      </c>
      <c r="F7" s="60" t="s">
        <v>25</v>
      </c>
      <c r="G7" s="47">
        <v>60</v>
      </c>
      <c r="H7" s="133">
        <f>IF(B$17=0,0,G7/B$17)</f>
        <v>0.22140221402214022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71</v>
      </c>
      <c r="F8" s="60" t="s">
        <v>26</v>
      </c>
      <c r="G8" s="47">
        <v>33</v>
      </c>
      <c r="H8" s="133">
        <f>IF(B$17=0,0,G8/B$17)</f>
        <v>0.12177121771217712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72</v>
      </c>
      <c r="F9" s="60" t="s">
        <v>27</v>
      </c>
      <c r="G9" s="47">
        <v>17</v>
      </c>
      <c r="H9" s="133">
        <f>IF(B$17=0,0,G9/B$17)</f>
        <v>6.273062730627306E-2</v>
      </c>
      <c r="I9" s="94">
        <v>6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73</v>
      </c>
      <c r="F10" s="60" t="s">
        <v>28</v>
      </c>
      <c r="G10" s="47">
        <v>123</v>
      </c>
      <c r="H10" s="133">
        <f>IF(B$17=0,0,G10/B$17)</f>
        <v>0.45387453874538747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7.3800738007380072E-3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75</v>
      </c>
      <c r="F12" s="60" t="s">
        <v>30</v>
      </c>
      <c r="G12" s="47">
        <v>2</v>
      </c>
      <c r="H12" s="133">
        <f>IF(B$17=0,0,G12/B$17)</f>
        <v>7.3800738007380072E-3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76</v>
      </c>
      <c r="F13" s="60" t="s">
        <v>31</v>
      </c>
      <c r="G13" s="47">
        <v>2</v>
      </c>
      <c r="H13" s="133">
        <f>IF(B$17=0,0,G13/B$17)</f>
        <v>7.3800738007380072E-3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78</v>
      </c>
      <c r="F15" s="60" t="s">
        <v>33</v>
      </c>
      <c r="G15" s="47">
        <v>1</v>
      </c>
      <c r="H15" s="133">
        <f>IF(B$17=0,0,G15/B$17)</f>
        <v>3.6900369003690036E-3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79</v>
      </c>
      <c r="F16" s="60" t="s">
        <v>34</v>
      </c>
      <c r="G16" s="47">
        <v>5</v>
      </c>
      <c r="H16" s="133">
        <f>IF(B$17=0,0,G16/B$17)</f>
        <v>1.8450184501845018E-2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80</v>
      </c>
      <c r="F17" s="60" t="s">
        <v>35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82</v>
      </c>
      <c r="F19" s="60" t="s">
        <v>37</v>
      </c>
      <c r="G19" s="47">
        <v>8</v>
      </c>
      <c r="H19" s="133">
        <f>IF(B$17=0,0,G19/B$17)</f>
        <v>2.9520295202952029E-2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3.6900369003690037E-2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3.6900369003690036E-3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87</v>
      </c>
      <c r="F24" s="60" t="s">
        <v>42</v>
      </c>
      <c r="G24" s="47">
        <v>14</v>
      </c>
      <c r="H24" s="133">
        <f>IF(B$17=0,0,G24/B$17)</f>
        <v>5.1660516605166053E-2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3.6900369003690036E-3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90</v>
      </c>
      <c r="F27" s="60" t="s">
        <v>45</v>
      </c>
      <c r="G27" s="47">
        <v>26</v>
      </c>
      <c r="H27" s="133">
        <f>IF(B$17=0,0,G27/B$17)</f>
        <v>9.5940959409594101E-2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2.2140221402214021E-2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3.6900369003690036E-3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3.6900369003690036E-3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3.6900369003690036E-3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1.8450184501845018E-2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0.44280442804428044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E2:I12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67</v>
      </c>
      <c r="F2" s="59" t="s">
        <v>23</v>
      </c>
      <c r="G2" s="46">
        <v>141</v>
      </c>
      <c r="H2" s="132">
        <f>IF(B$17=0,0,G2/B$17)</f>
        <v>0.80571428571428572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-3288.6363636363635</v>
      </c>
      <c r="P2" s="118">
        <v>88</v>
      </c>
      <c r="Q2" s="102">
        <v>-289400</v>
      </c>
    </row>
    <row r="3" spans="1:17" x14ac:dyDescent="0.4">
      <c r="A3" s="55" t="s">
        <v>8</v>
      </c>
      <c r="B3" s="152">
        <v>736</v>
      </c>
      <c r="C3" s="153"/>
      <c r="E3" s="63" t="s">
        <v>65</v>
      </c>
      <c r="F3" s="60" t="s">
        <v>21</v>
      </c>
      <c r="G3" s="47">
        <v>106</v>
      </c>
      <c r="H3" s="133">
        <f>IF(B$17=0,0,G3/B$17)</f>
        <v>0.60571428571428576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-1413.953488372093</v>
      </c>
      <c r="P3" s="119">
        <v>86</v>
      </c>
      <c r="Q3" s="103">
        <v>-121600</v>
      </c>
    </row>
    <row r="4" spans="1:17" x14ac:dyDescent="0.4">
      <c r="A4" s="55" t="s">
        <v>6</v>
      </c>
      <c r="B4" s="154">
        <v>-1241.1000000000001</v>
      </c>
      <c r="C4" s="155"/>
      <c r="E4" s="63" t="s">
        <v>245</v>
      </c>
      <c r="F4" s="60" t="s">
        <v>246</v>
      </c>
      <c r="G4" s="47">
        <v>68</v>
      </c>
      <c r="H4" s="133">
        <f>IF(B$17=0,0,G4/B$17)</f>
        <v>0.38857142857142857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386.41975308641975</v>
      </c>
      <c r="P4" s="119">
        <v>81</v>
      </c>
      <c r="Q4" s="103">
        <v>31300</v>
      </c>
    </row>
    <row r="5" spans="1:17" x14ac:dyDescent="0.4">
      <c r="A5" s="55" t="s">
        <v>7</v>
      </c>
      <c r="B5" s="156">
        <f>IF(B$2=0,0,B$4/B$2)</f>
        <v>-14.103409090909093</v>
      </c>
      <c r="C5" s="157"/>
      <c r="E5" s="63" t="s">
        <v>69</v>
      </c>
      <c r="F5" s="60" t="s">
        <v>12</v>
      </c>
      <c r="G5" s="47">
        <v>66</v>
      </c>
      <c r="H5" s="133">
        <f>IF(B$17=0,0,G5/B$17)</f>
        <v>0.37714285714285717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-4704.2253521126759</v>
      </c>
      <c r="P5" s="119">
        <v>71</v>
      </c>
      <c r="Q5" s="103">
        <v>-334000</v>
      </c>
    </row>
    <row r="6" spans="1:17" x14ac:dyDescent="0.4">
      <c r="A6" s="55" t="s">
        <v>1</v>
      </c>
      <c r="B6" s="146">
        <f>IF(B$2=0,0,(B$7*1+B$8*2+B$9*3)/B$2)</f>
        <v>2.2272727272727271</v>
      </c>
      <c r="C6" s="147"/>
      <c r="E6" s="63" t="s">
        <v>68</v>
      </c>
      <c r="F6" s="60" t="s">
        <v>24</v>
      </c>
      <c r="G6" s="47">
        <v>62</v>
      </c>
      <c r="H6" s="133">
        <f>IF(B$17=0,0,G6/B$17)</f>
        <v>0.35428571428571426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-859.375</v>
      </c>
      <c r="P6" s="119">
        <v>64</v>
      </c>
      <c r="Q6" s="103">
        <v>-55000</v>
      </c>
    </row>
    <row r="7" spans="1:17" x14ac:dyDescent="0.4">
      <c r="A7" s="55" t="s">
        <v>2</v>
      </c>
      <c r="B7" s="47">
        <v>22</v>
      </c>
      <c r="C7" s="39">
        <f>IF(B$2=0,0,B7/B$2)</f>
        <v>0.25</v>
      </c>
      <c r="E7" s="63" t="s">
        <v>73</v>
      </c>
      <c r="F7" s="60" t="s">
        <v>28</v>
      </c>
      <c r="G7" s="47">
        <v>59</v>
      </c>
      <c r="H7" s="133">
        <f>IF(B$17=0,0,G7/B$17)</f>
        <v>0.33714285714285713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-1129.3103448275863</v>
      </c>
      <c r="P7" s="120">
        <v>58</v>
      </c>
      <c r="Q7" s="104">
        <v>-65500</v>
      </c>
    </row>
    <row r="8" spans="1:17" x14ac:dyDescent="0.4">
      <c r="A8" s="55" t="s">
        <v>3</v>
      </c>
      <c r="B8" s="47">
        <v>24</v>
      </c>
      <c r="C8" s="39">
        <f>IF(B$2=0,0,B8/B$2)</f>
        <v>0.27272727272727271</v>
      </c>
      <c r="E8" s="63" t="s">
        <v>70</v>
      </c>
      <c r="F8" s="60" t="s">
        <v>25</v>
      </c>
      <c r="G8" s="47">
        <v>35</v>
      </c>
      <c r="H8" s="133">
        <f>IF(B$17=0,0,G8/B$17)</f>
        <v>0.2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0.47727272727272729</v>
      </c>
      <c r="E9" s="63" t="s">
        <v>71</v>
      </c>
      <c r="F9" s="60" t="s">
        <v>26</v>
      </c>
      <c r="G9" s="47">
        <v>28</v>
      </c>
      <c r="H9" s="133">
        <f>IF(B$17=0,0,G9/B$17)</f>
        <v>0.16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0.19318181818181818</v>
      </c>
      <c r="E10" s="63" t="s">
        <v>72</v>
      </c>
      <c r="F10" s="60" t="s">
        <v>27</v>
      </c>
      <c r="G10" s="47">
        <v>20</v>
      </c>
      <c r="H10" s="133">
        <f>IF(B$17=0,0,G10/B$17)</f>
        <v>0.11428571428571428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0.10227272727272728</v>
      </c>
      <c r="E11" s="63" t="s">
        <v>66</v>
      </c>
      <c r="F11" s="60" t="s">
        <v>22</v>
      </c>
      <c r="G11" s="47">
        <v>18</v>
      </c>
      <c r="H11" s="133">
        <f>IF(B$17=0,0,G11/B$17)</f>
        <v>0.10285714285714286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-12.160000000000004</v>
      </c>
      <c r="P11" s="119">
        <v>35</v>
      </c>
      <c r="Q11" s="107">
        <v>-425.60000000000014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7.9545454545454544E-2</v>
      </c>
      <c r="E12" s="63" t="s">
        <v>90</v>
      </c>
      <c r="F12" s="60" t="s">
        <v>45</v>
      </c>
      <c r="G12" s="47">
        <v>16</v>
      </c>
      <c r="H12" s="133">
        <f>IF(B$17=0,0,G12/B$17)</f>
        <v>9.1428571428571428E-2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-12.938461538461535</v>
      </c>
      <c r="P12" s="120">
        <v>26</v>
      </c>
      <c r="Q12" s="108">
        <v>-336.39999999999992</v>
      </c>
    </row>
    <row r="13" spans="1:17" x14ac:dyDescent="0.4">
      <c r="A13" s="58" t="s">
        <v>122</v>
      </c>
      <c r="B13" s="50">
        <v>209</v>
      </c>
      <c r="C13" s="44">
        <f>IF(B$3=0,0,B13/B$3)</f>
        <v>0.28396739130434784</v>
      </c>
      <c r="E13" s="63" t="s">
        <v>87</v>
      </c>
      <c r="F13" s="60" t="s">
        <v>42</v>
      </c>
      <c r="G13" s="47">
        <v>10</v>
      </c>
      <c r="H13" s="133">
        <f>IF(B$17=0,0,G13/B$17)</f>
        <v>5.7142857142857141E-2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121</v>
      </c>
      <c r="C14" s="39">
        <f>IF(B$3=0,0,B14/B$3)</f>
        <v>0.16440217391304349</v>
      </c>
      <c r="E14" s="63" t="s">
        <v>84</v>
      </c>
      <c r="F14" s="60" t="s">
        <v>39</v>
      </c>
      <c r="G14" s="47">
        <v>7</v>
      </c>
      <c r="H14" s="133">
        <f>IF(B$17=0,0,G14/B$17)</f>
        <v>0.04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0.52153110047846885</v>
      </c>
      <c r="E15" s="63" t="s">
        <v>79</v>
      </c>
      <c r="F15" s="60" t="s">
        <v>34</v>
      </c>
      <c r="G15" s="47">
        <v>5</v>
      </c>
      <c r="H15" s="133">
        <f>IF(B$17=0,0,G15/B$17)</f>
        <v>2.8571428571428571E-2</v>
      </c>
      <c r="I15" s="94">
        <v>5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30</v>
      </c>
      <c r="C16" s="37">
        <f>IF(B$14=0,0,B16/B$14)</f>
        <v>0.24793388429752067</v>
      </c>
      <c r="E16" s="63" t="s">
        <v>82</v>
      </c>
      <c r="F16" s="60" t="s">
        <v>37</v>
      </c>
      <c r="G16" s="47">
        <v>4</v>
      </c>
      <c r="H16" s="133">
        <f>IF(B$17=0,0,G16/B$17)</f>
        <v>2.2857142857142857E-2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-12.031578947368423</v>
      </c>
      <c r="P16" s="119">
        <v>19</v>
      </c>
      <c r="Q16" s="107">
        <v>-228.60000000000005</v>
      </c>
    </row>
    <row r="17" spans="1:17" x14ac:dyDescent="0.4">
      <c r="A17" s="54" t="s">
        <v>10</v>
      </c>
      <c r="B17" s="46">
        <f>B19+B18</f>
        <v>175</v>
      </c>
      <c r="C17" s="37">
        <f>IF(B$3=0,0,B17/B$3)</f>
        <v>0.23777173913043478</v>
      </c>
      <c r="E17" s="63" t="s">
        <v>75</v>
      </c>
      <c r="F17" s="60" t="s">
        <v>30</v>
      </c>
      <c r="G17" s="47">
        <v>2</v>
      </c>
      <c r="H17" s="133">
        <f>IF(B$17=0,0,G17/B$17)</f>
        <v>1.1428571428571429E-2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-13.074999999999998</v>
      </c>
      <c r="P17" s="119">
        <v>40</v>
      </c>
      <c r="Q17" s="107">
        <v>-522.99999999999989</v>
      </c>
    </row>
    <row r="18" spans="1:17" x14ac:dyDescent="0.4">
      <c r="A18" s="55" t="s">
        <v>12</v>
      </c>
      <c r="B18" s="47">
        <v>76</v>
      </c>
      <c r="C18" s="39">
        <f>IF(B$17=0,0,B18/B$17)</f>
        <v>0.43428571428571427</v>
      </c>
      <c r="E18" s="63" t="s">
        <v>88</v>
      </c>
      <c r="F18" s="60" t="s">
        <v>43</v>
      </c>
      <c r="G18" s="47">
        <v>2</v>
      </c>
      <c r="H18" s="133">
        <f>IF(B$17=0,0,G18/B$17)</f>
        <v>1.1428571428571429E-2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99</v>
      </c>
      <c r="C19" s="39">
        <f>IF(B$17=0,0,B19/B$17)</f>
        <v>0.56571428571428573</v>
      </c>
      <c r="E19" s="63" t="s">
        <v>94</v>
      </c>
      <c r="F19" s="60" t="s">
        <v>49</v>
      </c>
      <c r="G19" s="47">
        <v>2</v>
      </c>
      <c r="H19" s="133">
        <f>IF(B$17=0,0,G19/B$17)</f>
        <v>1.1428571428571429E-2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143</v>
      </c>
      <c r="C20" s="39">
        <f>IF(B$3=0,0,B20/B$3)</f>
        <v>0.19429347826086957</v>
      </c>
      <c r="E20" s="63" t="s">
        <v>78</v>
      </c>
      <c r="F20" s="60" t="s">
        <v>33</v>
      </c>
      <c r="G20" s="47">
        <v>1</v>
      </c>
      <c r="H20" s="133">
        <f>IF(B$17=0,0,G20/B$17)</f>
        <v>5.7142857142857143E-3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-27.518181818181827</v>
      </c>
      <c r="P20" s="119">
        <v>55</v>
      </c>
      <c r="Q20" s="107">
        <v>-1513.5000000000005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80</v>
      </c>
      <c r="F21" s="60" t="s">
        <v>35</v>
      </c>
      <c r="G21" s="47">
        <v>1</v>
      </c>
      <c r="H21" s="133">
        <f>IF(B$17=0,0,G21/B$17)</f>
        <v>5.7142857142857143E-3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89</v>
      </c>
      <c r="F22" s="60" t="s">
        <v>44</v>
      </c>
      <c r="G22" s="47">
        <v>1</v>
      </c>
      <c r="H22" s="133">
        <f>IF(B$17=0,0,G22/B$17)</f>
        <v>5.7142857142857143E-3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8818.2857142857138</v>
      </c>
      <c r="C23" s="41">
        <v>1543200</v>
      </c>
      <c r="E23" s="63" t="s">
        <v>92</v>
      </c>
      <c r="F23" s="60" t="s">
        <v>47</v>
      </c>
      <c r="G23" s="47">
        <v>1</v>
      </c>
      <c r="H23" s="133">
        <f>IF(B$17=0,0,G23/B$17)</f>
        <v>5.7142857142857143E-3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-9054.545454545454</v>
      </c>
      <c r="C24" s="45">
        <v>-1294800</v>
      </c>
      <c r="E24" s="63" t="s">
        <v>93</v>
      </c>
      <c r="F24" s="60" t="s">
        <v>48</v>
      </c>
      <c r="G24" s="47">
        <v>1</v>
      </c>
      <c r="H24" s="133">
        <f>IF(B$17=0,0,G24/B$17)</f>
        <v>5.7142857142857143E-3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1.358695652173913E-3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112</v>
      </c>
      <c r="H2" s="132">
        <f>IF(B$17=0,0,G2/B$17)</f>
        <v>0.54634146341463419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0.13658536585365855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67</v>
      </c>
      <c r="F4" s="60" t="s">
        <v>23</v>
      </c>
      <c r="G4" s="47">
        <v>173</v>
      </c>
      <c r="H4" s="133">
        <f>IF(B$17=0,0,G4/B$17)</f>
        <v>0.84390243902439022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0.34146341463414637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69</v>
      </c>
      <c r="F6" s="60" t="s">
        <v>12</v>
      </c>
      <c r="G6" s="47">
        <v>61</v>
      </c>
      <c r="H6" s="133">
        <f>IF(B$17=0,0,G6/B$17)</f>
        <v>0.29756097560975608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70</v>
      </c>
      <c r="F7" s="60" t="s">
        <v>25</v>
      </c>
      <c r="G7" s="47">
        <v>40</v>
      </c>
      <c r="H7" s="133">
        <f>IF(B$17=0,0,G7/B$17)</f>
        <v>0.1951219512195122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71</v>
      </c>
      <c r="F8" s="60" t="s">
        <v>26</v>
      </c>
      <c r="G8" s="47">
        <v>21</v>
      </c>
      <c r="H8" s="133">
        <f>IF(B$17=0,0,G8/B$17)</f>
        <v>0.1024390243902439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72</v>
      </c>
      <c r="F9" s="60" t="s">
        <v>27</v>
      </c>
      <c r="G9" s="47">
        <v>12</v>
      </c>
      <c r="H9" s="133">
        <f>IF(B$17=0,0,G9/B$17)</f>
        <v>5.8536585365853662E-2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73</v>
      </c>
      <c r="F10" s="60" t="s">
        <v>28</v>
      </c>
      <c r="G10" s="47">
        <v>107</v>
      </c>
      <c r="H10" s="133">
        <f>IF(B$17=0,0,G10/B$17)</f>
        <v>0.52195121951219514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74</v>
      </c>
      <c r="F11" s="60" t="s">
        <v>29</v>
      </c>
      <c r="G11" s="47">
        <v>2</v>
      </c>
      <c r="H11" s="133">
        <f>IF(B$17=0,0,G11/B$17)</f>
        <v>9.7560975609756097E-3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76</v>
      </c>
      <c r="F13" s="60" t="s">
        <v>31</v>
      </c>
      <c r="G13" s="47">
        <v>3</v>
      </c>
      <c r="H13" s="133">
        <f>IF(B$17=0,0,G13/B$17)</f>
        <v>1.4634146341463415E-2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79</v>
      </c>
      <c r="F16" s="60" t="s">
        <v>34</v>
      </c>
      <c r="G16" s="47">
        <v>9</v>
      </c>
      <c r="H16" s="133">
        <f>IF(B$17=0,0,G16/B$17)</f>
        <v>4.3902439024390241E-2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80</v>
      </c>
      <c r="F17" s="60" t="s">
        <v>35</v>
      </c>
      <c r="G17" s="47">
        <v>3</v>
      </c>
      <c r="H17" s="133">
        <f>IF(B$17=0,0,G17/B$17)</f>
        <v>1.4634146341463415E-2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82</v>
      </c>
      <c r="F19" s="60" t="s">
        <v>37</v>
      </c>
      <c r="G19" s="47">
        <v>8</v>
      </c>
      <c r="H19" s="133">
        <f>IF(B$17=0,0,G19/B$17)</f>
        <v>3.9024390243902439E-2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5.3658536585365853E-2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87</v>
      </c>
      <c r="F24" s="60" t="s">
        <v>42</v>
      </c>
      <c r="G24" s="47">
        <v>15</v>
      </c>
      <c r="H24" s="133">
        <f>IF(B$17=0,0,G24/B$17)</f>
        <v>7.3170731707317069E-2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4.8780487804878049E-3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90</v>
      </c>
      <c r="F27" s="60" t="s">
        <v>45</v>
      </c>
      <c r="G27" s="47">
        <v>35</v>
      </c>
      <c r="H27" s="133">
        <f>IF(B$17=0,0,G27/B$17)</f>
        <v>0.17073170731707318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2.9268292682926831E-2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9.7560975609756097E-3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4.8780487804878049E-3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1.9512195121951219E-2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79</v>
      </c>
      <c r="H51" s="140">
        <f>IF(B$17=0,0,G51/B$17)</f>
        <v>0.38536585365853659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E2:I9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8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95</v>
      </c>
      <c r="H51" s="140">
        <f>IF(B$17=0,0,G51/B$17)</f>
        <v>0.44392523364485981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58</v>
      </c>
      <c r="C2" s="151"/>
      <c r="E2" s="62" t="s">
        <v>65</v>
      </c>
      <c r="F2" s="59" t="s">
        <v>21</v>
      </c>
      <c r="G2" s="46">
        <v>89</v>
      </c>
      <c r="H2" s="132">
        <f>IF(B$17=0,0,G2/B$17)</f>
        <v>0.61379310344827587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984.48275862068965</v>
      </c>
      <c r="P2" s="118">
        <v>58</v>
      </c>
      <c r="Q2" s="102">
        <v>57100</v>
      </c>
    </row>
    <row r="3" spans="1:17" x14ac:dyDescent="0.4">
      <c r="A3" s="55" t="s">
        <v>8</v>
      </c>
      <c r="B3" s="152">
        <v>469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0.60689655172413792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1969.090909090909</v>
      </c>
      <c r="P3" s="119">
        <v>55</v>
      </c>
      <c r="Q3" s="103">
        <v>108300</v>
      </c>
    </row>
    <row r="4" spans="1:17" x14ac:dyDescent="0.4">
      <c r="A4" s="55" t="s">
        <v>6</v>
      </c>
      <c r="B4" s="154">
        <v>244.60000000000002</v>
      </c>
      <c r="C4" s="155"/>
      <c r="E4" s="63" t="s">
        <v>245</v>
      </c>
      <c r="F4" s="60" t="s">
        <v>246</v>
      </c>
      <c r="G4" s="47">
        <v>61</v>
      </c>
      <c r="H4" s="133">
        <f>IF(B$17=0,0,G4/B$17)</f>
        <v>0.4206896551724138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-1154</v>
      </c>
      <c r="P4" s="119">
        <v>50</v>
      </c>
      <c r="Q4" s="103">
        <v>-57700</v>
      </c>
    </row>
    <row r="5" spans="1:17" x14ac:dyDescent="0.4">
      <c r="A5" s="55" t="s">
        <v>7</v>
      </c>
      <c r="B5" s="156">
        <f>IF(B$2=0,0,B$4/B$2)</f>
        <v>4.2172413793103454</v>
      </c>
      <c r="C5" s="157"/>
      <c r="E5" s="63" t="s">
        <v>73</v>
      </c>
      <c r="F5" s="60" t="s">
        <v>28</v>
      </c>
      <c r="G5" s="47">
        <v>60</v>
      </c>
      <c r="H5" s="133">
        <f>IF(B$17=0,0,G5/B$17)</f>
        <v>0.41379310344827586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1956.25</v>
      </c>
      <c r="P5" s="119">
        <v>48</v>
      </c>
      <c r="Q5" s="103">
        <v>93900</v>
      </c>
    </row>
    <row r="6" spans="1:17" x14ac:dyDescent="0.4">
      <c r="A6" s="55" t="s">
        <v>1</v>
      </c>
      <c r="B6" s="146">
        <f>IF(B$2=0,0,(B$7*1+B$8*2+B$9*3)/B$2)</f>
        <v>1.896551724137931</v>
      </c>
      <c r="C6" s="147"/>
      <c r="E6" s="63" t="s">
        <v>68</v>
      </c>
      <c r="F6" s="60" t="s">
        <v>24</v>
      </c>
      <c r="G6" s="47">
        <v>54</v>
      </c>
      <c r="H6" s="133">
        <f>IF(B$17=0,0,G6/B$17)</f>
        <v>0.3724137931034483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-1288.3720930232557</v>
      </c>
      <c r="P6" s="119">
        <v>43</v>
      </c>
      <c r="Q6" s="103">
        <v>-55400</v>
      </c>
    </row>
    <row r="7" spans="1:17" x14ac:dyDescent="0.4">
      <c r="A7" s="55" t="s">
        <v>2</v>
      </c>
      <c r="B7" s="47">
        <v>23</v>
      </c>
      <c r="C7" s="39">
        <f>IF(B$2=0,0,B7/B$2)</f>
        <v>0.39655172413793105</v>
      </c>
      <c r="E7" s="63" t="s">
        <v>69</v>
      </c>
      <c r="F7" s="60" t="s">
        <v>12</v>
      </c>
      <c r="G7" s="47">
        <v>45</v>
      </c>
      <c r="H7" s="133">
        <f>IF(B$17=0,0,G7/B$17)</f>
        <v>0.31034482758620691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531.42857142857144</v>
      </c>
      <c r="P7" s="120">
        <v>35</v>
      </c>
      <c r="Q7" s="104">
        <v>18600</v>
      </c>
    </row>
    <row r="8" spans="1:17" x14ac:dyDescent="0.4">
      <c r="A8" s="55" t="s">
        <v>3</v>
      </c>
      <c r="B8" s="47">
        <v>18</v>
      </c>
      <c r="C8" s="39">
        <f>IF(B$2=0,0,B8/B$2)</f>
        <v>0.31034482758620691</v>
      </c>
      <c r="E8" s="63" t="s">
        <v>70</v>
      </c>
      <c r="F8" s="60" t="s">
        <v>25</v>
      </c>
      <c r="G8" s="47">
        <v>26</v>
      </c>
      <c r="H8" s="133">
        <f>IF(B$17=0,0,G8/B$17)</f>
        <v>0.1793103448275862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0.29310344827586204</v>
      </c>
      <c r="E9" s="63" t="s">
        <v>66</v>
      </c>
      <c r="F9" s="60" t="s">
        <v>22</v>
      </c>
      <c r="G9" s="47">
        <v>17</v>
      </c>
      <c r="H9" s="133">
        <f>IF(B$17=0,0,G9/B$17)</f>
        <v>0.11724137931034483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0.15517241379310345</v>
      </c>
      <c r="E10" s="63" t="s">
        <v>90</v>
      </c>
      <c r="F10" s="60" t="s">
        <v>45</v>
      </c>
      <c r="G10" s="47">
        <v>17</v>
      </c>
      <c r="H10" s="133">
        <f>IF(B$17=0,0,G10/B$17)</f>
        <v>0.11724137931034483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5.511764705882352</v>
      </c>
      <c r="P10" s="118">
        <v>17</v>
      </c>
      <c r="Q10" s="106">
        <v>93.699999999999989</v>
      </c>
    </row>
    <row r="11" spans="1:17" x14ac:dyDescent="0.4">
      <c r="A11" s="56" t="s">
        <v>140</v>
      </c>
      <c r="B11" s="48">
        <v>8</v>
      </c>
      <c r="C11" s="40">
        <f>IF(B$2=0,0,B11/B$2)</f>
        <v>0.13793103448275862</v>
      </c>
      <c r="E11" s="63" t="s">
        <v>71</v>
      </c>
      <c r="F11" s="60" t="s">
        <v>26</v>
      </c>
      <c r="G11" s="47">
        <v>10</v>
      </c>
      <c r="H11" s="133">
        <f>IF(B$17=0,0,G11/B$17)</f>
        <v>6.8965517241379309E-2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9.8272727272727263</v>
      </c>
      <c r="P11" s="119">
        <v>22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8.6206896551724144E-2</v>
      </c>
      <c r="E12" s="63" t="s">
        <v>72</v>
      </c>
      <c r="F12" s="60" t="s">
        <v>27</v>
      </c>
      <c r="G12" s="47">
        <v>8</v>
      </c>
      <c r="H12" s="133">
        <f>IF(B$17=0,0,G12/B$17)</f>
        <v>5.5172413793103448E-2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133</v>
      </c>
      <c r="C13" s="44">
        <f>IF(B$3=0,0,B13/B$3)</f>
        <v>0.28358208955223879</v>
      </c>
      <c r="E13" s="63" t="s">
        <v>84</v>
      </c>
      <c r="F13" s="60" t="s">
        <v>39</v>
      </c>
      <c r="G13" s="47">
        <v>7</v>
      </c>
      <c r="H13" s="133">
        <f>IF(B$17=0,0,G13/B$17)</f>
        <v>4.8275862068965517E-2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87</v>
      </c>
      <c r="C14" s="39">
        <f>IF(B$3=0,0,B14/B$3)</f>
        <v>0.18550106609808104</v>
      </c>
      <c r="E14" s="63" t="s">
        <v>79</v>
      </c>
      <c r="F14" s="60" t="s">
        <v>34</v>
      </c>
      <c r="G14" s="47">
        <v>5</v>
      </c>
      <c r="H14" s="133">
        <f>IF(B$17=0,0,G14/B$17)</f>
        <v>3.4482758620689655E-2</v>
      </c>
      <c r="I14" s="94">
        <v>4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89</v>
      </c>
      <c r="C15" s="37">
        <f>IF(B$13=0,0,B15/B$13)</f>
        <v>0.66917293233082709</v>
      </c>
      <c r="E15" s="63" t="s">
        <v>92</v>
      </c>
      <c r="F15" s="60" t="s">
        <v>47</v>
      </c>
      <c r="G15" s="47">
        <v>5</v>
      </c>
      <c r="H15" s="133">
        <f>IF(B$17=0,0,G15/B$17)</f>
        <v>3.4482758620689655E-2</v>
      </c>
      <c r="I15" s="94">
        <v>1</v>
      </c>
      <c r="K15" s="38">
        <v>13</v>
      </c>
      <c r="L15" s="99">
        <v>-209.59999999999997</v>
      </c>
      <c r="N15" s="114" t="s">
        <v>171</v>
      </c>
      <c r="O15" s="124">
        <f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0.37931034482758619</v>
      </c>
      <c r="E16" s="63" t="s">
        <v>82</v>
      </c>
      <c r="F16" s="60" t="s">
        <v>37</v>
      </c>
      <c r="G16" s="47">
        <v>4</v>
      </c>
      <c r="H16" s="133">
        <f>IF(B$17=0,0,G16/B$17)</f>
        <v>2.7586206896551724E-2</v>
      </c>
      <c r="I16" s="94">
        <v>8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145</v>
      </c>
      <c r="C17" s="37">
        <f>IF(B$3=0,0,B17/B$3)</f>
        <v>0.30916844349680173</v>
      </c>
      <c r="E17" s="63" t="s">
        <v>87</v>
      </c>
      <c r="F17" s="60" t="s">
        <v>42</v>
      </c>
      <c r="G17" s="47">
        <v>4</v>
      </c>
      <c r="H17" s="133">
        <f>IF(B$17=0,0,G17/B$17)</f>
        <v>2.7586206896551724E-2</v>
      </c>
      <c r="I17" s="94">
        <v>10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63</v>
      </c>
      <c r="C18" s="39">
        <f>IF(B$17=0,0,B18/B$17)</f>
        <v>0.43448275862068964</v>
      </c>
      <c r="E18" s="63" t="s">
        <v>86</v>
      </c>
      <c r="F18" s="60" t="s">
        <v>41</v>
      </c>
      <c r="G18" s="47">
        <v>3</v>
      </c>
      <c r="H18" s="133">
        <f>IF(B$17=0,0,G18/B$17)</f>
        <v>2.0689655172413793E-2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82</v>
      </c>
      <c r="C19" s="39">
        <f>IF(B$17=0,0,B19/B$17)</f>
        <v>0.56551724137931036</v>
      </c>
      <c r="E19" s="63" t="s">
        <v>80</v>
      </c>
      <c r="F19" s="60" t="s">
        <v>35</v>
      </c>
      <c r="G19" s="47">
        <v>2</v>
      </c>
      <c r="H19" s="133">
        <f>IF(B$17=0,0,G19/B$17)</f>
        <v>1.3793103448275862E-2</v>
      </c>
      <c r="I19" s="94">
        <v>8</v>
      </c>
      <c r="K19" s="38">
        <v>17</v>
      </c>
      <c r="L19" s="99">
        <v>-161.19999999999999</v>
      </c>
      <c r="N19" s="115" t="s">
        <v>129</v>
      </c>
      <c r="O19" s="125">
        <f>IF(P19=0,0,Q19/P19)</f>
        <v>12.031578947368422</v>
      </c>
      <c r="P19" s="119">
        <v>19</v>
      </c>
      <c r="Q19" s="107">
        <v>228.60000000000002</v>
      </c>
    </row>
    <row r="20" spans="1:17" x14ac:dyDescent="0.4">
      <c r="A20" s="55" t="s">
        <v>13</v>
      </c>
      <c r="B20" s="47">
        <v>72</v>
      </c>
      <c r="C20" s="39">
        <f>IF(B$3=0,0,B20/B$3)</f>
        <v>0.15351812366737741</v>
      </c>
      <c r="E20" s="63" t="s">
        <v>75</v>
      </c>
      <c r="F20" s="60" t="s">
        <v>30</v>
      </c>
      <c r="G20" s="47">
        <v>1</v>
      </c>
      <c r="H20" s="133">
        <f>IF(B$17=0,0,G20/B$17)</f>
        <v>6.8965517241379309E-3</v>
      </c>
      <c r="I20" s="94">
        <v>3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6.8965517241379309E-3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91</v>
      </c>
      <c r="F22" s="60" t="s">
        <v>46</v>
      </c>
      <c r="G22" s="47">
        <v>1</v>
      </c>
      <c r="H22" s="133">
        <f>IF(B$17=0,0,G22/B$17)</f>
        <v>6.8965517241379309E-3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-25.936000000000007</v>
      </c>
      <c r="P22" s="119">
        <v>25</v>
      </c>
      <c r="Q22" s="107">
        <v>-648.4000000000002</v>
      </c>
    </row>
    <row r="23" spans="1:17" x14ac:dyDescent="0.4">
      <c r="A23" s="55" t="s">
        <v>5</v>
      </c>
      <c r="B23" s="51">
        <f>IF(B$17=0,0,C23/B$17)</f>
        <v>8762.0689655172409</v>
      </c>
      <c r="C23" s="41">
        <v>1270500</v>
      </c>
      <c r="E23" s="63" t="s">
        <v>93</v>
      </c>
      <c r="F23" s="60" t="s">
        <v>48</v>
      </c>
      <c r="G23" s="47">
        <v>1</v>
      </c>
      <c r="H23" s="133">
        <f>IF(B$17=0,0,G23/B$17)</f>
        <v>6.8965517241379309E-3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-7793.0555555555557</v>
      </c>
      <c r="C24" s="45">
        <v>-561100</v>
      </c>
      <c r="E24" s="63" t="s">
        <v>102</v>
      </c>
      <c r="F24" s="60" t="s">
        <v>57</v>
      </c>
      <c r="G24" s="47">
        <v>1</v>
      </c>
      <c r="H24" s="133">
        <f>IF(B$17=0,0,G24/B$17)</f>
        <v>6.8965517241379309E-3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6.3965884861407248E-3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12</v>
      </c>
      <c r="H51" s="140">
        <f>IF(B$17=0,0,G51/B$17)</f>
        <v>0.35294117647058826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9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2019-06-11T15:03:55Z</dcterms:modified>
</cp:coreProperties>
</file>