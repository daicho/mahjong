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59D075F-4A56-4E38-9EAF-8FF72580627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01" r:id="rId6"/>
    <sheet name="だいち" sheetId="5403" r:id="rId7"/>
    <sheet name="りくと" sheetId="5405" r:id="rId8"/>
    <sheet name="ただ" sheetId="5407" r:id="rId9"/>
    <sheet name="れんたろう" sheetId="5409" r:id="rId10"/>
    <sheet name="たかの" sheetId="5411" r:id="rId11"/>
    <sheet name="ぱぱ" sheetId="5413" r:id="rId12"/>
    <sheet name="まっつん" sheetId="5415" r:id="rId13"/>
    <sheet name="あさひ" sheetId="5417" r:id="rId14"/>
    <sheet name="いっしー" sheetId="5419" r:id="rId15"/>
    <sheet name="ほたに" sheetId="5421" r:id="rId16"/>
    <sheet name="かわたつ" sheetId="5423" r:id="rId17"/>
    <sheet name="やがさき" sheetId="5425" r:id="rId18"/>
    <sheet name="やがさき2" sheetId="5426" state="hidden" r:id="rId19"/>
    <sheet name="かわたつ2" sheetId="5424" state="hidden" r:id="rId20"/>
    <sheet name="ほたに2" sheetId="5422" state="hidden" r:id="rId21"/>
    <sheet name="いっしー2" sheetId="5420" state="hidden" r:id="rId22"/>
    <sheet name="あさひ2" sheetId="5418" state="hidden" r:id="rId23"/>
    <sheet name="まっつん2" sheetId="5416" state="hidden" r:id="rId24"/>
    <sheet name="ぱぱ2" sheetId="5414" state="hidden" r:id="rId25"/>
    <sheet name="たかの2" sheetId="5412" state="hidden" r:id="rId26"/>
    <sheet name="れんたろう2" sheetId="5410" state="hidden" r:id="rId27"/>
    <sheet name="ただ2" sheetId="5408" state="hidden" r:id="rId28"/>
    <sheet name="りくと2" sheetId="5406" state="hidden" r:id="rId29"/>
    <sheet name="だいち2" sheetId="5404" state="hidden" r:id="rId30"/>
    <sheet name="全体2" sheetId="5402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407" l="1"/>
  <c r="O16" i="5411"/>
  <c r="O15" i="5401"/>
  <c r="O16" i="5425"/>
  <c r="O15" i="5425"/>
  <c r="C27" i="5425"/>
  <c r="B24" i="5425"/>
  <c r="C20" i="5425"/>
  <c r="B17" i="5425"/>
  <c r="H50" i="5425" s="1"/>
  <c r="C16" i="5425"/>
  <c r="C15" i="5425"/>
  <c r="C14" i="5425"/>
  <c r="C13" i="5425"/>
  <c r="O12" i="5425"/>
  <c r="C12" i="5425"/>
  <c r="O11" i="5425"/>
  <c r="C11" i="5425"/>
  <c r="O10" i="5425"/>
  <c r="C10" i="5425"/>
  <c r="C9" i="5425"/>
  <c r="C8" i="5425"/>
  <c r="O7" i="5425"/>
  <c r="C7" i="5425"/>
  <c r="O6" i="5425"/>
  <c r="B6" i="5425"/>
  <c r="O5" i="5425"/>
  <c r="B5" i="5425"/>
  <c r="O4" i="5425"/>
  <c r="O3" i="5425"/>
  <c r="O2" i="5425"/>
  <c r="O15" i="5423"/>
  <c r="O16" i="5423"/>
  <c r="C27" i="5423"/>
  <c r="B24" i="5423"/>
  <c r="C20" i="5423"/>
  <c r="B17" i="5423"/>
  <c r="H49" i="5423" s="1"/>
  <c r="C16" i="5423"/>
  <c r="C15" i="5423"/>
  <c r="C14" i="5423"/>
  <c r="C13" i="5423"/>
  <c r="O12" i="5423"/>
  <c r="C12" i="5423"/>
  <c r="O11" i="5423"/>
  <c r="C11" i="5423"/>
  <c r="O10" i="5423"/>
  <c r="H12" i="5423"/>
  <c r="C10" i="5423"/>
  <c r="C9" i="5423"/>
  <c r="C8" i="5423"/>
  <c r="O7" i="5423"/>
  <c r="C7" i="5423"/>
  <c r="O6" i="5423"/>
  <c r="B6" i="5423"/>
  <c r="O5" i="5423"/>
  <c r="B5" i="5423"/>
  <c r="O4" i="5423"/>
  <c r="O3" i="5423"/>
  <c r="O2" i="5423"/>
  <c r="O23" i="5409"/>
  <c r="O18" i="5403"/>
  <c r="O25" i="5401"/>
  <c r="H9" i="5425" l="1"/>
  <c r="H35" i="5425"/>
  <c r="H6" i="5425"/>
  <c r="H10" i="5425"/>
  <c r="H27" i="5425"/>
  <c r="H13" i="5425"/>
  <c r="H4" i="5425"/>
  <c r="H36" i="5425"/>
  <c r="H44" i="5425"/>
  <c r="H15" i="5425"/>
  <c r="H21" i="5425"/>
  <c r="H45" i="5425"/>
  <c r="H7" i="5425"/>
  <c r="H24" i="5425"/>
  <c r="H11" i="5425"/>
  <c r="H37" i="5425"/>
  <c r="H47" i="5425"/>
  <c r="H30" i="5425"/>
  <c r="H3" i="5425"/>
  <c r="H14" i="5425"/>
  <c r="C18" i="5425"/>
  <c r="H25" i="5425"/>
  <c r="H31" i="5425"/>
  <c r="H40" i="5425"/>
  <c r="H49" i="5425"/>
  <c r="C17" i="5425"/>
  <c r="H29" i="5425"/>
  <c r="H19" i="5425"/>
  <c r="H48" i="5425"/>
  <c r="H12" i="5425"/>
  <c r="H20" i="5425"/>
  <c r="H32" i="5425"/>
  <c r="H41" i="5425"/>
  <c r="H51" i="5425"/>
  <c r="H5" i="5425"/>
  <c r="H23" i="5425"/>
  <c r="H46" i="5425"/>
  <c r="H16" i="5425"/>
  <c r="H38" i="5425"/>
  <c r="B23" i="5425"/>
  <c r="H39" i="5425"/>
  <c r="H17" i="5425"/>
  <c r="H2" i="5425"/>
  <c r="H18" i="5425"/>
  <c r="C19" i="5425"/>
  <c r="H26" i="5425"/>
  <c r="H33" i="5425"/>
  <c r="H43" i="5425"/>
  <c r="H8" i="5425"/>
  <c r="H22" i="5425"/>
  <c r="H28" i="5425"/>
  <c r="H34" i="5425"/>
  <c r="H42" i="5425"/>
  <c r="C17" i="5423"/>
  <c r="H2" i="5423"/>
  <c r="H21" i="5423"/>
  <c r="H27" i="5423"/>
  <c r="H34" i="5423"/>
  <c r="H42" i="5423"/>
  <c r="H50" i="5423"/>
  <c r="H9" i="5423"/>
  <c r="H15" i="5423"/>
  <c r="H22" i="5423"/>
  <c r="H35" i="5423"/>
  <c r="H43" i="5423"/>
  <c r="H51" i="5423"/>
  <c r="H19" i="5423"/>
  <c r="H23" i="5423"/>
  <c r="H28" i="5423"/>
  <c r="H36" i="5423"/>
  <c r="H44" i="5423"/>
  <c r="H7" i="5423"/>
  <c r="H4" i="5423"/>
  <c r="H13" i="5423"/>
  <c r="H16" i="5423"/>
  <c r="C18" i="5423"/>
  <c r="B23" i="5423"/>
  <c r="H29" i="5423"/>
  <c r="H37" i="5423"/>
  <c r="H45" i="5423"/>
  <c r="H3" i="5423"/>
  <c r="H10" i="5423"/>
  <c r="H20" i="5423"/>
  <c r="H24" i="5423"/>
  <c r="H30" i="5423"/>
  <c r="H38" i="5423"/>
  <c r="H46" i="5423"/>
  <c r="H17" i="5423"/>
  <c r="C19" i="5423"/>
  <c r="H31" i="5423"/>
  <c r="H39" i="5423"/>
  <c r="H47" i="5423"/>
  <c r="H8" i="5423"/>
  <c r="H5" i="5423"/>
  <c r="H11" i="5423"/>
  <c r="H14" i="5423"/>
  <c r="H6" i="5423"/>
  <c r="H25" i="5423"/>
  <c r="H32" i="5423"/>
  <c r="H40" i="5423"/>
  <c r="H48" i="5423"/>
  <c r="H18" i="5423"/>
  <c r="H26" i="5423"/>
  <c r="H33" i="5423"/>
  <c r="H41" i="5423"/>
  <c r="O17" i="5411" l="1"/>
  <c r="O16" i="5419"/>
  <c r="O20" i="5421" l="1"/>
  <c r="O18" i="5421"/>
  <c r="O15" i="5415"/>
  <c r="O20" i="5405"/>
  <c r="O24" i="5403" l="1"/>
  <c r="O16" i="5421"/>
  <c r="O21" i="5413"/>
  <c r="O15" i="5421"/>
  <c r="O17" i="5421" l="1"/>
  <c r="O19" i="5421"/>
  <c r="C27" i="5421"/>
  <c r="B24" i="5421"/>
  <c r="C20" i="5421"/>
  <c r="B17" i="5421"/>
  <c r="H50" i="5421" s="1"/>
  <c r="C16" i="5421"/>
  <c r="C15" i="5421"/>
  <c r="C14" i="5421"/>
  <c r="C13" i="5421"/>
  <c r="O12" i="5421"/>
  <c r="C12" i="5421"/>
  <c r="O11" i="5421"/>
  <c r="C11" i="5421"/>
  <c r="O10" i="5421"/>
  <c r="C10" i="5421"/>
  <c r="C9" i="5421"/>
  <c r="C8" i="5421"/>
  <c r="O7" i="5421"/>
  <c r="C7" i="5421"/>
  <c r="O6" i="5421"/>
  <c r="B6" i="5421"/>
  <c r="O5" i="5421"/>
  <c r="B5" i="5421"/>
  <c r="O4" i="5421"/>
  <c r="O3" i="5421"/>
  <c r="O2" i="5421"/>
  <c r="O21" i="5409"/>
  <c r="O18" i="5411"/>
  <c r="O19" i="5401"/>
  <c r="H38" i="5421" l="1"/>
  <c r="C19" i="5421"/>
  <c r="H2" i="5421"/>
  <c r="H43" i="5421"/>
  <c r="H44" i="5421"/>
  <c r="H22" i="5421"/>
  <c r="H16" i="5421"/>
  <c r="H31" i="5421"/>
  <c r="H20" i="5421"/>
  <c r="H47" i="5421"/>
  <c r="H12" i="5421"/>
  <c r="H45" i="5421"/>
  <c r="H5" i="5421"/>
  <c r="H35" i="5421"/>
  <c r="H6" i="5421"/>
  <c r="H21" i="5421"/>
  <c r="H11" i="5421"/>
  <c r="H4" i="5421"/>
  <c r="C18" i="5421"/>
  <c r="H19" i="5421"/>
  <c r="H9" i="5421"/>
  <c r="H46" i="5421"/>
  <c r="H14" i="5421"/>
  <c r="H23" i="5421"/>
  <c r="H32" i="5421"/>
  <c r="H3" i="5421"/>
  <c r="H15" i="5421"/>
  <c r="H17" i="5421"/>
  <c r="H10" i="5421"/>
  <c r="B23" i="5421"/>
  <c r="H37" i="5421"/>
  <c r="H26" i="5421"/>
  <c r="H36" i="5421"/>
  <c r="H48" i="5421"/>
  <c r="H29" i="5421"/>
  <c r="H51" i="5421"/>
  <c r="H13" i="5421"/>
  <c r="H39" i="5421"/>
  <c r="H8" i="5421"/>
  <c r="H18" i="5421"/>
  <c r="C17" i="5421"/>
  <c r="H25" i="5421"/>
  <c r="H30" i="5421"/>
  <c r="H40" i="5421"/>
  <c r="H7" i="5421"/>
  <c r="H27" i="5421"/>
  <c r="H33" i="5421"/>
  <c r="H41" i="5421"/>
  <c r="H49" i="5421"/>
  <c r="H24" i="5421"/>
  <c r="H28" i="5421"/>
  <c r="H34" i="5421"/>
  <c r="H42" i="5421"/>
  <c r="O19" i="5411" l="1"/>
  <c r="O16" i="5407"/>
  <c r="O21" i="5415"/>
  <c r="O20" i="5415"/>
  <c r="O21" i="5403" l="1"/>
  <c r="O17" i="5419"/>
  <c r="O20" i="5419" l="1"/>
  <c r="O15" i="5419"/>
  <c r="O16" i="5409"/>
  <c r="O22" i="5407"/>
  <c r="O17" i="5417" l="1"/>
  <c r="O22" i="5413"/>
  <c r="O15" i="5417"/>
  <c r="O21" i="5419"/>
  <c r="O15" i="5405"/>
  <c r="O17" i="5415"/>
  <c r="O17" i="5401"/>
  <c r="O19" i="5419"/>
  <c r="O18" i="5419"/>
  <c r="C27" i="5419"/>
  <c r="B24" i="5419"/>
  <c r="C20" i="5419"/>
  <c r="B17" i="5419"/>
  <c r="H6" i="5419" s="1"/>
  <c r="C16" i="5419"/>
  <c r="C15" i="5419"/>
  <c r="C14" i="5419"/>
  <c r="C13" i="5419"/>
  <c r="O12" i="5419"/>
  <c r="C12" i="5419"/>
  <c r="O11" i="5419"/>
  <c r="C11" i="5419"/>
  <c r="O10" i="5419"/>
  <c r="C10" i="5419"/>
  <c r="C9" i="5419"/>
  <c r="C8" i="5419"/>
  <c r="O7" i="5419"/>
  <c r="C7" i="5419"/>
  <c r="O6" i="5419"/>
  <c r="B6" i="5419"/>
  <c r="O5" i="5419"/>
  <c r="B5" i="5419"/>
  <c r="O4" i="5419"/>
  <c r="O3" i="5419"/>
  <c r="O2" i="5419"/>
  <c r="O16" i="5417"/>
  <c r="O18" i="5417"/>
  <c r="C27" i="5417"/>
  <c r="B24" i="5417"/>
  <c r="C20" i="5417"/>
  <c r="B17" i="5417"/>
  <c r="H49" i="5417" s="1"/>
  <c r="C16" i="5417"/>
  <c r="C15" i="5417"/>
  <c r="C14" i="5417"/>
  <c r="C13" i="5417"/>
  <c r="O12" i="5417"/>
  <c r="C12" i="5417"/>
  <c r="O11" i="5417"/>
  <c r="C11" i="5417"/>
  <c r="O10" i="5417"/>
  <c r="C10" i="5417"/>
  <c r="C9" i="5417"/>
  <c r="C8" i="5417"/>
  <c r="O7" i="5417"/>
  <c r="C7" i="5417"/>
  <c r="O6" i="5417"/>
  <c r="B6" i="5417"/>
  <c r="O5" i="5417"/>
  <c r="B5" i="5417"/>
  <c r="O4" i="5417"/>
  <c r="O3" i="5417"/>
  <c r="O2" i="5417"/>
  <c r="O22" i="5415"/>
  <c r="O23" i="5415"/>
  <c r="O15" i="5403"/>
  <c r="O17" i="5403"/>
  <c r="O26" i="5401"/>
  <c r="H26" i="5417" l="1"/>
  <c r="H4" i="5417"/>
  <c r="H13" i="5417"/>
  <c r="H2" i="5417"/>
  <c r="H30" i="5417"/>
  <c r="H38" i="5417"/>
  <c r="C17" i="5417"/>
  <c r="H46" i="5417"/>
  <c r="H3" i="5417"/>
  <c r="H21" i="5417"/>
  <c r="H4" i="5419"/>
  <c r="H2" i="5419"/>
  <c r="C17" i="5419"/>
  <c r="H10" i="5419"/>
  <c r="H28" i="5419"/>
  <c r="H42" i="5419"/>
  <c r="H8" i="5419"/>
  <c r="H16" i="5419"/>
  <c r="H43" i="5419"/>
  <c r="H7" i="5419"/>
  <c r="H15" i="5419"/>
  <c r="H19" i="5419"/>
  <c r="C18" i="5419"/>
  <c r="B23" i="5419"/>
  <c r="H29" i="5419"/>
  <c r="H37" i="5419"/>
  <c r="H45" i="5419"/>
  <c r="H22" i="5419"/>
  <c r="H30" i="5419"/>
  <c r="H38" i="5419"/>
  <c r="H20" i="5419"/>
  <c r="H31" i="5419"/>
  <c r="H47" i="5419"/>
  <c r="H14" i="5419"/>
  <c r="H5" i="5419"/>
  <c r="H12" i="5419"/>
  <c r="H18" i="5419"/>
  <c r="H17" i="5419"/>
  <c r="H26" i="5419"/>
  <c r="H32" i="5419"/>
  <c r="H40" i="5419"/>
  <c r="H48" i="5419"/>
  <c r="H25" i="5419"/>
  <c r="H46" i="5419"/>
  <c r="C19" i="5419"/>
  <c r="H39" i="5419"/>
  <c r="H21" i="5419"/>
  <c r="H27" i="5419"/>
  <c r="H33" i="5419"/>
  <c r="H41" i="5419"/>
  <c r="H49" i="5419"/>
  <c r="H3" i="5419"/>
  <c r="H23" i="5419"/>
  <c r="H34" i="5419"/>
  <c r="H50" i="5419"/>
  <c r="H11" i="5419"/>
  <c r="H35" i="5419"/>
  <c r="H51" i="5419"/>
  <c r="H13" i="5419"/>
  <c r="H24" i="5419"/>
  <c r="H9" i="5419"/>
  <c r="H36" i="5419"/>
  <c r="H44" i="5419"/>
  <c r="H23" i="5417"/>
  <c r="H28" i="5417"/>
  <c r="H34" i="5417"/>
  <c r="H42" i="5417"/>
  <c r="H50" i="5417"/>
  <c r="H9" i="5417"/>
  <c r="H16" i="5417"/>
  <c r="H24" i="5417"/>
  <c r="H35" i="5417"/>
  <c r="H43" i="5417"/>
  <c r="H51" i="5417"/>
  <c r="H20" i="5417"/>
  <c r="H25" i="5417"/>
  <c r="H6" i="5417"/>
  <c r="H36" i="5417"/>
  <c r="H44" i="5417"/>
  <c r="H7" i="5417"/>
  <c r="H5" i="5417"/>
  <c r="H14" i="5417"/>
  <c r="H17" i="5417"/>
  <c r="C18" i="5417"/>
  <c r="B23" i="5417"/>
  <c r="H29" i="5417"/>
  <c r="H37" i="5417"/>
  <c r="H45" i="5417"/>
  <c r="H18" i="5417"/>
  <c r="C19" i="5417"/>
  <c r="H31" i="5417"/>
  <c r="H39" i="5417"/>
  <c r="H47" i="5417"/>
  <c r="H12" i="5417"/>
  <c r="H8" i="5417"/>
  <c r="H10" i="5417"/>
  <c r="H15" i="5417"/>
  <c r="H22" i="5417"/>
  <c r="H11" i="5417"/>
  <c r="H32" i="5417"/>
  <c r="H40" i="5417"/>
  <c r="H48" i="5417"/>
  <c r="H19" i="5417"/>
  <c r="H27" i="5417"/>
  <c r="H33" i="5417"/>
  <c r="H41" i="5417"/>
  <c r="O19" i="5415" l="1"/>
  <c r="O18" i="5413"/>
  <c r="O16" i="5413"/>
  <c r="O17" i="5405"/>
  <c r="O20" i="5411" l="1"/>
  <c r="O17" i="5409"/>
  <c r="O17" i="5413"/>
  <c r="O19" i="5413"/>
  <c r="O15" i="5411" l="1"/>
  <c r="O15" i="5409"/>
  <c r="O21" i="5407"/>
  <c r="O19" i="5407"/>
  <c r="O16" i="5415"/>
  <c r="O18" i="5415"/>
  <c r="C27" i="5415"/>
  <c r="B24" i="5415"/>
  <c r="C20" i="5415"/>
  <c r="B17" i="5415"/>
  <c r="H49" i="5415" s="1"/>
  <c r="C16" i="5415"/>
  <c r="C15" i="5415"/>
  <c r="C14" i="5415"/>
  <c r="C13" i="5415"/>
  <c r="O12" i="5415"/>
  <c r="C12" i="5415"/>
  <c r="O11" i="5415"/>
  <c r="C11" i="5415"/>
  <c r="O10" i="5415"/>
  <c r="H4" i="5415"/>
  <c r="C10" i="5415"/>
  <c r="C9" i="5415"/>
  <c r="C8" i="5415"/>
  <c r="O7" i="5415"/>
  <c r="C7" i="5415"/>
  <c r="O6" i="5415"/>
  <c r="B6" i="5415"/>
  <c r="O5" i="5415"/>
  <c r="B5" i="5415"/>
  <c r="O4" i="5415"/>
  <c r="O3" i="5415"/>
  <c r="O2" i="5415"/>
  <c r="O22" i="5409"/>
  <c r="O21" i="5405"/>
  <c r="O23" i="5401"/>
  <c r="H2" i="5415" l="1"/>
  <c r="C17" i="5415"/>
  <c r="H3" i="5415"/>
  <c r="H29" i="5415"/>
  <c r="H32" i="5415"/>
  <c r="H35" i="5415"/>
  <c r="H42" i="5415"/>
  <c r="H50" i="5415"/>
  <c r="H8" i="5415"/>
  <c r="H21" i="5415"/>
  <c r="H14" i="5415"/>
  <c r="H36" i="5415"/>
  <c r="H43" i="5415"/>
  <c r="H51" i="5415"/>
  <c r="H17" i="5415"/>
  <c r="H30" i="5415"/>
  <c r="H10" i="5415"/>
  <c r="H37" i="5415"/>
  <c r="H44" i="5415"/>
  <c r="H5" i="5415"/>
  <c r="H6" i="5415"/>
  <c r="H25" i="5415"/>
  <c r="H26" i="5415"/>
  <c r="C18" i="5415"/>
  <c r="B23" i="5415"/>
  <c r="H22" i="5415"/>
  <c r="H38" i="5415"/>
  <c r="H45" i="5415"/>
  <c r="H11" i="5415"/>
  <c r="H28" i="5415"/>
  <c r="H18" i="5415"/>
  <c r="H15" i="5415"/>
  <c r="H39" i="5415"/>
  <c r="H46" i="5415"/>
  <c r="H27" i="5415"/>
  <c r="C19" i="5415"/>
  <c r="H23" i="5415"/>
  <c r="H40" i="5415"/>
  <c r="H47" i="5415"/>
  <c r="H9" i="5415"/>
  <c r="H7" i="5415"/>
  <c r="H12" i="5415"/>
  <c r="H20" i="5415"/>
  <c r="H16" i="5415"/>
  <c r="H19" i="5415"/>
  <c r="H33" i="5415"/>
  <c r="H24" i="5415"/>
  <c r="H48" i="5415"/>
  <c r="H13" i="5415"/>
  <c r="H31" i="5415"/>
  <c r="H34" i="5415"/>
  <c r="H41" i="5415"/>
  <c r="O18" i="5407" l="1"/>
  <c r="O20" i="5413"/>
  <c r="O15" i="5413"/>
  <c r="C27" i="5413"/>
  <c r="B24" i="5413"/>
  <c r="C20" i="5413"/>
  <c r="B17" i="5413"/>
  <c r="H19" i="5413" s="1"/>
  <c r="C16" i="5413"/>
  <c r="C15" i="5413"/>
  <c r="C14" i="5413"/>
  <c r="C13" i="5413"/>
  <c r="O12" i="5413"/>
  <c r="C12" i="5413"/>
  <c r="O11" i="5413"/>
  <c r="C11" i="5413"/>
  <c r="O10" i="5413"/>
  <c r="C10" i="5413"/>
  <c r="C9" i="5413"/>
  <c r="C8" i="5413"/>
  <c r="O7" i="5413"/>
  <c r="C7" i="5413"/>
  <c r="O6" i="5413"/>
  <c r="B6" i="5413"/>
  <c r="O5" i="5413"/>
  <c r="B5" i="5413"/>
  <c r="O4" i="5413"/>
  <c r="O3" i="5413"/>
  <c r="O2" i="5413"/>
  <c r="O20" i="5403"/>
  <c r="O18" i="5401"/>
  <c r="O21" i="5411"/>
  <c r="O19" i="5405"/>
  <c r="O18" i="5405"/>
  <c r="O18" i="5409"/>
  <c r="O22" i="5411"/>
  <c r="O23" i="5411"/>
  <c r="C27" i="5411"/>
  <c r="B24" i="5411"/>
  <c r="C20" i="5411"/>
  <c r="B17" i="5411"/>
  <c r="H4" i="5411" s="1"/>
  <c r="C16" i="5411"/>
  <c r="C15" i="5411"/>
  <c r="C14" i="5411"/>
  <c r="C13" i="5411"/>
  <c r="O12" i="5411"/>
  <c r="C12" i="5411"/>
  <c r="O11" i="5411"/>
  <c r="C11" i="5411"/>
  <c r="O10" i="5411"/>
  <c r="C10" i="5411"/>
  <c r="C9" i="5411"/>
  <c r="C8" i="5411"/>
  <c r="O7" i="5411"/>
  <c r="C7" i="5411"/>
  <c r="O6" i="5411"/>
  <c r="B6" i="5411"/>
  <c r="O5" i="5411"/>
  <c r="B5" i="5411"/>
  <c r="O4" i="5411"/>
  <c r="O3" i="5411"/>
  <c r="O2" i="5411"/>
  <c r="O20" i="5409"/>
  <c r="O19" i="5409"/>
  <c r="C27" i="5409"/>
  <c r="B24" i="5409"/>
  <c r="C20" i="5409"/>
  <c r="B17" i="5409"/>
  <c r="H5" i="5409" s="1"/>
  <c r="C16" i="5409"/>
  <c r="C15" i="5409"/>
  <c r="C14" i="5409"/>
  <c r="C13" i="5409"/>
  <c r="O12" i="5409"/>
  <c r="C12" i="5409"/>
  <c r="O11" i="5409"/>
  <c r="C11" i="5409"/>
  <c r="O10" i="5409"/>
  <c r="C10" i="5409"/>
  <c r="C9" i="5409"/>
  <c r="C8" i="5409"/>
  <c r="O7" i="5409"/>
  <c r="C7" i="5409"/>
  <c r="O6" i="5409"/>
  <c r="B6" i="5409"/>
  <c r="O5" i="5409"/>
  <c r="B5" i="5409"/>
  <c r="O4" i="5409"/>
  <c r="O3" i="5409"/>
  <c r="O2" i="5409"/>
  <c r="O19" i="5403"/>
  <c r="O23" i="5403"/>
  <c r="O21" i="5401"/>
  <c r="O22" i="5401"/>
  <c r="H3" i="5413" l="1"/>
  <c r="H13" i="5409"/>
  <c r="H7" i="5409"/>
  <c r="H38" i="5409"/>
  <c r="H26" i="5409"/>
  <c r="B23" i="5409"/>
  <c r="H4" i="5409"/>
  <c r="H22" i="5409"/>
  <c r="H10" i="5409"/>
  <c r="H14" i="5409"/>
  <c r="H40" i="5409"/>
  <c r="H19" i="5409"/>
  <c r="H2" i="5409"/>
  <c r="H8" i="5409"/>
  <c r="H42" i="5409"/>
  <c r="H24" i="5409"/>
  <c r="H23" i="5409"/>
  <c r="H47" i="5409"/>
  <c r="C17" i="5409"/>
  <c r="C18" i="5409"/>
  <c r="H6" i="5409"/>
  <c r="H27" i="5409"/>
  <c r="H48" i="5409"/>
  <c r="H12" i="5409"/>
  <c r="H46" i="5409"/>
  <c r="H29" i="5409"/>
  <c r="H3" i="5409"/>
  <c r="H11" i="5409"/>
  <c r="C19" i="5409"/>
  <c r="H33" i="5409"/>
  <c r="H28" i="5409"/>
  <c r="H16" i="5409"/>
  <c r="H17" i="5409"/>
  <c r="C17" i="5413"/>
  <c r="H2" i="5413"/>
  <c r="H16" i="5413"/>
  <c r="H28" i="5413"/>
  <c r="H9" i="5413"/>
  <c r="H37" i="5413"/>
  <c r="H45" i="5413"/>
  <c r="H5" i="5413"/>
  <c r="H7" i="5413"/>
  <c r="H14" i="5413"/>
  <c r="H23" i="5413"/>
  <c r="C18" i="5413"/>
  <c r="B23" i="5413"/>
  <c r="H31" i="5413"/>
  <c r="H38" i="5413"/>
  <c r="H46" i="5413"/>
  <c r="H4" i="5413"/>
  <c r="H8" i="5413"/>
  <c r="H25" i="5413"/>
  <c r="H29" i="5413"/>
  <c r="H18" i="5413"/>
  <c r="H39" i="5413"/>
  <c r="H47" i="5413"/>
  <c r="H32" i="5413"/>
  <c r="H40" i="5413"/>
  <c r="H48" i="5413"/>
  <c r="C19" i="5413"/>
  <c r="H11" i="5413"/>
  <c r="H6" i="5413"/>
  <c r="H12" i="5413"/>
  <c r="H21" i="5413"/>
  <c r="H26" i="5413"/>
  <c r="H13" i="5413"/>
  <c r="H33" i="5413"/>
  <c r="H41" i="5413"/>
  <c r="H49" i="5413"/>
  <c r="H24" i="5413"/>
  <c r="H15" i="5413"/>
  <c r="H20" i="5413"/>
  <c r="H34" i="5413"/>
  <c r="H42" i="5413"/>
  <c r="H50" i="5413"/>
  <c r="H27" i="5413"/>
  <c r="H30" i="5413"/>
  <c r="H35" i="5413"/>
  <c r="H43" i="5413"/>
  <c r="H51" i="5413"/>
  <c r="H10" i="5413"/>
  <c r="H22" i="5413"/>
  <c r="H17" i="5413"/>
  <c r="H36" i="5413"/>
  <c r="H44" i="5413"/>
  <c r="H39" i="5411"/>
  <c r="H13" i="5411"/>
  <c r="H7" i="5411"/>
  <c r="H23" i="5411"/>
  <c r="H40" i="5411"/>
  <c r="H15" i="5411"/>
  <c r="H30" i="5411"/>
  <c r="C19" i="5411"/>
  <c r="H43" i="5411"/>
  <c r="H5" i="5411"/>
  <c r="H9" i="5411"/>
  <c r="H19" i="5411"/>
  <c r="H24" i="5411"/>
  <c r="H18" i="5411"/>
  <c r="H39" i="5409"/>
  <c r="H45" i="5411"/>
  <c r="H10" i="5411"/>
  <c r="B23" i="5411"/>
  <c r="C17" i="5411"/>
  <c r="H35" i="5411"/>
  <c r="H47" i="5411"/>
  <c r="H6" i="5411"/>
  <c r="H31" i="5411"/>
  <c r="H32" i="5411"/>
  <c r="H2" i="5411"/>
  <c r="H8" i="5411"/>
  <c r="H21" i="5411"/>
  <c r="C18" i="5411"/>
  <c r="H48" i="5411"/>
  <c r="H20" i="5411"/>
  <c r="H12" i="5411"/>
  <c r="H46" i="5411"/>
  <c r="H3" i="5411"/>
  <c r="H28" i="5411"/>
  <c r="H37" i="5411"/>
  <c r="H25" i="5411"/>
  <c r="H14" i="5411"/>
  <c r="H38" i="5411"/>
  <c r="H51" i="5411"/>
  <c r="H17" i="5411"/>
  <c r="H22" i="5411"/>
  <c r="H33" i="5411"/>
  <c r="H41" i="5411"/>
  <c r="H49" i="5411"/>
  <c r="H26" i="5411"/>
  <c r="H29" i="5411"/>
  <c r="H34" i="5411"/>
  <c r="H42" i="5411"/>
  <c r="H50" i="5411"/>
  <c r="H16" i="5411"/>
  <c r="H27" i="5411"/>
  <c r="H11" i="5411"/>
  <c r="H36" i="5411"/>
  <c r="H44" i="5411"/>
  <c r="H31" i="5409"/>
  <c r="H34" i="5409"/>
  <c r="H50" i="5409"/>
  <c r="H25" i="5409"/>
  <c r="H41" i="5409"/>
  <c r="H49" i="5409"/>
  <c r="H30" i="5409"/>
  <c r="H32" i="5409"/>
  <c r="H35" i="5409"/>
  <c r="H43" i="5409"/>
  <c r="H51" i="5409"/>
  <c r="H15" i="5409"/>
  <c r="H36" i="5409"/>
  <c r="H44" i="5409"/>
  <c r="H18" i="5409"/>
  <c r="H20" i="5409"/>
  <c r="H21" i="5409"/>
  <c r="H9" i="5409"/>
  <c r="H37" i="5409"/>
  <c r="H45" i="5409"/>
  <c r="O17" i="5407" l="1"/>
  <c r="O20" i="5407"/>
  <c r="C27" i="5407"/>
  <c r="B24" i="5407"/>
  <c r="C20" i="5407"/>
  <c r="B17" i="5407"/>
  <c r="H51" i="5407" s="1"/>
  <c r="C16" i="5407"/>
  <c r="C15" i="5407"/>
  <c r="C14" i="5407"/>
  <c r="C13" i="5407"/>
  <c r="O12" i="5407"/>
  <c r="C12" i="5407"/>
  <c r="O11" i="5407"/>
  <c r="C11" i="5407"/>
  <c r="O10" i="5407"/>
  <c r="C10" i="5407"/>
  <c r="C9" i="5407"/>
  <c r="C8" i="5407"/>
  <c r="O7" i="5407"/>
  <c r="C7" i="5407"/>
  <c r="O6" i="5407"/>
  <c r="B6" i="5407"/>
  <c r="O5" i="5407"/>
  <c r="B5" i="5407"/>
  <c r="O4" i="5407"/>
  <c r="O3" i="5407"/>
  <c r="O2" i="5407"/>
  <c r="O22" i="5405"/>
  <c r="O16" i="5405"/>
  <c r="C27" i="5405"/>
  <c r="B24" i="5405"/>
  <c r="C20" i="5405"/>
  <c r="B17" i="5405"/>
  <c r="H51" i="5405" s="1"/>
  <c r="C16" i="5405"/>
  <c r="C15" i="5405"/>
  <c r="C14" i="5405"/>
  <c r="C13" i="5405"/>
  <c r="O12" i="5405"/>
  <c r="C12" i="5405"/>
  <c r="O11" i="5405"/>
  <c r="C11" i="5405"/>
  <c r="O10" i="5405"/>
  <c r="C10" i="5405"/>
  <c r="C9" i="5405"/>
  <c r="C8" i="5405"/>
  <c r="O7" i="5405"/>
  <c r="C7" i="5405"/>
  <c r="O6" i="5405"/>
  <c r="B6" i="5405"/>
  <c r="O5" i="5405"/>
  <c r="B5" i="5405"/>
  <c r="O4" i="5405"/>
  <c r="O3" i="5405"/>
  <c r="O2" i="5405"/>
  <c r="O24" i="5401"/>
  <c r="O16" i="5403"/>
  <c r="O22" i="5403"/>
  <c r="C27" i="5403"/>
  <c r="B24" i="5403"/>
  <c r="C20" i="5403"/>
  <c r="B17" i="5403"/>
  <c r="H51" i="5403" s="1"/>
  <c r="C16" i="5403"/>
  <c r="C15" i="5403"/>
  <c r="C14" i="5403"/>
  <c r="C13" i="5403"/>
  <c r="O12" i="5403"/>
  <c r="C12" i="5403"/>
  <c r="O11" i="5403"/>
  <c r="C11" i="5403"/>
  <c r="O10" i="5403"/>
  <c r="C10" i="5403"/>
  <c r="C9" i="5403"/>
  <c r="C8" i="5403"/>
  <c r="O7" i="5403"/>
  <c r="C7" i="5403"/>
  <c r="O6" i="5403"/>
  <c r="B6" i="5403"/>
  <c r="O5" i="5403"/>
  <c r="B5" i="5403"/>
  <c r="O4" i="5403"/>
  <c r="O3" i="5403"/>
  <c r="O2" i="5403"/>
  <c r="O16" i="5401"/>
  <c r="O20" i="5401"/>
  <c r="C27" i="5401"/>
  <c r="B24" i="5401"/>
  <c r="C20" i="5401"/>
  <c r="B17" i="5401"/>
  <c r="H51" i="5401" s="1"/>
  <c r="C16" i="5401"/>
  <c r="C15" i="5401"/>
  <c r="C14" i="5401"/>
  <c r="C13" i="5401"/>
  <c r="O12" i="5401"/>
  <c r="C12" i="5401"/>
  <c r="O11" i="5401"/>
  <c r="C11" i="5401"/>
  <c r="O10" i="5401"/>
  <c r="C10" i="5401"/>
  <c r="C9" i="5401"/>
  <c r="C8" i="5401"/>
  <c r="O7" i="5401"/>
  <c r="C7" i="5401"/>
  <c r="O6" i="5401"/>
  <c r="B6" i="5401"/>
  <c r="O5" i="5401"/>
  <c r="B5" i="5401"/>
  <c r="O4" i="5401"/>
  <c r="O3" i="5401"/>
  <c r="O2" i="5401"/>
  <c r="H15" i="5407" l="1"/>
  <c r="H36" i="5403"/>
  <c r="H26" i="5403"/>
  <c r="H12" i="5403"/>
  <c r="H7" i="5403"/>
  <c r="H7" i="5407"/>
  <c r="H16" i="5407"/>
  <c r="H18" i="5407"/>
  <c r="H9" i="5407"/>
  <c r="H10" i="5407"/>
  <c r="H3" i="5407"/>
  <c r="H4" i="5407"/>
  <c r="H37" i="5407"/>
  <c r="H33" i="5407"/>
  <c r="H41" i="5407"/>
  <c r="H26" i="5407"/>
  <c r="H24" i="5407"/>
  <c r="H30" i="5407"/>
  <c r="H27" i="5407"/>
  <c r="H12" i="5407"/>
  <c r="C19" i="5407"/>
  <c r="H44" i="5407"/>
  <c r="H19" i="5407"/>
  <c r="H8" i="5407"/>
  <c r="C17" i="5407"/>
  <c r="H2" i="5407"/>
  <c r="H6" i="5407"/>
  <c r="H13" i="5407"/>
  <c r="H45" i="5407"/>
  <c r="H25" i="5407"/>
  <c r="C18" i="5407"/>
  <c r="H32" i="5407"/>
  <c r="H10" i="5403"/>
  <c r="H17" i="5403"/>
  <c r="H2" i="5403"/>
  <c r="H14" i="5403"/>
  <c r="H6" i="5401"/>
  <c r="H17" i="5407"/>
  <c r="H21" i="5407"/>
  <c r="H36" i="5407"/>
  <c r="H46" i="5407"/>
  <c r="H47" i="5407"/>
  <c r="H14" i="5407"/>
  <c r="H11" i="5407"/>
  <c r="H38" i="5407"/>
  <c r="H48" i="5407"/>
  <c r="H29" i="5407"/>
  <c r="H31" i="5407"/>
  <c r="H39" i="5407"/>
  <c r="H49" i="5407"/>
  <c r="H20" i="5407"/>
  <c r="B23" i="5407"/>
  <c r="H23" i="5407"/>
  <c r="H40" i="5407"/>
  <c r="H5" i="5407"/>
  <c r="H28" i="5407"/>
  <c r="H22" i="5407"/>
  <c r="H34" i="5407"/>
  <c r="H42" i="5407"/>
  <c r="H50" i="5407"/>
  <c r="H35" i="5407"/>
  <c r="H43" i="5407"/>
  <c r="H12" i="5401"/>
  <c r="H37" i="5401"/>
  <c r="H38" i="5401"/>
  <c r="H37" i="5405"/>
  <c r="C18" i="5405"/>
  <c r="H38" i="5405"/>
  <c r="H9" i="5405"/>
  <c r="H17" i="5405"/>
  <c r="H2" i="5405"/>
  <c r="H30" i="5405"/>
  <c r="C19" i="5405"/>
  <c r="H10" i="5405"/>
  <c r="H23" i="5405"/>
  <c r="H26" i="5405"/>
  <c r="H46" i="5405"/>
  <c r="H32" i="5405"/>
  <c r="H4" i="5405"/>
  <c r="H39" i="5405"/>
  <c r="H29" i="5405"/>
  <c r="H45" i="5405"/>
  <c r="H3" i="5405"/>
  <c r="H47" i="5405"/>
  <c r="H7" i="5405"/>
  <c r="H13" i="5405"/>
  <c r="H44" i="5405"/>
  <c r="H20" i="5405"/>
  <c r="H11" i="5405"/>
  <c r="H6" i="5405"/>
  <c r="H15" i="5405"/>
  <c r="H27" i="5405"/>
  <c r="H12" i="5405"/>
  <c r="H21" i="5405"/>
  <c r="H19" i="5405"/>
  <c r="B23" i="5405"/>
  <c r="H36" i="5405"/>
  <c r="H48" i="5405"/>
  <c r="H49" i="5405"/>
  <c r="H14" i="5405"/>
  <c r="H34" i="5405"/>
  <c r="H40" i="5405"/>
  <c r="H18" i="5405"/>
  <c r="H8" i="5405"/>
  <c r="H22" i="5405"/>
  <c r="C17" i="5405"/>
  <c r="H24" i="5405"/>
  <c r="H16" i="5405"/>
  <c r="H41" i="5405"/>
  <c r="H5" i="5405"/>
  <c r="H33" i="5405"/>
  <c r="H35" i="5405"/>
  <c r="H42" i="5405"/>
  <c r="H50" i="5405"/>
  <c r="H31" i="5405"/>
  <c r="H25" i="5405"/>
  <c r="H28" i="5405"/>
  <c r="H43" i="5405"/>
  <c r="H10" i="5401"/>
  <c r="H16" i="5401"/>
  <c r="H2" i="5401"/>
  <c r="H24" i="5401"/>
  <c r="H45" i="5403"/>
  <c r="H37" i="5403"/>
  <c r="H30" i="5403"/>
  <c r="H16" i="5403"/>
  <c r="H46" i="5403"/>
  <c r="H3" i="5403"/>
  <c r="H47" i="5403"/>
  <c r="H8" i="5403"/>
  <c r="H24" i="5403"/>
  <c r="H27" i="5403"/>
  <c r="H39" i="5403"/>
  <c r="H48" i="5403"/>
  <c r="H38" i="5403"/>
  <c r="H41" i="5403"/>
  <c r="H9" i="5403"/>
  <c r="H22" i="5403"/>
  <c r="H19" i="5403"/>
  <c r="H18" i="5403"/>
  <c r="H40" i="5403"/>
  <c r="H31" i="5403"/>
  <c r="H25" i="5403"/>
  <c r="H50" i="5403"/>
  <c r="H4" i="5403"/>
  <c r="H11" i="5403"/>
  <c r="H32" i="5403"/>
  <c r="H28" i="5403"/>
  <c r="H42" i="5403"/>
  <c r="H15" i="5403"/>
  <c r="C17" i="5403"/>
  <c r="B23" i="5403"/>
  <c r="H49" i="5403"/>
  <c r="H6" i="5403"/>
  <c r="H20" i="5403"/>
  <c r="C18" i="5403"/>
  <c r="H21" i="5403"/>
  <c r="H23" i="5403"/>
  <c r="C19" i="5403"/>
  <c r="H13" i="5403"/>
  <c r="H35" i="5403"/>
  <c r="H44" i="5403"/>
  <c r="H5" i="5403"/>
  <c r="H33" i="5403"/>
  <c r="H34" i="5403"/>
  <c r="H29" i="5403"/>
  <c r="H43" i="5403"/>
  <c r="H45" i="5401"/>
  <c r="H22" i="5401"/>
  <c r="H15" i="5401"/>
  <c r="H46" i="5401"/>
  <c r="H39" i="5401"/>
  <c r="C17" i="5401"/>
  <c r="H48" i="5401"/>
  <c r="H4" i="5401"/>
  <c r="H41" i="5401"/>
  <c r="H9" i="5401"/>
  <c r="H21" i="5401"/>
  <c r="H40" i="5401"/>
  <c r="H18" i="5401"/>
  <c r="H17" i="5401"/>
  <c r="H7" i="5401"/>
  <c r="H20" i="5401"/>
  <c r="C18" i="5401"/>
  <c r="H28" i="5401"/>
  <c r="H32" i="5401"/>
  <c r="H25" i="5401"/>
  <c r="H42" i="5401"/>
  <c r="H19" i="5401"/>
  <c r="H14" i="5401"/>
  <c r="H47" i="5401"/>
  <c r="H8" i="5401"/>
  <c r="H26" i="5401"/>
  <c r="H30" i="5401"/>
  <c r="B23" i="5401"/>
  <c r="H49" i="5401"/>
  <c r="H33" i="5401"/>
  <c r="H23" i="5401"/>
  <c r="H50" i="5401"/>
  <c r="H3" i="5401"/>
  <c r="H11" i="5401"/>
  <c r="H34" i="5401"/>
  <c r="H27" i="5401"/>
  <c r="C19" i="5401"/>
  <c r="H13" i="5401"/>
  <c r="H36" i="5401"/>
  <c r="H44" i="5401"/>
  <c r="H5" i="5401"/>
  <c r="H35" i="5401"/>
  <c r="H29" i="5401"/>
  <c r="H31" i="5401"/>
  <c r="H43" i="540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<sst xmlns="http://schemas.openxmlformats.org/spreadsheetml/2006/main" count="3228" uniqueCount="241">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</sst>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全体!$K$2:$K$569</c:f>
              <c:numCache>
                <c:formatCode>General</c:formatCode>
                <c:ptCount val="5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</c:numCache>
            </c:numRef>
          </c:xVal>
          <c:yVal>
            <c:numRef>
              <c:f>全体!$L$2:$L$569</c:f>
              <c:numCache>
                <c:formatCode>\+0.0;\-0.0;\±0</c:formatCode>
                <c:ptCount val="56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B-4FE4-9336-E859B79F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-14.109347442680775</c:v>
                </c:pt>
                <c:pt idx="1">
                  <c:v>-7.2072072072072073</c:v>
                </c:pt>
                <c:pt idx="2">
                  <c:v>5.7471264367816088</c:v>
                </c:pt>
                <c:pt idx="3">
                  <c:v>12.658227848101266</c:v>
                </c:pt>
                <c:pt idx="4">
                  <c:v>-14.184397163120567</c:v>
                </c:pt>
                <c:pt idx="5">
                  <c:v>23.4375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C6-4E1F-9B27-78ACA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だいち!$L$2:$L$129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0-409D-9ACF-ADC5EE9DA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1382.6771653543308</c:v>
                </c:pt>
                <c:pt idx="1">
                  <c:v>1054.8387096774193</c:v>
                </c:pt>
                <c:pt idx="2">
                  <c:v>1500.8547008547009</c:v>
                </c:pt>
                <c:pt idx="3">
                  <c:v>3048.5981308411215</c:v>
                </c:pt>
                <c:pt idx="4">
                  <c:v>847.31182795698919</c:v>
                </c:pt>
                <c:pt idx="5">
                  <c:v>867.07317073170736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6-4DBC-B978-7F9F67A2E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45CA-8D70-BC0ECF22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4-4AB5-B8E1-2C6D0E5F1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1-4C7D-B954-48E7F941E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-1743.2835820895523</c:v>
                </c:pt>
                <c:pt idx="1">
                  <c:v>-1200</c:v>
                </c:pt>
                <c:pt idx="2">
                  <c:v>-1018.0327868852459</c:v>
                </c:pt>
                <c:pt idx="3">
                  <c:v>-5413.2075471698117</c:v>
                </c:pt>
                <c:pt idx="4">
                  <c:v>-2142.5531914893618</c:v>
                </c:pt>
                <c:pt idx="5">
                  <c:v>-2100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1-4AF5-8174-EA7E819D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れんたろう!$L$2:$L$81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A-4610-BE3C-BB15F39C7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-1070.8860759493671</c:v>
                </c:pt>
                <c:pt idx="1">
                  <c:v>1011.5384615384615</c:v>
                </c:pt>
                <c:pt idx="2">
                  <c:v>1584.7222222222222</c:v>
                </c:pt>
                <c:pt idx="3">
                  <c:v>1145.1612903225807</c:v>
                </c:pt>
                <c:pt idx="4">
                  <c:v>-677.77777777777783</c:v>
                </c:pt>
                <c:pt idx="5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8-4A73-A997-CDB312F6A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7-4856-96F5-722DB8331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766.12903225806451</c:v>
                </c:pt>
                <c:pt idx="1">
                  <c:v>-403.22580645161293</c:v>
                </c:pt>
                <c:pt idx="2">
                  <c:v>-1281.8181818181818</c:v>
                </c:pt>
                <c:pt idx="3">
                  <c:v>319.23076923076923</c:v>
                </c:pt>
                <c:pt idx="4">
                  <c:v>808</c:v>
                </c:pt>
                <c:pt idx="5">
                  <c:v>-343.18181818181819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D-42CB-9D1C-5E4CA1739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0-4A09-BE8A-4CD7671A8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F-4BC0-90B2-66579030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7-43F1-A748-A8533D45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1202.127659574468</c:v>
                </c:pt>
                <c:pt idx="1">
                  <c:v>537.77777777777783</c:v>
                </c:pt>
                <c:pt idx="2">
                  <c:v>-1153.6585365853659</c:v>
                </c:pt>
                <c:pt idx="3">
                  <c:v>1572.5</c:v>
                </c:pt>
                <c:pt idx="4">
                  <c:v>-1572.2222222222222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8-49CB-88FC-37E86AF4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C-45F4-8E88-BD4B5116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7-413C-A675-0ACD9EC6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F-43C5-A50A-728F714D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A-4DED-8F45-D897D926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6-4F0C-9EF9-2590D2964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F-45AE-A418-B021AE083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7-4327-8A7F-FDBB2E65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4-4954-89E2-F76FCB5D6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E-4A33-AC71-AE2281A24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2-42AC-A888-9D2572325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2658089573201071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809038828771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33651601952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75.08846426043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97.7243994943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6384479717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6384479717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864205389348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754720984510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9984836997725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783567134268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536447275300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FD4F60-BDF4-4606-B2FD-EA4708EF8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1C4C15-235A-4A14-B5CC-6CFCEADD0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F9A256-1A9C-4B37-97C5-3484B64EF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27E747-FE35-48EF-B74C-273A0877B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4C96DD-7C6B-4596-9051-60CBD6DB7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114FB6-00AC-4DB6-B0E0-14DEC5DB2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B24C37-BA55-4887-AF86-367A1896C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F376F6-F3E9-4AA6-A90C-582A58100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2EB69E-6B3F-48B8-A9BE-5C0DB7C8B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43F8DE-8AA8-4192-B9B6-85CB0E1EC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51FCE6-B9A2-4167-9503-BD26760FD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C4AFFE-7A52-454A-989B-1C37382D2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EF2238-A338-408A-A4B6-74A72801C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06B24E-B9A9-4F55-BF36-F6194451D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555756-1CA8-4624-A7BE-B44B1432D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E47418-E7A8-4EDD-97B7-18929B176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196236-7415-460B-AE66-FA4E5CC06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C31312-1F43-4E0E-9376-B45453A8B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E85A13-951E-4FCF-8D96-5B27D7137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07DA00-3CBF-4C05-876B-147F6F84B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D39997-42A3-48F3-B655-690CAB227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09E1F8-450F-43AC-9E0C-8A36A8A02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08F0D5-A055-4626-83E6-8F938F4C24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66878B-30BE-4405-957B-FD88C9552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60AF5B-E2C7-41DB-8A0F-6A7151223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79BF0C-2AC3-4869-9599-BCCEF2DBD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2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43607.939467592594</v>
      </c>
      <c r="C44" s="30" t="s">
        <v>130</v>
      </c>
    </row>
    <row r="45" spans="1:11" x14ac:dyDescent="0.4">
      <c r="A45" s="30" t="s">
        <v>232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43608.535393518519</v>
      </c>
      <c r="C47" s="30" t="s">
        <v>130</v>
      </c>
    </row>
    <row r="48" spans="1:11" x14ac:dyDescent="0.4">
      <c r="A48" s="30" t="s">
        <v>237</v>
      </c>
      <c r="B48" s="31">
        <v>43609.017604166664</v>
      </c>
      <c r="C48" s="30" t="s">
        <v>130</v>
      </c>
    </row>
    <row r="49" spans="1:7" x14ac:dyDescent="0.4">
      <c r="A49" s="30" t="s">
        <v>236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43612.976331018515</v>
      </c>
      <c r="C52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567</v>
      </c>
    </row>
    <row r="2" spans="1:2" x14ac:dyDescent="0.4">
      <c r="A2" t="s">
        <v>127</v>
      </c>
      <c r="B2">
        <v>127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67</v>
      </c>
    </row>
    <row r="5" spans="1:2" x14ac:dyDescent="0.4">
      <c r="A5" t="s">
        <v>171</v>
      </c>
      <c r="B5">
        <v>79</v>
      </c>
    </row>
    <row r="6" spans="1:2" x14ac:dyDescent="0.4">
      <c r="A6" t="s">
        <v>172</v>
      </c>
      <c r="B6">
        <v>62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47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0.45428737964345983</v>
      </c>
      <c r="G2" s="155"/>
      <c r="H2" s="154">
        <v>0.24099176539075673</v>
      </c>
      <c r="I2" s="155"/>
      <c r="J2" s="154">
        <v>0.54402399593905182</v>
      </c>
      <c r="K2" s="155"/>
      <c r="L2" s="154">
        <v>0.16439999181946099</v>
      </c>
      <c r="M2" s="155"/>
      <c r="N2" s="154">
        <v>0.36858699387044663</v>
      </c>
      <c r="O2" s="155"/>
      <c r="P2" s="154">
        <v>0.49167989926504913</v>
      </c>
      <c r="Q2" s="155"/>
      <c r="R2" s="154">
        <v>0.10788931140754399</v>
      </c>
      <c r="S2" s="155"/>
      <c r="T2" s="154">
        <v>0.13285117161814808</v>
      </c>
      <c r="U2" s="155"/>
      <c r="V2" s="154">
        <v>0.6503608604116583</v>
      </c>
      <c r="W2" s="155"/>
      <c r="X2" s="154">
        <v>0.79701702624932136</v>
      </c>
      <c r="Y2" s="155"/>
      <c r="Z2" s="154">
        <v>-0.17389684692729096</v>
      </c>
      <c r="AA2" s="155"/>
      <c r="AB2" s="154">
        <v>-0.43819111298912888</v>
      </c>
      <c r="AC2" s="155"/>
      <c r="AD2" s="154">
        <v>6.4757459929508904E-2</v>
      </c>
      <c r="AE2" s="155"/>
      <c r="AF2" s="154">
        <v>-0.58284881343628314</v>
      </c>
      <c r="AG2" s="155"/>
      <c r="AH2" s="154">
        <v>0.66900527802084564</v>
      </c>
      <c r="AI2" s="155"/>
    </row>
    <row r="3" spans="1:35" x14ac:dyDescent="0.4">
      <c r="A3" s="74">
        <v>1</v>
      </c>
      <c r="B3" s="75" t="s">
        <v>127</v>
      </c>
      <c r="C3" s="76">
        <v>1643.100000000001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0.17322834645669291</v>
      </c>
      <c r="X3" s="77" t="s">
        <v>225</v>
      </c>
      <c r="Y3" s="80">
        <v>0.375</v>
      </c>
      <c r="Z3" s="77" t="s">
        <v>172</v>
      </c>
      <c r="AA3" s="80">
        <v>0.29532710280373831</v>
      </c>
      <c r="AB3" s="77" t="s">
        <v>225</v>
      </c>
      <c r="AC3" s="80">
        <v>1</v>
      </c>
      <c r="AD3" s="77" t="s">
        <v>127</v>
      </c>
      <c r="AE3" s="80">
        <v>0.51315789473684215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118.49999999999999</v>
      </c>
      <c r="D4" s="85" t="s">
        <v>224</v>
      </c>
      <c r="E4" s="97">
        <v>13.3</v>
      </c>
      <c r="F4" s="85" t="s">
        <v>127</v>
      </c>
      <c r="G4" s="86">
        <v>1.7322834645669292</v>
      </c>
      <c r="H4" s="85" t="s">
        <v>127</v>
      </c>
      <c r="I4" s="87">
        <v>0.49606299212598426</v>
      </c>
      <c r="J4" s="85" t="s">
        <v>224</v>
      </c>
      <c r="K4" s="87">
        <v>0</v>
      </c>
      <c r="L4" s="85" t="s">
        <v>172</v>
      </c>
      <c r="M4" s="88">
        <v>0.35887850467289717</v>
      </c>
      <c r="N4" s="85" t="s">
        <v>185</v>
      </c>
      <c r="O4" s="88">
        <v>0.10526315789473684</v>
      </c>
      <c r="P4" s="85" t="s">
        <v>171</v>
      </c>
      <c r="Q4" s="89">
        <v>9977.5401069518721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0.12658227848101267</v>
      </c>
      <c r="X4" s="85" t="s">
        <v>127</v>
      </c>
      <c r="Y4" s="88">
        <v>0.32847424684159376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71.099999999999994</v>
      </c>
      <c r="D5" s="85" t="s">
        <v>127</v>
      </c>
      <c r="E5" s="97">
        <v>12.93779527559056</v>
      </c>
      <c r="F5" s="85" t="s">
        <v>177</v>
      </c>
      <c r="G5" s="86">
        <v>1.9361702127659575</v>
      </c>
      <c r="H5" s="85" t="s">
        <v>177</v>
      </c>
      <c r="I5" s="87">
        <v>0.38297872340425532</v>
      </c>
      <c r="J5" s="85" t="s">
        <v>202</v>
      </c>
      <c r="K5" s="87">
        <v>0.14285714285714285</v>
      </c>
      <c r="L5" s="85" t="s">
        <v>127</v>
      </c>
      <c r="M5" s="88">
        <v>0.3498542274052478</v>
      </c>
      <c r="N5" s="85" t="s">
        <v>172</v>
      </c>
      <c r="O5" s="88">
        <v>0.12897196261682242</v>
      </c>
      <c r="P5" s="85" t="s">
        <v>128</v>
      </c>
      <c r="Q5" s="89">
        <v>9304.2635658914733</v>
      </c>
      <c r="R5" s="85" t="s">
        <v>177</v>
      </c>
      <c r="S5" s="89">
        <v>-7621.311475409836</v>
      </c>
      <c r="T5" s="85" t="s">
        <v>224</v>
      </c>
      <c r="U5" s="87">
        <v>0</v>
      </c>
      <c r="V5" s="85" t="s">
        <v>145</v>
      </c>
      <c r="W5" s="87">
        <v>0.1146384479717813</v>
      </c>
      <c r="X5" s="85" t="s">
        <v>128</v>
      </c>
      <c r="Y5" s="88">
        <v>0.29778247096092925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172</v>
      </c>
      <c r="AE5" s="88">
        <v>0.44303797468354428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1.5127659574468084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0.2283464566929134</v>
      </c>
      <c r="L6" s="85" t="s">
        <v>202</v>
      </c>
      <c r="M6" s="88">
        <v>0.30434782608695654</v>
      </c>
      <c r="N6" s="85" t="s">
        <v>127</v>
      </c>
      <c r="O6" s="88">
        <v>0.15451895043731778</v>
      </c>
      <c r="P6" s="85" t="s">
        <v>127</v>
      </c>
      <c r="Q6" s="89">
        <v>9205</v>
      </c>
      <c r="R6" s="85" t="s">
        <v>128</v>
      </c>
      <c r="S6" s="89">
        <v>-7741.1042944785277</v>
      </c>
      <c r="T6" s="85" t="s">
        <v>225</v>
      </c>
      <c r="U6" s="87">
        <v>0</v>
      </c>
      <c r="V6" s="85" t="s">
        <v>172</v>
      </c>
      <c r="W6" s="87">
        <v>0.11290322580645161</v>
      </c>
      <c r="X6" s="85" t="s">
        <v>171</v>
      </c>
      <c r="Y6" s="88">
        <v>0.2898330804248862</v>
      </c>
      <c r="Z6" s="85" t="s">
        <v>127</v>
      </c>
      <c r="AA6" s="88">
        <v>0.22157434402332363</v>
      </c>
      <c r="AB6" s="85" t="s">
        <v>177</v>
      </c>
      <c r="AC6" s="88">
        <v>0.66666666666666663</v>
      </c>
      <c r="AD6" s="85" t="s">
        <v>186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1.4999999999999998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0.30645161290322581</v>
      </c>
      <c r="L7" s="85" t="s">
        <v>145</v>
      </c>
      <c r="M7" s="88">
        <v>0.29980903882877147</v>
      </c>
      <c r="N7" s="85" t="s">
        <v>177</v>
      </c>
      <c r="O7" s="88">
        <v>0.16010498687664043</v>
      </c>
      <c r="P7" s="85" t="s">
        <v>129</v>
      </c>
      <c r="Q7" s="89">
        <v>8896.7999999999993</v>
      </c>
      <c r="R7" s="85" t="s">
        <v>173</v>
      </c>
      <c r="S7" s="89">
        <v>-7866.1971830985913</v>
      </c>
      <c r="T7" s="85" t="s">
        <v>172</v>
      </c>
      <c r="U7" s="87">
        <v>4.8387096774193547E-2</v>
      </c>
      <c r="V7" s="85" t="s">
        <v>177</v>
      </c>
      <c r="W7" s="87">
        <v>0.10638297872340426</v>
      </c>
      <c r="X7" s="85" t="s">
        <v>145</v>
      </c>
      <c r="Y7" s="88">
        <v>0.27986420538934859</v>
      </c>
      <c r="Z7" s="85" t="s">
        <v>186</v>
      </c>
      <c r="AA7" s="88">
        <v>0.21186440677966101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172</v>
      </c>
      <c r="C8" s="84">
        <v>7.9999999999999822</v>
      </c>
      <c r="D8" s="85" t="s">
        <v>172</v>
      </c>
      <c r="E8" s="97">
        <v>0.12903225806451585</v>
      </c>
      <c r="F8" s="85" t="s">
        <v>224</v>
      </c>
      <c r="G8" s="86">
        <v>2</v>
      </c>
      <c r="H8" s="85" t="s">
        <v>171</v>
      </c>
      <c r="I8" s="87">
        <v>0.30379746835443039</v>
      </c>
      <c r="J8" s="85" t="s">
        <v>177</v>
      </c>
      <c r="K8" s="87">
        <v>0.31914893617021278</v>
      </c>
      <c r="L8" s="85" t="s">
        <v>173</v>
      </c>
      <c r="M8" s="88">
        <v>0.29842931937172773</v>
      </c>
      <c r="N8" s="85" t="s">
        <v>145</v>
      </c>
      <c r="O8" s="88">
        <v>0.16783365160195204</v>
      </c>
      <c r="P8" s="85" t="s">
        <v>177</v>
      </c>
      <c r="Q8" s="89">
        <v>8838.3928571428569</v>
      </c>
      <c r="R8" s="85" t="s">
        <v>171</v>
      </c>
      <c r="S8" s="89">
        <v>-8087.1794871794873</v>
      </c>
      <c r="T8" s="85" t="s">
        <v>171</v>
      </c>
      <c r="U8" s="87">
        <v>7.5949367088607597E-2</v>
      </c>
      <c r="V8" s="85" t="s">
        <v>129</v>
      </c>
      <c r="W8" s="87">
        <v>0.1044776119402985</v>
      </c>
      <c r="X8" s="85" t="s">
        <v>129</v>
      </c>
      <c r="Y8" s="88">
        <v>0.26763110307414106</v>
      </c>
      <c r="Z8" s="85" t="s">
        <v>145</v>
      </c>
      <c r="AA8" s="88">
        <v>0.21175472098451092</v>
      </c>
      <c r="AB8" s="85" t="s">
        <v>173</v>
      </c>
      <c r="AC8" s="88">
        <v>0.59090909090909094</v>
      </c>
      <c r="AD8" s="85" t="s">
        <v>171</v>
      </c>
      <c r="AE8" s="88">
        <v>0.40625</v>
      </c>
      <c r="AF8" s="85" t="s">
        <v>129</v>
      </c>
      <c r="AG8" s="88">
        <v>0.48799999999999999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3.5527136788005009E-15</v>
      </c>
      <c r="D9" s="85" t="s">
        <v>145</v>
      </c>
      <c r="E9" s="97">
        <v>6.2658089573201071E-18</v>
      </c>
      <c r="F9" s="85" t="s">
        <v>172</v>
      </c>
      <c r="G9" s="86">
        <v>2.032258064516129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177</v>
      </c>
      <c r="M9" s="88">
        <v>0.29396325459317585</v>
      </c>
      <c r="N9" s="85" t="s">
        <v>128</v>
      </c>
      <c r="O9" s="88">
        <v>0.17212249208025343</v>
      </c>
      <c r="P9" s="85" t="s">
        <v>145</v>
      </c>
      <c r="Q9" s="89">
        <v>8675.0884642604397</v>
      </c>
      <c r="R9" s="85" t="s">
        <v>186</v>
      </c>
      <c r="S9" s="89">
        <v>-8107.6923076923076</v>
      </c>
      <c r="T9" s="85" t="s">
        <v>127</v>
      </c>
      <c r="U9" s="87">
        <v>0.11023622047244094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0.58510638297872342</v>
      </c>
      <c r="AD9" s="85" t="s">
        <v>145</v>
      </c>
      <c r="AE9" s="88">
        <v>0.39178356713426854</v>
      </c>
      <c r="AF9" s="85" t="s">
        <v>145</v>
      </c>
      <c r="AG9" s="88">
        <v>0.43453644727530077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171</v>
      </c>
      <c r="G10" s="86">
        <v>2.037974683544304</v>
      </c>
      <c r="H10" s="85" t="s">
        <v>172</v>
      </c>
      <c r="I10" s="87">
        <v>0.27419354838709675</v>
      </c>
      <c r="J10" s="85" t="s">
        <v>171</v>
      </c>
      <c r="K10" s="87">
        <v>0.34177215189873417</v>
      </c>
      <c r="L10" s="85" t="s">
        <v>186</v>
      </c>
      <c r="M10" s="88">
        <v>0.28813559322033899</v>
      </c>
      <c r="N10" s="85" t="s">
        <v>202</v>
      </c>
      <c r="O10" s="88">
        <v>0.17391304347826086</v>
      </c>
      <c r="P10" s="85" t="s">
        <v>225</v>
      </c>
      <c r="Q10" s="89">
        <v>8666.6666666666661</v>
      </c>
      <c r="R10" s="85" t="s">
        <v>127</v>
      </c>
      <c r="S10" s="89">
        <v>-8233.3333333333339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177</v>
      </c>
      <c r="Y10" s="88">
        <v>0.25984251968503935</v>
      </c>
      <c r="Z10" s="85" t="s">
        <v>171</v>
      </c>
      <c r="AA10" s="88">
        <v>0.19423368740515934</v>
      </c>
      <c r="AB10" s="85" t="s">
        <v>145</v>
      </c>
      <c r="AC10" s="88">
        <v>0.57998483699772552</v>
      </c>
      <c r="AD10" s="85" t="s">
        <v>177</v>
      </c>
      <c r="AE10" s="88">
        <v>0.35616438356164382</v>
      </c>
      <c r="AF10" s="85" t="s">
        <v>128</v>
      </c>
      <c r="AG10" s="88">
        <v>0.4263565891472868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0.26956521739130435</v>
      </c>
      <c r="J11" s="85" t="s">
        <v>128</v>
      </c>
      <c r="K11" s="87">
        <v>0.34782608695652173</v>
      </c>
      <c r="L11" s="85" t="s">
        <v>171</v>
      </c>
      <c r="M11" s="88">
        <v>0.28376327769347498</v>
      </c>
      <c r="N11" s="85" t="s">
        <v>171</v>
      </c>
      <c r="O11" s="88">
        <v>0.17754172989377845</v>
      </c>
      <c r="P11" s="85" t="s">
        <v>185</v>
      </c>
      <c r="Q11" s="89">
        <v>7860</v>
      </c>
      <c r="R11" s="85" t="s">
        <v>145</v>
      </c>
      <c r="S11" s="89">
        <v>-8297.724399494311</v>
      </c>
      <c r="T11" s="85" t="s">
        <v>145</v>
      </c>
      <c r="U11" s="87">
        <v>0.1146384479717813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177</v>
      </c>
      <c r="AA11" s="88">
        <v>0.19160104986876642</v>
      </c>
      <c r="AB11" s="85" t="s">
        <v>171</v>
      </c>
      <c r="AC11" s="88">
        <v>0.5759162303664922</v>
      </c>
      <c r="AD11" s="85" t="s">
        <v>173</v>
      </c>
      <c r="AE11" s="88">
        <v>0.33673469387755101</v>
      </c>
      <c r="AF11" s="85" t="s">
        <v>171</v>
      </c>
      <c r="AG11" s="88">
        <v>0.42245989304812837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2.0782608695652174</v>
      </c>
      <c r="H12" s="85" t="s">
        <v>129</v>
      </c>
      <c r="I12" s="87">
        <v>0.22388059701492538</v>
      </c>
      <c r="J12" s="85" t="s">
        <v>173</v>
      </c>
      <c r="K12" s="87">
        <v>0.36363636363636365</v>
      </c>
      <c r="L12" s="85" t="s">
        <v>128</v>
      </c>
      <c r="M12" s="88">
        <v>0.27243928194297784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-9417.391304347826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186</v>
      </c>
      <c r="Y12" s="88">
        <v>0.23728813559322035</v>
      </c>
      <c r="Z12" s="85" t="s">
        <v>128</v>
      </c>
      <c r="AA12" s="88">
        <v>0.18057022175290391</v>
      </c>
      <c r="AB12" s="85" t="s">
        <v>127</v>
      </c>
      <c r="AC12" s="88">
        <v>0.57396449704142016</v>
      </c>
      <c r="AD12" s="85" t="s">
        <v>128</v>
      </c>
      <c r="AE12" s="88">
        <v>0.2982456140350877</v>
      </c>
      <c r="AF12" s="85" t="s">
        <v>172</v>
      </c>
      <c r="AG12" s="88">
        <v>0.421875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0.19349005424954793</v>
      </c>
      <c r="P13" s="85" t="s">
        <v>202</v>
      </c>
      <c r="Q13" s="89">
        <v>7438.0952380952385</v>
      </c>
      <c r="R13" s="85" t="s">
        <v>129</v>
      </c>
      <c r="S13" s="89">
        <v>-9513.0841121495323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0.16636528028933092</v>
      </c>
      <c r="AB13" s="85" t="s">
        <v>172</v>
      </c>
      <c r="AC13" s="88">
        <v>0.5641025641025641</v>
      </c>
      <c r="AD13" s="85" t="s">
        <v>129</v>
      </c>
      <c r="AE13" s="88">
        <v>0.22826086956521738</v>
      </c>
      <c r="AF13" s="85" t="s">
        <v>177</v>
      </c>
      <c r="AG13" s="88">
        <v>0.41964285714285715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-16.773134328358204</v>
      </c>
      <c r="F14" s="85" t="s">
        <v>129</v>
      </c>
      <c r="G14" s="86">
        <v>2.283582089552239</v>
      </c>
      <c r="H14" s="85" t="s">
        <v>224</v>
      </c>
      <c r="I14" s="87">
        <v>0</v>
      </c>
      <c r="J14" s="85" t="s">
        <v>129</v>
      </c>
      <c r="K14" s="87">
        <v>0.5074626865671642</v>
      </c>
      <c r="L14" s="85" t="s">
        <v>129</v>
      </c>
      <c r="M14" s="88">
        <v>0.22603978300180833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0.1702127659574468</v>
      </c>
      <c r="V14" s="85" t="s">
        <v>224</v>
      </c>
      <c r="W14" s="87">
        <v>0</v>
      </c>
      <c r="X14" s="85" t="s">
        <v>173</v>
      </c>
      <c r="Y14" s="88">
        <v>0.23036649214659685</v>
      </c>
      <c r="Z14" s="85" t="s">
        <v>225</v>
      </c>
      <c r="AA14" s="88">
        <v>0.125</v>
      </c>
      <c r="AB14" s="85" t="s">
        <v>129</v>
      </c>
      <c r="AC14" s="88">
        <v>0.5</v>
      </c>
      <c r="AD14" s="85" t="s">
        <v>224</v>
      </c>
      <c r="AE14" s="88">
        <v>0</v>
      </c>
      <c r="AF14" s="85" t="s">
        <v>127</v>
      </c>
      <c r="AG14" s="88">
        <v>0.4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-1123.7999999999997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6635.9375</v>
      </c>
      <c r="R15" s="85" t="s">
        <v>225</v>
      </c>
      <c r="S15" s="89">
        <v>-14000</v>
      </c>
      <c r="T15" s="85" t="s">
        <v>129</v>
      </c>
      <c r="U15" s="87">
        <v>0.17910447761194029</v>
      </c>
      <c r="V15" s="85" t="s">
        <v>225</v>
      </c>
      <c r="W15" s="87">
        <v>0</v>
      </c>
      <c r="X15" s="85" t="s">
        <v>172</v>
      </c>
      <c r="Y15" s="88">
        <v>0.21869158878504674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39B12-1E75-41C6-86D1-ED6EBFED1F8E}">
  <sheetPr codeName="Sheet4"/>
  <dimension ref="A1:Q5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567</v>
      </c>
      <c r="C2" s="147"/>
      <c r="E2" s="62" t="s">
        <v>67</v>
      </c>
      <c r="F2" s="59" t="s">
        <v>23</v>
      </c>
      <c r="G2" s="46">
        <v>1053</v>
      </c>
      <c r="H2" s="132">
        <f>IF(B$17=0,0,G2/B$17)</f>
        <v>0.74522292993630568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-14.109347442680775</v>
      </c>
      <c r="P2" s="118">
        <v>567</v>
      </c>
      <c r="Q2" s="102">
        <v>-8000</v>
      </c>
    </row>
    <row r="3" spans="1:17" x14ac:dyDescent="0.4">
      <c r="A3" s="55" t="s">
        <v>8</v>
      </c>
      <c r="B3" s="148">
        <v>4713</v>
      </c>
      <c r="C3" s="149"/>
      <c r="E3" s="63" t="s">
        <v>65</v>
      </c>
      <c r="F3" s="60" t="s">
        <v>21</v>
      </c>
      <c r="G3" s="47">
        <v>729</v>
      </c>
      <c r="H3" s="133">
        <f>IF(B$17=0,0,G3/B$17)</f>
        <v>0.51592356687898089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-7.2072072072072073</v>
      </c>
      <c r="P3" s="119">
        <v>555</v>
      </c>
      <c r="Q3" s="103">
        <v>-4000</v>
      </c>
    </row>
    <row r="4" spans="1:17" x14ac:dyDescent="0.4">
      <c r="A4" s="55" t="s">
        <v>6</v>
      </c>
      <c r="B4" s="150">
        <v>3.5527136788005009E-15</v>
      </c>
      <c r="C4" s="151"/>
      <c r="E4" s="63" t="s">
        <v>73</v>
      </c>
      <c r="F4" s="60" t="s">
        <v>28</v>
      </c>
      <c r="G4" s="47">
        <v>729</v>
      </c>
      <c r="H4" s="133">
        <f>IF(B$17=0,0,G4/B$17)</f>
        <v>0.51592356687898089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5.7471264367816088</v>
      </c>
      <c r="P4" s="119">
        <v>522</v>
      </c>
      <c r="Q4" s="103">
        <v>3000</v>
      </c>
    </row>
    <row r="5" spans="1:17" x14ac:dyDescent="0.4">
      <c r="A5" s="55" t="s">
        <v>7</v>
      </c>
      <c r="B5" s="152">
        <f>IF(B$2=0,0,B$4/B$2)</f>
        <v>6.2658089573201071E-18</v>
      </c>
      <c r="C5" s="153"/>
      <c r="E5" s="63" t="s">
        <v>181</v>
      </c>
      <c r="F5" s="60" t="s">
        <v>182</v>
      </c>
      <c r="G5" s="47">
        <v>588</v>
      </c>
      <c r="H5" s="133">
        <f>IF(B$17=0,0,G5/B$17)</f>
        <v>0.41613588110403399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12.658227848101266</v>
      </c>
      <c r="P5" s="119">
        <v>474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443</v>
      </c>
      <c r="H6" s="133">
        <f>IF(B$17=0,0,G6/B$17)</f>
        <v>0.31351733899504602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-14.184397163120567</v>
      </c>
      <c r="P6" s="119">
        <v>423</v>
      </c>
      <c r="Q6" s="103">
        <v>-6000</v>
      </c>
    </row>
    <row r="7" spans="1:17" x14ac:dyDescent="0.4">
      <c r="A7" s="55" t="s">
        <v>2</v>
      </c>
      <c r="B7" s="47">
        <v>189</v>
      </c>
      <c r="C7" s="39">
        <f>IF(B$2=0,0,B7/B$2)</f>
        <v>0.33333333333333331</v>
      </c>
      <c r="E7" s="63" t="s">
        <v>68</v>
      </c>
      <c r="F7" s="60" t="s">
        <v>24</v>
      </c>
      <c r="G7" s="47">
        <v>425</v>
      </c>
      <c r="H7" s="133">
        <f>IF(B$17=0,0,G7/B$17)</f>
        <v>0.30077848549186131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23.4375</v>
      </c>
      <c r="P7" s="120">
        <v>384</v>
      </c>
      <c r="Q7" s="104">
        <v>9000</v>
      </c>
    </row>
    <row r="8" spans="1:17" x14ac:dyDescent="0.4">
      <c r="A8" s="55" t="s">
        <v>3</v>
      </c>
      <c r="B8" s="47">
        <v>189</v>
      </c>
      <c r="C8" s="39">
        <f>IF(B$2=0,0,B8/B$2)</f>
        <v>0.33333333333333331</v>
      </c>
      <c r="E8" s="63" t="s">
        <v>70</v>
      </c>
      <c r="F8" s="60" t="s">
        <v>25</v>
      </c>
      <c r="G8" s="47">
        <v>254</v>
      </c>
      <c r="H8" s="133">
        <f>IF(B$17=0,0,G8/B$17)</f>
        <v>0.17975937721160651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189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174</v>
      </c>
      <c r="H9" s="133">
        <f>IF(B$17=0,0,G9/B$17)</f>
        <v>0.12314225053078556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65</v>
      </c>
      <c r="C10" s="40">
        <f>IF(B$2=0,0,B10/B$2)</f>
        <v>0.1146384479717813</v>
      </c>
      <c r="E10" s="63" t="s">
        <v>66</v>
      </c>
      <c r="F10" s="60" t="s">
        <v>22</v>
      </c>
      <c r="G10" s="47">
        <v>173</v>
      </c>
      <c r="H10" s="133">
        <f>IF(B$17=0,0,G10/B$17)</f>
        <v>0.1224345364472753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-2.6529100529100527</v>
      </c>
      <c r="P10" s="118">
        <v>189</v>
      </c>
      <c r="Q10" s="106">
        <v>-501.4</v>
      </c>
    </row>
    <row r="11" spans="1:17" x14ac:dyDescent="0.4">
      <c r="A11" s="56" t="s">
        <v>140</v>
      </c>
      <c r="B11" s="48">
        <v>65</v>
      </c>
      <c r="C11" s="40">
        <f>IF(B$2=0,0,B11/B$2)</f>
        <v>0.1146384479717813</v>
      </c>
      <c r="E11" s="63" t="s">
        <v>71</v>
      </c>
      <c r="F11" s="60" t="s">
        <v>26</v>
      </c>
      <c r="G11" s="47">
        <v>142</v>
      </c>
      <c r="H11" s="133">
        <f>IF(B$17=0,0,G11/B$17)</f>
        <v>0.10049539985845718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-0.65079365079365092</v>
      </c>
      <c r="P11" s="119">
        <v>189</v>
      </c>
      <c r="Q11" s="107">
        <v>-123.00000000000003</v>
      </c>
    </row>
    <row r="12" spans="1:17" x14ac:dyDescent="0.4">
      <c r="A12" s="57" t="s">
        <v>160</v>
      </c>
      <c r="B12" s="49">
        <v>50</v>
      </c>
      <c r="C12" s="42">
        <f>IF(B$2=0,0,B12/B$2)</f>
        <v>8.8183421516754845E-2</v>
      </c>
      <c r="E12" s="63" t="s">
        <v>72</v>
      </c>
      <c r="F12" s="60" t="s">
        <v>27</v>
      </c>
      <c r="G12" s="47">
        <v>93</v>
      </c>
      <c r="H12" s="133">
        <f>IF(B$17=0,0,G12/B$17)</f>
        <v>6.5817409766454352E-2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3.3037037037037043</v>
      </c>
      <c r="P12" s="120">
        <v>189</v>
      </c>
      <c r="Q12" s="108">
        <v>624.40000000000009</v>
      </c>
    </row>
    <row r="13" spans="1:17" x14ac:dyDescent="0.4">
      <c r="A13" s="58" t="s">
        <v>122</v>
      </c>
      <c r="B13" s="50">
        <v>1319</v>
      </c>
      <c r="C13" s="44">
        <f>IF(B$3=0,0,B13/B$3)</f>
        <v>0.27986420538934859</v>
      </c>
      <c r="E13" s="63" t="s">
        <v>87</v>
      </c>
      <c r="F13" s="60" t="s">
        <v>42</v>
      </c>
      <c r="G13" s="47">
        <v>78</v>
      </c>
      <c r="H13" s="133">
        <f>IF(B$17=0,0,G13/B$17)</f>
        <v>5.5201698513800426E-2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998</v>
      </c>
      <c r="C14" s="39">
        <f>IF(B$3=0,0,B14/B$3)</f>
        <v>0.21175472098451092</v>
      </c>
      <c r="E14" s="63" t="s">
        <v>84</v>
      </c>
      <c r="F14" s="60" t="s">
        <v>39</v>
      </c>
      <c r="G14" s="47">
        <v>65</v>
      </c>
      <c r="H14" s="133">
        <f>IF(B$17=0,0,G14/B$17)</f>
        <v>4.600141542816702E-2</v>
      </c>
      <c r="I14" s="94">
        <v>5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765</v>
      </c>
      <c r="C15" s="37">
        <f>IF(B$13=0,0,B15/B$13)</f>
        <v>0.57998483699772552</v>
      </c>
      <c r="E15" s="63" t="s">
        <v>82</v>
      </c>
      <c r="F15" s="60" t="s">
        <v>37</v>
      </c>
      <c r="G15" s="47">
        <v>39</v>
      </c>
      <c r="H15" s="133">
        <f>IF(B$17=0,0,G15/B$17)</f>
        <v>2.7600849256900213E-2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391</v>
      </c>
      <c r="C16" s="37">
        <f>IF(B$14=0,0,B16/B$14)</f>
        <v>0.39178356713426854</v>
      </c>
      <c r="E16" s="63" t="s">
        <v>79</v>
      </c>
      <c r="F16" s="60" t="s">
        <v>34</v>
      </c>
      <c r="G16" s="47">
        <v>36</v>
      </c>
      <c r="H16" s="133">
        <f>IF(B$17=0,0,G16/B$17)</f>
        <v>2.5477707006369428E-2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25.159701492537334</v>
      </c>
      <c r="P16" s="119">
        <v>134</v>
      </c>
      <c r="Q16" s="107">
        <v>3371.4000000000028</v>
      </c>
    </row>
    <row r="17" spans="1:17" x14ac:dyDescent="0.4">
      <c r="A17" s="54" t="s">
        <v>10</v>
      </c>
      <c r="B17" s="46">
        <f>B19+B18</f>
        <v>1413</v>
      </c>
      <c r="C17" s="37">
        <f>IF(B$3=0,0,B17/B$3)</f>
        <v>0.29980903882877147</v>
      </c>
      <c r="E17" s="63" t="s">
        <v>92</v>
      </c>
      <c r="F17" s="60" t="s">
        <v>47</v>
      </c>
      <c r="G17" s="47">
        <v>27</v>
      </c>
      <c r="H17" s="133">
        <f>IF(B$17=0,0,G17/B$17)</f>
        <v>1.9108280254777069E-2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614</v>
      </c>
      <c r="C18" s="39">
        <f>IF(B$17=0,0,B18/B$17)</f>
        <v>0.43453644727530077</v>
      </c>
      <c r="E18" s="63" t="s">
        <v>80</v>
      </c>
      <c r="F18" s="60" t="s">
        <v>35</v>
      </c>
      <c r="G18" s="47">
        <v>23</v>
      </c>
      <c r="H18" s="133">
        <f>IF(B$17=0,0,G18/B$17)</f>
        <v>1.6277423920736021E-2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799</v>
      </c>
      <c r="C19" s="39">
        <f>IF(B$17=0,0,B19/B$17)</f>
        <v>0.56546355272469917</v>
      </c>
      <c r="E19" s="63" t="s">
        <v>180</v>
      </c>
      <c r="F19" s="60" t="s">
        <v>183</v>
      </c>
      <c r="G19" s="47">
        <v>23</v>
      </c>
      <c r="H19" s="133">
        <f>IF(B$17=0,0,G19/B$17)</f>
        <v>1.6277423920736021E-2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791</v>
      </c>
      <c r="C20" s="39">
        <f>IF(B$3=0,0,B20/B$3)</f>
        <v>0.16783365160195204</v>
      </c>
      <c r="E20" s="63" t="s">
        <v>74</v>
      </c>
      <c r="F20" s="60" t="s">
        <v>29</v>
      </c>
      <c r="G20" s="47">
        <v>9</v>
      </c>
      <c r="H20" s="133">
        <f>IF(B$17=0,0,G20/B$17)</f>
        <v>6.369426751592357E-3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6.369426751592357E-3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-0.19354838709677544</v>
      </c>
      <c r="P21" s="119">
        <v>124</v>
      </c>
      <c r="Q21" s="107">
        <v>-24.000000000000153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6</v>
      </c>
      <c r="H22" s="133">
        <f>IF(B$17=0,0,G22/B$17)</f>
        <v>4.246284501061571E-3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-2.2499999999999973</v>
      </c>
      <c r="P22" s="119">
        <v>158</v>
      </c>
      <c r="Q22" s="107">
        <v>-355.4999999999996</v>
      </c>
    </row>
    <row r="23" spans="1:17" x14ac:dyDescent="0.4">
      <c r="A23" s="55" t="s">
        <v>5</v>
      </c>
      <c r="B23" s="51">
        <f>IF(B$17=0,0,C23/B$17)</f>
        <v>8675.0884642604397</v>
      </c>
      <c r="C23" s="41">
        <v>12257900</v>
      </c>
      <c r="E23" s="63" t="s">
        <v>93</v>
      </c>
      <c r="F23" s="60" t="s">
        <v>48</v>
      </c>
      <c r="G23" s="47">
        <v>6</v>
      </c>
      <c r="H23" s="133">
        <f>IF(B$17=0,0,G23/B$17)</f>
        <v>4.246284501061571E-3</v>
      </c>
      <c r="I23" s="94">
        <v>4</v>
      </c>
      <c r="K23" s="38">
        <v>21</v>
      </c>
      <c r="L23" s="99">
        <v>-2.886579864025407E-15</v>
      </c>
      <c r="N23" s="115" t="s">
        <v>177</v>
      </c>
      <c r="O23" s="125">
        <f>IF(P23=0,0,Q23/P23)</f>
        <v>-2.2691489361702146</v>
      </c>
      <c r="P23" s="119">
        <v>94</v>
      </c>
      <c r="Q23" s="107">
        <v>-213.30000000000018</v>
      </c>
    </row>
    <row r="24" spans="1:17" x14ac:dyDescent="0.4">
      <c r="A24" s="57" t="s">
        <v>14</v>
      </c>
      <c r="B24" s="52">
        <f>IF(B$20=0,0,C24/B$20)</f>
        <v>-8297.724399494311</v>
      </c>
      <c r="C24" s="45">
        <v>-6563500</v>
      </c>
      <c r="E24" s="63" t="s">
        <v>88</v>
      </c>
      <c r="F24" s="60" t="s">
        <v>43</v>
      </c>
      <c r="G24" s="47">
        <v>5</v>
      </c>
      <c r="H24" s="133">
        <f>IF(B$17=0,0,G24/B$17)</f>
        <v>3.5385704175513091E-3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-19.4066929133858</v>
      </c>
      <c r="P24" s="119">
        <v>254</v>
      </c>
      <c r="Q24" s="107">
        <v>-4929.2999999999929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3.5385704175513091E-3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4</v>
      </c>
      <c r="H26" s="133">
        <f>IF(B$17=0,0,G26/B$17)</f>
        <v>2.8308563340410475E-3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2.9705071079991511E-3</v>
      </c>
      <c r="E27" s="63" t="s">
        <v>78</v>
      </c>
      <c r="F27" s="60" t="s">
        <v>33</v>
      </c>
      <c r="G27" s="47">
        <v>3</v>
      </c>
      <c r="H27" s="133">
        <f>IF(B$17=0,0,G27/B$17)</f>
        <v>2.1231422505307855E-3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2.1231422505307855E-3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1.4154281670205238E-3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1.4154281670205238E-3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1.4154281670205238E-3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7.0771408351026188E-4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50AE-DA29-4E70-9649-0D746880031C}">
  <sheetPr codeName="Sheet7"/>
  <dimension ref="A1:Q12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127</v>
      </c>
      <c r="C2" s="147"/>
      <c r="E2" s="62" t="s">
        <v>67</v>
      </c>
      <c r="F2" s="59" t="s">
        <v>23</v>
      </c>
      <c r="G2" s="46">
        <v>270</v>
      </c>
      <c r="H2" s="132">
        <f>IF(B$17=0,0,G2/B$17)</f>
        <v>0.75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1382.6771653543308</v>
      </c>
      <c r="P2" s="118">
        <v>127</v>
      </c>
      <c r="Q2" s="102">
        <v>175600</v>
      </c>
    </row>
    <row r="3" spans="1:17" x14ac:dyDescent="0.4">
      <c r="A3" s="55" t="s">
        <v>8</v>
      </c>
      <c r="B3" s="148">
        <v>1029</v>
      </c>
      <c r="C3" s="149"/>
      <c r="E3" s="63" t="s">
        <v>73</v>
      </c>
      <c r="F3" s="60" t="s">
        <v>28</v>
      </c>
      <c r="G3" s="47">
        <v>206</v>
      </c>
      <c r="H3" s="133">
        <f>IF(B$17=0,0,G3/B$17)</f>
        <v>0.57222222222222219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1054.8387096774193</v>
      </c>
      <c r="P3" s="119">
        <v>124</v>
      </c>
      <c r="Q3" s="103">
        <v>130800</v>
      </c>
    </row>
    <row r="4" spans="1:17" x14ac:dyDescent="0.4">
      <c r="A4" s="55" t="s">
        <v>6</v>
      </c>
      <c r="B4" s="150">
        <v>1643.100000000001</v>
      </c>
      <c r="C4" s="151"/>
      <c r="E4" s="63" t="s">
        <v>65</v>
      </c>
      <c r="F4" s="60" t="s">
        <v>21</v>
      </c>
      <c r="G4" s="47">
        <v>179</v>
      </c>
      <c r="H4" s="133">
        <f>IF(B$17=0,0,G4/B$17)</f>
        <v>0.49722222222222223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1500.8547008547009</v>
      </c>
      <c r="P4" s="119">
        <v>117</v>
      </c>
      <c r="Q4" s="103">
        <v>175600</v>
      </c>
    </row>
    <row r="5" spans="1:17" x14ac:dyDescent="0.4">
      <c r="A5" s="55" t="s">
        <v>7</v>
      </c>
      <c r="B5" s="152">
        <f>IF(B$2=0,0,B$4/B$2)</f>
        <v>12.93779527559056</v>
      </c>
      <c r="C5" s="153"/>
      <c r="E5" s="63" t="s">
        <v>181</v>
      </c>
      <c r="F5" s="60" t="s">
        <v>182</v>
      </c>
      <c r="G5" s="47">
        <v>149</v>
      </c>
      <c r="H5" s="133">
        <f>IF(B$17=0,0,G5/B$17)</f>
        <v>0.41388888888888886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3048.5981308411215</v>
      </c>
      <c r="P5" s="119">
        <v>107</v>
      </c>
      <c r="Q5" s="103">
        <v>326200</v>
      </c>
    </row>
    <row r="6" spans="1:17" x14ac:dyDescent="0.4">
      <c r="A6" s="55" t="s">
        <v>1</v>
      </c>
      <c r="B6" s="142">
        <f>IF(B$2=0,0,(B$7*1+B$8*2+B$9*3)/B$2)</f>
        <v>1.7322834645669292</v>
      </c>
      <c r="C6" s="143"/>
      <c r="E6" s="63" t="s">
        <v>68</v>
      </c>
      <c r="F6" s="60" t="s">
        <v>24</v>
      </c>
      <c r="G6" s="47">
        <v>107</v>
      </c>
      <c r="H6" s="133">
        <f>IF(B$17=0,0,G6/B$17)</f>
        <v>0.29722222222222222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847.31182795698919</v>
      </c>
      <c r="P6" s="119">
        <v>93</v>
      </c>
      <c r="Q6" s="103">
        <v>78800</v>
      </c>
    </row>
    <row r="7" spans="1:17" x14ac:dyDescent="0.4">
      <c r="A7" s="55" t="s">
        <v>2</v>
      </c>
      <c r="B7" s="47">
        <v>63</v>
      </c>
      <c r="C7" s="39">
        <f>IF(B$2=0,0,B7/B$2)</f>
        <v>0.49606299212598426</v>
      </c>
      <c r="E7" s="63" t="s">
        <v>69</v>
      </c>
      <c r="F7" s="60" t="s">
        <v>12</v>
      </c>
      <c r="G7" s="47">
        <v>92</v>
      </c>
      <c r="H7" s="133">
        <f>IF(B$17=0,0,G7/B$17)</f>
        <v>0.25555555555555554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867.07317073170736</v>
      </c>
      <c r="P7" s="120">
        <v>82</v>
      </c>
      <c r="Q7" s="104">
        <v>71100</v>
      </c>
    </row>
    <row r="8" spans="1:17" x14ac:dyDescent="0.4">
      <c r="A8" s="55" t="s">
        <v>3</v>
      </c>
      <c r="B8" s="47">
        <v>35</v>
      </c>
      <c r="C8" s="39">
        <f>IF(B$2=0,0,B8/B$2)</f>
        <v>0.27559055118110237</v>
      </c>
      <c r="E8" s="63" t="s">
        <v>70</v>
      </c>
      <c r="F8" s="60" t="s">
        <v>25</v>
      </c>
      <c r="G8" s="47">
        <v>61</v>
      </c>
      <c r="H8" s="133">
        <f>IF(B$17=0,0,G8/B$17)</f>
        <v>0.16944444444444445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0.2283464566929134</v>
      </c>
      <c r="E9" s="63" t="s">
        <v>90</v>
      </c>
      <c r="F9" s="60" t="s">
        <v>45</v>
      </c>
      <c r="G9" s="47">
        <v>55</v>
      </c>
      <c r="H9" s="133">
        <f>IF(B$17=0,0,G9/B$17)</f>
        <v>0.15277777777777779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0.11023622047244094</v>
      </c>
      <c r="E10" s="63" t="s">
        <v>66</v>
      </c>
      <c r="F10" s="60" t="s">
        <v>22</v>
      </c>
      <c r="G10" s="47">
        <v>51</v>
      </c>
      <c r="H10" s="133">
        <f>IF(B$17=0,0,G10/B$17)</f>
        <v>0.14166666666666666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15.71891891891892</v>
      </c>
      <c r="P10" s="118">
        <v>37</v>
      </c>
      <c r="Q10" s="106">
        <v>581.6</v>
      </c>
    </row>
    <row r="11" spans="1:17" x14ac:dyDescent="0.4">
      <c r="A11" s="56" t="s">
        <v>140</v>
      </c>
      <c r="B11" s="48">
        <v>22</v>
      </c>
      <c r="C11" s="40">
        <f>IF(B$2=0,0,B11/B$2)</f>
        <v>0.17322834645669291</v>
      </c>
      <c r="E11" s="63" t="s">
        <v>71</v>
      </c>
      <c r="F11" s="60" t="s">
        <v>26</v>
      </c>
      <c r="G11" s="47">
        <v>34</v>
      </c>
      <c r="H11" s="133">
        <f>IF(B$17=0,0,G11/B$17)</f>
        <v>9.4444444444444442E-2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0.14960629921259844</v>
      </c>
      <c r="E12" s="63" t="s">
        <v>72</v>
      </c>
      <c r="F12" s="60" t="s">
        <v>27</v>
      </c>
      <c r="G12" s="47">
        <v>25</v>
      </c>
      <c r="H12" s="133">
        <f>IF(B$17=0,0,G12/B$17)</f>
        <v>6.9444444444444448E-2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13.86274509803922</v>
      </c>
      <c r="P12" s="120">
        <v>51</v>
      </c>
      <c r="Q12" s="108">
        <v>707.00000000000023</v>
      </c>
    </row>
    <row r="13" spans="1:17" x14ac:dyDescent="0.4">
      <c r="A13" s="58" t="s">
        <v>122</v>
      </c>
      <c r="B13" s="50">
        <v>338</v>
      </c>
      <c r="C13" s="44">
        <f>IF(B$3=0,0,B13/B$3)</f>
        <v>0.32847424684159376</v>
      </c>
      <c r="E13" s="63" t="s">
        <v>87</v>
      </c>
      <c r="F13" s="60" t="s">
        <v>42</v>
      </c>
      <c r="G13" s="47">
        <v>25</v>
      </c>
      <c r="H13" s="133">
        <f>IF(B$17=0,0,G13/B$17)</f>
        <v>6.9444444444444448E-2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228</v>
      </c>
      <c r="C14" s="39">
        <f>IF(B$3=0,0,B14/B$3)</f>
        <v>0.22157434402332363</v>
      </c>
      <c r="E14" s="63" t="s">
        <v>84</v>
      </c>
      <c r="F14" s="60" t="s">
        <v>39</v>
      </c>
      <c r="G14" s="47">
        <v>18</v>
      </c>
      <c r="H14" s="133">
        <f>IF(B$17=0,0,G14/B$17)</f>
        <v>0.05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194</v>
      </c>
      <c r="C15" s="37">
        <f>IF(B$13=0,0,B15/B$13)</f>
        <v>0.57396449704142016</v>
      </c>
      <c r="E15" s="63" t="s">
        <v>180</v>
      </c>
      <c r="F15" s="60" t="s">
        <v>183</v>
      </c>
      <c r="G15" s="47">
        <v>12</v>
      </c>
      <c r="H15" s="133">
        <f>IF(B$17=0,0,G15/B$17)</f>
        <v>3.3333333333333333E-2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117</v>
      </c>
      <c r="C16" s="37">
        <f>IF(B$14=0,0,B16/B$14)</f>
        <v>0.51315789473684215</v>
      </c>
      <c r="E16" s="63" t="s">
        <v>82</v>
      </c>
      <c r="F16" s="60" t="s">
        <v>37</v>
      </c>
      <c r="G16" s="47">
        <v>11</v>
      </c>
      <c r="H16" s="133">
        <f>IF(B$17=0,0,G16/B$17)</f>
        <v>3.0555555555555555E-2</v>
      </c>
      <c r="I16" s="94">
        <v>5</v>
      </c>
      <c r="K16" s="38">
        <v>14</v>
      </c>
      <c r="L16" s="99">
        <v>473.50000000000006</v>
      </c>
      <c r="N16" s="115" t="s">
        <v>129</v>
      </c>
      <c r="O16" s="125">
        <f>IF(P16=0,0,Q16/P16)</f>
        <v>35.342500000000008</v>
      </c>
      <c r="P16" s="119">
        <v>40</v>
      </c>
      <c r="Q16" s="107">
        <v>1413.7000000000003</v>
      </c>
    </row>
    <row r="17" spans="1:17" x14ac:dyDescent="0.4">
      <c r="A17" s="54" t="s">
        <v>10</v>
      </c>
      <c r="B17" s="46">
        <f>B19+B18</f>
        <v>360</v>
      </c>
      <c r="C17" s="37">
        <f>IF(B$3=0,0,B17/B$3)</f>
        <v>0.3498542274052478</v>
      </c>
      <c r="E17" s="63" t="s">
        <v>79</v>
      </c>
      <c r="F17" s="60" t="s">
        <v>34</v>
      </c>
      <c r="G17" s="47">
        <v>7</v>
      </c>
      <c r="H17" s="133">
        <f>IF(B$17=0,0,G17/B$17)</f>
        <v>1.9444444444444445E-2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29.850000000000005</v>
      </c>
      <c r="P17" s="119">
        <v>20</v>
      </c>
      <c r="Q17" s="107">
        <v>597.00000000000011</v>
      </c>
    </row>
    <row r="18" spans="1:17" x14ac:dyDescent="0.4">
      <c r="A18" s="55" t="s">
        <v>12</v>
      </c>
      <c r="B18" s="47">
        <v>144</v>
      </c>
      <c r="C18" s="39">
        <f>IF(B$17=0,0,B18/B$17)</f>
        <v>0.4</v>
      </c>
      <c r="E18" s="63" t="s">
        <v>92</v>
      </c>
      <c r="F18" s="60" t="s">
        <v>47</v>
      </c>
      <c r="G18" s="47">
        <v>7</v>
      </c>
      <c r="H18" s="133">
        <f>IF(B$17=0,0,G18/B$17)</f>
        <v>1.9444444444444445E-2</v>
      </c>
      <c r="I18" s="94">
        <v>4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216</v>
      </c>
      <c r="C19" s="39">
        <f>IF(B$17=0,0,B19/B$17)</f>
        <v>0.6</v>
      </c>
      <c r="E19" s="63" t="s">
        <v>80</v>
      </c>
      <c r="F19" s="60" t="s">
        <v>35</v>
      </c>
      <c r="G19" s="47">
        <v>5</v>
      </c>
      <c r="H19" s="133">
        <f>IF(B$17=0,0,G19/B$17)</f>
        <v>1.3888888888888888E-2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23.990909090909092</v>
      </c>
      <c r="P19" s="119">
        <v>33</v>
      </c>
      <c r="Q19" s="107">
        <v>791.7</v>
      </c>
    </row>
    <row r="20" spans="1:17" x14ac:dyDescent="0.4">
      <c r="A20" s="55" t="s">
        <v>13</v>
      </c>
      <c r="B20" s="47">
        <v>159</v>
      </c>
      <c r="C20" s="39">
        <f>IF(B$3=0,0,B20/B$3)</f>
        <v>0.15451895043731778</v>
      </c>
      <c r="E20" s="63" t="s">
        <v>74</v>
      </c>
      <c r="F20" s="60" t="s">
        <v>29</v>
      </c>
      <c r="G20" s="47">
        <v>2</v>
      </c>
      <c r="H20" s="133">
        <f>IF(B$17=0,0,G20/B$17)</f>
        <v>5.5555555555555558E-3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5.5555555555555558E-3</v>
      </c>
      <c r="I21" s="94">
        <v>3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76</v>
      </c>
      <c r="F22" s="60" t="s">
        <v>31</v>
      </c>
      <c r="G22" s="47">
        <v>1</v>
      </c>
      <c r="H22" s="133">
        <f>IF(B$17=0,0,G22/B$17)</f>
        <v>2.7777777777777779E-3</v>
      </c>
      <c r="I22" s="94">
        <v>7</v>
      </c>
      <c r="K22" s="38">
        <v>20</v>
      </c>
      <c r="L22" s="99">
        <v>469.6</v>
      </c>
      <c r="N22" s="115" t="s">
        <v>128</v>
      </c>
      <c r="O22" s="125">
        <f>IF(P22=0,0,Q22/P22)</f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9205</v>
      </c>
      <c r="C23" s="41">
        <v>3313800</v>
      </c>
      <c r="E23" s="63" t="s">
        <v>78</v>
      </c>
      <c r="F23" s="60" t="s">
        <v>33</v>
      </c>
      <c r="G23" s="47">
        <v>1</v>
      </c>
      <c r="H23" s="133">
        <f>IF(B$17=0,0,G23/B$17)</f>
        <v>2.7777777777777779E-3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-2.5531914893619577E-2</v>
      </c>
      <c r="P23" s="119">
        <v>47</v>
      </c>
      <c r="Q23" s="107">
        <v>-1.2000000000001201</v>
      </c>
    </row>
    <row r="24" spans="1:17" x14ac:dyDescent="0.4">
      <c r="A24" s="57" t="s">
        <v>14</v>
      </c>
      <c r="B24" s="52">
        <f>IF(B$20=0,0,C24/B$20)</f>
        <v>-8233.3333333333339</v>
      </c>
      <c r="C24" s="45">
        <v>-1309100</v>
      </c>
      <c r="E24" s="63" t="s">
        <v>85</v>
      </c>
      <c r="F24" s="60" t="s">
        <v>40</v>
      </c>
      <c r="G24" s="47">
        <v>1</v>
      </c>
      <c r="H24" s="133">
        <f>IF(B$17=0,0,G24/B$17)</f>
        <v>2.7777777777777779E-3</v>
      </c>
      <c r="I24" s="94">
        <v>4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86</v>
      </c>
      <c r="F25" s="60" t="s">
        <v>41</v>
      </c>
      <c r="G25" s="47">
        <v>1</v>
      </c>
      <c r="H25" s="133">
        <f>IF(B$17=0,0,G25/B$17)</f>
        <v>2.7777777777777779E-3</v>
      </c>
      <c r="I25" s="94">
        <v>2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1</v>
      </c>
      <c r="H26" s="133">
        <f>IF(B$17=0,0,G26/B$17)</f>
        <v>2.7777777777777779E-3</v>
      </c>
      <c r="I26" s="94">
        <v>6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9.7181729834791054E-4</v>
      </c>
      <c r="E27" s="63" t="s">
        <v>91</v>
      </c>
      <c r="F27" s="60" t="s">
        <v>46</v>
      </c>
      <c r="G27" s="47">
        <v>1</v>
      </c>
      <c r="H27" s="133">
        <f>IF(B$17=0,0,G27/B$17)</f>
        <v>2.7777777777777779E-3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2.7777777777777779E-3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2.7777777777777779E-3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E2CBA-37F2-4102-BBDC-57BDC2FCAC6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0.76356589147286824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65</v>
      </c>
      <c r="F3" s="60" t="s">
        <v>21</v>
      </c>
      <c r="G3" s="47">
        <v>156</v>
      </c>
      <c r="H3" s="133">
        <f>IF(B$17=0,0,G3/B$17)</f>
        <v>0.60465116279069764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73</v>
      </c>
      <c r="F4" s="60" t="s">
        <v>28</v>
      </c>
      <c r="G4" s="47">
        <v>120</v>
      </c>
      <c r="H4" s="133">
        <f>IF(B$17=0,0,G4/B$17)</f>
        <v>0.46511627906976744</v>
      </c>
      <c r="I4" s="94">
        <v>9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181</v>
      </c>
      <c r="F5" s="60" t="s">
        <v>182</v>
      </c>
      <c r="G5" s="47">
        <v>114</v>
      </c>
      <c r="H5" s="133">
        <f>IF(B$17=0,0,G5/B$17)</f>
        <v>0.44186046511627908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0.36434108527131781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69</v>
      </c>
      <c r="F7" s="60" t="s">
        <v>12</v>
      </c>
      <c r="G7" s="47">
        <v>88</v>
      </c>
      <c r="H7" s="133">
        <f>IF(B$17=0,0,G7/B$17)</f>
        <v>0.34108527131782945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70</v>
      </c>
      <c r="F8" s="60" t="s">
        <v>25</v>
      </c>
      <c r="G8" s="47">
        <v>58</v>
      </c>
      <c r="H8" s="133">
        <f>IF(B$17=0,0,G8/B$17)</f>
        <v>0.22480620155038761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66</v>
      </c>
      <c r="F9" s="60" t="s">
        <v>22</v>
      </c>
      <c r="G9" s="47">
        <v>41</v>
      </c>
      <c r="H9" s="133">
        <f>IF(B$17=0,0,G9/B$17)</f>
        <v>0.15891472868217055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71</v>
      </c>
      <c r="F10" s="60" t="s">
        <v>26</v>
      </c>
      <c r="G10" s="47">
        <v>31</v>
      </c>
      <c r="H10" s="133">
        <f>IF(B$17=0,0,G10/B$17)</f>
        <v>0.12015503875968993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90</v>
      </c>
      <c r="F11" s="60" t="s">
        <v>45</v>
      </c>
      <c r="G11" s="47">
        <v>25</v>
      </c>
      <c r="H11" s="133">
        <f>IF(B$17=0,0,G11/B$17)</f>
        <v>9.6899224806201556E-2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72</v>
      </c>
      <c r="F12" s="60" t="s">
        <v>27</v>
      </c>
      <c r="G12" s="47">
        <v>14</v>
      </c>
      <c r="H12" s="133">
        <f>IF(B$17=0,0,G12/B$17)</f>
        <v>5.4263565891472867E-2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87</v>
      </c>
      <c r="F13" s="60" t="s">
        <v>42</v>
      </c>
      <c r="G13" s="47">
        <v>14</v>
      </c>
      <c r="H13" s="133">
        <f>IF(B$17=0,0,G13/B$17)</f>
        <v>5.4263565891472867E-2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84</v>
      </c>
      <c r="F14" s="60" t="s">
        <v>39</v>
      </c>
      <c r="G14" s="47">
        <v>10</v>
      </c>
      <c r="H14" s="133">
        <f>IF(B$17=0,0,G14/B$17)</f>
        <v>3.875968992248062E-2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82</v>
      </c>
      <c r="F15" s="60" t="s">
        <v>37</v>
      </c>
      <c r="G15" s="47">
        <v>8</v>
      </c>
      <c r="H15" s="133">
        <f>IF(B$17=0,0,G15/B$17)</f>
        <v>3.1007751937984496E-2</v>
      </c>
      <c r="I15" s="94">
        <v>4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92</v>
      </c>
      <c r="F16" s="60" t="s">
        <v>47</v>
      </c>
      <c r="G16" s="47">
        <v>6</v>
      </c>
      <c r="H16" s="133">
        <f>IF(B$17=0,0,G16/B$17)</f>
        <v>2.3255813953488372E-2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180</v>
      </c>
      <c r="F18" s="60" t="s">
        <v>183</v>
      </c>
      <c r="G18" s="47">
        <v>5</v>
      </c>
      <c r="H18" s="133">
        <f>IF(B$17=0,0,G18/B$17)</f>
        <v>1.937984496124031E-2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79</v>
      </c>
      <c r="F19" s="60" t="s">
        <v>34</v>
      </c>
      <c r="G19" s="47">
        <v>4</v>
      </c>
      <c r="H19" s="133">
        <f>IF(B$17=0,0,G19/B$17)</f>
        <v>1.5503875968992248E-2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74</v>
      </c>
      <c r="F20" s="60" t="s">
        <v>29</v>
      </c>
      <c r="G20" s="47">
        <v>2</v>
      </c>
      <c r="H20" s="133">
        <f>IF(B$17=0,0,G20/B$17)</f>
        <v>7.7519379844961239E-3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7.7519379844961239E-3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76</v>
      </c>
      <c r="F22" s="60" t="s">
        <v>31</v>
      </c>
      <c r="G22" s="47">
        <v>2</v>
      </c>
      <c r="H22" s="133">
        <f>IF(B$17=0,0,G22/B$17)</f>
        <v>7.7519379844961239E-3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78</v>
      </c>
      <c r="F23" s="60" t="s">
        <v>33</v>
      </c>
      <c r="G23" s="47">
        <v>1</v>
      </c>
      <c r="H23" s="133">
        <f>IF(B$17=0,0,G23/B$17)</f>
        <v>3.875968992248062E-3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85</v>
      </c>
      <c r="F24" s="60" t="s">
        <v>40</v>
      </c>
      <c r="G24" s="47">
        <v>1</v>
      </c>
      <c r="H24" s="133">
        <f>IF(B$17=0,0,G24/B$17)</f>
        <v>3.875968992248062E-3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3.875968992248062E-3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3.875968992248062E-3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94</v>
      </c>
      <c r="F27" s="60" t="s">
        <v>49</v>
      </c>
      <c r="G27" s="47">
        <v>1</v>
      </c>
      <c r="H27" s="133">
        <f>IF(B$17=0,0,G27/B$17)</f>
        <v>3.875968992248062E-3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3.875968992248062E-3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1F3E6-FF15-4C3B-8BEC-532C8E294859}">
  <sheetPr codeName="Sheet11"/>
  <dimension ref="A1:Q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67</v>
      </c>
      <c r="C2" s="147"/>
      <c r="E2" s="62" t="s">
        <v>67</v>
      </c>
      <c r="F2" s="59" t="s">
        <v>23</v>
      </c>
      <c r="G2" s="46">
        <v>111</v>
      </c>
      <c r="H2" s="132">
        <f>IF(B$17=0,0,G2/B$17)</f>
        <v>0.88800000000000001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-1743.2835820895523</v>
      </c>
      <c r="P2" s="118">
        <v>67</v>
      </c>
      <c r="Q2" s="102">
        <v>-116800</v>
      </c>
    </row>
    <row r="3" spans="1:17" x14ac:dyDescent="0.4">
      <c r="A3" s="55" t="s">
        <v>8</v>
      </c>
      <c r="B3" s="148">
        <v>553</v>
      </c>
      <c r="C3" s="149"/>
      <c r="E3" s="63" t="s">
        <v>65</v>
      </c>
      <c r="F3" s="60" t="s">
        <v>21</v>
      </c>
      <c r="G3" s="47">
        <v>71</v>
      </c>
      <c r="H3" s="133">
        <f>IF(B$17=0,0,G3/B$17)</f>
        <v>0.56799999999999995</v>
      </c>
      <c r="I3" s="94">
        <v>6</v>
      </c>
      <c r="K3" s="38">
        <v>1</v>
      </c>
      <c r="L3" s="99">
        <v>-40.4</v>
      </c>
      <c r="N3" s="115" t="s">
        <v>133</v>
      </c>
      <c r="O3" s="122">
        <f t="shared" si="0"/>
        <v>-1200</v>
      </c>
      <c r="P3" s="119">
        <v>65</v>
      </c>
      <c r="Q3" s="103">
        <v>-78000</v>
      </c>
    </row>
    <row r="4" spans="1:17" x14ac:dyDescent="0.4">
      <c r="A4" s="55" t="s">
        <v>6</v>
      </c>
      <c r="B4" s="150">
        <v>-1123.7999999999997</v>
      </c>
      <c r="C4" s="151"/>
      <c r="E4" s="63" t="s">
        <v>69</v>
      </c>
      <c r="F4" s="60" t="s">
        <v>12</v>
      </c>
      <c r="G4" s="47">
        <v>53</v>
      </c>
      <c r="H4" s="133">
        <f>IF(B$17=0,0,G4/B$17)</f>
        <v>0.42399999999999999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-1018.0327868852459</v>
      </c>
      <c r="P4" s="119">
        <v>61</v>
      </c>
      <c r="Q4" s="103">
        <v>-62100</v>
      </c>
    </row>
    <row r="5" spans="1:17" x14ac:dyDescent="0.4">
      <c r="A5" s="55" t="s">
        <v>7</v>
      </c>
      <c r="B5" s="152">
        <f>IF(B$2=0,0,B$4/B$2)</f>
        <v>-16.773134328358204</v>
      </c>
      <c r="C5" s="153"/>
      <c r="E5" s="63" t="s">
        <v>181</v>
      </c>
      <c r="F5" s="60" t="s">
        <v>182</v>
      </c>
      <c r="G5" s="47">
        <v>48</v>
      </c>
      <c r="H5" s="133">
        <f>IF(B$17=0,0,G5/B$17)</f>
        <v>0.38400000000000001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-5413.2075471698117</v>
      </c>
      <c r="P5" s="119">
        <v>53</v>
      </c>
      <c r="Q5" s="103">
        <v>-286900</v>
      </c>
    </row>
    <row r="6" spans="1:17" x14ac:dyDescent="0.4">
      <c r="A6" s="55" t="s">
        <v>1</v>
      </c>
      <c r="B6" s="142">
        <f>IF(B$2=0,0,(B$7*1+B$8*2+B$9*3)/B$2)</f>
        <v>2.283582089552239</v>
      </c>
      <c r="C6" s="143"/>
      <c r="E6" s="63" t="s">
        <v>73</v>
      </c>
      <c r="F6" s="60" t="s">
        <v>28</v>
      </c>
      <c r="G6" s="47">
        <v>43</v>
      </c>
      <c r="H6" s="133">
        <f>IF(B$17=0,0,G6/B$17)</f>
        <v>0.34399999999999997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-2142.5531914893618</v>
      </c>
      <c r="P6" s="119">
        <v>47</v>
      </c>
      <c r="Q6" s="103">
        <v>-100700</v>
      </c>
    </row>
    <row r="7" spans="1:17" x14ac:dyDescent="0.4">
      <c r="A7" s="55" t="s">
        <v>2</v>
      </c>
      <c r="B7" s="47">
        <v>15</v>
      </c>
      <c r="C7" s="39">
        <f>IF(B$2=0,0,B7/B$2)</f>
        <v>0.22388059701492538</v>
      </c>
      <c r="E7" s="63" t="s">
        <v>68</v>
      </c>
      <c r="F7" s="60" t="s">
        <v>24</v>
      </c>
      <c r="G7" s="47">
        <v>41</v>
      </c>
      <c r="H7" s="133">
        <f>IF(B$17=0,0,G7/B$17)</f>
        <v>0.32800000000000001</v>
      </c>
      <c r="I7" s="94">
        <v>8</v>
      </c>
      <c r="K7" s="38">
        <v>5</v>
      </c>
      <c r="L7" s="99">
        <v>-32.199999999999996</v>
      </c>
      <c r="N7" s="116" t="s">
        <v>137</v>
      </c>
      <c r="O7" s="123">
        <f t="shared" si="0"/>
        <v>-2100</v>
      </c>
      <c r="P7" s="120">
        <v>44</v>
      </c>
      <c r="Q7" s="104">
        <v>-92400</v>
      </c>
    </row>
    <row r="8" spans="1:17" x14ac:dyDescent="0.4">
      <c r="A8" s="55" t="s">
        <v>3</v>
      </c>
      <c r="B8" s="47">
        <v>18</v>
      </c>
      <c r="C8" s="39">
        <f>IF(B$2=0,0,B8/B$2)</f>
        <v>0.26865671641791045</v>
      </c>
      <c r="E8" s="63" t="s">
        <v>70</v>
      </c>
      <c r="F8" s="60" t="s">
        <v>25</v>
      </c>
      <c r="G8" s="47">
        <v>27</v>
      </c>
      <c r="H8" s="133">
        <f>IF(B$17=0,0,G8/B$17)</f>
        <v>0.216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0.5074626865671642</v>
      </c>
      <c r="E9" s="63" t="s">
        <v>71</v>
      </c>
      <c r="F9" s="60" t="s">
        <v>26</v>
      </c>
      <c r="G9" s="47">
        <v>20</v>
      </c>
      <c r="H9" s="133">
        <f>IF(B$17=0,0,G9/B$17)</f>
        <v>0.16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0.17910447761194029</v>
      </c>
      <c r="E10" s="63" t="s">
        <v>72</v>
      </c>
      <c r="F10" s="60" t="s">
        <v>27</v>
      </c>
      <c r="G10" s="47">
        <v>13</v>
      </c>
      <c r="H10" s="133">
        <f>IF(B$17=0,0,G10/B$17)</f>
        <v>0.104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7</v>
      </c>
      <c r="C11" s="40">
        <f>IF(B$2=0,0,B11/B$2)</f>
        <v>0.1044776119402985</v>
      </c>
      <c r="E11" s="63" t="s">
        <v>90</v>
      </c>
      <c r="F11" s="60" t="s">
        <v>45</v>
      </c>
      <c r="G11" s="47">
        <v>11</v>
      </c>
      <c r="H11" s="133">
        <f>IF(B$17=0,0,G11/B$17)</f>
        <v>8.7999999999999995E-2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-13.321428571428575</v>
      </c>
      <c r="P11" s="119">
        <v>28</v>
      </c>
      <c r="Q11" s="107">
        <v>-373.00000000000011</v>
      </c>
    </row>
    <row r="12" spans="1:17" x14ac:dyDescent="0.4">
      <c r="A12" s="57" t="s">
        <v>160</v>
      </c>
      <c r="B12" s="49">
        <v>5</v>
      </c>
      <c r="C12" s="42">
        <f>IF(B$2=0,0,B12/B$2)</f>
        <v>7.4626865671641784E-2</v>
      </c>
      <c r="E12" s="63" t="s">
        <v>66</v>
      </c>
      <c r="F12" s="60" t="s">
        <v>22</v>
      </c>
      <c r="G12" s="47">
        <v>9</v>
      </c>
      <c r="H12" s="133">
        <f>IF(B$17=0,0,G12/B$17)</f>
        <v>7.1999999999999995E-2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148</v>
      </c>
      <c r="C13" s="44">
        <f>IF(B$3=0,0,B13/B$3)</f>
        <v>0.26763110307414106</v>
      </c>
      <c r="E13" s="63" t="s">
        <v>87</v>
      </c>
      <c r="F13" s="60" t="s">
        <v>42</v>
      </c>
      <c r="G13" s="47">
        <v>9</v>
      </c>
      <c r="H13" s="133">
        <f>IF(B$17=0,0,G13/B$17)</f>
        <v>7.1999999999999995E-2</v>
      </c>
      <c r="I13" s="94">
        <v>3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92</v>
      </c>
      <c r="C14" s="39">
        <f>IF(B$3=0,0,B14/B$3)</f>
        <v>0.16636528028933092</v>
      </c>
      <c r="E14" s="63" t="s">
        <v>84</v>
      </c>
      <c r="F14" s="60" t="s">
        <v>39</v>
      </c>
      <c r="G14" s="47">
        <v>5</v>
      </c>
      <c r="H14" s="133">
        <f>IF(B$17=0,0,G14/B$17)</f>
        <v>0.04</v>
      </c>
      <c r="I14" s="94">
        <v>8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</v>
      </c>
      <c r="E15" s="63" t="s">
        <v>79</v>
      </c>
      <c r="F15" s="60" t="s">
        <v>34</v>
      </c>
      <c r="G15" s="47">
        <v>4</v>
      </c>
      <c r="H15" s="133">
        <f>IF(B$17=0,0,G15/B$17)</f>
        <v>3.2000000000000001E-2</v>
      </c>
      <c r="I15" s="94">
        <v>5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21</v>
      </c>
      <c r="C16" s="37">
        <f>IF(B$14=0,0,B16/B$14)</f>
        <v>0.22826086956521738</v>
      </c>
      <c r="E16" s="63" t="s">
        <v>75</v>
      </c>
      <c r="F16" s="60" t="s">
        <v>30</v>
      </c>
      <c r="G16" s="47">
        <v>2</v>
      </c>
      <c r="H16" s="133">
        <f>IF(B$17=0,0,G16/B$17)</f>
        <v>1.6E-2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125</v>
      </c>
      <c r="C17" s="37">
        <f>IF(B$3=0,0,B17/B$3)</f>
        <v>0.22603978300180833</v>
      </c>
      <c r="E17" s="63" t="s">
        <v>82</v>
      </c>
      <c r="F17" s="60" t="s">
        <v>37</v>
      </c>
      <c r="G17" s="47">
        <v>2</v>
      </c>
      <c r="H17" s="133">
        <f>IF(B$17=0,0,G17/B$17)</f>
        <v>1.6E-2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61</v>
      </c>
      <c r="C18" s="39">
        <f>IF(B$17=0,0,B18/B$17)</f>
        <v>0.48799999999999999</v>
      </c>
      <c r="E18" s="63" t="s">
        <v>94</v>
      </c>
      <c r="F18" s="60" t="s">
        <v>49</v>
      </c>
      <c r="G18" s="47">
        <v>2</v>
      </c>
      <c r="H18" s="133">
        <f>IF(B$17=0,0,G18/B$17)</f>
        <v>1.6E-2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64</v>
      </c>
      <c r="C19" s="39">
        <f>IF(B$17=0,0,B19/B$17)</f>
        <v>0.51200000000000001</v>
      </c>
      <c r="E19" s="63" t="s">
        <v>78</v>
      </c>
      <c r="F19" s="60" t="s">
        <v>33</v>
      </c>
      <c r="G19" s="47">
        <v>1</v>
      </c>
      <c r="H19" s="133">
        <f>IF(B$17=0,0,G19/B$17)</f>
        <v>8.0000000000000002E-3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-26.328571428571429</v>
      </c>
      <c r="P19" s="119">
        <v>21</v>
      </c>
      <c r="Q19" s="107">
        <v>-552.9</v>
      </c>
    </row>
    <row r="20" spans="1:17" x14ac:dyDescent="0.4">
      <c r="A20" s="55" t="s">
        <v>13</v>
      </c>
      <c r="B20" s="47">
        <v>107</v>
      </c>
      <c r="C20" s="39">
        <f>IF(B$3=0,0,B20/B$3)</f>
        <v>0.19349005424954793</v>
      </c>
      <c r="E20" s="63" t="s">
        <v>80</v>
      </c>
      <c r="F20" s="60" t="s">
        <v>35</v>
      </c>
      <c r="G20" s="47">
        <v>1</v>
      </c>
      <c r="H20" s="133">
        <f>IF(B$17=0,0,G20/B$17)</f>
        <v>8.0000000000000002E-3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-35.342500000000015</v>
      </c>
      <c r="P20" s="119">
        <v>40</v>
      </c>
      <c r="Q20" s="107">
        <v>-1413.7000000000005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8.0000000000000002E-3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89</v>
      </c>
      <c r="F22" s="60" t="s">
        <v>44</v>
      </c>
      <c r="G22" s="47">
        <v>1</v>
      </c>
      <c r="H22" s="133">
        <f>IF(B$17=0,0,G22/B$17)</f>
        <v>8.0000000000000002E-3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8896.7999999999993</v>
      </c>
      <c r="C23" s="41">
        <v>1112100</v>
      </c>
      <c r="E23" s="63" t="s">
        <v>92</v>
      </c>
      <c r="F23" s="60" t="s">
        <v>47</v>
      </c>
      <c r="G23" s="47">
        <v>1</v>
      </c>
      <c r="H23" s="133">
        <f>IF(B$17=0,0,G23/B$17)</f>
        <v>8.0000000000000002E-3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-9513.0841121495323</v>
      </c>
      <c r="C24" s="45">
        <v>-1017900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1.8083182640144665E-3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CE30F-E13F-4FFB-96FA-76FE87A50D23}">
  <sheetPr codeName="Sheet13"/>
  <dimension ref="A1:Q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79</v>
      </c>
      <c r="C2" s="147"/>
      <c r="E2" s="62" t="s">
        <v>67</v>
      </c>
      <c r="F2" s="59" t="s">
        <v>23</v>
      </c>
      <c r="G2" s="46">
        <v>162</v>
      </c>
      <c r="H2" s="132">
        <f>IF(B$17=0,0,G2/B$17)</f>
        <v>0.86631016042780751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-1070.8860759493671</v>
      </c>
      <c r="P2" s="118">
        <v>79</v>
      </c>
      <c r="Q2" s="102">
        <v>-84600</v>
      </c>
    </row>
    <row r="3" spans="1:17" x14ac:dyDescent="0.4">
      <c r="A3" s="55" t="s">
        <v>8</v>
      </c>
      <c r="B3" s="148">
        <v>659</v>
      </c>
      <c r="C3" s="149"/>
      <c r="E3" s="63" t="s">
        <v>65</v>
      </c>
      <c r="F3" s="60" t="s">
        <v>21</v>
      </c>
      <c r="G3" s="47">
        <v>103</v>
      </c>
      <c r="H3" s="133">
        <f>IF(B$17=0,0,G3/B$17)</f>
        <v>0.55080213903743314</v>
      </c>
      <c r="I3" s="94">
        <v>8</v>
      </c>
      <c r="K3" s="38">
        <v>1</v>
      </c>
      <c r="L3" s="99">
        <v>-51.2</v>
      </c>
      <c r="N3" s="115" t="s">
        <v>133</v>
      </c>
      <c r="O3" s="122">
        <f t="shared" si="0"/>
        <v>1011.5384615384615</v>
      </c>
      <c r="P3" s="119">
        <v>78</v>
      </c>
      <c r="Q3" s="103">
        <v>78900</v>
      </c>
    </row>
    <row r="4" spans="1:17" x14ac:dyDescent="0.4">
      <c r="A4" s="55" t="s">
        <v>6</v>
      </c>
      <c r="B4" s="150">
        <v>118.49999999999999</v>
      </c>
      <c r="C4" s="151"/>
      <c r="E4" s="63" t="s">
        <v>73</v>
      </c>
      <c r="F4" s="60" t="s">
        <v>28</v>
      </c>
      <c r="G4" s="47">
        <v>99</v>
      </c>
      <c r="H4" s="133">
        <f>IF(B$17=0,0,G4/B$17)</f>
        <v>0.52941176470588236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0"/>
        <v>1584.7222222222222</v>
      </c>
      <c r="P4" s="119">
        <v>72</v>
      </c>
      <c r="Q4" s="103">
        <v>114100</v>
      </c>
    </row>
    <row r="5" spans="1:17" x14ac:dyDescent="0.4">
      <c r="A5" s="55" t="s">
        <v>7</v>
      </c>
      <c r="B5" s="152">
        <f>IF(B$2=0,0,B$4/B$2)</f>
        <v>1.4999999999999998</v>
      </c>
      <c r="C5" s="153"/>
      <c r="E5" s="63" t="s">
        <v>181</v>
      </c>
      <c r="F5" s="60" t="s">
        <v>182</v>
      </c>
      <c r="G5" s="47">
        <v>75</v>
      </c>
      <c r="H5" s="133">
        <f>IF(B$17=0,0,G5/B$17)</f>
        <v>0.40106951871657753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1145.1612903225807</v>
      </c>
      <c r="P5" s="119">
        <v>62</v>
      </c>
      <c r="Q5" s="103">
        <v>71000</v>
      </c>
    </row>
    <row r="6" spans="1:17" x14ac:dyDescent="0.4">
      <c r="A6" s="55" t="s">
        <v>1</v>
      </c>
      <c r="B6" s="142">
        <f>IF(B$2=0,0,(B$7*1+B$8*2+B$9*3)/B$2)</f>
        <v>2.037974683544304</v>
      </c>
      <c r="C6" s="143"/>
      <c r="E6" s="63" t="s">
        <v>68</v>
      </c>
      <c r="F6" s="60" t="s">
        <v>24</v>
      </c>
      <c r="G6" s="47">
        <v>63</v>
      </c>
      <c r="H6" s="133">
        <f>IF(B$17=0,0,G6/B$17)</f>
        <v>0.33689839572192515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-677.77777777777783</v>
      </c>
      <c r="P6" s="119">
        <v>54</v>
      </c>
      <c r="Q6" s="103">
        <v>-36600</v>
      </c>
    </row>
    <row r="7" spans="1:17" x14ac:dyDescent="0.4">
      <c r="A7" s="55" t="s">
        <v>2</v>
      </c>
      <c r="B7" s="47">
        <v>24</v>
      </c>
      <c r="C7" s="39">
        <f>IF(B$2=0,0,B7/B$2)</f>
        <v>0.30379746835443039</v>
      </c>
      <c r="E7" s="63" t="s">
        <v>69</v>
      </c>
      <c r="F7" s="60" t="s">
        <v>12</v>
      </c>
      <c r="G7" s="47">
        <v>58</v>
      </c>
      <c r="H7" s="133">
        <f>IF(B$17=0,0,G7/B$17)</f>
        <v>0.31016042780748665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134</v>
      </c>
      <c r="P7" s="120">
        <v>50</v>
      </c>
      <c r="Q7" s="104">
        <v>6700</v>
      </c>
    </row>
    <row r="8" spans="1:17" x14ac:dyDescent="0.4">
      <c r="A8" s="55" t="s">
        <v>3</v>
      </c>
      <c r="B8" s="47">
        <v>28</v>
      </c>
      <c r="C8" s="39">
        <f>IF(B$2=0,0,B8/B$2)</f>
        <v>0.35443037974683544</v>
      </c>
      <c r="E8" s="63" t="s">
        <v>70</v>
      </c>
      <c r="F8" s="60" t="s">
        <v>25</v>
      </c>
      <c r="G8" s="47">
        <v>37</v>
      </c>
      <c r="H8" s="133">
        <f>IF(B$17=0,0,G8/B$17)</f>
        <v>0.19786096256684493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0.34177215189873417</v>
      </c>
      <c r="E9" s="63" t="s">
        <v>90</v>
      </c>
      <c r="F9" s="60" t="s">
        <v>45</v>
      </c>
      <c r="G9" s="47">
        <v>30</v>
      </c>
      <c r="H9" s="133">
        <f>IF(B$17=0,0,G9/B$17)</f>
        <v>0.16042780748663102</v>
      </c>
      <c r="I9" s="94">
        <v>4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7.5949367088607597E-2</v>
      </c>
      <c r="E10" s="63" t="s">
        <v>66</v>
      </c>
      <c r="F10" s="60" t="s">
        <v>22</v>
      </c>
      <c r="G10" s="47">
        <v>26</v>
      </c>
      <c r="H10" s="133">
        <f>IF(B$17=0,0,G10/B$17)</f>
        <v>0.13903743315508021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0.12658227848101267</v>
      </c>
      <c r="E11" s="63" t="s">
        <v>71</v>
      </c>
      <c r="F11" s="60" t="s">
        <v>26</v>
      </c>
      <c r="G11" s="47">
        <v>20</v>
      </c>
      <c r="H11" s="133">
        <f>IF(B$17=0,0,G11/B$17)</f>
        <v>0.10695187165775401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-4.1161290322580628</v>
      </c>
      <c r="P11" s="119">
        <v>31</v>
      </c>
      <c r="Q11" s="107">
        <v>-127.59999999999995</v>
      </c>
    </row>
    <row r="12" spans="1:17" x14ac:dyDescent="0.4">
      <c r="A12" s="57" t="s">
        <v>160</v>
      </c>
      <c r="B12" s="49">
        <v>6</v>
      </c>
      <c r="C12" s="42">
        <f>IF(B$2=0,0,B12/B$2)</f>
        <v>7.5949367088607597E-2</v>
      </c>
      <c r="E12" s="63" t="s">
        <v>87</v>
      </c>
      <c r="F12" s="60" t="s">
        <v>42</v>
      </c>
      <c r="G12" s="47">
        <v>13</v>
      </c>
      <c r="H12" s="133">
        <f>IF(B$17=0,0,G12/B$17)</f>
        <v>6.9518716577540107E-2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191</v>
      </c>
      <c r="C13" s="44">
        <f>IF(B$3=0,0,B13/B$3)</f>
        <v>0.2898330804248862</v>
      </c>
      <c r="E13" s="63" t="s">
        <v>72</v>
      </c>
      <c r="F13" s="60" t="s">
        <v>27</v>
      </c>
      <c r="G13" s="47">
        <v>12</v>
      </c>
      <c r="H13" s="133">
        <f>IF(B$17=0,0,G13/B$17)</f>
        <v>6.4171122994652413E-2</v>
      </c>
      <c r="I13" s="94">
        <v>6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128</v>
      </c>
      <c r="C14" s="39">
        <f>IF(B$3=0,0,B14/B$3)</f>
        <v>0.19423368740515934</v>
      </c>
      <c r="E14" s="63" t="s">
        <v>79</v>
      </c>
      <c r="F14" s="60" t="s">
        <v>34</v>
      </c>
      <c r="G14" s="47">
        <v>9</v>
      </c>
      <c r="H14" s="133">
        <f>IF(B$17=0,0,G14/B$17)</f>
        <v>4.8128342245989303E-2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110</v>
      </c>
      <c r="C15" s="37">
        <f>IF(B$13=0,0,B15/B$13)</f>
        <v>0.5759162303664922</v>
      </c>
      <c r="E15" s="63" t="s">
        <v>84</v>
      </c>
      <c r="F15" s="60" t="s">
        <v>39</v>
      </c>
      <c r="G15" s="47">
        <v>8</v>
      </c>
      <c r="H15" s="133">
        <f>IF(B$17=0,0,G15/B$17)</f>
        <v>4.2780748663101602E-2</v>
      </c>
      <c r="I15" s="94">
        <v>7</v>
      </c>
      <c r="K15" s="38">
        <v>13</v>
      </c>
      <c r="L15" s="99">
        <v>-58.7</v>
      </c>
      <c r="N15" s="114" t="s">
        <v>129</v>
      </c>
      <c r="O15" s="124">
        <f>IF(P15=0,0,Q15/P15)</f>
        <v>26.328571428571422</v>
      </c>
      <c r="P15" s="118">
        <v>21</v>
      </c>
      <c r="Q15" s="106">
        <v>552.89999999999986</v>
      </c>
    </row>
    <row r="16" spans="1:17" x14ac:dyDescent="0.4">
      <c r="A16" s="54" t="s">
        <v>125</v>
      </c>
      <c r="B16" s="46">
        <v>52</v>
      </c>
      <c r="C16" s="37">
        <f>IF(B$14=0,0,B16/B$14)</f>
        <v>0.40625</v>
      </c>
      <c r="E16" s="63" t="s">
        <v>82</v>
      </c>
      <c r="F16" s="60" t="s">
        <v>37</v>
      </c>
      <c r="G16" s="47">
        <v>7</v>
      </c>
      <c r="H16" s="133">
        <f>IF(B$17=0,0,G16/B$17)</f>
        <v>3.7433155080213901E-2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187</v>
      </c>
      <c r="C17" s="37">
        <f>IF(B$3=0,0,B17/B$3)</f>
        <v>0.28376327769347498</v>
      </c>
      <c r="E17" s="63" t="s">
        <v>92</v>
      </c>
      <c r="F17" s="60" t="s">
        <v>47</v>
      </c>
      <c r="G17" s="47">
        <v>4</v>
      </c>
      <c r="H17" s="133">
        <f>IF(B$17=0,0,G17/B$17)</f>
        <v>2.1390374331550801E-2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79</v>
      </c>
      <c r="C18" s="39">
        <f>IF(B$17=0,0,B18/B$17)</f>
        <v>0.42245989304812837</v>
      </c>
      <c r="E18" s="63" t="s">
        <v>180</v>
      </c>
      <c r="F18" s="60" t="s">
        <v>183</v>
      </c>
      <c r="G18" s="47">
        <v>4</v>
      </c>
      <c r="H18" s="133">
        <f>IF(B$17=0,0,G18/B$17)</f>
        <v>2.1390374331550801E-2</v>
      </c>
      <c r="I18" s="94">
        <v>2</v>
      </c>
      <c r="K18" s="38">
        <v>16</v>
      </c>
      <c r="L18" s="99">
        <v>-50.3</v>
      </c>
      <c r="N18" s="115" t="s">
        <v>128</v>
      </c>
      <c r="O18" s="125">
        <f>IF(P18=0,0,Q18/P18)</f>
        <v>2.3171428571428523</v>
      </c>
      <c r="P18" s="119">
        <v>35</v>
      </c>
      <c r="Q18" s="107">
        <v>81.099999999999824</v>
      </c>
    </row>
    <row r="19" spans="1:17" x14ac:dyDescent="0.4">
      <c r="A19" s="55" t="s">
        <v>11</v>
      </c>
      <c r="B19" s="47">
        <v>108</v>
      </c>
      <c r="C19" s="39">
        <f>IF(B$17=0,0,B19/B$17)</f>
        <v>0.57754010695187163</v>
      </c>
      <c r="E19" s="63" t="s">
        <v>76</v>
      </c>
      <c r="F19" s="60" t="s">
        <v>31</v>
      </c>
      <c r="G19" s="47">
        <v>3</v>
      </c>
      <c r="H19" s="133">
        <f>IF(B$17=0,0,G19/B$17)</f>
        <v>1.6042780748663103E-2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1.1473684210526311</v>
      </c>
      <c r="P19" s="119">
        <v>19</v>
      </c>
      <c r="Q19" s="107">
        <v>21.799999999999994</v>
      </c>
    </row>
    <row r="20" spans="1:17" x14ac:dyDescent="0.4">
      <c r="A20" s="55" t="s">
        <v>13</v>
      </c>
      <c r="B20" s="47">
        <v>117</v>
      </c>
      <c r="C20" s="39">
        <f>IF(B$3=0,0,B20/B$3)</f>
        <v>0.17754172989377845</v>
      </c>
      <c r="E20" s="63" t="s">
        <v>80</v>
      </c>
      <c r="F20" s="60" t="s">
        <v>35</v>
      </c>
      <c r="G20" s="47">
        <v>3</v>
      </c>
      <c r="H20" s="133">
        <f>IF(B$17=0,0,G20/B$17)</f>
        <v>1.6042780748663103E-2</v>
      </c>
      <c r="I20" s="94">
        <v>6</v>
      </c>
      <c r="K20" s="38">
        <v>18</v>
      </c>
      <c r="L20" s="99">
        <v>-76.099999999999994</v>
      </c>
      <c r="N20" s="115" t="s">
        <v>127</v>
      </c>
      <c r="O20" s="125">
        <f>IF(P20=0,0,Q20/P20)</f>
        <v>2.5531914893621391E-2</v>
      </c>
      <c r="P20" s="119">
        <v>47</v>
      </c>
      <c r="Q20" s="107">
        <v>1.2000000000002053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85</v>
      </c>
      <c r="F21" s="60" t="s">
        <v>40</v>
      </c>
      <c r="G21" s="47">
        <v>2</v>
      </c>
      <c r="H21" s="133">
        <f>IF(B$17=0,0,G21/B$17)</f>
        <v>1.06951871657754E-2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4</v>
      </c>
      <c r="E22" s="63" t="s">
        <v>93</v>
      </c>
      <c r="F22" s="60" t="s">
        <v>48</v>
      </c>
      <c r="G22" s="47">
        <v>2</v>
      </c>
      <c r="H22" s="133">
        <f>IF(B$17=0,0,G22/B$17)</f>
        <v>1.06951871657754E-2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9977.5401069518721</v>
      </c>
      <c r="C23" s="41">
        <v>1865800</v>
      </c>
      <c r="E23" s="63" t="s">
        <v>74</v>
      </c>
      <c r="F23" s="60" t="s">
        <v>29</v>
      </c>
      <c r="G23" s="47">
        <v>1</v>
      </c>
      <c r="H23" s="133">
        <f>IF(B$17=0,0,G23/B$17)</f>
        <v>5.3475935828877002E-3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-8087.1794871794873</v>
      </c>
      <c r="C24" s="45">
        <v>-946200</v>
      </c>
      <c r="E24" s="63" t="s">
        <v>88</v>
      </c>
      <c r="F24" s="60" t="s">
        <v>43</v>
      </c>
      <c r="G24" s="47">
        <v>1</v>
      </c>
      <c r="H24" s="133">
        <f>IF(B$17=0,0,G24/B$17)</f>
        <v>5.3475935828877002E-3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5.3475935828877002E-3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1.5174506828528073E-3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BD0BA-E07C-42E4-9AFB-CB7ED8CD5116}">
  <sheetPr codeName="Sheet15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67</v>
      </c>
      <c r="F2" s="59" t="s">
        <v>23</v>
      </c>
      <c r="G2" s="46">
        <v>130</v>
      </c>
      <c r="H2" s="132">
        <f>IF(B$17=0,0,G2/B$17)</f>
        <v>0.67708333333333337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766.12903225806451</v>
      </c>
      <c r="P2" s="118">
        <v>62</v>
      </c>
      <c r="Q2" s="102">
        <v>47500</v>
      </c>
    </row>
    <row r="3" spans="1:17" x14ac:dyDescent="0.4">
      <c r="A3" s="55" t="s">
        <v>8</v>
      </c>
      <c r="B3" s="148">
        <v>535</v>
      </c>
      <c r="C3" s="149"/>
      <c r="E3" s="63" t="s">
        <v>73</v>
      </c>
      <c r="F3" s="60" t="s">
        <v>28</v>
      </c>
      <c r="G3" s="47">
        <v>112</v>
      </c>
      <c r="H3" s="133">
        <f>IF(B$17=0,0,G3/B$17)</f>
        <v>0.58333333333333337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-403.22580645161293</v>
      </c>
      <c r="P3" s="119">
        <v>62</v>
      </c>
      <c r="Q3" s="103">
        <v>-25000</v>
      </c>
    </row>
    <row r="4" spans="1:17" x14ac:dyDescent="0.4">
      <c r="A4" s="55" t="s">
        <v>6</v>
      </c>
      <c r="B4" s="150">
        <v>7.9999999999999822</v>
      </c>
      <c r="C4" s="151"/>
      <c r="E4" s="63" t="s">
        <v>181</v>
      </c>
      <c r="F4" s="60" t="s">
        <v>182</v>
      </c>
      <c r="G4" s="47">
        <v>87</v>
      </c>
      <c r="H4" s="133">
        <f>IF(B$17=0,0,G4/B$17)</f>
        <v>0.453125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-1281.8181818181818</v>
      </c>
      <c r="P4" s="119">
        <v>55</v>
      </c>
      <c r="Q4" s="103">
        <v>-70500</v>
      </c>
    </row>
    <row r="5" spans="1:17" x14ac:dyDescent="0.4">
      <c r="A5" s="55" t="s">
        <v>7</v>
      </c>
      <c r="B5" s="152">
        <f>IF(B$2=0,0,B$4/B$2)</f>
        <v>0.12903225806451585</v>
      </c>
      <c r="C5" s="153"/>
      <c r="E5" s="63" t="s">
        <v>65</v>
      </c>
      <c r="F5" s="60" t="s">
        <v>21</v>
      </c>
      <c r="G5" s="47">
        <v>66</v>
      </c>
      <c r="H5" s="133">
        <f>IF(B$17=0,0,G5/B$17)</f>
        <v>0.34375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319.23076923076923</v>
      </c>
      <c r="P5" s="119">
        <v>52</v>
      </c>
      <c r="Q5" s="103">
        <v>16600</v>
      </c>
    </row>
    <row r="6" spans="1:17" x14ac:dyDescent="0.4">
      <c r="A6" s="55" t="s">
        <v>1</v>
      </c>
      <c r="B6" s="142">
        <f>IF(B$2=0,0,(B$7*1+B$8*2+B$9*3)/B$2)</f>
        <v>2.032258064516129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0.265625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808</v>
      </c>
      <c r="P6" s="119">
        <v>50</v>
      </c>
      <c r="Q6" s="103">
        <v>40400</v>
      </c>
    </row>
    <row r="7" spans="1:17" x14ac:dyDescent="0.4">
      <c r="A7" s="55" t="s">
        <v>2</v>
      </c>
      <c r="B7" s="47">
        <v>17</v>
      </c>
      <c r="C7" s="39">
        <f>IF(B$2=0,0,B7/B$2)</f>
        <v>0.27419354838709675</v>
      </c>
      <c r="E7" s="63" t="s">
        <v>68</v>
      </c>
      <c r="F7" s="60" t="s">
        <v>24</v>
      </c>
      <c r="G7" s="47">
        <v>32</v>
      </c>
      <c r="H7" s="133">
        <f>IF(B$17=0,0,G7/B$17)</f>
        <v>0.16666666666666666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-343.18181818181819</v>
      </c>
      <c r="P7" s="120">
        <v>44</v>
      </c>
      <c r="Q7" s="104">
        <v>-15100</v>
      </c>
    </row>
    <row r="8" spans="1:17" x14ac:dyDescent="0.4">
      <c r="A8" s="55" t="s">
        <v>3</v>
      </c>
      <c r="B8" s="47">
        <v>26</v>
      </c>
      <c r="C8" s="39">
        <f>IF(B$2=0,0,B8/B$2)</f>
        <v>0.41935483870967744</v>
      </c>
      <c r="E8" s="63" t="s">
        <v>70</v>
      </c>
      <c r="F8" s="60" t="s">
        <v>25</v>
      </c>
      <c r="G8" s="47">
        <v>28</v>
      </c>
      <c r="H8" s="133">
        <f>IF(B$17=0,0,G8/B$17)</f>
        <v>0.14583333333333334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0.30645161290322581</v>
      </c>
      <c r="E9" s="63" t="s">
        <v>66</v>
      </c>
      <c r="F9" s="60" t="s">
        <v>22</v>
      </c>
      <c r="G9" s="47">
        <v>21</v>
      </c>
      <c r="H9" s="133">
        <f>IF(B$17=0,0,G9/B$17)</f>
        <v>0.109375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4.8387096774193547E-2</v>
      </c>
      <c r="E10" s="63" t="s">
        <v>72</v>
      </c>
      <c r="F10" s="60" t="s">
        <v>27</v>
      </c>
      <c r="G10" s="47">
        <v>15</v>
      </c>
      <c r="H10" s="133">
        <f>IF(B$17=0,0,G10/B$17)</f>
        <v>7.8125E-2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90</v>
      </c>
      <c r="F11" s="60" t="s">
        <v>45</v>
      </c>
      <c r="G11" s="47">
        <v>14</v>
      </c>
      <c r="H11" s="133">
        <f>IF(B$17=0,0,G11/B$17)</f>
        <v>7.2916666666666671E-2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4</v>
      </c>
      <c r="C12" s="42">
        <f>IF(B$2=0,0,B12/B$2)</f>
        <v>6.4516129032258063E-2</v>
      </c>
      <c r="E12" s="63" t="s">
        <v>84</v>
      </c>
      <c r="F12" s="60" t="s">
        <v>39</v>
      </c>
      <c r="G12" s="47">
        <v>12</v>
      </c>
      <c r="H12" s="133">
        <f>IF(B$17=0,0,G12/B$17)</f>
        <v>6.25E-2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1.94</v>
      </c>
      <c r="P12" s="120">
        <v>25</v>
      </c>
      <c r="Q12" s="108">
        <v>48.5</v>
      </c>
    </row>
    <row r="13" spans="1:17" x14ac:dyDescent="0.4">
      <c r="A13" s="58" t="s">
        <v>122</v>
      </c>
      <c r="B13" s="50">
        <v>117</v>
      </c>
      <c r="C13" s="44">
        <f>IF(B$3=0,0,B13/B$3)</f>
        <v>0.21869158878504674</v>
      </c>
      <c r="E13" s="63" t="s">
        <v>71</v>
      </c>
      <c r="F13" s="60" t="s">
        <v>26</v>
      </c>
      <c r="G13" s="47">
        <v>11</v>
      </c>
      <c r="H13" s="133">
        <f>IF(B$17=0,0,G13/B$17)</f>
        <v>5.7291666666666664E-2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0.29532710280373831</v>
      </c>
      <c r="E14" s="63" t="s">
        <v>87</v>
      </c>
      <c r="F14" s="60" t="s">
        <v>42</v>
      </c>
      <c r="G14" s="47">
        <v>8</v>
      </c>
      <c r="H14" s="133">
        <f>IF(B$17=0,0,G14/B$17)</f>
        <v>4.1666666666666664E-2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0.5641025641025641</v>
      </c>
      <c r="E15" s="63" t="s">
        <v>82</v>
      </c>
      <c r="F15" s="60" t="s">
        <v>37</v>
      </c>
      <c r="G15" s="47">
        <v>6</v>
      </c>
      <c r="H15" s="133">
        <f>IF(B$17=0,0,G15/B$17)</f>
        <v>3.125E-2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70</v>
      </c>
      <c r="C16" s="37">
        <f>IF(B$14=0,0,B16/B$14)</f>
        <v>0.44303797468354428</v>
      </c>
      <c r="E16" s="63" t="s">
        <v>80</v>
      </c>
      <c r="F16" s="60" t="s">
        <v>35</v>
      </c>
      <c r="G16" s="47">
        <v>3</v>
      </c>
      <c r="H16" s="133">
        <f>IF(B$17=0,0,G16/B$17)</f>
        <v>1.5625E-2</v>
      </c>
      <c r="I16" s="94">
        <v>7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192</v>
      </c>
      <c r="C17" s="37">
        <f>IF(B$3=0,0,B17/B$3)</f>
        <v>0.35887850467289717</v>
      </c>
      <c r="E17" s="63" t="s">
        <v>79</v>
      </c>
      <c r="F17" s="60" t="s">
        <v>34</v>
      </c>
      <c r="G17" s="47">
        <v>2</v>
      </c>
      <c r="H17" s="133">
        <f>IF(B$17=0,0,G17/B$17)</f>
        <v>1.0416666666666666E-2</v>
      </c>
      <c r="I17" s="94">
        <v>10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81</v>
      </c>
      <c r="C18" s="39">
        <f>IF(B$17=0,0,B18/B$17)</f>
        <v>0.421875</v>
      </c>
      <c r="E18" s="63" t="s">
        <v>92</v>
      </c>
      <c r="F18" s="60" t="s">
        <v>47</v>
      </c>
      <c r="G18" s="47">
        <v>2</v>
      </c>
      <c r="H18" s="133">
        <f>IF(B$17=0,0,G18/B$17)</f>
        <v>1.0416666666666666E-2</v>
      </c>
      <c r="I18" s="94">
        <v>7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111</v>
      </c>
      <c r="C19" s="39">
        <f>IF(B$17=0,0,B19/B$17)</f>
        <v>0.578125</v>
      </c>
      <c r="E19" s="63" t="s">
        <v>74</v>
      </c>
      <c r="F19" s="60" t="s">
        <v>29</v>
      </c>
      <c r="G19" s="47">
        <v>1</v>
      </c>
      <c r="H19" s="133">
        <f>IF(B$17=0,0,G19/B$17)</f>
        <v>5.208333333333333E-3</v>
      </c>
      <c r="I19" s="94">
        <v>7</v>
      </c>
      <c r="K19" s="38">
        <v>17</v>
      </c>
      <c r="L19" s="99">
        <v>-55.099999999999994</v>
      </c>
      <c r="N19" s="115" t="s">
        <v>177</v>
      </c>
      <c r="O19" s="125">
        <f>IF(P19=0,0,Q19/P19)</f>
        <v>7.7299999999999995</v>
      </c>
      <c r="P19" s="119">
        <v>10</v>
      </c>
      <c r="Q19" s="107">
        <v>77.3</v>
      </c>
    </row>
    <row r="20" spans="1:17" x14ac:dyDescent="0.4">
      <c r="A20" s="55" t="s">
        <v>13</v>
      </c>
      <c r="B20" s="47">
        <v>69</v>
      </c>
      <c r="C20" s="39">
        <f>IF(B$3=0,0,B20/B$3)</f>
        <v>0.12897196261682242</v>
      </c>
      <c r="E20" s="63" t="s">
        <v>75</v>
      </c>
      <c r="F20" s="60" t="s">
        <v>30</v>
      </c>
      <c r="G20" s="47">
        <v>1</v>
      </c>
      <c r="H20" s="133">
        <f>IF(B$17=0,0,G20/B$17)</f>
        <v>5.208333333333333E-3</v>
      </c>
      <c r="I20" s="94">
        <v>4</v>
      </c>
      <c r="K20" s="38">
        <v>18</v>
      </c>
      <c r="L20" s="99">
        <v>-28.199999999999996</v>
      </c>
      <c r="N20" s="115" t="s">
        <v>173</v>
      </c>
      <c r="O20" s="125">
        <f>IF(P20=0,0,Q20/P20)</f>
        <v>6.6333333333333302</v>
      </c>
      <c r="P20" s="119">
        <v>12</v>
      </c>
      <c r="Q20" s="107">
        <v>79.599999999999966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5.208333333333333E-3</v>
      </c>
      <c r="I21" s="94">
        <v>6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5</v>
      </c>
      <c r="E22" s="63" t="s">
        <v>88</v>
      </c>
      <c r="F22" s="60" t="s">
        <v>43</v>
      </c>
      <c r="G22" s="47">
        <v>1</v>
      </c>
      <c r="H22" s="133">
        <f>IF(B$17=0,0,G22/B$17)</f>
        <v>5.208333333333333E-3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-1.1473684210526323</v>
      </c>
      <c r="P22" s="119">
        <v>19</v>
      </c>
      <c r="Q22" s="107">
        <v>-21.800000000000011</v>
      </c>
    </row>
    <row r="23" spans="1:17" x14ac:dyDescent="0.4">
      <c r="A23" s="55" t="s">
        <v>5</v>
      </c>
      <c r="B23" s="51">
        <f>IF(B$17=0,0,C23/B$17)</f>
        <v>6635.9375</v>
      </c>
      <c r="C23" s="41">
        <v>1274100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-23.990909090909092</v>
      </c>
      <c r="P23" s="119">
        <v>33</v>
      </c>
      <c r="Q23" s="107">
        <v>-791.7</v>
      </c>
    </row>
    <row r="24" spans="1:17" x14ac:dyDescent="0.4">
      <c r="A24" s="57" t="s">
        <v>14</v>
      </c>
      <c r="B24" s="52">
        <f>IF(B$20=0,0,C24/B$20)</f>
        <v>-9417.391304347826</v>
      </c>
      <c r="C24" s="45">
        <v>-649800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1.869158878504673E-3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B1133-79AB-45FE-8D71-29DF8E5C13D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67</v>
      </c>
      <c r="F2" s="59" t="s">
        <v>23</v>
      </c>
      <c r="G2" s="46">
        <v>77</v>
      </c>
      <c r="H2" s="132">
        <f>IF(B$17=0,0,G2/B$17)</f>
        <v>0.67543859649122806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73</v>
      </c>
      <c r="F3" s="60" t="s">
        <v>28</v>
      </c>
      <c r="G3" s="47">
        <v>59</v>
      </c>
      <c r="H3" s="133">
        <f>IF(B$17=0,0,G3/B$17)</f>
        <v>0.51754385964912286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65</v>
      </c>
      <c r="F4" s="60" t="s">
        <v>21</v>
      </c>
      <c r="G4" s="47">
        <v>50</v>
      </c>
      <c r="H4" s="133">
        <f>IF(B$17=0,0,G4/B$17)</f>
        <v>0.43859649122807015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181</v>
      </c>
      <c r="F5" s="60" t="s">
        <v>182</v>
      </c>
      <c r="G5" s="47">
        <v>45</v>
      </c>
      <c r="H5" s="133">
        <f>IF(B$17=0,0,G5/B$17)</f>
        <v>0.39473684210526316</v>
      </c>
      <c r="I5" s="94">
        <v>9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68</v>
      </c>
      <c r="F7" s="60" t="s">
        <v>24</v>
      </c>
      <c r="G7" s="47">
        <v>28</v>
      </c>
      <c r="H7" s="133">
        <f>IF(B$17=0,0,G7/B$17)</f>
        <v>0.24561403508771928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90</v>
      </c>
      <c r="F9" s="60" t="s">
        <v>45</v>
      </c>
      <c r="G9" s="47">
        <v>14</v>
      </c>
      <c r="H9" s="133">
        <f>IF(B$17=0,0,G9/B$17)</f>
        <v>0.12280701754385964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70</v>
      </c>
      <c r="F10" s="60" t="s">
        <v>25</v>
      </c>
      <c r="G10" s="47">
        <v>13</v>
      </c>
      <c r="H10" s="133">
        <f>IF(B$17=0,0,G10/B$17)</f>
        <v>0.11403508771929824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66</v>
      </c>
      <c r="F11" s="60" t="s">
        <v>22</v>
      </c>
      <c r="G11" s="47">
        <v>9</v>
      </c>
      <c r="H11" s="133">
        <f>IF(B$17=0,0,G11/B$17)</f>
        <v>7.8947368421052627E-2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72</v>
      </c>
      <c r="F12" s="60" t="s">
        <v>27</v>
      </c>
      <c r="G12" s="47">
        <v>6</v>
      </c>
      <c r="H12" s="133">
        <f>IF(B$17=0,0,G12/B$17)</f>
        <v>5.2631578947368418E-2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87</v>
      </c>
      <c r="F13" s="60" t="s">
        <v>42</v>
      </c>
      <c r="G13" s="47">
        <v>4</v>
      </c>
      <c r="H13" s="133">
        <f>IF(B$17=0,0,G13/B$17)</f>
        <v>3.5087719298245612E-2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74</v>
      </c>
      <c r="F14" s="60" t="s">
        <v>29</v>
      </c>
      <c r="G14" s="47">
        <v>2</v>
      </c>
      <c r="H14" s="133">
        <f>IF(B$17=0,0,G14/B$17)</f>
        <v>1.7543859649122806E-2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79</v>
      </c>
      <c r="F15" s="60" t="s">
        <v>34</v>
      </c>
      <c r="G15" s="47">
        <v>2</v>
      </c>
      <c r="H15" s="133">
        <f>IF(B$17=0,0,G15/B$17)</f>
        <v>1.7543859649122806E-2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80</v>
      </c>
      <c r="F16" s="60" t="s">
        <v>35</v>
      </c>
      <c r="G16" s="47">
        <v>2</v>
      </c>
      <c r="H16" s="133">
        <f>IF(B$17=0,0,G16/B$17)</f>
        <v>1.7543859649122806E-2</v>
      </c>
      <c r="I16" s="94">
        <v>4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84</v>
      </c>
      <c r="F17" s="60" t="s">
        <v>39</v>
      </c>
      <c r="G17" s="47">
        <v>2</v>
      </c>
      <c r="H17" s="133">
        <f>IF(B$17=0,0,G17/B$17)</f>
        <v>1.7543859649122806E-2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92</v>
      </c>
      <c r="F18" s="60" t="s">
        <v>47</v>
      </c>
      <c r="G18" s="47">
        <v>2</v>
      </c>
      <c r="H18" s="133">
        <f>IF(B$17=0,0,G18/B$17)</f>
        <v>1.7543859649122806E-2</v>
      </c>
      <c r="I18" s="94">
        <v>6</v>
      </c>
      <c r="K18" s="38">
        <v>16</v>
      </c>
      <c r="L18" s="99">
        <v>-292.79999999999995</v>
      </c>
      <c r="N18" s="115" t="s">
        <v>177</v>
      </c>
      <c r="O18" s="125">
        <f>IF(P18=0,0,Q18/P18)</f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180</v>
      </c>
      <c r="F19" s="60" t="s">
        <v>183</v>
      </c>
      <c r="G19" s="47">
        <v>2</v>
      </c>
      <c r="H19" s="133">
        <f>IF(B$17=0,0,G19/B$17)</f>
        <v>1.7543859649122806E-2</v>
      </c>
      <c r="I19" s="94">
        <v>4</v>
      </c>
      <c r="K19" s="38">
        <v>17</v>
      </c>
      <c r="L19" s="99">
        <v>-248.89999999999995</v>
      </c>
      <c r="N19" s="115" t="s">
        <v>171</v>
      </c>
      <c r="O19" s="125">
        <f>IF(P19=0,0,Q19/P19)</f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88</v>
      </c>
      <c r="F20" s="60" t="s">
        <v>43</v>
      </c>
      <c r="G20" s="47">
        <v>1</v>
      </c>
      <c r="H20" s="133">
        <f>IF(B$17=0,0,G20/B$17)</f>
        <v>8.771929824561403E-3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>IF(P20=0,0,Q20/P20)</f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2FBDC-342F-4138-BB74-3BE4FEDC9D1A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0.5892857142857143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1202.127659574468</v>
      </c>
      <c r="P2" s="118">
        <v>47</v>
      </c>
      <c r="Q2" s="102">
        <v>56500</v>
      </c>
    </row>
    <row r="3" spans="1:17" x14ac:dyDescent="0.4">
      <c r="A3" s="55" t="s">
        <v>8</v>
      </c>
      <c r="B3" s="148">
        <v>381</v>
      </c>
      <c r="C3" s="149"/>
      <c r="E3" s="63" t="s">
        <v>67</v>
      </c>
      <c r="F3" s="60" t="s">
        <v>23</v>
      </c>
      <c r="G3" s="47">
        <v>61</v>
      </c>
      <c r="H3" s="133">
        <f>IF(B$17=0,0,G3/B$17)</f>
        <v>0.5446428571428571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537.77777777777783</v>
      </c>
      <c r="P3" s="119">
        <v>45</v>
      </c>
      <c r="Q3" s="103">
        <v>24200</v>
      </c>
    </row>
    <row r="4" spans="1:17" x14ac:dyDescent="0.4">
      <c r="A4" s="55" t="s">
        <v>6</v>
      </c>
      <c r="B4" s="150">
        <v>71.099999999999994</v>
      </c>
      <c r="C4" s="151"/>
      <c r="E4" s="63" t="s">
        <v>73</v>
      </c>
      <c r="F4" s="60" t="s">
        <v>28</v>
      </c>
      <c r="G4" s="47">
        <v>52</v>
      </c>
      <c r="H4" s="133">
        <f>IF(B$17=0,0,G4/B$17)</f>
        <v>0.4642857142857143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-1153.6585365853659</v>
      </c>
      <c r="P4" s="119">
        <v>41</v>
      </c>
      <c r="Q4" s="103">
        <v>-47300</v>
      </c>
    </row>
    <row r="5" spans="1:17" x14ac:dyDescent="0.4">
      <c r="A5" s="55" t="s">
        <v>7</v>
      </c>
      <c r="B5" s="152">
        <f>IF(B$2=0,0,B$4/B$2)</f>
        <v>1.5127659574468084</v>
      </c>
      <c r="C5" s="153"/>
      <c r="E5" s="63" t="s">
        <v>181</v>
      </c>
      <c r="F5" s="60" t="s">
        <v>182</v>
      </c>
      <c r="G5" s="47">
        <v>47</v>
      </c>
      <c r="H5" s="133">
        <f>IF(B$17=0,0,G5/B$17)</f>
        <v>0.41964285714285715</v>
      </c>
      <c r="I5" s="94">
        <v>4</v>
      </c>
      <c r="K5" s="38">
        <v>3</v>
      </c>
      <c r="L5" s="99">
        <v>-10</v>
      </c>
      <c r="N5" s="115" t="s">
        <v>135</v>
      </c>
      <c r="O5" s="122">
        <f t="shared" si="0"/>
        <v>1572.5</v>
      </c>
      <c r="P5" s="119">
        <v>40</v>
      </c>
      <c r="Q5" s="103">
        <v>62900</v>
      </c>
    </row>
    <row r="6" spans="1:17" x14ac:dyDescent="0.4">
      <c r="A6" s="55" t="s">
        <v>1</v>
      </c>
      <c r="B6" s="142">
        <f>IF(B$2=0,0,(B$7*1+B$8*2+B$9*3)/B$2)</f>
        <v>1.9361702127659575</v>
      </c>
      <c r="C6" s="143"/>
      <c r="E6" s="63" t="s">
        <v>68</v>
      </c>
      <c r="F6" s="60" t="s">
        <v>24</v>
      </c>
      <c r="G6" s="47">
        <v>39</v>
      </c>
      <c r="H6" s="133">
        <f>IF(B$17=0,0,G6/B$17)</f>
        <v>0.3482142857142857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-1572.2222222222222</v>
      </c>
      <c r="P6" s="119">
        <v>36</v>
      </c>
      <c r="Q6" s="103">
        <v>-56600</v>
      </c>
    </row>
    <row r="7" spans="1:17" x14ac:dyDescent="0.4">
      <c r="A7" s="55" t="s">
        <v>2</v>
      </c>
      <c r="B7" s="47">
        <v>18</v>
      </c>
      <c r="C7" s="39">
        <f>IF(B$2=0,0,B7/B$2)</f>
        <v>0.38297872340425532</v>
      </c>
      <c r="E7" s="63" t="s">
        <v>69</v>
      </c>
      <c r="F7" s="60" t="s">
        <v>12</v>
      </c>
      <c r="G7" s="47">
        <v>33</v>
      </c>
      <c r="H7" s="133">
        <f>IF(B$17=0,0,G7/B$17)</f>
        <v>0.29464285714285715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0.2978723404255319</v>
      </c>
      <c r="E8" s="63" t="s">
        <v>70</v>
      </c>
      <c r="F8" s="60" t="s">
        <v>25</v>
      </c>
      <c r="G8" s="47">
        <v>18</v>
      </c>
      <c r="H8" s="133">
        <f>IF(B$17=0,0,G8/B$17)</f>
        <v>0.16071428571428573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0.31914893617021278</v>
      </c>
      <c r="E9" s="63" t="s">
        <v>66</v>
      </c>
      <c r="F9" s="60" t="s">
        <v>22</v>
      </c>
      <c r="G9" s="47">
        <v>14</v>
      </c>
      <c r="H9" s="133">
        <f>IF(B$17=0,0,G9/B$17)</f>
        <v>0.125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0.1702127659574468</v>
      </c>
      <c r="E10" s="63" t="s">
        <v>90</v>
      </c>
      <c r="F10" s="60" t="s">
        <v>45</v>
      </c>
      <c r="G10" s="47">
        <v>13</v>
      </c>
      <c r="H10" s="133">
        <f>IF(B$17=0,0,G10/B$17)</f>
        <v>0.11607142857142858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1.5999999999999992</v>
      </c>
      <c r="P10" s="118">
        <v>13</v>
      </c>
      <c r="Q10" s="106">
        <v>20.79999999999999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0.10638297872340426</v>
      </c>
      <c r="E11" s="63" t="s">
        <v>71</v>
      </c>
      <c r="F11" s="60" t="s">
        <v>26</v>
      </c>
      <c r="G11" s="47">
        <v>8</v>
      </c>
      <c r="H11" s="133">
        <f>IF(B$17=0,0,G11/B$17)</f>
        <v>7.1428571428571425E-2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0.10638297872340426</v>
      </c>
      <c r="E12" s="63" t="s">
        <v>72</v>
      </c>
      <c r="F12" s="60" t="s">
        <v>27</v>
      </c>
      <c r="G12" s="47">
        <v>5</v>
      </c>
      <c r="H12" s="133">
        <f>IF(B$17=0,0,G12/B$17)</f>
        <v>4.4642857142857144E-2</v>
      </c>
      <c r="I12" s="94">
        <v>10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99</v>
      </c>
      <c r="C13" s="44">
        <f>IF(B$3=0,0,B13/B$3)</f>
        <v>0.25984251968503935</v>
      </c>
      <c r="E13" s="63" t="s">
        <v>79</v>
      </c>
      <c r="F13" s="60" t="s">
        <v>34</v>
      </c>
      <c r="G13" s="47">
        <v>5</v>
      </c>
      <c r="H13" s="133">
        <f>IF(B$17=0,0,G13/B$17)</f>
        <v>4.4642857142857144E-2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0.19160104986876642</v>
      </c>
      <c r="E14" s="63" t="s">
        <v>84</v>
      </c>
      <c r="F14" s="60" t="s">
        <v>39</v>
      </c>
      <c r="G14" s="47">
        <v>5</v>
      </c>
      <c r="H14" s="133">
        <f>IF(B$17=0,0,G14/B$17)</f>
        <v>4.4642857142857144E-2</v>
      </c>
      <c r="I14" s="94">
        <v>6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0.66666666666666663</v>
      </c>
      <c r="E15" s="63" t="s">
        <v>92</v>
      </c>
      <c r="F15" s="60" t="s">
        <v>47</v>
      </c>
      <c r="G15" s="47">
        <v>5</v>
      </c>
      <c r="H15" s="133">
        <f>IF(B$17=0,0,G15/B$17)</f>
        <v>4.4642857142857144E-2</v>
      </c>
      <c r="I15" s="94">
        <v>1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0.35616438356164382</v>
      </c>
      <c r="E16" s="63" t="s">
        <v>82</v>
      </c>
      <c r="F16" s="60" t="s">
        <v>37</v>
      </c>
      <c r="G16" s="47">
        <v>3</v>
      </c>
      <c r="H16" s="133">
        <f>IF(B$17=0,0,G16/B$17)</f>
        <v>2.6785714285714284E-2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112</v>
      </c>
      <c r="C17" s="37">
        <f>IF(B$3=0,0,B17/B$3)</f>
        <v>0.29396325459317585</v>
      </c>
      <c r="E17" s="63" t="s">
        <v>80</v>
      </c>
      <c r="F17" s="60" t="s">
        <v>35</v>
      </c>
      <c r="G17" s="47">
        <v>2</v>
      </c>
      <c r="H17" s="133">
        <f>IF(B$17=0,0,G17/B$17)</f>
        <v>1.7857142857142856E-2</v>
      </c>
      <c r="I17" s="94">
        <v>3</v>
      </c>
      <c r="K17" s="38">
        <v>15</v>
      </c>
      <c r="L17" s="99">
        <v>-146.19999999999999</v>
      </c>
      <c r="N17" s="115" t="s">
        <v>186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47</v>
      </c>
      <c r="C18" s="39">
        <f>IF(B$17=0,0,B18/B$17)</f>
        <v>0.41964285714285715</v>
      </c>
      <c r="E18" s="63" t="s">
        <v>86</v>
      </c>
      <c r="F18" s="60" t="s">
        <v>41</v>
      </c>
      <c r="G18" s="47">
        <v>2</v>
      </c>
      <c r="H18" s="133">
        <f>IF(B$17=0,0,G18/B$17)</f>
        <v>1.7857142857142856E-2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65</v>
      </c>
      <c r="C19" s="39">
        <f>IF(B$17=0,0,B19/B$17)</f>
        <v>0.5803571428571429</v>
      </c>
      <c r="E19" s="63" t="s">
        <v>87</v>
      </c>
      <c r="F19" s="60" t="s">
        <v>42</v>
      </c>
      <c r="G19" s="47">
        <v>2</v>
      </c>
      <c r="H19" s="133">
        <f>IF(B$17=0,0,G19/B$17)</f>
        <v>1.7857142857142856E-2</v>
      </c>
      <c r="I19" s="94">
        <v>10</v>
      </c>
      <c r="K19" s="38">
        <v>17</v>
      </c>
      <c r="L19" s="99">
        <v>-161.19999999999999</v>
      </c>
      <c r="N19" s="115" t="s">
        <v>173</v>
      </c>
      <c r="O19" s="125">
        <f>IF(P19=0,0,Q19/P19)</f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61</v>
      </c>
      <c r="C20" s="39">
        <f>IF(B$3=0,0,B20/B$3)</f>
        <v>0.16010498687664043</v>
      </c>
      <c r="E20" s="63" t="s">
        <v>75</v>
      </c>
      <c r="F20" s="60" t="s">
        <v>30</v>
      </c>
      <c r="G20" s="47">
        <v>1</v>
      </c>
      <c r="H20" s="133">
        <f>IF(B$17=0,0,G20/B$17)</f>
        <v>8.9285714285714281E-3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8.9285714285714281E-3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15</v>
      </c>
      <c r="E22" s="63" t="s">
        <v>91</v>
      </c>
      <c r="F22" s="60" t="s">
        <v>46</v>
      </c>
      <c r="G22" s="47">
        <v>1</v>
      </c>
      <c r="H22" s="133">
        <f>IF(B$17=0,0,G22/B$17)</f>
        <v>8.9285714285714281E-3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-29.850000000000005</v>
      </c>
      <c r="P22" s="119">
        <v>20</v>
      </c>
      <c r="Q22" s="107">
        <v>-597.00000000000011</v>
      </c>
    </row>
    <row r="23" spans="1:17" x14ac:dyDescent="0.4">
      <c r="A23" s="55" t="s">
        <v>5</v>
      </c>
      <c r="B23" s="51">
        <f>IF(B$17=0,0,C23/B$17)</f>
        <v>8838.3928571428569</v>
      </c>
      <c r="C23" s="41">
        <v>989900</v>
      </c>
      <c r="E23" s="63" t="s">
        <v>93</v>
      </c>
      <c r="F23" s="60" t="s">
        <v>48</v>
      </c>
      <c r="G23" s="47">
        <v>1</v>
      </c>
      <c r="H23" s="133">
        <f>IF(B$17=0,0,G23/B$17)</f>
        <v>8.9285714285714281E-3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-7621.311475409836</v>
      </c>
      <c r="C24" s="45">
        <v>-464900</v>
      </c>
      <c r="E24" s="63" t="s">
        <v>102</v>
      </c>
      <c r="F24" s="60" t="s">
        <v>57</v>
      </c>
      <c r="G24" s="47">
        <v>1</v>
      </c>
      <c r="H24" s="133">
        <f>IF(B$17=0,0,G24/B$17)</f>
        <v>8.9285714285714281E-3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7.874015748031496E-3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C7C3-9624-41CA-8645-C823EEAEDF0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6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77EE8-AF3A-480B-A62F-DA784E761B62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67</v>
      </c>
      <c r="F2" s="59" t="s">
        <v>23</v>
      </c>
      <c r="G2" s="46">
        <v>28</v>
      </c>
      <c r="H2" s="132">
        <f>IF(B$17=0,0,G2/B$17)</f>
        <v>0.82352941176470584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73</v>
      </c>
      <c r="F3" s="60" t="s">
        <v>28</v>
      </c>
      <c r="G3" s="47">
        <v>21</v>
      </c>
      <c r="H3" s="133">
        <f>IF(B$17=0,0,G3/B$17)</f>
        <v>0.61764705882352944</v>
      </c>
      <c r="I3" s="94">
        <v>2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65</v>
      </c>
      <c r="F4" s="60" t="s">
        <v>21</v>
      </c>
      <c r="G4" s="47">
        <v>19</v>
      </c>
      <c r="H4" s="133">
        <f>IF(B$17=0,0,G4/B$17)</f>
        <v>0.55882352941176472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69</v>
      </c>
      <c r="F5" s="60" t="s">
        <v>12</v>
      </c>
      <c r="G5" s="47">
        <v>12</v>
      </c>
      <c r="H5" s="133">
        <f>IF(B$17=0,0,G5/B$17)</f>
        <v>0.35294117647058826</v>
      </c>
      <c r="I5" s="94">
        <v>6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181</v>
      </c>
      <c r="F6" s="60" t="s">
        <v>182</v>
      </c>
      <c r="G6" s="47">
        <v>12</v>
      </c>
      <c r="H6" s="133">
        <f>IF(B$17=0,0,G6/B$17)</f>
        <v>0.35294117647058826</v>
      </c>
      <c r="I6" s="94">
        <v>11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70</v>
      </c>
      <c r="F8" s="60" t="s">
        <v>25</v>
      </c>
      <c r="G8" s="47">
        <v>6</v>
      </c>
      <c r="H8" s="133">
        <f>IF(B$17=0,0,G8/B$17)</f>
        <v>0.17647058823529413</v>
      </c>
      <c r="I8" s="94">
        <v>7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90</v>
      </c>
      <c r="F9" s="60" t="s">
        <v>45</v>
      </c>
      <c r="G9" s="47">
        <v>5</v>
      </c>
      <c r="H9" s="133">
        <f>IF(B$17=0,0,G9/B$17)</f>
        <v>0.14705882352941177</v>
      </c>
      <c r="I9" s="94">
        <v>6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71</v>
      </c>
      <c r="F10" s="60" t="s">
        <v>26</v>
      </c>
      <c r="G10" s="47">
        <v>4</v>
      </c>
      <c r="H10" s="133">
        <f>IF(B$17=0,0,G10/B$17)</f>
        <v>0.11764705882352941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4</v>
      </c>
      <c r="H11" s="133">
        <f>IF(B$17=0,0,G11/B$17)</f>
        <v>0.11764705882352941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72</v>
      </c>
      <c r="F12" s="60" t="s">
        <v>27</v>
      </c>
      <c r="G12" s="47">
        <v>2</v>
      </c>
      <c r="H12" s="133">
        <f>IF(B$17=0,0,G12/B$17)</f>
        <v>5.8823529411764705E-2</v>
      </c>
      <c r="I12" s="94">
        <v>7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80</v>
      </c>
      <c r="F13" s="60" t="s">
        <v>35</v>
      </c>
      <c r="G13" s="47">
        <v>2</v>
      </c>
      <c r="H13" s="133">
        <f>IF(B$17=0,0,G13/B$17)</f>
        <v>5.8823529411764705E-2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66</v>
      </c>
      <c r="F14" s="60" t="s">
        <v>22</v>
      </c>
      <c r="G14" s="47">
        <v>1</v>
      </c>
      <c r="H14" s="133">
        <f>IF(B$17=0,0,G14/B$17)</f>
        <v>2.9411764705882353E-2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74</v>
      </c>
      <c r="F15" s="60" t="s">
        <v>29</v>
      </c>
      <c r="G15" s="47">
        <v>1</v>
      </c>
      <c r="H15" s="133">
        <f>IF(B$17=0,0,G15/B$17)</f>
        <v>2.9411764705882353E-2</v>
      </c>
      <c r="I15" s="94">
        <v>1</v>
      </c>
      <c r="K15" s="38">
        <v>13</v>
      </c>
      <c r="L15" s="99">
        <v>-144.79999999999998</v>
      </c>
      <c r="N15" s="114" t="s">
        <v>129</v>
      </c>
      <c r="O15" s="124">
        <f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76</v>
      </c>
      <c r="F16" s="60" t="s">
        <v>31</v>
      </c>
      <c r="G16" s="47">
        <v>1</v>
      </c>
      <c r="H16" s="133">
        <f>IF(B$17=0,0,G16/B$17)</f>
        <v>2.9411764705882353E-2</v>
      </c>
      <c r="I16" s="94">
        <v>1</v>
      </c>
      <c r="K16" s="38">
        <v>14</v>
      </c>
      <c r="L16" s="99">
        <v>-138.69999999999999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82</v>
      </c>
      <c r="F17" s="60" t="s">
        <v>37</v>
      </c>
      <c r="G17" s="47">
        <v>1</v>
      </c>
      <c r="H17" s="133">
        <f>IF(B$17=0,0,G17/B$17)</f>
        <v>2.9411764705882353E-2</v>
      </c>
      <c r="I17" s="94">
        <v>6</v>
      </c>
      <c r="N17" s="115" t="s">
        <v>127</v>
      </c>
      <c r="O17" s="125">
        <f>IF(P17=0,0,Q17/P17)</f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6</v>
      </c>
      <c r="N18" s="115" t="s">
        <v>177</v>
      </c>
      <c r="O18" s="125">
        <f>IF(P18=0,0,Q18/P18)</f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A9AF-16F8-4BBF-89F8-E69A75F604F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73</v>
      </c>
      <c r="F2" s="59" t="s">
        <v>28</v>
      </c>
      <c r="G2" s="46">
        <v>13</v>
      </c>
      <c r="H2" s="132">
        <f>IF(B$17=0,0,G2/B$17)</f>
        <v>0.61904761904761907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65</v>
      </c>
      <c r="F3" s="60" t="s">
        <v>21</v>
      </c>
      <c r="G3" s="47">
        <v>12</v>
      </c>
      <c r="H3" s="133">
        <f>IF(B$17=0,0,G3/B$17)</f>
        <v>0.5714285714285714</v>
      </c>
      <c r="I3" s="94">
        <v>5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181</v>
      </c>
      <c r="F7" s="60" t="s">
        <v>182</v>
      </c>
      <c r="G7" s="47">
        <v>7</v>
      </c>
      <c r="H7" s="133">
        <f>IF(B$17=0,0,G7/B$17)</f>
        <v>0.33333333333333331</v>
      </c>
      <c r="I7" s="94">
        <v>12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70</v>
      </c>
      <c r="F8" s="60" t="s">
        <v>25</v>
      </c>
      <c r="G8" s="47">
        <v>5</v>
      </c>
      <c r="H8" s="133">
        <f>IF(B$17=0,0,G8/B$17)</f>
        <v>0.23809523809523808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90</v>
      </c>
      <c r="F9" s="60" t="s">
        <v>45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9.5238095238095233E-2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2</v>
      </c>
      <c r="H11" s="133">
        <f>IF(B$17=0,0,G11/B$17)</f>
        <v>9.5238095238095233E-2</v>
      </c>
      <c r="I11" s="94">
        <v>2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1</v>
      </c>
      <c r="H12" s="133">
        <f>IF(B$17=0,0,G12/B$17)</f>
        <v>4.7619047619047616E-2</v>
      </c>
      <c r="I12" s="94">
        <v>9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84</v>
      </c>
      <c r="F13" s="60" t="s">
        <v>39</v>
      </c>
      <c r="G13" s="47">
        <v>1</v>
      </c>
      <c r="H13" s="133">
        <f>IF(B$17=0,0,G13/B$17)</f>
        <v>4.7619047619047616E-2</v>
      </c>
      <c r="I13" s="94">
        <v>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11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8</v>
      </c>
      <c r="N16" s="115" t="s">
        <v>127</v>
      </c>
      <c r="O16" s="125">
        <f>IF(P16=0,0,Q16/P16)</f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6</v>
      </c>
      <c r="N17" s="115" t="s">
        <v>171</v>
      </c>
      <c r="O17" s="125">
        <f>IF(P17=0,0,Q17/P17)</f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8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172</v>
      </c>
      <c r="O19" s="125">
        <f>IF(P19=0,0,Q19/P19)</f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B973-011A-4428-B1F2-AC68ABE1589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11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32C9-A4A1-46D8-BCFE-4929E709E70D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12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6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11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0463-E9D4-4F54-B586-E4B426072385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C944-47BA-4346-B964-30BC2BE8F18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447DE-E6BE-41F4-B1A4-C48C4100B371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6B0C-D27F-4F50-A79C-9D446360AC94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0BF0-A030-447F-8EB7-62E22A795A0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5A80-C2DB-4B73-89C9-6D1ED061EA8C}">
  <sheetPr codeName="Sheet20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0BA-9D02-4A98-9B14-A28D91D9D786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1A8D-3CA3-4084-A762-9E13F4878089}">
  <sheetPr codeName="Sheet16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B78AC-2ABB-42B1-ACE0-8D066F7B562A}">
  <sheetPr codeName="Sheet14"/>
  <dimension ref="A1:Q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1373-4BCA-45A0-9AE6-F03DDA15F41B}">
  <sheetPr codeName="Sheet12"/>
  <dimension ref="A1:Q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22FB-3CE2-49D5-88E2-5076225D124B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A857-042E-4367-8664-591F8300E266}">
  <sheetPr codeName="Sheet8"/>
  <dimension ref="A1:Q1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2B1D-4505-4407-B9E5-483651E2F222}">
  <sheetPr codeName="Sheet6"/>
  <dimension ref="A1:Q1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2019-05-27T14:29:47Z</dcterms:modified>
</cp:coreProperties>
</file>