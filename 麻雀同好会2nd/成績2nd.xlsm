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9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0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2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3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E4C9070-3F04-4977-B6B3-E10ADEA431C1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49" r:id="rId6"/>
    <sheet name="だいち" sheetId="5651" r:id="rId7"/>
    <sheet name="りくと" sheetId="5653" r:id="rId8"/>
    <sheet name="ただ" sheetId="5655" r:id="rId9"/>
    <sheet name="れんたろう" sheetId="5657" r:id="rId10"/>
    <sheet name="たかの" sheetId="5659" r:id="rId11"/>
    <sheet name="ぱぱ" sheetId="5661" r:id="rId12"/>
    <sheet name="まっつん" sheetId="5663" r:id="rId13"/>
    <sheet name="あさひ" sheetId="5665" r:id="rId14"/>
    <sheet name="いっしー" sheetId="5667" r:id="rId15"/>
    <sheet name="ほたに" sheetId="5669" r:id="rId16"/>
    <sheet name="かわたつ" sheetId="5671" r:id="rId17"/>
    <sheet name="やがさき" sheetId="5673" r:id="rId18"/>
    <sheet name="のり" sheetId="5675" r:id="rId19"/>
    <sheet name="ちさと" sheetId="5677" r:id="rId20"/>
    <sheet name="ちさと2" sheetId="5678" state="hidden" r:id="rId21"/>
    <sheet name="のり2" sheetId="5676" state="hidden" r:id="rId22"/>
    <sheet name="やがさき2" sheetId="5674" state="hidden" r:id="rId23"/>
    <sheet name="かわたつ2" sheetId="5672" state="hidden" r:id="rId24"/>
    <sheet name="ほたに2" sheetId="5670" state="hidden" r:id="rId25"/>
    <sheet name="いっしー2" sheetId="5668" state="hidden" r:id="rId26"/>
    <sheet name="あさひ2" sheetId="5666" state="hidden" r:id="rId27"/>
    <sheet name="まっつん2" sheetId="5664" state="hidden" r:id="rId28"/>
    <sheet name="ぱぱ2" sheetId="5662" state="hidden" r:id="rId29"/>
    <sheet name="たかの2" sheetId="5660" state="hidden" r:id="rId30"/>
    <sheet name="れんたろう2" sheetId="5658" state="hidden" r:id="rId31"/>
    <sheet name="ただ2" sheetId="5656" state="hidden" r:id="rId32"/>
    <sheet name="りくと2" sheetId="5654" state="hidden" r:id="rId33"/>
    <sheet name="だいち2" sheetId="5652" state="hidden" r:id="rId34"/>
    <sheet name="全体2" sheetId="5650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ふっとばし率" sheetId="3523" state="hidden" r:id="rId46"/>
    <sheet name="リーチ率" sheetId="3524" state="hidden" r:id="rId47"/>
    <sheet name="副露率" sheetId="3525" state="hidden" r:id="rId48"/>
    <sheet name="リーチ成功率" sheetId="4841" state="hidden" r:id="rId49"/>
    <sheet name="副露成功率" sheetId="3527" state="hidden" r:id="rId50"/>
    <sheet name="ツモ率" sheetId="3528" state="hidden" r:id="rId51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9">ちさと!$B$17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9">ちさと!$C$17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あさひ!$B$29</definedName>
    <definedName name="チョンボ数" localSheetId="14">いっしー!$B$29</definedName>
    <definedName name="チョンボ数" localSheetId="16">かわたつ!$B$29</definedName>
    <definedName name="チョンボ数" localSheetId="6">だいち!$B$29</definedName>
    <definedName name="チョンボ数" localSheetId="10">たかの!$B$29</definedName>
    <definedName name="チョンボ数" localSheetId="8">ただ!$B$29</definedName>
    <definedName name="チョンボ数" localSheetId="19">ちさと!$B$29</definedName>
    <definedName name="チョンボ数" localSheetId="18">のり!$B$29</definedName>
    <definedName name="チョンボ数" localSheetId="11">ぱぱ!$B$29</definedName>
    <definedName name="チョンボ数" localSheetId="15">ほたに!$B$29</definedName>
    <definedName name="チョンボ数" localSheetId="12">まっつん!$B$29</definedName>
    <definedName name="チョンボ数" localSheetId="17">やがさき!$B$29</definedName>
    <definedName name="チョンボ数" localSheetId="7">りくと!$B$29</definedName>
    <definedName name="チョンボ数" localSheetId="9">れんたろう!$B$29</definedName>
    <definedName name="チョンボ数" localSheetId="5">全体!$B$29</definedName>
    <definedName name="チョンボ数">Template1!$B$29</definedName>
    <definedName name="チョンボ率" localSheetId="13">あさひ!$C$29</definedName>
    <definedName name="チョンボ率" localSheetId="14">いっしー!$C$29</definedName>
    <definedName name="チョンボ率" localSheetId="16">かわたつ!$C$29</definedName>
    <definedName name="チョンボ率" localSheetId="6">だいち!$C$29</definedName>
    <definedName name="チョンボ率" localSheetId="10">たかの!$C$29</definedName>
    <definedName name="チョンボ率" localSheetId="8">ただ!$C$29</definedName>
    <definedName name="チョンボ率" localSheetId="19">ちさと!$C$29</definedName>
    <definedName name="チョンボ率" localSheetId="18">のり!$C$29</definedName>
    <definedName name="チョンボ率" localSheetId="11">ぱぱ!$C$29</definedName>
    <definedName name="チョンボ率" localSheetId="15">ほたに!$C$29</definedName>
    <definedName name="チョンボ率" localSheetId="12">まっつん!$C$29</definedName>
    <definedName name="チョンボ率" localSheetId="17">やがさき!$C$29</definedName>
    <definedName name="チョンボ率" localSheetId="7">りくと!$C$29</definedName>
    <definedName name="チョンボ率" localSheetId="9">れんたろう!$C$29</definedName>
    <definedName name="チョンボ率" localSheetId="5">全体!$C$29</definedName>
    <definedName name="チョンボ率">Template1!$C$29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9">ちさと!$B$18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9">ちさと!$C$18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9">ちさと!$B$11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9">ちさと!$C$11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9">ちさと!$B$10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9">ちさと!$C$10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9">ちさと!$B$13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9">ちさと!$B$15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9">ちさと!$C$15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9">ちさと!$C$13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9">ちさと!$B$19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9">ちさと!$C$19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9">ちさと!$B$12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9">ちさと!$C$12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あさひ!$B$27</definedName>
    <definedName name="最大ドラ数" localSheetId="14">いっしー!$B$27</definedName>
    <definedName name="最大ドラ数" localSheetId="16">かわたつ!$B$27</definedName>
    <definedName name="最大ドラ数" localSheetId="6">だいち!$B$27</definedName>
    <definedName name="最大ドラ数" localSheetId="10">たかの!$B$27</definedName>
    <definedName name="最大ドラ数" localSheetId="8">ただ!$B$27</definedName>
    <definedName name="最大ドラ数" localSheetId="19">ちさと!$B$27</definedName>
    <definedName name="最大ドラ数" localSheetId="18">のり!$B$27</definedName>
    <definedName name="最大ドラ数" localSheetId="11">ぱぱ!$B$27</definedName>
    <definedName name="最大ドラ数" localSheetId="15">ほたに!$B$27</definedName>
    <definedName name="最大ドラ数" localSheetId="12">まっつん!$B$27</definedName>
    <definedName name="最大ドラ数" localSheetId="17">やがさき!$B$27</definedName>
    <definedName name="最大ドラ数" localSheetId="7">りくと!$B$27</definedName>
    <definedName name="最大ドラ数" localSheetId="9">れんたろう!$B$27</definedName>
    <definedName name="最大ドラ数" localSheetId="5">全体!$B$27</definedName>
    <definedName name="最大ドラ数">Template1!$B$27</definedName>
    <definedName name="最大点数" localSheetId="13">あさひ!$B$28</definedName>
    <definedName name="最大点数" localSheetId="14">いっしー!$B$28</definedName>
    <definedName name="最大点数" localSheetId="16">かわたつ!$B$28</definedName>
    <definedName name="最大点数" localSheetId="6">だいち!$B$28</definedName>
    <definedName name="最大点数" localSheetId="10">たかの!$B$28</definedName>
    <definedName name="最大点数" localSheetId="8">ただ!$B$28</definedName>
    <definedName name="最大点数" localSheetId="19">ちさと!$B$28</definedName>
    <definedName name="最大点数" localSheetId="18">のり!$B$28</definedName>
    <definedName name="最大点数" localSheetId="11">ぱぱ!$B$28</definedName>
    <definedName name="最大点数" localSheetId="15">ほたに!$B$28</definedName>
    <definedName name="最大点数" localSheetId="12">まっつん!$B$28</definedName>
    <definedName name="最大点数" localSheetId="17">やがさき!$B$28</definedName>
    <definedName name="最大点数" localSheetId="7">りくと!$B$28</definedName>
    <definedName name="最大点数" localSheetId="9">れんたろう!$B$28</definedName>
    <definedName name="最大点数" localSheetId="5">全体!$B$28</definedName>
    <definedName name="最大点数">Template1!$B$28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9">ちさと!$B$14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9">ちさと!$B$16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9">ちさと!$C$16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9">ちさと!$C$14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9">ちさと!$B$23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9">ちさと!$B$24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9">ちさと!$B$20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9">ちさと!$C$20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9">ちさと!$B$21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9">ちさと!$B$22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655" l="1"/>
  <c r="O16" i="5677"/>
  <c r="O15" i="5677"/>
  <c r="C29" i="5677"/>
  <c r="B26" i="5677"/>
  <c r="B24" i="5677"/>
  <c r="C20" i="5677"/>
  <c r="B17" i="5677"/>
  <c r="H50" i="5677" s="1"/>
  <c r="C16" i="5677"/>
  <c r="C15" i="5677"/>
  <c r="C14" i="5677"/>
  <c r="C13" i="5677"/>
  <c r="O12" i="5677"/>
  <c r="C12" i="5677"/>
  <c r="O11" i="5677"/>
  <c r="C11" i="5677"/>
  <c r="O10" i="5677"/>
  <c r="C10" i="5677"/>
  <c r="C9" i="5677"/>
  <c r="C8" i="5677"/>
  <c r="O7" i="5677"/>
  <c r="C7" i="5677"/>
  <c r="O6" i="5677"/>
  <c r="B6" i="5677"/>
  <c r="O5" i="5677"/>
  <c r="B5" i="5677"/>
  <c r="O4" i="5677"/>
  <c r="O3" i="5677"/>
  <c r="O2" i="5677"/>
  <c r="O16" i="5663"/>
  <c r="O16" i="5649"/>
  <c r="H3" i="5677" l="1"/>
  <c r="H51" i="5677"/>
  <c r="H21" i="5677"/>
  <c r="H2" i="5677"/>
  <c r="H19" i="5677"/>
  <c r="H14" i="5677"/>
  <c r="H35" i="5677"/>
  <c r="B23" i="5677"/>
  <c r="H13" i="5677"/>
  <c r="H39" i="5677"/>
  <c r="H7" i="5677"/>
  <c r="C17" i="5677"/>
  <c r="H43" i="5677"/>
  <c r="H4" i="5677"/>
  <c r="H16" i="5677"/>
  <c r="C18" i="5677"/>
  <c r="B25" i="5677"/>
  <c r="H31" i="5677"/>
  <c r="H47" i="5677"/>
  <c r="H23" i="5677"/>
  <c r="H24" i="5677"/>
  <c r="H26" i="5677"/>
  <c r="H27" i="5677"/>
  <c r="H29" i="5677"/>
  <c r="H32" i="5677"/>
  <c r="H36" i="5677"/>
  <c r="H40" i="5677"/>
  <c r="H44" i="5677"/>
  <c r="H48" i="5677"/>
  <c r="H5" i="5677"/>
  <c r="H9" i="5677"/>
  <c r="H18" i="5677"/>
  <c r="H20" i="5677"/>
  <c r="C19" i="5677"/>
  <c r="H11" i="5677"/>
  <c r="H33" i="5677"/>
  <c r="H37" i="5677"/>
  <c r="H41" i="5677"/>
  <c r="H45" i="5677"/>
  <c r="H49" i="5677"/>
  <c r="H52" i="5677"/>
  <c r="H6" i="5677"/>
  <c r="H8" i="5677"/>
  <c r="H15" i="5677"/>
  <c r="H17" i="5677"/>
  <c r="H22" i="5677"/>
  <c r="H10" i="5677"/>
  <c r="H25" i="5677"/>
  <c r="H12" i="5677"/>
  <c r="H28" i="5677"/>
  <c r="H30" i="5677"/>
  <c r="H34" i="5677"/>
  <c r="H38" i="5677"/>
  <c r="H42" i="5677"/>
  <c r="H46" i="5677"/>
  <c r="O15" i="5661" l="1"/>
  <c r="O18" i="5675"/>
  <c r="O16" i="5669"/>
  <c r="O15" i="5675"/>
  <c r="O16" i="5655" l="1"/>
  <c r="O15" i="5663"/>
  <c r="O15" i="5649"/>
  <c r="O16" i="5675"/>
  <c r="O17" i="5675"/>
  <c r="C29" i="5675"/>
  <c r="B26" i="5675"/>
  <c r="B24" i="5675"/>
  <c r="C20" i="5675"/>
  <c r="B17" i="5675"/>
  <c r="H52" i="5675" s="1"/>
  <c r="C16" i="5675"/>
  <c r="C15" i="5675"/>
  <c r="C14" i="5675"/>
  <c r="C13" i="5675"/>
  <c r="O12" i="5675"/>
  <c r="C12" i="5675"/>
  <c r="O11" i="5675"/>
  <c r="C11" i="5675"/>
  <c r="O10" i="5675"/>
  <c r="C10" i="5675"/>
  <c r="C9" i="5675"/>
  <c r="C8" i="5675"/>
  <c r="O7" i="5675"/>
  <c r="C7" i="5675"/>
  <c r="O6" i="5675"/>
  <c r="B6" i="5675"/>
  <c r="O5" i="5675"/>
  <c r="B5" i="5675"/>
  <c r="O4" i="5675"/>
  <c r="O3" i="5675"/>
  <c r="O2" i="5675"/>
  <c r="H19" i="5675" l="1"/>
  <c r="H39" i="5675"/>
  <c r="H11" i="5675"/>
  <c r="H43" i="5675"/>
  <c r="C17" i="5675"/>
  <c r="H3" i="5675"/>
  <c r="B25" i="5675"/>
  <c r="H31" i="5675"/>
  <c r="H47" i="5675"/>
  <c r="H12" i="5675"/>
  <c r="B23" i="5675"/>
  <c r="H13" i="5675"/>
  <c r="H16" i="5675"/>
  <c r="C18" i="5675"/>
  <c r="H2" i="5675"/>
  <c r="H5" i="5675"/>
  <c r="H10" i="5675"/>
  <c r="H35" i="5675"/>
  <c r="H51" i="5675"/>
  <c r="H24" i="5675"/>
  <c r="H28" i="5675"/>
  <c r="H32" i="5675"/>
  <c r="H40" i="5675"/>
  <c r="H4" i="5675"/>
  <c r="H9" i="5675"/>
  <c r="H8" i="5675"/>
  <c r="H6" i="5675"/>
  <c r="H15" i="5675"/>
  <c r="H17" i="5675"/>
  <c r="H21" i="5675"/>
  <c r="H23" i="5675"/>
  <c r="H26" i="5675"/>
  <c r="H7" i="5675"/>
  <c r="H29" i="5675"/>
  <c r="H14" i="5675"/>
  <c r="H34" i="5675"/>
  <c r="H38" i="5675"/>
  <c r="H42" i="5675"/>
  <c r="H46" i="5675"/>
  <c r="H50" i="5675"/>
  <c r="H22" i="5675"/>
  <c r="H27" i="5675"/>
  <c r="H30" i="5675"/>
  <c r="H36" i="5675"/>
  <c r="H44" i="5675"/>
  <c r="H48" i="5675"/>
  <c r="H18" i="5675"/>
  <c r="H20" i="5675"/>
  <c r="C19" i="5675"/>
  <c r="H25" i="5675"/>
  <c r="H33" i="5675"/>
  <c r="H37" i="5675"/>
  <c r="H41" i="5675"/>
  <c r="H45" i="5675"/>
  <c r="H49" i="5675"/>
  <c r="O23" i="5667" l="1"/>
  <c r="O15" i="5673"/>
  <c r="O22" i="5669" l="1"/>
  <c r="O17" i="5655"/>
  <c r="O24" i="5661" l="1"/>
  <c r="O15" i="5667"/>
  <c r="O25" i="5651" l="1"/>
  <c r="O17" i="5673"/>
  <c r="O15" i="5655" l="1"/>
  <c r="O23" i="5659"/>
  <c r="O27" i="5649"/>
  <c r="O18" i="5673"/>
  <c r="O16" i="5673"/>
  <c r="C29" i="5673"/>
  <c r="B26" i="5673"/>
  <c r="B24" i="5673"/>
  <c r="C20" i="5673"/>
  <c r="B17" i="5673"/>
  <c r="H51" i="5673" s="1"/>
  <c r="C16" i="5673"/>
  <c r="C15" i="5673"/>
  <c r="C14" i="5673"/>
  <c r="C13" i="5673"/>
  <c r="O12" i="5673"/>
  <c r="C12" i="5673"/>
  <c r="O11" i="5673"/>
  <c r="C11" i="5673"/>
  <c r="O10" i="5673"/>
  <c r="C10" i="5673"/>
  <c r="C9" i="5673"/>
  <c r="C8" i="5673"/>
  <c r="O7" i="5673"/>
  <c r="C7" i="5673"/>
  <c r="O6" i="5673"/>
  <c r="B6" i="5673"/>
  <c r="O5" i="5673"/>
  <c r="B5" i="5673"/>
  <c r="O4" i="5673"/>
  <c r="O3" i="5673"/>
  <c r="O2" i="5673"/>
  <c r="O15" i="5671"/>
  <c r="O16" i="5671"/>
  <c r="C29" i="5671"/>
  <c r="B26" i="5671"/>
  <c r="B24" i="5671"/>
  <c r="C20" i="5671"/>
  <c r="B17" i="5671"/>
  <c r="H52" i="5671" s="1"/>
  <c r="C16" i="5671"/>
  <c r="C15" i="5671"/>
  <c r="C14" i="5671"/>
  <c r="C13" i="5671"/>
  <c r="O12" i="5671"/>
  <c r="C12" i="5671"/>
  <c r="O11" i="5671"/>
  <c r="C11" i="5671"/>
  <c r="O10" i="5671"/>
  <c r="C10" i="5671"/>
  <c r="C9" i="5671"/>
  <c r="H10" i="5671"/>
  <c r="C8" i="5671"/>
  <c r="O7" i="5671"/>
  <c r="C7" i="5671"/>
  <c r="O6" i="5671"/>
  <c r="B6" i="5671"/>
  <c r="O5" i="5671"/>
  <c r="B5" i="5671"/>
  <c r="O4" i="5671"/>
  <c r="O3" i="5671"/>
  <c r="O2" i="5671"/>
  <c r="O23" i="5657"/>
  <c r="O16" i="5651"/>
  <c r="O26" i="5649"/>
  <c r="H13" i="5673" l="1"/>
  <c r="H7" i="5673"/>
  <c r="H20" i="5673"/>
  <c r="C17" i="5673"/>
  <c r="B23" i="5673"/>
  <c r="H8" i="5673"/>
  <c r="H40" i="5673"/>
  <c r="H17" i="5673"/>
  <c r="B25" i="5673"/>
  <c r="H32" i="5673"/>
  <c r="H48" i="5673"/>
  <c r="H44" i="5673"/>
  <c r="H2" i="5673"/>
  <c r="C18" i="5673"/>
  <c r="H6" i="5673"/>
  <c r="H3" i="5673"/>
  <c r="H14" i="5673"/>
  <c r="H36" i="5673"/>
  <c r="H10" i="5673"/>
  <c r="H22" i="5673"/>
  <c r="H24" i="5673"/>
  <c r="H26" i="5673"/>
  <c r="H28" i="5673"/>
  <c r="H30" i="5673"/>
  <c r="H33" i="5673"/>
  <c r="H37" i="5673"/>
  <c r="H41" i="5673"/>
  <c r="H45" i="5673"/>
  <c r="H49" i="5673"/>
  <c r="H4" i="5673"/>
  <c r="H12" i="5673"/>
  <c r="H19" i="5673"/>
  <c r="H21" i="5673"/>
  <c r="C19" i="5673"/>
  <c r="H16" i="5673"/>
  <c r="H34" i="5673"/>
  <c r="H38" i="5673"/>
  <c r="H42" i="5673"/>
  <c r="H46" i="5673"/>
  <c r="H50" i="5673"/>
  <c r="H52" i="5673"/>
  <c r="H11" i="5673"/>
  <c r="H5" i="5673"/>
  <c r="H9" i="5673"/>
  <c r="H18" i="5673"/>
  <c r="H15" i="5673"/>
  <c r="H23" i="5673"/>
  <c r="H25" i="5673"/>
  <c r="H27" i="5673"/>
  <c r="H29" i="5673"/>
  <c r="H31" i="5673"/>
  <c r="H35" i="5673"/>
  <c r="H39" i="5673"/>
  <c r="H43" i="5673"/>
  <c r="H47" i="5673"/>
  <c r="B23" i="5671"/>
  <c r="H39" i="5671"/>
  <c r="H16" i="5671"/>
  <c r="C17" i="5671"/>
  <c r="B25" i="5671"/>
  <c r="H47" i="5671"/>
  <c r="H28" i="5671"/>
  <c r="H4" i="5671"/>
  <c r="H43" i="5671"/>
  <c r="H2" i="5671"/>
  <c r="H13" i="5671"/>
  <c r="C18" i="5671"/>
  <c r="H31" i="5671"/>
  <c r="H3" i="5671"/>
  <c r="H12" i="5671"/>
  <c r="H18" i="5671"/>
  <c r="H35" i="5671"/>
  <c r="H51" i="5671"/>
  <c r="H8" i="5671"/>
  <c r="H5" i="5671"/>
  <c r="H11" i="5671"/>
  <c r="H14" i="5671"/>
  <c r="H19" i="5671"/>
  <c r="H6" i="5671"/>
  <c r="H23" i="5671"/>
  <c r="H25" i="5671"/>
  <c r="H27" i="5671"/>
  <c r="H30" i="5671"/>
  <c r="H34" i="5671"/>
  <c r="H38" i="5671"/>
  <c r="H42" i="5671"/>
  <c r="H46" i="5671"/>
  <c r="H50" i="5671"/>
  <c r="H20" i="5671"/>
  <c r="H21" i="5671"/>
  <c r="H24" i="5671"/>
  <c r="H26" i="5671"/>
  <c r="H29" i="5671"/>
  <c r="H32" i="5671"/>
  <c r="H36" i="5671"/>
  <c r="H40" i="5671"/>
  <c r="H44" i="5671"/>
  <c r="H48" i="5671"/>
  <c r="H7" i="5671"/>
  <c r="H9" i="5671"/>
  <c r="H15" i="5671"/>
  <c r="H17" i="5671"/>
  <c r="C19" i="5671"/>
  <c r="H22" i="5671"/>
  <c r="H33" i="5671"/>
  <c r="H37" i="5671"/>
  <c r="H41" i="5671"/>
  <c r="H45" i="5671"/>
  <c r="H49" i="5671"/>
  <c r="O15" i="5659" l="1"/>
  <c r="O21" i="5667"/>
  <c r="O21" i="5669" l="1"/>
  <c r="O20" i="5669"/>
  <c r="O19" i="5663"/>
  <c r="O21" i="5653"/>
  <c r="O24" i="5651" l="1"/>
  <c r="O18" i="5669"/>
  <c r="O23" i="5661"/>
  <c r="O15" i="5669"/>
  <c r="O19" i="5669" l="1"/>
  <c r="O17" i="5669"/>
  <c r="C29" i="5669"/>
  <c r="B26" i="5669"/>
  <c r="B24" i="5669"/>
  <c r="C20" i="5669"/>
  <c r="B17" i="5669"/>
  <c r="H6" i="5669" s="1"/>
  <c r="C16" i="5669"/>
  <c r="C15" i="5669"/>
  <c r="C14" i="5669"/>
  <c r="C13" i="5669"/>
  <c r="O12" i="5669"/>
  <c r="C12" i="5669"/>
  <c r="O11" i="5669"/>
  <c r="C11" i="5669"/>
  <c r="O10" i="5669"/>
  <c r="C10" i="5669"/>
  <c r="C9" i="5669"/>
  <c r="C8" i="5669"/>
  <c r="O7" i="5669"/>
  <c r="C7" i="5669"/>
  <c r="O6" i="5669"/>
  <c r="B6" i="5669"/>
  <c r="O5" i="5669"/>
  <c r="B5" i="5669"/>
  <c r="O4" i="5669"/>
  <c r="O3" i="5669"/>
  <c r="O2" i="5669"/>
  <c r="O21" i="5657"/>
  <c r="O21" i="5659"/>
  <c r="O24" i="5649"/>
  <c r="H7" i="5669" l="1"/>
  <c r="H33" i="5669"/>
  <c r="H37" i="5669"/>
  <c r="H20" i="5669"/>
  <c r="H22" i="5669"/>
  <c r="H15" i="5669"/>
  <c r="H4" i="5669"/>
  <c r="H19" i="5669"/>
  <c r="H38" i="5669"/>
  <c r="H28" i="5669"/>
  <c r="H3" i="5669"/>
  <c r="H16" i="5669"/>
  <c r="H17" i="5669"/>
  <c r="H9" i="5669"/>
  <c r="C18" i="5669"/>
  <c r="H10" i="5669"/>
  <c r="H11" i="5669"/>
  <c r="H5" i="5669"/>
  <c r="H12" i="5669"/>
  <c r="H31" i="5669"/>
  <c r="H42" i="5669"/>
  <c r="H47" i="5669"/>
  <c r="H43" i="5669"/>
  <c r="H49" i="5669"/>
  <c r="B25" i="5669"/>
  <c r="H34" i="5669"/>
  <c r="H39" i="5669"/>
  <c r="H45" i="5669"/>
  <c r="H51" i="5669"/>
  <c r="H13" i="5669"/>
  <c r="H2" i="5669"/>
  <c r="C19" i="5669"/>
  <c r="H25" i="5669"/>
  <c r="H8" i="5669"/>
  <c r="H21" i="5669"/>
  <c r="H14" i="5669"/>
  <c r="C17" i="5669"/>
  <c r="H18" i="5669"/>
  <c r="B23" i="5669"/>
  <c r="H30" i="5669"/>
  <c r="H35" i="5669"/>
  <c r="H41" i="5669"/>
  <c r="H46" i="5669"/>
  <c r="H52" i="5669"/>
  <c r="H50" i="5669"/>
  <c r="H23" i="5669"/>
  <c r="H24" i="5669"/>
  <c r="H26" i="5669"/>
  <c r="H27" i="5669"/>
  <c r="H29" i="5669"/>
  <c r="H32" i="5669"/>
  <c r="H36" i="5669"/>
  <c r="H40" i="5669"/>
  <c r="H44" i="5669"/>
  <c r="H48" i="5669"/>
  <c r="O18" i="5659" l="1"/>
  <c r="O19" i="5655"/>
  <c r="O23" i="5663"/>
  <c r="O21" i="5663"/>
  <c r="O17" i="5651" l="1"/>
  <c r="O20" i="5667"/>
  <c r="O18" i="5667" l="1"/>
  <c r="O16" i="5667"/>
  <c r="O15" i="5657"/>
  <c r="O25" i="5655"/>
  <c r="O17" i="5665" l="1"/>
  <c r="O22" i="5661"/>
  <c r="O15" i="5665"/>
  <c r="O22" i="5667"/>
  <c r="O15" i="5653"/>
  <c r="O20" i="5663"/>
  <c r="O17" i="5649"/>
  <c r="O19" i="5667"/>
  <c r="O17" i="5667"/>
  <c r="C29" i="5667"/>
  <c r="B26" i="5667"/>
  <c r="B24" i="5667"/>
  <c r="C20" i="5667"/>
  <c r="B17" i="5667"/>
  <c r="H52" i="5667" s="1"/>
  <c r="C16" i="5667"/>
  <c r="C15" i="5667"/>
  <c r="C14" i="5667"/>
  <c r="C13" i="5667"/>
  <c r="O12" i="5667"/>
  <c r="C12" i="5667"/>
  <c r="O11" i="5667"/>
  <c r="C11" i="5667"/>
  <c r="O10" i="5667"/>
  <c r="C10" i="5667"/>
  <c r="C9" i="5667"/>
  <c r="C8" i="5667"/>
  <c r="O7" i="5667"/>
  <c r="C7" i="5667"/>
  <c r="O6" i="5667"/>
  <c r="B6" i="5667"/>
  <c r="O5" i="5667"/>
  <c r="B5" i="5667"/>
  <c r="O4" i="5667"/>
  <c r="O3" i="5667"/>
  <c r="O2" i="5667"/>
  <c r="O16" i="5665"/>
  <c r="O18" i="5665"/>
  <c r="C29" i="5665"/>
  <c r="B26" i="5665"/>
  <c r="B24" i="5665"/>
  <c r="C20" i="5665"/>
  <c r="B17" i="5665"/>
  <c r="H51" i="5665" s="1"/>
  <c r="C16" i="5665"/>
  <c r="C15" i="5665"/>
  <c r="C14" i="5665"/>
  <c r="C13" i="5665"/>
  <c r="O12" i="5665"/>
  <c r="C12" i="5665"/>
  <c r="O11" i="5665"/>
  <c r="C11" i="5665"/>
  <c r="O10" i="5665"/>
  <c r="C10" i="5665"/>
  <c r="C9" i="5665"/>
  <c r="C8" i="5665"/>
  <c r="O7" i="5665"/>
  <c r="C7" i="5665"/>
  <c r="O6" i="5665"/>
  <c r="B6" i="5665"/>
  <c r="O5" i="5665"/>
  <c r="B5" i="5665"/>
  <c r="O4" i="5665"/>
  <c r="O3" i="5665"/>
  <c r="O2" i="5665"/>
  <c r="H2" i="5665"/>
  <c r="O24" i="5663"/>
  <c r="O25" i="5663"/>
  <c r="O15" i="5651"/>
  <c r="O21" i="5651"/>
  <c r="O28" i="5649"/>
  <c r="H9" i="5667" l="1"/>
  <c r="H13" i="5665"/>
  <c r="C17" i="5665"/>
  <c r="H3" i="5665"/>
  <c r="H4" i="5665"/>
  <c r="H20" i="5667"/>
  <c r="B23" i="5667"/>
  <c r="H11" i="5667"/>
  <c r="H39" i="5667"/>
  <c r="H43" i="5667"/>
  <c r="C17" i="5667"/>
  <c r="H2" i="5667"/>
  <c r="B25" i="5667"/>
  <c r="H32" i="5667"/>
  <c r="H47" i="5667"/>
  <c r="H7" i="5667"/>
  <c r="H15" i="5667"/>
  <c r="C18" i="5667"/>
  <c r="H4" i="5667"/>
  <c r="H3" i="5667"/>
  <c r="H22" i="5667"/>
  <c r="H36" i="5667"/>
  <c r="H51" i="5667"/>
  <c r="H24" i="5667"/>
  <c r="H26" i="5667"/>
  <c r="H30" i="5667"/>
  <c r="H33" i="5667"/>
  <c r="H19" i="5667"/>
  <c r="H40" i="5667"/>
  <c r="H44" i="5667"/>
  <c r="H5" i="5667"/>
  <c r="H12" i="5667"/>
  <c r="H6" i="5667"/>
  <c r="H13" i="5667"/>
  <c r="H16" i="5667"/>
  <c r="H14" i="5667"/>
  <c r="H18" i="5667"/>
  <c r="H25" i="5667"/>
  <c r="H27" i="5667"/>
  <c r="H29" i="5667"/>
  <c r="H31" i="5667"/>
  <c r="H35" i="5667"/>
  <c r="H38" i="5667"/>
  <c r="H42" i="5667"/>
  <c r="H46" i="5667"/>
  <c r="H50" i="5667"/>
  <c r="H23" i="5667"/>
  <c r="H28" i="5667"/>
  <c r="H48" i="5667"/>
  <c r="H8" i="5667"/>
  <c r="H17" i="5667"/>
  <c r="H21" i="5667"/>
  <c r="C19" i="5667"/>
  <c r="H10" i="5667"/>
  <c r="H34" i="5667"/>
  <c r="H37" i="5667"/>
  <c r="H41" i="5667"/>
  <c r="H45" i="5667"/>
  <c r="H49" i="5667"/>
  <c r="H21" i="5665"/>
  <c r="H23" i="5665"/>
  <c r="H27" i="5665"/>
  <c r="H32" i="5665"/>
  <c r="H44" i="5665"/>
  <c r="H7" i="5665"/>
  <c r="H9" i="5665"/>
  <c r="H41" i="5665"/>
  <c r="H49" i="5665"/>
  <c r="H12" i="5665"/>
  <c r="H15" i="5665"/>
  <c r="H20" i="5665"/>
  <c r="H22" i="5665"/>
  <c r="H25" i="5665"/>
  <c r="H11" i="5665"/>
  <c r="H28" i="5665"/>
  <c r="H30" i="5665"/>
  <c r="H34" i="5665"/>
  <c r="H38" i="5665"/>
  <c r="H42" i="5665"/>
  <c r="H46" i="5665"/>
  <c r="H50" i="5665"/>
  <c r="H26" i="5665"/>
  <c r="H29" i="5665"/>
  <c r="H36" i="5665"/>
  <c r="H40" i="5665"/>
  <c r="H48" i="5665"/>
  <c r="H16" i="5665"/>
  <c r="H18" i="5665"/>
  <c r="C19" i="5665"/>
  <c r="H24" i="5665"/>
  <c r="H33" i="5665"/>
  <c r="H37" i="5665"/>
  <c r="H45" i="5665"/>
  <c r="H52" i="5665"/>
  <c r="H8" i="5665"/>
  <c r="H10" i="5665"/>
  <c r="H5" i="5665"/>
  <c r="H14" i="5665"/>
  <c r="H17" i="5665"/>
  <c r="H19" i="5665"/>
  <c r="C18" i="5665"/>
  <c r="B23" i="5665"/>
  <c r="B25" i="5665"/>
  <c r="H6" i="5665"/>
  <c r="H31" i="5665"/>
  <c r="H35" i="5665"/>
  <c r="H39" i="5665"/>
  <c r="H43" i="5665"/>
  <c r="H47" i="5665"/>
  <c r="O18" i="5663" l="1"/>
  <c r="O19" i="5661"/>
  <c r="O18" i="5661"/>
  <c r="O16" i="5653"/>
  <c r="O17" i="5659" l="1"/>
  <c r="O17" i="5657"/>
  <c r="O17" i="5661"/>
  <c r="O20" i="5661"/>
  <c r="O16" i="5659" l="1"/>
  <c r="O16" i="5657"/>
  <c r="O23" i="5655"/>
  <c r="O22" i="5655"/>
  <c r="O17" i="5663"/>
  <c r="O22" i="5663"/>
  <c r="C29" i="5663"/>
  <c r="B26" i="5663"/>
  <c r="B24" i="5663"/>
  <c r="C20" i="5663"/>
  <c r="B17" i="5663"/>
  <c r="H52" i="5663" s="1"/>
  <c r="C16" i="5663"/>
  <c r="C15" i="5663"/>
  <c r="C14" i="5663"/>
  <c r="C13" i="5663"/>
  <c r="O12" i="5663"/>
  <c r="C12" i="5663"/>
  <c r="O11" i="5663"/>
  <c r="C11" i="5663"/>
  <c r="O10" i="5663"/>
  <c r="C10" i="5663"/>
  <c r="C9" i="5663"/>
  <c r="C8" i="5663"/>
  <c r="O7" i="5663"/>
  <c r="C7" i="5663"/>
  <c r="O6" i="5663"/>
  <c r="B6" i="5663"/>
  <c r="O5" i="5663"/>
  <c r="B5" i="5663"/>
  <c r="O4" i="5663"/>
  <c r="O3" i="5663"/>
  <c r="O2" i="5663"/>
  <c r="O22" i="5657"/>
  <c r="O18" i="5653"/>
  <c r="O22" i="5649"/>
  <c r="H2" i="5663" l="1"/>
  <c r="H3" i="5663"/>
  <c r="H4" i="5663"/>
  <c r="H39" i="5663"/>
  <c r="C19" i="5663"/>
  <c r="H21" i="5663"/>
  <c r="H42" i="5663"/>
  <c r="H33" i="5663"/>
  <c r="C17" i="5663"/>
  <c r="H16" i="5663"/>
  <c r="H46" i="5663"/>
  <c r="H11" i="5663"/>
  <c r="H31" i="5663"/>
  <c r="H8" i="5663"/>
  <c r="H22" i="5663"/>
  <c r="H17" i="5663"/>
  <c r="H9" i="5663"/>
  <c r="H7" i="5663"/>
  <c r="H12" i="5663"/>
  <c r="H20" i="5663"/>
  <c r="H19" i="5663"/>
  <c r="H14" i="5663"/>
  <c r="H6" i="5663"/>
  <c r="H27" i="5663"/>
  <c r="H28" i="5663"/>
  <c r="H15" i="5663"/>
  <c r="C18" i="5663"/>
  <c r="H13" i="5663"/>
  <c r="H35" i="5663"/>
  <c r="H50" i="5663"/>
  <c r="B23" i="5663"/>
  <c r="B25" i="5663"/>
  <c r="H10" i="5663"/>
  <c r="H24" i="5663"/>
  <c r="H36" i="5663"/>
  <c r="H40" i="5663"/>
  <c r="H43" i="5663"/>
  <c r="H47" i="5663"/>
  <c r="H51" i="5663"/>
  <c r="H29" i="5663"/>
  <c r="H30" i="5663"/>
  <c r="H18" i="5663"/>
  <c r="H32" i="5663"/>
  <c r="H23" i="5663"/>
  <c r="H25" i="5663"/>
  <c r="H37" i="5663"/>
  <c r="H26" i="5663"/>
  <c r="H44" i="5663"/>
  <c r="H48" i="5663"/>
  <c r="H5" i="5663"/>
  <c r="H34" i="5663"/>
  <c r="H38" i="5663"/>
  <c r="H41" i="5663"/>
  <c r="H45" i="5663"/>
  <c r="H49" i="5663"/>
  <c r="O20" i="5655" l="1"/>
  <c r="O21" i="5661"/>
  <c r="O16" i="5661"/>
  <c r="C29" i="5661"/>
  <c r="B26" i="5661"/>
  <c r="B24" i="5661"/>
  <c r="C20" i="5661"/>
  <c r="B17" i="5661"/>
  <c r="H52" i="5661" s="1"/>
  <c r="C16" i="5661"/>
  <c r="C15" i="5661"/>
  <c r="C14" i="5661"/>
  <c r="C13" i="5661"/>
  <c r="O12" i="5661"/>
  <c r="C12" i="5661"/>
  <c r="O11" i="5661"/>
  <c r="C11" i="5661"/>
  <c r="O10" i="5661"/>
  <c r="C10" i="5661"/>
  <c r="C9" i="5661"/>
  <c r="C8" i="5661"/>
  <c r="O7" i="5661"/>
  <c r="C7" i="5661"/>
  <c r="O6" i="5661"/>
  <c r="B6" i="5661"/>
  <c r="O5" i="5661"/>
  <c r="B5" i="5661"/>
  <c r="O4" i="5661"/>
  <c r="O3" i="5661"/>
  <c r="O2" i="5661"/>
  <c r="O18" i="5651"/>
  <c r="O18" i="5649"/>
  <c r="O19" i="5659"/>
  <c r="O19" i="5653"/>
  <c r="O20" i="5653"/>
  <c r="O20" i="5657"/>
  <c r="O20" i="5659"/>
  <c r="O22" i="5659"/>
  <c r="C29" i="5659"/>
  <c r="B26" i="5659"/>
  <c r="B24" i="5659"/>
  <c r="C20" i="5659"/>
  <c r="B17" i="5659"/>
  <c r="H51" i="5659" s="1"/>
  <c r="C16" i="5659"/>
  <c r="C15" i="5659"/>
  <c r="C14" i="5659"/>
  <c r="C13" i="5659"/>
  <c r="O12" i="5659"/>
  <c r="C12" i="5659"/>
  <c r="O11" i="5659"/>
  <c r="C11" i="5659"/>
  <c r="O10" i="5659"/>
  <c r="C10" i="5659"/>
  <c r="C9" i="5659"/>
  <c r="C8" i="5659"/>
  <c r="O7" i="5659"/>
  <c r="C7" i="5659"/>
  <c r="O6" i="5659"/>
  <c r="B6" i="5659"/>
  <c r="O5" i="5659"/>
  <c r="B5" i="5659"/>
  <c r="O4" i="5659"/>
  <c r="O3" i="5659"/>
  <c r="O2" i="5659"/>
  <c r="O19" i="5657"/>
  <c r="O18" i="5657"/>
  <c r="C29" i="5657"/>
  <c r="B26" i="5657"/>
  <c r="B24" i="5657"/>
  <c r="C20" i="5657"/>
  <c r="B17" i="5657"/>
  <c r="H52" i="5657" s="1"/>
  <c r="C16" i="5657"/>
  <c r="C15" i="5657"/>
  <c r="C14" i="5657"/>
  <c r="C13" i="5657"/>
  <c r="O12" i="5657"/>
  <c r="C12" i="5657"/>
  <c r="O11" i="5657"/>
  <c r="C11" i="5657"/>
  <c r="O10" i="5657"/>
  <c r="C10" i="5657"/>
  <c r="C9" i="5657"/>
  <c r="C8" i="5657"/>
  <c r="O7" i="5657"/>
  <c r="C7" i="5657"/>
  <c r="O6" i="5657"/>
  <c r="B6" i="5657"/>
  <c r="O5" i="5657"/>
  <c r="B5" i="5657"/>
  <c r="O4" i="5657"/>
  <c r="O3" i="5657"/>
  <c r="O2" i="5657"/>
  <c r="O19" i="5651"/>
  <c r="O23" i="5651"/>
  <c r="O21" i="5649"/>
  <c r="O23" i="5649"/>
  <c r="H3" i="5661" l="1"/>
  <c r="H2" i="5661"/>
  <c r="H4" i="5661"/>
  <c r="H10" i="5661"/>
  <c r="H12" i="5659"/>
  <c r="H5" i="5659"/>
  <c r="H2" i="5659"/>
  <c r="H3" i="5659"/>
  <c r="C17" i="5661"/>
  <c r="H21" i="5661"/>
  <c r="H46" i="5661"/>
  <c r="H11" i="5661"/>
  <c r="H5" i="5661"/>
  <c r="H13" i="5661"/>
  <c r="H23" i="5661"/>
  <c r="H16" i="5661"/>
  <c r="H20" i="5661"/>
  <c r="H29" i="5661"/>
  <c r="H12" i="5661"/>
  <c r="H31" i="5661"/>
  <c r="H19" i="5661"/>
  <c r="H36" i="5661"/>
  <c r="H40" i="5661"/>
  <c r="H44" i="5661"/>
  <c r="H47" i="5661"/>
  <c r="H51" i="5661"/>
  <c r="H27" i="5661"/>
  <c r="H30" i="5661"/>
  <c r="H32" i="5661"/>
  <c r="H34" i="5661"/>
  <c r="H38" i="5661"/>
  <c r="H42" i="5661"/>
  <c r="H49" i="5661"/>
  <c r="H7" i="5661"/>
  <c r="H15" i="5661"/>
  <c r="H25" i="5661"/>
  <c r="H14" i="5661"/>
  <c r="C18" i="5661"/>
  <c r="B23" i="5661"/>
  <c r="B25" i="5661"/>
  <c r="H9" i="5661"/>
  <c r="H33" i="5661"/>
  <c r="H37" i="5661"/>
  <c r="H41" i="5661"/>
  <c r="H45" i="5661"/>
  <c r="H48" i="5661"/>
  <c r="H18" i="5661"/>
  <c r="H28" i="5661"/>
  <c r="H6" i="5661"/>
  <c r="H8" i="5661"/>
  <c r="H24" i="5661"/>
  <c r="H26" i="5661"/>
  <c r="C19" i="5661"/>
  <c r="H17" i="5661"/>
  <c r="H35" i="5661"/>
  <c r="H39" i="5661"/>
  <c r="H43" i="5661"/>
  <c r="H22" i="5661"/>
  <c r="H50" i="5661"/>
  <c r="C17" i="5659"/>
  <c r="H26" i="5659"/>
  <c r="H27" i="5659"/>
  <c r="H29" i="5659"/>
  <c r="H23" i="5659"/>
  <c r="H24" i="5659"/>
  <c r="H32" i="5659"/>
  <c r="H36" i="5659"/>
  <c r="H40" i="5659"/>
  <c r="H44" i="5659"/>
  <c r="H48" i="5659"/>
  <c r="H4" i="5659"/>
  <c r="H8" i="5659"/>
  <c r="H21" i="5659"/>
  <c r="H22" i="5659"/>
  <c r="C19" i="5659"/>
  <c r="H13" i="5659"/>
  <c r="H33" i="5659"/>
  <c r="H37" i="5659"/>
  <c r="H41" i="5659"/>
  <c r="H45" i="5659"/>
  <c r="H49" i="5659"/>
  <c r="H52" i="5659"/>
  <c r="H9" i="5659"/>
  <c r="H6" i="5659"/>
  <c r="H11" i="5659"/>
  <c r="H19" i="5659"/>
  <c r="H18" i="5659"/>
  <c r="H15" i="5659"/>
  <c r="H28" i="5659"/>
  <c r="H14" i="5659"/>
  <c r="H30" i="5659"/>
  <c r="H17" i="5659"/>
  <c r="H34" i="5659"/>
  <c r="H38" i="5659"/>
  <c r="H42" i="5659"/>
  <c r="H46" i="5659"/>
  <c r="H50" i="5659"/>
  <c r="H7" i="5659"/>
  <c r="H20" i="5659"/>
  <c r="H25" i="5659"/>
  <c r="H16" i="5659"/>
  <c r="C18" i="5659"/>
  <c r="B23" i="5659"/>
  <c r="B25" i="5659"/>
  <c r="H10" i="5659"/>
  <c r="H31" i="5659"/>
  <c r="H35" i="5659"/>
  <c r="H39" i="5659"/>
  <c r="H43" i="5659"/>
  <c r="H47" i="5659"/>
  <c r="H28" i="5657"/>
  <c r="B23" i="5657"/>
  <c r="H9" i="5657"/>
  <c r="H40" i="5657"/>
  <c r="H11" i="5657"/>
  <c r="C17" i="5657"/>
  <c r="H44" i="5657"/>
  <c r="C18" i="5657"/>
  <c r="H23" i="5657"/>
  <c r="H48" i="5657"/>
  <c r="H6" i="5657"/>
  <c r="H2" i="5657"/>
  <c r="H20" i="5657"/>
  <c r="B25" i="5657"/>
  <c r="H4" i="5657"/>
  <c r="H3" i="5657"/>
  <c r="H14" i="5657"/>
  <c r="H36" i="5657"/>
  <c r="H19" i="5657"/>
  <c r="H29" i="5657"/>
  <c r="H31" i="5657"/>
  <c r="H26" i="5657"/>
  <c r="H5" i="5657"/>
  <c r="H10" i="5657"/>
  <c r="H7" i="5657"/>
  <c r="H13" i="5657"/>
  <c r="H27" i="5657"/>
  <c r="H18" i="5657"/>
  <c r="H17" i="5657"/>
  <c r="H24" i="5657"/>
  <c r="H12" i="5657"/>
  <c r="H32" i="5657"/>
  <c r="H16" i="5657"/>
  <c r="H35" i="5657"/>
  <c r="H39" i="5657"/>
  <c r="H43" i="5657"/>
  <c r="H47" i="5657"/>
  <c r="H51" i="5657"/>
  <c r="H30" i="5657"/>
  <c r="H25" i="5657"/>
  <c r="H33" i="5657"/>
  <c r="H37" i="5657"/>
  <c r="H41" i="5657"/>
  <c r="H45" i="5657"/>
  <c r="H49" i="5657"/>
  <c r="H8" i="5657"/>
  <c r="H21" i="5657"/>
  <c r="H22" i="5657"/>
  <c r="C19" i="5657"/>
  <c r="H15" i="5657"/>
  <c r="H34" i="5657"/>
  <c r="H38" i="5657"/>
  <c r="H42" i="5657"/>
  <c r="H46" i="5657"/>
  <c r="H50" i="5657"/>
  <c r="O21" i="5655" l="1"/>
  <c r="O24" i="5655"/>
  <c r="C29" i="5655"/>
  <c r="B26" i="5655"/>
  <c r="B24" i="5655"/>
  <c r="C20" i="5655"/>
  <c r="B17" i="5655"/>
  <c r="H25" i="5655" s="1"/>
  <c r="C16" i="5655"/>
  <c r="C15" i="5655"/>
  <c r="C14" i="5655"/>
  <c r="C13" i="5655"/>
  <c r="O12" i="5655"/>
  <c r="C12" i="5655"/>
  <c r="O11" i="5655"/>
  <c r="C11" i="5655"/>
  <c r="O10" i="5655"/>
  <c r="C10" i="5655"/>
  <c r="C9" i="5655"/>
  <c r="C8" i="5655"/>
  <c r="O7" i="5655"/>
  <c r="C7" i="5655"/>
  <c r="O6" i="5655"/>
  <c r="B6" i="5655"/>
  <c r="O5" i="5655"/>
  <c r="B5" i="5655"/>
  <c r="O4" i="5655"/>
  <c r="O3" i="5655"/>
  <c r="O2" i="5655"/>
  <c r="O22" i="5653"/>
  <c r="O17" i="5653"/>
  <c r="C29" i="5653"/>
  <c r="B26" i="5653"/>
  <c r="B24" i="5653"/>
  <c r="C20" i="5653"/>
  <c r="B17" i="5653"/>
  <c r="H17" i="5653" s="1"/>
  <c r="C16" i="5653"/>
  <c r="C15" i="5653"/>
  <c r="C14" i="5653"/>
  <c r="C13" i="5653"/>
  <c r="O12" i="5653"/>
  <c r="C12" i="5653"/>
  <c r="O11" i="5653"/>
  <c r="C11" i="5653"/>
  <c r="O10" i="5653"/>
  <c r="C10" i="5653"/>
  <c r="C9" i="5653"/>
  <c r="C8" i="5653"/>
  <c r="O7" i="5653"/>
  <c r="C7" i="5653"/>
  <c r="O6" i="5653"/>
  <c r="B6" i="5653"/>
  <c r="O5" i="5653"/>
  <c r="B5" i="5653"/>
  <c r="O4" i="5653"/>
  <c r="O3" i="5653"/>
  <c r="O2" i="5653"/>
  <c r="O25" i="5649"/>
  <c r="O20" i="5651"/>
  <c r="O22" i="5651"/>
  <c r="C29" i="5651"/>
  <c r="B26" i="5651"/>
  <c r="B24" i="5651"/>
  <c r="C20" i="5651"/>
  <c r="B17" i="5651"/>
  <c r="H5" i="5651" s="1"/>
  <c r="C16" i="5651"/>
  <c r="C15" i="5651"/>
  <c r="C14" i="5651"/>
  <c r="C13" i="5651"/>
  <c r="O12" i="5651"/>
  <c r="C12" i="5651"/>
  <c r="O11" i="5651"/>
  <c r="C11" i="5651"/>
  <c r="O10" i="5651"/>
  <c r="C10" i="5651"/>
  <c r="C9" i="5651"/>
  <c r="C8" i="5651"/>
  <c r="O7" i="5651"/>
  <c r="C7" i="5651"/>
  <c r="O6" i="5651"/>
  <c r="B6" i="5651"/>
  <c r="O5" i="5651"/>
  <c r="B5" i="5651"/>
  <c r="O4" i="5651"/>
  <c r="O3" i="5651"/>
  <c r="O2" i="5651"/>
  <c r="O19" i="5649"/>
  <c r="O20" i="5649"/>
  <c r="C29" i="5649"/>
  <c r="B26" i="5649"/>
  <c r="B24" i="5649"/>
  <c r="C20" i="5649"/>
  <c r="B17" i="5649"/>
  <c r="H51" i="5649" s="1"/>
  <c r="C16" i="5649"/>
  <c r="C15" i="5649"/>
  <c r="C14" i="5649"/>
  <c r="C13" i="5649"/>
  <c r="O12" i="5649"/>
  <c r="C12" i="5649"/>
  <c r="O11" i="5649"/>
  <c r="C11" i="5649"/>
  <c r="O10" i="5649"/>
  <c r="C10" i="5649"/>
  <c r="C9" i="5649"/>
  <c r="C8" i="5649"/>
  <c r="O7" i="5649"/>
  <c r="C7" i="5649"/>
  <c r="O6" i="5649"/>
  <c r="B6" i="5649"/>
  <c r="O5" i="5649"/>
  <c r="B5" i="5649"/>
  <c r="O4" i="5649"/>
  <c r="O3" i="5649"/>
  <c r="O2" i="5649"/>
  <c r="C17" i="5655" l="1"/>
  <c r="H2" i="5655"/>
  <c r="H4" i="5655"/>
  <c r="H3" i="5655"/>
  <c r="H9" i="5655"/>
  <c r="H4" i="5653"/>
  <c r="H2" i="5653"/>
  <c r="H3" i="5653"/>
  <c r="H10" i="5653"/>
  <c r="H2" i="5651"/>
  <c r="H3" i="5651"/>
  <c r="H10" i="5651"/>
  <c r="H4" i="5651"/>
  <c r="H11" i="5651"/>
  <c r="H32" i="5655"/>
  <c r="H27" i="5655"/>
  <c r="H33" i="5655"/>
  <c r="H37" i="5655"/>
  <c r="H5" i="5655"/>
  <c r="H8" i="5655"/>
  <c r="H21" i="5655"/>
  <c r="H14" i="5655"/>
  <c r="H52" i="5655"/>
  <c r="H12" i="5655"/>
  <c r="H6" i="5655"/>
  <c r="H11" i="5655"/>
  <c r="H20" i="5655"/>
  <c r="H18" i="5655"/>
  <c r="H16" i="5655"/>
  <c r="H23" i="5655"/>
  <c r="H13" i="5655"/>
  <c r="H28" i="5655"/>
  <c r="H19" i="5655"/>
  <c r="H35" i="5655"/>
  <c r="H39" i="5655"/>
  <c r="H43" i="5655"/>
  <c r="H47" i="5655"/>
  <c r="H51" i="5655"/>
  <c r="H31" i="5655"/>
  <c r="H22" i="5655"/>
  <c r="H24" i="5655"/>
  <c r="H41" i="5655"/>
  <c r="H45" i="5655"/>
  <c r="H49" i="5655"/>
  <c r="H17" i="5655"/>
  <c r="C19" i="5655"/>
  <c r="H34" i="5655"/>
  <c r="H38" i="5655"/>
  <c r="H42" i="5655"/>
  <c r="H46" i="5655"/>
  <c r="H50" i="5655"/>
  <c r="H7" i="5655"/>
  <c r="H26" i="5655"/>
  <c r="H30" i="5655"/>
  <c r="H15" i="5655"/>
  <c r="C18" i="5655"/>
  <c r="B23" i="5655"/>
  <c r="B25" i="5655"/>
  <c r="H10" i="5655"/>
  <c r="H29" i="5655"/>
  <c r="H36" i="5655"/>
  <c r="H40" i="5655"/>
  <c r="H44" i="5655"/>
  <c r="H48" i="5655"/>
  <c r="C17" i="5653"/>
  <c r="H30" i="5653"/>
  <c r="H31" i="5653"/>
  <c r="H32" i="5653"/>
  <c r="H33" i="5653"/>
  <c r="H34" i="5653"/>
  <c r="H27" i="5653"/>
  <c r="H37" i="5653"/>
  <c r="H41" i="5653"/>
  <c r="H45" i="5653"/>
  <c r="H49" i="5653"/>
  <c r="H5" i="5653"/>
  <c r="H8" i="5653"/>
  <c r="H20" i="5653"/>
  <c r="H23" i="5653"/>
  <c r="C19" i="5653"/>
  <c r="H14" i="5653"/>
  <c r="H35" i="5653"/>
  <c r="H38" i="5653"/>
  <c r="H42" i="5653"/>
  <c r="H46" i="5653"/>
  <c r="H50" i="5653"/>
  <c r="H52" i="5653"/>
  <c r="H9" i="5653"/>
  <c r="H7" i="5653"/>
  <c r="H13" i="5653"/>
  <c r="H22" i="5653"/>
  <c r="H18" i="5653"/>
  <c r="H15" i="5653"/>
  <c r="H24" i="5653"/>
  <c r="H12" i="5653"/>
  <c r="H25" i="5653"/>
  <c r="H19" i="5653"/>
  <c r="H28" i="5653"/>
  <c r="H39" i="5653"/>
  <c r="H43" i="5653"/>
  <c r="H47" i="5653"/>
  <c r="H51" i="5653"/>
  <c r="H6" i="5653"/>
  <c r="H21" i="5653"/>
  <c r="H29" i="5653"/>
  <c r="H16" i="5653"/>
  <c r="C18" i="5653"/>
  <c r="B23" i="5653"/>
  <c r="B25" i="5653"/>
  <c r="H11" i="5653"/>
  <c r="H26" i="5653"/>
  <c r="H36" i="5653"/>
  <c r="H40" i="5653"/>
  <c r="H44" i="5653"/>
  <c r="H48" i="5653"/>
  <c r="H13" i="5651"/>
  <c r="H31" i="5651"/>
  <c r="H19" i="5651"/>
  <c r="H12" i="5651"/>
  <c r="H17" i="5651"/>
  <c r="H39" i="5651"/>
  <c r="H47" i="5651"/>
  <c r="H7" i="5651"/>
  <c r="H6" i="5651"/>
  <c r="H21" i="5651"/>
  <c r="H32" i="5651"/>
  <c r="H16" i="5651"/>
  <c r="C18" i="5651"/>
  <c r="H14" i="5651"/>
  <c r="H35" i="5651"/>
  <c r="H42" i="5651"/>
  <c r="H50" i="5651"/>
  <c r="C19" i="5651"/>
  <c r="H28" i="5651"/>
  <c r="H25" i="5651"/>
  <c r="H30" i="5651"/>
  <c r="H43" i="5651"/>
  <c r="H51" i="5651"/>
  <c r="H9" i="5651"/>
  <c r="H27" i="5651"/>
  <c r="H22" i="5651"/>
  <c r="C17" i="5651"/>
  <c r="H18" i="5651"/>
  <c r="H38" i="5651"/>
  <c r="H46" i="5651"/>
  <c r="H52" i="5651"/>
  <c r="B23" i="5651"/>
  <c r="B25" i="5651"/>
  <c r="H8" i="5651"/>
  <c r="H23" i="5651"/>
  <c r="H36" i="5651"/>
  <c r="H40" i="5651"/>
  <c r="H44" i="5651"/>
  <c r="H48" i="5651"/>
  <c r="H15" i="5651"/>
  <c r="H33" i="5651"/>
  <c r="H34" i="5651"/>
  <c r="H20" i="5651"/>
  <c r="H29" i="5651"/>
  <c r="H24" i="5651"/>
  <c r="H26" i="5651"/>
  <c r="H37" i="5651"/>
  <c r="H41" i="5651"/>
  <c r="H45" i="5651"/>
  <c r="H49" i="5651"/>
  <c r="H35" i="5649"/>
  <c r="H9" i="5649"/>
  <c r="H42" i="5649"/>
  <c r="B23" i="5649"/>
  <c r="H45" i="5649"/>
  <c r="H7" i="5649"/>
  <c r="C18" i="5649"/>
  <c r="H25" i="5649"/>
  <c r="H48" i="5649"/>
  <c r="H11" i="5649"/>
  <c r="C17" i="5649"/>
  <c r="H2" i="5649"/>
  <c r="H21" i="5649"/>
  <c r="B25" i="5649"/>
  <c r="H4" i="5649"/>
  <c r="H3" i="5649"/>
  <c r="H15" i="5649"/>
  <c r="H39" i="5649"/>
  <c r="H18" i="5649"/>
  <c r="H36" i="5649"/>
  <c r="H37" i="5649"/>
  <c r="H23" i="5649"/>
  <c r="H26" i="5649"/>
  <c r="H29" i="5649"/>
  <c r="H27" i="5649"/>
  <c r="H32" i="5649"/>
  <c r="H33" i="5649"/>
  <c r="H46" i="5649"/>
  <c r="H49" i="5649"/>
  <c r="H5" i="5649"/>
  <c r="H8" i="5649"/>
  <c r="H22" i="5649"/>
  <c r="H20" i="5649"/>
  <c r="C19" i="5649"/>
  <c r="H14" i="5649"/>
  <c r="H38" i="5649"/>
  <c r="H40" i="5649"/>
  <c r="H43" i="5649"/>
  <c r="H34" i="5649"/>
  <c r="H50" i="5649"/>
  <c r="H52" i="5649"/>
  <c r="H10" i="5649"/>
  <c r="H6" i="5649"/>
  <c r="H12" i="5649"/>
  <c r="H24" i="5649"/>
  <c r="H19" i="5649"/>
  <c r="H16" i="5649"/>
  <c r="H28" i="5649"/>
  <c r="H13" i="5649"/>
  <c r="H30" i="5649"/>
  <c r="H17" i="5649"/>
  <c r="H31" i="5649"/>
  <c r="H41" i="5649"/>
  <c r="H44" i="5649"/>
  <c r="H47" i="5649"/>
  <c r="B26" i="2228" l="1"/>
  <c r="C29" i="2228" l="1"/>
  <c r="B24" i="2228"/>
  <c r="C20" i="2228"/>
  <c r="C17" i="2228"/>
  <c r="B17" i="2228"/>
  <c r="B25" i="2228" s="1"/>
  <c r="C16" i="2228"/>
  <c r="H15" i="2228"/>
  <c r="C15" i="2228"/>
  <c r="C14" i="2228"/>
  <c r="H13" i="2228"/>
  <c r="C13" i="2228"/>
  <c r="O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  <c r="H18" i="2228" l="1"/>
  <c r="H20" i="2228"/>
  <c r="H23" i="2228"/>
  <c r="H26" i="2228"/>
  <c r="H29" i="2228"/>
  <c r="H33" i="2228"/>
  <c r="H37" i="2228"/>
  <c r="H41" i="2228"/>
  <c r="H45" i="2228"/>
  <c r="H49" i="2228"/>
  <c r="C19" i="2228"/>
  <c r="H21" i="2228"/>
  <c r="H30" i="2228"/>
  <c r="H34" i="2228"/>
  <c r="H38" i="2228"/>
  <c r="H42" i="2228"/>
  <c r="H46" i="2228"/>
  <c r="H50" i="2228"/>
  <c r="H12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14" i="2228"/>
  <c r="H16" i="2228"/>
  <c r="C18" i="2228"/>
  <c r="B23" i="2228"/>
  <c r="H25" i="2228"/>
  <c r="H28" i="2228"/>
  <c r="H32" i="2228"/>
  <c r="H36" i="2228"/>
  <c r="H40" i="2228"/>
  <c r="H44" i="2228"/>
  <c r="H48" i="2228"/>
  <c r="H52" i="2228"/>
</calcChain>
</file>

<file path=xl/sharedStrings.xml><?xml version="1.0" encoding="utf-8"?>
<sst xmlns="http://schemas.openxmlformats.org/spreadsheetml/2006/main" count="3938" uniqueCount="306">
  <si>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</si>
  <si>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</si>
  <si>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</si>
  <si>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</si>
  <si>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</si>
  <si>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</si>
  <si>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</si>
  <si>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</si>
  <si>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</si>
  <si>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</si>
  <si>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</si>
  <si>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</si>
  <si>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</si>
  <si>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</si>
  <si>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</si>
  <si>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</si>
  <si>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</si>
  <si>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</si>
  <si>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</si>
  <si>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</si>
  <si>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</si>
  <si>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</si>
  <si>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</si>
  <si>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</si>
  <si>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</si>
  <si>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</si>
  <si>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</si>
  <si>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</si>
  <si>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</si>
  <si>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</si>
  <si>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</si>
  <si>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</si>
  <si>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</si>
  <si>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</si>
  <si>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</si>
  <si>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</si>
  <si>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</si>
  <si>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</si>
  <si>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</si>
  <si>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</si>
  <si>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</si>
  <si>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</si>
  <si>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</si>
  <si>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</si>
  <si>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</si>
  <si>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</si>
  <si>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</si>
  <si>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</si>
  <si>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</si>
  <si>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</si>
  <si>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</si>
  <si>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</si>
  <si>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</si>
  <si>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</si>
  <si>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</si>
  <si>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</si>
  <si>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</si>
  <si>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</si>
  <si>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</si>
  <si>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</si>
  <si>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</si>
  <si>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</si>
  <si>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</si>
  <si>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</si>
  <si>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</si>
  <si>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</si>
  <si>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</si>
  <si>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</si>
  <si>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</si>
  <si>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</si>
  <si>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</si>
  <si>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</si>
  <si>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</si>
  <si>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</si>
  <si>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</si>
  <si>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</si>
  <si>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</si>
  <si>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</si>
  <si>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</si>
  <si>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</si>
  <si>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</si>
  <si>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</si>
  <si>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</si>
  <si>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</si>
  <si>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</si>
  <si>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</si>
  <si>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</si>
  <si>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</si>
  <si>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</si>
  <si>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</si>
  <si>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</si>
  <si>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</si>
  <si>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</si>
  <si>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</si>
  <si>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</si>
  <si>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</si>
  <si>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</si>
  <si>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</si>
  <si>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</si>
  <si>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</si>
  <si>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</si>
  <si>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</si>
  <si>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</si>
  <si>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</si>
  <si>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</si>
  <si>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</si>
  <si>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</si>
  <si>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</si>
  <si>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</si>
  <si>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</si>
  <si>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</si>
  <si>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</si>
  <si>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</si>
  <si>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</si>
  <si>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</si>
  <si>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</si>
  <si>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</si>
  <si>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</si>
  <si>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</si>
  <si>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</si>
  <si>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</si>
  <si>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</si>
  <si>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</si>
  <si>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</si>
  <si>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</si>
  <si>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</si>
  <si>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</si>
  <si>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</si>
  <si>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</si>
  <si>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</si>
  <si>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</si>
  <si>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</si>
  <si>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</si>
  <si>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</si>
  <si>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</si>
  <si>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</si>
  <si>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</si>
  <si>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</si>
  <si>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</si>
  <si>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</si>
  <si>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</si>
  <si>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</si>
  <si>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</si>
  <si>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</si>
  <si>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</si>
  <si>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</si>
  <si>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</si>
  <si>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</si>
  <si>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</si>
  <si>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</si>
  <si>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</si>
  <si>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</si>
  <si>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</si>
  <si>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</si>
  <si>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</si>
  <si>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</si>
  <si>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</si>
  <si>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</si>
  <si>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</si>
  <si>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</si>
  <si>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</si>
  <si>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</si>
  <si>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</si>
  <si>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</si>
  <si>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</si>
  <si>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</si>
  <si>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</si>
  <si>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</si>
  <si>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</si>
  <si>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</si>
  <si>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</si>
  <si>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</si>
  <si>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</si>
  <si>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</si>
  <si>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</si>
  <si>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</si>
  <si>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</si>
  <si>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</si>
  <si>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</si>
  <si>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</si>
  <si>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</si>
  <si>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</si>
  <si>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</si>
  <si>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</si>
  <si>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</si>
  <si>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</si>
  <si>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</si>
  <si>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</si>
  <si>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</si>
  <si>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</si>
  <si>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</si>
  <si>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</si>
  <si>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</si>
  <si>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</si>
  <si>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</si>
  <si>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</si>
  <si>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</si>
  <si>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</si>
  <si>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</si>
  <si>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</si>
  <si>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</si>
  <si>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</si>
  <si>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</si>
  <si>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</si>
  <si>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</si>
  <si>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</si>
  <si>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</si>
  <si>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</si>
  <si>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</si>
  <si>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</si>
  <si>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</si>
  <si>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</si>
  <si>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</si>
  <si>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</si>
  <si>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</si>
  <si>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</si>
  <si>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</si>
  <si>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</si>
  <si>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</si>
  <si>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</si>
  <si>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</si>
  <si>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</si>
  <si>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</si>
  <si>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</si>
  <si>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</si>
  <si>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</si>
  <si>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</si>
  <si>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</si>
  <si>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</si>
  <si>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</si>
  <si>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</si>
  <si>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</si>
  <si>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</si>
  <si>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</si>
  <si>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</si>
  <si>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</si>
  <si>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</si>
  <si>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</si>
  <si>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</si>
  <si>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</si>
  <si>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</si>
  <si>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</si>
  <si>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</si>
  <si>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</si>
  <si>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</si>
  <si>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</si>
  <si>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</si>
  <si>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</si>
  <si>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</si>
  <si>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</si>
  <si>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</si>
  <si>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</si>
  <si>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</si>
  <si>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</si>
  <si>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</si>
  <si>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</si>
  <si>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</si>
  <si>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</si>
  <si>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</si>
  <si>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</si>
  <si>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</si>
  <si>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</si>
  <si>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</si>
  <si>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</si>
  <si>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</si>
  <si>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</si>
  <si>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</si>
  <si>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</si>
  <si>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</si>
  <si>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</si>
  <si>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</si>
  <si>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</si>
  <si>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</si>
  <si>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</si>
  <si>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</si>
  <si>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</si>
  <si>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</si>
  <si>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</si>
  <si>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</si>
  <si>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</si>
  <si>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</si>
  <si>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</si>
  <si>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</si>
  <si>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</si>
  <si>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</si>
  <si>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</si>
  <si>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</si>
  <si>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</si>
  <si>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</si>
  <si>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</si>
  <si>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</si>
  <si>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</si>
  <si>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</si>
  <si>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</si>
  <si>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</si>
  <si>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</si>
  <si>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</si>
  <si>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</si>
  <si>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</si>
  <si>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</si>
  <si>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</si>
  <si>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</si>
  <si>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</si>
  <si>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2019-09-23@2.xlsm</t>
  </si>
  <si>
    <t>副露アガリ点</t>
    <rPh sb="0" eb="2">
      <t>フーロ</t>
    </rPh>
    <rPh sb="5" eb="6">
      <t>テン</t>
    </rPh>
    <phoneticPr fontId="1"/>
  </si>
  <si>
    <t>門前アガリ点</t>
    <rPh sb="0" eb="2">
      <t>メンゼン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</si>
</sst>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hartsheet" Target="chartsheets/sheet16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6A-4707-AB31-7B3AD2C96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2-4B4A-9ACB-F579593CD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FC9-9D0E-8C95B362D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02-49A7-A163-E11093EAD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E-4442-BC18-0FA4674F0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AC-41DA-AF19-381527340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6C-4CD0-8752-B665170B9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3-465C-9CB0-B0524D544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3C-4767-A204-8A61FA48B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09-4303-A168-944DDF016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5A-4D7A-BCE3-3315449C2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B-47C0-88E8-957297C9D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5-4838-AFF7-492085463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9D8-8579-13B836379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79-4684-9707-E470B036B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4-4067-839A-BE19F8509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41-433D-8A72-410FF5962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23-4406-9578-BE0106C73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34-4CD6-B0A2-54EC5D4BA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3-4A02-B562-ACBF704B1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F-485D-BA8B-5A87E22CF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1A-40ED-846E-52E43A309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25-4285-85B9-F281465D2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5-4A48-A40D-8C1C228A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A8-46FB-AF28-384EFDC79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F-47E9-89B7-569C7976C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83-466D-8444-03A9BFFA8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D-4827-8A24-4EA76A54D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9C-4554-9806-00AA1C305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E-488E-8FD6-5BA956C57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ちさと2!$Q$1:$Q$2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ちさと2!$Q$3:$Q$7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FEDE82-52D5-4BF4-AFEC-DA64FBC25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545C38-CA46-4E44-BB2F-21F8CEFD9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4ECEE9-24F6-4034-99C5-4CBDFC401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026D1C-2BF1-4D68-8924-F2DC0911DD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2622CB-F0F2-4A3D-85D4-B053881CD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311EF09-4F82-450A-BC5D-5BF899DF4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48D8B2-5977-4639-A07F-D6C39E8D2A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1F3AD3-57BE-427C-9225-93F992EB1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59579E-9BE1-49E4-9B6E-4D78441CA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9D03302-127E-4279-86A7-3C2C3D772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047943-3C9F-428D-924D-3921C02B5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67F98D-2F1C-440A-A858-6604BBF1F2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308E117-5BD7-4E87-A4C7-457F3597E5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840445-1597-43DD-930F-C951FE46D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1BB720-056A-41A3-861E-F62057218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A155779-0920-4B7F-80C5-997E26ABA5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F2BCEE-E987-4116-AAC6-5A00FF4AD5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694E20-5D2C-4161-B07F-320BBF602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9A23BE-09A1-4D54-B670-6018F73E37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21D201-0131-49E2-A5E6-27D873F4B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AFA61D-A718-401C-9889-198A439297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AD48D7-2A84-44EB-9030-7DF322ADB7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2E471F-8907-4C59-BB6F-0E44265588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951CBD-0756-4F50-82F2-D22653C28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B2D2374-809E-4A15-AB77-FB4DE470C0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FC2AC6-0325-486D-8AD5-58338C474B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36EA699-61B0-4C8B-B4E9-61F77F223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74D787-D71D-4C67-B48B-CC5B33DF3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32185B1-6415-43E9-A37C-DA4DBBBF1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7AD80B-DBF8-4ACC-A8D7-8536E267E4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6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7" customWidth="1"/>
    <col min="13" max="13" width="3.625" style="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1"/>
  </cols>
  <sheetData>
    <row r="1" spans="1:17" x14ac:dyDescent="0.4">
      <c r="A1" s="18" t="s">
        <v>0</v>
      </c>
      <c r="B1" s="146"/>
      <c r="C1" s="147"/>
      <c r="E1" s="127" t="s">
        <v>167</v>
      </c>
      <c r="F1" s="12" t="s">
        <v>116</v>
      </c>
      <c r="G1" s="24" t="s">
        <v>117</v>
      </c>
      <c r="H1" s="128" t="s">
        <v>118</v>
      </c>
      <c r="I1" s="98" t="s">
        <v>154</v>
      </c>
      <c r="K1" s="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159</v>
      </c>
    </row>
    <row r="2" spans="1:17" x14ac:dyDescent="0.4">
      <c r="A2" s="19" t="s">
        <v>9</v>
      </c>
      <c r="B2" s="148">
        <v>0</v>
      </c>
      <c r="C2" s="149"/>
      <c r="E2" s="60" t="s">
        <v>65</v>
      </c>
      <c r="F2" s="25" t="s">
        <v>21</v>
      </c>
      <c r="G2" s="13">
        <v>0</v>
      </c>
      <c r="H2" s="130">
        <f>IF(B$17=0,0,G2/B$17)</f>
        <v>0</v>
      </c>
      <c r="I2" s="91"/>
      <c r="K2" s="3">
        <v>0</v>
      </c>
      <c r="L2" s="96">
        <v>0</v>
      </c>
      <c r="N2" s="112" t="s">
        <v>132</v>
      </c>
      <c r="O2" s="119">
        <f t="shared" ref="O2:O7" si="0">IF(P2=0,0,Q2/P2)</f>
        <v>0</v>
      </c>
      <c r="P2" s="116">
        <v>0</v>
      </c>
      <c r="Q2" s="100">
        <v>0</v>
      </c>
    </row>
    <row r="3" spans="1:17" x14ac:dyDescent="0.4">
      <c r="A3" s="20" t="s">
        <v>8</v>
      </c>
      <c r="B3" s="150">
        <v>0</v>
      </c>
      <c r="C3" s="151"/>
      <c r="E3" s="61" t="s">
        <v>66</v>
      </c>
      <c r="F3" s="26" t="s">
        <v>22</v>
      </c>
      <c r="G3" s="14">
        <v>0</v>
      </c>
      <c r="H3" s="131">
        <f t="shared" ref="H3:H50" si="1">IF(B$17=0,0,G3/B$17)</f>
        <v>0</v>
      </c>
      <c r="I3" s="92"/>
      <c r="N3" s="113" t="s">
        <v>133</v>
      </c>
      <c r="O3" s="120">
        <f t="shared" si="0"/>
        <v>0</v>
      </c>
      <c r="P3" s="117">
        <v>0</v>
      </c>
      <c r="Q3" s="101">
        <v>0</v>
      </c>
    </row>
    <row r="4" spans="1:17" x14ac:dyDescent="0.4">
      <c r="A4" s="20" t="s">
        <v>6</v>
      </c>
      <c r="B4" s="152">
        <v>0</v>
      </c>
      <c r="C4" s="153"/>
      <c r="E4" s="61" t="s">
        <v>67</v>
      </c>
      <c r="F4" s="26" t="s">
        <v>23</v>
      </c>
      <c r="G4" s="14">
        <v>0</v>
      </c>
      <c r="H4" s="131">
        <f t="shared" si="1"/>
        <v>0</v>
      </c>
      <c r="I4" s="92"/>
      <c r="N4" s="113" t="s">
        <v>134</v>
      </c>
      <c r="O4" s="120">
        <f t="shared" si="0"/>
        <v>0</v>
      </c>
      <c r="P4" s="117">
        <v>0</v>
      </c>
      <c r="Q4" s="101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61" t="s">
        <v>68</v>
      </c>
      <c r="F5" s="26" t="s">
        <v>24</v>
      </c>
      <c r="G5" s="14">
        <v>0</v>
      </c>
      <c r="H5" s="131">
        <f>IF(B$17=0,0,G5/B$17)</f>
        <v>0</v>
      </c>
      <c r="I5" s="92"/>
      <c r="N5" s="113" t="s">
        <v>135</v>
      </c>
      <c r="O5" s="120">
        <f t="shared" si="0"/>
        <v>0</v>
      </c>
      <c r="P5" s="117">
        <v>0</v>
      </c>
      <c r="Q5" s="101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61" t="s">
        <v>69</v>
      </c>
      <c r="F6" s="26" t="s">
        <v>12</v>
      </c>
      <c r="G6" s="14">
        <v>0</v>
      </c>
      <c r="H6" s="131">
        <f t="shared" si="1"/>
        <v>0</v>
      </c>
      <c r="I6" s="92"/>
      <c r="N6" s="113" t="s">
        <v>136</v>
      </c>
      <c r="O6" s="120">
        <f t="shared" si="0"/>
        <v>0</v>
      </c>
      <c r="P6" s="117">
        <v>0</v>
      </c>
      <c r="Q6" s="101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61" t="s">
        <v>70</v>
      </c>
      <c r="F7" s="26" t="s">
        <v>25</v>
      </c>
      <c r="G7" s="14">
        <v>0</v>
      </c>
      <c r="H7" s="131">
        <f t="shared" si="1"/>
        <v>0</v>
      </c>
      <c r="I7" s="92"/>
      <c r="N7" s="114" t="s">
        <v>137</v>
      </c>
      <c r="O7" s="121">
        <f t="shared" si="0"/>
        <v>0</v>
      </c>
      <c r="P7" s="118">
        <v>0</v>
      </c>
      <c r="Q7" s="102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61" t="s">
        <v>71</v>
      </c>
      <c r="F8" s="26" t="s">
        <v>26</v>
      </c>
      <c r="G8" s="14">
        <v>0</v>
      </c>
      <c r="H8" s="131">
        <f t="shared" si="1"/>
        <v>0</v>
      </c>
      <c r="I8" s="92"/>
      <c r="N8" s="41"/>
      <c r="O8" s="125"/>
      <c r="P8" s="109"/>
      <c r="Q8" s="107"/>
    </row>
    <row r="9" spans="1:17" x14ac:dyDescent="0.4">
      <c r="A9" s="21" t="s">
        <v>4</v>
      </c>
      <c r="B9" s="15">
        <v>0</v>
      </c>
      <c r="C9" s="7">
        <f t="shared" si="2"/>
        <v>0</v>
      </c>
      <c r="E9" s="61" t="s">
        <v>72</v>
      </c>
      <c r="F9" s="26" t="s">
        <v>27</v>
      </c>
      <c r="G9" s="14">
        <v>0</v>
      </c>
      <c r="H9" s="131">
        <f t="shared" si="1"/>
        <v>0</v>
      </c>
      <c r="I9" s="92"/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21" t="s">
        <v>19</v>
      </c>
      <c r="B10" s="15">
        <v>0</v>
      </c>
      <c r="C10" s="7">
        <f t="shared" si="2"/>
        <v>0</v>
      </c>
      <c r="E10" s="61" t="s">
        <v>73</v>
      </c>
      <c r="F10" s="26" t="s">
        <v>28</v>
      </c>
      <c r="G10" s="14">
        <v>0</v>
      </c>
      <c r="H10" s="131">
        <f t="shared" si="1"/>
        <v>0</v>
      </c>
      <c r="I10" s="92"/>
      <c r="N10" s="112" t="s">
        <v>164</v>
      </c>
      <c r="O10" s="122">
        <f>IF(P10=0,0,Q10/P10)</f>
        <v>0</v>
      </c>
      <c r="P10" s="116">
        <v>0</v>
      </c>
      <c r="Q10" s="104">
        <v>0</v>
      </c>
    </row>
    <row r="11" spans="1:17" x14ac:dyDescent="0.4">
      <c r="A11" s="54" t="s">
        <v>140</v>
      </c>
      <c r="B11" s="46">
        <v>0</v>
      </c>
      <c r="C11" s="38">
        <f t="shared" si="2"/>
        <v>0</v>
      </c>
      <c r="E11" s="61" t="s">
        <v>74</v>
      </c>
      <c r="F11" s="26" t="s">
        <v>29</v>
      </c>
      <c r="G11" s="14">
        <v>0</v>
      </c>
      <c r="H11" s="131">
        <f t="shared" si="1"/>
        <v>0</v>
      </c>
      <c r="I11" s="92"/>
      <c r="N11" s="113" t="s">
        <v>165</v>
      </c>
      <c r="O11" s="123">
        <f>IF(P11=0,0,Q11/P11)</f>
        <v>0</v>
      </c>
      <c r="P11" s="117">
        <v>0</v>
      </c>
      <c r="Q11" s="105">
        <v>0</v>
      </c>
    </row>
    <row r="12" spans="1:17" x14ac:dyDescent="0.4">
      <c r="A12" s="55" t="s">
        <v>160</v>
      </c>
      <c r="B12" s="47">
        <v>0</v>
      </c>
      <c r="C12" s="40">
        <f t="shared" si="2"/>
        <v>0</v>
      </c>
      <c r="E12" s="61" t="s">
        <v>75</v>
      </c>
      <c r="F12" s="26" t="s">
        <v>30</v>
      </c>
      <c r="G12" s="14">
        <v>0</v>
      </c>
      <c r="H12" s="131">
        <f t="shared" si="1"/>
        <v>0</v>
      </c>
      <c r="I12" s="92"/>
      <c r="N12" s="114" t="s">
        <v>166</v>
      </c>
      <c r="O12" s="124">
        <f>IF(P12=0,0,Q12/P12)</f>
        <v>0</v>
      </c>
      <c r="P12" s="118">
        <v>0</v>
      </c>
      <c r="Q12" s="106">
        <v>0</v>
      </c>
    </row>
    <row r="13" spans="1:17" x14ac:dyDescent="0.4">
      <c r="A13" s="23" t="s">
        <v>122</v>
      </c>
      <c r="B13" s="16">
        <v>0</v>
      </c>
      <c r="C13" s="11">
        <f>IF(B$3=0,0,B13/B$3)</f>
        <v>0</v>
      </c>
      <c r="E13" s="61" t="s">
        <v>76</v>
      </c>
      <c r="F13" s="26" t="s">
        <v>31</v>
      </c>
      <c r="G13" s="14">
        <v>0</v>
      </c>
      <c r="H13" s="131">
        <f t="shared" si="1"/>
        <v>0</v>
      </c>
      <c r="I13" s="92"/>
      <c r="N13" s="31"/>
      <c r="O13" s="108"/>
      <c r="P13" s="110"/>
      <c r="Q13" s="108"/>
    </row>
    <row r="14" spans="1:17" x14ac:dyDescent="0.4">
      <c r="A14" s="20" t="s">
        <v>119</v>
      </c>
      <c r="B14" s="14">
        <v>0</v>
      </c>
      <c r="C14" s="6">
        <f>IF(B$3=0,0,B14/B$3)</f>
        <v>0</v>
      </c>
      <c r="E14" s="61" t="s">
        <v>77</v>
      </c>
      <c r="F14" s="26" t="s">
        <v>32</v>
      </c>
      <c r="G14" s="14">
        <v>0</v>
      </c>
      <c r="H14" s="131">
        <f t="shared" si="1"/>
        <v>0</v>
      </c>
      <c r="I14" s="92"/>
      <c r="N14" s="111" t="s">
        <v>155</v>
      </c>
      <c r="O14" s="32" t="s">
        <v>156</v>
      </c>
      <c r="P14" s="115" t="s">
        <v>157</v>
      </c>
      <c r="Q14" s="103" t="s">
        <v>158</v>
      </c>
    </row>
    <row r="15" spans="1:17" x14ac:dyDescent="0.4">
      <c r="A15" s="19" t="s">
        <v>124</v>
      </c>
      <c r="B15" s="13">
        <v>0</v>
      </c>
      <c r="C15" s="4">
        <f>IF(B$13=0,0,B15/B$13)</f>
        <v>0</v>
      </c>
      <c r="E15" s="61" t="s">
        <v>78</v>
      </c>
      <c r="F15" s="26" t="s">
        <v>33</v>
      </c>
      <c r="G15" s="14">
        <v>0</v>
      </c>
      <c r="H15" s="131">
        <f t="shared" si="1"/>
        <v>0</v>
      </c>
      <c r="I15" s="92"/>
      <c r="N15" s="112"/>
      <c r="O15" s="122"/>
      <c r="P15" s="116"/>
      <c r="Q15" s="104"/>
    </row>
    <row r="16" spans="1:17" x14ac:dyDescent="0.4">
      <c r="A16" s="19" t="s">
        <v>125</v>
      </c>
      <c r="B16" s="13">
        <v>0</v>
      </c>
      <c r="C16" s="4">
        <f>IF(B$14=0,0,B16/B$14)</f>
        <v>0</v>
      </c>
      <c r="E16" s="61" t="s">
        <v>79</v>
      </c>
      <c r="F16" s="26" t="s">
        <v>34</v>
      </c>
      <c r="G16" s="14">
        <v>0</v>
      </c>
      <c r="H16" s="131">
        <f t="shared" si="1"/>
        <v>0</v>
      </c>
      <c r="I16" s="92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61" t="s">
        <v>80</v>
      </c>
      <c r="F17" s="26" t="s">
        <v>35</v>
      </c>
      <c r="G17" s="14">
        <v>0</v>
      </c>
      <c r="H17" s="131">
        <f t="shared" si="1"/>
        <v>0</v>
      </c>
      <c r="I17" s="92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61" t="s">
        <v>81</v>
      </c>
      <c r="F18" s="26" t="s">
        <v>36</v>
      </c>
      <c r="G18" s="14">
        <v>0</v>
      </c>
      <c r="H18" s="131">
        <f t="shared" si="1"/>
        <v>0</v>
      </c>
      <c r="I18" s="92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61" t="s">
        <v>82</v>
      </c>
      <c r="F19" s="26" t="s">
        <v>37</v>
      </c>
      <c r="G19" s="14">
        <v>0</v>
      </c>
      <c r="H19" s="131">
        <f t="shared" si="1"/>
        <v>0</v>
      </c>
      <c r="I19" s="92"/>
    </row>
    <row r="20" spans="1:9" x14ac:dyDescent="0.4">
      <c r="A20" s="53" t="s">
        <v>13</v>
      </c>
      <c r="B20" s="45">
        <v>0</v>
      </c>
      <c r="C20" s="37">
        <f>IF(B$3=0,0,B20/B$3)</f>
        <v>0</v>
      </c>
      <c r="E20" s="61" t="s">
        <v>83</v>
      </c>
      <c r="F20" s="26" t="s">
        <v>38</v>
      </c>
      <c r="G20" s="14">
        <v>0</v>
      </c>
      <c r="H20" s="131">
        <f t="shared" si="1"/>
        <v>0</v>
      </c>
      <c r="I20" s="92"/>
    </row>
    <row r="21" spans="1:9" x14ac:dyDescent="0.4">
      <c r="A21" s="53" t="s">
        <v>191</v>
      </c>
      <c r="B21" s="45">
        <v>0</v>
      </c>
      <c r="C21" s="133">
        <v>0</v>
      </c>
      <c r="E21" s="61" t="s">
        <v>84</v>
      </c>
      <c r="F21" s="26" t="s">
        <v>39</v>
      </c>
      <c r="G21" s="14">
        <v>0</v>
      </c>
      <c r="H21" s="131">
        <f t="shared" si="1"/>
        <v>0</v>
      </c>
      <c r="I21" s="92"/>
    </row>
    <row r="22" spans="1:9" x14ac:dyDescent="0.4">
      <c r="A22" s="20" t="s">
        <v>192</v>
      </c>
      <c r="B22" s="14">
        <v>0</v>
      </c>
      <c r="C22" s="133">
        <v>0</v>
      </c>
      <c r="E22" s="61" t="s">
        <v>85</v>
      </c>
      <c r="F22" s="26" t="s">
        <v>40</v>
      </c>
      <c r="G22" s="14">
        <v>0</v>
      </c>
      <c r="H22" s="131">
        <f t="shared" si="1"/>
        <v>0</v>
      </c>
      <c r="I22" s="92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61" t="s">
        <v>86</v>
      </c>
      <c r="F23" s="26" t="s">
        <v>41</v>
      </c>
      <c r="G23" s="14">
        <v>0</v>
      </c>
      <c r="H23" s="131">
        <f t="shared" si="1"/>
        <v>0</v>
      </c>
      <c r="I23" s="92"/>
    </row>
    <row r="24" spans="1:9" x14ac:dyDescent="0.4">
      <c r="A24" s="53" t="s">
        <v>14</v>
      </c>
      <c r="B24" s="49">
        <f>IF(B$20=0,0,C24/B$20)</f>
        <v>0</v>
      </c>
      <c r="C24" s="39">
        <v>0</v>
      </c>
      <c r="E24" s="61" t="s">
        <v>87</v>
      </c>
      <c r="F24" s="26" t="s">
        <v>42</v>
      </c>
      <c r="G24" s="14">
        <v>0</v>
      </c>
      <c r="H24" s="131">
        <f t="shared" si="1"/>
        <v>0</v>
      </c>
      <c r="I24" s="92"/>
    </row>
    <row r="25" spans="1:9" x14ac:dyDescent="0.4">
      <c r="A25" s="53" t="s">
        <v>305</v>
      </c>
      <c r="B25" s="49">
        <f>IF($B$17-B$16=0,0,C25/($B$17-B$16))</f>
        <v>0</v>
      </c>
      <c r="C25" s="39">
        <v>0</v>
      </c>
      <c r="E25" s="61" t="s">
        <v>88</v>
      </c>
      <c r="F25" s="26" t="s">
        <v>43</v>
      </c>
      <c r="G25" s="14">
        <v>0</v>
      </c>
      <c r="H25" s="131">
        <f t="shared" si="1"/>
        <v>0</v>
      </c>
      <c r="I25" s="92"/>
    </row>
    <row r="26" spans="1:9" x14ac:dyDescent="0.4">
      <c r="A26" s="55" t="s">
        <v>304</v>
      </c>
      <c r="B26" s="50">
        <f>IF(B$16=0,0,C26/B$16)</f>
        <v>0</v>
      </c>
      <c r="C26" s="43">
        <v>0</v>
      </c>
      <c r="E26" s="61" t="s">
        <v>89</v>
      </c>
      <c r="F26" s="26" t="s">
        <v>44</v>
      </c>
      <c r="G26" s="14">
        <v>0</v>
      </c>
      <c r="H26" s="131">
        <f t="shared" si="1"/>
        <v>0</v>
      </c>
      <c r="I26" s="92"/>
    </row>
    <row r="27" spans="1:9" x14ac:dyDescent="0.4">
      <c r="A27" s="88" t="s">
        <v>142</v>
      </c>
      <c r="B27" s="142">
        <v>0</v>
      </c>
      <c r="C27" s="143"/>
      <c r="E27" s="61" t="s">
        <v>90</v>
      </c>
      <c r="F27" s="26" t="s">
        <v>45</v>
      </c>
      <c r="G27" s="14">
        <v>0</v>
      </c>
      <c r="H27" s="131">
        <f t="shared" si="1"/>
        <v>0</v>
      </c>
      <c r="I27" s="92"/>
    </row>
    <row r="28" spans="1:9" x14ac:dyDescent="0.4">
      <c r="A28" s="56" t="s">
        <v>152</v>
      </c>
      <c r="B28" s="140">
        <v>-1000000</v>
      </c>
      <c r="C28" s="141"/>
      <c r="E28" s="61" t="s">
        <v>91</v>
      </c>
      <c r="F28" s="26" t="s">
        <v>46</v>
      </c>
      <c r="G28" s="14">
        <v>0</v>
      </c>
      <c r="H28" s="131">
        <f t="shared" si="1"/>
        <v>0</v>
      </c>
      <c r="I28" s="92"/>
    </row>
    <row r="29" spans="1:9" x14ac:dyDescent="0.4">
      <c r="A29" s="22" t="s">
        <v>143</v>
      </c>
      <c r="B29" s="30">
        <v>0</v>
      </c>
      <c r="C29" s="9">
        <f>IF(B$3=0,0,B29/B$3)</f>
        <v>0</v>
      </c>
      <c r="E29" s="61" t="s">
        <v>92</v>
      </c>
      <c r="F29" s="26" t="s">
        <v>47</v>
      </c>
      <c r="G29" s="14">
        <v>0</v>
      </c>
      <c r="H29" s="131">
        <f t="shared" si="1"/>
        <v>0</v>
      </c>
      <c r="I29" s="92"/>
    </row>
    <row r="30" spans="1:9" x14ac:dyDescent="0.4">
      <c r="E30" s="61" t="s">
        <v>93</v>
      </c>
      <c r="F30" s="26" t="s">
        <v>48</v>
      </c>
      <c r="G30" s="14">
        <v>0</v>
      </c>
      <c r="H30" s="131">
        <f t="shared" si="1"/>
        <v>0</v>
      </c>
      <c r="I30" s="92"/>
    </row>
    <row r="31" spans="1:9" x14ac:dyDescent="0.4">
      <c r="E31" s="61" t="s">
        <v>94</v>
      </c>
      <c r="F31" s="26" t="s">
        <v>49</v>
      </c>
      <c r="G31" s="14">
        <v>0</v>
      </c>
      <c r="H31" s="131">
        <f t="shared" si="1"/>
        <v>0</v>
      </c>
      <c r="I31" s="92"/>
    </row>
    <row r="32" spans="1:9" x14ac:dyDescent="0.4">
      <c r="E32" s="61" t="s">
        <v>95</v>
      </c>
      <c r="F32" s="26" t="s">
        <v>50</v>
      </c>
      <c r="G32" s="14">
        <v>0</v>
      </c>
      <c r="H32" s="131">
        <f t="shared" si="1"/>
        <v>0</v>
      </c>
      <c r="I32" s="92"/>
    </row>
    <row r="33" spans="5:9" x14ac:dyDescent="0.4">
      <c r="E33" s="61" t="s">
        <v>96</v>
      </c>
      <c r="F33" s="26" t="s">
        <v>51</v>
      </c>
      <c r="G33" s="14">
        <v>0</v>
      </c>
      <c r="H33" s="131">
        <f t="shared" si="1"/>
        <v>0</v>
      </c>
      <c r="I33" s="92"/>
    </row>
    <row r="34" spans="5:9" x14ac:dyDescent="0.4">
      <c r="E34" s="61" t="s">
        <v>97</v>
      </c>
      <c r="F34" s="26" t="s">
        <v>52</v>
      </c>
      <c r="G34" s="14">
        <v>0</v>
      </c>
      <c r="H34" s="131">
        <f t="shared" si="1"/>
        <v>0</v>
      </c>
      <c r="I34" s="92"/>
    </row>
    <row r="35" spans="5:9" x14ac:dyDescent="0.4">
      <c r="E35" s="61" t="s">
        <v>98</v>
      </c>
      <c r="F35" s="26" t="s">
        <v>53</v>
      </c>
      <c r="G35" s="14">
        <v>0</v>
      </c>
      <c r="H35" s="131">
        <f t="shared" si="1"/>
        <v>0</v>
      </c>
      <c r="I35" s="92"/>
    </row>
    <row r="36" spans="5:9" x14ac:dyDescent="0.4">
      <c r="E36" s="61" t="s">
        <v>99</v>
      </c>
      <c r="F36" s="26" t="s">
        <v>54</v>
      </c>
      <c r="G36" s="14">
        <v>0</v>
      </c>
      <c r="H36" s="131">
        <f t="shared" si="1"/>
        <v>0</v>
      </c>
      <c r="I36" s="92"/>
    </row>
    <row r="37" spans="5:9" x14ac:dyDescent="0.4">
      <c r="E37" s="61" t="s">
        <v>100</v>
      </c>
      <c r="F37" s="26" t="s">
        <v>55</v>
      </c>
      <c r="G37" s="14">
        <v>0</v>
      </c>
      <c r="H37" s="131">
        <f t="shared" si="1"/>
        <v>0</v>
      </c>
      <c r="I37" s="92"/>
    </row>
    <row r="38" spans="5:9" x14ac:dyDescent="0.4">
      <c r="E38" s="61" t="s">
        <v>101</v>
      </c>
      <c r="F38" s="26" t="s">
        <v>56</v>
      </c>
      <c r="G38" s="14">
        <v>0</v>
      </c>
      <c r="H38" s="131">
        <f t="shared" si="1"/>
        <v>0</v>
      </c>
      <c r="I38" s="92"/>
    </row>
    <row r="39" spans="5:9" x14ac:dyDescent="0.4">
      <c r="E39" s="61" t="s">
        <v>102</v>
      </c>
      <c r="F39" s="26" t="s">
        <v>57</v>
      </c>
      <c r="G39" s="14">
        <v>0</v>
      </c>
      <c r="H39" s="131">
        <f t="shared" si="1"/>
        <v>0</v>
      </c>
      <c r="I39" s="92"/>
    </row>
    <row r="40" spans="5:9" x14ac:dyDescent="0.4">
      <c r="E40" s="61" t="s">
        <v>103</v>
      </c>
      <c r="F40" s="26" t="s">
        <v>58</v>
      </c>
      <c r="G40" s="14">
        <v>0</v>
      </c>
      <c r="H40" s="131">
        <f t="shared" si="1"/>
        <v>0</v>
      </c>
      <c r="I40" s="92"/>
    </row>
    <row r="41" spans="5:9" x14ac:dyDescent="0.4">
      <c r="E41" s="61" t="s">
        <v>104</v>
      </c>
      <c r="F41" s="26" t="s">
        <v>59</v>
      </c>
      <c r="G41" s="14">
        <v>0</v>
      </c>
      <c r="H41" s="131">
        <f t="shared" si="1"/>
        <v>0</v>
      </c>
      <c r="I41" s="92"/>
    </row>
    <row r="42" spans="5:9" x14ac:dyDescent="0.4">
      <c r="E42" s="61" t="s">
        <v>105</v>
      </c>
      <c r="F42" s="26" t="s">
        <v>60</v>
      </c>
      <c r="G42" s="14">
        <v>0</v>
      </c>
      <c r="H42" s="131">
        <f t="shared" si="1"/>
        <v>0</v>
      </c>
      <c r="I42" s="92"/>
    </row>
    <row r="43" spans="5:9" x14ac:dyDescent="0.4">
      <c r="E43" s="61" t="s">
        <v>106</v>
      </c>
      <c r="F43" s="26" t="s">
        <v>113</v>
      </c>
      <c r="G43" s="14">
        <v>0</v>
      </c>
      <c r="H43" s="131">
        <f t="shared" si="1"/>
        <v>0</v>
      </c>
      <c r="I43" s="92"/>
    </row>
    <row r="44" spans="5:9" x14ac:dyDescent="0.4">
      <c r="E44" s="61" t="s">
        <v>107</v>
      </c>
      <c r="F44" s="26" t="s">
        <v>114</v>
      </c>
      <c r="G44" s="14">
        <v>0</v>
      </c>
      <c r="H44" s="131">
        <f t="shared" si="1"/>
        <v>0</v>
      </c>
      <c r="I44" s="92"/>
    </row>
    <row r="45" spans="5:9" x14ac:dyDescent="0.4">
      <c r="E45" s="61" t="s">
        <v>108</v>
      </c>
      <c r="F45" s="26" t="s">
        <v>115</v>
      </c>
      <c r="G45" s="14">
        <v>0</v>
      </c>
      <c r="H45" s="131">
        <f t="shared" si="1"/>
        <v>0</v>
      </c>
      <c r="I45" s="92"/>
    </row>
    <row r="46" spans="5:9" x14ac:dyDescent="0.4">
      <c r="E46" s="61" t="s">
        <v>109</v>
      </c>
      <c r="F46" s="26" t="s">
        <v>61</v>
      </c>
      <c r="G46" s="14">
        <v>0</v>
      </c>
      <c r="H46" s="131">
        <f t="shared" si="1"/>
        <v>0</v>
      </c>
      <c r="I46" s="92"/>
    </row>
    <row r="47" spans="5:9" x14ac:dyDescent="0.4">
      <c r="E47" s="61" t="s">
        <v>110</v>
      </c>
      <c r="F47" s="26" t="s">
        <v>62</v>
      </c>
      <c r="G47" s="14">
        <v>0</v>
      </c>
      <c r="H47" s="131">
        <f t="shared" si="1"/>
        <v>0</v>
      </c>
      <c r="I47" s="92"/>
    </row>
    <row r="48" spans="5:9" x14ac:dyDescent="0.4">
      <c r="E48" s="61" t="s">
        <v>111</v>
      </c>
      <c r="F48" s="26" t="s">
        <v>63</v>
      </c>
      <c r="G48" s="14">
        <v>0</v>
      </c>
      <c r="H48" s="131">
        <f t="shared" si="1"/>
        <v>0</v>
      </c>
      <c r="I48" s="92"/>
    </row>
    <row r="49" spans="5:9" x14ac:dyDescent="0.4">
      <c r="E49" s="61" t="s">
        <v>112</v>
      </c>
      <c r="F49" s="58" t="s">
        <v>64</v>
      </c>
      <c r="G49" s="45">
        <v>0</v>
      </c>
      <c r="H49" s="131">
        <f t="shared" si="1"/>
        <v>0</v>
      </c>
      <c r="I49" s="92"/>
    </row>
    <row r="50" spans="5:9" x14ac:dyDescent="0.4">
      <c r="E50" s="61" t="s">
        <v>180</v>
      </c>
      <c r="F50" s="58" t="s">
        <v>181</v>
      </c>
      <c r="G50" s="45">
        <v>0</v>
      </c>
      <c r="H50" s="131">
        <f t="shared" si="1"/>
        <v>0</v>
      </c>
      <c r="I50" s="92"/>
    </row>
    <row r="51" spans="5:9" x14ac:dyDescent="0.4">
      <c r="E51" s="134" t="s">
        <v>245</v>
      </c>
      <c r="F51" s="135" t="s">
        <v>246</v>
      </c>
      <c r="G51" s="46">
        <v>0</v>
      </c>
      <c r="H51" s="136">
        <f>IF(B$17=0,0,G51/B$17)</f>
        <v>0</v>
      </c>
      <c r="I51" s="137"/>
    </row>
    <row r="52" spans="5:9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0" x14ac:dyDescent="0.4">
      <c r="A1" s="27">
        <v>32874</v>
      </c>
      <c r="B1" s="27">
        <v>2958465</v>
      </c>
    </row>
    <row r="2" spans="1:10" x14ac:dyDescent="0.4">
      <c r="A2" s="28" t="s">
        <v>168</v>
      </c>
      <c r="B2" s="29">
        <v>43560.923958333333</v>
      </c>
      <c r="C2" s="28" t="s">
        <v>130</v>
      </c>
      <c r="D2" s="28" t="s">
        <v>131</v>
      </c>
      <c r="E2" s="28" t="s">
        <v>169</v>
      </c>
    </row>
    <row r="3" spans="1:10" x14ac:dyDescent="0.4">
      <c r="A3" s="28" t="s">
        <v>170</v>
      </c>
      <c r="B3" s="29">
        <v>43560.923958333333</v>
      </c>
      <c r="C3" s="28" t="s">
        <v>130</v>
      </c>
      <c r="D3" s="28" t="s">
        <v>131</v>
      </c>
      <c r="E3" s="28" t="s">
        <v>169</v>
      </c>
      <c r="F3" s="28" t="s">
        <v>174</v>
      </c>
      <c r="G3" s="28" t="s">
        <v>175</v>
      </c>
    </row>
    <row r="4" spans="1:10" x14ac:dyDescent="0.4">
      <c r="A4" s="28" t="s">
        <v>176</v>
      </c>
      <c r="B4" s="29">
        <v>43560.923958333333</v>
      </c>
      <c r="C4" s="28" t="s">
        <v>130</v>
      </c>
      <c r="D4" s="28" t="s">
        <v>131</v>
      </c>
      <c r="E4" s="28" t="s">
        <v>169</v>
      </c>
    </row>
    <row r="5" spans="1:10" x14ac:dyDescent="0.4">
      <c r="A5" s="28" t="s">
        <v>178</v>
      </c>
      <c r="B5" s="29">
        <v>43560.923958333333</v>
      </c>
      <c r="C5" s="28" t="s">
        <v>130</v>
      </c>
      <c r="D5" s="28" t="s">
        <v>131</v>
      </c>
      <c r="E5" s="28" t="s">
        <v>169</v>
      </c>
      <c r="F5" s="28" t="s">
        <v>174</v>
      </c>
    </row>
    <row r="6" spans="1:10" x14ac:dyDescent="0.4">
      <c r="A6" s="28" t="s">
        <v>179</v>
      </c>
      <c r="B6" s="29">
        <v>43561.114791666667</v>
      </c>
      <c r="C6" s="28" t="s">
        <v>130</v>
      </c>
      <c r="D6" s="28" t="s">
        <v>131</v>
      </c>
      <c r="E6" s="28" t="s">
        <v>169</v>
      </c>
      <c r="F6" s="28" t="s">
        <v>174</v>
      </c>
      <c r="G6" s="28" t="s">
        <v>175</v>
      </c>
    </row>
    <row r="7" spans="1:10" x14ac:dyDescent="0.4">
      <c r="A7" s="28" t="s">
        <v>182</v>
      </c>
      <c r="B7" s="29">
        <v>43563.354502314818</v>
      </c>
      <c r="C7" s="28" t="s">
        <v>130</v>
      </c>
      <c r="D7" s="28" t="s">
        <v>131</v>
      </c>
      <c r="E7" s="28" t="s">
        <v>169</v>
      </c>
      <c r="F7" s="28" t="s">
        <v>174</v>
      </c>
      <c r="G7" s="28" t="s">
        <v>175</v>
      </c>
      <c r="H7" s="28" t="s">
        <v>185</v>
      </c>
      <c r="I7" s="28" t="s">
        <v>186</v>
      </c>
      <c r="J7" s="28" t="s">
        <v>187</v>
      </c>
    </row>
    <row r="8" spans="1:10" x14ac:dyDescent="0.4">
      <c r="A8" s="28" t="s">
        <v>188</v>
      </c>
      <c r="B8" s="29">
        <v>43566.043888888889</v>
      </c>
      <c r="C8" s="28" t="s">
        <v>130</v>
      </c>
      <c r="D8" s="28" t="s">
        <v>131</v>
      </c>
      <c r="E8" s="28" t="s">
        <v>169</v>
      </c>
      <c r="F8" s="28" t="s">
        <v>174</v>
      </c>
      <c r="G8" s="28" t="s">
        <v>175</v>
      </c>
      <c r="H8" s="28" t="s">
        <v>185</v>
      </c>
      <c r="I8" s="28" t="s">
        <v>186</v>
      </c>
    </row>
    <row r="9" spans="1:10" x14ac:dyDescent="0.4">
      <c r="A9" s="28" t="s">
        <v>189</v>
      </c>
      <c r="B9" s="29">
        <v>43566.04109953704</v>
      </c>
      <c r="C9" s="28" t="s">
        <v>130</v>
      </c>
      <c r="D9" s="28" t="s">
        <v>131</v>
      </c>
    </row>
    <row r="10" spans="1:10" x14ac:dyDescent="0.4">
      <c r="A10" s="28" t="s">
        <v>190</v>
      </c>
      <c r="B10" s="29">
        <v>43566.04109953704</v>
      </c>
      <c r="C10" s="28" t="s">
        <v>130</v>
      </c>
      <c r="D10" s="28" t="s">
        <v>131</v>
      </c>
      <c r="E10" s="28" t="s">
        <v>169</v>
      </c>
      <c r="F10" s="28" t="s">
        <v>174</v>
      </c>
    </row>
    <row r="11" spans="1:10" x14ac:dyDescent="0.4">
      <c r="A11" s="28" t="s">
        <v>193</v>
      </c>
      <c r="B11" s="29">
        <v>43566.04109953704</v>
      </c>
      <c r="C11" s="28" t="s">
        <v>130</v>
      </c>
      <c r="D11" s="28" t="s">
        <v>131</v>
      </c>
      <c r="E11" s="28" t="s">
        <v>169</v>
      </c>
    </row>
    <row r="12" spans="1:10" x14ac:dyDescent="0.4">
      <c r="A12" s="28" t="s">
        <v>194</v>
      </c>
      <c r="B12" s="29">
        <v>43567.62232638889</v>
      </c>
      <c r="C12" s="28" t="s">
        <v>130</v>
      </c>
      <c r="D12" s="28" t="s">
        <v>131</v>
      </c>
      <c r="E12" s="28" t="s">
        <v>169</v>
      </c>
      <c r="F12" s="28" t="s">
        <v>174</v>
      </c>
      <c r="G12" s="28" t="s">
        <v>175</v>
      </c>
    </row>
    <row r="13" spans="1:10" x14ac:dyDescent="0.4">
      <c r="A13" s="28" t="s">
        <v>195</v>
      </c>
      <c r="B13" s="29">
        <v>43568.073333333334</v>
      </c>
      <c r="C13" s="28" t="s">
        <v>130</v>
      </c>
      <c r="D13" s="28" t="s">
        <v>131</v>
      </c>
      <c r="E13" s="28" t="s">
        <v>169</v>
      </c>
    </row>
    <row r="14" spans="1:10" x14ac:dyDescent="0.4">
      <c r="A14" s="28" t="s">
        <v>196</v>
      </c>
      <c r="B14" s="29">
        <v>43569.506898148145</v>
      </c>
      <c r="C14" s="28" t="s">
        <v>130</v>
      </c>
      <c r="D14" s="28" t="s">
        <v>131</v>
      </c>
      <c r="E14" s="28" t="s">
        <v>169</v>
      </c>
      <c r="F14" s="28" t="s">
        <v>174</v>
      </c>
      <c r="G14" s="28" t="s">
        <v>175</v>
      </c>
    </row>
    <row r="15" spans="1:10" x14ac:dyDescent="0.4">
      <c r="A15" s="28" t="s">
        <v>197</v>
      </c>
      <c r="B15" s="29">
        <v>43570.561921296299</v>
      </c>
      <c r="C15" s="28" t="s">
        <v>130</v>
      </c>
      <c r="D15" s="28" t="s">
        <v>131</v>
      </c>
      <c r="E15" s="28" t="s">
        <v>169</v>
      </c>
      <c r="F15" s="28" t="s">
        <v>174</v>
      </c>
      <c r="G15" s="28" t="s">
        <v>175</v>
      </c>
      <c r="H15" s="28" t="s">
        <v>185</v>
      </c>
    </row>
    <row r="16" spans="1:10" x14ac:dyDescent="0.4">
      <c r="A16" s="28" t="s">
        <v>198</v>
      </c>
      <c r="B16" s="29">
        <v>43571.057638888888</v>
      </c>
      <c r="C16" s="28" t="s">
        <v>130</v>
      </c>
      <c r="D16" s="28" t="s">
        <v>131</v>
      </c>
    </row>
    <row r="17" spans="1:10" x14ac:dyDescent="0.4">
      <c r="A17" s="28" t="s">
        <v>199</v>
      </c>
      <c r="B17" s="29">
        <v>43573.881539351853</v>
      </c>
      <c r="C17" s="28" t="s">
        <v>130</v>
      </c>
      <c r="D17" s="28" t="s">
        <v>131</v>
      </c>
      <c r="E17" s="28" t="s">
        <v>169</v>
      </c>
    </row>
    <row r="18" spans="1:10" x14ac:dyDescent="0.4">
      <c r="A18" s="28" t="s">
        <v>201</v>
      </c>
      <c r="B18" s="29">
        <v>43574.073113425926</v>
      </c>
      <c r="C18" s="28" t="s">
        <v>130</v>
      </c>
      <c r="D18" s="28" t="s">
        <v>131</v>
      </c>
      <c r="E18" s="28" t="s">
        <v>169</v>
      </c>
      <c r="F18" s="28" t="s">
        <v>174</v>
      </c>
      <c r="G18" s="28" t="s">
        <v>175</v>
      </c>
    </row>
    <row r="19" spans="1:10" x14ac:dyDescent="0.4">
      <c r="A19" s="28" t="s">
        <v>202</v>
      </c>
      <c r="B19" s="29">
        <v>43575.795416666668</v>
      </c>
      <c r="C19" s="28" t="s">
        <v>130</v>
      </c>
      <c r="D19" s="28" t="s">
        <v>131</v>
      </c>
      <c r="E19" s="28" t="s">
        <v>169</v>
      </c>
    </row>
    <row r="20" spans="1:10" x14ac:dyDescent="0.4">
      <c r="A20" s="28" t="s">
        <v>203</v>
      </c>
      <c r="B20" s="29">
        <v>43576.362476851849</v>
      </c>
      <c r="C20" s="28" t="s">
        <v>130</v>
      </c>
      <c r="D20" s="28" t="s">
        <v>131</v>
      </c>
      <c r="E20" s="28" t="s">
        <v>169</v>
      </c>
      <c r="F20" s="28" t="s">
        <v>174</v>
      </c>
      <c r="G20" s="28" t="s">
        <v>175</v>
      </c>
      <c r="H20" s="28" t="s">
        <v>185</v>
      </c>
    </row>
    <row r="21" spans="1:10" x14ac:dyDescent="0.4">
      <c r="A21" s="28" t="s">
        <v>204</v>
      </c>
      <c r="B21" s="29">
        <v>43577.448182870372</v>
      </c>
      <c r="C21" s="28" t="s">
        <v>130</v>
      </c>
      <c r="D21" s="28" t="s">
        <v>131</v>
      </c>
      <c r="E21" s="28" t="s">
        <v>169</v>
      </c>
      <c r="F21" s="28" t="s">
        <v>174</v>
      </c>
      <c r="G21" s="28" t="s">
        <v>175</v>
      </c>
      <c r="H21" s="28" t="s">
        <v>185</v>
      </c>
      <c r="I21" s="28" t="s">
        <v>186</v>
      </c>
      <c r="J21" s="28" t="s">
        <v>187</v>
      </c>
    </row>
    <row r="22" spans="1:10" x14ac:dyDescent="0.4">
      <c r="A22" s="28" t="s">
        <v>205</v>
      </c>
      <c r="B22" s="29">
        <v>43579.070729166669</v>
      </c>
      <c r="C22" s="28" t="s">
        <v>130</v>
      </c>
      <c r="D22" s="28" t="s">
        <v>131</v>
      </c>
      <c r="E22" s="28" t="s">
        <v>169</v>
      </c>
      <c r="F22" s="28" t="s">
        <v>174</v>
      </c>
    </row>
    <row r="23" spans="1:10" x14ac:dyDescent="0.4">
      <c r="A23" s="28" t="s">
        <v>206</v>
      </c>
      <c r="B23" s="29">
        <v>43583.728298611109</v>
      </c>
      <c r="C23" s="28" t="s">
        <v>130</v>
      </c>
      <c r="D23" s="28" t="s">
        <v>131</v>
      </c>
      <c r="E23" s="28" t="s">
        <v>169</v>
      </c>
    </row>
    <row r="24" spans="1:10" x14ac:dyDescent="0.4">
      <c r="A24" s="28" t="s">
        <v>207</v>
      </c>
      <c r="B24" s="29">
        <v>43583.728298611109</v>
      </c>
      <c r="C24" s="28" t="s">
        <v>130</v>
      </c>
      <c r="D24" s="28" t="s">
        <v>131</v>
      </c>
    </row>
    <row r="25" spans="1:10" x14ac:dyDescent="0.4">
      <c r="A25" s="28" t="s">
        <v>208</v>
      </c>
      <c r="B25" s="29">
        <v>43583.728298611109</v>
      </c>
      <c r="C25" s="28" t="s">
        <v>130</v>
      </c>
      <c r="D25" s="28" t="s">
        <v>131</v>
      </c>
      <c r="E25" s="28" t="s">
        <v>169</v>
      </c>
    </row>
    <row r="26" spans="1:10" x14ac:dyDescent="0.4">
      <c r="A26" s="28" t="s">
        <v>209</v>
      </c>
      <c r="B26" s="29">
        <v>43583.728298611109</v>
      </c>
      <c r="C26" s="28" t="s">
        <v>130</v>
      </c>
      <c r="D26" s="28" t="s">
        <v>131</v>
      </c>
    </row>
    <row r="27" spans="1:10" x14ac:dyDescent="0.4">
      <c r="A27" s="28" t="s">
        <v>210</v>
      </c>
      <c r="B27" s="29">
        <v>43591.888472222221</v>
      </c>
      <c r="C27" s="28" t="s">
        <v>130</v>
      </c>
      <c r="D27" s="28" t="s">
        <v>131</v>
      </c>
    </row>
    <row r="28" spans="1:10" x14ac:dyDescent="0.4">
      <c r="A28" s="28" t="s">
        <v>211</v>
      </c>
      <c r="B28" s="29">
        <v>43601.059386574074</v>
      </c>
      <c r="C28" s="28" t="s">
        <v>130</v>
      </c>
      <c r="D28" s="28" t="s">
        <v>131</v>
      </c>
      <c r="E28" s="28" t="s">
        <v>169</v>
      </c>
      <c r="F28" s="28" t="s">
        <v>174</v>
      </c>
    </row>
    <row r="29" spans="1:10" x14ac:dyDescent="0.4">
      <c r="A29" s="28" t="s">
        <v>212</v>
      </c>
      <c r="B29" s="29">
        <v>43601.059386574074</v>
      </c>
      <c r="C29" s="28" t="s">
        <v>130</v>
      </c>
      <c r="D29" s="28" t="s">
        <v>131</v>
      </c>
    </row>
    <row r="30" spans="1:10" x14ac:dyDescent="0.4">
      <c r="A30" s="28" t="s">
        <v>213</v>
      </c>
      <c r="B30" s="29">
        <v>43601.059386574074</v>
      </c>
      <c r="C30" s="28" t="s">
        <v>130</v>
      </c>
      <c r="D30" s="28" t="s">
        <v>131</v>
      </c>
      <c r="E30" s="28" t="s">
        <v>169</v>
      </c>
    </row>
    <row r="31" spans="1:10" x14ac:dyDescent="0.4">
      <c r="A31" s="28" t="s">
        <v>214</v>
      </c>
      <c r="B31" s="29">
        <v>43601.059386574074</v>
      </c>
      <c r="C31" s="28" t="s">
        <v>130</v>
      </c>
      <c r="D31" s="28" t="s">
        <v>131</v>
      </c>
      <c r="E31" s="28" t="s">
        <v>169</v>
      </c>
      <c r="F31" s="28" t="s">
        <v>174</v>
      </c>
    </row>
    <row r="32" spans="1:10" x14ac:dyDescent="0.4">
      <c r="A32" s="28" t="s">
        <v>215</v>
      </c>
      <c r="B32" s="29">
        <v>43601.059386574074</v>
      </c>
      <c r="C32" s="28" t="s">
        <v>130</v>
      </c>
      <c r="D32" s="28" t="s">
        <v>131</v>
      </c>
    </row>
    <row r="33" spans="1:11" x14ac:dyDescent="0.4">
      <c r="A33" s="28" t="s">
        <v>216</v>
      </c>
      <c r="B33" s="29">
        <v>43601.059386574074</v>
      </c>
      <c r="C33" s="28" t="s">
        <v>130</v>
      </c>
      <c r="D33" s="28" t="s">
        <v>131</v>
      </c>
      <c r="E33" s="28" t="s">
        <v>169</v>
      </c>
    </row>
    <row r="34" spans="1:11" x14ac:dyDescent="0.4">
      <c r="A34" s="28" t="s">
        <v>217</v>
      </c>
      <c r="B34" s="29">
        <v>43601.059386574074</v>
      </c>
      <c r="C34" s="28" t="s">
        <v>130</v>
      </c>
      <c r="D34" s="28" t="s">
        <v>131</v>
      </c>
      <c r="E34" s="28" t="s">
        <v>169</v>
      </c>
    </row>
    <row r="35" spans="1:11" x14ac:dyDescent="0.4">
      <c r="A35" s="28" t="s">
        <v>218</v>
      </c>
      <c r="B35" s="29">
        <v>43601.059386574074</v>
      </c>
      <c r="C35" s="28" t="s">
        <v>130</v>
      </c>
      <c r="D35" s="28" t="s">
        <v>131</v>
      </c>
      <c r="E35" s="28" t="s">
        <v>169</v>
      </c>
    </row>
    <row r="36" spans="1:11" x14ac:dyDescent="0.4">
      <c r="A36" s="28" t="s">
        <v>219</v>
      </c>
      <c r="B36" s="29">
        <v>43601.059386574074</v>
      </c>
      <c r="C36" s="28" t="s">
        <v>130</v>
      </c>
      <c r="D36" s="28" t="s">
        <v>131</v>
      </c>
      <c r="E36" s="28" t="s">
        <v>169</v>
      </c>
    </row>
    <row r="37" spans="1:11" x14ac:dyDescent="0.4">
      <c r="A37" s="28" t="s">
        <v>220</v>
      </c>
      <c r="B37" s="29">
        <v>43601.059386574074</v>
      </c>
      <c r="C37" s="28" t="s">
        <v>130</v>
      </c>
      <c r="D37" s="28" t="s">
        <v>131</v>
      </c>
    </row>
    <row r="38" spans="1:11" x14ac:dyDescent="0.4">
      <c r="A38" s="28" t="s">
        <v>221</v>
      </c>
      <c r="B38" s="29">
        <v>43601.059942129628</v>
      </c>
      <c r="C38" s="28" t="s">
        <v>130</v>
      </c>
      <c r="D38" s="28" t="s">
        <v>131</v>
      </c>
      <c r="E38" s="28" t="s">
        <v>169</v>
      </c>
    </row>
    <row r="39" spans="1:11" x14ac:dyDescent="0.4">
      <c r="A39" s="28" t="s">
        <v>224</v>
      </c>
      <c r="B39" s="29">
        <v>43602.105740740742</v>
      </c>
      <c r="C39" s="28" t="s">
        <v>130</v>
      </c>
      <c r="D39" s="28" t="s">
        <v>131</v>
      </c>
      <c r="E39" s="28" t="s">
        <v>169</v>
      </c>
      <c r="F39" s="28" t="s">
        <v>174</v>
      </c>
      <c r="G39" s="28" t="s">
        <v>175</v>
      </c>
    </row>
    <row r="40" spans="1:11" x14ac:dyDescent="0.4">
      <c r="A40" s="28" t="s">
        <v>225</v>
      </c>
      <c r="B40" s="29">
        <v>43605.86346064815</v>
      </c>
      <c r="C40" s="28" t="s">
        <v>130</v>
      </c>
      <c r="D40" s="28" t="s">
        <v>131</v>
      </c>
      <c r="E40" s="28" t="s">
        <v>169</v>
      </c>
      <c r="F40" s="28" t="s">
        <v>174</v>
      </c>
      <c r="G40" s="28" t="s">
        <v>175</v>
      </c>
      <c r="H40" s="28" t="s">
        <v>185</v>
      </c>
      <c r="I40" s="28" t="s">
        <v>186</v>
      </c>
      <c r="J40" s="28" t="s">
        <v>187</v>
      </c>
      <c r="K40" s="28" t="s">
        <v>228</v>
      </c>
    </row>
    <row r="41" spans="1:11" x14ac:dyDescent="0.4">
      <c r="A41" s="28" t="s">
        <v>226</v>
      </c>
      <c r="B41" s="29">
        <v>43605.863437499997</v>
      </c>
      <c r="C41" s="28" t="s">
        <v>130</v>
      </c>
      <c r="D41" s="28" t="s">
        <v>131</v>
      </c>
      <c r="E41" s="28" t="s">
        <v>169</v>
      </c>
      <c r="F41" s="28" t="s">
        <v>174</v>
      </c>
    </row>
    <row r="42" spans="1:11" x14ac:dyDescent="0.4">
      <c r="A42" s="28" t="s">
        <v>227</v>
      </c>
      <c r="B42" s="29">
        <v>43608.863275462965</v>
      </c>
      <c r="C42" s="28" t="s">
        <v>130</v>
      </c>
      <c r="D42" s="28" t="s">
        <v>131</v>
      </c>
      <c r="E42" s="28" t="s">
        <v>169</v>
      </c>
      <c r="F42" s="28" t="s">
        <v>174</v>
      </c>
      <c r="G42" s="28" t="s">
        <v>175</v>
      </c>
    </row>
    <row r="43" spans="1:11" x14ac:dyDescent="0.4">
      <c r="A43" s="28" t="s">
        <v>229</v>
      </c>
      <c r="B43" s="29">
        <v>43606.051539351851</v>
      </c>
      <c r="C43" s="28" t="s">
        <v>130</v>
      </c>
      <c r="D43" s="28" t="s">
        <v>131</v>
      </c>
      <c r="E43" s="28" t="s">
        <v>169</v>
      </c>
      <c r="F43" s="28" t="s">
        <v>174</v>
      </c>
      <c r="G43" s="28" t="s">
        <v>175</v>
      </c>
      <c r="H43" s="28" t="s">
        <v>185</v>
      </c>
    </row>
    <row r="44" spans="1:11" x14ac:dyDescent="0.4">
      <c r="A44" s="28" t="s">
        <v>231</v>
      </c>
      <c r="B44" s="29">
        <v>43607.022546296299</v>
      </c>
      <c r="C44" s="28" t="s">
        <v>130</v>
      </c>
    </row>
    <row r="45" spans="1:11" x14ac:dyDescent="0.4">
      <c r="A45" s="28" t="s">
        <v>230</v>
      </c>
      <c r="B45" s="29">
        <v>43607.022546296299</v>
      </c>
      <c r="C45" s="28" t="s">
        <v>130</v>
      </c>
      <c r="D45" s="28" t="s">
        <v>131</v>
      </c>
      <c r="E45" s="28" t="s">
        <v>169</v>
      </c>
    </row>
    <row r="46" spans="1:11" x14ac:dyDescent="0.4">
      <c r="A46" s="28" t="s">
        <v>232</v>
      </c>
      <c r="B46" s="29">
        <v>43608.770729166667</v>
      </c>
      <c r="C46" s="28" t="s">
        <v>130</v>
      </c>
      <c r="D46" s="28" t="s">
        <v>131</v>
      </c>
      <c r="E46" s="28" t="s">
        <v>169</v>
      </c>
    </row>
    <row r="47" spans="1:11" x14ac:dyDescent="0.4">
      <c r="A47" s="28" t="s">
        <v>233</v>
      </c>
      <c r="B47" s="29">
        <v>43608.770729166667</v>
      </c>
      <c r="C47" s="28" t="s">
        <v>130</v>
      </c>
    </row>
    <row r="48" spans="1:11" x14ac:dyDescent="0.4">
      <c r="A48" s="28" t="s">
        <v>235</v>
      </c>
      <c r="B48" s="29">
        <v>43609.351793981485</v>
      </c>
      <c r="C48" s="28" t="s">
        <v>130</v>
      </c>
    </row>
    <row r="49" spans="1:7" x14ac:dyDescent="0.4">
      <c r="A49" s="28" t="s">
        <v>234</v>
      </c>
      <c r="B49" s="29">
        <v>43609.351793981485</v>
      </c>
      <c r="C49" s="28" t="s">
        <v>130</v>
      </c>
      <c r="D49" s="28" t="s">
        <v>131</v>
      </c>
      <c r="E49" s="28" t="s">
        <v>169</v>
      </c>
      <c r="F49" s="28" t="s">
        <v>174</v>
      </c>
    </row>
    <row r="50" spans="1:7" x14ac:dyDescent="0.4">
      <c r="A50" s="28" t="s">
        <v>236</v>
      </c>
      <c r="B50" s="29">
        <v>43609.958668981482</v>
      </c>
      <c r="C50" s="28" t="s">
        <v>130</v>
      </c>
      <c r="D50" s="28" t="s">
        <v>131</v>
      </c>
      <c r="E50" s="28" t="s">
        <v>169</v>
      </c>
      <c r="F50" s="28" t="s">
        <v>174</v>
      </c>
      <c r="G50" s="28" t="s">
        <v>175</v>
      </c>
    </row>
    <row r="51" spans="1:7" x14ac:dyDescent="0.4">
      <c r="A51" s="28" t="s">
        <v>238</v>
      </c>
      <c r="B51" s="29">
        <v>43611.059386574074</v>
      </c>
      <c r="C51" s="28" t="s">
        <v>130</v>
      </c>
      <c r="D51" s="28" t="s">
        <v>131</v>
      </c>
      <c r="E51" s="28" t="s">
        <v>169</v>
      </c>
    </row>
    <row r="52" spans="1:7" x14ac:dyDescent="0.4">
      <c r="A52" s="28" t="s">
        <v>237</v>
      </c>
      <c r="B52" s="29">
        <v>43613.341041666667</v>
      </c>
      <c r="C52" s="28" t="s">
        <v>130</v>
      </c>
    </row>
    <row r="53" spans="1:7" x14ac:dyDescent="0.4">
      <c r="A53" s="28" t="s">
        <v>239</v>
      </c>
      <c r="B53" s="29">
        <v>43614.346238425926</v>
      </c>
      <c r="C53" s="28" t="s">
        <v>130</v>
      </c>
      <c r="D53" s="28" t="s">
        <v>131</v>
      </c>
      <c r="E53" s="28" t="s">
        <v>169</v>
      </c>
    </row>
    <row r="54" spans="1:7" x14ac:dyDescent="0.4">
      <c r="A54" s="28" t="s">
        <v>240</v>
      </c>
      <c r="B54" s="29">
        <v>43618.928472222222</v>
      </c>
      <c r="C54" s="28" t="s">
        <v>130</v>
      </c>
      <c r="D54" s="28" t="s">
        <v>131</v>
      </c>
      <c r="E54" s="28" t="s">
        <v>169</v>
      </c>
      <c r="F54" s="28" t="s">
        <v>174</v>
      </c>
      <c r="G54" s="28" t="s">
        <v>175</v>
      </c>
    </row>
    <row r="55" spans="1:7" x14ac:dyDescent="0.4">
      <c r="A55" s="28" t="s">
        <v>241</v>
      </c>
      <c r="B55" s="29">
        <v>43618.928472222222</v>
      </c>
      <c r="C55" s="28" t="s">
        <v>130</v>
      </c>
    </row>
    <row r="56" spans="1:7" x14ac:dyDescent="0.4">
      <c r="A56" s="28" t="s">
        <v>242</v>
      </c>
      <c r="B56" s="29">
        <v>43618.953240740739</v>
      </c>
      <c r="C56" s="28" t="s">
        <v>130</v>
      </c>
    </row>
    <row r="57" spans="1:7" x14ac:dyDescent="0.4">
      <c r="A57" s="28" t="s">
        <v>243</v>
      </c>
      <c r="B57" s="29">
        <v>43620.343842592592</v>
      </c>
      <c r="C57" s="28" t="s">
        <v>130</v>
      </c>
    </row>
    <row r="58" spans="1:7" x14ac:dyDescent="0.4">
      <c r="A58" s="28" t="s">
        <v>244</v>
      </c>
      <c r="B58" s="29">
        <v>43627.737962962965</v>
      </c>
      <c r="C58" s="28" t="s">
        <v>130</v>
      </c>
      <c r="D58" s="28" t="s">
        <v>131</v>
      </c>
      <c r="E58" s="28" t="s">
        <v>169</v>
      </c>
    </row>
    <row r="59" spans="1:7" x14ac:dyDescent="0.4">
      <c r="A59" s="28" t="s">
        <v>249</v>
      </c>
      <c r="B59" s="29">
        <v>43627.737962962965</v>
      </c>
      <c r="C59" s="28" t="s">
        <v>130</v>
      </c>
    </row>
    <row r="60" spans="1:7" x14ac:dyDescent="0.4">
      <c r="A60" s="28" t="s">
        <v>250</v>
      </c>
      <c r="B60" s="29">
        <v>43627.737962962965</v>
      </c>
      <c r="C60" s="28" t="s">
        <v>130</v>
      </c>
      <c r="D60" s="28" t="s">
        <v>131</v>
      </c>
      <c r="E60" s="28" t="s">
        <v>169</v>
      </c>
      <c r="F60" s="28" t="s">
        <v>174</v>
      </c>
    </row>
    <row r="61" spans="1:7" x14ac:dyDescent="0.4">
      <c r="A61" s="28" t="s">
        <v>251</v>
      </c>
      <c r="B61" s="29">
        <v>43627.737962962965</v>
      </c>
      <c r="C61" s="28" t="s">
        <v>130</v>
      </c>
      <c r="D61" s="28" t="s">
        <v>131</v>
      </c>
    </row>
    <row r="62" spans="1:7" x14ac:dyDescent="0.4">
      <c r="A62" s="28" t="s">
        <v>252</v>
      </c>
      <c r="B62" s="29">
        <v>43627.737962962965</v>
      </c>
      <c r="C62" s="28" t="s">
        <v>130</v>
      </c>
    </row>
    <row r="63" spans="1:7" x14ac:dyDescent="0.4">
      <c r="A63" s="28" t="s">
        <v>253</v>
      </c>
      <c r="B63" s="29">
        <v>43644.048113425924</v>
      </c>
      <c r="C63" s="28" t="s">
        <v>130</v>
      </c>
      <c r="D63" s="28" t="s">
        <v>131</v>
      </c>
      <c r="E63" s="28" t="s">
        <v>169</v>
      </c>
      <c r="F63" s="28" t="s">
        <v>174</v>
      </c>
    </row>
    <row r="64" spans="1:7" x14ac:dyDescent="0.4">
      <c r="A64" s="28" t="s">
        <v>254</v>
      </c>
      <c r="B64" s="29">
        <v>43644.048113425924</v>
      </c>
      <c r="C64" s="28" t="s">
        <v>130</v>
      </c>
      <c r="D64" s="28" t="s">
        <v>131</v>
      </c>
    </row>
    <row r="65" spans="1:6" x14ac:dyDescent="0.4">
      <c r="A65" s="28" t="s">
        <v>255</v>
      </c>
      <c r="B65" s="29">
        <v>43644.048113425924</v>
      </c>
      <c r="C65" s="28" t="s">
        <v>130</v>
      </c>
      <c r="D65" s="28" t="s">
        <v>131</v>
      </c>
      <c r="E65" s="28" t="s">
        <v>169</v>
      </c>
    </row>
    <row r="66" spans="1:6" x14ac:dyDescent="0.4">
      <c r="A66" s="28" t="s">
        <v>256</v>
      </c>
      <c r="B66" s="29">
        <v>43644.048113425924</v>
      </c>
      <c r="C66" s="28" t="s">
        <v>130</v>
      </c>
      <c r="D66" s="28" t="s">
        <v>131</v>
      </c>
    </row>
    <row r="67" spans="1:6" x14ac:dyDescent="0.4">
      <c r="A67" s="28" t="s">
        <v>257</v>
      </c>
      <c r="B67" s="29">
        <v>43644.048113425924</v>
      </c>
      <c r="C67" s="28" t="s">
        <v>130</v>
      </c>
      <c r="D67" s="28" t="s">
        <v>131</v>
      </c>
      <c r="E67" s="28" t="s">
        <v>169</v>
      </c>
    </row>
    <row r="68" spans="1:6" x14ac:dyDescent="0.4">
      <c r="A68" s="28" t="s">
        <v>258</v>
      </c>
      <c r="B68" s="29">
        <v>43644.048113425924</v>
      </c>
      <c r="C68" s="28" t="s">
        <v>130</v>
      </c>
      <c r="D68" s="28" t="s">
        <v>131</v>
      </c>
    </row>
    <row r="69" spans="1:6" x14ac:dyDescent="0.4">
      <c r="A69" s="28" t="s">
        <v>259</v>
      </c>
      <c r="B69" s="29">
        <v>43644.048113425924</v>
      </c>
      <c r="C69" s="28" t="s">
        <v>130</v>
      </c>
    </row>
    <row r="70" spans="1:6" x14ac:dyDescent="0.4">
      <c r="A70" s="28" t="s">
        <v>260</v>
      </c>
      <c r="B70" s="29">
        <v>43644.048113425924</v>
      </c>
      <c r="C70" s="28" t="s">
        <v>130</v>
      </c>
      <c r="D70" s="28" t="s">
        <v>131</v>
      </c>
      <c r="E70" s="28" t="s">
        <v>169</v>
      </c>
    </row>
    <row r="71" spans="1:6" x14ac:dyDescent="0.4">
      <c r="A71" s="28" t="s">
        <v>261</v>
      </c>
      <c r="B71" s="29">
        <v>43644.048113425924</v>
      </c>
      <c r="C71" s="28" t="s">
        <v>130</v>
      </c>
      <c r="D71" s="28" t="s">
        <v>131</v>
      </c>
    </row>
    <row r="72" spans="1:6" x14ac:dyDescent="0.4">
      <c r="A72" s="28" t="s">
        <v>262</v>
      </c>
      <c r="B72" s="29">
        <v>43644.048113425924</v>
      </c>
      <c r="C72" s="28" t="s">
        <v>130</v>
      </c>
      <c r="D72" s="28" t="s">
        <v>131</v>
      </c>
    </row>
    <row r="73" spans="1:6" x14ac:dyDescent="0.4">
      <c r="A73" s="28" t="s">
        <v>263</v>
      </c>
      <c r="B73" s="29">
        <v>43644.048113425924</v>
      </c>
      <c r="C73" s="28" t="s">
        <v>130</v>
      </c>
    </row>
    <row r="74" spans="1:6" x14ac:dyDescent="0.4">
      <c r="A74" s="28" t="s">
        <v>264</v>
      </c>
      <c r="B74" s="29">
        <v>43644.048113425924</v>
      </c>
      <c r="C74" s="28" t="s">
        <v>130</v>
      </c>
      <c r="D74" s="28" t="s">
        <v>131</v>
      </c>
    </row>
    <row r="75" spans="1:6" x14ac:dyDescent="0.4">
      <c r="A75" s="28" t="s">
        <v>265</v>
      </c>
      <c r="B75" s="29">
        <v>43645.826226851852</v>
      </c>
      <c r="C75" s="28" t="s">
        <v>130</v>
      </c>
      <c r="D75" s="28" t="s">
        <v>131</v>
      </c>
    </row>
    <row r="76" spans="1:6" x14ac:dyDescent="0.4">
      <c r="A76" s="28" t="s">
        <v>266</v>
      </c>
      <c r="B76" s="29">
        <v>43645.8278587963</v>
      </c>
      <c r="C76" s="28" t="s">
        <v>130</v>
      </c>
      <c r="D76" s="28" t="s">
        <v>131</v>
      </c>
    </row>
    <row r="77" spans="1:6" x14ac:dyDescent="0.4">
      <c r="A77" s="28" t="s">
        <v>267</v>
      </c>
      <c r="B77" s="29">
        <v>43648.961134259262</v>
      </c>
      <c r="C77" s="28" t="s">
        <v>130</v>
      </c>
      <c r="D77" s="28" t="s">
        <v>131</v>
      </c>
      <c r="E77" s="28" t="s">
        <v>169</v>
      </c>
      <c r="F77" s="28" t="s">
        <v>174</v>
      </c>
    </row>
    <row r="78" spans="1:6" x14ac:dyDescent="0.4">
      <c r="A78" s="28" t="s">
        <v>269</v>
      </c>
      <c r="B78" s="29">
        <v>43648.961134259262</v>
      </c>
      <c r="C78" s="28" t="s">
        <v>130</v>
      </c>
      <c r="D78" s="28" t="s">
        <v>131</v>
      </c>
    </row>
    <row r="79" spans="1:6" x14ac:dyDescent="0.4">
      <c r="A79" s="28" t="s">
        <v>268</v>
      </c>
      <c r="B79" s="29">
        <v>43648.961134259262</v>
      </c>
      <c r="C79" s="28" t="s">
        <v>130</v>
      </c>
      <c r="D79" s="28" t="s">
        <v>131</v>
      </c>
    </row>
    <row r="80" spans="1:6" x14ac:dyDescent="0.4">
      <c r="A80" s="28" t="s">
        <v>270</v>
      </c>
      <c r="B80" s="29">
        <v>43649.547175925924</v>
      </c>
      <c r="C80" s="28" t="s">
        <v>130</v>
      </c>
      <c r="D80" s="28" t="s">
        <v>131</v>
      </c>
    </row>
    <row r="81" spans="1:15" x14ac:dyDescent="0.4">
      <c r="A81" s="28" t="s">
        <v>272</v>
      </c>
      <c r="B81" s="29">
        <v>43649.547175925924</v>
      </c>
      <c r="C81" s="28" t="s">
        <v>130</v>
      </c>
      <c r="D81" s="28" t="s">
        <v>131</v>
      </c>
      <c r="E81" s="28" t="s">
        <v>169</v>
      </c>
    </row>
    <row r="82" spans="1:15" x14ac:dyDescent="0.4">
      <c r="A82" s="28" t="s">
        <v>273</v>
      </c>
      <c r="B82" s="29">
        <v>43653.838969907411</v>
      </c>
      <c r="C82" s="28" t="s">
        <v>130</v>
      </c>
      <c r="D82" s="28" t="s">
        <v>131</v>
      </c>
      <c r="E82" s="28" t="s">
        <v>169</v>
      </c>
    </row>
    <row r="83" spans="1:15" x14ac:dyDescent="0.4">
      <c r="A83" s="28" t="s">
        <v>274</v>
      </c>
      <c r="B83" s="29">
        <v>43653.838969907411</v>
      </c>
      <c r="C83" s="28" t="s">
        <v>130</v>
      </c>
      <c r="D83" s="28" t="s">
        <v>131</v>
      </c>
      <c r="E83" s="28" t="s">
        <v>169</v>
      </c>
      <c r="F83" s="28" t="s">
        <v>174</v>
      </c>
      <c r="G83" s="28" t="s">
        <v>175</v>
      </c>
    </row>
    <row r="84" spans="1:15" x14ac:dyDescent="0.4">
      <c r="A84" s="28" t="s">
        <v>275</v>
      </c>
      <c r="B84" s="29">
        <v>43660.922881944447</v>
      </c>
      <c r="C84" s="28" t="s">
        <v>130</v>
      </c>
      <c r="D84" s="28" t="s">
        <v>131</v>
      </c>
      <c r="E84" s="28" t="s">
        <v>169</v>
      </c>
      <c r="F84" s="28" t="s">
        <v>174</v>
      </c>
    </row>
    <row r="85" spans="1:15" x14ac:dyDescent="0.4">
      <c r="A85" s="28" t="s">
        <v>276</v>
      </c>
      <c r="B85" s="29">
        <v>43661.4065162037</v>
      </c>
      <c r="C85" s="28" t="s">
        <v>130</v>
      </c>
      <c r="D85" s="28" t="s">
        <v>131</v>
      </c>
      <c r="E85" s="28" t="s">
        <v>169</v>
      </c>
      <c r="F85" s="28" t="s">
        <v>174</v>
      </c>
      <c r="G85" s="28" t="s">
        <v>175</v>
      </c>
      <c r="H85" s="28" t="s">
        <v>185</v>
      </c>
    </row>
    <row r="86" spans="1:15" x14ac:dyDescent="0.4">
      <c r="A86" s="28" t="s">
        <v>277</v>
      </c>
      <c r="B86" s="29">
        <v>43661.406192129631</v>
      </c>
      <c r="C86" s="28" t="s">
        <v>130</v>
      </c>
    </row>
    <row r="87" spans="1:15" x14ac:dyDescent="0.4">
      <c r="A87" s="28" t="s">
        <v>278</v>
      </c>
      <c r="B87" s="29">
        <v>43661.406111111108</v>
      </c>
      <c r="C87" s="28" t="s">
        <v>130</v>
      </c>
      <c r="D87" s="28" t="s">
        <v>131</v>
      </c>
      <c r="E87" s="28" t="s">
        <v>169</v>
      </c>
    </row>
    <row r="88" spans="1:15" x14ac:dyDescent="0.4">
      <c r="A88" s="28" t="s">
        <v>279</v>
      </c>
      <c r="B88" s="29">
        <v>43661.405960648146</v>
      </c>
      <c r="C88" s="28" t="s">
        <v>130</v>
      </c>
      <c r="D88" s="28" t="s">
        <v>131</v>
      </c>
      <c r="E88" s="28" t="s">
        <v>169</v>
      </c>
    </row>
    <row r="89" spans="1:15" x14ac:dyDescent="0.4">
      <c r="A89" s="28" t="s">
        <v>280</v>
      </c>
      <c r="B89" s="29">
        <v>43661.405844907407</v>
      </c>
      <c r="C89" s="28" t="s">
        <v>130</v>
      </c>
      <c r="D89" s="28" t="s">
        <v>131</v>
      </c>
      <c r="E89" s="28" t="s">
        <v>169</v>
      </c>
      <c r="F89" s="28" t="s">
        <v>174</v>
      </c>
      <c r="G89" s="28" t="s">
        <v>175</v>
      </c>
    </row>
    <row r="90" spans="1:15" x14ac:dyDescent="0.4">
      <c r="A90" s="28" t="s">
        <v>286</v>
      </c>
      <c r="B90" s="29">
        <v>43661.411909722221</v>
      </c>
      <c r="C90" s="28" t="s">
        <v>130</v>
      </c>
      <c r="D90" s="28" t="s">
        <v>131</v>
      </c>
      <c r="E90" s="28" t="s">
        <v>169</v>
      </c>
    </row>
    <row r="91" spans="1:15" x14ac:dyDescent="0.4">
      <c r="A91" s="28" t="s">
        <v>281</v>
      </c>
      <c r="B91" s="29">
        <v>43661.405613425923</v>
      </c>
      <c r="C91" s="28" t="s">
        <v>130</v>
      </c>
      <c r="D91" s="28" t="s">
        <v>131</v>
      </c>
      <c r="E91" s="28" t="s">
        <v>169</v>
      </c>
      <c r="F91" s="28" t="s">
        <v>174</v>
      </c>
      <c r="G91" s="28" t="s">
        <v>175</v>
      </c>
      <c r="H91" s="28" t="s">
        <v>185</v>
      </c>
      <c r="I91" s="28" t="s">
        <v>186</v>
      </c>
      <c r="J91" s="28" t="s">
        <v>187</v>
      </c>
      <c r="K91" s="28" t="s">
        <v>228</v>
      </c>
      <c r="L91" s="28" t="s">
        <v>282</v>
      </c>
      <c r="M91" s="28" t="s">
        <v>283</v>
      </c>
      <c r="N91" s="28" t="s">
        <v>284</v>
      </c>
      <c r="O91" s="28" t="s">
        <v>285</v>
      </c>
    </row>
    <row r="92" spans="1:15" x14ac:dyDescent="0.4">
      <c r="A92" s="28" t="s">
        <v>287</v>
      </c>
      <c r="B92" s="29">
        <v>43663.331192129626</v>
      </c>
      <c r="C92" s="28" t="s">
        <v>130</v>
      </c>
      <c r="D92" s="28" t="s">
        <v>131</v>
      </c>
      <c r="E92" s="28" t="s">
        <v>169</v>
      </c>
      <c r="F92" s="28" t="s">
        <v>174</v>
      </c>
      <c r="G92" s="28" t="s">
        <v>175</v>
      </c>
    </row>
    <row r="93" spans="1:15" x14ac:dyDescent="0.4">
      <c r="A93" s="28" t="s">
        <v>288</v>
      </c>
      <c r="B93" s="29">
        <v>43663.331192129626</v>
      </c>
      <c r="C93" s="28" t="s">
        <v>130</v>
      </c>
      <c r="D93" s="28" t="s">
        <v>131</v>
      </c>
    </row>
    <row r="94" spans="1:15" x14ac:dyDescent="0.4">
      <c r="A94" s="28" t="s">
        <v>289</v>
      </c>
      <c r="B94" s="29">
        <v>43663.331192129626</v>
      </c>
      <c r="C94" s="28" t="s">
        <v>130</v>
      </c>
      <c r="D94" s="28" t="s">
        <v>131</v>
      </c>
    </row>
    <row r="95" spans="1:15" x14ac:dyDescent="0.4">
      <c r="A95" s="28" t="s">
        <v>290</v>
      </c>
      <c r="B95" s="29">
        <v>43668.967152777775</v>
      </c>
      <c r="C95" s="28" t="s">
        <v>130</v>
      </c>
      <c r="D95" s="28" t="s">
        <v>131</v>
      </c>
    </row>
    <row r="96" spans="1:15" x14ac:dyDescent="0.4">
      <c r="A96" s="28" t="s">
        <v>291</v>
      </c>
      <c r="B96" s="29">
        <v>43668.967152777775</v>
      </c>
      <c r="C96" s="28" t="s">
        <v>130</v>
      </c>
      <c r="D96" s="28" t="s">
        <v>131</v>
      </c>
      <c r="E96" s="28" t="s">
        <v>169</v>
      </c>
    </row>
    <row r="97" spans="1:6" x14ac:dyDescent="0.4">
      <c r="A97" s="28" t="s">
        <v>292</v>
      </c>
      <c r="B97" s="29">
        <v>43673.763761574075</v>
      </c>
      <c r="C97" s="28" t="s">
        <v>130</v>
      </c>
      <c r="D97" s="28" t="s">
        <v>131</v>
      </c>
    </row>
    <row r="98" spans="1:6" x14ac:dyDescent="0.4">
      <c r="A98" s="28" t="s">
        <v>293</v>
      </c>
      <c r="B98" s="29">
        <v>43673.989849537036</v>
      </c>
      <c r="C98" s="28" t="s">
        <v>130</v>
      </c>
      <c r="D98" s="28" t="s">
        <v>131</v>
      </c>
      <c r="E98" s="28" t="s">
        <v>169</v>
      </c>
      <c r="F98" s="28" t="s">
        <v>174</v>
      </c>
    </row>
    <row r="99" spans="1:6" x14ac:dyDescent="0.4">
      <c r="A99" s="28" t="s">
        <v>294</v>
      </c>
      <c r="B99" s="29">
        <v>43751.127928240741</v>
      </c>
      <c r="C99" s="28" t="s">
        <v>130</v>
      </c>
      <c r="D99" s="28" t="s">
        <v>131</v>
      </c>
      <c r="E99" s="28" t="s">
        <v>169</v>
      </c>
      <c r="F99" s="28" t="s">
        <v>174</v>
      </c>
    </row>
    <row r="100" spans="1:6" x14ac:dyDescent="0.4">
      <c r="A100" s="28" t="s">
        <v>295</v>
      </c>
      <c r="B100" s="29">
        <v>43686.070833333331</v>
      </c>
      <c r="C100" s="28" t="s">
        <v>130</v>
      </c>
      <c r="D100" s="28" t="s">
        <v>131</v>
      </c>
    </row>
    <row r="101" spans="1:6" x14ac:dyDescent="0.4">
      <c r="A101" s="28" t="s">
        <v>296</v>
      </c>
      <c r="B101" s="29">
        <v>43686.070833333331</v>
      </c>
      <c r="C101" s="28" t="s">
        <v>130</v>
      </c>
    </row>
    <row r="102" spans="1:6" x14ac:dyDescent="0.4">
      <c r="A102" s="28" t="s">
        <v>297</v>
      </c>
      <c r="B102" s="29">
        <v>43686.070833333331</v>
      </c>
      <c r="C102" s="28" t="s">
        <v>130</v>
      </c>
      <c r="D102" s="28" t="s">
        <v>131</v>
      </c>
      <c r="E102" s="28" t="s">
        <v>169</v>
      </c>
    </row>
    <row r="103" spans="1:6" x14ac:dyDescent="0.4">
      <c r="A103" s="28" t="s">
        <v>298</v>
      </c>
      <c r="B103" s="29">
        <v>43686.070833333331</v>
      </c>
      <c r="C103" s="28" t="s">
        <v>130</v>
      </c>
      <c r="D103" s="28" t="s">
        <v>131</v>
      </c>
    </row>
    <row r="104" spans="1:6" x14ac:dyDescent="0.4">
      <c r="A104" s="28" t="s">
        <v>299</v>
      </c>
      <c r="B104" s="29">
        <v>43686.070833333331</v>
      </c>
      <c r="C104" s="28" t="s">
        <v>130</v>
      </c>
    </row>
    <row r="105" spans="1:6" x14ac:dyDescent="0.4">
      <c r="A105" s="28" t="s">
        <v>300</v>
      </c>
      <c r="B105" s="29">
        <v>43731.93582175926</v>
      </c>
      <c r="C105" s="28" t="s">
        <v>130</v>
      </c>
      <c r="D105" s="28" t="s">
        <v>131</v>
      </c>
      <c r="E105" s="28" t="s">
        <v>169</v>
      </c>
      <c r="F105" s="28" t="s">
        <v>174</v>
      </c>
    </row>
    <row r="106" spans="1:6" x14ac:dyDescent="0.4">
      <c r="A106" s="28" t="s">
        <v>302</v>
      </c>
      <c r="B106" s="29">
        <v>43734.299710648149</v>
      </c>
      <c r="C106" s="28" t="s">
        <v>130</v>
      </c>
      <c r="D106" s="28" t="s">
        <v>131</v>
      </c>
    </row>
    <row r="107" spans="1:6" x14ac:dyDescent="0.4">
      <c r="A107" s="28" t="s">
        <v>303</v>
      </c>
      <c r="B107" s="29">
        <v>43734.299710648149</v>
      </c>
      <c r="C107" s="28" t="s">
        <v>130</v>
      </c>
      <c r="D107" s="28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/>
      <c r="B1" s="68"/>
      <c r="C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1026</v>
      </c>
    </row>
    <row r="2" spans="1:2" x14ac:dyDescent="0.4">
      <c r="A2" t="s">
        <v>127</v>
      </c>
      <c r="B2">
        <v>219</v>
      </c>
    </row>
    <row r="3" spans="1:2" x14ac:dyDescent="0.4">
      <c r="A3" t="s">
        <v>128</v>
      </c>
      <c r="B3">
        <v>163</v>
      </c>
    </row>
    <row r="4" spans="1:2" x14ac:dyDescent="0.4">
      <c r="A4" t="s">
        <v>129</v>
      </c>
      <c r="B4">
        <v>179</v>
      </c>
    </row>
    <row r="5" spans="1:2" x14ac:dyDescent="0.4">
      <c r="A5" t="s">
        <v>171</v>
      </c>
      <c r="B5">
        <v>110</v>
      </c>
    </row>
    <row r="6" spans="1:2" x14ac:dyDescent="0.4">
      <c r="A6" t="s">
        <v>172</v>
      </c>
      <c r="B6">
        <v>105</v>
      </c>
    </row>
    <row r="7" spans="1:2" x14ac:dyDescent="0.4">
      <c r="A7" t="s">
        <v>173</v>
      </c>
      <c r="B7">
        <v>61</v>
      </c>
    </row>
    <row r="8" spans="1:2" x14ac:dyDescent="0.4">
      <c r="A8" t="s">
        <v>177</v>
      </c>
      <c r="B8">
        <v>121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9</v>
      </c>
    </row>
    <row r="15" spans="1:2" x14ac:dyDescent="0.4">
      <c r="A15" t="s">
        <v>301</v>
      </c>
      <c r="B15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0" customWidth="1"/>
    <col min="2" max="2" width="10.75" style="81" customWidth="1"/>
    <col min="3" max="3" width="10.75" style="82" customWidth="1"/>
    <col min="4" max="4" width="10.75" style="83" customWidth="1"/>
    <col min="5" max="5" width="10.75" style="95" customWidth="1"/>
    <col min="6" max="6" width="10.75" style="83" customWidth="1"/>
    <col min="7" max="7" width="10.75" style="84" customWidth="1"/>
    <col min="8" max="8" width="10.75" style="83" customWidth="1"/>
    <col min="9" max="9" width="10.75" style="85" customWidth="1"/>
    <col min="10" max="10" width="10.75" style="83" customWidth="1"/>
    <col min="11" max="11" width="10.75" style="85" customWidth="1"/>
    <col min="12" max="12" width="10.75" style="83" customWidth="1"/>
    <col min="13" max="13" width="10.75" style="86" customWidth="1"/>
    <col min="14" max="14" width="10.75" style="83" customWidth="1"/>
    <col min="15" max="15" width="10.75" style="86" customWidth="1"/>
    <col min="16" max="16" width="10.75" style="83" customWidth="1"/>
    <col min="17" max="17" width="10.75" style="87" customWidth="1"/>
    <col min="18" max="18" width="10.75" style="83" customWidth="1"/>
    <col min="19" max="19" width="10.75" style="87" customWidth="1"/>
    <col min="20" max="20" width="10.75" style="83" customWidth="1"/>
    <col min="21" max="21" width="10.75" style="85" customWidth="1"/>
    <col min="22" max="22" width="10.75" style="83" customWidth="1"/>
    <col min="23" max="23" width="10.75" style="85" customWidth="1"/>
    <col min="24" max="24" width="10.75" style="83" customWidth="1"/>
    <col min="25" max="25" width="10.75" style="86" customWidth="1"/>
    <col min="26" max="26" width="10.75" style="83" customWidth="1"/>
    <col min="27" max="27" width="10.75" style="86" customWidth="1"/>
    <col min="28" max="28" width="10.75" style="83" customWidth="1"/>
    <col min="29" max="29" width="10.75" style="86" customWidth="1"/>
    <col min="30" max="30" width="10.75" style="83" customWidth="1"/>
    <col min="31" max="31" width="10.75" style="86" customWidth="1"/>
    <col min="32" max="32" width="10.75" style="83" customWidth="1"/>
    <col min="33" max="33" width="10.75" style="86" customWidth="1"/>
    <col min="34" max="34" width="10.75" style="83" customWidth="1"/>
    <col min="35" max="35" width="10.75" style="90" customWidth="1"/>
    <col min="36" max="16384" width="9" style="71"/>
  </cols>
  <sheetData>
    <row r="1" spans="1:35" x14ac:dyDescent="0.4">
      <c r="A1" s="70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0" t="s">
        <v>161</v>
      </c>
      <c r="B2" s="158"/>
      <c r="C2" s="159"/>
      <c r="D2" s="158"/>
      <c r="E2" s="159"/>
      <c r="F2" s="160">
        <v>0.97477338651940326</v>
      </c>
      <c r="G2" s="161"/>
      <c r="H2" s="160">
        <v>0.7028048111696068</v>
      </c>
      <c r="I2" s="161"/>
      <c r="J2" s="160">
        <v>0.86987015694814984</v>
      </c>
      <c r="K2" s="161"/>
      <c r="L2" s="160">
        <v>0.6883388559611775</v>
      </c>
      <c r="M2" s="161"/>
      <c r="N2" s="160">
        <v>0.75034546269229141</v>
      </c>
      <c r="O2" s="161"/>
      <c r="P2" s="160">
        <v>0.3926084938399364</v>
      </c>
      <c r="Q2" s="161"/>
      <c r="R2" s="160">
        <v>0.37787023224905875</v>
      </c>
      <c r="S2" s="161"/>
      <c r="T2" s="160">
        <v>0.67994438449395178</v>
      </c>
      <c r="U2" s="161"/>
      <c r="V2" s="160">
        <v>0.5414863494531944</v>
      </c>
      <c r="W2" s="161"/>
      <c r="X2" s="160">
        <v>0.65002404565305016</v>
      </c>
      <c r="Y2" s="161"/>
      <c r="Z2" s="160">
        <v>0.10236779837526548</v>
      </c>
      <c r="AA2" s="161"/>
      <c r="AB2" s="160">
        <v>-0.21282982907824516</v>
      </c>
      <c r="AC2" s="161"/>
      <c r="AD2" s="160">
        <v>0.75701723735301552</v>
      </c>
      <c r="AE2" s="161"/>
      <c r="AF2" s="160">
        <v>-0.17177605980655511</v>
      </c>
      <c r="AG2" s="161"/>
      <c r="AH2" s="160">
        <v>0.50924976995254345</v>
      </c>
      <c r="AI2" s="161"/>
    </row>
    <row r="3" spans="1:35" x14ac:dyDescent="0.4">
      <c r="A3" s="72">
        <v>1</v>
      </c>
      <c r="B3" s="73" t="s">
        <v>127</v>
      </c>
      <c r="C3" s="74">
        <v>2746.9</v>
      </c>
      <c r="D3" s="75" t="s">
        <v>183</v>
      </c>
      <c r="E3" s="94">
        <v>20.333333333333332</v>
      </c>
      <c r="F3" s="75" t="s">
        <v>183</v>
      </c>
      <c r="G3" s="76">
        <v>1.3333333333333333</v>
      </c>
      <c r="H3" s="75" t="s">
        <v>183</v>
      </c>
      <c r="I3" s="77">
        <v>0.66666666666666663</v>
      </c>
      <c r="J3" s="75" t="s">
        <v>183</v>
      </c>
      <c r="K3" s="77">
        <v>0</v>
      </c>
      <c r="L3" s="75" t="s">
        <v>223</v>
      </c>
      <c r="M3" s="78">
        <v>0.34782608695652173</v>
      </c>
      <c r="N3" s="75" t="s">
        <v>222</v>
      </c>
      <c r="O3" s="78">
        <v>7.6923076923076927E-2</v>
      </c>
      <c r="P3" s="75" t="s">
        <v>222</v>
      </c>
      <c r="Q3" s="79">
        <v>13800</v>
      </c>
      <c r="R3" s="75" t="s">
        <v>183</v>
      </c>
      <c r="S3" s="79">
        <v>-5150</v>
      </c>
      <c r="T3" s="75" t="s">
        <v>183</v>
      </c>
      <c r="U3" s="77">
        <v>0</v>
      </c>
      <c r="V3" s="75" t="s">
        <v>223</v>
      </c>
      <c r="W3" s="77">
        <v>0.33333333333333331</v>
      </c>
      <c r="X3" s="75" t="s">
        <v>127</v>
      </c>
      <c r="Y3" s="78">
        <v>0.30228667038482987</v>
      </c>
      <c r="Z3" s="75" t="s">
        <v>301</v>
      </c>
      <c r="AA3" s="78">
        <v>0.375</v>
      </c>
      <c r="AB3" s="75" t="s">
        <v>223</v>
      </c>
      <c r="AC3" s="78">
        <v>0.7142857142857143</v>
      </c>
      <c r="AD3" s="75" t="s">
        <v>223</v>
      </c>
      <c r="AE3" s="78">
        <v>0.52941176470588236</v>
      </c>
      <c r="AF3" s="75" t="s">
        <v>223</v>
      </c>
      <c r="AG3" s="78">
        <v>0.625</v>
      </c>
      <c r="AH3" s="75" t="s">
        <v>127</v>
      </c>
      <c r="AI3" s="89">
        <v>116000</v>
      </c>
    </row>
    <row r="4" spans="1:35" x14ac:dyDescent="0.4">
      <c r="A4" s="80">
        <v>2</v>
      </c>
      <c r="B4" s="81" t="s">
        <v>171</v>
      </c>
      <c r="C4" s="82">
        <v>136.29999999999998</v>
      </c>
      <c r="D4" s="83" t="s">
        <v>223</v>
      </c>
      <c r="E4" s="95">
        <v>16.733333333333331</v>
      </c>
      <c r="F4" s="83" t="s">
        <v>127</v>
      </c>
      <c r="G4" s="84">
        <v>1.7579908675799087</v>
      </c>
      <c r="H4" s="83" t="s">
        <v>223</v>
      </c>
      <c r="I4" s="85">
        <v>0.5</v>
      </c>
      <c r="J4" s="83" t="s">
        <v>222</v>
      </c>
      <c r="K4" s="85">
        <v>0</v>
      </c>
      <c r="L4" s="83" t="s">
        <v>200</v>
      </c>
      <c r="M4" s="86">
        <v>0.34031413612565448</v>
      </c>
      <c r="N4" s="83" t="s">
        <v>183</v>
      </c>
      <c r="O4" s="86">
        <v>0.10526315789473684</v>
      </c>
      <c r="P4" s="83" t="s">
        <v>223</v>
      </c>
      <c r="Q4" s="87">
        <v>12143.75</v>
      </c>
      <c r="R4" s="83" t="s">
        <v>271</v>
      </c>
      <c r="S4" s="87">
        <v>-7042.8571428571431</v>
      </c>
      <c r="T4" s="83" t="s">
        <v>222</v>
      </c>
      <c r="U4" s="85">
        <v>0</v>
      </c>
      <c r="V4" s="83" t="s">
        <v>301</v>
      </c>
      <c r="W4" s="85">
        <v>0.25</v>
      </c>
      <c r="X4" s="83" t="s">
        <v>128</v>
      </c>
      <c r="Y4" s="86">
        <v>0.29604772557792691</v>
      </c>
      <c r="Z4" s="83" t="s">
        <v>223</v>
      </c>
      <c r="AA4" s="86">
        <v>0.36956521739130432</v>
      </c>
      <c r="AB4" s="83" t="s">
        <v>271</v>
      </c>
      <c r="AC4" s="86">
        <v>0.7142857142857143</v>
      </c>
      <c r="AD4" s="83" t="s">
        <v>127</v>
      </c>
      <c r="AE4" s="86">
        <v>0.5</v>
      </c>
      <c r="AF4" s="83" t="s">
        <v>200</v>
      </c>
      <c r="AG4" s="86">
        <v>0.55384615384615388</v>
      </c>
      <c r="AH4" s="83" t="s">
        <v>145</v>
      </c>
      <c r="AI4" s="90">
        <v>116000</v>
      </c>
    </row>
    <row r="5" spans="1:35" x14ac:dyDescent="0.4">
      <c r="A5" s="80">
        <v>3</v>
      </c>
      <c r="B5" s="81" t="s">
        <v>223</v>
      </c>
      <c r="C5" s="82">
        <v>100.39999999999999</v>
      </c>
      <c r="D5" s="83" t="s">
        <v>222</v>
      </c>
      <c r="E5" s="95">
        <v>13.3</v>
      </c>
      <c r="F5" s="83" t="s">
        <v>223</v>
      </c>
      <c r="G5" s="84">
        <v>1.8333333333333333</v>
      </c>
      <c r="H5" s="83" t="s">
        <v>127</v>
      </c>
      <c r="I5" s="85">
        <v>0.48401826484018262</v>
      </c>
      <c r="J5" s="83" t="s">
        <v>200</v>
      </c>
      <c r="K5" s="85">
        <v>0.19047619047619047</v>
      </c>
      <c r="L5" s="83" t="s">
        <v>127</v>
      </c>
      <c r="M5" s="86">
        <v>0.33742331288343558</v>
      </c>
      <c r="N5" s="83" t="s">
        <v>223</v>
      </c>
      <c r="O5" s="86">
        <v>0.13043478260869565</v>
      </c>
      <c r="P5" s="83" t="s">
        <v>171</v>
      </c>
      <c r="Q5" s="87">
        <v>10015.094339622641</v>
      </c>
      <c r="R5" s="83" t="s">
        <v>177</v>
      </c>
      <c r="S5" s="87">
        <v>-7062.9139072847684</v>
      </c>
      <c r="T5" s="83" t="s">
        <v>223</v>
      </c>
      <c r="U5" s="85">
        <v>0</v>
      </c>
      <c r="V5" s="83" t="s">
        <v>127</v>
      </c>
      <c r="W5" s="85">
        <v>0.16894977168949771</v>
      </c>
      <c r="X5" s="83" t="s">
        <v>171</v>
      </c>
      <c r="Y5" s="86">
        <v>0.28336980306345733</v>
      </c>
      <c r="Z5" s="83" t="s">
        <v>200</v>
      </c>
      <c r="AA5" s="86">
        <v>0.32460732984293195</v>
      </c>
      <c r="AB5" s="83" t="s">
        <v>184</v>
      </c>
      <c r="AC5" s="86">
        <v>0.66666666666666663</v>
      </c>
      <c r="AD5" s="83" t="s">
        <v>183</v>
      </c>
      <c r="AE5" s="86">
        <v>0.5</v>
      </c>
      <c r="AF5" s="83" t="s">
        <v>173</v>
      </c>
      <c r="AG5" s="86">
        <v>0.50340136054421769</v>
      </c>
      <c r="AH5" s="83" t="s">
        <v>173</v>
      </c>
      <c r="AI5" s="90">
        <v>113300</v>
      </c>
    </row>
    <row r="6" spans="1:35" x14ac:dyDescent="0.4">
      <c r="A6" s="80">
        <v>4</v>
      </c>
      <c r="B6" s="81" t="s">
        <v>200</v>
      </c>
      <c r="C6" s="82">
        <v>82.799999999999983</v>
      </c>
      <c r="D6" s="83" t="s">
        <v>127</v>
      </c>
      <c r="E6" s="95">
        <v>12.542922374429224</v>
      </c>
      <c r="F6" s="83" t="s">
        <v>200</v>
      </c>
      <c r="G6" s="84">
        <v>1.8571428571428572</v>
      </c>
      <c r="H6" s="83" t="s">
        <v>184</v>
      </c>
      <c r="I6" s="85">
        <v>0.33333333333333331</v>
      </c>
      <c r="J6" s="83" t="s">
        <v>127</v>
      </c>
      <c r="K6" s="85">
        <v>0.24200913242009131</v>
      </c>
      <c r="L6" s="83" t="s">
        <v>172</v>
      </c>
      <c r="M6" s="86">
        <v>0.33258426966292137</v>
      </c>
      <c r="N6" s="83" t="s">
        <v>172</v>
      </c>
      <c r="O6" s="86">
        <v>0.14606741573033707</v>
      </c>
      <c r="P6" s="83" t="s">
        <v>127</v>
      </c>
      <c r="Q6" s="87">
        <v>9240.6611570247933</v>
      </c>
      <c r="R6" s="83" t="s">
        <v>128</v>
      </c>
      <c r="S6" s="87">
        <v>-7653.6585365853662</v>
      </c>
      <c r="T6" s="83" t="s">
        <v>172</v>
      </c>
      <c r="U6" s="85">
        <v>5.7142857142857141E-2</v>
      </c>
      <c r="V6" s="83" t="s">
        <v>171</v>
      </c>
      <c r="W6" s="85">
        <v>0.14545454545454545</v>
      </c>
      <c r="X6" s="83" t="s">
        <v>145</v>
      </c>
      <c r="Y6" s="86">
        <v>0.26521535580524347</v>
      </c>
      <c r="Z6" s="83" t="s">
        <v>271</v>
      </c>
      <c r="AA6" s="86">
        <v>0.3</v>
      </c>
      <c r="AB6" s="83" t="s">
        <v>177</v>
      </c>
      <c r="AC6" s="86">
        <v>0.60754716981132073</v>
      </c>
      <c r="AD6" s="83" t="s">
        <v>200</v>
      </c>
      <c r="AE6" s="86">
        <v>0.43548387096774194</v>
      </c>
      <c r="AF6" s="83" t="s">
        <v>222</v>
      </c>
      <c r="AG6" s="86">
        <v>0.5</v>
      </c>
      <c r="AH6" s="83" t="s">
        <v>128</v>
      </c>
      <c r="AI6" s="90">
        <v>107600</v>
      </c>
    </row>
    <row r="7" spans="1:35" x14ac:dyDescent="0.4">
      <c r="A7" s="80">
        <v>5</v>
      </c>
      <c r="B7" s="81" t="s">
        <v>183</v>
      </c>
      <c r="C7" s="82">
        <v>61</v>
      </c>
      <c r="D7" s="83" t="s">
        <v>200</v>
      </c>
      <c r="E7" s="95">
        <v>3.9428571428571422</v>
      </c>
      <c r="F7" s="83" t="s">
        <v>177</v>
      </c>
      <c r="G7" s="84">
        <v>1.9834710743801653</v>
      </c>
      <c r="H7" s="83" t="s">
        <v>200</v>
      </c>
      <c r="I7" s="85">
        <v>0.33333333333333331</v>
      </c>
      <c r="J7" s="83" t="s">
        <v>172</v>
      </c>
      <c r="K7" s="85">
        <v>0.30476190476190479</v>
      </c>
      <c r="L7" s="83" t="s">
        <v>301</v>
      </c>
      <c r="M7" s="86">
        <v>0.3125</v>
      </c>
      <c r="N7" s="83" t="s">
        <v>127</v>
      </c>
      <c r="O7" s="86">
        <v>0.14947016174010039</v>
      </c>
      <c r="P7" s="83" t="s">
        <v>128</v>
      </c>
      <c r="Q7" s="87">
        <v>8929.380053908355</v>
      </c>
      <c r="R7" s="83" t="s">
        <v>145</v>
      </c>
      <c r="S7" s="87">
        <v>-8093.2072829131648</v>
      </c>
      <c r="T7" s="83" t="s">
        <v>127</v>
      </c>
      <c r="U7" s="85">
        <v>8.2191780821917804E-2</v>
      </c>
      <c r="V7" s="83" t="s">
        <v>145</v>
      </c>
      <c r="W7" s="85">
        <v>0.11598440545808966</v>
      </c>
      <c r="X7" s="83" t="s">
        <v>177</v>
      </c>
      <c r="Y7" s="86">
        <v>0.26315789473684209</v>
      </c>
      <c r="Z7" s="83" t="s">
        <v>172</v>
      </c>
      <c r="AA7" s="86">
        <v>0.28539325842696628</v>
      </c>
      <c r="AB7" s="83" t="s">
        <v>200</v>
      </c>
      <c r="AC7" s="86">
        <v>0.60416666666666663</v>
      </c>
      <c r="AD7" s="83" t="s">
        <v>172</v>
      </c>
      <c r="AE7" s="86">
        <v>0.42125984251968501</v>
      </c>
      <c r="AF7" s="83" t="s">
        <v>184</v>
      </c>
      <c r="AG7" s="86">
        <v>0.48</v>
      </c>
      <c r="AH7" s="83" t="s">
        <v>200</v>
      </c>
      <c r="AI7" s="90">
        <v>106300</v>
      </c>
    </row>
    <row r="8" spans="1:35" x14ac:dyDescent="0.4">
      <c r="A8" s="80">
        <v>6</v>
      </c>
      <c r="B8" s="81" t="s">
        <v>177</v>
      </c>
      <c r="C8" s="82">
        <v>57.399999999999935</v>
      </c>
      <c r="D8" s="83" t="s">
        <v>171</v>
      </c>
      <c r="E8" s="95">
        <v>1.239090909090909</v>
      </c>
      <c r="F8" s="83" t="s">
        <v>145</v>
      </c>
      <c r="G8" s="84">
        <v>2</v>
      </c>
      <c r="H8" s="83" t="s">
        <v>145</v>
      </c>
      <c r="I8" s="85">
        <v>0.33333333333333331</v>
      </c>
      <c r="J8" s="83" t="s">
        <v>177</v>
      </c>
      <c r="K8" s="85">
        <v>0.31404958677685951</v>
      </c>
      <c r="L8" s="83" t="s">
        <v>145</v>
      </c>
      <c r="M8" s="86">
        <v>0.29751872659176032</v>
      </c>
      <c r="N8" s="83" t="s">
        <v>177</v>
      </c>
      <c r="O8" s="86">
        <v>0.1499503475670308</v>
      </c>
      <c r="P8" s="83" t="s">
        <v>177</v>
      </c>
      <c r="Q8" s="87">
        <v>8750.7299270072999</v>
      </c>
      <c r="R8" s="83" t="s">
        <v>172</v>
      </c>
      <c r="S8" s="87">
        <v>-8148.4615384615381</v>
      </c>
      <c r="T8" s="83" t="s">
        <v>171</v>
      </c>
      <c r="U8" s="85">
        <v>0.1</v>
      </c>
      <c r="V8" s="83" t="s">
        <v>129</v>
      </c>
      <c r="W8" s="85">
        <v>0.10614525139664804</v>
      </c>
      <c r="X8" s="83" t="s">
        <v>183</v>
      </c>
      <c r="Y8" s="86">
        <v>0.26315789473684209</v>
      </c>
      <c r="Z8" s="83" t="s">
        <v>184</v>
      </c>
      <c r="AA8" s="86">
        <v>0.24861878453038674</v>
      </c>
      <c r="AB8" s="83" t="s">
        <v>183</v>
      </c>
      <c r="AC8" s="86">
        <v>0.6</v>
      </c>
      <c r="AD8" s="83" t="s">
        <v>171</v>
      </c>
      <c r="AE8" s="86">
        <v>0.40883977900552487</v>
      </c>
      <c r="AF8" s="83" t="s">
        <v>128</v>
      </c>
      <c r="AG8" s="86">
        <v>0.44474393530997303</v>
      </c>
      <c r="AH8" s="83" t="s">
        <v>177</v>
      </c>
      <c r="AI8" s="90">
        <v>103000</v>
      </c>
    </row>
    <row r="9" spans="1:35" x14ac:dyDescent="0.4">
      <c r="A9" s="80">
        <v>7</v>
      </c>
      <c r="B9" s="81" t="s">
        <v>222</v>
      </c>
      <c r="C9" s="82">
        <v>13.3</v>
      </c>
      <c r="D9" s="83" t="s">
        <v>177</v>
      </c>
      <c r="E9" s="95">
        <v>0.47438016528925564</v>
      </c>
      <c r="F9" s="83" t="s">
        <v>222</v>
      </c>
      <c r="G9" s="84">
        <v>2</v>
      </c>
      <c r="H9" s="83" t="s">
        <v>177</v>
      </c>
      <c r="I9" s="85">
        <v>0.33057851239669422</v>
      </c>
      <c r="J9" s="83" t="s">
        <v>145</v>
      </c>
      <c r="K9" s="85">
        <v>0.33333333333333331</v>
      </c>
      <c r="L9" s="83" t="s">
        <v>171</v>
      </c>
      <c r="M9" s="86">
        <v>0.28993435448577681</v>
      </c>
      <c r="N9" s="83" t="s">
        <v>301</v>
      </c>
      <c r="O9" s="86">
        <v>0.15625</v>
      </c>
      <c r="P9" s="83" t="s">
        <v>145</v>
      </c>
      <c r="Q9" s="87">
        <v>8590.5586152635715</v>
      </c>
      <c r="R9" s="83" t="s">
        <v>173</v>
      </c>
      <c r="S9" s="87">
        <v>-8151.4563106796113</v>
      </c>
      <c r="T9" s="83" t="s">
        <v>271</v>
      </c>
      <c r="U9" s="85">
        <v>0.1111111111111111</v>
      </c>
      <c r="V9" s="83" t="s">
        <v>128</v>
      </c>
      <c r="W9" s="85">
        <v>9.815950920245399E-2</v>
      </c>
      <c r="X9" s="83" t="s">
        <v>200</v>
      </c>
      <c r="Y9" s="86">
        <v>0.2513089005235602</v>
      </c>
      <c r="Z9" s="83" t="s">
        <v>127</v>
      </c>
      <c r="AA9" s="86">
        <v>0.21862799776910205</v>
      </c>
      <c r="AB9" s="83" t="s">
        <v>127</v>
      </c>
      <c r="AC9" s="86">
        <v>0.58487084870848705</v>
      </c>
      <c r="AD9" s="83" t="s">
        <v>145</v>
      </c>
      <c r="AE9" s="86">
        <v>0.3973870440936309</v>
      </c>
      <c r="AF9" s="83" t="s">
        <v>177</v>
      </c>
      <c r="AG9" s="86">
        <v>0.44160583941605841</v>
      </c>
      <c r="AH9" s="83" t="s">
        <v>172</v>
      </c>
      <c r="AI9" s="90">
        <v>97500</v>
      </c>
    </row>
    <row r="10" spans="1:35" x14ac:dyDescent="0.4">
      <c r="A10" s="80">
        <v>8</v>
      </c>
      <c r="B10" s="81" t="s">
        <v>145</v>
      </c>
      <c r="C10" s="82">
        <v>4.2632564145606011E-14</v>
      </c>
      <c r="D10" s="83" t="s">
        <v>145</v>
      </c>
      <c r="E10" s="95">
        <v>4.15522067695965E-17</v>
      </c>
      <c r="F10" s="83" t="s">
        <v>171</v>
      </c>
      <c r="G10" s="84">
        <v>2.0181818181818181</v>
      </c>
      <c r="H10" s="83" t="s">
        <v>171</v>
      </c>
      <c r="I10" s="85">
        <v>0.31818181818181818</v>
      </c>
      <c r="J10" s="83" t="s">
        <v>223</v>
      </c>
      <c r="K10" s="85">
        <v>0.33333333333333331</v>
      </c>
      <c r="L10" s="83" t="s">
        <v>173</v>
      </c>
      <c r="M10" s="86">
        <v>0.27788279773156899</v>
      </c>
      <c r="N10" s="83" t="s">
        <v>200</v>
      </c>
      <c r="O10" s="86">
        <v>0.16230366492146597</v>
      </c>
      <c r="P10" s="83" t="s">
        <v>184</v>
      </c>
      <c r="Q10" s="87">
        <v>8434</v>
      </c>
      <c r="R10" s="83" t="s">
        <v>127</v>
      </c>
      <c r="S10" s="87">
        <v>-8208.2089552238813</v>
      </c>
      <c r="T10" s="83" t="s">
        <v>145</v>
      </c>
      <c r="U10" s="85">
        <v>0.11598440545808966</v>
      </c>
      <c r="V10" s="83" t="s">
        <v>172</v>
      </c>
      <c r="W10" s="85">
        <v>9.5238095238095233E-2</v>
      </c>
      <c r="X10" s="83" t="s">
        <v>129</v>
      </c>
      <c r="Y10" s="86">
        <v>0.24535809018567639</v>
      </c>
      <c r="Z10" s="83" t="s">
        <v>173</v>
      </c>
      <c r="AA10" s="86">
        <v>0.21550094517958412</v>
      </c>
      <c r="AB10" s="83" t="s">
        <v>128</v>
      </c>
      <c r="AC10" s="86">
        <v>0.58438287153652391</v>
      </c>
      <c r="AD10" s="83" t="s">
        <v>184</v>
      </c>
      <c r="AE10" s="86">
        <v>0.37777777777777777</v>
      </c>
      <c r="AF10" s="83" t="s">
        <v>145</v>
      </c>
      <c r="AG10" s="86">
        <v>0.43036978756884342</v>
      </c>
      <c r="AH10" s="83" t="s">
        <v>129</v>
      </c>
      <c r="AI10" s="90">
        <v>96900</v>
      </c>
    </row>
    <row r="11" spans="1:35" x14ac:dyDescent="0.4">
      <c r="A11" s="80">
        <v>9</v>
      </c>
      <c r="B11" s="81" t="s">
        <v>301</v>
      </c>
      <c r="C11" s="82">
        <v>-56.2</v>
      </c>
      <c r="D11" s="83" t="s">
        <v>172</v>
      </c>
      <c r="E11" s="95">
        <v>-2.3190476190476197</v>
      </c>
      <c r="F11" s="83" t="s">
        <v>172</v>
      </c>
      <c r="G11" s="84">
        <v>2.0571428571428569</v>
      </c>
      <c r="H11" s="83" t="s">
        <v>129</v>
      </c>
      <c r="I11" s="85">
        <v>0.3016759776536313</v>
      </c>
      <c r="J11" s="83" t="s">
        <v>171</v>
      </c>
      <c r="K11" s="85">
        <v>0.33636363636363636</v>
      </c>
      <c r="L11" s="83" t="s">
        <v>128</v>
      </c>
      <c r="M11" s="86">
        <v>0.27665920954511558</v>
      </c>
      <c r="N11" s="83" t="s">
        <v>145</v>
      </c>
      <c r="O11" s="86">
        <v>0.16713483146067415</v>
      </c>
      <c r="P11" s="83" t="s">
        <v>129</v>
      </c>
      <c r="Q11" s="87">
        <v>8105.035971223022</v>
      </c>
      <c r="R11" s="83" t="s">
        <v>171</v>
      </c>
      <c r="S11" s="87">
        <v>-8357.6687116564426</v>
      </c>
      <c r="T11" s="83" t="s">
        <v>177</v>
      </c>
      <c r="U11" s="85">
        <v>0.12396694214876033</v>
      </c>
      <c r="V11" s="83" t="s">
        <v>177</v>
      </c>
      <c r="W11" s="85">
        <v>9.0909090909090912E-2</v>
      </c>
      <c r="X11" s="83" t="s">
        <v>184</v>
      </c>
      <c r="Y11" s="86">
        <v>0.23204419889502761</v>
      </c>
      <c r="Z11" s="83" t="s">
        <v>145</v>
      </c>
      <c r="AA11" s="86">
        <v>0.21500468164794007</v>
      </c>
      <c r="AB11" s="83" t="s">
        <v>145</v>
      </c>
      <c r="AC11" s="86">
        <v>0.57678729037952337</v>
      </c>
      <c r="AD11" s="83" t="s">
        <v>129</v>
      </c>
      <c r="AE11" s="86">
        <v>0.35737704918032787</v>
      </c>
      <c r="AF11" s="83" t="s">
        <v>271</v>
      </c>
      <c r="AG11" s="86">
        <v>0.42105263157894735</v>
      </c>
      <c r="AH11" s="83" t="s">
        <v>171</v>
      </c>
      <c r="AI11" s="90">
        <v>96000</v>
      </c>
    </row>
    <row r="12" spans="1:35" x14ac:dyDescent="0.4">
      <c r="A12" s="80">
        <v>10</v>
      </c>
      <c r="B12" s="81" t="s">
        <v>172</v>
      </c>
      <c r="C12" s="82">
        <v>-243.50000000000006</v>
      </c>
      <c r="D12" s="83" t="s">
        <v>128</v>
      </c>
      <c r="E12" s="95">
        <v>-3.3079754601226998</v>
      </c>
      <c r="F12" s="83" t="s">
        <v>128</v>
      </c>
      <c r="G12" s="84">
        <v>2.0797546012269938</v>
      </c>
      <c r="H12" s="83" t="s">
        <v>128</v>
      </c>
      <c r="I12" s="85">
        <v>0.26993865030674846</v>
      </c>
      <c r="J12" s="83" t="s">
        <v>128</v>
      </c>
      <c r="K12" s="85">
        <v>0.34969325153374231</v>
      </c>
      <c r="L12" s="83" t="s">
        <v>129</v>
      </c>
      <c r="M12" s="86">
        <v>0.27652519893899202</v>
      </c>
      <c r="N12" s="83" t="s">
        <v>129</v>
      </c>
      <c r="O12" s="86">
        <v>0.17241379310344829</v>
      </c>
      <c r="P12" s="83" t="s">
        <v>200</v>
      </c>
      <c r="Q12" s="87">
        <v>8000</v>
      </c>
      <c r="R12" s="83" t="s">
        <v>129</v>
      </c>
      <c r="S12" s="87">
        <v>-8398.8461538461543</v>
      </c>
      <c r="T12" s="83" t="s">
        <v>128</v>
      </c>
      <c r="U12" s="85">
        <v>0.13496932515337423</v>
      </c>
      <c r="V12" s="83" t="s">
        <v>184</v>
      </c>
      <c r="W12" s="85">
        <v>8.3333333333333329E-2</v>
      </c>
      <c r="X12" s="83" t="s">
        <v>222</v>
      </c>
      <c r="Y12" s="86">
        <v>0.23076923076923078</v>
      </c>
      <c r="Z12" s="83" t="s">
        <v>183</v>
      </c>
      <c r="AA12" s="86">
        <v>0.21052631578947367</v>
      </c>
      <c r="AB12" s="83" t="s">
        <v>173</v>
      </c>
      <c r="AC12" s="86">
        <v>0.57627118644067798</v>
      </c>
      <c r="AD12" s="83" t="s">
        <v>177</v>
      </c>
      <c r="AE12" s="86">
        <v>0.35567010309278352</v>
      </c>
      <c r="AF12" s="83" t="s">
        <v>127</v>
      </c>
      <c r="AG12" s="86">
        <v>0.41818181818181815</v>
      </c>
      <c r="AH12" s="83" t="s">
        <v>223</v>
      </c>
      <c r="AI12" s="90">
        <v>92100</v>
      </c>
    </row>
    <row r="13" spans="1:35" x14ac:dyDescent="0.4">
      <c r="A13" s="80">
        <v>11</v>
      </c>
      <c r="B13" s="81" t="s">
        <v>271</v>
      </c>
      <c r="C13" s="82">
        <v>-292.60000000000002</v>
      </c>
      <c r="D13" s="83" t="s">
        <v>129</v>
      </c>
      <c r="E13" s="95">
        <v>-6.7346368715083811</v>
      </c>
      <c r="F13" s="83" t="s">
        <v>129</v>
      </c>
      <c r="G13" s="84">
        <v>2.1061452513966481</v>
      </c>
      <c r="H13" s="83" t="s">
        <v>173</v>
      </c>
      <c r="I13" s="85">
        <v>0.26229508196721313</v>
      </c>
      <c r="J13" s="83" t="s">
        <v>129</v>
      </c>
      <c r="K13" s="85">
        <v>0.40782122905027934</v>
      </c>
      <c r="L13" s="83" t="s">
        <v>184</v>
      </c>
      <c r="M13" s="86">
        <v>0.27624309392265195</v>
      </c>
      <c r="N13" s="83" t="s">
        <v>171</v>
      </c>
      <c r="O13" s="86">
        <v>0.17833698030634573</v>
      </c>
      <c r="P13" s="83" t="s">
        <v>183</v>
      </c>
      <c r="Q13" s="87">
        <v>7860</v>
      </c>
      <c r="R13" s="83" t="s">
        <v>200</v>
      </c>
      <c r="S13" s="87">
        <v>-8645.1612903225814</v>
      </c>
      <c r="T13" s="83" t="s">
        <v>129</v>
      </c>
      <c r="U13" s="85">
        <v>0.13966480446927373</v>
      </c>
      <c r="V13" s="83" t="s">
        <v>173</v>
      </c>
      <c r="W13" s="85">
        <v>6.5573770491803282E-2</v>
      </c>
      <c r="X13" s="83" t="s">
        <v>173</v>
      </c>
      <c r="Y13" s="86">
        <v>0.22306238185255198</v>
      </c>
      <c r="Z13" s="83" t="s">
        <v>129</v>
      </c>
      <c r="AA13" s="86">
        <v>0.20225464190981432</v>
      </c>
      <c r="AB13" s="83" t="s">
        <v>171</v>
      </c>
      <c r="AC13" s="86">
        <v>0.56370656370656369</v>
      </c>
      <c r="AD13" s="83" t="s">
        <v>173</v>
      </c>
      <c r="AE13" s="86">
        <v>0.33333333333333331</v>
      </c>
      <c r="AF13" s="83" t="s">
        <v>129</v>
      </c>
      <c r="AG13" s="86">
        <v>0.41726618705035973</v>
      </c>
      <c r="AH13" s="83" t="s">
        <v>184</v>
      </c>
      <c r="AI13" s="90">
        <v>92000</v>
      </c>
    </row>
    <row r="14" spans="1:35" x14ac:dyDescent="0.4">
      <c r="A14" s="80">
        <v>12</v>
      </c>
      <c r="B14" s="81" t="s">
        <v>184</v>
      </c>
      <c r="C14" s="82">
        <v>-300.5</v>
      </c>
      <c r="D14" s="83" t="s">
        <v>173</v>
      </c>
      <c r="E14" s="95">
        <v>-9.1901639344262307</v>
      </c>
      <c r="F14" s="83" t="s">
        <v>173</v>
      </c>
      <c r="G14" s="84">
        <v>2.1475409836065573</v>
      </c>
      <c r="H14" s="83" t="s">
        <v>301</v>
      </c>
      <c r="I14" s="85">
        <v>0.25</v>
      </c>
      <c r="J14" s="83" t="s">
        <v>173</v>
      </c>
      <c r="K14" s="85">
        <v>0.4098360655737705</v>
      </c>
      <c r="L14" s="83" t="s">
        <v>177</v>
      </c>
      <c r="M14" s="86">
        <v>0.27209533267130087</v>
      </c>
      <c r="N14" s="83" t="s">
        <v>128</v>
      </c>
      <c r="O14" s="86">
        <v>0.18344519015659955</v>
      </c>
      <c r="P14" s="83" t="s">
        <v>173</v>
      </c>
      <c r="Q14" s="87">
        <v>7610.2040816326535</v>
      </c>
      <c r="R14" s="83" t="s">
        <v>184</v>
      </c>
      <c r="S14" s="87">
        <v>-9878.0487804878048</v>
      </c>
      <c r="T14" s="83" t="s">
        <v>200</v>
      </c>
      <c r="U14" s="85">
        <v>0.14285714285714285</v>
      </c>
      <c r="V14" s="83" t="s">
        <v>200</v>
      </c>
      <c r="W14" s="85">
        <v>4.7619047619047616E-2</v>
      </c>
      <c r="X14" s="83" t="s">
        <v>301</v>
      </c>
      <c r="Y14" s="86">
        <v>0.21875</v>
      </c>
      <c r="Z14" s="83" t="s">
        <v>171</v>
      </c>
      <c r="AA14" s="86">
        <v>0.19803063457330417</v>
      </c>
      <c r="AB14" s="83" t="s">
        <v>172</v>
      </c>
      <c r="AC14" s="86">
        <v>0.55026455026455023</v>
      </c>
      <c r="AD14" s="83" t="s">
        <v>128</v>
      </c>
      <c r="AE14" s="86">
        <v>0.31465517241379309</v>
      </c>
      <c r="AF14" s="83" t="s">
        <v>171</v>
      </c>
      <c r="AG14" s="86">
        <v>0.4037735849056604</v>
      </c>
      <c r="AH14" s="83" t="s">
        <v>301</v>
      </c>
      <c r="AI14" s="90">
        <v>55200</v>
      </c>
    </row>
    <row r="15" spans="1:35" x14ac:dyDescent="0.4">
      <c r="A15" s="80">
        <v>13</v>
      </c>
      <c r="B15" s="81" t="s">
        <v>128</v>
      </c>
      <c r="C15" s="82">
        <v>-539.20000000000005</v>
      </c>
      <c r="D15" s="83" t="s">
        <v>184</v>
      </c>
      <c r="E15" s="95">
        <v>-12.520833333333334</v>
      </c>
      <c r="F15" s="83" t="s">
        <v>184</v>
      </c>
      <c r="G15" s="84">
        <v>2.2083333333333335</v>
      </c>
      <c r="H15" s="83" t="s">
        <v>172</v>
      </c>
      <c r="I15" s="85">
        <v>0.24761904761904763</v>
      </c>
      <c r="J15" s="83" t="s">
        <v>301</v>
      </c>
      <c r="K15" s="85">
        <v>0.5</v>
      </c>
      <c r="L15" s="83" t="s">
        <v>183</v>
      </c>
      <c r="M15" s="86">
        <v>0.26315789473684209</v>
      </c>
      <c r="N15" s="83" t="s">
        <v>173</v>
      </c>
      <c r="O15" s="86">
        <v>0.19470699432892249</v>
      </c>
      <c r="P15" s="83" t="s">
        <v>271</v>
      </c>
      <c r="Q15" s="87">
        <v>6821.0526315789475</v>
      </c>
      <c r="R15" s="83" t="s">
        <v>223</v>
      </c>
      <c r="S15" s="87">
        <v>-10583.333333333334</v>
      </c>
      <c r="T15" s="83" t="s">
        <v>173</v>
      </c>
      <c r="U15" s="85">
        <v>0.16393442622950818</v>
      </c>
      <c r="V15" s="83" t="s">
        <v>183</v>
      </c>
      <c r="W15" s="85">
        <v>0</v>
      </c>
      <c r="X15" s="83" t="s">
        <v>172</v>
      </c>
      <c r="Y15" s="86">
        <v>0.21235955056179776</v>
      </c>
      <c r="Z15" s="83" t="s">
        <v>177</v>
      </c>
      <c r="AA15" s="86">
        <v>0.19265143992055611</v>
      </c>
      <c r="AB15" s="83" t="s">
        <v>129</v>
      </c>
      <c r="AC15" s="86">
        <v>0.54054054054054057</v>
      </c>
      <c r="AD15" s="83" t="s">
        <v>271</v>
      </c>
      <c r="AE15" s="86">
        <v>0.25</v>
      </c>
      <c r="AF15" s="83" t="s">
        <v>172</v>
      </c>
      <c r="AG15" s="86">
        <v>0.39527027027027029</v>
      </c>
      <c r="AH15" s="83" t="s">
        <v>183</v>
      </c>
      <c r="AI15" s="90">
        <v>53500</v>
      </c>
    </row>
    <row r="16" spans="1:35" x14ac:dyDescent="0.4">
      <c r="A16" s="80">
        <v>14</v>
      </c>
      <c r="B16" s="81" t="s">
        <v>173</v>
      </c>
      <c r="C16" s="82">
        <v>-560.6</v>
      </c>
      <c r="D16" s="83" t="s">
        <v>301</v>
      </c>
      <c r="E16" s="95">
        <v>-14.05</v>
      </c>
      <c r="F16" s="83" t="s">
        <v>301</v>
      </c>
      <c r="G16" s="84">
        <v>2.25</v>
      </c>
      <c r="H16" s="83" t="s">
        <v>222</v>
      </c>
      <c r="I16" s="85">
        <v>0</v>
      </c>
      <c r="J16" s="83" t="s">
        <v>184</v>
      </c>
      <c r="K16" s="85">
        <v>0.54166666666666663</v>
      </c>
      <c r="L16" s="83" t="s">
        <v>271</v>
      </c>
      <c r="M16" s="86">
        <v>0.23749999999999999</v>
      </c>
      <c r="N16" s="83" t="s">
        <v>184</v>
      </c>
      <c r="O16" s="86">
        <v>0.22651933701657459</v>
      </c>
      <c r="P16" s="83" t="s">
        <v>172</v>
      </c>
      <c r="Q16" s="87">
        <v>6762.5</v>
      </c>
      <c r="R16" s="83" t="s">
        <v>301</v>
      </c>
      <c r="S16" s="87">
        <v>-11280</v>
      </c>
      <c r="T16" s="83" t="s">
        <v>301</v>
      </c>
      <c r="U16" s="85">
        <v>0.25</v>
      </c>
      <c r="V16" s="83" t="s">
        <v>222</v>
      </c>
      <c r="W16" s="85">
        <v>0</v>
      </c>
      <c r="X16" s="83" t="s">
        <v>271</v>
      </c>
      <c r="Y16" s="86">
        <v>0.17499999999999999</v>
      </c>
      <c r="Z16" s="83" t="s">
        <v>128</v>
      </c>
      <c r="AA16" s="86">
        <v>0.17300521998508575</v>
      </c>
      <c r="AB16" s="83" t="s">
        <v>301</v>
      </c>
      <c r="AC16" s="86">
        <v>0.42857142857142855</v>
      </c>
      <c r="AD16" s="83" t="s">
        <v>301</v>
      </c>
      <c r="AE16" s="86">
        <v>0.25</v>
      </c>
      <c r="AF16" s="83" t="s">
        <v>301</v>
      </c>
      <c r="AG16" s="86">
        <v>0.3</v>
      </c>
      <c r="AH16" s="83" t="s">
        <v>271</v>
      </c>
      <c r="AI16" s="90">
        <v>52800</v>
      </c>
    </row>
    <row r="17" spans="1:35" x14ac:dyDescent="0.4">
      <c r="A17" s="80">
        <v>15</v>
      </c>
      <c r="B17" s="81" t="s">
        <v>129</v>
      </c>
      <c r="C17" s="82">
        <v>-1205.5000000000002</v>
      </c>
      <c r="D17" s="83" t="s">
        <v>271</v>
      </c>
      <c r="E17" s="95">
        <v>-32.511111111111113</v>
      </c>
      <c r="F17" s="83" t="s">
        <v>271</v>
      </c>
      <c r="G17" s="84">
        <v>2.6666666666666665</v>
      </c>
      <c r="H17" s="83" t="s">
        <v>271</v>
      </c>
      <c r="I17" s="85">
        <v>0</v>
      </c>
      <c r="J17" s="83" t="s">
        <v>271</v>
      </c>
      <c r="K17" s="85">
        <v>0.66666666666666663</v>
      </c>
      <c r="L17" s="83" t="s">
        <v>222</v>
      </c>
      <c r="M17" s="86">
        <v>0.15384615384615385</v>
      </c>
      <c r="N17" s="83" t="s">
        <v>271</v>
      </c>
      <c r="O17" s="86">
        <v>0.26250000000000001</v>
      </c>
      <c r="P17" s="83" t="s">
        <v>301</v>
      </c>
      <c r="Q17" s="87">
        <v>4940</v>
      </c>
      <c r="R17" s="83" t="s">
        <v>222</v>
      </c>
      <c r="S17" s="87">
        <v>-12000</v>
      </c>
      <c r="T17" s="83" t="s">
        <v>184</v>
      </c>
      <c r="U17" s="85">
        <v>0.29166666666666669</v>
      </c>
      <c r="V17" s="83" t="s">
        <v>271</v>
      </c>
      <c r="W17" s="85">
        <v>0</v>
      </c>
      <c r="X17" s="83" t="s">
        <v>223</v>
      </c>
      <c r="Y17" s="86">
        <v>0.15217391304347827</v>
      </c>
      <c r="Z17" s="83" t="s">
        <v>222</v>
      </c>
      <c r="AA17" s="86">
        <v>7.6923076923076927E-2</v>
      </c>
      <c r="AB17" s="83" t="s">
        <v>222</v>
      </c>
      <c r="AC17" s="86">
        <v>0.33333333333333331</v>
      </c>
      <c r="AD17" s="83" t="s">
        <v>222</v>
      </c>
      <c r="AE17" s="86">
        <v>0</v>
      </c>
      <c r="AF17" s="83" t="s">
        <v>183</v>
      </c>
      <c r="AG17" s="86">
        <v>0.2</v>
      </c>
      <c r="AH17" s="83" t="s">
        <v>222</v>
      </c>
      <c r="AI17" s="90">
        <v>48300</v>
      </c>
    </row>
  </sheetData>
  <sortState xmlns:xlrd2="http://schemas.microsoft.com/office/spreadsheetml/2017/richdata2" ref="AH3:AI4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E96B3-93D8-4286-A6C8-2B934D147A8C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145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1026</v>
      </c>
      <c r="C2" s="149"/>
      <c r="E2" s="60" t="s">
        <v>67</v>
      </c>
      <c r="F2" s="57" t="s">
        <v>23</v>
      </c>
      <c r="G2" s="44">
        <v>1837</v>
      </c>
      <c r="H2" s="130">
        <f>IF(B$17=0,0,G2/B$17)</f>
        <v>0.72265932336742722</v>
      </c>
      <c r="I2" s="91">
        <v>7</v>
      </c>
      <c r="K2" s="34">
        <v>0</v>
      </c>
      <c r="L2" s="96">
        <v>0</v>
      </c>
      <c r="N2" s="112" t="s">
        <v>132</v>
      </c>
      <c r="O2" s="119">
        <f t="shared" ref="O2:O7" si="0">IF(P2=0,0,Q2/P2)</f>
        <v>-18.572825024437929</v>
      </c>
      <c r="P2" s="116">
        <v>1023</v>
      </c>
      <c r="Q2" s="100">
        <v>-19000</v>
      </c>
    </row>
    <row r="3" spans="1:17" x14ac:dyDescent="0.4">
      <c r="A3" s="53" t="s">
        <v>8</v>
      </c>
      <c r="B3" s="150">
        <v>8544</v>
      </c>
      <c r="C3" s="151"/>
      <c r="E3" s="61" t="s">
        <v>73</v>
      </c>
      <c r="F3" s="58" t="s">
        <v>28</v>
      </c>
      <c r="G3" s="45">
        <v>1310</v>
      </c>
      <c r="H3" s="131">
        <f>IF(B$17=0,0,G3/B$17)</f>
        <v>0.51534225019669555</v>
      </c>
      <c r="I3" s="92">
        <v>9</v>
      </c>
      <c r="K3" s="36">
        <v>1</v>
      </c>
      <c r="L3" s="97">
        <v>-5.0999999999999996</v>
      </c>
      <c r="N3" s="113" t="s">
        <v>133</v>
      </c>
      <c r="O3" s="120">
        <f t="shared" si="0"/>
        <v>-6.9860279441117763</v>
      </c>
      <c r="P3" s="117">
        <v>1002</v>
      </c>
      <c r="Q3" s="101">
        <v>-7000</v>
      </c>
    </row>
    <row r="4" spans="1:17" x14ac:dyDescent="0.4">
      <c r="A4" s="53" t="s">
        <v>6</v>
      </c>
      <c r="B4" s="152">
        <v>4.2632564145606011E-14</v>
      </c>
      <c r="C4" s="153"/>
      <c r="E4" s="61" t="s">
        <v>65</v>
      </c>
      <c r="F4" s="58" t="s">
        <v>21</v>
      </c>
      <c r="G4" s="45">
        <v>1244</v>
      </c>
      <c r="H4" s="131">
        <f>IF(B$17=0,0,G4/B$17)</f>
        <v>0.48937844217151849</v>
      </c>
      <c r="I4" s="92">
        <v>8</v>
      </c>
      <c r="K4" s="36">
        <v>2</v>
      </c>
      <c r="L4" s="97">
        <v>40.4</v>
      </c>
      <c r="N4" s="113" t="s">
        <v>134</v>
      </c>
      <c r="O4" s="120">
        <f t="shared" si="0"/>
        <v>14.861995753715499</v>
      </c>
      <c r="P4" s="117">
        <v>942</v>
      </c>
      <c r="Q4" s="101">
        <v>14000</v>
      </c>
    </row>
    <row r="5" spans="1:17" x14ac:dyDescent="0.4">
      <c r="A5" s="53" t="s">
        <v>7</v>
      </c>
      <c r="B5" s="154">
        <f>IF(B$2=0,0,B$4/B$2)</f>
        <v>4.15522067695965E-17</v>
      </c>
      <c r="C5" s="155"/>
      <c r="E5" s="61" t="s">
        <v>245</v>
      </c>
      <c r="F5" s="58" t="s">
        <v>246</v>
      </c>
      <c r="G5" s="45">
        <v>1024</v>
      </c>
      <c r="H5" s="131">
        <f>IF(B$17=0,0,G5/B$17)</f>
        <v>0.4028324154209284</v>
      </c>
      <c r="I5" s="92">
        <v>7</v>
      </c>
      <c r="K5" s="36">
        <v>3</v>
      </c>
      <c r="L5" s="97">
        <v>0</v>
      </c>
      <c r="N5" s="113" t="s">
        <v>135</v>
      </c>
      <c r="O5" s="120">
        <f t="shared" si="0"/>
        <v>4.6136101499423301</v>
      </c>
      <c r="P5" s="117">
        <v>867</v>
      </c>
      <c r="Q5" s="101">
        <v>4000</v>
      </c>
    </row>
    <row r="6" spans="1:17" x14ac:dyDescent="0.4">
      <c r="A6" s="53" t="s">
        <v>1</v>
      </c>
      <c r="B6" s="144">
        <f>IF(B$2=0,0,(B$7*1+B$8*2+B$9*3)/B$2)</f>
        <v>2</v>
      </c>
      <c r="C6" s="145"/>
      <c r="E6" s="61" t="s">
        <v>69</v>
      </c>
      <c r="F6" s="58" t="s">
        <v>12</v>
      </c>
      <c r="G6" s="45">
        <v>787</v>
      </c>
      <c r="H6" s="131">
        <f>IF(B$17=0,0,G6/B$17)</f>
        <v>0.30959874114870178</v>
      </c>
      <c r="I6" s="92">
        <v>8</v>
      </c>
      <c r="K6" s="36">
        <v>4</v>
      </c>
      <c r="L6" s="97">
        <v>2.2000000000000002</v>
      </c>
      <c r="N6" s="113" t="s">
        <v>136</v>
      </c>
      <c r="O6" s="120">
        <f t="shared" si="0"/>
        <v>-10.296010296010296</v>
      </c>
      <c r="P6" s="117">
        <v>777</v>
      </c>
      <c r="Q6" s="101">
        <v>-8000</v>
      </c>
    </row>
    <row r="7" spans="1:17" x14ac:dyDescent="0.4">
      <c r="A7" s="53" t="s">
        <v>2</v>
      </c>
      <c r="B7" s="45">
        <v>342</v>
      </c>
      <c r="C7" s="37">
        <f t="shared" ref="C7:C12" si="1">IF(B$2=0,0,B7/B$2)</f>
        <v>0.33333333333333331</v>
      </c>
      <c r="E7" s="61" t="s">
        <v>68</v>
      </c>
      <c r="F7" s="58" t="s">
        <v>24</v>
      </c>
      <c r="G7" s="45">
        <v>759</v>
      </c>
      <c r="H7" s="131">
        <f>IF(B$17=0,0,G7/B$17)</f>
        <v>0.2985837922895358</v>
      </c>
      <c r="I7" s="92">
        <v>8</v>
      </c>
      <c r="K7" s="36">
        <v>5</v>
      </c>
      <c r="L7" s="97">
        <v>-37</v>
      </c>
      <c r="N7" s="114" t="s">
        <v>137</v>
      </c>
      <c r="O7" s="121">
        <f t="shared" si="0"/>
        <v>23.703703703703702</v>
      </c>
      <c r="P7" s="118">
        <v>675</v>
      </c>
      <c r="Q7" s="102">
        <v>16000</v>
      </c>
    </row>
    <row r="8" spans="1:17" x14ac:dyDescent="0.4">
      <c r="A8" s="53" t="s">
        <v>3</v>
      </c>
      <c r="B8" s="45">
        <v>342</v>
      </c>
      <c r="C8" s="37">
        <f t="shared" si="1"/>
        <v>0.33333333333333331</v>
      </c>
      <c r="E8" s="61" t="s">
        <v>70</v>
      </c>
      <c r="F8" s="58" t="s">
        <v>25</v>
      </c>
      <c r="G8" s="45">
        <v>416</v>
      </c>
      <c r="H8" s="131">
        <f>IF(B$17=0,0,G8/B$17)</f>
        <v>0.16365066876475218</v>
      </c>
      <c r="I8" s="92">
        <v>4</v>
      </c>
      <c r="K8" s="36">
        <v>6</v>
      </c>
      <c r="L8" s="97">
        <v>0</v>
      </c>
      <c r="N8" s="41"/>
      <c r="O8" s="125"/>
      <c r="P8" s="109"/>
      <c r="Q8" s="107"/>
    </row>
    <row r="9" spans="1:17" x14ac:dyDescent="0.4">
      <c r="A9" s="54" t="s">
        <v>4</v>
      </c>
      <c r="B9" s="46">
        <v>342</v>
      </c>
      <c r="C9" s="38">
        <f t="shared" si="1"/>
        <v>0.33333333333333331</v>
      </c>
      <c r="E9" s="61" t="s">
        <v>90</v>
      </c>
      <c r="F9" s="58" t="s">
        <v>45</v>
      </c>
      <c r="G9" s="45">
        <v>331</v>
      </c>
      <c r="H9" s="131">
        <f>IF(B$17=0,0,G9/B$17)</f>
        <v>0.13021243115656964</v>
      </c>
      <c r="I9" s="92">
        <v>6</v>
      </c>
      <c r="K9" s="36">
        <v>7</v>
      </c>
      <c r="L9" s="97">
        <v>73.3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119</v>
      </c>
      <c r="C10" s="38">
        <f t="shared" si="1"/>
        <v>0.11598440545808966</v>
      </c>
      <c r="E10" s="61" t="s">
        <v>66</v>
      </c>
      <c r="F10" s="58" t="s">
        <v>22</v>
      </c>
      <c r="G10" s="45">
        <v>278</v>
      </c>
      <c r="H10" s="131">
        <f>IF(B$17=0,0,G10/B$17)</f>
        <v>0.10936270653029111</v>
      </c>
      <c r="I10" s="92">
        <v>5</v>
      </c>
      <c r="K10" s="36">
        <v>8</v>
      </c>
      <c r="L10" s="97">
        <v>19.699999999999996</v>
      </c>
      <c r="N10" s="112" t="s">
        <v>164</v>
      </c>
      <c r="O10" s="122">
        <f>IF(P10=0,0,Q10/P10)</f>
        <v>-1.9321637426900564</v>
      </c>
      <c r="P10" s="116">
        <v>342</v>
      </c>
      <c r="Q10" s="104">
        <v>-660.79999999999927</v>
      </c>
    </row>
    <row r="11" spans="1:17" x14ac:dyDescent="0.4">
      <c r="A11" s="54" t="s">
        <v>140</v>
      </c>
      <c r="B11" s="46">
        <v>119</v>
      </c>
      <c r="C11" s="38">
        <f t="shared" si="1"/>
        <v>0.11598440545808966</v>
      </c>
      <c r="E11" s="61" t="s">
        <v>71</v>
      </c>
      <c r="F11" s="58" t="s">
        <v>26</v>
      </c>
      <c r="G11" s="45">
        <v>256</v>
      </c>
      <c r="H11" s="131">
        <f>IF(B$17=0,0,G11/B$17)</f>
        <v>0.1007081038552321</v>
      </c>
      <c r="I11" s="92">
        <v>5</v>
      </c>
      <c r="K11" s="36">
        <v>9</v>
      </c>
      <c r="L11" s="97">
        <v>-3.5527136788005009E-15</v>
      </c>
      <c r="N11" s="113" t="s">
        <v>165</v>
      </c>
      <c r="O11" s="123">
        <f>IF(P11=0,0,Q11/P11)</f>
        <v>0.36754385964912339</v>
      </c>
      <c r="P11" s="117">
        <v>342</v>
      </c>
      <c r="Q11" s="105">
        <v>125.7000000000002</v>
      </c>
    </row>
    <row r="12" spans="1:17" x14ac:dyDescent="0.4">
      <c r="A12" s="55" t="s">
        <v>160</v>
      </c>
      <c r="B12" s="47">
        <v>90</v>
      </c>
      <c r="C12" s="40">
        <f t="shared" si="1"/>
        <v>8.771929824561403E-2</v>
      </c>
      <c r="E12" s="61" t="s">
        <v>72</v>
      </c>
      <c r="F12" s="58" t="s">
        <v>27</v>
      </c>
      <c r="G12" s="45">
        <v>172</v>
      </c>
      <c r="H12" s="131">
        <f>IF(B$17=0,0,G12/B$17)</f>
        <v>6.7663257277734062E-2</v>
      </c>
      <c r="I12" s="92">
        <v>6</v>
      </c>
      <c r="K12" s="36">
        <v>10</v>
      </c>
      <c r="L12" s="97">
        <v>40.099999999999994</v>
      </c>
      <c r="N12" s="114" t="s">
        <v>166</v>
      </c>
      <c r="O12" s="124">
        <f>IF(P12=0,0,Q12/P12)</f>
        <v>1.5646198830409361</v>
      </c>
      <c r="P12" s="118">
        <v>342</v>
      </c>
      <c r="Q12" s="106">
        <v>535.10000000000014</v>
      </c>
    </row>
    <row r="13" spans="1:17" x14ac:dyDescent="0.4">
      <c r="A13" s="56" t="s">
        <v>122</v>
      </c>
      <c r="B13" s="48">
        <v>2266</v>
      </c>
      <c r="C13" s="42">
        <f>IF(B$3=0,0,B13/B$3)</f>
        <v>0.26521535580524347</v>
      </c>
      <c r="E13" s="61" t="s">
        <v>87</v>
      </c>
      <c r="F13" s="58" t="s">
        <v>42</v>
      </c>
      <c r="G13" s="45">
        <v>151</v>
      </c>
      <c r="H13" s="131">
        <f>IF(B$17=0,0,G13/B$17)</f>
        <v>5.940204563335956E-2</v>
      </c>
      <c r="I13" s="92">
        <v>7</v>
      </c>
      <c r="K13" s="36">
        <v>11</v>
      </c>
      <c r="L13" s="97">
        <v>-11.100000000000009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1837</v>
      </c>
      <c r="C14" s="37">
        <f>IF(B$3=0,0,B14/B$3)</f>
        <v>0.21500468164794007</v>
      </c>
      <c r="E14" s="61" t="s">
        <v>84</v>
      </c>
      <c r="F14" s="58" t="s">
        <v>39</v>
      </c>
      <c r="G14" s="45">
        <v>121</v>
      </c>
      <c r="H14" s="131">
        <f>IF(B$17=0,0,G14/B$17)</f>
        <v>4.7600314712824547E-2</v>
      </c>
      <c r="I14" s="92">
        <v>7</v>
      </c>
      <c r="K14" s="36">
        <v>12</v>
      </c>
      <c r="L14" s="97">
        <v>-8.8817841970012523E-15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1307</v>
      </c>
      <c r="C15" s="35">
        <f>IF(B$13=0,0,B15/B$13)</f>
        <v>0.57678729037952337</v>
      </c>
      <c r="E15" s="61" t="s">
        <v>79</v>
      </c>
      <c r="F15" s="58" t="s">
        <v>34</v>
      </c>
      <c r="G15" s="45">
        <v>71</v>
      </c>
      <c r="H15" s="131">
        <f>IF(B$17=0,0,G15/B$17)</f>
        <v>2.7930763178599528E-2</v>
      </c>
      <c r="I15" s="92">
        <v>7</v>
      </c>
      <c r="K15" s="36">
        <v>13</v>
      </c>
      <c r="L15" s="97">
        <v>-42.100000000000009</v>
      </c>
      <c r="N15" s="112" t="s">
        <v>271</v>
      </c>
      <c r="O15" s="122">
        <f>IF(P15=0,0,Q15/P15)</f>
        <v>48.766666666666659</v>
      </c>
      <c r="P15" s="116">
        <v>18</v>
      </c>
      <c r="Q15" s="104">
        <v>877.79999999999984</v>
      </c>
    </row>
    <row r="16" spans="1:17" x14ac:dyDescent="0.4">
      <c r="A16" s="52" t="s">
        <v>125</v>
      </c>
      <c r="B16" s="44">
        <v>730</v>
      </c>
      <c r="C16" s="35">
        <f>IF(B$14=0,0,B16/B$14)</f>
        <v>0.3973870440936309</v>
      </c>
      <c r="E16" s="61" t="s">
        <v>82</v>
      </c>
      <c r="F16" s="58" t="s">
        <v>37</v>
      </c>
      <c r="G16" s="45">
        <v>63</v>
      </c>
      <c r="H16" s="131">
        <f>IF(B$17=0,0,G16/B$17)</f>
        <v>2.4783634933123525E-2</v>
      </c>
      <c r="I16" s="92">
        <v>8</v>
      </c>
      <c r="K16" s="36">
        <v>14</v>
      </c>
      <c r="L16" s="97">
        <v>18.79999999999999</v>
      </c>
      <c r="N16" s="113" t="s">
        <v>301</v>
      </c>
      <c r="O16" s="123">
        <f>IF(P16=0,0,Q16/P16)</f>
        <v>21.074999999999996</v>
      </c>
      <c r="P16" s="117">
        <v>8</v>
      </c>
      <c r="Q16" s="105">
        <v>168.59999999999997</v>
      </c>
    </row>
    <row r="17" spans="1:17" x14ac:dyDescent="0.4">
      <c r="A17" s="52" t="s">
        <v>10</v>
      </c>
      <c r="B17" s="44">
        <f>B19+B18</f>
        <v>2542</v>
      </c>
      <c r="C17" s="35">
        <f>IF(B$3=0,0,B17/B$3)</f>
        <v>0.29751872659176032</v>
      </c>
      <c r="E17" s="61" t="s">
        <v>92</v>
      </c>
      <c r="F17" s="58" t="s">
        <v>47</v>
      </c>
      <c r="G17" s="45">
        <v>52</v>
      </c>
      <c r="H17" s="131">
        <f>IF(B$17=0,0,G17/B$17)</f>
        <v>2.0456333595594022E-2</v>
      </c>
      <c r="I17" s="92">
        <v>5</v>
      </c>
      <c r="K17" s="36">
        <v>15</v>
      </c>
      <c r="L17" s="97">
        <v>-1.0658141036401503E-14</v>
      </c>
      <c r="N17" s="113" t="s">
        <v>184</v>
      </c>
      <c r="O17" s="123">
        <f>IF(P17=0,0,Q17/P17)</f>
        <v>18.781250000000004</v>
      </c>
      <c r="P17" s="117">
        <v>48</v>
      </c>
      <c r="Q17" s="105">
        <v>901.50000000000023</v>
      </c>
    </row>
    <row r="18" spans="1:17" x14ac:dyDescent="0.4">
      <c r="A18" s="53" t="s">
        <v>12</v>
      </c>
      <c r="B18" s="45">
        <v>1094</v>
      </c>
      <c r="C18" s="37">
        <f>IF(B$17=0,0,B18/B$17)</f>
        <v>0.43036978756884342</v>
      </c>
      <c r="E18" s="61" t="s">
        <v>180</v>
      </c>
      <c r="F18" s="58" t="s">
        <v>181</v>
      </c>
      <c r="G18" s="45">
        <v>46</v>
      </c>
      <c r="H18" s="131">
        <f>IF(B$17=0,0,G18/B$17)</f>
        <v>1.8095987411487019E-2</v>
      </c>
      <c r="I18" s="92">
        <v>6</v>
      </c>
      <c r="K18" s="36">
        <v>16</v>
      </c>
      <c r="L18" s="97">
        <v>90.899999999999991</v>
      </c>
      <c r="N18" s="113" t="s">
        <v>173</v>
      </c>
      <c r="O18" s="123">
        <f>IF(P18=0,0,Q18/P18)</f>
        <v>13.785245901639341</v>
      </c>
      <c r="P18" s="117">
        <v>122</v>
      </c>
      <c r="Q18" s="105">
        <v>1681.7999999999995</v>
      </c>
    </row>
    <row r="19" spans="1:17" x14ac:dyDescent="0.4">
      <c r="A19" s="53" t="s">
        <v>11</v>
      </c>
      <c r="B19" s="45">
        <v>1448</v>
      </c>
      <c r="C19" s="37">
        <f>IF(B$17=0,0,B19/B$17)</f>
        <v>0.56963021243115652</v>
      </c>
      <c r="E19" s="61" t="s">
        <v>80</v>
      </c>
      <c r="F19" s="58" t="s">
        <v>35</v>
      </c>
      <c r="G19" s="45">
        <v>43</v>
      </c>
      <c r="H19" s="131">
        <f>IF(B$17=0,0,G19/B$17)</f>
        <v>1.6915814319433516E-2</v>
      </c>
      <c r="I19" s="92">
        <v>6</v>
      </c>
      <c r="K19" s="36">
        <v>17</v>
      </c>
      <c r="L19" s="97">
        <v>8.2999999999999972</v>
      </c>
      <c r="N19" s="113" t="s">
        <v>129</v>
      </c>
      <c r="O19" s="123">
        <f>IF(P19=0,0,Q19/P19)</f>
        <v>10.101955307262594</v>
      </c>
      <c r="P19" s="117">
        <v>358</v>
      </c>
      <c r="Q19" s="105">
        <v>3616.5000000000086</v>
      </c>
    </row>
    <row r="20" spans="1:17" x14ac:dyDescent="0.4">
      <c r="A20" s="53" t="s">
        <v>13</v>
      </c>
      <c r="B20" s="45">
        <v>1428</v>
      </c>
      <c r="C20" s="37">
        <f>IF(B$3=0,0,B20/B$3)</f>
        <v>0.16713483146067415</v>
      </c>
      <c r="E20" s="61" t="s">
        <v>78</v>
      </c>
      <c r="F20" s="58" t="s">
        <v>33</v>
      </c>
      <c r="G20" s="45">
        <v>20</v>
      </c>
      <c r="H20" s="131">
        <f>IF(B$17=0,0,G20/B$17)</f>
        <v>7.8678206136900079E-3</v>
      </c>
      <c r="I20" s="92">
        <v>4</v>
      </c>
      <c r="K20" s="36">
        <v>18</v>
      </c>
      <c r="L20" s="97">
        <v>-3.5527136788005009E-15</v>
      </c>
      <c r="N20" s="113" t="s">
        <v>128</v>
      </c>
      <c r="O20" s="123">
        <f>IF(P20=0,0,Q20/P20)</f>
        <v>4.9619631901840506</v>
      </c>
      <c r="P20" s="117">
        <v>326</v>
      </c>
      <c r="Q20" s="105">
        <v>1617.6000000000004</v>
      </c>
    </row>
    <row r="21" spans="1:17" x14ac:dyDescent="0.4">
      <c r="A21" s="53" t="s">
        <v>191</v>
      </c>
      <c r="B21" s="45">
        <v>7</v>
      </c>
      <c r="C21" s="133">
        <v>0</v>
      </c>
      <c r="E21" s="61" t="s">
        <v>74</v>
      </c>
      <c r="F21" s="58" t="s">
        <v>29</v>
      </c>
      <c r="G21" s="45">
        <v>16</v>
      </c>
      <c r="H21" s="131">
        <f>IF(B$17=0,0,G21/B$17)</f>
        <v>6.2942564909520063E-3</v>
      </c>
      <c r="I21" s="92">
        <v>6</v>
      </c>
      <c r="K21" s="36">
        <v>19</v>
      </c>
      <c r="L21" s="97">
        <v>30.999999999999996</v>
      </c>
      <c r="N21" s="113" t="s">
        <v>172</v>
      </c>
      <c r="O21" s="123">
        <f>IF(P21=0,0,Q21/P21)</f>
        <v>3.4785714285714282</v>
      </c>
      <c r="P21" s="117">
        <v>210</v>
      </c>
      <c r="Q21" s="105">
        <v>730.49999999999989</v>
      </c>
    </row>
    <row r="22" spans="1:17" x14ac:dyDescent="0.4">
      <c r="A22" s="53" t="s">
        <v>192</v>
      </c>
      <c r="B22" s="45">
        <v>31</v>
      </c>
      <c r="C22" s="133">
        <v>4</v>
      </c>
      <c r="E22" s="61" t="s">
        <v>76</v>
      </c>
      <c r="F22" s="58" t="s">
        <v>31</v>
      </c>
      <c r="G22" s="45">
        <v>15</v>
      </c>
      <c r="H22" s="131">
        <f>IF(B$17=0,0,G22/B$17)</f>
        <v>5.9008654602675063E-3</v>
      </c>
      <c r="I22" s="92">
        <v>6</v>
      </c>
      <c r="K22" s="36">
        <v>20</v>
      </c>
      <c r="L22" s="97">
        <v>0.79999999999999716</v>
      </c>
      <c r="N22" s="113" t="s">
        <v>177</v>
      </c>
      <c r="O22" s="123">
        <f>IF(P22=0,0,Q22/P22)</f>
        <v>-0.71157024793388612</v>
      </c>
      <c r="P22" s="117">
        <v>242</v>
      </c>
      <c r="Q22" s="105">
        <v>-172.20000000000044</v>
      </c>
    </row>
    <row r="23" spans="1:17" x14ac:dyDescent="0.4">
      <c r="A23" s="53" t="s">
        <v>5</v>
      </c>
      <c r="B23" s="49">
        <f>IF(B$17=0,0,C23/B$17)</f>
        <v>8590.5586152635715</v>
      </c>
      <c r="C23" s="39">
        <v>21837200</v>
      </c>
      <c r="E23" s="61" t="s">
        <v>86</v>
      </c>
      <c r="F23" s="58" t="s">
        <v>41</v>
      </c>
      <c r="G23" s="45">
        <v>12</v>
      </c>
      <c r="H23" s="131">
        <f>IF(B$17=0,0,G23/B$17)</f>
        <v>4.7206923682140047E-3</v>
      </c>
      <c r="I23" s="92">
        <v>3</v>
      </c>
      <c r="K23" s="36">
        <v>21</v>
      </c>
      <c r="L23" s="97">
        <v>-2.886579864025407E-15</v>
      </c>
      <c r="N23" s="113" t="s">
        <v>171</v>
      </c>
      <c r="O23" s="123">
        <f>IF(P23=0,0,Q23/P23)</f>
        <v>-1.8586363636363616</v>
      </c>
      <c r="P23" s="117">
        <v>220</v>
      </c>
      <c r="Q23" s="105">
        <v>-408.89999999999958</v>
      </c>
    </row>
    <row r="24" spans="1:17" x14ac:dyDescent="0.4">
      <c r="A24" s="53" t="s">
        <v>14</v>
      </c>
      <c r="B24" s="49">
        <f>IF(B$20=0,0,C24/B$20)</f>
        <v>-8093.2072829131648</v>
      </c>
      <c r="C24" s="39">
        <v>-11557100</v>
      </c>
      <c r="E24" s="61" t="s">
        <v>75</v>
      </c>
      <c r="F24" s="58" t="s">
        <v>30</v>
      </c>
      <c r="G24" s="45">
        <v>10</v>
      </c>
      <c r="H24" s="131">
        <f>IF(B$17=0,0,G24/B$17)</f>
        <v>3.9339103068450039E-3</v>
      </c>
      <c r="I24" s="92">
        <v>6</v>
      </c>
      <c r="K24" s="36">
        <v>22</v>
      </c>
      <c r="L24" s="97">
        <v>23.699999999999996</v>
      </c>
      <c r="N24" s="113" t="s">
        <v>200</v>
      </c>
      <c r="O24" s="123">
        <f>IF(P24=0,0,Q24/P24)</f>
        <v>-5.9142857142857093</v>
      </c>
      <c r="P24" s="117">
        <v>42</v>
      </c>
      <c r="Q24" s="105">
        <v>-248.39999999999981</v>
      </c>
    </row>
    <row r="25" spans="1:17" x14ac:dyDescent="0.4">
      <c r="A25" s="53" t="s">
        <v>305</v>
      </c>
      <c r="B25" s="49">
        <f>IF($B$17-B$16=0,0,C25/($B$17-B$16))</f>
        <v>9065.9492273730684</v>
      </c>
      <c r="C25" s="39">
        <v>16427500</v>
      </c>
      <c r="E25" s="61" t="s">
        <v>93</v>
      </c>
      <c r="F25" s="58" t="s">
        <v>48</v>
      </c>
      <c r="G25" s="45">
        <v>10</v>
      </c>
      <c r="H25" s="131">
        <f>IF(B$17=0,0,G25/B$17)</f>
        <v>3.9339103068450039E-3</v>
      </c>
      <c r="I25" s="92">
        <v>3</v>
      </c>
      <c r="K25" s="36">
        <v>23</v>
      </c>
      <c r="L25" s="97">
        <v>26.299999999999997</v>
      </c>
      <c r="N25" s="113" t="s">
        <v>127</v>
      </c>
      <c r="O25" s="123">
        <f>IF(P25=0,0,Q25/P25)</f>
        <v>-18.81438356164383</v>
      </c>
      <c r="P25" s="117">
        <v>438</v>
      </c>
      <c r="Q25" s="105">
        <v>-8240.6999999999971</v>
      </c>
    </row>
    <row r="26" spans="1:17" x14ac:dyDescent="0.4">
      <c r="A26" s="55" t="s">
        <v>304</v>
      </c>
      <c r="B26" s="50">
        <f>IF(B$16=0,0,C26/B$16)</f>
        <v>7410.5479452054797</v>
      </c>
      <c r="C26" s="43">
        <v>5409700</v>
      </c>
      <c r="E26" s="61" t="s">
        <v>88</v>
      </c>
      <c r="F26" s="58" t="s">
        <v>43</v>
      </c>
      <c r="G26" s="45">
        <v>7</v>
      </c>
      <c r="H26" s="131">
        <f>IF(B$17=0,0,G26/B$17)</f>
        <v>2.7537372147915028E-3</v>
      </c>
      <c r="I26" s="92">
        <v>5</v>
      </c>
      <c r="K26" s="36">
        <v>24</v>
      </c>
      <c r="L26" s="97">
        <v>-3.5527136788005009E-15</v>
      </c>
      <c r="N26" s="113" t="s">
        <v>222</v>
      </c>
      <c r="O26" s="123">
        <f>IF(P26=0,0,Q26/P26)</f>
        <v>-19.950000000000003</v>
      </c>
      <c r="P26" s="117">
        <v>2</v>
      </c>
      <c r="Q26" s="105">
        <v>-39.900000000000006</v>
      </c>
    </row>
    <row r="27" spans="1:17" x14ac:dyDescent="0.4">
      <c r="A27" s="88" t="s">
        <v>142</v>
      </c>
      <c r="B27" s="142">
        <v>8</v>
      </c>
      <c r="C27" s="143"/>
      <c r="E27" s="61" t="s">
        <v>94</v>
      </c>
      <c r="F27" s="58" t="s">
        <v>49</v>
      </c>
      <c r="G27" s="45">
        <v>7</v>
      </c>
      <c r="H27" s="131">
        <f>IF(B$17=0,0,G27/B$17)</f>
        <v>2.7537372147915028E-3</v>
      </c>
      <c r="I27" s="92">
        <v>5</v>
      </c>
      <c r="K27" s="36">
        <v>25</v>
      </c>
      <c r="L27" s="97">
        <v>-31.300000000000004</v>
      </c>
      <c r="N27" s="113" t="s">
        <v>223</v>
      </c>
      <c r="O27" s="123">
        <f>IF(P27=0,0,Q27/P27)</f>
        <v>-25.099999999999998</v>
      </c>
      <c r="P27" s="117">
        <v>12</v>
      </c>
      <c r="Q27" s="105">
        <v>-301.2</v>
      </c>
    </row>
    <row r="28" spans="1:17" x14ac:dyDescent="0.4">
      <c r="A28" s="56" t="s">
        <v>152</v>
      </c>
      <c r="B28" s="140">
        <v>116000</v>
      </c>
      <c r="C28" s="141"/>
      <c r="E28" s="61" t="s">
        <v>85</v>
      </c>
      <c r="F28" s="58" t="s">
        <v>40</v>
      </c>
      <c r="G28" s="45">
        <v>6</v>
      </c>
      <c r="H28" s="131">
        <f>IF(B$17=0,0,G28/B$17)</f>
        <v>2.3603461841070024E-3</v>
      </c>
      <c r="I28" s="92">
        <v>4</v>
      </c>
      <c r="K28" s="36">
        <v>26</v>
      </c>
      <c r="L28" s="97">
        <v>1.8999999999999986</v>
      </c>
      <c r="N28" s="113" t="s">
        <v>183</v>
      </c>
      <c r="O28" s="123">
        <f>IF(P28=0,0,Q28/P28)</f>
        <v>-30.5</v>
      </c>
      <c r="P28" s="117">
        <v>6</v>
      </c>
      <c r="Q28" s="105">
        <v>-183</v>
      </c>
    </row>
    <row r="29" spans="1:17" x14ac:dyDescent="0.4">
      <c r="A29" s="55" t="s">
        <v>143</v>
      </c>
      <c r="B29" s="63">
        <v>22</v>
      </c>
      <c r="C29" s="40">
        <f>IF(B$3=0,0,B29/B$3)</f>
        <v>2.5749063670411983E-3</v>
      </c>
      <c r="E29" s="61" t="s">
        <v>91</v>
      </c>
      <c r="F29" s="58" t="s">
        <v>46</v>
      </c>
      <c r="G29" s="45">
        <v>6</v>
      </c>
      <c r="H29" s="131">
        <f>IF(B$17=0,0,G29/B$17)</f>
        <v>2.3603461841070024E-3</v>
      </c>
      <c r="I29" s="92">
        <v>4</v>
      </c>
      <c r="K29" s="36">
        <v>27</v>
      </c>
      <c r="L29" s="97">
        <v>-1.3322676295501878E-15</v>
      </c>
    </row>
    <row r="30" spans="1:17" x14ac:dyDescent="0.4">
      <c r="E30" s="61" t="s">
        <v>89</v>
      </c>
      <c r="F30" s="58" t="s">
        <v>44</v>
      </c>
      <c r="G30" s="45">
        <v>4</v>
      </c>
      <c r="H30" s="131">
        <f>IF(B$17=0,0,G30/B$17)</f>
        <v>1.5735641227380016E-3</v>
      </c>
      <c r="I30" s="92">
        <v>4</v>
      </c>
      <c r="K30" s="36">
        <v>28</v>
      </c>
      <c r="L30" s="97">
        <v>-58.3</v>
      </c>
    </row>
    <row r="31" spans="1:17" x14ac:dyDescent="0.4">
      <c r="E31" s="61" t="s">
        <v>96</v>
      </c>
      <c r="F31" s="58" t="s">
        <v>51</v>
      </c>
      <c r="G31" s="45">
        <v>2</v>
      </c>
      <c r="H31" s="131">
        <f>IF(B$17=0,0,G31/B$17)</f>
        <v>7.8678206136900079E-4</v>
      </c>
      <c r="I31" s="92">
        <v>3</v>
      </c>
      <c r="K31" s="36">
        <v>29</v>
      </c>
      <c r="L31" s="97">
        <v>-9.5</v>
      </c>
    </row>
    <row r="32" spans="1:17" x14ac:dyDescent="0.4">
      <c r="E32" s="61" t="s">
        <v>98</v>
      </c>
      <c r="F32" s="58" t="s">
        <v>53</v>
      </c>
      <c r="G32" s="45">
        <v>1</v>
      </c>
      <c r="H32" s="131">
        <f>IF(B$17=0,0,G32/B$17)</f>
        <v>3.9339103068450039E-4</v>
      </c>
      <c r="I32" s="92">
        <v>2</v>
      </c>
      <c r="K32" s="36">
        <v>30</v>
      </c>
      <c r="L32" s="97">
        <v>0</v>
      </c>
    </row>
    <row r="33" spans="5:12" x14ac:dyDescent="0.4">
      <c r="E33" s="61" t="s">
        <v>102</v>
      </c>
      <c r="F33" s="58" t="s">
        <v>57</v>
      </c>
      <c r="G33" s="45">
        <v>1</v>
      </c>
      <c r="H33" s="131">
        <f>IF(B$17=0,0,G33/B$17)</f>
        <v>3.9339103068450039E-4</v>
      </c>
      <c r="I33" s="92">
        <v>2</v>
      </c>
      <c r="K33" s="36">
        <v>31</v>
      </c>
      <c r="L33" s="97">
        <v>29.1</v>
      </c>
    </row>
    <row r="34" spans="5:12" x14ac:dyDescent="0.4">
      <c r="E34" s="61" t="s">
        <v>107</v>
      </c>
      <c r="F34" s="58" t="s">
        <v>114</v>
      </c>
      <c r="G34" s="45">
        <v>1</v>
      </c>
      <c r="H34" s="131">
        <f>IF(B$17=0,0,G34/B$17)</f>
        <v>3.9339103068450039E-4</v>
      </c>
      <c r="I34" s="92">
        <v>2</v>
      </c>
      <c r="K34" s="36">
        <v>32</v>
      </c>
      <c r="L34" s="97">
        <v>4.3000000000000007</v>
      </c>
    </row>
    <row r="35" spans="5:12" x14ac:dyDescent="0.4">
      <c r="E35" s="61" t="s">
        <v>77</v>
      </c>
      <c r="F35" s="58" t="s">
        <v>32</v>
      </c>
      <c r="G35" s="45">
        <v>0</v>
      </c>
      <c r="H35" s="131">
        <f>IF(B$17=0,0,G35/B$17)</f>
        <v>0</v>
      </c>
      <c r="I35" s="92">
        <v>1</v>
      </c>
      <c r="K35" s="36">
        <v>33</v>
      </c>
      <c r="L35" s="97">
        <v>8.8817841970012523E-16</v>
      </c>
    </row>
    <row r="36" spans="5:12" x14ac:dyDescent="0.4">
      <c r="E36" s="61" t="s">
        <v>81</v>
      </c>
      <c r="F36" s="58" t="s">
        <v>36</v>
      </c>
      <c r="G36" s="45">
        <v>0</v>
      </c>
      <c r="H36" s="131">
        <f>IF(B$17=0,0,G36/B$17)</f>
        <v>0</v>
      </c>
      <c r="I36" s="92">
        <v>1</v>
      </c>
      <c r="K36" s="36">
        <v>34</v>
      </c>
      <c r="L36" s="97">
        <v>-7.2999999999999989</v>
      </c>
    </row>
    <row r="37" spans="5:12" x14ac:dyDescent="0.4">
      <c r="E37" s="61" t="s">
        <v>83</v>
      </c>
      <c r="F37" s="58" t="s">
        <v>38</v>
      </c>
      <c r="G37" s="45">
        <v>0</v>
      </c>
      <c r="H37" s="131">
        <f>IF(B$17=0,0,G37/B$17)</f>
        <v>0</v>
      </c>
      <c r="I37" s="92">
        <v>1</v>
      </c>
      <c r="K37" s="36">
        <v>35</v>
      </c>
      <c r="L37" s="97">
        <v>-37.199999999999996</v>
      </c>
    </row>
    <row r="38" spans="5:12" x14ac:dyDescent="0.4">
      <c r="E38" s="61" t="s">
        <v>95</v>
      </c>
      <c r="F38" s="58" t="s">
        <v>50</v>
      </c>
      <c r="G38" s="45">
        <v>0</v>
      </c>
      <c r="H38" s="131">
        <f>IF(B$17=0,0,G38/B$17)</f>
        <v>0</v>
      </c>
      <c r="I38" s="92">
        <v>1</v>
      </c>
      <c r="K38" s="36">
        <v>36</v>
      </c>
      <c r="L38" s="97">
        <v>7.1054273576010019E-15</v>
      </c>
    </row>
    <row r="39" spans="5:12" x14ac:dyDescent="0.4">
      <c r="E39" s="61" t="s">
        <v>97</v>
      </c>
      <c r="F39" s="58" t="s">
        <v>52</v>
      </c>
      <c r="G39" s="45">
        <v>0</v>
      </c>
      <c r="H39" s="131">
        <f>IF(B$17=0,0,G39/B$17)</f>
        <v>0</v>
      </c>
      <c r="I39" s="92">
        <v>1</v>
      </c>
      <c r="K39" s="36">
        <v>37</v>
      </c>
      <c r="L39" s="97">
        <v>-31.699999999999992</v>
      </c>
    </row>
    <row r="40" spans="5:12" x14ac:dyDescent="0.4">
      <c r="E40" s="61" t="s">
        <v>99</v>
      </c>
      <c r="F40" s="58" t="s">
        <v>54</v>
      </c>
      <c r="G40" s="45">
        <v>0</v>
      </c>
      <c r="H40" s="131">
        <f>IF(B$17=0,0,G40/B$17)</f>
        <v>0</v>
      </c>
      <c r="I40" s="92">
        <v>1</v>
      </c>
      <c r="K40" s="36">
        <v>38</v>
      </c>
      <c r="L40" s="97">
        <v>-33.099999999999994</v>
      </c>
    </row>
    <row r="41" spans="5:12" x14ac:dyDescent="0.4">
      <c r="E41" s="61" t="s">
        <v>100</v>
      </c>
      <c r="F41" s="58" t="s">
        <v>55</v>
      </c>
      <c r="G41" s="45">
        <v>0</v>
      </c>
      <c r="H41" s="131">
        <f>IF(B$17=0,0,G41/B$17)</f>
        <v>0</v>
      </c>
      <c r="I41" s="92">
        <v>1</v>
      </c>
      <c r="K41" s="36">
        <v>39</v>
      </c>
      <c r="L41" s="97">
        <v>7.1054273576010019E-15</v>
      </c>
    </row>
    <row r="42" spans="5:12" x14ac:dyDescent="0.4">
      <c r="E42" s="61" t="s">
        <v>101</v>
      </c>
      <c r="F42" s="58" t="s">
        <v>56</v>
      </c>
      <c r="G42" s="45">
        <v>0</v>
      </c>
      <c r="H42" s="131">
        <f>IF(B$17=0,0,G42/B$17)</f>
        <v>0</v>
      </c>
      <c r="I42" s="92">
        <v>1</v>
      </c>
      <c r="K42" s="36">
        <v>40</v>
      </c>
      <c r="L42" s="97">
        <v>-39.699999999999996</v>
      </c>
    </row>
    <row r="43" spans="5:12" x14ac:dyDescent="0.4">
      <c r="E43" s="61" t="s">
        <v>103</v>
      </c>
      <c r="F43" s="58" t="s">
        <v>58</v>
      </c>
      <c r="G43" s="45">
        <v>0</v>
      </c>
      <c r="H43" s="131">
        <f>IF(B$17=0,0,G43/B$17)</f>
        <v>0</v>
      </c>
      <c r="I43" s="92">
        <v>1</v>
      </c>
      <c r="K43" s="36">
        <v>41</v>
      </c>
      <c r="L43" s="97">
        <v>5.5000000000000071</v>
      </c>
    </row>
    <row r="44" spans="5:12" x14ac:dyDescent="0.4">
      <c r="E44" s="61" t="s">
        <v>104</v>
      </c>
      <c r="F44" s="58" t="s">
        <v>59</v>
      </c>
      <c r="G44" s="45">
        <v>0</v>
      </c>
      <c r="H44" s="131">
        <f>IF(B$17=0,0,G44/B$17)</f>
        <v>0</v>
      </c>
      <c r="I44" s="92">
        <v>1</v>
      </c>
      <c r="K44" s="36">
        <v>42</v>
      </c>
      <c r="L44" s="97">
        <v>7.1054273576010019E-15</v>
      </c>
    </row>
    <row r="45" spans="5:12" x14ac:dyDescent="0.4">
      <c r="E45" s="61" t="s">
        <v>105</v>
      </c>
      <c r="F45" s="58" t="s">
        <v>60</v>
      </c>
      <c r="G45" s="45">
        <v>0</v>
      </c>
      <c r="H45" s="131">
        <f>IF(B$17=0,0,G45/B$17)</f>
        <v>0</v>
      </c>
      <c r="I45" s="92">
        <v>1</v>
      </c>
      <c r="K45" s="36">
        <v>43</v>
      </c>
      <c r="L45" s="97">
        <v>87.1</v>
      </c>
    </row>
    <row r="46" spans="5:12" x14ac:dyDescent="0.4">
      <c r="E46" s="61" t="s">
        <v>106</v>
      </c>
      <c r="F46" s="58" t="s">
        <v>113</v>
      </c>
      <c r="G46" s="45">
        <v>0</v>
      </c>
      <c r="H46" s="131">
        <f>IF(B$17=0,0,G46/B$17)</f>
        <v>0</v>
      </c>
      <c r="I46" s="92">
        <v>1</v>
      </c>
      <c r="K46" s="36">
        <v>44</v>
      </c>
      <c r="L46" s="97">
        <v>60.399999999999991</v>
      </c>
    </row>
    <row r="47" spans="5:12" x14ac:dyDescent="0.4">
      <c r="E47" s="61" t="s">
        <v>108</v>
      </c>
      <c r="F47" s="58" t="s">
        <v>115</v>
      </c>
      <c r="G47" s="45">
        <v>0</v>
      </c>
      <c r="H47" s="131">
        <f>IF(B$17=0,0,G47/B$17)</f>
        <v>0</v>
      </c>
      <c r="I47" s="92">
        <v>1</v>
      </c>
      <c r="K47" s="36">
        <v>45</v>
      </c>
      <c r="L47" s="97">
        <v>-7.1054273576010019E-15</v>
      </c>
    </row>
    <row r="48" spans="5:12" x14ac:dyDescent="0.4">
      <c r="E48" s="61" t="s">
        <v>109</v>
      </c>
      <c r="F48" s="58" t="s">
        <v>61</v>
      </c>
      <c r="G48" s="45">
        <v>0</v>
      </c>
      <c r="H48" s="131">
        <f>IF(B$17=0,0,G48/B$17)</f>
        <v>0</v>
      </c>
      <c r="I48" s="92">
        <v>1</v>
      </c>
      <c r="K48" s="36">
        <v>46</v>
      </c>
      <c r="L48" s="97">
        <v>-48.000000000000007</v>
      </c>
    </row>
    <row r="49" spans="5:12" x14ac:dyDescent="0.4">
      <c r="E49" s="61" t="s">
        <v>110</v>
      </c>
      <c r="F49" s="58" t="s">
        <v>62</v>
      </c>
      <c r="G49" s="45">
        <v>0</v>
      </c>
      <c r="H49" s="131">
        <f>IF(B$17=0,0,G49/B$17)</f>
        <v>0</v>
      </c>
      <c r="I49" s="92">
        <v>1</v>
      </c>
      <c r="K49" s="36">
        <v>47</v>
      </c>
      <c r="L49" s="97">
        <v>-49.600000000000009</v>
      </c>
    </row>
    <row r="50" spans="5:12" x14ac:dyDescent="0.4">
      <c r="E50" s="61" t="s">
        <v>111</v>
      </c>
      <c r="F50" s="58" t="s">
        <v>63</v>
      </c>
      <c r="G50" s="45">
        <v>0</v>
      </c>
      <c r="H50" s="131">
        <f>IF(B$17=0,0,G50/B$17)</f>
        <v>0</v>
      </c>
      <c r="I50" s="92">
        <v>1</v>
      </c>
      <c r="K50" s="36">
        <v>48</v>
      </c>
      <c r="L50" s="97">
        <v>-7.1054273576010019E-15</v>
      </c>
    </row>
    <row r="51" spans="5:12" x14ac:dyDescent="0.4">
      <c r="E51" s="134" t="s">
        <v>112</v>
      </c>
      <c r="F51" s="135" t="s">
        <v>64</v>
      </c>
      <c r="G51" s="46">
        <v>0</v>
      </c>
      <c r="H51" s="136">
        <f>IF(B$17=0,0,G51/B$17)</f>
        <v>0</v>
      </c>
      <c r="I51" s="137">
        <v>1</v>
      </c>
      <c r="K51" s="36">
        <v>49</v>
      </c>
      <c r="L51" s="97">
        <v>38.399999999999991</v>
      </c>
    </row>
    <row r="52" spans="5:12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  <c r="K52" s="36">
        <v>50</v>
      </c>
      <c r="L52" s="97">
        <v>4.0999999999999943</v>
      </c>
    </row>
    <row r="53" spans="5:12" x14ac:dyDescent="0.4">
      <c r="K53" s="36">
        <v>51</v>
      </c>
      <c r="L53" s="97">
        <v>-5.3290705182007514E-15</v>
      </c>
    </row>
    <row r="54" spans="5:12" x14ac:dyDescent="0.4">
      <c r="K54" s="36">
        <v>52</v>
      </c>
      <c r="L54" s="97">
        <v>27.799999999999997</v>
      </c>
    </row>
    <row r="55" spans="5:12" x14ac:dyDescent="0.4">
      <c r="K55" s="36">
        <v>53</v>
      </c>
      <c r="L55" s="97">
        <v>25.099999999999998</v>
      </c>
    </row>
    <row r="56" spans="5:12" x14ac:dyDescent="0.4">
      <c r="K56" s="36">
        <v>54</v>
      </c>
      <c r="L56" s="97">
        <v>-3.5527136788005009E-15</v>
      </c>
    </row>
    <row r="57" spans="5:12" x14ac:dyDescent="0.4">
      <c r="K57" s="36">
        <v>55</v>
      </c>
      <c r="L57" s="97">
        <v>47.2</v>
      </c>
    </row>
    <row r="58" spans="5:12" x14ac:dyDescent="0.4">
      <c r="K58" s="36">
        <v>56</v>
      </c>
      <c r="L58" s="97">
        <v>-3.5</v>
      </c>
    </row>
    <row r="59" spans="5:12" x14ac:dyDescent="0.4">
      <c r="K59" s="36">
        <v>57</v>
      </c>
      <c r="L59" s="97">
        <v>0</v>
      </c>
    </row>
    <row r="60" spans="5:12" x14ac:dyDescent="0.4">
      <c r="K60" s="36">
        <v>58</v>
      </c>
      <c r="L60" s="97">
        <v>-28.5</v>
      </c>
    </row>
    <row r="61" spans="5:12" x14ac:dyDescent="0.4">
      <c r="K61" s="36">
        <v>59</v>
      </c>
      <c r="L61" s="97">
        <v>-31.9</v>
      </c>
    </row>
    <row r="62" spans="5:12" x14ac:dyDescent="0.4">
      <c r="K62" s="36">
        <v>60</v>
      </c>
      <c r="L62" s="97">
        <v>0</v>
      </c>
    </row>
    <row r="63" spans="5:12" x14ac:dyDescent="0.4">
      <c r="K63" s="36">
        <v>61</v>
      </c>
      <c r="L63" s="97">
        <v>28.9</v>
      </c>
    </row>
    <row r="64" spans="5:12" x14ac:dyDescent="0.4">
      <c r="K64" s="36">
        <v>62</v>
      </c>
      <c r="L64" s="97">
        <v>3.5</v>
      </c>
    </row>
    <row r="65" spans="11:12" x14ac:dyDescent="0.4">
      <c r="K65" s="36">
        <v>63</v>
      </c>
      <c r="L65" s="97">
        <v>0</v>
      </c>
    </row>
    <row r="66" spans="11:12" x14ac:dyDescent="0.4">
      <c r="K66" s="36">
        <v>64</v>
      </c>
      <c r="L66" s="97">
        <v>-15.3</v>
      </c>
    </row>
    <row r="67" spans="11:12" x14ac:dyDescent="0.4">
      <c r="K67" s="36">
        <v>65</v>
      </c>
      <c r="L67" s="97">
        <v>41</v>
      </c>
    </row>
    <row r="68" spans="11:12" x14ac:dyDescent="0.4">
      <c r="K68" s="36">
        <v>66</v>
      </c>
      <c r="L68" s="97">
        <v>0</v>
      </c>
    </row>
    <row r="69" spans="11:12" x14ac:dyDescent="0.4">
      <c r="K69" s="36">
        <v>67</v>
      </c>
      <c r="L69" s="97">
        <v>-15.8</v>
      </c>
    </row>
    <row r="70" spans="11:12" x14ac:dyDescent="0.4">
      <c r="K70" s="36">
        <v>68</v>
      </c>
      <c r="L70" s="97">
        <v>57.8</v>
      </c>
    </row>
    <row r="71" spans="11:12" x14ac:dyDescent="0.4">
      <c r="K71" s="36">
        <v>69</v>
      </c>
      <c r="L71" s="97">
        <v>0</v>
      </c>
    </row>
    <row r="72" spans="11:12" x14ac:dyDescent="0.4">
      <c r="K72" s="36">
        <v>70</v>
      </c>
      <c r="L72" s="97">
        <v>54.6</v>
      </c>
    </row>
    <row r="73" spans="11:12" x14ac:dyDescent="0.4">
      <c r="K73" s="36">
        <v>71</v>
      </c>
      <c r="L73" s="97">
        <v>14.600000000000001</v>
      </c>
    </row>
    <row r="74" spans="11:12" x14ac:dyDescent="0.4">
      <c r="K74" s="36">
        <v>72</v>
      </c>
      <c r="L74" s="97">
        <v>1.7763568394002505E-15</v>
      </c>
    </row>
    <row r="75" spans="11:12" x14ac:dyDescent="0.4">
      <c r="K75" s="36">
        <v>73</v>
      </c>
      <c r="L75" s="97">
        <v>-43.7</v>
      </c>
    </row>
    <row r="76" spans="11:12" x14ac:dyDescent="0.4">
      <c r="K76" s="36">
        <v>74</v>
      </c>
      <c r="L76" s="97">
        <v>6.2999999999999972</v>
      </c>
    </row>
    <row r="77" spans="11:12" x14ac:dyDescent="0.4">
      <c r="K77" s="36">
        <v>75</v>
      </c>
      <c r="L77" s="97">
        <v>-2.6645352591003757E-15</v>
      </c>
    </row>
    <row r="78" spans="11:12" x14ac:dyDescent="0.4">
      <c r="K78" s="36">
        <v>76</v>
      </c>
      <c r="L78" s="97">
        <v>-32.5</v>
      </c>
    </row>
    <row r="79" spans="11:12" x14ac:dyDescent="0.4">
      <c r="K79" s="36">
        <v>77</v>
      </c>
      <c r="L79" s="97">
        <v>-37.1</v>
      </c>
    </row>
    <row r="80" spans="11:12" x14ac:dyDescent="0.4">
      <c r="K80" s="36">
        <v>78</v>
      </c>
      <c r="L80" s="97">
        <v>0</v>
      </c>
    </row>
    <row r="81" spans="11:12" x14ac:dyDescent="0.4">
      <c r="K81" s="36">
        <v>79</v>
      </c>
      <c r="L81" s="97">
        <v>8</v>
      </c>
    </row>
    <row r="82" spans="11:12" x14ac:dyDescent="0.4">
      <c r="K82" s="36">
        <v>80</v>
      </c>
      <c r="L82" s="97">
        <v>-29.299999999999997</v>
      </c>
    </row>
    <row r="83" spans="11:12" x14ac:dyDescent="0.4">
      <c r="K83" s="36">
        <v>81</v>
      </c>
      <c r="L83" s="97">
        <v>3.5527136788005009E-15</v>
      </c>
    </row>
    <row r="84" spans="11:12" x14ac:dyDescent="0.4">
      <c r="K84" s="36">
        <v>82</v>
      </c>
      <c r="L84" s="97">
        <v>-6.9999999999999964</v>
      </c>
    </row>
    <row r="85" spans="11:12" x14ac:dyDescent="0.4">
      <c r="K85" s="36">
        <v>83</v>
      </c>
      <c r="L85" s="97">
        <v>-38.5</v>
      </c>
    </row>
    <row r="86" spans="11:12" x14ac:dyDescent="0.4">
      <c r="K86" s="36">
        <v>84</v>
      </c>
      <c r="L86" s="97">
        <v>0</v>
      </c>
    </row>
    <row r="87" spans="11:12" x14ac:dyDescent="0.4">
      <c r="K87" s="36">
        <v>85</v>
      </c>
      <c r="L87" s="97">
        <v>52.9</v>
      </c>
    </row>
    <row r="88" spans="11:12" x14ac:dyDescent="0.4">
      <c r="K88" s="36">
        <v>86</v>
      </c>
      <c r="L88" s="97">
        <v>-3.1000000000000014</v>
      </c>
    </row>
    <row r="89" spans="11:12" x14ac:dyDescent="0.4">
      <c r="K89" s="36">
        <v>87</v>
      </c>
      <c r="L89" s="97">
        <v>-1.3322676295501878E-15</v>
      </c>
    </row>
    <row r="90" spans="11:12" x14ac:dyDescent="0.4">
      <c r="K90" s="36">
        <v>88</v>
      </c>
      <c r="L90" s="97">
        <v>22.1</v>
      </c>
    </row>
    <row r="91" spans="11:12" x14ac:dyDescent="0.4">
      <c r="K91" s="36">
        <v>89</v>
      </c>
      <c r="L91" s="97">
        <v>24</v>
      </c>
    </row>
    <row r="92" spans="11:12" x14ac:dyDescent="0.4">
      <c r="K92" s="36">
        <v>90</v>
      </c>
      <c r="L92" s="97">
        <v>0</v>
      </c>
    </row>
    <row r="93" spans="11:12" x14ac:dyDescent="0.4">
      <c r="K93" s="36">
        <v>91</v>
      </c>
      <c r="L93" s="97">
        <v>22.1</v>
      </c>
    </row>
    <row r="94" spans="11:12" x14ac:dyDescent="0.4">
      <c r="K94" s="36">
        <v>92</v>
      </c>
      <c r="L94" s="97">
        <v>24</v>
      </c>
    </row>
    <row r="95" spans="11:12" x14ac:dyDescent="0.4">
      <c r="K95" s="36">
        <v>93</v>
      </c>
      <c r="L95" s="97">
        <v>0</v>
      </c>
    </row>
    <row r="96" spans="11:12" x14ac:dyDescent="0.4">
      <c r="K96" s="36">
        <v>94</v>
      </c>
      <c r="L96" s="97">
        <v>25.7</v>
      </c>
    </row>
    <row r="97" spans="11:12" x14ac:dyDescent="0.4">
      <c r="K97" s="36">
        <v>95</v>
      </c>
      <c r="L97" s="97">
        <v>1.8000000000000007</v>
      </c>
    </row>
    <row r="98" spans="11:12" x14ac:dyDescent="0.4">
      <c r="K98" s="36">
        <v>96</v>
      </c>
      <c r="L98" s="97">
        <v>6.6613381477509392E-16</v>
      </c>
    </row>
    <row r="99" spans="11:12" x14ac:dyDescent="0.4">
      <c r="K99" s="36">
        <v>97</v>
      </c>
      <c r="L99" s="97">
        <v>39.6</v>
      </c>
    </row>
    <row r="100" spans="11:12" x14ac:dyDescent="0.4">
      <c r="K100" s="36">
        <v>98</v>
      </c>
      <c r="L100" s="97">
        <v>-64.199999999999989</v>
      </c>
    </row>
    <row r="101" spans="11:12" x14ac:dyDescent="0.4">
      <c r="K101" s="36">
        <v>99</v>
      </c>
      <c r="L101" s="97">
        <v>1.4210854715202004E-14</v>
      </c>
    </row>
    <row r="102" spans="11:12" x14ac:dyDescent="0.4">
      <c r="K102" s="36">
        <v>100</v>
      </c>
      <c r="L102" s="97">
        <v>-74.499999999999986</v>
      </c>
    </row>
    <row r="103" spans="11:12" x14ac:dyDescent="0.4">
      <c r="K103" s="36">
        <v>101</v>
      </c>
      <c r="L103" s="97">
        <v>2.2000000000000171</v>
      </c>
    </row>
    <row r="104" spans="11:12" x14ac:dyDescent="0.4">
      <c r="K104" s="36">
        <v>102</v>
      </c>
      <c r="L104" s="97">
        <v>1.6875389974302379E-14</v>
      </c>
    </row>
    <row r="105" spans="11:12" x14ac:dyDescent="0.4">
      <c r="K105" s="36">
        <v>103</v>
      </c>
      <c r="L105" s="97">
        <v>-31.599999999999984</v>
      </c>
    </row>
    <row r="106" spans="11:12" x14ac:dyDescent="0.4">
      <c r="K106" s="36">
        <v>104</v>
      </c>
      <c r="L106" s="97">
        <v>-35.799999999999983</v>
      </c>
    </row>
    <row r="107" spans="11:12" x14ac:dyDescent="0.4">
      <c r="K107" s="36">
        <v>105</v>
      </c>
      <c r="L107" s="97">
        <v>1.4210854715202004E-14</v>
      </c>
    </row>
    <row r="108" spans="11:12" x14ac:dyDescent="0.4">
      <c r="K108" s="36">
        <v>106</v>
      </c>
      <c r="L108" s="97">
        <v>35.300000000000011</v>
      </c>
    </row>
    <row r="109" spans="11:12" x14ac:dyDescent="0.4">
      <c r="K109" s="36">
        <v>107</v>
      </c>
      <c r="L109" s="97">
        <v>34.000000000000014</v>
      </c>
    </row>
    <row r="110" spans="11:12" x14ac:dyDescent="0.4">
      <c r="K110" s="36">
        <v>108</v>
      </c>
      <c r="L110" s="97">
        <v>1.4210854715202004E-14</v>
      </c>
    </row>
    <row r="111" spans="11:12" x14ac:dyDescent="0.4">
      <c r="K111" s="36">
        <v>109</v>
      </c>
      <c r="L111" s="97">
        <v>6.1000000000000139</v>
      </c>
    </row>
    <row r="112" spans="11:12" x14ac:dyDescent="0.4">
      <c r="K112" s="36">
        <v>110</v>
      </c>
      <c r="L112" s="97">
        <v>57.000000000000014</v>
      </c>
    </row>
    <row r="113" spans="11:12" x14ac:dyDescent="0.4">
      <c r="K113" s="36">
        <v>111</v>
      </c>
      <c r="L113" s="97">
        <v>1.4210854715202004E-14</v>
      </c>
    </row>
    <row r="114" spans="11:12" x14ac:dyDescent="0.4">
      <c r="K114" s="36">
        <v>112</v>
      </c>
      <c r="L114" s="97">
        <v>-5.0999999999999854</v>
      </c>
    </row>
    <row r="115" spans="11:12" x14ac:dyDescent="0.4">
      <c r="K115" s="36">
        <v>113</v>
      </c>
      <c r="L115" s="97">
        <v>31.600000000000016</v>
      </c>
    </row>
    <row r="116" spans="11:12" x14ac:dyDescent="0.4">
      <c r="K116" s="36">
        <v>114</v>
      </c>
      <c r="L116" s="97">
        <v>1.4210854715202004E-14</v>
      </c>
    </row>
    <row r="117" spans="11:12" x14ac:dyDescent="0.4">
      <c r="K117" s="36">
        <v>115</v>
      </c>
      <c r="L117" s="97">
        <v>5.2000000000000144</v>
      </c>
    </row>
    <row r="118" spans="11:12" x14ac:dyDescent="0.4">
      <c r="K118" s="36">
        <v>116</v>
      </c>
      <c r="L118" s="97">
        <v>41.500000000000014</v>
      </c>
    </row>
    <row r="119" spans="11:12" x14ac:dyDescent="0.4">
      <c r="K119" s="36">
        <v>117</v>
      </c>
      <c r="L119" s="97">
        <v>1.4210854715202004E-14</v>
      </c>
    </row>
    <row r="120" spans="11:12" x14ac:dyDescent="0.4">
      <c r="K120" s="36">
        <v>118</v>
      </c>
      <c r="L120" s="97">
        <v>-7.8999999999999861</v>
      </c>
    </row>
    <row r="121" spans="11:12" x14ac:dyDescent="0.4">
      <c r="K121" s="36">
        <v>119</v>
      </c>
      <c r="L121" s="97">
        <v>55.100000000000016</v>
      </c>
    </row>
    <row r="122" spans="11:12" x14ac:dyDescent="0.4">
      <c r="K122" s="36">
        <v>120</v>
      </c>
      <c r="L122" s="97">
        <v>1.4210854715202004E-14</v>
      </c>
    </row>
    <row r="123" spans="11:12" x14ac:dyDescent="0.4">
      <c r="K123" s="36">
        <v>121</v>
      </c>
      <c r="L123" s="97">
        <v>-0.99999999999998579</v>
      </c>
    </row>
    <row r="124" spans="11:12" x14ac:dyDescent="0.4">
      <c r="K124" s="36">
        <v>122</v>
      </c>
      <c r="L124" s="97">
        <v>-30.799999999999986</v>
      </c>
    </row>
    <row r="125" spans="11:12" x14ac:dyDescent="0.4">
      <c r="K125" s="36">
        <v>123</v>
      </c>
      <c r="L125" s="97">
        <v>1.4210854715202004E-14</v>
      </c>
    </row>
    <row r="126" spans="11:12" x14ac:dyDescent="0.4">
      <c r="K126" s="36">
        <v>124</v>
      </c>
      <c r="L126" s="97">
        <v>0.50000000000001421</v>
      </c>
    </row>
    <row r="127" spans="11:12" x14ac:dyDescent="0.4">
      <c r="K127" s="36">
        <v>125</v>
      </c>
      <c r="L127" s="97">
        <v>29.100000000000016</v>
      </c>
    </row>
    <row r="128" spans="11:12" x14ac:dyDescent="0.4">
      <c r="K128" s="36">
        <v>126</v>
      </c>
      <c r="L128" s="97">
        <v>1.4210854715202004E-14</v>
      </c>
    </row>
    <row r="129" spans="11:12" x14ac:dyDescent="0.4">
      <c r="K129" s="36">
        <v>127</v>
      </c>
      <c r="L129" s="97">
        <v>-45.299999999999983</v>
      </c>
    </row>
    <row r="130" spans="11:12" x14ac:dyDescent="0.4">
      <c r="K130" s="36">
        <v>128</v>
      </c>
      <c r="L130" s="97">
        <v>-59.299999999999983</v>
      </c>
    </row>
    <row r="131" spans="11:12" x14ac:dyDescent="0.4">
      <c r="K131" s="36">
        <v>129</v>
      </c>
      <c r="L131" s="97">
        <v>1.4210854715202004E-14</v>
      </c>
    </row>
    <row r="132" spans="11:12" x14ac:dyDescent="0.4">
      <c r="K132" s="36">
        <v>130</v>
      </c>
      <c r="L132" s="97">
        <v>-8.8999999999999861</v>
      </c>
    </row>
    <row r="133" spans="11:12" x14ac:dyDescent="0.4">
      <c r="K133" s="36">
        <v>131</v>
      </c>
      <c r="L133" s="97">
        <v>-47.499999999999986</v>
      </c>
    </row>
    <row r="134" spans="11:12" x14ac:dyDescent="0.4">
      <c r="K134" s="36">
        <v>132</v>
      </c>
      <c r="L134" s="97">
        <v>1.4210854715202004E-14</v>
      </c>
    </row>
    <row r="135" spans="11:12" x14ac:dyDescent="0.4">
      <c r="K135" s="36">
        <v>133</v>
      </c>
      <c r="L135" s="97">
        <v>-3.4999999999999858</v>
      </c>
    </row>
    <row r="136" spans="11:12" x14ac:dyDescent="0.4">
      <c r="K136" s="36">
        <v>134</v>
      </c>
      <c r="L136" s="97">
        <v>27.000000000000014</v>
      </c>
    </row>
    <row r="137" spans="11:12" x14ac:dyDescent="0.4">
      <c r="K137" s="36">
        <v>135</v>
      </c>
      <c r="L137" s="97">
        <v>1.4210854715202004E-14</v>
      </c>
    </row>
    <row r="138" spans="11:12" x14ac:dyDescent="0.4">
      <c r="K138" s="36">
        <v>136</v>
      </c>
      <c r="L138" s="97">
        <v>-55.199999999999989</v>
      </c>
    </row>
    <row r="139" spans="11:12" x14ac:dyDescent="0.4">
      <c r="K139" s="36">
        <v>137</v>
      </c>
      <c r="L139" s="97">
        <v>-80.699999999999989</v>
      </c>
    </row>
    <row r="140" spans="11:12" x14ac:dyDescent="0.4">
      <c r="K140" s="36">
        <v>138</v>
      </c>
      <c r="L140" s="97">
        <v>1.4210854715202004E-14</v>
      </c>
    </row>
    <row r="141" spans="11:12" x14ac:dyDescent="0.4">
      <c r="K141" s="36">
        <v>139</v>
      </c>
      <c r="L141" s="97">
        <v>8.0000000000000142</v>
      </c>
    </row>
    <row r="142" spans="11:12" x14ac:dyDescent="0.4">
      <c r="K142" s="36">
        <v>140</v>
      </c>
      <c r="L142" s="97">
        <v>-63.199999999999989</v>
      </c>
    </row>
    <row r="143" spans="11:12" x14ac:dyDescent="0.4">
      <c r="K143" s="36">
        <v>141</v>
      </c>
      <c r="L143" s="97">
        <v>1.4210854715202004E-14</v>
      </c>
    </row>
    <row r="144" spans="11:12" x14ac:dyDescent="0.4">
      <c r="K144" s="36">
        <v>142</v>
      </c>
      <c r="L144" s="97">
        <v>54.500000000000014</v>
      </c>
    </row>
    <row r="145" spans="11:12" x14ac:dyDescent="0.4">
      <c r="K145" s="36">
        <v>143</v>
      </c>
      <c r="L145" s="97">
        <v>8.5000000000000142</v>
      </c>
    </row>
    <row r="146" spans="11:12" x14ac:dyDescent="0.4">
      <c r="K146" s="36">
        <v>144</v>
      </c>
      <c r="L146" s="97">
        <v>1.4210854715202004E-14</v>
      </c>
    </row>
    <row r="147" spans="11:12" x14ac:dyDescent="0.4">
      <c r="K147" s="36">
        <v>145</v>
      </c>
      <c r="L147" s="97">
        <v>-10.599999999999985</v>
      </c>
    </row>
    <row r="148" spans="11:12" x14ac:dyDescent="0.4">
      <c r="K148" s="36">
        <v>146</v>
      </c>
      <c r="L148" s="97">
        <v>-61.79999999999999</v>
      </c>
    </row>
    <row r="149" spans="11:12" x14ac:dyDescent="0.4">
      <c r="K149" s="36">
        <v>147</v>
      </c>
      <c r="L149" s="97">
        <v>7.1054273576010019E-15</v>
      </c>
    </row>
    <row r="150" spans="11:12" x14ac:dyDescent="0.4">
      <c r="K150" s="36">
        <v>148</v>
      </c>
      <c r="L150" s="97">
        <v>4.6000000000000068</v>
      </c>
    </row>
    <row r="151" spans="11:12" x14ac:dyDescent="0.4">
      <c r="K151" s="36">
        <v>149</v>
      </c>
      <c r="L151" s="97">
        <v>-25.29999999999999</v>
      </c>
    </row>
    <row r="152" spans="11:12" x14ac:dyDescent="0.4">
      <c r="K152" s="36">
        <v>150</v>
      </c>
      <c r="L152" s="97">
        <v>1.0658141036401503E-14</v>
      </c>
    </row>
    <row r="153" spans="11:12" x14ac:dyDescent="0.4">
      <c r="K153" s="36">
        <v>151</v>
      </c>
      <c r="L153" s="97">
        <v>-2.4999999999999893</v>
      </c>
    </row>
    <row r="154" spans="11:12" x14ac:dyDescent="0.4">
      <c r="K154" s="36">
        <v>152</v>
      </c>
      <c r="L154" s="97">
        <v>-49.999999999999986</v>
      </c>
    </row>
    <row r="155" spans="11:12" x14ac:dyDescent="0.4">
      <c r="K155" s="36">
        <v>153</v>
      </c>
      <c r="L155" s="97">
        <v>1.4210854715202004E-14</v>
      </c>
    </row>
    <row r="156" spans="11:12" x14ac:dyDescent="0.4">
      <c r="K156" s="36">
        <v>154</v>
      </c>
      <c r="L156" s="97">
        <v>31.900000000000013</v>
      </c>
    </row>
    <row r="157" spans="11:12" x14ac:dyDescent="0.4">
      <c r="K157" s="36">
        <v>155</v>
      </c>
      <c r="L157" s="97">
        <v>28.100000000000012</v>
      </c>
    </row>
    <row r="158" spans="11:12" x14ac:dyDescent="0.4">
      <c r="K158" s="36">
        <v>156</v>
      </c>
      <c r="L158" s="97">
        <v>1.0658141036401503E-14</v>
      </c>
    </row>
    <row r="159" spans="11:12" x14ac:dyDescent="0.4">
      <c r="K159" s="36">
        <v>157</v>
      </c>
      <c r="L159" s="97">
        <v>-55.999999999999986</v>
      </c>
    </row>
    <row r="160" spans="11:12" x14ac:dyDescent="0.4">
      <c r="K160" s="36">
        <v>158</v>
      </c>
      <c r="L160" s="97">
        <v>13.000000000000014</v>
      </c>
    </row>
    <row r="161" spans="11:12" x14ac:dyDescent="0.4">
      <c r="K161" s="36">
        <v>159</v>
      </c>
      <c r="L161" s="97">
        <v>1.4210854715202004E-14</v>
      </c>
    </row>
    <row r="162" spans="11:12" x14ac:dyDescent="0.4">
      <c r="K162" s="36">
        <v>160</v>
      </c>
      <c r="L162" s="97">
        <v>12.400000000000015</v>
      </c>
    </row>
    <row r="163" spans="11:12" x14ac:dyDescent="0.4">
      <c r="K163" s="36">
        <v>161</v>
      </c>
      <c r="L163" s="97">
        <v>49.100000000000016</v>
      </c>
    </row>
    <row r="164" spans="11:12" x14ac:dyDescent="0.4">
      <c r="K164" s="36">
        <v>162</v>
      </c>
      <c r="L164" s="97">
        <v>1.4210854715202004E-14</v>
      </c>
    </row>
    <row r="165" spans="11:12" x14ac:dyDescent="0.4">
      <c r="K165" s="36">
        <v>163</v>
      </c>
      <c r="L165" s="97">
        <v>-60.299999999999983</v>
      </c>
    </row>
    <row r="166" spans="11:12" x14ac:dyDescent="0.4">
      <c r="K166" s="36">
        <v>164</v>
      </c>
      <c r="L166" s="97">
        <v>9.3000000000000114</v>
      </c>
    </row>
    <row r="167" spans="11:12" x14ac:dyDescent="0.4">
      <c r="K167" s="36">
        <v>165</v>
      </c>
      <c r="L167" s="97">
        <v>1.0658141036401503E-14</v>
      </c>
    </row>
    <row r="168" spans="11:12" x14ac:dyDescent="0.4">
      <c r="K168" s="36">
        <v>166</v>
      </c>
      <c r="L168" s="97">
        <v>48.500000000000014</v>
      </c>
    </row>
    <row r="169" spans="11:12" x14ac:dyDescent="0.4">
      <c r="K169" s="36">
        <v>167</v>
      </c>
      <c r="L169" s="97">
        <v>68.000000000000014</v>
      </c>
    </row>
    <row r="170" spans="11:12" x14ac:dyDescent="0.4">
      <c r="K170" s="36">
        <v>168</v>
      </c>
      <c r="L170" s="97">
        <v>1.4210854715202004E-14</v>
      </c>
    </row>
    <row r="171" spans="11:12" x14ac:dyDescent="0.4">
      <c r="K171" s="36">
        <v>169</v>
      </c>
      <c r="L171" s="97">
        <v>-1.4999999999999858</v>
      </c>
    </row>
    <row r="172" spans="11:12" x14ac:dyDescent="0.4">
      <c r="K172" s="36">
        <v>170</v>
      </c>
      <c r="L172" s="97">
        <v>-32.599999999999987</v>
      </c>
    </row>
    <row r="173" spans="11:12" x14ac:dyDescent="0.4">
      <c r="K173" s="36">
        <v>171</v>
      </c>
      <c r="L173" s="97">
        <v>1.4210854715202004E-14</v>
      </c>
    </row>
    <row r="174" spans="11:12" x14ac:dyDescent="0.4">
      <c r="K174" s="36">
        <v>172</v>
      </c>
      <c r="L174" s="97">
        <v>47.400000000000013</v>
      </c>
    </row>
    <row r="175" spans="11:12" x14ac:dyDescent="0.4">
      <c r="K175" s="36">
        <v>173</v>
      </c>
      <c r="L175" s="97">
        <v>52.300000000000011</v>
      </c>
    </row>
    <row r="176" spans="11:12" x14ac:dyDescent="0.4">
      <c r="K176" s="36">
        <v>174</v>
      </c>
      <c r="L176" s="97">
        <v>1.4210854715202004E-14</v>
      </c>
    </row>
    <row r="177" spans="11:12" x14ac:dyDescent="0.4">
      <c r="K177" s="36">
        <v>175</v>
      </c>
      <c r="L177" s="97">
        <v>73.600000000000009</v>
      </c>
    </row>
    <row r="178" spans="11:12" x14ac:dyDescent="0.4">
      <c r="K178" s="36">
        <v>176</v>
      </c>
      <c r="L178" s="97">
        <v>7.3000000000000114</v>
      </c>
    </row>
    <row r="179" spans="11:12" x14ac:dyDescent="0.4">
      <c r="K179" s="36">
        <v>177</v>
      </c>
      <c r="L179" s="97">
        <v>1.1546319456101628E-14</v>
      </c>
    </row>
    <row r="180" spans="11:12" x14ac:dyDescent="0.4">
      <c r="K180" s="36">
        <v>178</v>
      </c>
      <c r="L180" s="97">
        <v>-33.599999999999987</v>
      </c>
    </row>
    <row r="181" spans="11:12" x14ac:dyDescent="0.4">
      <c r="K181" s="36">
        <v>179</v>
      </c>
      <c r="L181" s="97">
        <v>-32.499999999999986</v>
      </c>
    </row>
    <row r="182" spans="11:12" x14ac:dyDescent="0.4">
      <c r="K182" s="36">
        <v>180</v>
      </c>
      <c r="L182" s="97">
        <v>1.4210854715202004E-14</v>
      </c>
    </row>
    <row r="183" spans="11:12" x14ac:dyDescent="0.4">
      <c r="K183" s="36">
        <v>181</v>
      </c>
      <c r="L183" s="97">
        <v>5.4000000000000146</v>
      </c>
    </row>
    <row r="184" spans="11:12" x14ac:dyDescent="0.4">
      <c r="K184" s="36">
        <v>182</v>
      </c>
      <c r="L184" s="97">
        <v>-26.899999999999984</v>
      </c>
    </row>
    <row r="185" spans="11:12" x14ac:dyDescent="0.4">
      <c r="K185" s="36">
        <v>183</v>
      </c>
      <c r="L185" s="97">
        <v>1.4210854715202004E-14</v>
      </c>
    </row>
    <row r="186" spans="11:12" x14ac:dyDescent="0.4">
      <c r="K186" s="36">
        <v>184</v>
      </c>
      <c r="L186" s="97">
        <v>15.100000000000014</v>
      </c>
    </row>
    <row r="187" spans="11:12" x14ac:dyDescent="0.4">
      <c r="K187" s="36">
        <v>185</v>
      </c>
      <c r="L187" s="97">
        <v>-35.199999999999982</v>
      </c>
    </row>
    <row r="188" spans="11:12" x14ac:dyDescent="0.4">
      <c r="K188" s="36">
        <v>186</v>
      </c>
      <c r="L188" s="97">
        <v>2.1316282072803006E-14</v>
      </c>
    </row>
    <row r="189" spans="11:12" x14ac:dyDescent="0.4">
      <c r="K189" s="36">
        <v>187</v>
      </c>
      <c r="L189" s="97">
        <v>-28.199999999999978</v>
      </c>
    </row>
    <row r="190" spans="11:12" x14ac:dyDescent="0.4">
      <c r="K190" s="36">
        <v>188</v>
      </c>
      <c r="L190" s="97">
        <v>-33.499999999999979</v>
      </c>
    </row>
    <row r="191" spans="11:12" x14ac:dyDescent="0.4">
      <c r="K191" s="36">
        <v>189</v>
      </c>
      <c r="L191" s="97">
        <v>2.1316282072803006E-14</v>
      </c>
    </row>
    <row r="192" spans="11:12" x14ac:dyDescent="0.4">
      <c r="K192" s="36">
        <v>190</v>
      </c>
      <c r="L192" s="97">
        <v>-60.899999999999977</v>
      </c>
    </row>
    <row r="193" spans="11:12" x14ac:dyDescent="0.4">
      <c r="K193" s="36">
        <v>191</v>
      </c>
      <c r="L193" s="97">
        <v>-57.399999999999977</v>
      </c>
    </row>
    <row r="194" spans="11:12" x14ac:dyDescent="0.4">
      <c r="K194" s="36">
        <v>192</v>
      </c>
      <c r="L194" s="97">
        <v>2.1316282072803006E-14</v>
      </c>
    </row>
    <row r="195" spans="11:12" x14ac:dyDescent="0.4">
      <c r="K195" s="36">
        <v>193</v>
      </c>
      <c r="L195" s="97">
        <v>-57.699999999999982</v>
      </c>
    </row>
    <row r="196" spans="11:12" x14ac:dyDescent="0.4">
      <c r="K196" s="36">
        <v>194</v>
      </c>
      <c r="L196" s="97">
        <v>-13.799999999999983</v>
      </c>
    </row>
    <row r="197" spans="11:12" x14ac:dyDescent="0.4">
      <c r="K197" s="36">
        <v>195</v>
      </c>
      <c r="L197" s="97">
        <v>1.7763568394002505E-14</v>
      </c>
    </row>
    <row r="198" spans="11:12" x14ac:dyDescent="0.4">
      <c r="K198" s="36">
        <v>196</v>
      </c>
      <c r="L198" s="97">
        <v>-55.499999999999986</v>
      </c>
    </row>
    <row r="199" spans="11:12" x14ac:dyDescent="0.4">
      <c r="K199" s="36">
        <v>197</v>
      </c>
      <c r="L199" s="97">
        <v>1.5000000000000142</v>
      </c>
    </row>
    <row r="200" spans="11:12" x14ac:dyDescent="0.4">
      <c r="K200" s="36">
        <v>198</v>
      </c>
      <c r="L200" s="97">
        <v>1.4210854715202004E-14</v>
      </c>
    </row>
    <row r="201" spans="11:12" x14ac:dyDescent="0.4">
      <c r="K201" s="36">
        <v>199</v>
      </c>
      <c r="L201" s="97">
        <v>46.900000000000013</v>
      </c>
    </row>
    <row r="202" spans="11:12" x14ac:dyDescent="0.4">
      <c r="K202" s="36">
        <v>200</v>
      </c>
      <c r="L202" s="97">
        <v>12.500000000000014</v>
      </c>
    </row>
    <row r="203" spans="11:12" x14ac:dyDescent="0.4">
      <c r="K203" s="36">
        <v>201</v>
      </c>
      <c r="L203" s="97">
        <v>1.4210854715202004E-14</v>
      </c>
    </row>
    <row r="204" spans="11:12" x14ac:dyDescent="0.4">
      <c r="K204" s="36">
        <v>202</v>
      </c>
      <c r="L204" s="97">
        <v>-59.899999999999984</v>
      </c>
    </row>
    <row r="205" spans="11:12" x14ac:dyDescent="0.4">
      <c r="K205" s="36">
        <v>203</v>
      </c>
      <c r="L205" s="97">
        <v>4.4000000000000128</v>
      </c>
    </row>
    <row r="206" spans="11:12" x14ac:dyDescent="0.4">
      <c r="K206" s="36">
        <v>204</v>
      </c>
      <c r="L206" s="97">
        <v>1.2434497875801753E-14</v>
      </c>
    </row>
    <row r="207" spans="11:12" x14ac:dyDescent="0.4">
      <c r="K207" s="36">
        <v>205</v>
      </c>
      <c r="L207" s="97">
        <v>54.500000000000014</v>
      </c>
    </row>
    <row r="208" spans="11:12" x14ac:dyDescent="0.4">
      <c r="K208" s="36">
        <v>206</v>
      </c>
      <c r="L208" s="97">
        <v>-8.9999999999999858</v>
      </c>
    </row>
    <row r="209" spans="11:12" x14ac:dyDescent="0.4">
      <c r="K209" s="36">
        <v>207</v>
      </c>
      <c r="L209" s="97">
        <v>1.4210854715202004E-14</v>
      </c>
    </row>
    <row r="210" spans="11:12" x14ac:dyDescent="0.4">
      <c r="K210" s="36">
        <v>208</v>
      </c>
      <c r="L210" s="97">
        <v>-55.399999999999984</v>
      </c>
    </row>
    <row r="211" spans="11:12" x14ac:dyDescent="0.4">
      <c r="K211" s="36">
        <v>209</v>
      </c>
      <c r="L211" s="97">
        <v>-51.899999999999984</v>
      </c>
    </row>
    <row r="212" spans="11:12" x14ac:dyDescent="0.4">
      <c r="K212" s="36">
        <v>210</v>
      </c>
      <c r="L212" s="97">
        <v>1.4210854715202004E-14</v>
      </c>
    </row>
    <row r="213" spans="11:12" x14ac:dyDescent="0.4">
      <c r="K213" s="36">
        <v>211</v>
      </c>
      <c r="L213" s="97">
        <v>4.1000000000000139</v>
      </c>
    </row>
    <row r="214" spans="11:12" x14ac:dyDescent="0.4">
      <c r="K214" s="36">
        <v>212</v>
      </c>
      <c r="L214" s="97">
        <v>35.200000000000017</v>
      </c>
    </row>
    <row r="215" spans="11:12" x14ac:dyDescent="0.4">
      <c r="K215" s="36">
        <v>213</v>
      </c>
      <c r="L215" s="97">
        <v>1.4210854715202004E-14</v>
      </c>
    </row>
    <row r="216" spans="11:12" x14ac:dyDescent="0.4">
      <c r="K216" s="36">
        <v>214</v>
      </c>
      <c r="L216" s="97">
        <v>-5.199999999999986</v>
      </c>
    </row>
    <row r="217" spans="11:12" x14ac:dyDescent="0.4">
      <c r="K217" s="36">
        <v>215</v>
      </c>
      <c r="L217" s="97">
        <v>-32.29999999999999</v>
      </c>
    </row>
    <row r="218" spans="11:12" x14ac:dyDescent="0.4">
      <c r="K218" s="36">
        <v>216</v>
      </c>
      <c r="L218" s="97">
        <v>7.1054273576010019E-15</v>
      </c>
    </row>
    <row r="219" spans="11:12" x14ac:dyDescent="0.4">
      <c r="K219" s="36">
        <v>217</v>
      </c>
      <c r="L219" s="97">
        <v>30.600000000000009</v>
      </c>
    </row>
    <row r="220" spans="11:12" x14ac:dyDescent="0.4">
      <c r="K220" s="36">
        <v>218</v>
      </c>
      <c r="L220" s="97">
        <v>-10.099999999999994</v>
      </c>
    </row>
    <row r="221" spans="11:12" x14ac:dyDescent="0.4">
      <c r="K221" s="36">
        <v>219</v>
      </c>
      <c r="L221" s="97">
        <v>5.3290705182007514E-15</v>
      </c>
    </row>
    <row r="222" spans="11:12" x14ac:dyDescent="0.4">
      <c r="K222" s="36">
        <v>220</v>
      </c>
      <c r="L222" s="97">
        <v>-28.599999999999994</v>
      </c>
    </row>
    <row r="223" spans="11:12" x14ac:dyDescent="0.4">
      <c r="K223" s="36">
        <v>221</v>
      </c>
      <c r="L223" s="97">
        <v>1.3000000000000043</v>
      </c>
    </row>
    <row r="224" spans="11:12" x14ac:dyDescent="0.4">
      <c r="K224" s="36">
        <v>222</v>
      </c>
      <c r="L224" s="97">
        <v>4.2188474935755949E-15</v>
      </c>
    </row>
    <row r="225" spans="11:12" x14ac:dyDescent="0.4">
      <c r="K225" s="36">
        <v>223</v>
      </c>
      <c r="L225" s="97">
        <v>-26.299999999999997</v>
      </c>
    </row>
    <row r="226" spans="11:12" x14ac:dyDescent="0.4">
      <c r="K226" s="36">
        <v>224</v>
      </c>
      <c r="L226" s="97">
        <v>4.1000000000000014</v>
      </c>
    </row>
    <row r="227" spans="11:12" x14ac:dyDescent="0.4">
      <c r="K227" s="36">
        <v>225</v>
      </c>
      <c r="L227" s="97">
        <v>1.7763568394002505E-15</v>
      </c>
    </row>
    <row r="228" spans="11:12" x14ac:dyDescent="0.4">
      <c r="K228" s="36">
        <v>226</v>
      </c>
      <c r="L228" s="97">
        <v>-39.5</v>
      </c>
    </row>
    <row r="229" spans="11:12" x14ac:dyDescent="0.4">
      <c r="K229" s="36">
        <v>227</v>
      </c>
      <c r="L229" s="97">
        <v>-33.700000000000003</v>
      </c>
    </row>
    <row r="230" spans="11:12" x14ac:dyDescent="0.4">
      <c r="K230" s="36">
        <v>228</v>
      </c>
      <c r="L230" s="97">
        <v>0</v>
      </c>
    </row>
    <row r="231" spans="11:12" x14ac:dyDescent="0.4">
      <c r="K231" s="36">
        <v>229</v>
      </c>
      <c r="L231" s="97">
        <v>4.0999999999999996</v>
      </c>
    </row>
    <row r="232" spans="11:12" x14ac:dyDescent="0.4">
      <c r="K232" s="36">
        <v>230</v>
      </c>
      <c r="L232" s="97">
        <v>-56</v>
      </c>
    </row>
    <row r="233" spans="11:12" x14ac:dyDescent="0.4">
      <c r="K233" s="36">
        <v>231</v>
      </c>
      <c r="L233" s="97">
        <v>0</v>
      </c>
    </row>
    <row r="234" spans="11:12" x14ac:dyDescent="0.4">
      <c r="K234" s="36">
        <v>232</v>
      </c>
      <c r="L234" s="97">
        <v>-21</v>
      </c>
    </row>
    <row r="235" spans="11:12" x14ac:dyDescent="0.4">
      <c r="K235" s="36">
        <v>233</v>
      </c>
      <c r="L235" s="97">
        <v>58</v>
      </c>
    </row>
    <row r="236" spans="11:12" x14ac:dyDescent="0.4">
      <c r="K236" s="36">
        <v>234</v>
      </c>
      <c r="L236" s="97">
        <v>0</v>
      </c>
    </row>
    <row r="237" spans="11:12" x14ac:dyDescent="0.4">
      <c r="K237" s="36">
        <v>235</v>
      </c>
      <c r="L237" s="97">
        <v>-34</v>
      </c>
    </row>
    <row r="238" spans="11:12" x14ac:dyDescent="0.4">
      <c r="K238" s="36">
        <v>236</v>
      </c>
      <c r="L238" s="97">
        <v>-101</v>
      </c>
    </row>
    <row r="239" spans="11:12" x14ac:dyDescent="0.4">
      <c r="K239" s="36">
        <v>237</v>
      </c>
      <c r="L239" s="97">
        <v>0</v>
      </c>
    </row>
    <row r="240" spans="11:12" x14ac:dyDescent="0.4">
      <c r="K240" s="36">
        <v>238</v>
      </c>
      <c r="L240" s="97">
        <v>-13</v>
      </c>
    </row>
    <row r="241" spans="11:12" x14ac:dyDescent="0.4">
      <c r="K241" s="36">
        <v>239</v>
      </c>
      <c r="L241" s="97">
        <v>-92.9</v>
      </c>
    </row>
    <row r="242" spans="11:12" x14ac:dyDescent="0.4">
      <c r="K242" s="36">
        <v>240</v>
      </c>
      <c r="L242" s="97">
        <v>0</v>
      </c>
    </row>
    <row r="243" spans="11:12" x14ac:dyDescent="0.4">
      <c r="K243" s="36">
        <v>241</v>
      </c>
      <c r="L243" s="97">
        <v>-3.1</v>
      </c>
    </row>
    <row r="244" spans="11:12" x14ac:dyDescent="0.4">
      <c r="K244" s="36">
        <v>242</v>
      </c>
      <c r="L244" s="97">
        <v>30.299999999999997</v>
      </c>
    </row>
    <row r="245" spans="11:12" x14ac:dyDescent="0.4">
      <c r="K245" s="36">
        <v>243</v>
      </c>
      <c r="L245" s="97">
        <v>-3.5527136788005009E-15</v>
      </c>
    </row>
    <row r="246" spans="11:12" x14ac:dyDescent="0.4">
      <c r="K246" s="36">
        <v>244</v>
      </c>
      <c r="L246" s="97">
        <v>5.3999999999999968</v>
      </c>
    </row>
    <row r="247" spans="11:12" x14ac:dyDescent="0.4">
      <c r="K247" s="36">
        <v>245</v>
      </c>
      <c r="L247" s="97">
        <v>-29.4</v>
      </c>
    </row>
    <row r="248" spans="11:12" x14ac:dyDescent="0.4">
      <c r="K248" s="36">
        <v>246</v>
      </c>
      <c r="L248" s="97">
        <v>0</v>
      </c>
    </row>
    <row r="249" spans="11:12" x14ac:dyDescent="0.4">
      <c r="K249" s="36">
        <v>247</v>
      </c>
      <c r="L249" s="97">
        <v>-61.2</v>
      </c>
    </row>
    <row r="250" spans="11:12" x14ac:dyDescent="0.4">
      <c r="K250" s="36">
        <v>248</v>
      </c>
      <c r="L250" s="97">
        <v>-9</v>
      </c>
    </row>
    <row r="251" spans="11:12" x14ac:dyDescent="0.4">
      <c r="K251" s="36">
        <v>249</v>
      </c>
      <c r="L251" s="97">
        <v>0</v>
      </c>
    </row>
    <row r="252" spans="11:12" x14ac:dyDescent="0.4">
      <c r="K252" s="36">
        <v>250</v>
      </c>
      <c r="L252" s="97">
        <v>-15.6</v>
      </c>
    </row>
    <row r="253" spans="11:12" x14ac:dyDescent="0.4">
      <c r="K253" s="36">
        <v>251</v>
      </c>
      <c r="L253" s="97">
        <v>-74.3</v>
      </c>
    </row>
    <row r="254" spans="11:12" x14ac:dyDescent="0.4">
      <c r="K254" s="36">
        <v>252</v>
      </c>
      <c r="L254" s="97">
        <v>0</v>
      </c>
    </row>
    <row r="255" spans="11:12" x14ac:dyDescent="0.4">
      <c r="K255" s="36">
        <v>253</v>
      </c>
      <c r="L255" s="97">
        <v>7.7</v>
      </c>
    </row>
    <row r="256" spans="11:12" x14ac:dyDescent="0.4">
      <c r="K256" s="36">
        <v>254</v>
      </c>
      <c r="L256" s="97">
        <v>38.5</v>
      </c>
    </row>
    <row r="257" spans="11:12" x14ac:dyDescent="0.4">
      <c r="K257" s="36">
        <v>255</v>
      </c>
      <c r="L257" s="97">
        <v>0</v>
      </c>
    </row>
    <row r="258" spans="11:12" x14ac:dyDescent="0.4">
      <c r="K258" s="36">
        <v>256</v>
      </c>
      <c r="L258" s="97">
        <v>3.4</v>
      </c>
    </row>
    <row r="259" spans="11:12" x14ac:dyDescent="0.4">
      <c r="K259" s="36">
        <v>257</v>
      </c>
      <c r="L259" s="97">
        <v>-28.3</v>
      </c>
    </row>
    <row r="260" spans="11:12" x14ac:dyDescent="0.4">
      <c r="K260" s="36">
        <v>258</v>
      </c>
      <c r="L260" s="97">
        <v>0</v>
      </c>
    </row>
    <row r="261" spans="11:12" x14ac:dyDescent="0.4">
      <c r="K261" s="36">
        <v>259</v>
      </c>
      <c r="L261" s="97">
        <v>-42.3</v>
      </c>
    </row>
    <row r="262" spans="11:12" x14ac:dyDescent="0.4">
      <c r="K262" s="36">
        <v>260</v>
      </c>
      <c r="L262" s="97">
        <v>-2.5</v>
      </c>
    </row>
    <row r="263" spans="11:12" x14ac:dyDescent="0.4">
      <c r="K263" s="36">
        <v>261</v>
      </c>
      <c r="L263" s="97">
        <v>0</v>
      </c>
    </row>
    <row r="264" spans="11:12" x14ac:dyDescent="0.4">
      <c r="K264" s="36">
        <v>262</v>
      </c>
      <c r="L264" s="97">
        <v>-28.8</v>
      </c>
    </row>
    <row r="265" spans="11:12" x14ac:dyDescent="0.4">
      <c r="K265" s="36">
        <v>263</v>
      </c>
      <c r="L265" s="97">
        <v>-36.4</v>
      </c>
    </row>
    <row r="266" spans="11:12" x14ac:dyDescent="0.4">
      <c r="K266" s="36">
        <v>264</v>
      </c>
      <c r="L266" s="97">
        <v>0</v>
      </c>
    </row>
    <row r="267" spans="11:12" x14ac:dyDescent="0.4">
      <c r="K267" s="36">
        <v>265</v>
      </c>
      <c r="L267" s="97">
        <v>-47</v>
      </c>
    </row>
    <row r="268" spans="11:12" x14ac:dyDescent="0.4">
      <c r="K268" s="36">
        <v>266</v>
      </c>
      <c r="L268" s="97">
        <v>-7.5</v>
      </c>
    </row>
    <row r="269" spans="11:12" x14ac:dyDescent="0.4">
      <c r="K269" s="36">
        <v>267</v>
      </c>
      <c r="L269" s="97">
        <v>0</v>
      </c>
    </row>
    <row r="270" spans="11:12" x14ac:dyDescent="0.4">
      <c r="K270" s="36">
        <v>268</v>
      </c>
      <c r="L270" s="97">
        <v>2.9</v>
      </c>
    </row>
    <row r="271" spans="11:12" x14ac:dyDescent="0.4">
      <c r="K271" s="36">
        <v>269</v>
      </c>
      <c r="L271" s="97">
        <v>32.1</v>
      </c>
    </row>
    <row r="272" spans="11:12" x14ac:dyDescent="0.4">
      <c r="K272" s="36">
        <v>270</v>
      </c>
      <c r="L272" s="97">
        <v>0</v>
      </c>
    </row>
    <row r="273" spans="11:12" x14ac:dyDescent="0.4">
      <c r="K273" s="36">
        <v>271</v>
      </c>
      <c r="L273" s="97">
        <v>-24.8</v>
      </c>
    </row>
    <row r="274" spans="11:12" x14ac:dyDescent="0.4">
      <c r="K274" s="36">
        <v>272</v>
      </c>
      <c r="L274" s="97">
        <v>-82.5</v>
      </c>
    </row>
    <row r="275" spans="11:12" x14ac:dyDescent="0.4">
      <c r="K275" s="36">
        <v>273</v>
      </c>
      <c r="L275" s="97">
        <v>0</v>
      </c>
    </row>
    <row r="276" spans="11:12" x14ac:dyDescent="0.4">
      <c r="K276" s="36">
        <v>274</v>
      </c>
      <c r="L276" s="97">
        <v>30.3</v>
      </c>
    </row>
    <row r="277" spans="11:12" x14ac:dyDescent="0.4">
      <c r="K277" s="36">
        <v>275</v>
      </c>
      <c r="L277" s="97">
        <v>27.5</v>
      </c>
    </row>
    <row r="278" spans="11:12" x14ac:dyDescent="0.4">
      <c r="K278" s="36">
        <v>276</v>
      </c>
      <c r="L278" s="97">
        <v>0</v>
      </c>
    </row>
    <row r="279" spans="11:12" x14ac:dyDescent="0.4">
      <c r="K279" s="36">
        <v>277</v>
      </c>
      <c r="L279" s="97">
        <v>-5.5</v>
      </c>
    </row>
    <row r="280" spans="11:12" x14ac:dyDescent="0.4">
      <c r="K280" s="36">
        <v>278</v>
      </c>
      <c r="L280" s="97">
        <v>-66.599999999999994</v>
      </c>
    </row>
    <row r="281" spans="11:12" x14ac:dyDescent="0.4">
      <c r="K281" s="36">
        <v>279</v>
      </c>
      <c r="L281" s="97">
        <v>0</v>
      </c>
    </row>
    <row r="282" spans="11:12" x14ac:dyDescent="0.4">
      <c r="K282" s="36">
        <v>280</v>
      </c>
      <c r="L282" s="97">
        <v>-32.9</v>
      </c>
    </row>
    <row r="283" spans="11:12" x14ac:dyDescent="0.4">
      <c r="K283" s="36">
        <v>281</v>
      </c>
      <c r="L283" s="97">
        <v>12.5</v>
      </c>
    </row>
    <row r="284" spans="11:12" x14ac:dyDescent="0.4">
      <c r="K284" s="36">
        <v>282</v>
      </c>
      <c r="L284" s="97">
        <v>0</v>
      </c>
    </row>
    <row r="285" spans="11:12" x14ac:dyDescent="0.4">
      <c r="K285" s="36">
        <v>283</v>
      </c>
      <c r="L285" s="97">
        <v>45.1</v>
      </c>
    </row>
    <row r="286" spans="11:12" x14ac:dyDescent="0.4">
      <c r="K286" s="36">
        <v>284</v>
      </c>
      <c r="L286" s="97">
        <v>7.1000000000000014</v>
      </c>
    </row>
    <row r="287" spans="11:12" x14ac:dyDescent="0.4">
      <c r="K287" s="36">
        <v>285</v>
      </c>
      <c r="L287" s="97">
        <v>1.7763568394002505E-15</v>
      </c>
    </row>
    <row r="288" spans="11:12" x14ac:dyDescent="0.4">
      <c r="K288" s="36">
        <v>286</v>
      </c>
      <c r="L288" s="97">
        <v>-56.4</v>
      </c>
    </row>
    <row r="289" spans="11:12" x14ac:dyDescent="0.4">
      <c r="K289" s="36">
        <v>287</v>
      </c>
      <c r="L289" s="97">
        <v>-51.1</v>
      </c>
    </row>
    <row r="290" spans="11:12" x14ac:dyDescent="0.4">
      <c r="K290" s="36">
        <v>288</v>
      </c>
      <c r="L290" s="97">
        <v>0</v>
      </c>
    </row>
    <row r="291" spans="11:12" x14ac:dyDescent="0.4">
      <c r="K291" s="36">
        <v>289</v>
      </c>
      <c r="L291" s="97">
        <v>45.4</v>
      </c>
    </row>
    <row r="292" spans="11:12" x14ac:dyDescent="0.4">
      <c r="K292" s="36">
        <v>290</v>
      </c>
      <c r="L292" s="97">
        <v>37.5</v>
      </c>
    </row>
    <row r="293" spans="11:12" x14ac:dyDescent="0.4">
      <c r="K293" s="36">
        <v>291</v>
      </c>
      <c r="L293" s="97">
        <v>0</v>
      </c>
    </row>
    <row r="294" spans="11:12" x14ac:dyDescent="0.4">
      <c r="K294" s="36">
        <v>292</v>
      </c>
      <c r="L294" s="97">
        <v>-58.7</v>
      </c>
    </row>
    <row r="295" spans="11:12" x14ac:dyDescent="0.4">
      <c r="K295" s="36">
        <v>293</v>
      </c>
      <c r="L295" s="97">
        <v>-59.2</v>
      </c>
    </row>
    <row r="296" spans="11:12" x14ac:dyDescent="0.4">
      <c r="K296" s="36">
        <v>294</v>
      </c>
      <c r="L296" s="97">
        <v>0</v>
      </c>
    </row>
    <row r="297" spans="11:12" x14ac:dyDescent="0.4">
      <c r="K297" s="36">
        <v>295</v>
      </c>
      <c r="L297" s="97">
        <v>6.7</v>
      </c>
    </row>
    <row r="298" spans="11:12" x14ac:dyDescent="0.4">
      <c r="K298" s="36">
        <v>296</v>
      </c>
      <c r="L298" s="97">
        <v>-27.7</v>
      </c>
    </row>
    <row r="299" spans="11:12" x14ac:dyDescent="0.4">
      <c r="K299" s="36">
        <v>297</v>
      </c>
      <c r="L299" s="97">
        <v>0</v>
      </c>
    </row>
    <row r="300" spans="11:12" x14ac:dyDescent="0.4">
      <c r="K300" s="36">
        <v>298</v>
      </c>
      <c r="L300" s="97">
        <v>6.1</v>
      </c>
    </row>
    <row r="301" spans="11:12" x14ac:dyDescent="0.4">
      <c r="K301" s="36">
        <v>299</v>
      </c>
      <c r="L301" s="97">
        <v>32.700000000000003</v>
      </c>
    </row>
    <row r="302" spans="11:12" x14ac:dyDescent="0.4">
      <c r="K302" s="36">
        <v>300</v>
      </c>
      <c r="L302" s="97">
        <v>0</v>
      </c>
    </row>
    <row r="303" spans="11:12" x14ac:dyDescent="0.4">
      <c r="K303" s="36">
        <v>301</v>
      </c>
      <c r="L303" s="97">
        <v>-54.9</v>
      </c>
    </row>
    <row r="304" spans="11:12" x14ac:dyDescent="0.4">
      <c r="K304" s="36">
        <v>302</v>
      </c>
      <c r="L304" s="97">
        <v>-9.1999999999999957</v>
      </c>
    </row>
    <row r="305" spans="11:12" x14ac:dyDescent="0.4">
      <c r="K305" s="36">
        <v>303</v>
      </c>
      <c r="L305" s="97">
        <v>3.5527136788005009E-15</v>
      </c>
    </row>
    <row r="306" spans="11:12" x14ac:dyDescent="0.4">
      <c r="K306" s="36">
        <v>304</v>
      </c>
      <c r="L306" s="97">
        <v>-52.8</v>
      </c>
    </row>
    <row r="307" spans="11:12" x14ac:dyDescent="0.4">
      <c r="K307" s="36">
        <v>305</v>
      </c>
      <c r="L307" s="97">
        <v>-70.900000000000006</v>
      </c>
    </row>
    <row r="308" spans="11:12" x14ac:dyDescent="0.4">
      <c r="K308" s="36">
        <v>306</v>
      </c>
      <c r="L308" s="97">
        <v>0</v>
      </c>
    </row>
    <row r="309" spans="11:12" x14ac:dyDescent="0.4">
      <c r="K309" s="36">
        <v>307</v>
      </c>
      <c r="L309" s="97">
        <v>82.3</v>
      </c>
    </row>
    <row r="310" spans="11:12" x14ac:dyDescent="0.4">
      <c r="K310" s="36">
        <v>308</v>
      </c>
      <c r="L310" s="97">
        <v>25.5</v>
      </c>
    </row>
    <row r="311" spans="11:12" x14ac:dyDescent="0.4">
      <c r="K311" s="36">
        <v>309</v>
      </c>
      <c r="L311" s="97">
        <v>0</v>
      </c>
    </row>
    <row r="312" spans="11:12" x14ac:dyDescent="0.4">
      <c r="K312" s="36">
        <v>310</v>
      </c>
      <c r="L312" s="97">
        <v>22.4</v>
      </c>
    </row>
    <row r="313" spans="11:12" x14ac:dyDescent="0.4">
      <c r="K313" s="36">
        <v>311</v>
      </c>
      <c r="L313" s="97">
        <v>23.5</v>
      </c>
    </row>
    <row r="314" spans="11:12" x14ac:dyDescent="0.4">
      <c r="K314" s="36">
        <v>312</v>
      </c>
      <c r="L314" s="97">
        <v>0</v>
      </c>
    </row>
    <row r="315" spans="11:12" x14ac:dyDescent="0.4">
      <c r="K315" s="36">
        <v>313</v>
      </c>
      <c r="L315" s="97">
        <v>-24.6</v>
      </c>
    </row>
    <row r="316" spans="11:12" x14ac:dyDescent="0.4">
      <c r="K316" s="36">
        <v>314</v>
      </c>
      <c r="L316" s="97">
        <v>-2.2000000000000028</v>
      </c>
    </row>
    <row r="317" spans="11:12" x14ac:dyDescent="0.4">
      <c r="K317" s="36">
        <v>315</v>
      </c>
      <c r="L317" s="97">
        <v>-2.6645352591003757E-15</v>
      </c>
    </row>
    <row r="318" spans="11:12" x14ac:dyDescent="0.4">
      <c r="K318" s="36">
        <v>316</v>
      </c>
      <c r="L318" s="97">
        <v>-5.3000000000000025</v>
      </c>
    </row>
    <row r="319" spans="11:12" x14ac:dyDescent="0.4">
      <c r="K319" s="36">
        <v>317</v>
      </c>
      <c r="L319" s="97">
        <v>76.600000000000009</v>
      </c>
    </row>
    <row r="320" spans="11:12" x14ac:dyDescent="0.4">
      <c r="K320" s="36">
        <v>318</v>
      </c>
      <c r="L320" s="97">
        <v>1.4210854715202004E-14</v>
      </c>
    </row>
    <row r="321" spans="11:12" x14ac:dyDescent="0.4">
      <c r="K321" s="36">
        <v>319</v>
      </c>
      <c r="L321" s="97">
        <v>-12.599999999999985</v>
      </c>
    </row>
    <row r="322" spans="11:12" x14ac:dyDescent="0.4">
      <c r="K322" s="36">
        <v>320</v>
      </c>
      <c r="L322" s="97">
        <v>35.100000000000016</v>
      </c>
    </row>
    <row r="323" spans="11:12" x14ac:dyDescent="0.4">
      <c r="K323" s="36">
        <v>321</v>
      </c>
      <c r="L323" s="97">
        <v>1.4210854715202004E-14</v>
      </c>
    </row>
    <row r="324" spans="11:12" x14ac:dyDescent="0.4">
      <c r="K324" s="36">
        <v>322</v>
      </c>
      <c r="L324" s="97">
        <v>66.200000000000017</v>
      </c>
    </row>
    <row r="325" spans="11:12" x14ac:dyDescent="0.4">
      <c r="K325" s="36">
        <v>323</v>
      </c>
      <c r="L325" s="97">
        <v>57.300000000000018</v>
      </c>
    </row>
    <row r="326" spans="11:12" x14ac:dyDescent="0.4">
      <c r="K326" s="36">
        <v>324</v>
      </c>
      <c r="L326" s="97">
        <v>2.1316282072803006E-14</v>
      </c>
    </row>
    <row r="327" spans="11:12" x14ac:dyDescent="0.4">
      <c r="K327" s="36">
        <v>325</v>
      </c>
      <c r="L327" s="97">
        <v>-35.59999999999998</v>
      </c>
    </row>
    <row r="328" spans="11:12" x14ac:dyDescent="0.4">
      <c r="K328" s="36">
        <v>326</v>
      </c>
      <c r="L328" s="97">
        <v>-38.59999999999998</v>
      </c>
    </row>
    <row r="329" spans="11:12" x14ac:dyDescent="0.4">
      <c r="K329" s="36">
        <v>327</v>
      </c>
      <c r="L329" s="97">
        <v>2.1316282072803006E-14</v>
      </c>
    </row>
    <row r="330" spans="11:12" x14ac:dyDescent="0.4">
      <c r="K330" s="36">
        <v>328</v>
      </c>
      <c r="L330" s="97">
        <v>32.500000000000021</v>
      </c>
    </row>
    <row r="331" spans="11:12" x14ac:dyDescent="0.4">
      <c r="K331" s="36">
        <v>329</v>
      </c>
      <c r="L331" s="97">
        <v>38.600000000000023</v>
      </c>
    </row>
    <row r="332" spans="11:12" x14ac:dyDescent="0.4">
      <c r="K332" s="36">
        <v>330</v>
      </c>
      <c r="L332" s="97">
        <v>2.1316282072803006E-14</v>
      </c>
    </row>
    <row r="333" spans="11:12" x14ac:dyDescent="0.4">
      <c r="K333" s="36">
        <v>331</v>
      </c>
      <c r="L333" s="97">
        <v>-36.799999999999976</v>
      </c>
    </row>
    <row r="334" spans="11:12" x14ac:dyDescent="0.4">
      <c r="K334" s="36">
        <v>332</v>
      </c>
      <c r="L334" s="97">
        <v>1.400000000000027</v>
      </c>
    </row>
    <row r="335" spans="11:12" x14ac:dyDescent="0.4">
      <c r="K335" s="36">
        <v>333</v>
      </c>
      <c r="L335" s="97">
        <v>2.708944180085382E-14</v>
      </c>
    </row>
    <row r="336" spans="11:12" x14ac:dyDescent="0.4">
      <c r="K336" s="36">
        <v>334</v>
      </c>
      <c r="L336" s="97">
        <v>10.000000000000027</v>
      </c>
    </row>
    <row r="337" spans="11:12" x14ac:dyDescent="0.4">
      <c r="K337" s="36">
        <v>335</v>
      </c>
      <c r="L337" s="97">
        <v>-39.699999999999974</v>
      </c>
    </row>
    <row r="338" spans="11:12" x14ac:dyDescent="0.4">
      <c r="K338" s="36">
        <v>336</v>
      </c>
      <c r="L338" s="97">
        <v>2.8421709430404007E-14</v>
      </c>
    </row>
    <row r="339" spans="11:12" x14ac:dyDescent="0.4">
      <c r="K339" s="36">
        <v>337</v>
      </c>
      <c r="L339" s="97">
        <v>42.500000000000028</v>
      </c>
    </row>
    <row r="340" spans="11:12" x14ac:dyDescent="0.4">
      <c r="K340" s="36">
        <v>338</v>
      </c>
      <c r="L340" s="97">
        <v>3.0000000000000284</v>
      </c>
    </row>
    <row r="341" spans="11:12" x14ac:dyDescent="0.4">
      <c r="K341" s="36">
        <v>339</v>
      </c>
      <c r="L341" s="97">
        <v>2.8421709430404007E-14</v>
      </c>
    </row>
    <row r="342" spans="11:12" x14ac:dyDescent="0.4">
      <c r="K342" s="36">
        <v>340</v>
      </c>
      <c r="L342" s="97">
        <v>-6.9999999999999716</v>
      </c>
    </row>
    <row r="343" spans="11:12" x14ac:dyDescent="0.4">
      <c r="K343" s="36">
        <v>341</v>
      </c>
      <c r="L343" s="97">
        <v>-41.799999999999969</v>
      </c>
    </row>
    <row r="344" spans="11:12" x14ac:dyDescent="0.4">
      <c r="K344" s="36">
        <v>342</v>
      </c>
      <c r="L344" s="97">
        <v>2.8421709430404007E-14</v>
      </c>
    </row>
    <row r="345" spans="11:12" x14ac:dyDescent="0.4">
      <c r="K345" s="36">
        <v>343</v>
      </c>
      <c r="L345" s="97">
        <v>-34.199999999999974</v>
      </c>
    </row>
    <row r="346" spans="11:12" x14ac:dyDescent="0.4">
      <c r="K346" s="36">
        <v>344</v>
      </c>
      <c r="L346" s="97">
        <v>0.30000000000002558</v>
      </c>
    </row>
    <row r="347" spans="11:12" x14ac:dyDescent="0.4">
      <c r="K347" s="36">
        <v>345</v>
      </c>
      <c r="L347" s="97">
        <v>2.5590640717609858E-14</v>
      </c>
    </row>
    <row r="348" spans="11:12" x14ac:dyDescent="0.4">
      <c r="K348" s="36">
        <v>346</v>
      </c>
      <c r="L348" s="97">
        <v>-58.499999999999972</v>
      </c>
    </row>
    <row r="349" spans="11:12" x14ac:dyDescent="0.4">
      <c r="K349" s="36">
        <v>347</v>
      </c>
      <c r="L349" s="97">
        <v>-44.999999999999972</v>
      </c>
    </row>
    <row r="350" spans="11:12" x14ac:dyDescent="0.4">
      <c r="K350" s="36">
        <v>348</v>
      </c>
      <c r="L350" s="97">
        <v>2.8421709430404007E-14</v>
      </c>
    </row>
    <row r="351" spans="11:12" x14ac:dyDescent="0.4">
      <c r="K351" s="36">
        <v>349</v>
      </c>
      <c r="L351" s="97">
        <v>-77.999999999999972</v>
      </c>
    </row>
    <row r="352" spans="11:12" x14ac:dyDescent="0.4">
      <c r="K352" s="36">
        <v>350</v>
      </c>
      <c r="L352" s="97">
        <v>-17.599999999999973</v>
      </c>
    </row>
    <row r="353" spans="11:12" x14ac:dyDescent="0.4">
      <c r="K353" s="36">
        <v>351</v>
      </c>
      <c r="L353" s="97">
        <v>2.8421709430404007E-14</v>
      </c>
    </row>
    <row r="354" spans="11:12" x14ac:dyDescent="0.4">
      <c r="K354" s="36">
        <v>352</v>
      </c>
      <c r="L354" s="97">
        <v>2.1000000000000285</v>
      </c>
    </row>
    <row r="355" spans="11:12" x14ac:dyDescent="0.4">
      <c r="K355" s="36">
        <v>353</v>
      </c>
      <c r="L355" s="97">
        <v>30.500000000000028</v>
      </c>
    </row>
    <row r="356" spans="11:12" x14ac:dyDescent="0.4">
      <c r="K356" s="36">
        <v>354</v>
      </c>
      <c r="L356" s="97">
        <v>2.8421709430404007E-14</v>
      </c>
    </row>
    <row r="357" spans="11:12" x14ac:dyDescent="0.4">
      <c r="K357" s="36">
        <v>355</v>
      </c>
      <c r="L357" s="97">
        <v>8.8000000000000291</v>
      </c>
    </row>
    <row r="358" spans="11:12" x14ac:dyDescent="0.4">
      <c r="K358" s="36">
        <v>356</v>
      </c>
      <c r="L358" s="97">
        <v>40.900000000000034</v>
      </c>
    </row>
    <row r="359" spans="11:12" x14ac:dyDescent="0.4">
      <c r="K359" s="36">
        <v>357</v>
      </c>
      <c r="L359" s="97">
        <v>3.5527136788005009E-14</v>
      </c>
    </row>
    <row r="360" spans="11:12" x14ac:dyDescent="0.4">
      <c r="K360" s="36">
        <v>358</v>
      </c>
      <c r="L360" s="97">
        <v>9.6000000000000352</v>
      </c>
    </row>
    <row r="361" spans="11:12" x14ac:dyDescent="0.4">
      <c r="K361" s="36">
        <v>359</v>
      </c>
      <c r="L361" s="97">
        <v>-30.69999999999996</v>
      </c>
    </row>
    <row r="362" spans="11:12" x14ac:dyDescent="0.4">
      <c r="K362" s="36">
        <v>360</v>
      </c>
      <c r="L362" s="97">
        <v>3.907985046680551E-14</v>
      </c>
    </row>
    <row r="363" spans="11:12" x14ac:dyDescent="0.4">
      <c r="K363" s="36">
        <v>361</v>
      </c>
      <c r="L363" s="97">
        <v>-1.299999999999961</v>
      </c>
    </row>
    <row r="364" spans="11:12" x14ac:dyDescent="0.4">
      <c r="K364" s="36">
        <v>362</v>
      </c>
      <c r="L364" s="97">
        <v>25.100000000000037</v>
      </c>
    </row>
    <row r="365" spans="11:12" x14ac:dyDescent="0.4">
      <c r="K365" s="36">
        <v>363</v>
      </c>
      <c r="L365" s="97">
        <v>3.5527136788005009E-14</v>
      </c>
    </row>
    <row r="366" spans="11:12" x14ac:dyDescent="0.4">
      <c r="K366" s="36">
        <v>364</v>
      </c>
      <c r="L366" s="97">
        <v>-65.099999999999966</v>
      </c>
    </row>
    <row r="367" spans="11:12" x14ac:dyDescent="0.4">
      <c r="K367" s="36">
        <v>365</v>
      </c>
      <c r="L367" s="97">
        <v>-9.1999999999999673</v>
      </c>
    </row>
    <row r="368" spans="11:12" x14ac:dyDescent="0.4">
      <c r="K368" s="36">
        <v>366</v>
      </c>
      <c r="L368" s="97">
        <v>3.1974423109204508E-14</v>
      </c>
    </row>
    <row r="369" spans="11:12" x14ac:dyDescent="0.4">
      <c r="K369" s="36">
        <v>367</v>
      </c>
      <c r="L369" s="97">
        <v>31.600000000000033</v>
      </c>
    </row>
    <row r="370" spans="11:12" x14ac:dyDescent="0.4">
      <c r="K370" s="36">
        <v>368</v>
      </c>
      <c r="L370" s="97">
        <v>4.6000000000000334</v>
      </c>
    </row>
    <row r="371" spans="11:12" x14ac:dyDescent="0.4">
      <c r="K371" s="36">
        <v>369</v>
      </c>
      <c r="L371" s="97">
        <v>3.3750779948604759E-14</v>
      </c>
    </row>
    <row r="372" spans="11:12" x14ac:dyDescent="0.4">
      <c r="K372" s="36">
        <v>370</v>
      </c>
      <c r="L372" s="97">
        <v>-43.399999999999963</v>
      </c>
    </row>
    <row r="373" spans="11:12" x14ac:dyDescent="0.4">
      <c r="K373" s="36">
        <v>371</v>
      </c>
      <c r="L373" s="97">
        <v>0.30000000000003979</v>
      </c>
    </row>
    <row r="374" spans="11:12" x14ac:dyDescent="0.4">
      <c r="K374" s="36">
        <v>372</v>
      </c>
      <c r="L374" s="97">
        <v>3.9801495432811862E-14</v>
      </c>
    </row>
    <row r="375" spans="11:12" x14ac:dyDescent="0.4">
      <c r="K375" s="36">
        <v>373</v>
      </c>
      <c r="L375" s="97">
        <v>-31.69999999999996</v>
      </c>
    </row>
    <row r="376" spans="11:12" x14ac:dyDescent="0.4">
      <c r="K376" s="36">
        <v>374</v>
      </c>
      <c r="L376" s="97">
        <v>-34.799999999999962</v>
      </c>
    </row>
    <row r="377" spans="11:12" x14ac:dyDescent="0.4">
      <c r="K377" s="36">
        <v>375</v>
      </c>
      <c r="L377" s="97">
        <v>3.5527136788005009E-14</v>
      </c>
    </row>
    <row r="378" spans="11:12" x14ac:dyDescent="0.4">
      <c r="K378" s="36">
        <v>376</v>
      </c>
      <c r="L378" s="97">
        <v>63.100000000000037</v>
      </c>
    </row>
    <row r="379" spans="11:12" x14ac:dyDescent="0.4">
      <c r="K379" s="36">
        <v>377</v>
      </c>
      <c r="L379" s="97">
        <v>75.30000000000004</v>
      </c>
    </row>
    <row r="380" spans="11:12" x14ac:dyDescent="0.4">
      <c r="K380" s="36">
        <v>378</v>
      </c>
      <c r="L380" s="97">
        <v>4.2632564145606011E-14</v>
      </c>
    </row>
    <row r="381" spans="11:12" x14ac:dyDescent="0.4">
      <c r="K381" s="36">
        <v>379</v>
      </c>
      <c r="L381" s="97">
        <v>-10.499999999999957</v>
      </c>
    </row>
    <row r="382" spans="11:12" x14ac:dyDescent="0.4">
      <c r="K382" s="36">
        <v>380</v>
      </c>
      <c r="L382" s="97">
        <v>35.500000000000043</v>
      </c>
    </row>
    <row r="383" spans="11:12" x14ac:dyDescent="0.4">
      <c r="K383" s="36">
        <v>381</v>
      </c>
      <c r="L383" s="97">
        <v>4.2632564145606011E-14</v>
      </c>
    </row>
    <row r="384" spans="11:12" x14ac:dyDescent="0.4">
      <c r="K384" s="36">
        <v>382</v>
      </c>
      <c r="L384" s="97">
        <v>-57.599999999999959</v>
      </c>
    </row>
    <row r="385" spans="11:12" x14ac:dyDescent="0.4">
      <c r="K385" s="36">
        <v>383</v>
      </c>
      <c r="L385" s="97">
        <v>-4.9999999999999574</v>
      </c>
    </row>
    <row r="386" spans="11:12" x14ac:dyDescent="0.4">
      <c r="K386" s="36">
        <v>384</v>
      </c>
      <c r="L386" s="97">
        <v>4.2632564145606011E-14</v>
      </c>
    </row>
    <row r="387" spans="11:12" x14ac:dyDescent="0.4">
      <c r="K387" s="36">
        <v>385</v>
      </c>
      <c r="L387" s="97">
        <v>-33.299999999999955</v>
      </c>
    </row>
    <row r="388" spans="11:12" x14ac:dyDescent="0.4">
      <c r="K388" s="36">
        <v>386</v>
      </c>
      <c r="L388" s="97">
        <v>-2.6999999999999531</v>
      </c>
    </row>
    <row r="389" spans="11:12" x14ac:dyDescent="0.4">
      <c r="K389" s="36">
        <v>387</v>
      </c>
      <c r="L389" s="97">
        <v>4.7073456244106637E-14</v>
      </c>
    </row>
    <row r="390" spans="11:12" x14ac:dyDescent="0.4">
      <c r="K390" s="36">
        <v>388</v>
      </c>
      <c r="L390" s="97">
        <v>-39.599999999999952</v>
      </c>
    </row>
    <row r="391" spans="11:12" x14ac:dyDescent="0.4">
      <c r="K391" s="36">
        <v>389</v>
      </c>
      <c r="L391" s="97">
        <v>-38.199999999999953</v>
      </c>
    </row>
    <row r="392" spans="11:12" x14ac:dyDescent="0.4">
      <c r="K392" s="36">
        <v>390</v>
      </c>
      <c r="L392" s="97">
        <v>4.9737991503207013E-14</v>
      </c>
    </row>
    <row r="393" spans="11:12" x14ac:dyDescent="0.4">
      <c r="K393" s="36">
        <v>391</v>
      </c>
      <c r="L393" s="97">
        <v>-29.799999999999951</v>
      </c>
    </row>
    <row r="394" spans="11:12" x14ac:dyDescent="0.4">
      <c r="K394" s="36">
        <v>392</v>
      </c>
      <c r="L394" s="97">
        <v>3.200000000000049</v>
      </c>
    </row>
    <row r="395" spans="11:12" x14ac:dyDescent="0.4">
      <c r="K395" s="36">
        <v>393</v>
      </c>
      <c r="L395" s="97">
        <v>4.8849813083506888E-14</v>
      </c>
    </row>
    <row r="396" spans="11:12" x14ac:dyDescent="0.4">
      <c r="K396" s="36">
        <v>394</v>
      </c>
      <c r="L396" s="97">
        <v>-7.299999999999951</v>
      </c>
    </row>
    <row r="397" spans="11:12" x14ac:dyDescent="0.4">
      <c r="K397" s="36">
        <v>395</v>
      </c>
      <c r="L397" s="97">
        <v>58.200000000000045</v>
      </c>
    </row>
    <row r="398" spans="11:12" x14ac:dyDescent="0.4">
      <c r="K398" s="36">
        <v>396</v>
      </c>
      <c r="L398" s="97">
        <v>4.2632564145606011E-14</v>
      </c>
    </row>
    <row r="399" spans="11:12" x14ac:dyDescent="0.4">
      <c r="K399" s="36">
        <v>397</v>
      </c>
      <c r="L399" s="97">
        <v>-35.999999999999957</v>
      </c>
    </row>
    <row r="400" spans="11:12" x14ac:dyDescent="0.4">
      <c r="K400" s="36">
        <v>398</v>
      </c>
      <c r="L400" s="97">
        <v>-34.399999999999956</v>
      </c>
    </row>
    <row r="401" spans="11:12" x14ac:dyDescent="0.4">
      <c r="K401" s="36">
        <v>399</v>
      </c>
      <c r="L401" s="97">
        <v>4.2632564145606011E-14</v>
      </c>
    </row>
    <row r="402" spans="11:12" x14ac:dyDescent="0.4">
      <c r="K402" s="36">
        <v>400</v>
      </c>
      <c r="L402" s="97">
        <v>-59.19999999999996</v>
      </c>
    </row>
    <row r="403" spans="11:12" x14ac:dyDescent="0.4">
      <c r="K403" s="36">
        <v>401</v>
      </c>
      <c r="L403" s="97">
        <v>-59.899999999999963</v>
      </c>
    </row>
    <row r="404" spans="11:12" x14ac:dyDescent="0.4">
      <c r="K404" s="36">
        <v>402</v>
      </c>
      <c r="L404" s="97">
        <v>3.5527136788005009E-14</v>
      </c>
    </row>
    <row r="405" spans="11:12" x14ac:dyDescent="0.4">
      <c r="K405" s="36">
        <v>403</v>
      </c>
      <c r="L405" s="97">
        <v>35.400000000000034</v>
      </c>
    </row>
    <row r="406" spans="11:12" x14ac:dyDescent="0.4">
      <c r="K406" s="36">
        <v>404</v>
      </c>
      <c r="L406" s="97">
        <v>46.100000000000037</v>
      </c>
    </row>
    <row r="407" spans="11:12" x14ac:dyDescent="0.4">
      <c r="K407" s="36">
        <v>405</v>
      </c>
      <c r="L407" s="97">
        <v>3.5527136788005009E-14</v>
      </c>
    </row>
    <row r="408" spans="11:12" x14ac:dyDescent="0.4">
      <c r="K408" s="36">
        <v>406</v>
      </c>
      <c r="L408" s="97">
        <v>42.900000000000034</v>
      </c>
    </row>
    <row r="409" spans="11:12" x14ac:dyDescent="0.4">
      <c r="K409" s="36">
        <v>407</v>
      </c>
      <c r="L409" s="97">
        <v>-13.299999999999969</v>
      </c>
    </row>
    <row r="410" spans="11:12" x14ac:dyDescent="0.4">
      <c r="K410" s="36">
        <v>408</v>
      </c>
      <c r="L410" s="97">
        <v>3.1974423109204508E-14</v>
      </c>
    </row>
    <row r="411" spans="11:12" x14ac:dyDescent="0.4">
      <c r="K411" s="36">
        <v>409</v>
      </c>
      <c r="L411" s="97">
        <v>-36.999999999999972</v>
      </c>
    </row>
    <row r="412" spans="11:12" x14ac:dyDescent="0.4">
      <c r="K412" s="36">
        <v>410</v>
      </c>
      <c r="L412" s="97">
        <v>-43.699999999999974</v>
      </c>
    </row>
    <row r="413" spans="11:12" x14ac:dyDescent="0.4">
      <c r="K413" s="36">
        <v>411</v>
      </c>
      <c r="L413" s="97">
        <v>2.8421709430404007E-14</v>
      </c>
    </row>
    <row r="414" spans="11:12" x14ac:dyDescent="0.4">
      <c r="K414" s="36">
        <v>412</v>
      </c>
      <c r="L414" s="97">
        <v>-57.499999999999972</v>
      </c>
    </row>
    <row r="415" spans="11:12" x14ac:dyDescent="0.4">
      <c r="K415" s="36">
        <v>413</v>
      </c>
      <c r="L415" s="97">
        <v>5.2000000000000313</v>
      </c>
    </row>
    <row r="416" spans="11:12" x14ac:dyDescent="0.4">
      <c r="K416" s="36">
        <v>414</v>
      </c>
      <c r="L416" s="97">
        <v>3.1086244689504383E-14</v>
      </c>
    </row>
    <row r="417" spans="11:12" x14ac:dyDescent="0.4">
      <c r="K417" s="36">
        <v>415</v>
      </c>
      <c r="L417" s="97">
        <v>-43.89999999999997</v>
      </c>
    </row>
    <row r="418" spans="11:12" x14ac:dyDescent="0.4">
      <c r="K418" s="36">
        <v>416</v>
      </c>
      <c r="L418" s="97">
        <v>-35.099999999999966</v>
      </c>
    </row>
    <row r="419" spans="11:12" x14ac:dyDescent="0.4">
      <c r="K419" s="36">
        <v>417</v>
      </c>
      <c r="L419" s="97">
        <v>3.5527136788005009E-14</v>
      </c>
    </row>
    <row r="420" spans="11:12" x14ac:dyDescent="0.4">
      <c r="K420" s="36">
        <v>418</v>
      </c>
      <c r="L420" s="97">
        <v>-0.29999999999996446</v>
      </c>
    </row>
    <row r="421" spans="11:12" x14ac:dyDescent="0.4">
      <c r="K421" s="36">
        <v>419</v>
      </c>
      <c r="L421" s="97">
        <v>-22.899999999999967</v>
      </c>
    </row>
    <row r="422" spans="11:12" x14ac:dyDescent="0.4">
      <c r="K422" s="36">
        <v>420</v>
      </c>
      <c r="L422" s="97">
        <v>3.1974423109204508E-14</v>
      </c>
    </row>
    <row r="423" spans="11:12" x14ac:dyDescent="0.4">
      <c r="K423" s="36">
        <v>421</v>
      </c>
      <c r="L423" s="97">
        <v>-34.299999999999969</v>
      </c>
    </row>
    <row r="424" spans="11:12" x14ac:dyDescent="0.4">
      <c r="K424" s="36">
        <v>422</v>
      </c>
      <c r="L424" s="97">
        <v>-7.0999999999999694</v>
      </c>
    </row>
    <row r="425" spans="11:12" x14ac:dyDescent="0.4">
      <c r="K425" s="36">
        <v>423</v>
      </c>
      <c r="L425" s="97">
        <v>3.0198066269804258E-14</v>
      </c>
    </row>
    <row r="426" spans="11:12" x14ac:dyDescent="0.4">
      <c r="K426" s="36">
        <v>424</v>
      </c>
      <c r="L426" s="97">
        <v>-38.89999999999997</v>
      </c>
    </row>
    <row r="427" spans="11:12" x14ac:dyDescent="0.4">
      <c r="K427" s="36">
        <v>425</v>
      </c>
      <c r="L427" s="97">
        <v>14.60000000000003</v>
      </c>
    </row>
    <row r="428" spans="11:12" x14ac:dyDescent="0.4">
      <c r="K428" s="36">
        <v>426</v>
      </c>
      <c r="L428" s="97">
        <v>3.0198066269804258E-14</v>
      </c>
    </row>
    <row r="429" spans="11:12" x14ac:dyDescent="0.4">
      <c r="K429" s="36">
        <v>427</v>
      </c>
      <c r="L429" s="97">
        <v>30.60000000000003</v>
      </c>
    </row>
    <row r="430" spans="11:12" x14ac:dyDescent="0.4">
      <c r="K430" s="36">
        <v>428</v>
      </c>
      <c r="L430" s="97">
        <v>33.60000000000003</v>
      </c>
    </row>
    <row r="431" spans="11:12" x14ac:dyDescent="0.4">
      <c r="K431" s="36">
        <v>429</v>
      </c>
      <c r="L431" s="97">
        <v>2.8421709430404007E-14</v>
      </c>
    </row>
    <row r="432" spans="11:12" x14ac:dyDescent="0.4">
      <c r="K432" s="36">
        <v>430</v>
      </c>
      <c r="L432" s="97">
        <v>-58.89999999999997</v>
      </c>
    </row>
    <row r="433" spans="11:12" x14ac:dyDescent="0.4">
      <c r="K433" s="36">
        <v>431</v>
      </c>
      <c r="L433" s="97">
        <v>-17.199999999999967</v>
      </c>
    </row>
    <row r="434" spans="11:12" x14ac:dyDescent="0.4">
      <c r="K434" s="36">
        <v>432</v>
      </c>
      <c r="L434" s="97">
        <v>3.1974423109204508E-14</v>
      </c>
    </row>
    <row r="435" spans="11:12" x14ac:dyDescent="0.4">
      <c r="K435" s="36">
        <v>433</v>
      </c>
      <c r="L435" s="97">
        <v>-56.299999999999969</v>
      </c>
    </row>
    <row r="436" spans="11:12" x14ac:dyDescent="0.4">
      <c r="K436" s="36">
        <v>434</v>
      </c>
      <c r="L436" s="97">
        <v>-13.89999999999997</v>
      </c>
    </row>
    <row r="437" spans="11:12" x14ac:dyDescent="0.4">
      <c r="K437" s="36">
        <v>435</v>
      </c>
      <c r="L437" s="97">
        <v>3.0198066269804258E-14</v>
      </c>
    </row>
    <row r="438" spans="11:12" x14ac:dyDescent="0.4">
      <c r="K438" s="36">
        <v>436</v>
      </c>
      <c r="L438" s="97">
        <v>-12.39999999999997</v>
      </c>
    </row>
    <row r="439" spans="11:12" x14ac:dyDescent="0.4">
      <c r="K439" s="36">
        <v>437</v>
      </c>
      <c r="L439" s="97">
        <v>-52.499999999999972</v>
      </c>
    </row>
    <row r="440" spans="11:12" x14ac:dyDescent="0.4">
      <c r="K440" s="36">
        <v>438</v>
      </c>
      <c r="L440" s="97">
        <v>2.8421709430404007E-14</v>
      </c>
    </row>
    <row r="441" spans="11:12" x14ac:dyDescent="0.4">
      <c r="K441" s="36">
        <v>439</v>
      </c>
      <c r="L441" s="97">
        <v>-36.199999999999974</v>
      </c>
    </row>
    <row r="442" spans="11:12" x14ac:dyDescent="0.4">
      <c r="K442" s="36">
        <v>440</v>
      </c>
      <c r="L442" s="97">
        <v>0.20000000000002416</v>
      </c>
    </row>
    <row r="443" spans="11:12" x14ac:dyDescent="0.4">
      <c r="K443" s="36">
        <v>441</v>
      </c>
      <c r="L443" s="97">
        <v>2.4147350785597155E-14</v>
      </c>
    </row>
    <row r="444" spans="11:12" x14ac:dyDescent="0.4">
      <c r="K444" s="36">
        <v>442</v>
      </c>
      <c r="L444" s="97">
        <v>-14.499999999999975</v>
      </c>
    </row>
    <row r="445" spans="11:12" x14ac:dyDescent="0.4">
      <c r="K445" s="36">
        <v>443</v>
      </c>
      <c r="L445" s="97">
        <v>73.500000000000028</v>
      </c>
    </row>
    <row r="446" spans="11:12" x14ac:dyDescent="0.4">
      <c r="K446" s="36">
        <v>444</v>
      </c>
      <c r="L446" s="97">
        <v>2.8421709430404007E-14</v>
      </c>
    </row>
    <row r="447" spans="11:12" x14ac:dyDescent="0.4">
      <c r="K447" s="36">
        <v>445</v>
      </c>
      <c r="L447" s="97">
        <v>-57.39999999999997</v>
      </c>
    </row>
    <row r="448" spans="11:12" x14ac:dyDescent="0.4">
      <c r="K448" s="36">
        <v>446</v>
      </c>
      <c r="L448" s="97">
        <v>-11.39999999999997</v>
      </c>
    </row>
    <row r="449" spans="11:12" x14ac:dyDescent="0.4">
      <c r="K449" s="36">
        <v>447</v>
      </c>
      <c r="L449" s="97">
        <v>3.0198066269804258E-14</v>
      </c>
    </row>
    <row r="450" spans="11:12" x14ac:dyDescent="0.4">
      <c r="K450" s="36">
        <v>448</v>
      </c>
      <c r="L450" s="97">
        <v>34.300000000000026</v>
      </c>
    </row>
    <row r="451" spans="11:12" x14ac:dyDescent="0.4">
      <c r="K451" s="36">
        <v>449</v>
      </c>
      <c r="L451" s="97">
        <v>32.200000000000024</v>
      </c>
    </row>
    <row r="452" spans="11:12" x14ac:dyDescent="0.4">
      <c r="K452" s="36">
        <v>450</v>
      </c>
      <c r="L452" s="97">
        <v>2.1316282072803006E-14</v>
      </c>
    </row>
    <row r="453" spans="11:12" x14ac:dyDescent="0.4">
      <c r="K453" s="36">
        <v>451</v>
      </c>
      <c r="L453" s="97">
        <v>-56.199999999999982</v>
      </c>
    </row>
    <row r="454" spans="11:12" x14ac:dyDescent="0.4">
      <c r="K454" s="36">
        <v>452</v>
      </c>
      <c r="L454" s="97">
        <v>-14.59999999999998</v>
      </c>
    </row>
    <row r="455" spans="11:12" x14ac:dyDescent="0.4">
      <c r="K455" s="36">
        <v>453</v>
      </c>
      <c r="L455" s="97">
        <v>1.9539925233402755E-14</v>
      </c>
    </row>
    <row r="456" spans="11:12" x14ac:dyDescent="0.4">
      <c r="K456" s="36">
        <v>454</v>
      </c>
      <c r="L456" s="97">
        <v>-50.59999999999998</v>
      </c>
    </row>
    <row r="457" spans="11:12" x14ac:dyDescent="0.4">
      <c r="K457" s="36">
        <v>455</v>
      </c>
      <c r="L457" s="97">
        <v>-66.299999999999983</v>
      </c>
    </row>
    <row r="458" spans="11:12" x14ac:dyDescent="0.4">
      <c r="K458" s="36">
        <v>456</v>
      </c>
      <c r="L458" s="97">
        <v>1.4210854715202004E-14</v>
      </c>
    </row>
    <row r="459" spans="11:12" x14ac:dyDescent="0.4">
      <c r="K459" s="36">
        <v>457</v>
      </c>
      <c r="L459" s="97">
        <v>69.600000000000009</v>
      </c>
    </row>
    <row r="460" spans="11:12" x14ac:dyDescent="0.4">
      <c r="K460" s="36">
        <v>458</v>
      </c>
      <c r="L460" s="97">
        <v>59.20000000000001</v>
      </c>
    </row>
    <row r="461" spans="11:12" x14ac:dyDescent="0.4">
      <c r="K461" s="36">
        <v>459</v>
      </c>
      <c r="L461" s="97">
        <v>7.1054273576010019E-15</v>
      </c>
    </row>
    <row r="462" spans="11:12" x14ac:dyDescent="0.4">
      <c r="K462" s="36">
        <v>460</v>
      </c>
      <c r="L462" s="97">
        <v>-18.699999999999992</v>
      </c>
    </row>
    <row r="463" spans="11:12" x14ac:dyDescent="0.4">
      <c r="K463" s="36">
        <v>461</v>
      </c>
      <c r="L463" s="97">
        <v>56.500000000000014</v>
      </c>
    </row>
    <row r="464" spans="11:12" x14ac:dyDescent="0.4">
      <c r="K464" s="36">
        <v>462</v>
      </c>
      <c r="L464" s="97">
        <v>1.4210854715202004E-14</v>
      </c>
    </row>
    <row r="465" spans="11:12" x14ac:dyDescent="0.4">
      <c r="K465" s="36">
        <v>463</v>
      </c>
      <c r="L465" s="97">
        <v>37.400000000000013</v>
      </c>
    </row>
    <row r="466" spans="11:12" x14ac:dyDescent="0.4">
      <c r="K466" s="36">
        <v>464</v>
      </c>
      <c r="L466" s="97">
        <v>6.8000000000000114</v>
      </c>
    </row>
    <row r="467" spans="11:12" x14ac:dyDescent="0.4">
      <c r="K467" s="36">
        <v>465</v>
      </c>
      <c r="L467" s="97">
        <v>1.1546319456101628E-14</v>
      </c>
    </row>
    <row r="468" spans="11:12" x14ac:dyDescent="0.4">
      <c r="K468" s="36">
        <v>466</v>
      </c>
      <c r="L468" s="97">
        <v>-6.0999999999999881</v>
      </c>
    </row>
    <row r="469" spans="11:12" x14ac:dyDescent="0.4">
      <c r="K469" s="36">
        <v>467</v>
      </c>
      <c r="L469" s="97">
        <v>38.70000000000001</v>
      </c>
    </row>
    <row r="470" spans="11:12" x14ac:dyDescent="0.4">
      <c r="K470" s="36">
        <v>468</v>
      </c>
      <c r="L470" s="97">
        <v>7.1054273576010019E-15</v>
      </c>
    </row>
    <row r="471" spans="11:12" x14ac:dyDescent="0.4">
      <c r="K471" s="36">
        <v>469</v>
      </c>
      <c r="L471" s="97">
        <v>62.500000000000007</v>
      </c>
    </row>
    <row r="472" spans="11:12" x14ac:dyDescent="0.4">
      <c r="K472" s="36">
        <v>470</v>
      </c>
      <c r="L472" s="97">
        <v>2.5000000000000071</v>
      </c>
    </row>
    <row r="473" spans="11:12" x14ac:dyDescent="0.4">
      <c r="K473" s="36">
        <v>471</v>
      </c>
      <c r="L473" s="97">
        <v>7.1054273576010019E-15</v>
      </c>
    </row>
    <row r="474" spans="11:12" x14ac:dyDescent="0.4">
      <c r="K474" s="36">
        <v>472</v>
      </c>
      <c r="L474" s="97">
        <v>-37.699999999999996</v>
      </c>
    </row>
    <row r="475" spans="11:12" x14ac:dyDescent="0.4">
      <c r="K475" s="36">
        <v>473</v>
      </c>
      <c r="L475" s="97">
        <v>-47.599999999999994</v>
      </c>
    </row>
    <row r="476" spans="11:12" x14ac:dyDescent="0.4">
      <c r="K476" s="36">
        <v>474</v>
      </c>
      <c r="L476" s="97">
        <v>7.1054273576010019E-15</v>
      </c>
    </row>
    <row r="477" spans="11:12" x14ac:dyDescent="0.4">
      <c r="K477" s="36">
        <v>475</v>
      </c>
      <c r="L477" s="97">
        <v>20.500000000000007</v>
      </c>
    </row>
    <row r="478" spans="11:12" x14ac:dyDescent="0.4">
      <c r="K478" s="36">
        <v>476</v>
      </c>
      <c r="L478" s="97">
        <v>-45.4</v>
      </c>
    </row>
    <row r="479" spans="11:12" x14ac:dyDescent="0.4">
      <c r="K479" s="36">
        <v>477</v>
      </c>
      <c r="L479" s="97">
        <v>0</v>
      </c>
    </row>
    <row r="480" spans="11:12" x14ac:dyDescent="0.4">
      <c r="K480" s="36">
        <v>478</v>
      </c>
      <c r="L480" s="97">
        <v>51.8</v>
      </c>
    </row>
    <row r="481" spans="11:12" x14ac:dyDescent="0.4">
      <c r="K481" s="36">
        <v>479</v>
      </c>
      <c r="L481" s="97">
        <v>59.199999999999996</v>
      </c>
    </row>
    <row r="482" spans="11:12" x14ac:dyDescent="0.4">
      <c r="K482" s="36">
        <v>480</v>
      </c>
      <c r="L482" s="97">
        <v>-7.1054273576010019E-15</v>
      </c>
    </row>
    <row r="483" spans="11:12" x14ac:dyDescent="0.4">
      <c r="K483" s="36">
        <v>481</v>
      </c>
      <c r="L483" s="97">
        <v>-56.900000000000006</v>
      </c>
    </row>
    <row r="484" spans="11:12" x14ac:dyDescent="0.4">
      <c r="K484" s="36">
        <v>482</v>
      </c>
      <c r="L484" s="97">
        <v>-67.7</v>
      </c>
    </row>
    <row r="485" spans="11:12" x14ac:dyDescent="0.4">
      <c r="K485" s="36">
        <v>483</v>
      </c>
      <c r="L485" s="97">
        <v>0</v>
      </c>
    </row>
    <row r="486" spans="11:12" x14ac:dyDescent="0.4">
      <c r="K486" s="36">
        <v>484</v>
      </c>
      <c r="L486" s="97">
        <v>36.299999999999997</v>
      </c>
    </row>
    <row r="487" spans="11:12" x14ac:dyDescent="0.4">
      <c r="K487" s="36">
        <v>485</v>
      </c>
      <c r="L487" s="97">
        <v>-1.5</v>
      </c>
    </row>
    <row r="488" spans="11:12" x14ac:dyDescent="0.4">
      <c r="K488" s="36">
        <v>486</v>
      </c>
      <c r="L488" s="97">
        <v>0</v>
      </c>
    </row>
    <row r="489" spans="11:12" x14ac:dyDescent="0.4">
      <c r="K489" s="36">
        <v>487</v>
      </c>
      <c r="L489" s="97">
        <v>-30.5</v>
      </c>
    </row>
    <row r="490" spans="11:12" x14ac:dyDescent="0.4">
      <c r="K490" s="36">
        <v>488</v>
      </c>
      <c r="L490" s="97">
        <v>9.6000000000000014</v>
      </c>
    </row>
    <row r="491" spans="11:12" x14ac:dyDescent="0.4">
      <c r="K491" s="36">
        <v>489</v>
      </c>
      <c r="L491" s="97">
        <v>1.7763568394002505E-15</v>
      </c>
    </row>
    <row r="492" spans="11:12" x14ac:dyDescent="0.4">
      <c r="K492" s="36">
        <v>490</v>
      </c>
      <c r="L492" s="97">
        <v>44.6</v>
      </c>
    </row>
    <row r="493" spans="11:12" x14ac:dyDescent="0.4">
      <c r="K493" s="36">
        <v>491</v>
      </c>
      <c r="L493" s="97">
        <v>51.800000000000004</v>
      </c>
    </row>
    <row r="494" spans="11:12" x14ac:dyDescent="0.4">
      <c r="K494" s="36">
        <v>492</v>
      </c>
      <c r="L494" s="97">
        <v>7.1054273576010019E-15</v>
      </c>
    </row>
    <row r="495" spans="11:12" x14ac:dyDescent="0.4">
      <c r="K495" s="36">
        <v>493</v>
      </c>
      <c r="L495" s="97">
        <v>-56.099999999999994</v>
      </c>
    </row>
    <row r="496" spans="11:12" x14ac:dyDescent="0.4">
      <c r="K496" s="36">
        <v>494</v>
      </c>
      <c r="L496" s="97">
        <v>15.400000000000006</v>
      </c>
    </row>
    <row r="497" spans="11:12" x14ac:dyDescent="0.4">
      <c r="K497" s="36">
        <v>495</v>
      </c>
      <c r="L497" s="97">
        <v>5.3290705182007514E-15</v>
      </c>
    </row>
    <row r="498" spans="11:12" x14ac:dyDescent="0.4">
      <c r="K498" s="36">
        <v>496</v>
      </c>
      <c r="L498" s="97">
        <v>-16.099999999999994</v>
      </c>
    </row>
    <row r="499" spans="11:12" x14ac:dyDescent="0.4">
      <c r="K499" s="36">
        <v>497</v>
      </c>
      <c r="L499" s="97">
        <v>-61.599999999999994</v>
      </c>
    </row>
    <row r="500" spans="11:12" x14ac:dyDescent="0.4">
      <c r="K500" s="36">
        <v>498</v>
      </c>
      <c r="L500" s="97">
        <v>7.1054273576010019E-15</v>
      </c>
    </row>
    <row r="501" spans="11:12" x14ac:dyDescent="0.4">
      <c r="K501" s="36">
        <v>499</v>
      </c>
      <c r="L501" s="97">
        <v>-58.999999999999993</v>
      </c>
    </row>
    <row r="502" spans="11:12" x14ac:dyDescent="0.4">
      <c r="K502" s="36">
        <v>500</v>
      </c>
      <c r="L502" s="97">
        <v>9.0000000000000071</v>
      </c>
    </row>
    <row r="503" spans="11:12" x14ac:dyDescent="0.4">
      <c r="K503" s="36">
        <v>501</v>
      </c>
      <c r="L503" s="97">
        <v>7.1054273576010019E-15</v>
      </c>
    </row>
    <row r="504" spans="11:12" x14ac:dyDescent="0.4">
      <c r="K504" s="36">
        <v>502</v>
      </c>
      <c r="L504" s="97">
        <v>74.800000000000011</v>
      </c>
    </row>
    <row r="505" spans="11:12" x14ac:dyDescent="0.4">
      <c r="K505" s="36">
        <v>503</v>
      </c>
      <c r="L505" s="97">
        <v>56.000000000000014</v>
      </c>
    </row>
    <row r="506" spans="11:12" x14ac:dyDescent="0.4">
      <c r="K506" s="36">
        <v>504</v>
      </c>
      <c r="L506" s="97">
        <v>1.4210854715202004E-14</v>
      </c>
    </row>
    <row r="507" spans="11:12" x14ac:dyDescent="0.4">
      <c r="K507" s="36">
        <v>505</v>
      </c>
      <c r="L507" s="97">
        <v>-63.399999999999984</v>
      </c>
    </row>
    <row r="508" spans="11:12" x14ac:dyDescent="0.4">
      <c r="K508" s="36">
        <v>506</v>
      </c>
      <c r="L508" s="97">
        <v>-65.199999999999989</v>
      </c>
    </row>
    <row r="509" spans="11:12" x14ac:dyDescent="0.4">
      <c r="K509" s="36">
        <v>507</v>
      </c>
      <c r="L509" s="97">
        <v>1.4210854715202004E-14</v>
      </c>
    </row>
    <row r="510" spans="11:12" x14ac:dyDescent="0.4">
      <c r="K510" s="36">
        <v>508</v>
      </c>
      <c r="L510" s="97">
        <v>-20.299999999999986</v>
      </c>
    </row>
    <row r="511" spans="11:12" x14ac:dyDescent="0.4">
      <c r="K511" s="36">
        <v>509</v>
      </c>
      <c r="L511" s="97">
        <v>-66.399999999999991</v>
      </c>
    </row>
    <row r="512" spans="11:12" x14ac:dyDescent="0.4">
      <c r="K512" s="36">
        <v>510</v>
      </c>
      <c r="L512" s="97">
        <v>1.4210854715202004E-14</v>
      </c>
    </row>
    <row r="513" spans="11:12" x14ac:dyDescent="0.4">
      <c r="K513" s="36">
        <v>511</v>
      </c>
      <c r="L513" s="97">
        <v>4.300000000000014</v>
      </c>
    </row>
    <row r="514" spans="11:12" x14ac:dyDescent="0.4">
      <c r="K514" s="36">
        <v>512</v>
      </c>
      <c r="L514" s="97">
        <v>41.100000000000009</v>
      </c>
    </row>
    <row r="515" spans="11:12" x14ac:dyDescent="0.4">
      <c r="K515" s="36">
        <v>513</v>
      </c>
      <c r="L515" s="97">
        <v>7.1054273576010019E-15</v>
      </c>
    </row>
    <row r="516" spans="11:12" x14ac:dyDescent="0.4">
      <c r="K516" s="36">
        <v>514</v>
      </c>
      <c r="L516" s="97">
        <v>84.4</v>
      </c>
    </row>
    <row r="517" spans="11:12" x14ac:dyDescent="0.4">
      <c r="K517" s="36">
        <v>515</v>
      </c>
      <c r="L517" s="97">
        <v>20.900000000000006</v>
      </c>
    </row>
    <row r="518" spans="11:12" x14ac:dyDescent="0.4">
      <c r="K518" s="36">
        <v>516</v>
      </c>
      <c r="L518" s="97">
        <v>7.1054273576010019E-15</v>
      </c>
    </row>
    <row r="519" spans="11:12" x14ac:dyDescent="0.4">
      <c r="K519" s="36">
        <v>517</v>
      </c>
      <c r="L519" s="97">
        <v>40.600000000000009</v>
      </c>
    </row>
    <row r="520" spans="11:12" x14ac:dyDescent="0.4">
      <c r="K520" s="36">
        <v>518</v>
      </c>
      <c r="L520" s="97">
        <v>42.70000000000001</v>
      </c>
    </row>
    <row r="521" spans="11:12" x14ac:dyDescent="0.4">
      <c r="K521" s="36">
        <v>519</v>
      </c>
      <c r="L521" s="97">
        <v>7.1054273576010019E-15</v>
      </c>
    </row>
    <row r="522" spans="11:12" x14ac:dyDescent="0.4">
      <c r="K522" s="36">
        <v>520</v>
      </c>
      <c r="L522" s="97">
        <v>-57.999999999999993</v>
      </c>
    </row>
    <row r="523" spans="11:12" x14ac:dyDescent="0.4">
      <c r="K523" s="36">
        <v>521</v>
      </c>
      <c r="L523" s="97">
        <v>-1.9999999999999929</v>
      </c>
    </row>
    <row r="524" spans="11:12" x14ac:dyDescent="0.4">
      <c r="K524" s="36">
        <v>522</v>
      </c>
      <c r="L524" s="97">
        <v>7.1054273576010019E-15</v>
      </c>
    </row>
    <row r="525" spans="11:12" x14ac:dyDescent="0.4">
      <c r="K525" s="36">
        <v>523</v>
      </c>
      <c r="L525" s="97">
        <v>36.400000000000006</v>
      </c>
    </row>
    <row r="526" spans="11:12" x14ac:dyDescent="0.4">
      <c r="K526" s="36">
        <v>524</v>
      </c>
      <c r="L526" s="97">
        <v>45.900000000000006</v>
      </c>
    </row>
    <row r="527" spans="11:12" x14ac:dyDescent="0.4">
      <c r="K527" s="36">
        <v>525</v>
      </c>
      <c r="L527" s="97">
        <v>7.1054273576010019E-15</v>
      </c>
    </row>
    <row r="528" spans="11:12" x14ac:dyDescent="0.4">
      <c r="K528" s="36">
        <v>526</v>
      </c>
      <c r="L528" s="97">
        <v>-78.699999999999989</v>
      </c>
    </row>
    <row r="529" spans="11:12" x14ac:dyDescent="0.4">
      <c r="K529" s="36">
        <v>527</v>
      </c>
      <c r="L529" s="97">
        <v>-20.699999999999989</v>
      </c>
    </row>
    <row r="530" spans="11:12" x14ac:dyDescent="0.4">
      <c r="K530" s="36">
        <v>528</v>
      </c>
      <c r="L530" s="97">
        <v>1.0658141036401503E-14</v>
      </c>
    </row>
    <row r="531" spans="11:12" x14ac:dyDescent="0.4">
      <c r="K531" s="36">
        <v>529</v>
      </c>
      <c r="L531" s="97">
        <v>37.400000000000006</v>
      </c>
    </row>
    <row r="532" spans="11:12" x14ac:dyDescent="0.4">
      <c r="K532" s="36">
        <v>530</v>
      </c>
      <c r="L532" s="97">
        <v>-5.5999999999999943</v>
      </c>
    </row>
    <row r="533" spans="11:12" x14ac:dyDescent="0.4">
      <c r="K533" s="36">
        <v>531</v>
      </c>
      <c r="L533" s="97">
        <v>5.3290705182007514E-15</v>
      </c>
    </row>
    <row r="534" spans="11:12" x14ac:dyDescent="0.4">
      <c r="K534" s="36">
        <v>532</v>
      </c>
      <c r="L534" s="97">
        <v>5.3290705182007514E-15</v>
      </c>
    </row>
    <row r="535" spans="11:12" x14ac:dyDescent="0.4">
      <c r="K535" s="36">
        <v>533</v>
      </c>
      <c r="L535" s="97">
        <v>-56.999999999999993</v>
      </c>
    </row>
    <row r="536" spans="11:12" x14ac:dyDescent="0.4">
      <c r="K536" s="36">
        <v>534</v>
      </c>
      <c r="L536" s="97">
        <v>7.1054273576010019E-15</v>
      </c>
    </row>
    <row r="537" spans="11:12" x14ac:dyDescent="0.4">
      <c r="K537" s="36">
        <v>535</v>
      </c>
      <c r="L537" s="97">
        <v>-23.699999999999992</v>
      </c>
    </row>
    <row r="538" spans="11:12" x14ac:dyDescent="0.4">
      <c r="K538" s="36">
        <v>536</v>
      </c>
      <c r="L538" s="97">
        <v>-1.2999999999999936</v>
      </c>
    </row>
    <row r="539" spans="11:12" x14ac:dyDescent="0.4">
      <c r="K539" s="36">
        <v>537</v>
      </c>
      <c r="L539" s="97">
        <v>6.4392935428259079E-15</v>
      </c>
    </row>
    <row r="540" spans="11:12" x14ac:dyDescent="0.4">
      <c r="K540" s="36">
        <v>538</v>
      </c>
      <c r="L540" s="97">
        <v>-2.9999999999999938</v>
      </c>
    </row>
    <row r="541" spans="11:12" x14ac:dyDescent="0.4">
      <c r="K541" s="36">
        <v>539</v>
      </c>
      <c r="L541" s="97">
        <v>43.000000000000007</v>
      </c>
    </row>
    <row r="542" spans="11:12" x14ac:dyDescent="0.4">
      <c r="K542" s="36">
        <v>540</v>
      </c>
      <c r="L542" s="97">
        <v>7.1054273576010019E-15</v>
      </c>
    </row>
    <row r="543" spans="11:12" x14ac:dyDescent="0.4">
      <c r="K543" s="36">
        <v>541</v>
      </c>
      <c r="L543" s="97">
        <v>-35.099999999999994</v>
      </c>
    </row>
    <row r="544" spans="11:12" x14ac:dyDescent="0.4">
      <c r="K544" s="36">
        <v>542</v>
      </c>
      <c r="L544" s="97">
        <v>-5.4999999999999929</v>
      </c>
    </row>
    <row r="545" spans="11:12" x14ac:dyDescent="0.4">
      <c r="K545" s="36">
        <v>543</v>
      </c>
      <c r="L545" s="97">
        <v>7.1054273576010019E-15</v>
      </c>
    </row>
    <row r="546" spans="11:12" x14ac:dyDescent="0.4">
      <c r="K546" s="36">
        <v>544</v>
      </c>
      <c r="L546" s="97">
        <v>-26.999999999999993</v>
      </c>
    </row>
    <row r="547" spans="11:12" x14ac:dyDescent="0.4">
      <c r="K547" s="36">
        <v>545</v>
      </c>
      <c r="L547" s="97">
        <v>6.5000000000000071</v>
      </c>
    </row>
    <row r="548" spans="11:12" x14ac:dyDescent="0.4">
      <c r="K548" s="36">
        <v>546</v>
      </c>
      <c r="L548" s="97">
        <v>7.1054273576010019E-15</v>
      </c>
    </row>
    <row r="549" spans="11:12" x14ac:dyDescent="0.4">
      <c r="K549" s="36">
        <v>547</v>
      </c>
      <c r="L549" s="97">
        <v>49.000000000000007</v>
      </c>
    </row>
    <row r="550" spans="11:12" x14ac:dyDescent="0.4">
      <c r="K550" s="36">
        <v>548</v>
      </c>
      <c r="L550" s="97">
        <v>57.100000000000009</v>
      </c>
    </row>
    <row r="551" spans="11:12" x14ac:dyDescent="0.4">
      <c r="K551" s="36">
        <v>549</v>
      </c>
      <c r="L551" s="97">
        <v>7.1054273576010019E-15</v>
      </c>
    </row>
    <row r="552" spans="11:12" x14ac:dyDescent="0.4">
      <c r="K552" s="36">
        <v>550</v>
      </c>
      <c r="L552" s="97">
        <v>-28.199999999999992</v>
      </c>
    </row>
    <row r="553" spans="11:12" x14ac:dyDescent="0.4">
      <c r="K553" s="36">
        <v>551</v>
      </c>
      <c r="L553" s="97">
        <v>2.2000000000000064</v>
      </c>
    </row>
    <row r="554" spans="11:12" x14ac:dyDescent="0.4">
      <c r="K554" s="36">
        <v>552</v>
      </c>
      <c r="L554" s="97">
        <v>6.2172489379008766E-15</v>
      </c>
    </row>
    <row r="555" spans="11:12" x14ac:dyDescent="0.4">
      <c r="K555" s="36">
        <v>553</v>
      </c>
      <c r="L555" s="97">
        <v>6.1000000000000059</v>
      </c>
    </row>
    <row r="556" spans="11:12" x14ac:dyDescent="0.4">
      <c r="K556" s="36">
        <v>554</v>
      </c>
      <c r="L556" s="97">
        <v>-33.79999999999999</v>
      </c>
    </row>
    <row r="557" spans="11:12" x14ac:dyDescent="0.4">
      <c r="K557" s="36">
        <v>555</v>
      </c>
      <c r="L557" s="97">
        <v>7.1054273576010019E-15</v>
      </c>
    </row>
    <row r="558" spans="11:12" x14ac:dyDescent="0.4">
      <c r="K558" s="36">
        <v>556</v>
      </c>
      <c r="L558" s="97">
        <v>-62.999999999999993</v>
      </c>
    </row>
    <row r="559" spans="11:12" x14ac:dyDescent="0.4">
      <c r="K559" s="36">
        <v>557</v>
      </c>
      <c r="L559" s="97">
        <v>-44.999999999999993</v>
      </c>
    </row>
    <row r="560" spans="11:12" x14ac:dyDescent="0.4">
      <c r="K560" s="36">
        <v>558</v>
      </c>
      <c r="L560" s="97">
        <v>7.1054273576010019E-15</v>
      </c>
    </row>
    <row r="561" spans="11:12" x14ac:dyDescent="0.4">
      <c r="K561" s="36">
        <v>559</v>
      </c>
      <c r="L561" s="97">
        <v>100.9</v>
      </c>
    </row>
    <row r="562" spans="11:12" x14ac:dyDescent="0.4">
      <c r="K562" s="36">
        <v>560</v>
      </c>
      <c r="L562" s="97">
        <v>27.200000000000003</v>
      </c>
    </row>
    <row r="563" spans="11:12" x14ac:dyDescent="0.4">
      <c r="K563" s="36">
        <v>561</v>
      </c>
      <c r="L563" s="97">
        <v>3.5527136788005009E-15</v>
      </c>
    </row>
    <row r="564" spans="11:12" x14ac:dyDescent="0.4">
      <c r="K564" s="36">
        <v>562</v>
      </c>
      <c r="L564" s="97">
        <v>27.100000000000005</v>
      </c>
    </row>
    <row r="565" spans="11:12" x14ac:dyDescent="0.4">
      <c r="K565" s="36">
        <v>563</v>
      </c>
      <c r="L565" s="97">
        <v>31.800000000000004</v>
      </c>
    </row>
    <row r="566" spans="11:12" x14ac:dyDescent="0.4">
      <c r="K566" s="36">
        <v>564</v>
      </c>
      <c r="L566" s="97">
        <v>3.5527136788005009E-15</v>
      </c>
    </row>
    <row r="567" spans="11:12" x14ac:dyDescent="0.4">
      <c r="K567" s="36">
        <v>565</v>
      </c>
      <c r="L567" s="97">
        <v>-0.79999999999999649</v>
      </c>
    </row>
    <row r="568" spans="11:12" x14ac:dyDescent="0.4">
      <c r="K568" s="36">
        <v>566</v>
      </c>
      <c r="L568" s="97">
        <v>23.400000000000002</v>
      </c>
    </row>
    <row r="569" spans="11:12" x14ac:dyDescent="0.4">
      <c r="K569" s="36">
        <v>567</v>
      </c>
      <c r="L569" s="97">
        <v>3.5527136788005009E-15</v>
      </c>
    </row>
    <row r="570" spans="11:12" x14ac:dyDescent="0.4">
      <c r="K570" s="36">
        <v>568</v>
      </c>
      <c r="L570" s="97">
        <v>57.2</v>
      </c>
    </row>
    <row r="571" spans="11:12" x14ac:dyDescent="0.4">
      <c r="K571" s="36">
        <v>569</v>
      </c>
      <c r="L571" s="97">
        <v>69.5</v>
      </c>
    </row>
    <row r="572" spans="11:12" x14ac:dyDescent="0.4">
      <c r="K572" s="36">
        <v>570</v>
      </c>
      <c r="L572" s="97">
        <v>0</v>
      </c>
    </row>
    <row r="573" spans="11:12" x14ac:dyDescent="0.4">
      <c r="K573" s="36">
        <v>571</v>
      </c>
      <c r="L573" s="97">
        <v>-48.7</v>
      </c>
    </row>
    <row r="574" spans="11:12" x14ac:dyDescent="0.4">
      <c r="K574" s="36">
        <v>572</v>
      </c>
      <c r="L574" s="97">
        <v>-37.1</v>
      </c>
    </row>
    <row r="575" spans="11:12" x14ac:dyDescent="0.4">
      <c r="K575" s="36">
        <v>573</v>
      </c>
      <c r="L575" s="97">
        <v>0</v>
      </c>
    </row>
    <row r="576" spans="11:12" x14ac:dyDescent="0.4">
      <c r="K576" s="36">
        <v>574</v>
      </c>
      <c r="L576" s="97">
        <v>29.4</v>
      </c>
    </row>
    <row r="577" spans="11:12" x14ac:dyDescent="0.4">
      <c r="K577" s="36">
        <v>575</v>
      </c>
      <c r="L577" s="97">
        <v>-0.80000000000000071</v>
      </c>
    </row>
    <row r="578" spans="11:12" x14ac:dyDescent="0.4">
      <c r="K578" s="36">
        <v>576</v>
      </c>
      <c r="L578" s="97">
        <v>-6.6613381477509392E-16</v>
      </c>
    </row>
    <row r="579" spans="11:12" x14ac:dyDescent="0.4">
      <c r="K579" s="36">
        <v>577</v>
      </c>
      <c r="L579" s="97">
        <v>79.599999999999994</v>
      </c>
    </row>
    <row r="580" spans="11:12" x14ac:dyDescent="0.4">
      <c r="K580" s="36">
        <v>578</v>
      </c>
      <c r="L580" s="97">
        <v>70.8</v>
      </c>
    </row>
    <row r="581" spans="11:12" x14ac:dyDescent="0.4">
      <c r="K581" s="36">
        <v>579</v>
      </c>
      <c r="L581" s="97">
        <v>0</v>
      </c>
    </row>
    <row r="582" spans="11:12" x14ac:dyDescent="0.4">
      <c r="K582" s="36">
        <v>580</v>
      </c>
      <c r="L582" s="97">
        <v>-55.7</v>
      </c>
    </row>
    <row r="583" spans="11:12" x14ac:dyDescent="0.4">
      <c r="K583" s="36">
        <v>581</v>
      </c>
      <c r="L583" s="97">
        <v>7.6999999999999957</v>
      </c>
    </row>
    <row r="584" spans="11:12" x14ac:dyDescent="0.4">
      <c r="K584" s="36">
        <v>582</v>
      </c>
      <c r="L584" s="97">
        <v>-4.4408920985006262E-15</v>
      </c>
    </row>
    <row r="585" spans="11:12" x14ac:dyDescent="0.4">
      <c r="K585" s="36">
        <v>583</v>
      </c>
      <c r="L585" s="97">
        <v>40.599999999999994</v>
      </c>
    </row>
    <row r="586" spans="11:12" x14ac:dyDescent="0.4">
      <c r="K586" s="36">
        <v>584</v>
      </c>
      <c r="L586" s="97">
        <v>43.599999999999994</v>
      </c>
    </row>
    <row r="587" spans="11:12" x14ac:dyDescent="0.4">
      <c r="K587" s="36">
        <v>585</v>
      </c>
      <c r="L587" s="97">
        <v>-7.1054273576010019E-15</v>
      </c>
    </row>
    <row r="588" spans="11:12" x14ac:dyDescent="0.4">
      <c r="K588" s="36">
        <v>586</v>
      </c>
      <c r="L588" s="97">
        <v>-50.500000000000007</v>
      </c>
    </row>
    <row r="589" spans="11:12" x14ac:dyDescent="0.4">
      <c r="K589" s="36">
        <v>587</v>
      </c>
      <c r="L589" s="97">
        <v>-47.900000000000006</v>
      </c>
    </row>
    <row r="590" spans="11:12" x14ac:dyDescent="0.4">
      <c r="K590" s="36">
        <v>588</v>
      </c>
      <c r="L590" s="97">
        <v>-7.1054273576010019E-15</v>
      </c>
    </row>
    <row r="591" spans="11:12" x14ac:dyDescent="0.4">
      <c r="K591" s="36">
        <v>589</v>
      </c>
      <c r="L591" s="97">
        <v>-41.70000000000001</v>
      </c>
    </row>
    <row r="592" spans="11:12" x14ac:dyDescent="0.4">
      <c r="K592" s="36">
        <v>590</v>
      </c>
      <c r="L592" s="97">
        <v>-0.70000000000000995</v>
      </c>
    </row>
    <row r="593" spans="11:12" x14ac:dyDescent="0.4">
      <c r="K593" s="36">
        <v>591</v>
      </c>
      <c r="L593" s="97">
        <v>-9.9920072216264089E-15</v>
      </c>
    </row>
    <row r="594" spans="11:12" x14ac:dyDescent="0.4">
      <c r="K594" s="36">
        <v>592</v>
      </c>
      <c r="L594" s="97">
        <v>-34.900000000000006</v>
      </c>
    </row>
    <row r="595" spans="11:12" x14ac:dyDescent="0.4">
      <c r="K595" s="36">
        <v>593</v>
      </c>
      <c r="L595" s="97">
        <v>-38.100000000000009</v>
      </c>
    </row>
    <row r="596" spans="11:12" x14ac:dyDescent="0.4">
      <c r="K596" s="36">
        <v>594</v>
      </c>
      <c r="L596" s="97">
        <v>-7.1054273576010019E-15</v>
      </c>
    </row>
    <row r="597" spans="11:12" x14ac:dyDescent="0.4">
      <c r="K597" s="36">
        <v>595</v>
      </c>
      <c r="L597" s="97">
        <v>64.199999999999989</v>
      </c>
    </row>
    <row r="598" spans="11:12" x14ac:dyDescent="0.4">
      <c r="K598" s="36">
        <v>596</v>
      </c>
      <c r="L598" s="97">
        <v>57.999999999999986</v>
      </c>
    </row>
    <row r="599" spans="11:12" x14ac:dyDescent="0.4">
      <c r="K599" s="36">
        <v>597</v>
      </c>
      <c r="L599" s="97">
        <v>-1.4210854715202004E-14</v>
      </c>
    </row>
    <row r="600" spans="11:12" x14ac:dyDescent="0.4">
      <c r="K600" s="36">
        <v>598</v>
      </c>
      <c r="L600" s="97">
        <v>60.299999999999983</v>
      </c>
    </row>
    <row r="601" spans="11:12" x14ac:dyDescent="0.4">
      <c r="K601" s="36">
        <v>599</v>
      </c>
      <c r="L601" s="97">
        <v>-1.7000000000000171</v>
      </c>
    </row>
    <row r="602" spans="11:12" x14ac:dyDescent="0.4">
      <c r="K602" s="36">
        <v>600</v>
      </c>
      <c r="L602" s="97">
        <v>-1.7097434579227411E-14</v>
      </c>
    </row>
    <row r="603" spans="11:12" x14ac:dyDescent="0.4">
      <c r="K603" s="36">
        <v>601</v>
      </c>
      <c r="L603" s="97">
        <v>7.2999999999999829</v>
      </c>
    </row>
    <row r="604" spans="11:12" x14ac:dyDescent="0.4">
      <c r="K604" s="36">
        <v>602</v>
      </c>
      <c r="L604" s="97">
        <v>36.09999999999998</v>
      </c>
    </row>
    <row r="605" spans="11:12" x14ac:dyDescent="0.4">
      <c r="K605" s="36">
        <v>603</v>
      </c>
      <c r="L605" s="97">
        <v>-2.1316282072803006E-14</v>
      </c>
    </row>
    <row r="606" spans="11:12" x14ac:dyDescent="0.4">
      <c r="K606" s="36">
        <v>604</v>
      </c>
      <c r="L606" s="97">
        <v>-41.40000000000002</v>
      </c>
    </row>
    <row r="607" spans="11:12" x14ac:dyDescent="0.4">
      <c r="K607" s="36">
        <v>605</v>
      </c>
      <c r="L607" s="97">
        <v>-48.000000000000021</v>
      </c>
    </row>
    <row r="608" spans="11:12" x14ac:dyDescent="0.4">
      <c r="K608" s="36">
        <v>606</v>
      </c>
      <c r="L608" s="97">
        <v>-2.1316282072803006E-14</v>
      </c>
    </row>
    <row r="609" spans="11:12" x14ac:dyDescent="0.4">
      <c r="K609" s="36">
        <v>607</v>
      </c>
      <c r="L609" s="97">
        <v>31.899999999999977</v>
      </c>
    </row>
    <row r="610" spans="11:12" x14ac:dyDescent="0.4">
      <c r="K610" s="36">
        <v>608</v>
      </c>
      <c r="L610" s="97">
        <v>33.899999999999977</v>
      </c>
    </row>
    <row r="611" spans="11:12" x14ac:dyDescent="0.4">
      <c r="K611" s="36">
        <v>609</v>
      </c>
      <c r="L611" s="97">
        <v>-2.1316282072803006E-14</v>
      </c>
    </row>
    <row r="612" spans="11:12" x14ac:dyDescent="0.4">
      <c r="K612" s="36">
        <v>610</v>
      </c>
      <c r="L612" s="97">
        <v>-11.100000000000021</v>
      </c>
    </row>
    <row r="613" spans="11:12" x14ac:dyDescent="0.4">
      <c r="K613" s="36">
        <v>611</v>
      </c>
      <c r="L613" s="97">
        <v>56.699999999999974</v>
      </c>
    </row>
    <row r="614" spans="11:12" x14ac:dyDescent="0.4">
      <c r="K614" s="36">
        <v>612</v>
      </c>
      <c r="L614" s="97">
        <v>-2.8421709430404007E-14</v>
      </c>
    </row>
    <row r="615" spans="11:12" x14ac:dyDescent="0.4">
      <c r="K615" s="36">
        <v>613</v>
      </c>
      <c r="L615" s="97">
        <v>-24.400000000000027</v>
      </c>
    </row>
    <row r="616" spans="11:12" x14ac:dyDescent="0.4">
      <c r="K616" s="36">
        <v>614</v>
      </c>
      <c r="L616" s="97">
        <v>-25.600000000000026</v>
      </c>
    </row>
    <row r="617" spans="11:12" x14ac:dyDescent="0.4">
      <c r="K617" s="36">
        <v>615</v>
      </c>
      <c r="L617" s="97">
        <v>-2.4868995751603507E-14</v>
      </c>
    </row>
    <row r="618" spans="11:12" x14ac:dyDescent="0.4">
      <c r="K618" s="36">
        <v>616</v>
      </c>
      <c r="L618" s="97">
        <v>-44.600000000000023</v>
      </c>
    </row>
    <row r="619" spans="11:12" x14ac:dyDescent="0.4">
      <c r="K619" s="36">
        <v>617</v>
      </c>
      <c r="L619" s="97">
        <v>-34.90000000000002</v>
      </c>
    </row>
    <row r="620" spans="11:12" x14ac:dyDescent="0.4">
      <c r="K620" s="36">
        <v>618</v>
      </c>
      <c r="L620" s="97">
        <v>-2.1316282072803006E-14</v>
      </c>
    </row>
    <row r="621" spans="11:12" x14ac:dyDescent="0.4">
      <c r="K621" s="36">
        <v>619</v>
      </c>
      <c r="L621" s="97">
        <v>46.09999999999998</v>
      </c>
    </row>
    <row r="622" spans="11:12" x14ac:dyDescent="0.4">
      <c r="K622" s="36">
        <v>620</v>
      </c>
      <c r="L622" s="97">
        <v>54.59999999999998</v>
      </c>
    </row>
    <row r="623" spans="11:12" x14ac:dyDescent="0.4">
      <c r="K623" s="36">
        <v>621</v>
      </c>
      <c r="L623" s="97">
        <v>-2.1316282072803006E-14</v>
      </c>
    </row>
    <row r="624" spans="11:12" x14ac:dyDescent="0.4">
      <c r="K624" s="36">
        <v>622</v>
      </c>
      <c r="L624" s="97">
        <v>56.499999999999979</v>
      </c>
    </row>
    <row r="625" spans="11:12" x14ac:dyDescent="0.4">
      <c r="K625" s="36">
        <v>623</v>
      </c>
      <c r="L625" s="97">
        <v>64.699999999999974</v>
      </c>
    </row>
    <row r="626" spans="11:12" x14ac:dyDescent="0.4">
      <c r="K626" s="36">
        <v>624</v>
      </c>
      <c r="L626" s="97">
        <v>-2.8421709430404007E-14</v>
      </c>
    </row>
    <row r="627" spans="11:12" x14ac:dyDescent="0.4">
      <c r="K627" s="36">
        <v>625</v>
      </c>
      <c r="L627" s="97">
        <v>23.699999999999971</v>
      </c>
    </row>
    <row r="628" spans="11:12" x14ac:dyDescent="0.4">
      <c r="K628" s="36">
        <v>626</v>
      </c>
      <c r="L628" s="97">
        <v>1.4999999999999716</v>
      </c>
    </row>
    <row r="629" spans="11:12" x14ac:dyDescent="0.4">
      <c r="K629" s="36">
        <v>627</v>
      </c>
      <c r="L629" s="97">
        <v>-2.8421709430404007E-14</v>
      </c>
    </row>
    <row r="630" spans="11:12" x14ac:dyDescent="0.4">
      <c r="K630" s="36">
        <v>628</v>
      </c>
      <c r="L630" s="97">
        <v>27.699999999999971</v>
      </c>
    </row>
    <row r="631" spans="11:12" x14ac:dyDescent="0.4">
      <c r="K631" s="36">
        <v>629</v>
      </c>
      <c r="L631" s="97">
        <v>3.3999999999999702</v>
      </c>
    </row>
    <row r="632" spans="11:12" x14ac:dyDescent="0.4">
      <c r="K632" s="36">
        <v>630</v>
      </c>
      <c r="L632" s="97">
        <v>-2.9753977059954195E-14</v>
      </c>
    </row>
    <row r="633" spans="11:12" x14ac:dyDescent="0.4">
      <c r="K633" s="36">
        <v>631</v>
      </c>
      <c r="L633" s="97">
        <v>45.299999999999969</v>
      </c>
    </row>
    <row r="634" spans="11:12" x14ac:dyDescent="0.4">
      <c r="K634" s="36">
        <v>632</v>
      </c>
      <c r="L634" s="97">
        <v>-5.8000000000000327</v>
      </c>
    </row>
    <row r="635" spans="11:12" x14ac:dyDescent="0.4">
      <c r="K635" s="36">
        <v>633</v>
      </c>
      <c r="L635" s="97">
        <v>-3.2862601528904634E-14</v>
      </c>
    </row>
    <row r="636" spans="11:12" x14ac:dyDescent="0.4">
      <c r="K636" s="36">
        <v>634</v>
      </c>
      <c r="L636" s="97">
        <v>8.999999999999968</v>
      </c>
    </row>
    <row r="637" spans="11:12" x14ac:dyDescent="0.4">
      <c r="K637" s="36">
        <v>635</v>
      </c>
      <c r="L637" s="97">
        <v>57.299999999999969</v>
      </c>
    </row>
    <row r="638" spans="11:12" x14ac:dyDescent="0.4">
      <c r="K638" s="36">
        <v>636</v>
      </c>
      <c r="L638" s="97">
        <v>-2.8421709430404007E-14</v>
      </c>
    </row>
    <row r="639" spans="11:12" x14ac:dyDescent="0.4">
      <c r="K639" s="36">
        <v>637</v>
      </c>
      <c r="L639" s="97">
        <v>-56.000000000000028</v>
      </c>
    </row>
    <row r="640" spans="11:12" x14ac:dyDescent="0.4">
      <c r="K640" s="36">
        <v>638</v>
      </c>
      <c r="L640" s="97">
        <v>-50.000000000000028</v>
      </c>
    </row>
    <row r="641" spans="11:12" x14ac:dyDescent="0.4">
      <c r="K641" s="36">
        <v>639</v>
      </c>
      <c r="L641" s="97">
        <v>-2.8421709430404007E-14</v>
      </c>
    </row>
    <row r="642" spans="11:12" x14ac:dyDescent="0.4">
      <c r="K642" s="36">
        <v>640</v>
      </c>
      <c r="L642" s="97">
        <v>-56.200000000000031</v>
      </c>
    </row>
    <row r="643" spans="11:12" x14ac:dyDescent="0.4">
      <c r="K643" s="36">
        <v>641</v>
      </c>
      <c r="L643" s="97">
        <v>11.699999999999974</v>
      </c>
    </row>
    <row r="644" spans="11:12" x14ac:dyDescent="0.4">
      <c r="K644" s="36">
        <v>642</v>
      </c>
      <c r="L644" s="97">
        <v>-2.4868995751603507E-14</v>
      </c>
    </row>
    <row r="645" spans="11:12" x14ac:dyDescent="0.4">
      <c r="K645" s="36">
        <v>643</v>
      </c>
      <c r="L645" s="97">
        <v>-31.800000000000026</v>
      </c>
    </row>
    <row r="646" spans="11:12" x14ac:dyDescent="0.4">
      <c r="K646" s="36">
        <v>644</v>
      </c>
      <c r="L646" s="97">
        <v>-42.700000000000024</v>
      </c>
    </row>
    <row r="647" spans="11:12" x14ac:dyDescent="0.4">
      <c r="K647" s="36">
        <v>645</v>
      </c>
      <c r="L647" s="97">
        <v>-2.1316282072803006E-14</v>
      </c>
    </row>
    <row r="648" spans="11:12" x14ac:dyDescent="0.4">
      <c r="K648" s="36">
        <v>646</v>
      </c>
      <c r="L648" s="97">
        <v>-7.3000000000000211</v>
      </c>
    </row>
    <row r="649" spans="11:12" x14ac:dyDescent="0.4">
      <c r="K649" s="36">
        <v>647</v>
      </c>
      <c r="L649" s="97">
        <v>46.999999999999979</v>
      </c>
    </row>
    <row r="650" spans="11:12" x14ac:dyDescent="0.4">
      <c r="K650" s="36">
        <v>648</v>
      </c>
      <c r="L650" s="97">
        <v>-2.1316282072803006E-14</v>
      </c>
    </row>
    <row r="651" spans="11:12" x14ac:dyDescent="0.4">
      <c r="K651" s="36">
        <v>649</v>
      </c>
      <c r="L651" s="97">
        <v>-14.300000000000022</v>
      </c>
    </row>
    <row r="652" spans="11:12" x14ac:dyDescent="0.4">
      <c r="K652" s="36">
        <v>650</v>
      </c>
      <c r="L652" s="97">
        <v>36.09999999999998</v>
      </c>
    </row>
    <row r="653" spans="11:12" x14ac:dyDescent="0.4">
      <c r="K653" s="36">
        <v>651</v>
      </c>
      <c r="L653" s="97">
        <v>-2.1316282072803006E-14</v>
      </c>
    </row>
    <row r="654" spans="11:12" x14ac:dyDescent="0.4">
      <c r="K654" s="36">
        <v>652</v>
      </c>
      <c r="L654" s="97">
        <v>-60.90000000000002</v>
      </c>
    </row>
    <row r="655" spans="11:12" x14ac:dyDescent="0.4">
      <c r="K655" s="36">
        <v>653</v>
      </c>
      <c r="L655" s="97">
        <v>3.4999999999999858</v>
      </c>
    </row>
    <row r="656" spans="11:12" x14ac:dyDescent="0.4">
      <c r="K656" s="36">
        <v>654</v>
      </c>
      <c r="L656" s="97">
        <v>-1.4210854715202004E-14</v>
      </c>
    </row>
    <row r="657" spans="11:12" x14ac:dyDescent="0.4">
      <c r="K657" s="36">
        <v>655</v>
      </c>
      <c r="L657" s="97">
        <v>67.799999999999983</v>
      </c>
    </row>
    <row r="658" spans="11:12" x14ac:dyDescent="0.4">
      <c r="K658" s="36">
        <v>656</v>
      </c>
      <c r="L658" s="97">
        <v>55.899999999999984</v>
      </c>
    </row>
    <row r="659" spans="11:12" x14ac:dyDescent="0.4">
      <c r="K659" s="36">
        <v>657</v>
      </c>
      <c r="L659" s="97">
        <v>-1.4210854715202004E-14</v>
      </c>
    </row>
    <row r="660" spans="11:12" x14ac:dyDescent="0.4">
      <c r="K660" s="36">
        <v>658</v>
      </c>
      <c r="L660" s="97">
        <v>-14.900000000000015</v>
      </c>
    </row>
    <row r="661" spans="11:12" x14ac:dyDescent="0.4">
      <c r="K661" s="36">
        <v>659</v>
      </c>
      <c r="L661" s="97">
        <v>-51.300000000000011</v>
      </c>
    </row>
    <row r="662" spans="11:12" x14ac:dyDescent="0.4">
      <c r="K662" s="36">
        <v>660</v>
      </c>
      <c r="L662" s="97">
        <v>-1.4210854715202004E-14</v>
      </c>
    </row>
    <row r="663" spans="11:12" x14ac:dyDescent="0.4">
      <c r="K663" s="36">
        <v>661</v>
      </c>
      <c r="L663" s="97">
        <v>-57.700000000000017</v>
      </c>
    </row>
    <row r="664" spans="11:12" x14ac:dyDescent="0.4">
      <c r="K664" s="36">
        <v>662</v>
      </c>
      <c r="L664" s="97">
        <v>-40.100000000000016</v>
      </c>
    </row>
    <row r="665" spans="11:12" x14ac:dyDescent="0.4">
      <c r="K665" s="36">
        <v>663</v>
      </c>
      <c r="L665" s="97">
        <v>-1.4210854715202004E-14</v>
      </c>
    </row>
    <row r="666" spans="11:12" x14ac:dyDescent="0.4">
      <c r="K666" s="36">
        <v>664</v>
      </c>
      <c r="L666" s="97">
        <v>-1.9000000000000141</v>
      </c>
    </row>
    <row r="667" spans="11:12" x14ac:dyDescent="0.4">
      <c r="K667" s="36">
        <v>665</v>
      </c>
      <c r="L667" s="97">
        <v>32.79999999999999</v>
      </c>
    </row>
    <row r="668" spans="11:12" x14ac:dyDescent="0.4">
      <c r="K668" s="36">
        <v>666</v>
      </c>
      <c r="L668" s="97">
        <v>-7.1054273576010019E-15</v>
      </c>
    </row>
    <row r="669" spans="11:12" x14ac:dyDescent="0.4">
      <c r="K669" s="36">
        <v>667</v>
      </c>
      <c r="L669" s="97">
        <v>11.599999999999993</v>
      </c>
    </row>
    <row r="670" spans="11:12" x14ac:dyDescent="0.4">
      <c r="K670" s="36">
        <v>668</v>
      </c>
      <c r="L670" s="97">
        <v>-43.800000000000004</v>
      </c>
    </row>
    <row r="671" spans="11:12" x14ac:dyDescent="0.4">
      <c r="K671" s="36">
        <v>669</v>
      </c>
      <c r="L671" s="97">
        <v>-7.1054273576010019E-15</v>
      </c>
    </row>
    <row r="672" spans="11:12" x14ac:dyDescent="0.4">
      <c r="K672" s="36">
        <v>670</v>
      </c>
      <c r="L672" s="97">
        <v>-1.0000000000000071</v>
      </c>
    </row>
    <row r="673" spans="11:12" x14ac:dyDescent="0.4">
      <c r="K673" s="36">
        <v>671</v>
      </c>
      <c r="L673" s="97">
        <v>-59.000000000000007</v>
      </c>
    </row>
    <row r="674" spans="11:12" x14ac:dyDescent="0.4">
      <c r="K674" s="36">
        <v>672</v>
      </c>
      <c r="L674" s="97">
        <v>-7.1054273576010019E-15</v>
      </c>
    </row>
    <row r="675" spans="11:12" x14ac:dyDescent="0.4">
      <c r="K675" s="36">
        <v>673</v>
      </c>
      <c r="L675" s="97">
        <v>-1.3000000000000071</v>
      </c>
    </row>
    <row r="676" spans="11:12" x14ac:dyDescent="0.4">
      <c r="K676" s="36">
        <v>674</v>
      </c>
      <c r="L676" s="97">
        <v>34.699999999999996</v>
      </c>
    </row>
    <row r="677" spans="11:12" x14ac:dyDescent="0.4">
      <c r="K677" s="36">
        <v>675</v>
      </c>
      <c r="L677" s="97">
        <v>-7.1054273576010019E-15</v>
      </c>
    </row>
    <row r="678" spans="11:12" x14ac:dyDescent="0.4">
      <c r="K678" s="36">
        <v>676</v>
      </c>
      <c r="L678" s="97">
        <v>-7.4000000000000075</v>
      </c>
    </row>
    <row r="679" spans="11:12" x14ac:dyDescent="0.4">
      <c r="K679" s="36">
        <v>677</v>
      </c>
      <c r="L679" s="97">
        <v>-71.100000000000009</v>
      </c>
    </row>
    <row r="680" spans="11:12" x14ac:dyDescent="0.4">
      <c r="K680" s="36">
        <v>678</v>
      </c>
      <c r="L680" s="97">
        <v>-1.4210854715202004E-14</v>
      </c>
    </row>
    <row r="681" spans="11:12" x14ac:dyDescent="0.4">
      <c r="K681" s="36">
        <v>679</v>
      </c>
      <c r="L681" s="97">
        <v>76.999999999999986</v>
      </c>
    </row>
    <row r="682" spans="11:12" x14ac:dyDescent="0.4">
      <c r="K682" s="36">
        <v>680</v>
      </c>
      <c r="L682" s="97">
        <v>-5.0000000000000142</v>
      </c>
    </row>
    <row r="683" spans="11:12" x14ac:dyDescent="0.4">
      <c r="K683" s="36">
        <v>681</v>
      </c>
      <c r="L683" s="97">
        <v>-1.4210854715202004E-14</v>
      </c>
    </row>
    <row r="684" spans="11:12" x14ac:dyDescent="0.4">
      <c r="K684" s="36">
        <v>682</v>
      </c>
      <c r="L684" s="97">
        <v>92.59999999999998</v>
      </c>
    </row>
    <row r="685" spans="11:12" x14ac:dyDescent="0.4">
      <c r="K685" s="36">
        <v>683</v>
      </c>
      <c r="L685" s="97">
        <v>62.299999999999983</v>
      </c>
    </row>
    <row r="686" spans="11:12" x14ac:dyDescent="0.4">
      <c r="K686" s="36">
        <v>684</v>
      </c>
      <c r="L686" s="97">
        <v>-1.4210854715202004E-14</v>
      </c>
    </row>
    <row r="687" spans="11:12" x14ac:dyDescent="0.4">
      <c r="K687" s="36">
        <v>685</v>
      </c>
      <c r="L687" s="97">
        <v>49.699999999999989</v>
      </c>
    </row>
    <row r="688" spans="11:12" x14ac:dyDescent="0.4">
      <c r="K688" s="36">
        <v>686</v>
      </c>
      <c r="L688" s="97">
        <v>38.79999999999999</v>
      </c>
    </row>
    <row r="689" spans="11:12" x14ac:dyDescent="0.4">
      <c r="K689" s="36">
        <v>687</v>
      </c>
      <c r="L689" s="97">
        <v>-7.1054273576010019E-15</v>
      </c>
    </row>
    <row r="690" spans="11:12" x14ac:dyDescent="0.4">
      <c r="K690" s="36">
        <v>688</v>
      </c>
      <c r="L690" s="97">
        <v>-28.400000000000006</v>
      </c>
    </row>
    <row r="691" spans="11:12" x14ac:dyDescent="0.4">
      <c r="K691" s="36">
        <v>689</v>
      </c>
      <c r="L691" s="97">
        <v>57</v>
      </c>
    </row>
    <row r="692" spans="11:12" x14ac:dyDescent="0.4">
      <c r="K692" s="36">
        <v>690</v>
      </c>
      <c r="L692" s="97">
        <v>0</v>
      </c>
    </row>
    <row r="693" spans="11:12" x14ac:dyDescent="0.4">
      <c r="K693" s="36">
        <v>691</v>
      </c>
      <c r="L693" s="97">
        <v>-47.7</v>
      </c>
    </row>
    <row r="694" spans="11:12" x14ac:dyDescent="0.4">
      <c r="K694" s="36">
        <v>692</v>
      </c>
      <c r="L694" s="97">
        <v>-69.300000000000011</v>
      </c>
    </row>
    <row r="695" spans="11:12" x14ac:dyDescent="0.4">
      <c r="K695" s="36">
        <v>693</v>
      </c>
      <c r="L695" s="97">
        <v>-1.4210854715202004E-14</v>
      </c>
    </row>
    <row r="696" spans="11:12" x14ac:dyDescent="0.4">
      <c r="K696" s="36">
        <v>694</v>
      </c>
      <c r="L696" s="97">
        <v>-32.900000000000013</v>
      </c>
    </row>
    <row r="697" spans="11:12" x14ac:dyDescent="0.4">
      <c r="K697" s="36">
        <v>695</v>
      </c>
      <c r="L697" s="97">
        <v>-42.600000000000009</v>
      </c>
    </row>
    <row r="698" spans="11:12" x14ac:dyDescent="0.4">
      <c r="K698" s="36">
        <v>696</v>
      </c>
      <c r="L698" s="97">
        <v>-7.1054273576010019E-15</v>
      </c>
    </row>
    <row r="699" spans="11:12" x14ac:dyDescent="0.4">
      <c r="K699" s="36">
        <v>697</v>
      </c>
      <c r="L699" s="97">
        <v>11.299999999999994</v>
      </c>
    </row>
    <row r="700" spans="11:12" x14ac:dyDescent="0.4">
      <c r="K700" s="36">
        <v>698</v>
      </c>
      <c r="L700" s="97">
        <v>56.3</v>
      </c>
    </row>
    <row r="701" spans="11:12" x14ac:dyDescent="0.4">
      <c r="K701" s="36">
        <v>699</v>
      </c>
      <c r="L701" s="97">
        <v>0</v>
      </c>
    </row>
    <row r="702" spans="11:12" x14ac:dyDescent="0.4">
      <c r="K702" s="36">
        <v>700</v>
      </c>
      <c r="L702" s="97">
        <v>15</v>
      </c>
    </row>
    <row r="703" spans="11:12" x14ac:dyDescent="0.4">
      <c r="K703" s="36">
        <v>701</v>
      </c>
      <c r="L703" s="97">
        <v>60</v>
      </c>
    </row>
    <row r="704" spans="11:12" x14ac:dyDescent="0.4">
      <c r="K704" s="36">
        <v>702</v>
      </c>
      <c r="L704" s="97">
        <v>0</v>
      </c>
    </row>
    <row r="705" spans="11:12" x14ac:dyDescent="0.4">
      <c r="K705" s="36">
        <v>703</v>
      </c>
      <c r="L705" s="97">
        <v>-50.9</v>
      </c>
    </row>
    <row r="706" spans="11:12" x14ac:dyDescent="0.4">
      <c r="K706" s="36">
        <v>704</v>
      </c>
      <c r="L706" s="97">
        <v>1.2000000000000028</v>
      </c>
    </row>
    <row r="707" spans="11:12" x14ac:dyDescent="0.4">
      <c r="K707" s="36">
        <v>705</v>
      </c>
      <c r="L707" s="97">
        <v>2.886579864025407E-15</v>
      </c>
    </row>
    <row r="708" spans="11:12" x14ac:dyDescent="0.4">
      <c r="K708" s="36">
        <v>706</v>
      </c>
      <c r="L708" s="97">
        <v>-10.799999999999997</v>
      </c>
    </row>
    <row r="709" spans="11:12" x14ac:dyDescent="0.4">
      <c r="K709" s="36">
        <v>707</v>
      </c>
      <c r="L709" s="97">
        <v>-52</v>
      </c>
    </row>
    <row r="710" spans="11:12" x14ac:dyDescent="0.4">
      <c r="K710" s="36">
        <v>708</v>
      </c>
      <c r="L710" s="97">
        <v>0</v>
      </c>
    </row>
    <row r="711" spans="11:12" x14ac:dyDescent="0.4">
      <c r="K711" s="36">
        <v>709</v>
      </c>
      <c r="L711" s="97">
        <v>5.3</v>
      </c>
    </row>
    <row r="712" spans="11:12" x14ac:dyDescent="0.4">
      <c r="K712" s="36">
        <v>710</v>
      </c>
      <c r="L712" s="97">
        <v>-26.8</v>
      </c>
    </row>
    <row r="713" spans="11:12" x14ac:dyDescent="0.4">
      <c r="K713" s="36">
        <v>711</v>
      </c>
      <c r="L713" s="97">
        <v>0</v>
      </c>
    </row>
    <row r="714" spans="11:12" x14ac:dyDescent="0.4">
      <c r="K714" s="36">
        <v>712</v>
      </c>
      <c r="L714" s="97">
        <v>9.4</v>
      </c>
    </row>
    <row r="715" spans="11:12" x14ac:dyDescent="0.4">
      <c r="K715" s="36">
        <v>713</v>
      </c>
      <c r="L715" s="97">
        <v>-36.4</v>
      </c>
    </row>
    <row r="716" spans="11:12" x14ac:dyDescent="0.4">
      <c r="K716" s="36">
        <v>714</v>
      </c>
      <c r="L716" s="97">
        <v>0</v>
      </c>
    </row>
    <row r="717" spans="11:12" x14ac:dyDescent="0.4">
      <c r="K717" s="36">
        <v>715</v>
      </c>
      <c r="L717" s="97">
        <v>-2.2999999999999998</v>
      </c>
    </row>
    <row r="718" spans="11:12" x14ac:dyDescent="0.4">
      <c r="K718" s="36">
        <v>716</v>
      </c>
      <c r="L718" s="97">
        <v>-58.9</v>
      </c>
    </row>
    <row r="719" spans="11:12" x14ac:dyDescent="0.4">
      <c r="K719" s="36">
        <v>717</v>
      </c>
      <c r="L719" s="97">
        <v>0</v>
      </c>
    </row>
    <row r="720" spans="11:12" x14ac:dyDescent="0.4">
      <c r="K720" s="36">
        <v>718</v>
      </c>
      <c r="L720" s="97">
        <v>-24.5</v>
      </c>
    </row>
    <row r="721" spans="11:12" x14ac:dyDescent="0.4">
      <c r="K721" s="36">
        <v>719</v>
      </c>
      <c r="L721" s="97">
        <v>56.5</v>
      </c>
    </row>
    <row r="722" spans="11:12" x14ac:dyDescent="0.4">
      <c r="K722" s="36">
        <v>720</v>
      </c>
      <c r="L722" s="97">
        <v>0</v>
      </c>
    </row>
    <row r="723" spans="11:12" x14ac:dyDescent="0.4">
      <c r="K723" s="36">
        <v>721</v>
      </c>
      <c r="L723" s="97">
        <v>39.200000000000003</v>
      </c>
    </row>
    <row r="724" spans="11:12" x14ac:dyDescent="0.4">
      <c r="K724" s="36">
        <v>722</v>
      </c>
      <c r="L724" s="97">
        <v>6.3000000000000043</v>
      </c>
    </row>
    <row r="725" spans="11:12" x14ac:dyDescent="0.4">
      <c r="K725" s="36">
        <v>723</v>
      </c>
      <c r="L725" s="97">
        <v>4.4408920985006262E-15</v>
      </c>
    </row>
    <row r="726" spans="11:12" x14ac:dyDescent="0.4">
      <c r="K726" s="36">
        <v>724</v>
      </c>
      <c r="L726" s="97">
        <v>-51.699999999999996</v>
      </c>
    </row>
    <row r="727" spans="11:12" x14ac:dyDescent="0.4">
      <c r="K727" s="36">
        <v>725</v>
      </c>
      <c r="L727" s="97">
        <v>-38.199999999999996</v>
      </c>
    </row>
    <row r="728" spans="11:12" x14ac:dyDescent="0.4">
      <c r="K728" s="36">
        <v>726</v>
      </c>
      <c r="L728" s="97">
        <v>7.1054273576010019E-15</v>
      </c>
    </row>
    <row r="729" spans="11:12" x14ac:dyDescent="0.4">
      <c r="K729" s="36">
        <v>727</v>
      </c>
      <c r="L729" s="97">
        <v>-61.699999999999996</v>
      </c>
    </row>
    <row r="730" spans="11:12" x14ac:dyDescent="0.4">
      <c r="K730" s="36">
        <v>728</v>
      </c>
      <c r="L730" s="97">
        <v>-91.3</v>
      </c>
    </row>
    <row r="731" spans="11:12" x14ac:dyDescent="0.4">
      <c r="K731" s="36">
        <v>729</v>
      </c>
      <c r="L731" s="97">
        <v>0</v>
      </c>
    </row>
    <row r="732" spans="11:12" x14ac:dyDescent="0.4">
      <c r="K732" s="36">
        <v>730</v>
      </c>
      <c r="L732" s="97">
        <v>41.6</v>
      </c>
    </row>
    <row r="733" spans="11:12" x14ac:dyDescent="0.4">
      <c r="K733" s="36">
        <v>731</v>
      </c>
      <c r="L733" s="97">
        <v>8.7000000000000028</v>
      </c>
    </row>
    <row r="734" spans="11:12" x14ac:dyDescent="0.4">
      <c r="K734" s="36">
        <v>732</v>
      </c>
      <c r="L734" s="97">
        <v>3.5527136788005009E-15</v>
      </c>
    </row>
    <row r="735" spans="11:12" x14ac:dyDescent="0.4">
      <c r="K735" s="36">
        <v>733</v>
      </c>
      <c r="L735" s="97">
        <v>-55.899999999999991</v>
      </c>
    </row>
    <row r="736" spans="11:12" x14ac:dyDescent="0.4">
      <c r="K736" s="36">
        <v>734</v>
      </c>
      <c r="L736" s="97">
        <v>-42.199999999999989</v>
      </c>
    </row>
    <row r="737" spans="11:12" x14ac:dyDescent="0.4">
      <c r="K737" s="36">
        <v>735</v>
      </c>
      <c r="L737" s="97">
        <v>1.4210854715202004E-14</v>
      </c>
    </row>
    <row r="738" spans="11:12" x14ac:dyDescent="0.4">
      <c r="K738" s="36">
        <v>736</v>
      </c>
      <c r="L738" s="97">
        <v>62.500000000000014</v>
      </c>
    </row>
    <row r="739" spans="11:12" x14ac:dyDescent="0.4">
      <c r="K739" s="36">
        <v>737</v>
      </c>
      <c r="L739" s="97">
        <v>5.0000000000000142</v>
      </c>
    </row>
    <row r="740" spans="11:12" x14ac:dyDescent="0.4">
      <c r="K740" s="36">
        <v>738</v>
      </c>
      <c r="L740" s="97">
        <v>1.4210854715202004E-14</v>
      </c>
    </row>
    <row r="741" spans="11:12" x14ac:dyDescent="0.4">
      <c r="K741" s="36">
        <v>739</v>
      </c>
      <c r="L741" s="97">
        <v>12.200000000000014</v>
      </c>
    </row>
    <row r="742" spans="11:12" x14ac:dyDescent="0.4">
      <c r="K742" s="36">
        <v>740</v>
      </c>
      <c r="L742" s="97">
        <v>55.100000000000009</v>
      </c>
    </row>
    <row r="743" spans="11:12" x14ac:dyDescent="0.4">
      <c r="K743" s="36">
        <v>741</v>
      </c>
      <c r="L743" s="97">
        <v>7.1054273576010019E-15</v>
      </c>
    </row>
    <row r="744" spans="11:12" x14ac:dyDescent="0.4">
      <c r="K744" s="36">
        <v>742</v>
      </c>
      <c r="L744" s="97">
        <v>9.0000000000000071</v>
      </c>
    </row>
    <row r="745" spans="11:12" x14ac:dyDescent="0.4">
      <c r="K745" s="36">
        <v>743</v>
      </c>
      <c r="L745" s="97">
        <v>-37.699999999999996</v>
      </c>
    </row>
    <row r="746" spans="11:12" x14ac:dyDescent="0.4">
      <c r="K746" s="36">
        <v>744</v>
      </c>
      <c r="L746" s="97">
        <v>7.1054273576010019E-15</v>
      </c>
    </row>
    <row r="747" spans="11:12" x14ac:dyDescent="0.4">
      <c r="K747" s="36">
        <v>745</v>
      </c>
      <c r="L747" s="97">
        <v>-11.999999999999993</v>
      </c>
    </row>
    <row r="748" spans="11:12" x14ac:dyDescent="0.4">
      <c r="K748" s="36">
        <v>746</v>
      </c>
      <c r="L748" s="97">
        <v>65.099999999999994</v>
      </c>
    </row>
    <row r="749" spans="11:12" x14ac:dyDescent="0.4">
      <c r="K749" s="36">
        <v>747</v>
      </c>
      <c r="L749" s="97">
        <v>0</v>
      </c>
    </row>
    <row r="750" spans="11:12" x14ac:dyDescent="0.4">
      <c r="K750" s="36">
        <v>748</v>
      </c>
      <c r="L750" s="97">
        <v>14.7</v>
      </c>
    </row>
    <row r="751" spans="11:12" x14ac:dyDescent="0.4">
      <c r="K751" s="36">
        <v>749</v>
      </c>
      <c r="L751" s="97">
        <v>75.2</v>
      </c>
    </row>
    <row r="752" spans="11:12" x14ac:dyDescent="0.4">
      <c r="K752" s="36">
        <v>750</v>
      </c>
      <c r="L752" s="97">
        <v>0</v>
      </c>
    </row>
    <row r="753" spans="11:12" x14ac:dyDescent="0.4">
      <c r="K753" s="36">
        <v>751</v>
      </c>
      <c r="L753" s="97">
        <v>-43.2</v>
      </c>
    </row>
    <row r="754" spans="11:12" x14ac:dyDescent="0.4">
      <c r="K754" s="36">
        <v>752</v>
      </c>
      <c r="L754" s="97">
        <v>-39.800000000000004</v>
      </c>
    </row>
    <row r="755" spans="11:12" x14ac:dyDescent="0.4">
      <c r="K755" s="36">
        <v>753</v>
      </c>
      <c r="L755" s="97">
        <v>-7.1054273576010019E-15</v>
      </c>
    </row>
    <row r="756" spans="11:12" x14ac:dyDescent="0.4">
      <c r="K756" s="36">
        <v>754</v>
      </c>
      <c r="L756" s="97">
        <v>-53.300000000000004</v>
      </c>
    </row>
    <row r="757" spans="11:12" x14ac:dyDescent="0.4">
      <c r="K757" s="36">
        <v>755</v>
      </c>
      <c r="L757" s="97">
        <v>-61.600000000000009</v>
      </c>
    </row>
    <row r="758" spans="11:12" x14ac:dyDescent="0.4">
      <c r="K758" s="36">
        <v>756</v>
      </c>
      <c r="L758" s="97">
        <v>-7.1054273576010019E-15</v>
      </c>
    </row>
    <row r="759" spans="11:12" x14ac:dyDescent="0.4">
      <c r="K759" s="36">
        <v>757</v>
      </c>
      <c r="L759" s="97">
        <v>31.699999999999992</v>
      </c>
    </row>
    <row r="760" spans="11:12" x14ac:dyDescent="0.4">
      <c r="K760" s="36">
        <v>758</v>
      </c>
      <c r="L760" s="97">
        <v>-10.100000000000005</v>
      </c>
    </row>
    <row r="761" spans="11:12" x14ac:dyDescent="0.4">
      <c r="K761" s="36">
        <v>759</v>
      </c>
      <c r="L761" s="97">
        <v>-5.3290705182007514E-15</v>
      </c>
    </row>
    <row r="762" spans="11:12" x14ac:dyDescent="0.4">
      <c r="K762" s="36">
        <v>760</v>
      </c>
      <c r="L762" s="97">
        <v>42.699999999999996</v>
      </c>
    </row>
    <row r="763" spans="11:12" x14ac:dyDescent="0.4">
      <c r="K763" s="36">
        <v>761</v>
      </c>
      <c r="L763" s="97">
        <v>-2.6000000000000014</v>
      </c>
    </row>
    <row r="764" spans="11:12" x14ac:dyDescent="0.4">
      <c r="K764" s="36">
        <v>762</v>
      </c>
      <c r="L764" s="97">
        <v>-1.3322676295501878E-15</v>
      </c>
    </row>
    <row r="765" spans="11:12" x14ac:dyDescent="0.4">
      <c r="K765" s="36">
        <v>763</v>
      </c>
      <c r="L765" s="97">
        <v>62</v>
      </c>
    </row>
    <row r="766" spans="11:12" x14ac:dyDescent="0.4">
      <c r="K766" s="36">
        <v>764</v>
      </c>
      <c r="L766" s="97">
        <v>3.8999999999999986</v>
      </c>
    </row>
    <row r="767" spans="11:12" x14ac:dyDescent="0.4">
      <c r="K767" s="36">
        <v>765</v>
      </c>
      <c r="L767" s="97">
        <v>-1.3322676295501878E-15</v>
      </c>
    </row>
    <row r="768" spans="11:12" x14ac:dyDescent="0.4">
      <c r="K768" s="36">
        <v>766</v>
      </c>
      <c r="L768" s="97">
        <v>35</v>
      </c>
    </row>
    <row r="769" spans="11:12" x14ac:dyDescent="0.4">
      <c r="K769" s="36">
        <v>767</v>
      </c>
      <c r="L769" s="97">
        <v>-9.6000000000000014</v>
      </c>
    </row>
    <row r="770" spans="11:12" x14ac:dyDescent="0.4">
      <c r="K770" s="36">
        <v>768</v>
      </c>
      <c r="L770" s="97">
        <v>-1.7763568394002505E-15</v>
      </c>
    </row>
    <row r="771" spans="11:12" x14ac:dyDescent="0.4">
      <c r="K771" s="36">
        <v>769</v>
      </c>
      <c r="L771" s="97">
        <v>39.299999999999997</v>
      </c>
    </row>
    <row r="772" spans="11:12" x14ac:dyDescent="0.4">
      <c r="K772" s="36">
        <v>770</v>
      </c>
      <c r="L772" s="97">
        <v>-19</v>
      </c>
    </row>
    <row r="773" spans="11:12" x14ac:dyDescent="0.4">
      <c r="K773" s="36">
        <v>771</v>
      </c>
      <c r="L773" s="97">
        <v>0</v>
      </c>
    </row>
    <row r="774" spans="11:12" x14ac:dyDescent="0.4">
      <c r="K774" s="36">
        <v>772</v>
      </c>
      <c r="L774" s="97">
        <v>1.1000000000000001</v>
      </c>
    </row>
    <row r="775" spans="11:12" x14ac:dyDescent="0.4">
      <c r="K775" s="36">
        <v>773</v>
      </c>
      <c r="L775" s="97">
        <v>-34.699999999999996</v>
      </c>
    </row>
    <row r="776" spans="11:12" x14ac:dyDescent="0.4">
      <c r="K776" s="36">
        <v>774</v>
      </c>
      <c r="L776" s="97">
        <v>7.1054273576010019E-15</v>
      </c>
    </row>
    <row r="777" spans="11:12" x14ac:dyDescent="0.4">
      <c r="K777" s="36">
        <v>775</v>
      </c>
      <c r="L777" s="97">
        <v>-32.099999999999994</v>
      </c>
    </row>
    <row r="778" spans="11:12" x14ac:dyDescent="0.4">
      <c r="K778" s="36">
        <v>776</v>
      </c>
      <c r="L778" s="97">
        <v>-36.399999999999991</v>
      </c>
    </row>
    <row r="779" spans="11:12" x14ac:dyDescent="0.4">
      <c r="K779" s="36">
        <v>777</v>
      </c>
      <c r="L779" s="97">
        <v>7.1054273576010019E-15</v>
      </c>
    </row>
    <row r="780" spans="11:12" x14ac:dyDescent="0.4">
      <c r="K780" s="36">
        <v>778</v>
      </c>
      <c r="L780" s="97">
        <v>-7.3999999999999932</v>
      </c>
    </row>
    <row r="781" spans="11:12" x14ac:dyDescent="0.4">
      <c r="K781" s="36">
        <v>779</v>
      </c>
      <c r="L781" s="97">
        <v>-66</v>
      </c>
    </row>
    <row r="782" spans="11:12" x14ac:dyDescent="0.4">
      <c r="K782" s="36">
        <v>780</v>
      </c>
      <c r="L782" s="97">
        <v>0</v>
      </c>
    </row>
    <row r="783" spans="11:12" x14ac:dyDescent="0.4">
      <c r="K783" s="36">
        <v>781</v>
      </c>
      <c r="L783" s="97">
        <v>-55.4</v>
      </c>
    </row>
    <row r="784" spans="11:12" x14ac:dyDescent="0.4">
      <c r="K784" s="36">
        <v>782</v>
      </c>
      <c r="L784" s="97">
        <v>-42.599999999999994</v>
      </c>
    </row>
    <row r="785" spans="11:12" x14ac:dyDescent="0.4">
      <c r="K785" s="36">
        <v>783</v>
      </c>
      <c r="L785" s="97">
        <v>7.1054273576010019E-15</v>
      </c>
    </row>
    <row r="786" spans="11:12" x14ac:dyDescent="0.4">
      <c r="K786" s="36">
        <v>784</v>
      </c>
      <c r="L786" s="97">
        <v>17.800000000000008</v>
      </c>
    </row>
    <row r="787" spans="11:12" x14ac:dyDescent="0.4">
      <c r="K787" s="36">
        <v>785</v>
      </c>
      <c r="L787" s="97">
        <v>-49.199999999999989</v>
      </c>
    </row>
    <row r="788" spans="11:12" x14ac:dyDescent="0.4">
      <c r="K788" s="36">
        <v>786</v>
      </c>
      <c r="L788" s="97">
        <v>1.4210854715202004E-14</v>
      </c>
    </row>
    <row r="789" spans="11:12" x14ac:dyDescent="0.4">
      <c r="K789" s="36">
        <v>787</v>
      </c>
      <c r="L789" s="97">
        <v>-17.899999999999984</v>
      </c>
    </row>
    <row r="790" spans="11:12" x14ac:dyDescent="0.4">
      <c r="K790" s="36">
        <v>788</v>
      </c>
      <c r="L790" s="97">
        <v>80.400000000000006</v>
      </c>
    </row>
    <row r="791" spans="11:12" x14ac:dyDescent="0.4">
      <c r="K791" s="36">
        <v>789</v>
      </c>
      <c r="L791" s="97">
        <v>0</v>
      </c>
    </row>
    <row r="792" spans="11:12" x14ac:dyDescent="0.4">
      <c r="K792" s="36">
        <v>790</v>
      </c>
      <c r="L792" s="97">
        <v>9.5</v>
      </c>
    </row>
    <row r="793" spans="11:12" x14ac:dyDescent="0.4">
      <c r="K793" s="36">
        <v>791</v>
      </c>
      <c r="L793" s="97">
        <v>-50</v>
      </c>
    </row>
    <row r="794" spans="11:12" x14ac:dyDescent="0.4">
      <c r="K794" s="36">
        <v>792</v>
      </c>
      <c r="L794" s="97">
        <v>0</v>
      </c>
    </row>
    <row r="795" spans="11:12" x14ac:dyDescent="0.4">
      <c r="K795" s="36">
        <v>793</v>
      </c>
      <c r="L795" s="97">
        <v>-55.3</v>
      </c>
    </row>
    <row r="796" spans="11:12" x14ac:dyDescent="0.4">
      <c r="K796" s="36">
        <v>794</v>
      </c>
      <c r="L796" s="97">
        <v>3.5</v>
      </c>
    </row>
    <row r="797" spans="11:12" x14ac:dyDescent="0.4">
      <c r="K797" s="36">
        <v>795</v>
      </c>
      <c r="L797" s="97">
        <v>0</v>
      </c>
    </row>
    <row r="798" spans="11:12" x14ac:dyDescent="0.4">
      <c r="K798" s="36">
        <v>796</v>
      </c>
      <c r="L798" s="97">
        <v>31</v>
      </c>
    </row>
    <row r="799" spans="11:12" x14ac:dyDescent="0.4">
      <c r="K799" s="36">
        <v>797</v>
      </c>
      <c r="L799" s="97">
        <v>-5</v>
      </c>
    </row>
    <row r="800" spans="11:12" x14ac:dyDescent="0.4">
      <c r="K800" s="36">
        <v>798</v>
      </c>
      <c r="L800" s="97">
        <v>0</v>
      </c>
    </row>
    <row r="801" spans="11:12" x14ac:dyDescent="0.4">
      <c r="K801" s="36">
        <v>799</v>
      </c>
      <c r="L801" s="97">
        <v>-35.299999999999997</v>
      </c>
    </row>
    <row r="802" spans="11:12" x14ac:dyDescent="0.4">
      <c r="K802" s="36">
        <v>800</v>
      </c>
      <c r="L802" s="97">
        <v>-38.9</v>
      </c>
    </row>
    <row r="803" spans="11:12" x14ac:dyDescent="0.4">
      <c r="K803" s="36">
        <v>801</v>
      </c>
      <c r="L803" s="97">
        <v>0</v>
      </c>
    </row>
    <row r="804" spans="11:12" x14ac:dyDescent="0.4">
      <c r="K804" s="36">
        <v>802</v>
      </c>
      <c r="L804" s="97">
        <v>41.1</v>
      </c>
    </row>
    <row r="805" spans="11:12" x14ac:dyDescent="0.4">
      <c r="K805" s="36">
        <v>803</v>
      </c>
      <c r="L805" s="97">
        <v>52</v>
      </c>
    </row>
    <row r="806" spans="11:12" x14ac:dyDescent="0.4">
      <c r="K806" s="36">
        <v>804</v>
      </c>
      <c r="L806" s="97">
        <v>0</v>
      </c>
    </row>
    <row r="807" spans="11:12" x14ac:dyDescent="0.4">
      <c r="K807" s="36">
        <v>805</v>
      </c>
      <c r="L807" s="97">
        <v>54.6</v>
      </c>
    </row>
    <row r="808" spans="11:12" x14ac:dyDescent="0.4">
      <c r="K808" s="36">
        <v>806</v>
      </c>
      <c r="L808" s="97">
        <v>55.9</v>
      </c>
    </row>
    <row r="809" spans="11:12" x14ac:dyDescent="0.4">
      <c r="K809" s="36">
        <v>807</v>
      </c>
      <c r="L809" s="97">
        <v>0</v>
      </c>
    </row>
    <row r="810" spans="11:12" x14ac:dyDescent="0.4">
      <c r="K810" s="36">
        <v>808</v>
      </c>
      <c r="L810" s="97">
        <v>27.5</v>
      </c>
    </row>
    <row r="811" spans="11:12" x14ac:dyDescent="0.4">
      <c r="K811" s="36">
        <v>809</v>
      </c>
      <c r="L811" s="97">
        <v>28.5</v>
      </c>
    </row>
    <row r="812" spans="11:12" x14ac:dyDescent="0.4">
      <c r="K812" s="36">
        <v>810</v>
      </c>
      <c r="L812" s="97">
        <v>0</v>
      </c>
    </row>
    <row r="813" spans="11:12" x14ac:dyDescent="0.4">
      <c r="K813" s="36">
        <v>811</v>
      </c>
      <c r="L813" s="97">
        <v>33.4</v>
      </c>
    </row>
    <row r="814" spans="11:12" x14ac:dyDescent="0.4">
      <c r="K814" s="36">
        <v>812</v>
      </c>
      <c r="L814" s="97">
        <v>0.10000000000000142</v>
      </c>
    </row>
    <row r="815" spans="11:12" x14ac:dyDescent="0.4">
      <c r="K815" s="36">
        <v>813</v>
      </c>
      <c r="L815" s="97">
        <v>1.4155343563970746E-15</v>
      </c>
    </row>
    <row r="816" spans="11:12" x14ac:dyDescent="0.4">
      <c r="K816" s="36">
        <v>814</v>
      </c>
      <c r="L816" s="97">
        <v>38.299999999999997</v>
      </c>
    </row>
    <row r="817" spans="11:12" x14ac:dyDescent="0.4">
      <c r="K817" s="36">
        <v>815</v>
      </c>
      <c r="L817" s="97">
        <v>-12.900000000000006</v>
      </c>
    </row>
    <row r="818" spans="11:12" x14ac:dyDescent="0.4">
      <c r="K818" s="36">
        <v>816</v>
      </c>
      <c r="L818" s="97">
        <v>-5.3290705182007514E-15</v>
      </c>
    </row>
    <row r="819" spans="11:12" x14ac:dyDescent="0.4">
      <c r="K819" s="36">
        <v>817</v>
      </c>
      <c r="L819" s="97">
        <v>47.899999999999991</v>
      </c>
    </row>
    <row r="820" spans="11:12" x14ac:dyDescent="0.4">
      <c r="K820" s="36">
        <v>818</v>
      </c>
      <c r="L820" s="97">
        <v>-22.600000000000009</v>
      </c>
    </row>
    <row r="821" spans="11:12" x14ac:dyDescent="0.4">
      <c r="K821" s="36">
        <v>819</v>
      </c>
      <c r="L821" s="97">
        <v>-7.1054273576010019E-15</v>
      </c>
    </row>
    <row r="822" spans="11:12" x14ac:dyDescent="0.4">
      <c r="K822" s="36">
        <v>820</v>
      </c>
      <c r="L822" s="97">
        <v>-7.6000000000000068</v>
      </c>
    </row>
    <row r="823" spans="11:12" x14ac:dyDescent="0.4">
      <c r="K823" s="36">
        <v>821</v>
      </c>
      <c r="L823" s="97">
        <v>-54.600000000000009</v>
      </c>
    </row>
    <row r="824" spans="11:12" x14ac:dyDescent="0.4">
      <c r="K824" s="36">
        <v>822</v>
      </c>
      <c r="L824" s="97">
        <v>-7.1054273576010019E-15</v>
      </c>
    </row>
    <row r="825" spans="11:12" x14ac:dyDescent="0.4">
      <c r="K825" s="36">
        <v>823</v>
      </c>
      <c r="L825" s="97">
        <v>-34.600000000000009</v>
      </c>
    </row>
    <row r="826" spans="11:12" x14ac:dyDescent="0.4">
      <c r="K826" s="36">
        <v>824</v>
      </c>
      <c r="L826" s="97">
        <v>9.0999999999999943</v>
      </c>
    </row>
    <row r="827" spans="11:12" x14ac:dyDescent="0.4">
      <c r="K827" s="36">
        <v>825</v>
      </c>
      <c r="L827" s="97">
        <v>-5.3290705182007514E-15</v>
      </c>
    </row>
    <row r="828" spans="11:12" x14ac:dyDescent="0.4">
      <c r="K828" s="36">
        <v>826</v>
      </c>
      <c r="L828" s="97">
        <v>-29.500000000000007</v>
      </c>
    </row>
    <row r="829" spans="11:12" x14ac:dyDescent="0.4">
      <c r="K829" s="36">
        <v>827</v>
      </c>
      <c r="L829" s="97">
        <v>-30.000000000000007</v>
      </c>
    </row>
    <row r="830" spans="11:12" x14ac:dyDescent="0.4">
      <c r="K830" s="36">
        <v>828</v>
      </c>
      <c r="L830" s="97">
        <v>-7.1054273576010019E-15</v>
      </c>
    </row>
    <row r="831" spans="11:12" x14ac:dyDescent="0.4">
      <c r="K831" s="36">
        <v>829</v>
      </c>
      <c r="L831" s="97">
        <v>0.89999999999999292</v>
      </c>
    </row>
    <row r="832" spans="11:12" x14ac:dyDescent="0.4">
      <c r="K832" s="36">
        <v>830</v>
      </c>
      <c r="L832" s="97">
        <v>49.79999999999999</v>
      </c>
    </row>
    <row r="833" spans="11:12" x14ac:dyDescent="0.4">
      <c r="K833" s="36">
        <v>831</v>
      </c>
      <c r="L833" s="97">
        <v>-7.1054273576010019E-15</v>
      </c>
    </row>
    <row r="834" spans="11:12" x14ac:dyDescent="0.4">
      <c r="K834" s="36">
        <v>832</v>
      </c>
      <c r="L834" s="97">
        <v>-23.700000000000006</v>
      </c>
    </row>
    <row r="835" spans="11:12" x14ac:dyDescent="0.4">
      <c r="K835" s="36">
        <v>833</v>
      </c>
      <c r="L835" s="97">
        <v>-0.60000000000000497</v>
      </c>
    </row>
    <row r="836" spans="11:12" x14ac:dyDescent="0.4">
      <c r="K836" s="36">
        <v>834</v>
      </c>
      <c r="L836" s="97">
        <v>-4.9960036108132044E-15</v>
      </c>
    </row>
    <row r="837" spans="11:12" x14ac:dyDescent="0.4">
      <c r="K837" s="36">
        <v>835</v>
      </c>
      <c r="L837" s="97">
        <v>8.9999999999999947</v>
      </c>
    </row>
    <row r="838" spans="11:12" x14ac:dyDescent="0.4">
      <c r="K838" s="36">
        <v>836</v>
      </c>
      <c r="L838" s="97">
        <v>-31.500000000000007</v>
      </c>
    </row>
    <row r="839" spans="11:12" x14ac:dyDescent="0.4">
      <c r="K839" s="36">
        <v>837</v>
      </c>
      <c r="L839" s="97">
        <v>-7.1054273576010019E-15</v>
      </c>
    </row>
    <row r="840" spans="11:12" x14ac:dyDescent="0.4">
      <c r="K840" s="36">
        <v>838</v>
      </c>
      <c r="L840" s="97">
        <v>26.899999999999991</v>
      </c>
    </row>
    <row r="841" spans="11:12" x14ac:dyDescent="0.4">
      <c r="K841" s="36">
        <v>839</v>
      </c>
      <c r="L841" s="97">
        <v>28.399999999999991</v>
      </c>
    </row>
    <row r="842" spans="11:12" x14ac:dyDescent="0.4">
      <c r="K842" s="36">
        <v>840</v>
      </c>
      <c r="L842" s="97">
        <v>-7.1054273576010019E-15</v>
      </c>
    </row>
    <row r="843" spans="11:12" x14ac:dyDescent="0.4">
      <c r="K843" s="36">
        <v>841</v>
      </c>
      <c r="L843" s="97">
        <v>-33.800000000000004</v>
      </c>
    </row>
    <row r="844" spans="11:12" x14ac:dyDescent="0.4">
      <c r="K844" s="36">
        <v>842</v>
      </c>
      <c r="L844" s="97">
        <v>5.0999999999999943</v>
      </c>
    </row>
    <row r="845" spans="11:12" x14ac:dyDescent="0.4">
      <c r="K845" s="36">
        <v>843</v>
      </c>
      <c r="L845" s="97">
        <v>-5.3290705182007514E-15</v>
      </c>
    </row>
    <row r="846" spans="11:12" x14ac:dyDescent="0.4">
      <c r="K846" s="36">
        <v>844</v>
      </c>
      <c r="L846" s="97">
        <v>-31.800000000000004</v>
      </c>
    </row>
    <row r="847" spans="11:12" x14ac:dyDescent="0.4">
      <c r="K847" s="36">
        <v>845</v>
      </c>
      <c r="L847" s="97">
        <v>-1.5000000000000036</v>
      </c>
    </row>
    <row r="848" spans="11:12" x14ac:dyDescent="0.4">
      <c r="K848" s="36">
        <v>846</v>
      </c>
      <c r="L848" s="97">
        <v>-3.5527136788005009E-15</v>
      </c>
    </row>
    <row r="849" spans="11:12" x14ac:dyDescent="0.4">
      <c r="K849" s="36">
        <v>847</v>
      </c>
      <c r="L849" s="97">
        <v>-0.8000000000000036</v>
      </c>
    </row>
    <row r="850" spans="11:12" x14ac:dyDescent="0.4">
      <c r="K850" s="36">
        <v>848</v>
      </c>
      <c r="L850" s="97">
        <v>26.899999999999995</v>
      </c>
    </row>
    <row r="851" spans="11:12" x14ac:dyDescent="0.4">
      <c r="K851" s="36">
        <v>849</v>
      </c>
      <c r="L851" s="97">
        <v>-3.5527136788005009E-15</v>
      </c>
    </row>
    <row r="852" spans="11:12" x14ac:dyDescent="0.4">
      <c r="K852" s="36">
        <v>850</v>
      </c>
      <c r="L852" s="97">
        <v>72</v>
      </c>
    </row>
    <row r="853" spans="11:12" x14ac:dyDescent="0.4">
      <c r="K853" s="36">
        <v>851</v>
      </c>
      <c r="L853" s="97">
        <v>62</v>
      </c>
    </row>
    <row r="854" spans="11:12" x14ac:dyDescent="0.4">
      <c r="K854" s="36">
        <v>852</v>
      </c>
      <c r="L854" s="97">
        <v>0</v>
      </c>
    </row>
    <row r="855" spans="11:12" x14ac:dyDescent="0.4">
      <c r="K855" s="36">
        <v>853</v>
      </c>
      <c r="L855" s="97">
        <v>-32.700000000000003</v>
      </c>
    </row>
    <row r="856" spans="11:12" x14ac:dyDescent="0.4">
      <c r="K856" s="36">
        <v>854</v>
      </c>
      <c r="L856" s="97">
        <v>-31.1</v>
      </c>
    </row>
    <row r="857" spans="11:12" x14ac:dyDescent="0.4">
      <c r="K857" s="36">
        <v>855</v>
      </c>
      <c r="L857" s="97">
        <v>0</v>
      </c>
    </row>
    <row r="858" spans="11:12" x14ac:dyDescent="0.4">
      <c r="K858" s="36">
        <v>856</v>
      </c>
      <c r="L858" s="97">
        <v>-36.6</v>
      </c>
    </row>
    <row r="859" spans="11:12" x14ac:dyDescent="0.4">
      <c r="K859" s="36">
        <v>857</v>
      </c>
      <c r="L859" s="97">
        <v>-0.80000000000000426</v>
      </c>
    </row>
    <row r="860" spans="11:12" x14ac:dyDescent="0.4">
      <c r="K860" s="36">
        <v>858</v>
      </c>
      <c r="L860" s="97">
        <v>-4.2188474935755949E-15</v>
      </c>
    </row>
    <row r="861" spans="11:12" x14ac:dyDescent="0.4">
      <c r="K861" s="36">
        <v>859</v>
      </c>
      <c r="L861" s="97">
        <v>-29.400000000000002</v>
      </c>
    </row>
    <row r="862" spans="11:12" x14ac:dyDescent="0.4">
      <c r="K862" s="36">
        <v>860</v>
      </c>
      <c r="L862" s="97">
        <v>-37.6</v>
      </c>
    </row>
    <row r="863" spans="11:12" x14ac:dyDescent="0.4">
      <c r="K863" s="36">
        <v>861</v>
      </c>
      <c r="L863" s="97">
        <v>0</v>
      </c>
    </row>
    <row r="864" spans="11:12" x14ac:dyDescent="0.4">
      <c r="K864" s="36">
        <v>862</v>
      </c>
      <c r="L864" s="97">
        <v>-48.3</v>
      </c>
    </row>
    <row r="865" spans="11:12" x14ac:dyDescent="0.4">
      <c r="K865" s="36">
        <v>863</v>
      </c>
      <c r="L865" s="97">
        <v>-53.199999999999996</v>
      </c>
    </row>
    <row r="866" spans="11:12" x14ac:dyDescent="0.4">
      <c r="K866" s="36">
        <v>864</v>
      </c>
      <c r="L866" s="97">
        <v>7.1054273576010019E-15</v>
      </c>
    </row>
    <row r="867" spans="11:12" x14ac:dyDescent="0.4">
      <c r="K867" s="36">
        <v>865</v>
      </c>
      <c r="L867" s="97">
        <v>-32.79999999999999</v>
      </c>
    </row>
    <row r="868" spans="11:12" x14ac:dyDescent="0.4">
      <c r="K868" s="36">
        <v>866</v>
      </c>
      <c r="L868" s="97">
        <v>3.3000000000000114</v>
      </c>
    </row>
    <row r="869" spans="11:12" x14ac:dyDescent="0.4">
      <c r="K869" s="36">
        <v>867</v>
      </c>
      <c r="L869" s="97">
        <v>1.1546319456101628E-14</v>
      </c>
    </row>
    <row r="870" spans="11:12" x14ac:dyDescent="0.4">
      <c r="K870" s="36">
        <v>868</v>
      </c>
      <c r="L870" s="97">
        <v>-1.7999999999999885</v>
      </c>
    </row>
    <row r="871" spans="11:12" x14ac:dyDescent="0.4">
      <c r="K871" s="36">
        <v>869</v>
      </c>
      <c r="L871" s="97">
        <v>-28.199999999999989</v>
      </c>
    </row>
    <row r="872" spans="11:12" x14ac:dyDescent="0.4">
      <c r="K872" s="36">
        <v>870</v>
      </c>
      <c r="L872" s="97">
        <v>1.0658141036401503E-14</v>
      </c>
    </row>
    <row r="873" spans="11:12" x14ac:dyDescent="0.4">
      <c r="K873" s="36">
        <v>871</v>
      </c>
      <c r="L873" s="97">
        <v>-56.799999999999983</v>
      </c>
    </row>
    <row r="874" spans="11:12" x14ac:dyDescent="0.4">
      <c r="K874" s="36">
        <v>872</v>
      </c>
      <c r="L874" s="97">
        <v>4.2000000000000171</v>
      </c>
    </row>
    <row r="875" spans="11:12" x14ac:dyDescent="0.4">
      <c r="K875" s="36">
        <v>873</v>
      </c>
      <c r="L875" s="97">
        <v>1.6875389974302379E-14</v>
      </c>
    </row>
    <row r="876" spans="11:12" x14ac:dyDescent="0.4">
      <c r="K876" s="36">
        <v>874</v>
      </c>
      <c r="L876" s="97">
        <v>-32.499999999999986</v>
      </c>
    </row>
    <row r="877" spans="11:12" x14ac:dyDescent="0.4">
      <c r="K877" s="36">
        <v>875</v>
      </c>
      <c r="L877" s="97">
        <v>2.9000000000000128</v>
      </c>
    </row>
    <row r="878" spans="11:12" x14ac:dyDescent="0.4">
      <c r="K878" s="36">
        <v>876</v>
      </c>
      <c r="L878" s="97">
        <v>1.2878587085651816E-14</v>
      </c>
    </row>
    <row r="879" spans="11:12" x14ac:dyDescent="0.4">
      <c r="K879" s="36">
        <v>877</v>
      </c>
      <c r="L879" s="97">
        <v>-12.699999999999987</v>
      </c>
    </row>
    <row r="880" spans="11:12" x14ac:dyDescent="0.4">
      <c r="K880" s="36">
        <v>878</v>
      </c>
      <c r="L880" s="97">
        <v>42.800000000000011</v>
      </c>
    </row>
    <row r="881" spans="11:12" x14ac:dyDescent="0.4">
      <c r="K881" s="36">
        <v>879</v>
      </c>
      <c r="L881" s="97">
        <v>1.4210854715202004E-14</v>
      </c>
    </row>
    <row r="882" spans="11:12" x14ac:dyDescent="0.4">
      <c r="K882" s="36">
        <v>880</v>
      </c>
      <c r="L882" s="97">
        <v>-43.099999999999987</v>
      </c>
    </row>
    <row r="883" spans="11:12" x14ac:dyDescent="0.4">
      <c r="K883" s="36">
        <v>881</v>
      </c>
      <c r="L883" s="97">
        <v>-9.7999999999999901</v>
      </c>
    </row>
    <row r="884" spans="11:12" x14ac:dyDescent="0.4">
      <c r="K884" s="36">
        <v>882</v>
      </c>
      <c r="L884" s="97">
        <v>1.0658141036401503E-14</v>
      </c>
    </row>
    <row r="885" spans="11:12" x14ac:dyDescent="0.4">
      <c r="K885" s="36">
        <v>883</v>
      </c>
      <c r="L885" s="97">
        <v>26.500000000000011</v>
      </c>
    </row>
    <row r="886" spans="11:12" x14ac:dyDescent="0.4">
      <c r="K886" s="36">
        <v>884</v>
      </c>
      <c r="L886" s="97">
        <v>-0.29999999999999005</v>
      </c>
    </row>
    <row r="887" spans="11:12" x14ac:dyDescent="0.4">
      <c r="K887" s="36">
        <v>885</v>
      </c>
      <c r="L887" s="97">
        <v>9.936496070395151E-15</v>
      </c>
    </row>
    <row r="888" spans="11:12" x14ac:dyDescent="0.4">
      <c r="K888" s="36">
        <v>886</v>
      </c>
      <c r="L888" s="97">
        <v>40.800000000000004</v>
      </c>
    </row>
    <row r="889" spans="11:12" x14ac:dyDescent="0.4">
      <c r="K889" s="36">
        <v>887</v>
      </c>
      <c r="L889" s="97">
        <v>34.1</v>
      </c>
    </row>
    <row r="890" spans="11:12" x14ac:dyDescent="0.4">
      <c r="K890" s="36">
        <v>888</v>
      </c>
      <c r="L890" s="97">
        <v>0</v>
      </c>
    </row>
    <row r="891" spans="11:12" x14ac:dyDescent="0.4">
      <c r="K891" s="36">
        <v>889</v>
      </c>
      <c r="L891" s="97">
        <v>-3</v>
      </c>
    </row>
    <row r="892" spans="11:12" x14ac:dyDescent="0.4">
      <c r="K892" s="36">
        <v>890</v>
      </c>
      <c r="L892" s="97">
        <v>37.4</v>
      </c>
    </row>
    <row r="893" spans="11:12" x14ac:dyDescent="0.4">
      <c r="K893" s="36">
        <v>891</v>
      </c>
      <c r="L893" s="97">
        <v>0</v>
      </c>
    </row>
    <row r="894" spans="11:12" x14ac:dyDescent="0.4">
      <c r="K894" s="36">
        <v>892</v>
      </c>
      <c r="L894" s="97">
        <v>58.8</v>
      </c>
    </row>
    <row r="895" spans="11:12" x14ac:dyDescent="0.4">
      <c r="K895" s="36">
        <v>893</v>
      </c>
      <c r="L895" s="97">
        <v>0.79999999999999716</v>
      </c>
    </row>
    <row r="896" spans="11:12" x14ac:dyDescent="0.4">
      <c r="K896" s="36">
        <v>894</v>
      </c>
      <c r="L896" s="97">
        <v>-2.886579864025407E-15</v>
      </c>
    </row>
    <row r="897" spans="11:12" x14ac:dyDescent="0.4">
      <c r="K897" s="36">
        <v>895</v>
      </c>
      <c r="L897" s="97">
        <v>8.5999999999999961</v>
      </c>
    </row>
    <row r="898" spans="11:12" x14ac:dyDescent="0.4">
      <c r="K898" s="36">
        <v>896</v>
      </c>
      <c r="L898" s="97">
        <v>56.099999999999994</v>
      </c>
    </row>
    <row r="899" spans="11:12" x14ac:dyDescent="0.4">
      <c r="K899" s="36">
        <v>897</v>
      </c>
      <c r="L899" s="97">
        <v>-7.1054273576010019E-15</v>
      </c>
    </row>
    <row r="900" spans="11:12" x14ac:dyDescent="0.4">
      <c r="K900" s="36">
        <v>898</v>
      </c>
      <c r="L900" s="97">
        <v>-35.70000000000001</v>
      </c>
    </row>
    <row r="901" spans="11:12" x14ac:dyDescent="0.4">
      <c r="K901" s="36">
        <v>899</v>
      </c>
      <c r="L901" s="97">
        <v>-37.600000000000009</v>
      </c>
    </row>
    <row r="902" spans="11:12" x14ac:dyDescent="0.4">
      <c r="K902" s="36">
        <v>900</v>
      </c>
      <c r="L902" s="97">
        <v>-7.1054273576010019E-15</v>
      </c>
    </row>
    <row r="903" spans="11:12" x14ac:dyDescent="0.4">
      <c r="K903" s="36">
        <v>901</v>
      </c>
      <c r="L903" s="97">
        <v>5.1999999999999931</v>
      </c>
    </row>
    <row r="904" spans="11:12" x14ac:dyDescent="0.4">
      <c r="K904" s="36">
        <v>902</v>
      </c>
      <c r="L904" s="97">
        <v>59.599999999999994</v>
      </c>
    </row>
    <row r="905" spans="11:12" x14ac:dyDescent="0.4">
      <c r="K905" s="36">
        <v>903</v>
      </c>
      <c r="L905" s="97">
        <v>-7.1054273576010019E-15</v>
      </c>
    </row>
    <row r="906" spans="11:12" x14ac:dyDescent="0.4">
      <c r="K906" s="36">
        <v>904</v>
      </c>
      <c r="L906" s="97">
        <v>29.599999999999994</v>
      </c>
    </row>
    <row r="907" spans="11:12" x14ac:dyDescent="0.4">
      <c r="K907" s="36">
        <v>905</v>
      </c>
      <c r="L907" s="97">
        <v>32.399999999999991</v>
      </c>
    </row>
    <row r="908" spans="11:12" x14ac:dyDescent="0.4">
      <c r="K908" s="36">
        <v>906</v>
      </c>
      <c r="L908" s="97">
        <v>-7.1054273576010019E-15</v>
      </c>
    </row>
    <row r="909" spans="11:12" x14ac:dyDescent="0.4">
      <c r="K909" s="36">
        <v>907</v>
      </c>
      <c r="L909" s="97">
        <v>44.499999999999993</v>
      </c>
    </row>
    <row r="910" spans="11:12" x14ac:dyDescent="0.4">
      <c r="K910" s="36">
        <v>908</v>
      </c>
      <c r="L910" s="97">
        <v>41.399999999999991</v>
      </c>
    </row>
    <row r="911" spans="11:12" x14ac:dyDescent="0.4">
      <c r="K911" s="36">
        <v>909</v>
      </c>
      <c r="L911" s="97">
        <v>-7.1054273576010019E-15</v>
      </c>
    </row>
    <row r="912" spans="11:12" x14ac:dyDescent="0.4">
      <c r="K912" s="36">
        <v>910</v>
      </c>
      <c r="L912" s="97">
        <v>6.9999999999999929</v>
      </c>
    </row>
    <row r="913" spans="11:12" x14ac:dyDescent="0.4">
      <c r="K913" s="36">
        <v>911</v>
      </c>
      <c r="L913" s="97">
        <v>-27.500000000000007</v>
      </c>
    </row>
    <row r="914" spans="11:12" x14ac:dyDescent="0.4">
      <c r="K914" s="36">
        <v>912</v>
      </c>
      <c r="L914" s="97">
        <v>-7.1054273576010019E-15</v>
      </c>
    </row>
    <row r="915" spans="11:12" x14ac:dyDescent="0.4">
      <c r="K915" s="36">
        <v>913</v>
      </c>
      <c r="L915" s="97">
        <v>-4.6000000000000068</v>
      </c>
    </row>
    <row r="916" spans="11:12" x14ac:dyDescent="0.4">
      <c r="K916" s="36">
        <v>914</v>
      </c>
      <c r="L916" s="97">
        <v>46.499999999999993</v>
      </c>
    </row>
    <row r="917" spans="11:12" x14ac:dyDescent="0.4">
      <c r="K917" s="36">
        <v>915</v>
      </c>
      <c r="L917" s="97">
        <v>-7.1054273576010019E-15</v>
      </c>
    </row>
    <row r="918" spans="11:12" x14ac:dyDescent="0.4">
      <c r="K918" s="36">
        <v>916</v>
      </c>
      <c r="L918" s="97">
        <v>-29.100000000000009</v>
      </c>
    </row>
    <row r="919" spans="11:12" x14ac:dyDescent="0.4">
      <c r="K919" s="36">
        <v>917</v>
      </c>
      <c r="L919" s="97">
        <v>-36.500000000000007</v>
      </c>
    </row>
    <row r="920" spans="11:12" x14ac:dyDescent="0.4">
      <c r="K920" s="36">
        <v>918</v>
      </c>
      <c r="L920" s="97">
        <v>-7.1054273576010019E-15</v>
      </c>
    </row>
    <row r="921" spans="11:12" x14ac:dyDescent="0.4">
      <c r="K921" s="36">
        <v>919</v>
      </c>
      <c r="L921" s="97">
        <v>42.499999999999993</v>
      </c>
    </row>
    <row r="922" spans="11:12" x14ac:dyDescent="0.4">
      <c r="K922" s="36">
        <v>920</v>
      </c>
      <c r="L922" s="97">
        <v>34.599999999999994</v>
      </c>
    </row>
    <row r="923" spans="11:12" x14ac:dyDescent="0.4">
      <c r="K923" s="36">
        <v>921</v>
      </c>
      <c r="L923" s="97">
        <v>-7.1054273576010019E-15</v>
      </c>
    </row>
    <row r="924" spans="11:12" x14ac:dyDescent="0.4">
      <c r="K924" s="36">
        <v>922</v>
      </c>
      <c r="L924" s="97">
        <v>-46.100000000000009</v>
      </c>
    </row>
    <row r="925" spans="11:12" x14ac:dyDescent="0.4">
      <c r="K925" s="36">
        <v>923</v>
      </c>
      <c r="L925" s="97">
        <v>-11.600000000000009</v>
      </c>
    </row>
    <row r="926" spans="11:12" x14ac:dyDescent="0.4">
      <c r="K926" s="36">
        <v>924</v>
      </c>
      <c r="L926" s="97">
        <v>-8.8817841970012523E-15</v>
      </c>
    </row>
    <row r="927" spans="11:12" x14ac:dyDescent="0.4">
      <c r="K927" s="36">
        <v>925</v>
      </c>
      <c r="L927" s="97">
        <v>-54.000000000000007</v>
      </c>
    </row>
    <row r="928" spans="11:12" x14ac:dyDescent="0.4">
      <c r="K928" s="36">
        <v>926</v>
      </c>
      <c r="L928" s="97">
        <v>-67.300000000000011</v>
      </c>
    </row>
    <row r="929" spans="11:12" x14ac:dyDescent="0.4">
      <c r="K929" s="36">
        <v>927</v>
      </c>
      <c r="L929" s="97">
        <v>-1.4210854715202004E-14</v>
      </c>
    </row>
    <row r="930" spans="11:12" x14ac:dyDescent="0.4">
      <c r="K930" s="36">
        <v>928</v>
      </c>
      <c r="L930" s="97">
        <v>-34.000000000000014</v>
      </c>
    </row>
    <row r="931" spans="11:12" x14ac:dyDescent="0.4">
      <c r="K931" s="36">
        <v>929</v>
      </c>
      <c r="L931" s="97">
        <v>-32.200000000000017</v>
      </c>
    </row>
    <row r="932" spans="11:12" x14ac:dyDescent="0.4">
      <c r="K932" s="36">
        <v>930</v>
      </c>
      <c r="L932" s="97">
        <v>-1.4210854715202004E-14</v>
      </c>
    </row>
    <row r="933" spans="11:12" x14ac:dyDescent="0.4">
      <c r="K933" s="36">
        <v>931</v>
      </c>
      <c r="L933" s="97">
        <v>47.999999999999986</v>
      </c>
    </row>
    <row r="934" spans="11:12" x14ac:dyDescent="0.4">
      <c r="K934" s="36">
        <v>932</v>
      </c>
      <c r="L934" s="97">
        <v>44.299999999999983</v>
      </c>
    </row>
    <row r="935" spans="11:12" x14ac:dyDescent="0.4">
      <c r="K935" s="36">
        <v>933</v>
      </c>
      <c r="L935" s="97">
        <v>-1.4210854715202004E-14</v>
      </c>
    </row>
    <row r="936" spans="11:12" x14ac:dyDescent="0.4">
      <c r="K936" s="36">
        <v>934</v>
      </c>
      <c r="L936" s="97">
        <v>55.099999999999987</v>
      </c>
    </row>
    <row r="937" spans="11:12" x14ac:dyDescent="0.4">
      <c r="K937" s="36">
        <v>935</v>
      </c>
      <c r="L937" s="97">
        <v>51.099999999999987</v>
      </c>
    </row>
    <row r="938" spans="11:12" x14ac:dyDescent="0.4">
      <c r="K938" s="36">
        <v>936</v>
      </c>
      <c r="L938" s="97">
        <v>-1.4210854715202004E-14</v>
      </c>
    </row>
    <row r="939" spans="11:12" x14ac:dyDescent="0.4">
      <c r="K939" s="36">
        <v>937</v>
      </c>
      <c r="L939" s="97">
        <v>-16.600000000000016</v>
      </c>
    </row>
    <row r="940" spans="11:12" x14ac:dyDescent="0.4">
      <c r="K940" s="36">
        <v>938</v>
      </c>
      <c r="L940" s="97">
        <v>58.599999999999987</v>
      </c>
    </row>
    <row r="941" spans="11:12" x14ac:dyDescent="0.4">
      <c r="K941" s="36">
        <v>939</v>
      </c>
      <c r="L941" s="97">
        <v>-1.4210854715202004E-14</v>
      </c>
    </row>
    <row r="942" spans="11:12" x14ac:dyDescent="0.4">
      <c r="K942" s="36">
        <v>940</v>
      </c>
      <c r="L942" s="97">
        <v>-36.400000000000013</v>
      </c>
    </row>
    <row r="943" spans="11:12" x14ac:dyDescent="0.4">
      <c r="K943" s="36">
        <v>941</v>
      </c>
      <c r="L943" s="97">
        <v>-0.90000000000001279</v>
      </c>
    </row>
    <row r="944" spans="11:12" x14ac:dyDescent="0.4">
      <c r="K944" s="36">
        <v>942</v>
      </c>
      <c r="L944" s="97">
        <v>-1.27675647831893E-14</v>
      </c>
    </row>
    <row r="945" spans="11:12" x14ac:dyDescent="0.4">
      <c r="K945" s="36">
        <v>943</v>
      </c>
      <c r="L945" s="97">
        <v>61.599999999999987</v>
      </c>
    </row>
    <row r="946" spans="11:12" x14ac:dyDescent="0.4">
      <c r="K946" s="36">
        <v>944</v>
      </c>
      <c r="L946" s="97">
        <v>16.79999999999999</v>
      </c>
    </row>
    <row r="947" spans="11:12" x14ac:dyDescent="0.4">
      <c r="K947" s="36">
        <v>945</v>
      </c>
      <c r="L947" s="97">
        <v>-1.0658141036401503E-14</v>
      </c>
    </row>
    <row r="948" spans="11:12" x14ac:dyDescent="0.4">
      <c r="K948" s="36">
        <v>946</v>
      </c>
      <c r="L948" s="97">
        <v>-7.2000000000000108</v>
      </c>
    </row>
    <row r="949" spans="11:12" x14ac:dyDescent="0.4">
      <c r="K949" s="36">
        <v>947</v>
      </c>
      <c r="L949" s="97">
        <v>-79.800000000000011</v>
      </c>
    </row>
    <row r="950" spans="11:12" x14ac:dyDescent="0.4">
      <c r="K950" s="36">
        <v>948</v>
      </c>
      <c r="L950" s="97">
        <v>-1.4210854715202004E-14</v>
      </c>
    </row>
    <row r="951" spans="11:12" x14ac:dyDescent="0.4">
      <c r="K951" s="36">
        <v>949</v>
      </c>
      <c r="L951" s="97">
        <v>47.299999999999983</v>
      </c>
    </row>
    <row r="952" spans="11:12" x14ac:dyDescent="0.4">
      <c r="K952" s="36">
        <v>950</v>
      </c>
      <c r="L952" s="97">
        <v>-8.5000000000000142</v>
      </c>
    </row>
    <row r="953" spans="11:12" x14ac:dyDescent="0.4">
      <c r="K953" s="36">
        <v>951</v>
      </c>
      <c r="L953" s="97">
        <v>-1.4210854715202004E-14</v>
      </c>
    </row>
    <row r="954" spans="11:12" x14ac:dyDescent="0.4">
      <c r="K954" s="36">
        <v>952</v>
      </c>
      <c r="L954" s="97">
        <v>60.999999999999986</v>
      </c>
    </row>
    <row r="955" spans="11:12" x14ac:dyDescent="0.4">
      <c r="K955" s="36">
        <v>953</v>
      </c>
      <c r="L955" s="97">
        <v>13.399999999999984</v>
      </c>
    </row>
    <row r="956" spans="11:12" x14ac:dyDescent="0.4">
      <c r="K956" s="36">
        <v>954</v>
      </c>
      <c r="L956" s="97">
        <v>-1.5987211554602254E-14</v>
      </c>
    </row>
    <row r="957" spans="11:12" x14ac:dyDescent="0.4">
      <c r="K957" s="36">
        <v>955</v>
      </c>
      <c r="L957" s="97">
        <v>44.899999999999984</v>
      </c>
    </row>
    <row r="958" spans="11:12" x14ac:dyDescent="0.4">
      <c r="K958" s="36">
        <v>956</v>
      </c>
      <c r="L958" s="97">
        <v>-19.600000000000016</v>
      </c>
    </row>
    <row r="959" spans="11:12" x14ac:dyDescent="0.4">
      <c r="K959" s="36">
        <v>957</v>
      </c>
      <c r="L959" s="97">
        <v>-1.4210854715202004E-14</v>
      </c>
    </row>
    <row r="960" spans="11:12" x14ac:dyDescent="0.4">
      <c r="K960" s="36">
        <v>958</v>
      </c>
      <c r="L960" s="97">
        <v>51.999999999999986</v>
      </c>
    </row>
    <row r="961" spans="11:12" x14ac:dyDescent="0.4">
      <c r="K961" s="36">
        <v>959</v>
      </c>
      <c r="L961" s="97">
        <v>-7.4000000000000128</v>
      </c>
    </row>
    <row r="962" spans="11:12" x14ac:dyDescent="0.4">
      <c r="K962" s="36">
        <v>960</v>
      </c>
      <c r="L962" s="97">
        <v>-1.2434497875801753E-14</v>
      </c>
    </row>
    <row r="963" spans="11:12" x14ac:dyDescent="0.4">
      <c r="K963" s="36">
        <v>961</v>
      </c>
      <c r="L963" s="97">
        <v>-65.000000000000014</v>
      </c>
    </row>
    <row r="964" spans="11:12" x14ac:dyDescent="0.4">
      <c r="K964" s="36">
        <v>962</v>
      </c>
      <c r="L964" s="97">
        <v>-65.000000000000014</v>
      </c>
    </row>
    <row r="965" spans="11:12" x14ac:dyDescent="0.4">
      <c r="K965" s="36">
        <v>963</v>
      </c>
      <c r="L965" s="97">
        <v>-1.4210854715202004E-14</v>
      </c>
    </row>
    <row r="966" spans="11:12" x14ac:dyDescent="0.4">
      <c r="K966" s="36">
        <v>964</v>
      </c>
      <c r="L966" s="97">
        <v>-10.800000000000015</v>
      </c>
    </row>
    <row r="967" spans="11:12" x14ac:dyDescent="0.4">
      <c r="K967" s="36">
        <v>965</v>
      </c>
      <c r="L967" s="97">
        <v>-57.600000000000009</v>
      </c>
    </row>
    <row r="968" spans="11:12" x14ac:dyDescent="0.4">
      <c r="K968" s="36">
        <v>966</v>
      </c>
      <c r="L968" s="97">
        <v>-7.1054273576010019E-15</v>
      </c>
    </row>
    <row r="969" spans="11:12" x14ac:dyDescent="0.4">
      <c r="K969" s="36">
        <v>967</v>
      </c>
      <c r="L969" s="97">
        <v>-66.5</v>
      </c>
    </row>
    <row r="970" spans="11:12" x14ac:dyDescent="0.4">
      <c r="K970" s="36">
        <v>968</v>
      </c>
      <c r="L970" s="97">
        <v>-19.5</v>
      </c>
    </row>
    <row r="971" spans="11:12" x14ac:dyDescent="0.4">
      <c r="K971" s="36">
        <v>969</v>
      </c>
      <c r="L971" s="97">
        <v>0</v>
      </c>
    </row>
    <row r="972" spans="11:12" x14ac:dyDescent="0.4">
      <c r="K972" s="36">
        <v>970</v>
      </c>
      <c r="L972" s="97">
        <v>11.1</v>
      </c>
    </row>
    <row r="973" spans="11:12" x14ac:dyDescent="0.4">
      <c r="K973" s="36">
        <v>971</v>
      </c>
      <c r="L973" s="97">
        <v>-35.9</v>
      </c>
    </row>
    <row r="974" spans="11:12" x14ac:dyDescent="0.4">
      <c r="K974" s="36">
        <v>972</v>
      </c>
      <c r="L974" s="97">
        <v>0</v>
      </c>
    </row>
    <row r="975" spans="11:12" x14ac:dyDescent="0.4">
      <c r="K975" s="36">
        <v>973</v>
      </c>
      <c r="L975" s="97">
        <v>-0.2</v>
      </c>
    </row>
    <row r="976" spans="11:12" x14ac:dyDescent="0.4">
      <c r="K976" s="36">
        <v>974</v>
      </c>
      <c r="L976" s="97">
        <v>-26.5</v>
      </c>
    </row>
    <row r="977" spans="11:12" x14ac:dyDescent="0.4">
      <c r="K977" s="36">
        <v>975</v>
      </c>
      <c r="L977" s="97">
        <v>0</v>
      </c>
    </row>
    <row r="978" spans="11:12" x14ac:dyDescent="0.4">
      <c r="K978" s="36">
        <v>976</v>
      </c>
      <c r="L978" s="97">
        <v>-7</v>
      </c>
    </row>
    <row r="979" spans="11:12" x14ac:dyDescent="0.4">
      <c r="K979" s="36">
        <v>977</v>
      </c>
      <c r="L979" s="97">
        <v>50.5</v>
      </c>
    </row>
    <row r="980" spans="11:12" x14ac:dyDescent="0.4">
      <c r="K980" s="36">
        <v>978</v>
      </c>
      <c r="L980" s="97">
        <v>0</v>
      </c>
    </row>
    <row r="981" spans="11:12" x14ac:dyDescent="0.4">
      <c r="K981" s="36">
        <v>979</v>
      </c>
      <c r="L981" s="97">
        <v>-0.4</v>
      </c>
    </row>
    <row r="982" spans="11:12" x14ac:dyDescent="0.4">
      <c r="K982" s="36">
        <v>980</v>
      </c>
      <c r="L982" s="97">
        <v>24.400000000000002</v>
      </c>
    </row>
    <row r="983" spans="11:12" x14ac:dyDescent="0.4">
      <c r="K983" s="36">
        <v>981</v>
      </c>
      <c r="L983" s="97">
        <v>3.5527136788005009E-15</v>
      </c>
    </row>
    <row r="984" spans="11:12" x14ac:dyDescent="0.4">
      <c r="K984" s="36">
        <v>982</v>
      </c>
      <c r="L984" s="97">
        <v>-47.099999999999994</v>
      </c>
    </row>
    <row r="985" spans="11:12" x14ac:dyDescent="0.4">
      <c r="K985" s="36">
        <v>983</v>
      </c>
      <c r="L985" s="97">
        <v>-64.199999999999989</v>
      </c>
    </row>
    <row r="986" spans="11:12" x14ac:dyDescent="0.4">
      <c r="K986" s="36">
        <v>984</v>
      </c>
      <c r="L986" s="97">
        <v>1.4210854715202004E-14</v>
      </c>
    </row>
    <row r="987" spans="11:12" x14ac:dyDescent="0.4">
      <c r="K987" s="36">
        <v>985</v>
      </c>
      <c r="L987" s="97">
        <v>-37.699999999999989</v>
      </c>
    </row>
    <row r="988" spans="11:12" x14ac:dyDescent="0.4">
      <c r="K988" s="36">
        <v>986</v>
      </c>
      <c r="L988" s="97">
        <v>15.300000000000011</v>
      </c>
    </row>
    <row r="989" spans="11:12" x14ac:dyDescent="0.4">
      <c r="K989" s="36">
        <v>987</v>
      </c>
      <c r="L989" s="97">
        <v>1.0658141036401503E-14</v>
      </c>
    </row>
    <row r="990" spans="11:12" x14ac:dyDescent="0.4">
      <c r="K990" s="36">
        <v>988</v>
      </c>
      <c r="L990" s="97">
        <v>40.200000000000017</v>
      </c>
    </row>
    <row r="991" spans="11:12" x14ac:dyDescent="0.4">
      <c r="K991" s="36">
        <v>989</v>
      </c>
      <c r="L991" s="97">
        <v>34.800000000000018</v>
      </c>
    </row>
    <row r="992" spans="11:12" x14ac:dyDescent="0.4">
      <c r="K992" s="36">
        <v>990</v>
      </c>
      <c r="L992" s="97">
        <v>2.1316282072803006E-14</v>
      </c>
    </row>
    <row r="993" spans="11:12" x14ac:dyDescent="0.4">
      <c r="K993" s="36">
        <v>991</v>
      </c>
      <c r="L993" s="97">
        <v>0.90000000000002134</v>
      </c>
    </row>
    <row r="994" spans="11:12" x14ac:dyDescent="0.4">
      <c r="K994" s="36">
        <v>992</v>
      </c>
      <c r="L994" s="97">
        <v>-47.499999999999979</v>
      </c>
    </row>
    <row r="995" spans="11:12" x14ac:dyDescent="0.4">
      <c r="K995" s="36">
        <v>993</v>
      </c>
      <c r="L995" s="97">
        <v>2.1316282072803006E-14</v>
      </c>
    </row>
    <row r="996" spans="11:12" x14ac:dyDescent="0.4">
      <c r="K996" s="36">
        <v>994</v>
      </c>
      <c r="L996" s="97">
        <v>-61.59999999999998</v>
      </c>
    </row>
    <row r="997" spans="11:12" x14ac:dyDescent="0.4">
      <c r="K997" s="36">
        <v>995</v>
      </c>
      <c r="L997" s="97">
        <v>-49.499999999999979</v>
      </c>
    </row>
    <row r="998" spans="11:12" x14ac:dyDescent="0.4">
      <c r="K998" s="36">
        <v>996</v>
      </c>
      <c r="L998" s="97">
        <v>2.1316282072803006E-14</v>
      </c>
    </row>
    <row r="999" spans="11:12" x14ac:dyDescent="0.4">
      <c r="K999" s="36">
        <v>997</v>
      </c>
      <c r="L999" s="97">
        <v>-43.899999999999977</v>
      </c>
    </row>
    <row r="1000" spans="11:12" x14ac:dyDescent="0.4">
      <c r="K1000" s="36">
        <v>998</v>
      </c>
      <c r="L1000" s="97">
        <v>-34.699999999999974</v>
      </c>
    </row>
    <row r="1001" spans="11:12" x14ac:dyDescent="0.4">
      <c r="K1001" s="36">
        <v>999</v>
      </c>
      <c r="L1001" s="97">
        <v>2.8421709430404007E-14</v>
      </c>
    </row>
    <row r="1002" spans="11:12" x14ac:dyDescent="0.4">
      <c r="K1002" s="36">
        <v>1000</v>
      </c>
      <c r="L1002" s="97">
        <v>62.700000000000031</v>
      </c>
    </row>
    <row r="1003" spans="11:12" x14ac:dyDescent="0.4">
      <c r="K1003" s="36">
        <v>1001</v>
      </c>
      <c r="L1003" s="97">
        <v>13.900000000000034</v>
      </c>
    </row>
    <row r="1004" spans="11:12" x14ac:dyDescent="0.4">
      <c r="K1004" s="36">
        <v>1002</v>
      </c>
      <c r="L1004" s="97">
        <v>3.3750779948604759E-14</v>
      </c>
    </row>
    <row r="1005" spans="11:12" x14ac:dyDescent="0.4">
      <c r="K1005" s="36">
        <v>1003</v>
      </c>
      <c r="L1005" s="97">
        <v>10.700000000000033</v>
      </c>
    </row>
    <row r="1006" spans="11:12" x14ac:dyDescent="0.4">
      <c r="K1006" s="36">
        <v>1004</v>
      </c>
      <c r="L1006" s="97">
        <v>-46.999999999999972</v>
      </c>
    </row>
    <row r="1007" spans="11:12" x14ac:dyDescent="0.4">
      <c r="K1007" s="36">
        <v>1005</v>
      </c>
      <c r="L1007" s="97">
        <v>2.8421709430404007E-14</v>
      </c>
    </row>
    <row r="1008" spans="11:12" x14ac:dyDescent="0.4">
      <c r="K1008" s="36">
        <v>1006</v>
      </c>
      <c r="L1008" s="97">
        <v>35.700000000000031</v>
      </c>
    </row>
    <row r="1009" spans="11:12" x14ac:dyDescent="0.4">
      <c r="K1009" s="36">
        <v>1007</v>
      </c>
      <c r="L1009" s="97">
        <v>-1.0999999999999659</v>
      </c>
    </row>
    <row r="1010" spans="11:12" x14ac:dyDescent="0.4">
      <c r="K1010" s="36">
        <v>1008</v>
      </c>
      <c r="L1010" s="97">
        <v>3.4194869158454821E-14</v>
      </c>
    </row>
    <row r="1011" spans="11:12" x14ac:dyDescent="0.4">
      <c r="K1011" s="36">
        <v>1009</v>
      </c>
      <c r="L1011" s="97">
        <v>27.200000000000035</v>
      </c>
    </row>
    <row r="1012" spans="11:12" x14ac:dyDescent="0.4">
      <c r="K1012" s="36">
        <v>1010</v>
      </c>
      <c r="L1012" s="97">
        <v>25.300000000000036</v>
      </c>
    </row>
    <row r="1013" spans="11:12" x14ac:dyDescent="0.4">
      <c r="K1013" s="36">
        <v>1011</v>
      </c>
      <c r="L1013" s="97">
        <v>3.5527136788005009E-14</v>
      </c>
    </row>
    <row r="1014" spans="11:12" x14ac:dyDescent="0.4">
      <c r="K1014" s="36">
        <v>1012</v>
      </c>
      <c r="L1014" s="97">
        <v>15.800000000000036</v>
      </c>
    </row>
    <row r="1015" spans="11:12" x14ac:dyDescent="0.4">
      <c r="K1015" s="36">
        <v>1013</v>
      </c>
      <c r="L1015" s="97">
        <v>56.000000000000043</v>
      </c>
    </row>
    <row r="1016" spans="11:12" x14ac:dyDescent="0.4">
      <c r="K1016" s="36">
        <v>1014</v>
      </c>
      <c r="L1016" s="97">
        <v>4.2632564145606011E-14</v>
      </c>
    </row>
    <row r="1017" spans="11:12" x14ac:dyDescent="0.4">
      <c r="K1017" s="36">
        <v>1015</v>
      </c>
      <c r="L1017" s="97">
        <v>25.200000000000042</v>
      </c>
    </row>
    <row r="1018" spans="11:12" x14ac:dyDescent="0.4">
      <c r="K1018" s="36">
        <v>1016</v>
      </c>
      <c r="L1018" s="97">
        <v>-3.5999999999999588</v>
      </c>
    </row>
    <row r="1019" spans="11:12" x14ac:dyDescent="0.4">
      <c r="K1019" s="36">
        <v>1017</v>
      </c>
      <c r="L1019" s="97">
        <v>4.1300296516055823E-14</v>
      </c>
    </row>
    <row r="1020" spans="11:12" x14ac:dyDescent="0.4">
      <c r="K1020" s="36">
        <v>1018</v>
      </c>
      <c r="L1020" s="97">
        <v>-9.2999999999999599</v>
      </c>
    </row>
    <row r="1021" spans="11:12" x14ac:dyDescent="0.4">
      <c r="K1021" s="36">
        <v>1019</v>
      </c>
      <c r="L1021" s="97">
        <v>51.900000000000041</v>
      </c>
    </row>
    <row r="1022" spans="11:12" x14ac:dyDescent="0.4">
      <c r="K1022" s="36">
        <v>1020</v>
      </c>
      <c r="L1022" s="97">
        <v>4.2632564145606011E-14</v>
      </c>
    </row>
    <row r="1023" spans="11:12" x14ac:dyDescent="0.4">
      <c r="K1023" s="36">
        <v>1021</v>
      </c>
      <c r="L1023" s="97">
        <v>3.2000000000000428</v>
      </c>
    </row>
    <row r="1024" spans="11:12" x14ac:dyDescent="0.4">
      <c r="K1024" s="36">
        <v>1022</v>
      </c>
      <c r="L1024" s="97">
        <v>-27.599999999999959</v>
      </c>
    </row>
    <row r="1025" spans="11:12" x14ac:dyDescent="0.4">
      <c r="K1025" s="36">
        <v>1023</v>
      </c>
      <c r="L1025" s="97">
        <v>4.2632564145606011E-14</v>
      </c>
    </row>
    <row r="1026" spans="11:12" x14ac:dyDescent="0.4">
      <c r="K1026" s="36">
        <v>1024</v>
      </c>
      <c r="L1026" s="97">
        <v>-2.7999999999999572</v>
      </c>
    </row>
    <row r="1027" spans="11:12" x14ac:dyDescent="0.4">
      <c r="K1027" s="36">
        <v>1025</v>
      </c>
      <c r="L1027" s="97">
        <v>38.700000000000045</v>
      </c>
    </row>
    <row r="1028" spans="11:12" x14ac:dyDescent="0.4">
      <c r="K1028" s="36">
        <v>1026</v>
      </c>
      <c r="L1028" s="97">
        <v>4.2632564145606011E-14</v>
      </c>
    </row>
  </sheetData>
  <sortState xmlns:xlrd2="http://schemas.microsoft.com/office/spreadsheetml/2017/richdata2" ref="N15:Q2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BC174-8094-46C7-BB5A-5ADB00262A03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127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219</v>
      </c>
      <c r="C2" s="149"/>
      <c r="E2" s="60" t="s">
        <v>67</v>
      </c>
      <c r="F2" s="57" t="s">
        <v>23</v>
      </c>
      <c r="G2" s="44">
        <v>466</v>
      </c>
      <c r="H2" s="130">
        <f>IF(B$17=0,0,G2/B$17)</f>
        <v>0.77024793388429758</v>
      </c>
      <c r="I2" s="91">
        <v>6</v>
      </c>
      <c r="K2" s="34">
        <v>0</v>
      </c>
      <c r="L2" s="96">
        <v>0</v>
      </c>
      <c r="N2" s="112" t="s">
        <v>132</v>
      </c>
      <c r="O2" s="119">
        <f t="shared" ref="O2:O7" si="0">IF(P2=0,0,Q2/P2)</f>
        <v>1200.9174311926606</v>
      </c>
      <c r="P2" s="116">
        <v>218</v>
      </c>
      <c r="Q2" s="100">
        <v>261800</v>
      </c>
    </row>
    <row r="3" spans="1:17" x14ac:dyDescent="0.4">
      <c r="A3" s="53" t="s">
        <v>8</v>
      </c>
      <c r="B3" s="150">
        <v>1793</v>
      </c>
      <c r="C3" s="151"/>
      <c r="E3" s="61" t="s">
        <v>73</v>
      </c>
      <c r="F3" s="58" t="s">
        <v>28</v>
      </c>
      <c r="G3" s="45">
        <v>334</v>
      </c>
      <c r="H3" s="131">
        <f>IF(B$17=0,0,G3/B$17)</f>
        <v>0.55206611570247932</v>
      </c>
      <c r="I3" s="92">
        <v>8</v>
      </c>
      <c r="K3" s="36">
        <v>1</v>
      </c>
      <c r="L3" s="97">
        <v>-5.0999999999999996</v>
      </c>
      <c r="N3" s="113" t="s">
        <v>133</v>
      </c>
      <c r="O3" s="120">
        <f t="shared" si="0"/>
        <v>1853.0516431924882</v>
      </c>
      <c r="P3" s="117">
        <v>213</v>
      </c>
      <c r="Q3" s="101">
        <v>394700</v>
      </c>
    </row>
    <row r="4" spans="1:17" x14ac:dyDescent="0.4">
      <c r="A4" s="53" t="s">
        <v>6</v>
      </c>
      <c r="B4" s="152">
        <v>2746.9</v>
      </c>
      <c r="C4" s="153"/>
      <c r="E4" s="61" t="s">
        <v>65</v>
      </c>
      <c r="F4" s="58" t="s">
        <v>21</v>
      </c>
      <c r="G4" s="45">
        <v>287</v>
      </c>
      <c r="H4" s="131">
        <f>IF(B$17=0,0,G4/B$17)</f>
        <v>0.47438016528925619</v>
      </c>
      <c r="I4" s="92">
        <v>9</v>
      </c>
      <c r="K4" s="36">
        <v>2</v>
      </c>
      <c r="L4" s="97">
        <v>-2.8999999999999995</v>
      </c>
      <c r="N4" s="113" t="s">
        <v>134</v>
      </c>
      <c r="O4" s="120">
        <f t="shared" si="0"/>
        <v>700.98039215686276</v>
      </c>
      <c r="P4" s="117">
        <v>204</v>
      </c>
      <c r="Q4" s="101">
        <v>143000</v>
      </c>
    </row>
    <row r="5" spans="1:17" x14ac:dyDescent="0.4">
      <c r="A5" s="53" t="s">
        <v>7</v>
      </c>
      <c r="B5" s="154">
        <f>IF(B$2=0,0,B$4/B$2)</f>
        <v>12.542922374429224</v>
      </c>
      <c r="C5" s="155"/>
      <c r="E5" s="61" t="s">
        <v>245</v>
      </c>
      <c r="F5" s="58" t="s">
        <v>246</v>
      </c>
      <c r="G5" s="45">
        <v>241</v>
      </c>
      <c r="H5" s="131">
        <f>IF(B$17=0,0,G5/B$17)</f>
        <v>0.39834710743801655</v>
      </c>
      <c r="I5" s="92">
        <v>9</v>
      </c>
      <c r="K5" s="36">
        <v>3</v>
      </c>
      <c r="L5" s="97">
        <v>70.399999999999991</v>
      </c>
      <c r="N5" s="113" t="s">
        <v>135</v>
      </c>
      <c r="O5" s="120">
        <f t="shared" si="0"/>
        <v>2811.229946524064</v>
      </c>
      <c r="P5" s="117">
        <v>187</v>
      </c>
      <c r="Q5" s="101">
        <v>525700</v>
      </c>
    </row>
    <row r="6" spans="1:17" x14ac:dyDescent="0.4">
      <c r="A6" s="53" t="s">
        <v>1</v>
      </c>
      <c r="B6" s="144">
        <f>IF(B$2=0,0,(B$7*1+B$8*2+B$9*3)/B$2)</f>
        <v>1.7579908675799087</v>
      </c>
      <c r="C6" s="145"/>
      <c r="E6" s="61" t="s">
        <v>68</v>
      </c>
      <c r="F6" s="58" t="s">
        <v>24</v>
      </c>
      <c r="G6" s="45">
        <v>190</v>
      </c>
      <c r="H6" s="131">
        <f>IF(B$17=0,0,G6/B$17)</f>
        <v>0.31404958677685951</v>
      </c>
      <c r="I6" s="92">
        <v>6</v>
      </c>
      <c r="K6" s="36">
        <v>4</v>
      </c>
      <c r="L6" s="97">
        <v>110.5</v>
      </c>
      <c r="N6" s="113" t="s">
        <v>136</v>
      </c>
      <c r="O6" s="120">
        <f t="shared" si="0"/>
        <v>1247.5903614457832</v>
      </c>
      <c r="P6" s="117">
        <v>166</v>
      </c>
      <c r="Q6" s="101">
        <v>207100</v>
      </c>
    </row>
    <row r="7" spans="1:17" x14ac:dyDescent="0.4">
      <c r="A7" s="53" t="s">
        <v>2</v>
      </c>
      <c r="B7" s="45">
        <v>106</v>
      </c>
      <c r="C7" s="37">
        <f t="shared" ref="C7:C12" si="1">IF(B$2=0,0,B7/B$2)</f>
        <v>0.48401826484018262</v>
      </c>
      <c r="E7" s="61" t="s">
        <v>69</v>
      </c>
      <c r="F7" s="58" t="s">
        <v>12</v>
      </c>
      <c r="G7" s="45">
        <v>169</v>
      </c>
      <c r="H7" s="131">
        <f>IF(B$17=0,0,G7/B$17)</f>
        <v>0.27933884297520661</v>
      </c>
      <c r="I7" s="92">
        <v>11</v>
      </c>
      <c r="K7" s="36">
        <v>5</v>
      </c>
      <c r="L7" s="97">
        <v>201.4</v>
      </c>
      <c r="N7" s="114" t="s">
        <v>137</v>
      </c>
      <c r="O7" s="121">
        <f t="shared" si="0"/>
        <v>1222.5352112676057</v>
      </c>
      <c r="P7" s="118">
        <v>142</v>
      </c>
      <c r="Q7" s="102">
        <v>173600</v>
      </c>
    </row>
    <row r="8" spans="1:17" x14ac:dyDescent="0.4">
      <c r="A8" s="53" t="s">
        <v>3</v>
      </c>
      <c r="B8" s="45">
        <v>60</v>
      </c>
      <c r="C8" s="37">
        <f t="shared" si="1"/>
        <v>0.27397260273972601</v>
      </c>
      <c r="E8" s="61" t="s">
        <v>90</v>
      </c>
      <c r="F8" s="58" t="s">
        <v>45</v>
      </c>
      <c r="G8" s="45">
        <v>100</v>
      </c>
      <c r="H8" s="131">
        <f>IF(B$17=0,0,G8/B$17)</f>
        <v>0.16528925619834711</v>
      </c>
      <c r="I8" s="92">
        <v>4</v>
      </c>
      <c r="K8" s="36">
        <v>6</v>
      </c>
      <c r="L8" s="97">
        <v>232.4</v>
      </c>
      <c r="N8" s="41"/>
      <c r="O8" s="125"/>
      <c r="P8" s="109"/>
      <c r="Q8" s="107"/>
    </row>
    <row r="9" spans="1:17" x14ac:dyDescent="0.4">
      <c r="A9" s="54" t="s">
        <v>4</v>
      </c>
      <c r="B9" s="46">
        <v>53</v>
      </c>
      <c r="C9" s="38">
        <f t="shared" si="1"/>
        <v>0.24200913242009131</v>
      </c>
      <c r="E9" s="61" t="s">
        <v>70</v>
      </c>
      <c r="F9" s="58" t="s">
        <v>25</v>
      </c>
      <c r="G9" s="45">
        <v>96</v>
      </c>
      <c r="H9" s="131">
        <f>IF(B$17=0,0,G9/B$17)</f>
        <v>0.15867768595041323</v>
      </c>
      <c r="I9" s="92">
        <v>6</v>
      </c>
      <c r="K9" s="36">
        <v>7</v>
      </c>
      <c r="L9" s="97">
        <v>256.10000000000002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18</v>
      </c>
      <c r="C10" s="38">
        <f t="shared" si="1"/>
        <v>8.2191780821917804E-2</v>
      </c>
      <c r="E10" s="61" t="s">
        <v>66</v>
      </c>
      <c r="F10" s="58" t="s">
        <v>22</v>
      </c>
      <c r="G10" s="45">
        <v>74</v>
      </c>
      <c r="H10" s="131">
        <f>IF(B$17=0,0,G10/B$17)</f>
        <v>0.12231404958677686</v>
      </c>
      <c r="I10" s="92">
        <v>2</v>
      </c>
      <c r="K10" s="36">
        <v>8</v>
      </c>
      <c r="L10" s="97">
        <v>285.20000000000005</v>
      </c>
      <c r="N10" s="112" t="s">
        <v>164</v>
      </c>
      <c r="O10" s="122">
        <f>IF(P10=0,0,Q10/P10)</f>
        <v>17.361428571428576</v>
      </c>
      <c r="P10" s="116">
        <v>70</v>
      </c>
      <c r="Q10" s="104">
        <v>1215.3000000000004</v>
      </c>
    </row>
    <row r="11" spans="1:17" x14ac:dyDescent="0.4">
      <c r="A11" s="54" t="s">
        <v>140</v>
      </c>
      <c r="B11" s="46">
        <v>37</v>
      </c>
      <c r="C11" s="38">
        <f t="shared" si="1"/>
        <v>0.16894977168949771</v>
      </c>
      <c r="E11" s="61" t="s">
        <v>71</v>
      </c>
      <c r="F11" s="58" t="s">
        <v>26</v>
      </c>
      <c r="G11" s="45">
        <v>47</v>
      </c>
      <c r="H11" s="131">
        <f>IF(B$17=0,0,G11/B$17)</f>
        <v>7.768595041322314E-2</v>
      </c>
      <c r="I11" s="92">
        <v>8</v>
      </c>
      <c r="K11" s="36">
        <v>9</v>
      </c>
      <c r="L11" s="97">
        <v>277.90000000000003</v>
      </c>
      <c r="N11" s="113" t="s">
        <v>165</v>
      </c>
      <c r="O11" s="123">
        <f>IF(P11=0,0,Q11/P11)</f>
        <v>9.0685714285714294</v>
      </c>
      <c r="P11" s="117">
        <v>70</v>
      </c>
      <c r="Q11" s="105">
        <v>634.80000000000007</v>
      </c>
    </row>
    <row r="12" spans="1:17" x14ac:dyDescent="0.4">
      <c r="A12" s="55" t="s">
        <v>160</v>
      </c>
      <c r="B12" s="47">
        <v>30</v>
      </c>
      <c r="C12" s="40">
        <f t="shared" si="1"/>
        <v>0.13698630136986301</v>
      </c>
      <c r="E12" s="61" t="s">
        <v>87</v>
      </c>
      <c r="F12" s="58" t="s">
        <v>42</v>
      </c>
      <c r="G12" s="45">
        <v>43</v>
      </c>
      <c r="H12" s="131">
        <f>IF(B$17=0,0,G12/B$17)</f>
        <v>7.1074380165289261E-2</v>
      </c>
      <c r="I12" s="92">
        <v>6</v>
      </c>
      <c r="K12" s="36">
        <v>10</v>
      </c>
      <c r="L12" s="97">
        <v>246.20000000000005</v>
      </c>
      <c r="N12" s="114" t="s">
        <v>166</v>
      </c>
      <c r="O12" s="124">
        <f>IF(P12=0,0,Q12/P12)</f>
        <v>11.351898734177219</v>
      </c>
      <c r="P12" s="118">
        <v>79</v>
      </c>
      <c r="Q12" s="106">
        <v>896.8000000000003</v>
      </c>
    </row>
    <row r="13" spans="1:17" x14ac:dyDescent="0.4">
      <c r="A13" s="56" t="s">
        <v>122</v>
      </c>
      <c r="B13" s="48">
        <v>542</v>
      </c>
      <c r="C13" s="42">
        <f>IF(B$3=0,0,B13/B$3)</f>
        <v>0.30228667038482987</v>
      </c>
      <c r="E13" s="61" t="s">
        <v>72</v>
      </c>
      <c r="F13" s="58" t="s">
        <v>27</v>
      </c>
      <c r="G13" s="45">
        <v>39</v>
      </c>
      <c r="H13" s="131">
        <f>IF(B$17=0,0,G13/B$17)</f>
        <v>6.4462809917355368E-2</v>
      </c>
      <c r="I13" s="92">
        <v>7</v>
      </c>
      <c r="K13" s="36">
        <v>11</v>
      </c>
      <c r="L13" s="97">
        <v>333.30000000000007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392</v>
      </c>
      <c r="C14" s="37">
        <f>IF(B$3=0,0,B14/B$3)</f>
        <v>0.21862799776910205</v>
      </c>
      <c r="E14" s="61" t="s">
        <v>84</v>
      </c>
      <c r="F14" s="58" t="s">
        <v>39</v>
      </c>
      <c r="G14" s="45">
        <v>29</v>
      </c>
      <c r="H14" s="131">
        <f>IF(B$17=0,0,G14/B$17)</f>
        <v>4.7933884297520664E-2</v>
      </c>
      <c r="I14" s="92">
        <v>6</v>
      </c>
      <c r="K14" s="36">
        <v>12</v>
      </c>
      <c r="L14" s="97">
        <v>371.70000000000005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317</v>
      </c>
      <c r="C15" s="35">
        <f>IF(B$13=0,0,B15/B$13)</f>
        <v>0.58487084870848705</v>
      </c>
      <c r="E15" s="61" t="s">
        <v>180</v>
      </c>
      <c r="F15" s="58" t="s">
        <v>181</v>
      </c>
      <c r="G15" s="45">
        <v>25</v>
      </c>
      <c r="H15" s="131">
        <f>IF(B$17=0,0,G15/B$17)</f>
        <v>4.1322314049586778E-2</v>
      </c>
      <c r="I15" s="92">
        <v>2</v>
      </c>
      <c r="K15" s="36">
        <v>13</v>
      </c>
      <c r="L15" s="97">
        <v>418.90000000000003</v>
      </c>
      <c r="N15" s="112" t="s">
        <v>183</v>
      </c>
      <c r="O15" s="122">
        <f>IF(P15=0,0,Q15/P15)</f>
        <v>69.2</v>
      </c>
      <c r="P15" s="116">
        <v>1</v>
      </c>
      <c r="Q15" s="104">
        <v>69.2</v>
      </c>
    </row>
    <row r="16" spans="1:17" x14ac:dyDescent="0.4">
      <c r="A16" s="52" t="s">
        <v>125</v>
      </c>
      <c r="B16" s="44">
        <v>196</v>
      </c>
      <c r="C16" s="35">
        <f>IF(B$14=0,0,B16/B$14)</f>
        <v>0.5</v>
      </c>
      <c r="E16" s="61" t="s">
        <v>79</v>
      </c>
      <c r="F16" s="58" t="s">
        <v>34</v>
      </c>
      <c r="G16" s="45">
        <v>15</v>
      </c>
      <c r="H16" s="131">
        <f>IF(B$17=0,0,G16/B$17)</f>
        <v>2.4793388429752067E-2</v>
      </c>
      <c r="I16" s="92">
        <v>9</v>
      </c>
      <c r="K16" s="36">
        <v>14</v>
      </c>
      <c r="L16" s="97">
        <v>473.50000000000006</v>
      </c>
      <c r="N16" s="113" t="s">
        <v>222</v>
      </c>
      <c r="O16" s="123">
        <f>IF(P16=0,0,Q16/P16)</f>
        <v>29.599999999999998</v>
      </c>
      <c r="P16" s="117">
        <v>1</v>
      </c>
      <c r="Q16" s="105">
        <v>29.599999999999998</v>
      </c>
    </row>
    <row r="17" spans="1:17" x14ac:dyDescent="0.4">
      <c r="A17" s="52" t="s">
        <v>10</v>
      </c>
      <c r="B17" s="44">
        <f>B19+B18</f>
        <v>605</v>
      </c>
      <c r="C17" s="35">
        <f>IF(B$3=0,0,B17/B$3)</f>
        <v>0.33742331288343558</v>
      </c>
      <c r="E17" s="61" t="s">
        <v>92</v>
      </c>
      <c r="F17" s="58" t="s">
        <v>47</v>
      </c>
      <c r="G17" s="45">
        <v>14</v>
      </c>
      <c r="H17" s="131">
        <f>IF(B$17=0,0,G17/B$17)</f>
        <v>2.3140495867768594E-2</v>
      </c>
      <c r="I17" s="92">
        <v>4</v>
      </c>
      <c r="K17" s="36">
        <v>15</v>
      </c>
      <c r="L17" s="97">
        <v>481.50000000000006</v>
      </c>
      <c r="N17" s="113" t="s">
        <v>184</v>
      </c>
      <c r="O17" s="123">
        <f>IF(P17=0,0,Q17/P17)</f>
        <v>29.12142857142857</v>
      </c>
      <c r="P17" s="117">
        <v>14</v>
      </c>
      <c r="Q17" s="105">
        <v>407.7</v>
      </c>
    </row>
    <row r="18" spans="1:17" x14ac:dyDescent="0.4">
      <c r="A18" s="53" t="s">
        <v>12</v>
      </c>
      <c r="B18" s="45">
        <v>253</v>
      </c>
      <c r="C18" s="37">
        <f>IF(B$17=0,0,B18/B$17)</f>
        <v>0.41818181818181815</v>
      </c>
      <c r="E18" s="61" t="s">
        <v>82</v>
      </c>
      <c r="F18" s="58" t="s">
        <v>37</v>
      </c>
      <c r="G18" s="45">
        <v>12</v>
      </c>
      <c r="H18" s="131">
        <f>IF(B$17=0,0,G18/B$17)</f>
        <v>1.9834710743801654E-2</v>
      </c>
      <c r="I18" s="92">
        <v>10</v>
      </c>
      <c r="K18" s="36">
        <v>16</v>
      </c>
      <c r="L18" s="97">
        <v>425.50000000000006</v>
      </c>
      <c r="N18" s="113" t="s">
        <v>173</v>
      </c>
      <c r="O18" s="123">
        <f>IF(P18=0,0,Q18/P18)</f>
        <v>27.999999999999996</v>
      </c>
      <c r="P18" s="117">
        <v>29</v>
      </c>
      <c r="Q18" s="105">
        <v>811.99999999999989</v>
      </c>
    </row>
    <row r="19" spans="1:17" x14ac:dyDescent="0.4">
      <c r="A19" s="53" t="s">
        <v>11</v>
      </c>
      <c r="B19" s="45">
        <v>352</v>
      </c>
      <c r="C19" s="37">
        <f>IF(B$17=0,0,B19/B$17)</f>
        <v>0.58181818181818179</v>
      </c>
      <c r="E19" s="61" t="s">
        <v>80</v>
      </c>
      <c r="F19" s="58" t="s">
        <v>35</v>
      </c>
      <c r="G19" s="45">
        <v>9</v>
      </c>
      <c r="H19" s="131">
        <f>IF(B$17=0,0,G19/B$17)</f>
        <v>1.487603305785124E-2</v>
      </c>
      <c r="I19" s="92">
        <v>8</v>
      </c>
      <c r="K19" s="36">
        <v>17</v>
      </c>
      <c r="L19" s="97">
        <v>427.40000000000003</v>
      </c>
      <c r="N19" s="113" t="s">
        <v>172</v>
      </c>
      <c r="O19" s="123">
        <f>IF(P19=0,0,Q19/P19)</f>
        <v>27.732075471698106</v>
      </c>
      <c r="P19" s="117">
        <v>53</v>
      </c>
      <c r="Q19" s="105">
        <v>1469.7999999999997</v>
      </c>
    </row>
    <row r="20" spans="1:17" x14ac:dyDescent="0.4">
      <c r="A20" s="53" t="s">
        <v>13</v>
      </c>
      <c r="B20" s="45">
        <v>268</v>
      </c>
      <c r="C20" s="37">
        <f>IF(B$3=0,0,B20/B$3)</f>
        <v>0.14947016174010039</v>
      </c>
      <c r="E20" s="61" t="s">
        <v>86</v>
      </c>
      <c r="F20" s="58" t="s">
        <v>41</v>
      </c>
      <c r="G20" s="45">
        <v>6</v>
      </c>
      <c r="H20" s="131">
        <f>IF(B$17=0,0,G20/B$17)</f>
        <v>9.9173553719008271E-3</v>
      </c>
      <c r="I20" s="92">
        <v>2</v>
      </c>
      <c r="K20" s="36">
        <v>18</v>
      </c>
      <c r="L20" s="97">
        <v>429.3</v>
      </c>
      <c r="N20" s="113" t="s">
        <v>129</v>
      </c>
      <c r="O20" s="123">
        <f>IF(P20=0,0,Q20/P20)</f>
        <v>21.925000000000008</v>
      </c>
      <c r="P20" s="117">
        <v>108</v>
      </c>
      <c r="Q20" s="105">
        <v>2367.900000000001</v>
      </c>
    </row>
    <row r="21" spans="1:17" x14ac:dyDescent="0.4">
      <c r="A21" s="53" t="s">
        <v>191</v>
      </c>
      <c r="B21" s="45">
        <v>7</v>
      </c>
      <c r="C21" s="133">
        <v>1</v>
      </c>
      <c r="E21" s="61" t="s">
        <v>74</v>
      </c>
      <c r="F21" s="58" t="s">
        <v>29</v>
      </c>
      <c r="G21" s="45">
        <v>4</v>
      </c>
      <c r="H21" s="131">
        <f>IF(B$17=0,0,G21/B$17)</f>
        <v>6.6115702479338841E-3</v>
      </c>
      <c r="I21" s="92">
        <v>5</v>
      </c>
      <c r="K21" s="36">
        <v>19</v>
      </c>
      <c r="L21" s="97">
        <v>405.40000000000003</v>
      </c>
      <c r="N21" s="113" t="s">
        <v>177</v>
      </c>
      <c r="O21" s="123">
        <f>IF(P21=0,0,Q21/P21)</f>
        <v>21.239215686274516</v>
      </c>
      <c r="P21" s="117">
        <v>51</v>
      </c>
      <c r="Q21" s="105">
        <v>1083.2000000000003</v>
      </c>
    </row>
    <row r="22" spans="1:17" x14ac:dyDescent="0.4">
      <c r="A22" s="53" t="s">
        <v>192</v>
      </c>
      <c r="B22" s="45">
        <v>39</v>
      </c>
      <c r="C22" s="133">
        <v>6</v>
      </c>
      <c r="E22" s="61" t="s">
        <v>78</v>
      </c>
      <c r="F22" s="58" t="s">
        <v>33</v>
      </c>
      <c r="G22" s="45">
        <v>4</v>
      </c>
      <c r="H22" s="131">
        <f>IF(B$17=0,0,G22/B$17)</f>
        <v>6.6115702479338841E-3</v>
      </c>
      <c r="I22" s="92">
        <v>6</v>
      </c>
      <c r="K22" s="36">
        <v>20</v>
      </c>
      <c r="L22" s="97">
        <v>469.6</v>
      </c>
      <c r="N22" s="113" t="s">
        <v>128</v>
      </c>
      <c r="O22" s="123">
        <f>IF(P22=0,0,Q22/P22)</f>
        <v>19.807964601769918</v>
      </c>
      <c r="P22" s="117">
        <v>113</v>
      </c>
      <c r="Q22" s="105">
        <v>2238.3000000000006</v>
      </c>
    </row>
    <row r="23" spans="1:17" x14ac:dyDescent="0.4">
      <c r="A23" s="53" t="s">
        <v>5</v>
      </c>
      <c r="B23" s="49">
        <f>IF(B$17=0,0,C23/B$17)</f>
        <v>9240.6611570247933</v>
      </c>
      <c r="C23" s="39">
        <v>5590600</v>
      </c>
      <c r="E23" s="61" t="s">
        <v>93</v>
      </c>
      <c r="F23" s="58" t="s">
        <v>48</v>
      </c>
      <c r="G23" s="45">
        <v>4</v>
      </c>
      <c r="H23" s="131">
        <f>IF(B$17=0,0,G23/B$17)</f>
        <v>6.6115702479338841E-3</v>
      </c>
      <c r="I23" s="92">
        <v>2</v>
      </c>
      <c r="K23" s="36">
        <v>21</v>
      </c>
      <c r="L23" s="97">
        <v>468.3</v>
      </c>
      <c r="N23" s="113" t="s">
        <v>171</v>
      </c>
      <c r="O23" s="123">
        <f>IF(P23=0,0,Q23/P23)</f>
        <v>-1.9269841269841288</v>
      </c>
      <c r="P23" s="117">
        <v>63</v>
      </c>
      <c r="Q23" s="105">
        <v>-121.40000000000012</v>
      </c>
    </row>
    <row r="24" spans="1:17" x14ac:dyDescent="0.4">
      <c r="A24" s="53" t="s">
        <v>14</v>
      </c>
      <c r="B24" s="49">
        <f>IF(B$20=0,0,C24/B$20)</f>
        <v>-8208.2089552238813</v>
      </c>
      <c r="C24" s="39">
        <v>-2199800</v>
      </c>
      <c r="E24" s="61" t="s">
        <v>91</v>
      </c>
      <c r="F24" s="58" t="s">
        <v>46</v>
      </c>
      <c r="G24" s="45">
        <v>3</v>
      </c>
      <c r="H24" s="131">
        <f>IF(B$17=0,0,G24/B$17)</f>
        <v>4.9586776859504135E-3</v>
      </c>
      <c r="I24" s="92">
        <v>2</v>
      </c>
      <c r="K24" s="36">
        <v>22</v>
      </c>
      <c r="L24" s="97">
        <v>519.20000000000005</v>
      </c>
      <c r="N24" s="113" t="s">
        <v>200</v>
      </c>
      <c r="O24" s="123">
        <f>IF(P24=0,0,Q24/P24)</f>
        <v>-13.45</v>
      </c>
      <c r="P24" s="117">
        <v>2</v>
      </c>
      <c r="Q24" s="105">
        <v>-26.9</v>
      </c>
    </row>
    <row r="25" spans="1:17" x14ac:dyDescent="0.4">
      <c r="A25" s="53" t="s">
        <v>305</v>
      </c>
      <c r="B25" s="49">
        <f>IF($B$17-B$16=0,0,C25/($B$17-B$16))</f>
        <v>9632.0293398533013</v>
      </c>
      <c r="C25" s="39">
        <v>3939500</v>
      </c>
      <c r="E25" s="61" t="s">
        <v>89</v>
      </c>
      <c r="F25" s="58" t="s">
        <v>44</v>
      </c>
      <c r="G25" s="45">
        <v>2</v>
      </c>
      <c r="H25" s="131">
        <f>IF(B$17=0,0,G25/B$17)</f>
        <v>3.3057851239669421E-3</v>
      </c>
      <c r="I25" s="92">
        <v>1</v>
      </c>
      <c r="K25" s="36">
        <v>23</v>
      </c>
      <c r="L25" s="97">
        <v>555.90000000000009</v>
      </c>
      <c r="N25" s="113" t="s">
        <v>223</v>
      </c>
      <c r="O25" s="123">
        <f>IF(P25=0,0,Q25/P25)</f>
        <v>-29.566666666666659</v>
      </c>
      <c r="P25" s="117">
        <v>3</v>
      </c>
      <c r="Q25" s="105">
        <v>-88.699999999999974</v>
      </c>
    </row>
    <row r="26" spans="1:17" x14ac:dyDescent="0.4">
      <c r="A26" s="55" t="s">
        <v>304</v>
      </c>
      <c r="B26" s="50">
        <f>IF(B$16=0,0,C26/B$16)</f>
        <v>8423.9795918367345</v>
      </c>
      <c r="C26" s="43">
        <v>1651100</v>
      </c>
      <c r="E26" s="61" t="s">
        <v>94</v>
      </c>
      <c r="F26" s="58" t="s">
        <v>49</v>
      </c>
      <c r="G26" s="45">
        <v>2</v>
      </c>
      <c r="H26" s="131">
        <f>IF(B$17=0,0,G26/B$17)</f>
        <v>3.3057851239669421E-3</v>
      </c>
      <c r="I26" s="92">
        <v>4</v>
      </c>
      <c r="K26" s="36">
        <v>24</v>
      </c>
      <c r="L26" s="97">
        <v>592.20000000000005</v>
      </c>
    </row>
    <row r="27" spans="1:17" x14ac:dyDescent="0.4">
      <c r="A27" s="88" t="s">
        <v>142</v>
      </c>
      <c r="B27" s="142">
        <v>8</v>
      </c>
      <c r="C27" s="143"/>
      <c r="E27" s="61" t="s">
        <v>76</v>
      </c>
      <c r="F27" s="58" t="s">
        <v>31</v>
      </c>
      <c r="G27" s="45">
        <v>1</v>
      </c>
      <c r="H27" s="131">
        <f>IF(B$17=0,0,G27/B$17)</f>
        <v>1.652892561983471E-3</v>
      </c>
      <c r="I27" s="92">
        <v>8</v>
      </c>
      <c r="K27" s="36">
        <v>25</v>
      </c>
      <c r="L27" s="97">
        <v>655.20000000000005</v>
      </c>
    </row>
    <row r="28" spans="1:17" x14ac:dyDescent="0.4">
      <c r="A28" s="56" t="s">
        <v>152</v>
      </c>
      <c r="B28" s="140">
        <v>116000</v>
      </c>
      <c r="C28" s="141"/>
      <c r="E28" s="61" t="s">
        <v>85</v>
      </c>
      <c r="F28" s="58" t="s">
        <v>40</v>
      </c>
      <c r="G28" s="45">
        <v>1</v>
      </c>
      <c r="H28" s="131">
        <f>IF(B$17=0,0,G28/B$17)</f>
        <v>1.652892561983471E-3</v>
      </c>
      <c r="I28" s="92">
        <v>5</v>
      </c>
      <c r="K28" s="36">
        <v>26</v>
      </c>
      <c r="L28" s="97">
        <v>625.40000000000009</v>
      </c>
    </row>
    <row r="29" spans="1:17" x14ac:dyDescent="0.4">
      <c r="A29" s="55" t="s">
        <v>143</v>
      </c>
      <c r="B29" s="63">
        <v>1</v>
      </c>
      <c r="C29" s="40">
        <f>IF(B$3=0,0,B29/B$3)</f>
        <v>5.5772448410485224E-4</v>
      </c>
      <c r="E29" s="61" t="s">
        <v>88</v>
      </c>
      <c r="F29" s="58" t="s">
        <v>43</v>
      </c>
      <c r="G29" s="45">
        <v>1</v>
      </c>
      <c r="H29" s="131">
        <f>IF(B$17=0,0,G29/B$17)</f>
        <v>1.652892561983471E-3</v>
      </c>
      <c r="I29" s="92">
        <v>6</v>
      </c>
      <c r="K29" s="36">
        <v>27</v>
      </c>
      <c r="L29" s="97">
        <v>596.30000000000007</v>
      </c>
    </row>
    <row r="30" spans="1:17" x14ac:dyDescent="0.4">
      <c r="E30" s="61" t="s">
        <v>96</v>
      </c>
      <c r="F30" s="58" t="s">
        <v>51</v>
      </c>
      <c r="G30" s="45">
        <v>1</v>
      </c>
      <c r="H30" s="131">
        <f>IF(B$17=0,0,G30/B$17)</f>
        <v>1.652892561983471E-3</v>
      </c>
      <c r="I30" s="92">
        <v>2</v>
      </c>
      <c r="K30" s="36">
        <v>28</v>
      </c>
      <c r="L30" s="97">
        <v>655.6</v>
      </c>
    </row>
    <row r="31" spans="1:17" x14ac:dyDescent="0.4">
      <c r="E31" s="61" t="s">
        <v>75</v>
      </c>
      <c r="F31" s="58" t="s">
        <v>30</v>
      </c>
      <c r="G31" s="45">
        <v>0</v>
      </c>
      <c r="H31" s="131">
        <f>IF(B$17=0,0,G31/B$17)</f>
        <v>0</v>
      </c>
      <c r="I31" s="92">
        <v>7</v>
      </c>
      <c r="K31" s="36">
        <v>29</v>
      </c>
      <c r="L31" s="97">
        <v>703.1</v>
      </c>
    </row>
    <row r="32" spans="1:17" x14ac:dyDescent="0.4">
      <c r="E32" s="61" t="s">
        <v>77</v>
      </c>
      <c r="F32" s="58" t="s">
        <v>32</v>
      </c>
      <c r="G32" s="45">
        <v>0</v>
      </c>
      <c r="H32" s="131">
        <f>IF(B$17=0,0,G32/B$17)</f>
        <v>0</v>
      </c>
      <c r="I32" s="92">
        <v>1</v>
      </c>
      <c r="K32" s="36">
        <v>30</v>
      </c>
      <c r="L32" s="97">
        <v>733.6</v>
      </c>
    </row>
    <row r="33" spans="5:12" x14ac:dyDescent="0.4">
      <c r="E33" s="61" t="s">
        <v>81</v>
      </c>
      <c r="F33" s="58" t="s">
        <v>36</v>
      </c>
      <c r="G33" s="45">
        <v>0</v>
      </c>
      <c r="H33" s="131">
        <f>IF(B$17=0,0,G33/B$17)</f>
        <v>0</v>
      </c>
      <c r="I33" s="92">
        <v>1</v>
      </c>
      <c r="K33" s="36">
        <v>31</v>
      </c>
      <c r="L33" s="97">
        <v>796.80000000000007</v>
      </c>
    </row>
    <row r="34" spans="5:12" x14ac:dyDescent="0.4">
      <c r="E34" s="61" t="s">
        <v>83</v>
      </c>
      <c r="F34" s="58" t="s">
        <v>38</v>
      </c>
      <c r="G34" s="45">
        <v>0</v>
      </c>
      <c r="H34" s="131">
        <f>IF(B$17=0,0,G34/B$17)</f>
        <v>0</v>
      </c>
      <c r="I34" s="92">
        <v>1</v>
      </c>
      <c r="K34" s="36">
        <v>32</v>
      </c>
      <c r="L34" s="97">
        <v>788.30000000000007</v>
      </c>
    </row>
    <row r="35" spans="5:12" x14ac:dyDescent="0.4">
      <c r="E35" s="61" t="s">
        <v>95</v>
      </c>
      <c r="F35" s="58" t="s">
        <v>50</v>
      </c>
      <c r="G35" s="45">
        <v>0</v>
      </c>
      <c r="H35" s="131">
        <f>IF(B$17=0,0,G35/B$17)</f>
        <v>0</v>
      </c>
      <c r="I35" s="92">
        <v>1</v>
      </c>
      <c r="K35" s="36">
        <v>33</v>
      </c>
      <c r="L35" s="97">
        <v>850.1</v>
      </c>
    </row>
    <row r="36" spans="5:12" x14ac:dyDescent="0.4">
      <c r="E36" s="61" t="s">
        <v>97</v>
      </c>
      <c r="F36" s="58" t="s">
        <v>52</v>
      </c>
      <c r="G36" s="45">
        <v>0</v>
      </c>
      <c r="H36" s="131">
        <f>IF(B$17=0,0,G36/B$17)</f>
        <v>0</v>
      </c>
      <c r="I36" s="92">
        <v>1</v>
      </c>
      <c r="K36" s="36">
        <v>34</v>
      </c>
      <c r="L36" s="97">
        <v>875.4</v>
      </c>
    </row>
    <row r="37" spans="5:12" x14ac:dyDescent="0.4">
      <c r="E37" s="61" t="s">
        <v>98</v>
      </c>
      <c r="F37" s="58" t="s">
        <v>53</v>
      </c>
      <c r="G37" s="45">
        <v>0</v>
      </c>
      <c r="H37" s="131">
        <f>IF(B$17=0,0,G37/B$17)</f>
        <v>0</v>
      </c>
      <c r="I37" s="92">
        <v>3</v>
      </c>
      <c r="K37" s="36">
        <v>35</v>
      </c>
      <c r="L37" s="97">
        <v>907.3</v>
      </c>
    </row>
    <row r="38" spans="5:12" x14ac:dyDescent="0.4">
      <c r="E38" s="61" t="s">
        <v>99</v>
      </c>
      <c r="F38" s="58" t="s">
        <v>54</v>
      </c>
      <c r="G38" s="45">
        <v>0</v>
      </c>
      <c r="H38" s="131">
        <f>IF(B$17=0,0,G38/B$17)</f>
        <v>0</v>
      </c>
      <c r="I38" s="92">
        <v>1</v>
      </c>
      <c r="K38" s="36">
        <v>36</v>
      </c>
      <c r="L38" s="97">
        <v>976.3</v>
      </c>
    </row>
    <row r="39" spans="5:12" x14ac:dyDescent="0.4">
      <c r="E39" s="61" t="s">
        <v>100</v>
      </c>
      <c r="F39" s="58" t="s">
        <v>55</v>
      </c>
      <c r="G39" s="45">
        <v>0</v>
      </c>
      <c r="H39" s="131">
        <f>IF(B$17=0,0,G39/B$17)</f>
        <v>0</v>
      </c>
      <c r="I39" s="92">
        <v>1</v>
      </c>
      <c r="K39" s="36">
        <v>37</v>
      </c>
      <c r="L39" s="97">
        <v>1013</v>
      </c>
    </row>
    <row r="40" spans="5:12" x14ac:dyDescent="0.4">
      <c r="E40" s="61" t="s">
        <v>101</v>
      </c>
      <c r="F40" s="58" t="s">
        <v>56</v>
      </c>
      <c r="G40" s="45">
        <v>0</v>
      </c>
      <c r="H40" s="131">
        <f>IF(B$17=0,0,G40/B$17)</f>
        <v>0</v>
      </c>
      <c r="I40" s="92">
        <v>1</v>
      </c>
      <c r="K40" s="36">
        <v>38</v>
      </c>
      <c r="L40" s="97">
        <v>1082.5999999999999</v>
      </c>
    </row>
    <row r="41" spans="5:12" x14ac:dyDescent="0.4">
      <c r="E41" s="61" t="s">
        <v>102</v>
      </c>
      <c r="F41" s="58" t="s">
        <v>57</v>
      </c>
      <c r="G41" s="45">
        <v>0</v>
      </c>
      <c r="H41" s="131">
        <f>IF(B$17=0,0,G41/B$17)</f>
        <v>0</v>
      </c>
      <c r="I41" s="92">
        <v>3</v>
      </c>
      <c r="K41" s="36">
        <v>39</v>
      </c>
      <c r="L41" s="97">
        <v>1131.0999999999999</v>
      </c>
    </row>
    <row r="42" spans="5:12" x14ac:dyDescent="0.4">
      <c r="E42" s="61" t="s">
        <v>103</v>
      </c>
      <c r="F42" s="58" t="s">
        <v>58</v>
      </c>
      <c r="G42" s="45">
        <v>0</v>
      </c>
      <c r="H42" s="131">
        <f>IF(B$17=0,0,G42/B$17)</f>
        <v>0</v>
      </c>
      <c r="I42" s="92">
        <v>1</v>
      </c>
      <c r="K42" s="36">
        <v>40</v>
      </c>
      <c r="L42" s="97">
        <v>1078.8</v>
      </c>
    </row>
    <row r="43" spans="5:12" x14ac:dyDescent="0.4">
      <c r="E43" s="61" t="s">
        <v>104</v>
      </c>
      <c r="F43" s="58" t="s">
        <v>59</v>
      </c>
      <c r="G43" s="45">
        <v>0</v>
      </c>
      <c r="H43" s="131">
        <f>IF(B$17=0,0,G43/B$17)</f>
        <v>0</v>
      </c>
      <c r="I43" s="92">
        <v>1</v>
      </c>
      <c r="K43" s="36">
        <v>41</v>
      </c>
      <c r="L43" s="97">
        <v>1114</v>
      </c>
    </row>
    <row r="44" spans="5:12" x14ac:dyDescent="0.4">
      <c r="E44" s="61" t="s">
        <v>105</v>
      </c>
      <c r="F44" s="58" t="s">
        <v>60</v>
      </c>
      <c r="G44" s="45">
        <v>0</v>
      </c>
      <c r="H44" s="131">
        <f>IF(B$17=0,0,G44/B$17)</f>
        <v>0</v>
      </c>
      <c r="I44" s="92">
        <v>1</v>
      </c>
      <c r="K44" s="36">
        <v>42</v>
      </c>
      <c r="L44" s="97">
        <v>1147.5</v>
      </c>
    </row>
    <row r="45" spans="5:12" x14ac:dyDescent="0.4">
      <c r="E45" s="61" t="s">
        <v>106</v>
      </c>
      <c r="F45" s="58" t="s">
        <v>113</v>
      </c>
      <c r="G45" s="45">
        <v>0</v>
      </c>
      <c r="H45" s="131">
        <f>IF(B$17=0,0,G45/B$17)</f>
        <v>0</v>
      </c>
      <c r="I45" s="92">
        <v>1</v>
      </c>
      <c r="K45" s="36">
        <v>43</v>
      </c>
      <c r="L45" s="97">
        <v>1151</v>
      </c>
    </row>
    <row r="46" spans="5:12" x14ac:dyDescent="0.4">
      <c r="E46" s="61" t="s">
        <v>107</v>
      </c>
      <c r="F46" s="58" t="s">
        <v>114</v>
      </c>
      <c r="G46" s="45">
        <v>0</v>
      </c>
      <c r="H46" s="131">
        <f>IF(B$17=0,0,G46/B$17)</f>
        <v>0</v>
      </c>
      <c r="I46" s="92">
        <v>3</v>
      </c>
      <c r="K46" s="36">
        <v>44</v>
      </c>
      <c r="L46" s="97">
        <v>1208</v>
      </c>
    </row>
    <row r="47" spans="5:12" x14ac:dyDescent="0.4">
      <c r="E47" s="61" t="s">
        <v>108</v>
      </c>
      <c r="F47" s="58" t="s">
        <v>115</v>
      </c>
      <c r="G47" s="45">
        <v>0</v>
      </c>
      <c r="H47" s="131">
        <f>IF(B$17=0,0,G47/B$17)</f>
        <v>0</v>
      </c>
      <c r="I47" s="92">
        <v>1</v>
      </c>
      <c r="K47" s="36">
        <v>45</v>
      </c>
      <c r="L47" s="97">
        <v>1203.5999999999999</v>
      </c>
    </row>
    <row r="48" spans="5:12" x14ac:dyDescent="0.4">
      <c r="E48" s="61" t="s">
        <v>109</v>
      </c>
      <c r="F48" s="58" t="s">
        <v>61</v>
      </c>
      <c r="G48" s="45">
        <v>0</v>
      </c>
      <c r="H48" s="131">
        <f>IF(B$17=0,0,G48/B$17)</f>
        <v>0</v>
      </c>
      <c r="I48" s="92">
        <v>1</v>
      </c>
      <c r="K48" s="36">
        <v>46</v>
      </c>
      <c r="L48" s="97">
        <v>1212.5999999999999</v>
      </c>
    </row>
    <row r="49" spans="5:12" x14ac:dyDescent="0.4">
      <c r="E49" s="61" t="s">
        <v>110</v>
      </c>
      <c r="F49" s="58" t="s">
        <v>62</v>
      </c>
      <c r="G49" s="45">
        <v>0</v>
      </c>
      <c r="H49" s="131">
        <f>IF(B$17=0,0,G49/B$17)</f>
        <v>0</v>
      </c>
      <c r="I49" s="92">
        <v>1</v>
      </c>
      <c r="K49" s="36">
        <v>47</v>
      </c>
      <c r="L49" s="97">
        <v>1264.5</v>
      </c>
    </row>
    <row r="50" spans="5:12" x14ac:dyDescent="0.4">
      <c r="E50" s="61" t="s">
        <v>111</v>
      </c>
      <c r="F50" s="58" t="s">
        <v>63</v>
      </c>
      <c r="G50" s="45">
        <v>0</v>
      </c>
      <c r="H50" s="131">
        <f>IF(B$17=0,0,G50/B$17)</f>
        <v>0</v>
      </c>
      <c r="I50" s="92">
        <v>1</v>
      </c>
      <c r="K50" s="36">
        <v>48</v>
      </c>
      <c r="L50" s="97">
        <v>1259.3</v>
      </c>
    </row>
    <row r="51" spans="5:12" x14ac:dyDescent="0.4">
      <c r="E51" s="134" t="s">
        <v>112</v>
      </c>
      <c r="F51" s="135" t="s">
        <v>64</v>
      </c>
      <c r="G51" s="46">
        <v>0</v>
      </c>
      <c r="H51" s="136">
        <f>IF(B$17=0,0,G51/B$17)</f>
        <v>0</v>
      </c>
      <c r="I51" s="137">
        <v>1</v>
      </c>
      <c r="K51" s="36">
        <v>49</v>
      </c>
      <c r="L51" s="97">
        <v>1289.8999999999999</v>
      </c>
    </row>
    <row r="52" spans="5:12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  <c r="K52" s="36">
        <v>50</v>
      </c>
      <c r="L52" s="97">
        <v>1288.5999999999999</v>
      </c>
    </row>
    <row r="53" spans="5:12" x14ac:dyDescent="0.4">
      <c r="K53" s="36">
        <v>51</v>
      </c>
      <c r="L53" s="97">
        <v>1284.5</v>
      </c>
    </row>
    <row r="54" spans="5:12" x14ac:dyDescent="0.4">
      <c r="K54" s="36">
        <v>52</v>
      </c>
      <c r="L54" s="97">
        <v>1318.2</v>
      </c>
    </row>
    <row r="55" spans="5:12" x14ac:dyDescent="0.4">
      <c r="K55" s="36">
        <v>53</v>
      </c>
      <c r="L55" s="97">
        <v>1374.2</v>
      </c>
    </row>
    <row r="56" spans="5:12" x14ac:dyDescent="0.4">
      <c r="K56" s="36">
        <v>54</v>
      </c>
      <c r="L56" s="97">
        <v>1316.2</v>
      </c>
    </row>
    <row r="57" spans="5:12" x14ac:dyDescent="0.4">
      <c r="K57" s="36">
        <v>55</v>
      </c>
      <c r="L57" s="97">
        <v>1417.2</v>
      </c>
    </row>
    <row r="58" spans="5:12" x14ac:dyDescent="0.4">
      <c r="K58" s="36">
        <v>56</v>
      </c>
      <c r="L58" s="97">
        <v>1510.1000000000001</v>
      </c>
    </row>
    <row r="59" spans="5:12" x14ac:dyDescent="0.4">
      <c r="K59" s="36">
        <v>57</v>
      </c>
      <c r="L59" s="97">
        <v>1479.8000000000002</v>
      </c>
    </row>
    <row r="60" spans="5:12" x14ac:dyDescent="0.4">
      <c r="K60" s="36">
        <v>58</v>
      </c>
      <c r="L60" s="97">
        <v>1509.2000000000003</v>
      </c>
    </row>
    <row r="61" spans="5:12" x14ac:dyDescent="0.4">
      <c r="K61" s="36">
        <v>59</v>
      </c>
      <c r="L61" s="97">
        <v>1518.2000000000003</v>
      </c>
    </row>
    <row r="62" spans="5:12" x14ac:dyDescent="0.4">
      <c r="K62" s="36">
        <v>60</v>
      </c>
      <c r="L62" s="97">
        <v>1549.0000000000002</v>
      </c>
    </row>
    <row r="63" spans="5:12" x14ac:dyDescent="0.4">
      <c r="K63" s="36">
        <v>61</v>
      </c>
      <c r="L63" s="97">
        <v>1585.4000000000003</v>
      </c>
    </row>
    <row r="64" spans="5:12" x14ac:dyDescent="0.4">
      <c r="K64" s="36">
        <v>62</v>
      </c>
      <c r="L64" s="97">
        <v>1624.9000000000003</v>
      </c>
    </row>
    <row r="65" spans="11:12" x14ac:dyDescent="0.4">
      <c r="K65" s="36">
        <v>63</v>
      </c>
      <c r="L65" s="97">
        <v>1654.1000000000004</v>
      </c>
    </row>
    <row r="66" spans="11:12" x14ac:dyDescent="0.4">
      <c r="K66" s="36">
        <v>64</v>
      </c>
      <c r="L66" s="97">
        <v>1629.3000000000004</v>
      </c>
    </row>
    <row r="67" spans="11:12" x14ac:dyDescent="0.4">
      <c r="K67" s="36">
        <v>65</v>
      </c>
      <c r="L67" s="97">
        <v>1626.5000000000005</v>
      </c>
    </row>
    <row r="68" spans="11:12" x14ac:dyDescent="0.4">
      <c r="K68" s="36">
        <v>66</v>
      </c>
      <c r="L68" s="97">
        <v>1565.4000000000005</v>
      </c>
    </row>
    <row r="69" spans="11:12" x14ac:dyDescent="0.4">
      <c r="K69" s="36">
        <v>67</v>
      </c>
      <c r="L69" s="97">
        <v>1610.8000000000006</v>
      </c>
    </row>
    <row r="70" spans="11:12" x14ac:dyDescent="0.4">
      <c r="K70" s="36">
        <v>68</v>
      </c>
      <c r="L70" s="97">
        <v>1572.8000000000006</v>
      </c>
    </row>
    <row r="71" spans="11:12" x14ac:dyDescent="0.4">
      <c r="K71" s="36">
        <v>69</v>
      </c>
      <c r="L71" s="97">
        <v>1572.3000000000006</v>
      </c>
    </row>
    <row r="72" spans="11:12" x14ac:dyDescent="0.4">
      <c r="K72" s="36">
        <v>70</v>
      </c>
      <c r="L72" s="97">
        <v>1598.9000000000005</v>
      </c>
    </row>
    <row r="73" spans="11:12" x14ac:dyDescent="0.4">
      <c r="K73" s="36">
        <v>71</v>
      </c>
      <c r="L73" s="97">
        <v>1644.6000000000006</v>
      </c>
    </row>
    <row r="74" spans="11:12" x14ac:dyDescent="0.4">
      <c r="K74" s="36">
        <v>72</v>
      </c>
      <c r="L74" s="97">
        <v>1587.8000000000006</v>
      </c>
    </row>
    <row r="75" spans="11:12" x14ac:dyDescent="0.4">
      <c r="K75" s="36">
        <v>73</v>
      </c>
      <c r="L75" s="97">
        <v>1588.9000000000005</v>
      </c>
    </row>
    <row r="76" spans="11:12" x14ac:dyDescent="0.4">
      <c r="K76" s="36">
        <v>74</v>
      </c>
      <c r="L76" s="97">
        <v>1553.8000000000006</v>
      </c>
    </row>
    <row r="77" spans="11:12" x14ac:dyDescent="0.4">
      <c r="K77" s="36">
        <v>75</v>
      </c>
      <c r="L77" s="97">
        <v>1496.5000000000007</v>
      </c>
    </row>
    <row r="78" spans="11:12" x14ac:dyDescent="0.4">
      <c r="K78" s="36">
        <v>76</v>
      </c>
      <c r="L78" s="97">
        <v>1535.1000000000006</v>
      </c>
    </row>
    <row r="79" spans="11:12" x14ac:dyDescent="0.4">
      <c r="K79" s="36">
        <v>77</v>
      </c>
      <c r="L79" s="97">
        <v>1496.5000000000007</v>
      </c>
    </row>
    <row r="80" spans="11:12" x14ac:dyDescent="0.4">
      <c r="K80" s="36">
        <v>78</v>
      </c>
      <c r="L80" s="97">
        <v>1534.7000000000007</v>
      </c>
    </row>
    <row r="81" spans="11:12" x14ac:dyDescent="0.4">
      <c r="K81" s="36">
        <v>79</v>
      </c>
      <c r="L81" s="97">
        <v>1485.0000000000007</v>
      </c>
    </row>
    <row r="82" spans="11:12" x14ac:dyDescent="0.4">
      <c r="K82" s="36">
        <v>80</v>
      </c>
      <c r="L82" s="97">
        <v>1482.0000000000007</v>
      </c>
    </row>
    <row r="83" spans="11:12" x14ac:dyDescent="0.4">
      <c r="K83" s="36">
        <v>81</v>
      </c>
      <c r="L83" s="97">
        <v>1523.8000000000006</v>
      </c>
    </row>
    <row r="84" spans="11:12" x14ac:dyDescent="0.4">
      <c r="K84" s="36">
        <v>82</v>
      </c>
      <c r="L84" s="97">
        <v>1552.2000000000007</v>
      </c>
    </row>
    <row r="85" spans="11:12" x14ac:dyDescent="0.4">
      <c r="K85" s="36">
        <v>83</v>
      </c>
      <c r="L85" s="97">
        <v>1511.9000000000008</v>
      </c>
    </row>
    <row r="86" spans="11:12" x14ac:dyDescent="0.4">
      <c r="K86" s="36">
        <v>84</v>
      </c>
      <c r="L86" s="97">
        <v>1510.6000000000008</v>
      </c>
    </row>
    <row r="87" spans="11:12" x14ac:dyDescent="0.4">
      <c r="K87" s="36">
        <v>85</v>
      </c>
      <c r="L87" s="97">
        <v>1566.5000000000009</v>
      </c>
    </row>
    <row r="88" spans="11:12" x14ac:dyDescent="0.4">
      <c r="K88" s="36">
        <v>86</v>
      </c>
      <c r="L88" s="97">
        <v>1610.200000000001</v>
      </c>
    </row>
    <row r="89" spans="11:12" x14ac:dyDescent="0.4">
      <c r="K89" s="36">
        <v>87</v>
      </c>
      <c r="L89" s="97">
        <v>1662.8000000000009</v>
      </c>
    </row>
    <row r="90" spans="11:12" x14ac:dyDescent="0.4">
      <c r="K90" s="36">
        <v>88</v>
      </c>
      <c r="L90" s="97">
        <v>1664.200000000001</v>
      </c>
    </row>
    <row r="91" spans="11:12" x14ac:dyDescent="0.4">
      <c r="K91" s="36">
        <v>89</v>
      </c>
      <c r="L91" s="97">
        <v>1656.900000000001</v>
      </c>
    </row>
    <row r="92" spans="11:12" x14ac:dyDescent="0.4">
      <c r="K92" s="36">
        <v>90</v>
      </c>
      <c r="L92" s="97">
        <v>1620.900000000001</v>
      </c>
    </row>
    <row r="93" spans="11:12" x14ac:dyDescent="0.4">
      <c r="K93" s="36">
        <v>91</v>
      </c>
      <c r="L93" s="97">
        <v>1680.8000000000011</v>
      </c>
    </row>
    <row r="94" spans="11:12" x14ac:dyDescent="0.4">
      <c r="K94" s="36">
        <v>92</v>
      </c>
      <c r="L94" s="97">
        <v>1634.7000000000012</v>
      </c>
    </row>
    <row r="95" spans="11:12" x14ac:dyDescent="0.4">
      <c r="K95" s="36">
        <v>93</v>
      </c>
      <c r="L95" s="97">
        <v>1677.6000000000013</v>
      </c>
    </row>
    <row r="96" spans="11:12" x14ac:dyDescent="0.4">
      <c r="K96" s="36">
        <v>94</v>
      </c>
      <c r="L96" s="97">
        <v>1672.4000000000012</v>
      </c>
    </row>
    <row r="97" spans="11:12" x14ac:dyDescent="0.4">
      <c r="K97" s="36">
        <v>95</v>
      </c>
      <c r="L97" s="97">
        <v>1681.2000000000012</v>
      </c>
    </row>
    <row r="98" spans="11:12" x14ac:dyDescent="0.4">
      <c r="K98" s="36">
        <v>96</v>
      </c>
      <c r="L98" s="97">
        <v>1680.9000000000012</v>
      </c>
    </row>
    <row r="99" spans="11:12" x14ac:dyDescent="0.4">
      <c r="K99" s="36">
        <v>97</v>
      </c>
      <c r="L99" s="97">
        <v>1734.4000000000012</v>
      </c>
    </row>
    <row r="100" spans="11:12" x14ac:dyDescent="0.4">
      <c r="K100" s="36">
        <v>98</v>
      </c>
      <c r="L100" s="97">
        <v>1737.4000000000012</v>
      </c>
    </row>
    <row r="101" spans="11:12" x14ac:dyDescent="0.4">
      <c r="K101" s="36">
        <v>99</v>
      </c>
      <c r="L101" s="97">
        <v>1678.5000000000011</v>
      </c>
    </row>
    <row r="102" spans="11:12" x14ac:dyDescent="0.4">
      <c r="K102" s="36">
        <v>100</v>
      </c>
      <c r="L102" s="97">
        <v>1622.2000000000012</v>
      </c>
    </row>
    <row r="103" spans="11:12" x14ac:dyDescent="0.4">
      <c r="K103" s="36">
        <v>101</v>
      </c>
      <c r="L103" s="97">
        <v>1564.8000000000011</v>
      </c>
    </row>
    <row r="104" spans="11:12" x14ac:dyDescent="0.4">
      <c r="K104" s="36">
        <v>102</v>
      </c>
      <c r="L104" s="97">
        <v>1634.400000000001</v>
      </c>
    </row>
    <row r="105" spans="11:12" x14ac:dyDescent="0.4">
      <c r="K105" s="36">
        <v>103</v>
      </c>
      <c r="L105" s="97">
        <v>1615.700000000001</v>
      </c>
    </row>
    <row r="106" spans="11:12" x14ac:dyDescent="0.4">
      <c r="K106" s="36">
        <v>104</v>
      </c>
      <c r="L106" s="97">
        <v>1653.100000000001</v>
      </c>
    </row>
    <row r="107" spans="11:12" x14ac:dyDescent="0.4">
      <c r="K107" s="36">
        <v>105</v>
      </c>
      <c r="L107" s="97">
        <v>1593.100000000001</v>
      </c>
    </row>
    <row r="108" spans="11:12" x14ac:dyDescent="0.4">
      <c r="K108" s="36">
        <v>106</v>
      </c>
      <c r="L108" s="97">
        <v>1583.200000000001</v>
      </c>
    </row>
    <row r="109" spans="11:12" x14ac:dyDescent="0.4">
      <c r="K109" s="36">
        <v>107</v>
      </c>
      <c r="L109" s="97">
        <v>1517.3000000000009</v>
      </c>
    </row>
    <row r="110" spans="11:12" x14ac:dyDescent="0.4">
      <c r="K110" s="36">
        <v>108</v>
      </c>
      <c r="L110" s="97">
        <v>1569.1000000000008</v>
      </c>
    </row>
    <row r="111" spans="11:12" x14ac:dyDescent="0.4">
      <c r="K111" s="36">
        <v>109</v>
      </c>
      <c r="L111" s="97">
        <v>1512.2000000000007</v>
      </c>
    </row>
    <row r="112" spans="11:12" x14ac:dyDescent="0.4">
      <c r="K112" s="36">
        <v>110</v>
      </c>
      <c r="L112" s="97">
        <v>1513.7000000000007</v>
      </c>
    </row>
    <row r="113" spans="11:12" x14ac:dyDescent="0.4">
      <c r="K113" s="36">
        <v>111</v>
      </c>
      <c r="L113" s="97">
        <v>1461.9000000000008</v>
      </c>
    </row>
    <row r="114" spans="11:12" x14ac:dyDescent="0.4">
      <c r="K114" s="36">
        <v>112</v>
      </c>
      <c r="L114" s="97">
        <v>1405.8000000000009</v>
      </c>
    </row>
    <row r="115" spans="11:12" x14ac:dyDescent="0.4">
      <c r="K115" s="36">
        <v>113</v>
      </c>
      <c r="L115" s="97">
        <v>1346.8000000000009</v>
      </c>
    </row>
    <row r="116" spans="11:12" x14ac:dyDescent="0.4">
      <c r="K116" s="36">
        <v>114</v>
      </c>
      <c r="L116" s="97">
        <v>1351.1000000000008</v>
      </c>
    </row>
    <row r="117" spans="11:12" x14ac:dyDescent="0.4">
      <c r="K117" s="36">
        <v>115</v>
      </c>
      <c r="L117" s="97">
        <v>1435.5000000000009</v>
      </c>
    </row>
    <row r="118" spans="11:12" x14ac:dyDescent="0.4">
      <c r="K118" s="36">
        <v>116</v>
      </c>
      <c r="L118" s="97">
        <v>1471.900000000001</v>
      </c>
    </row>
    <row r="119" spans="11:12" x14ac:dyDescent="0.4">
      <c r="K119" s="36">
        <v>117</v>
      </c>
      <c r="L119" s="97">
        <v>1492.600000000001</v>
      </c>
    </row>
    <row r="120" spans="11:12" x14ac:dyDescent="0.4">
      <c r="K120" s="36">
        <v>118</v>
      </c>
      <c r="L120" s="97">
        <v>1530.0000000000011</v>
      </c>
    </row>
    <row r="121" spans="11:12" x14ac:dyDescent="0.4">
      <c r="K121" s="36">
        <v>119</v>
      </c>
      <c r="L121" s="97">
        <v>1530.0000000000011</v>
      </c>
    </row>
    <row r="122" spans="11:12" x14ac:dyDescent="0.4">
      <c r="K122" s="36">
        <v>120</v>
      </c>
      <c r="L122" s="97">
        <v>1527.0000000000011</v>
      </c>
    </row>
    <row r="123" spans="11:12" x14ac:dyDescent="0.4">
      <c r="K123" s="36">
        <v>121</v>
      </c>
      <c r="L123" s="97">
        <v>1556.600000000001</v>
      </c>
    </row>
    <row r="124" spans="11:12" x14ac:dyDescent="0.4">
      <c r="K124" s="36">
        <v>122</v>
      </c>
      <c r="L124" s="97">
        <v>1590.100000000001</v>
      </c>
    </row>
    <row r="125" spans="11:12" x14ac:dyDescent="0.4">
      <c r="K125" s="36">
        <v>123</v>
      </c>
      <c r="L125" s="97">
        <v>1598.200000000001</v>
      </c>
    </row>
    <row r="126" spans="11:12" x14ac:dyDescent="0.4">
      <c r="K126" s="36">
        <v>124</v>
      </c>
      <c r="L126" s="97">
        <v>1628.600000000001</v>
      </c>
    </row>
    <row r="127" spans="11:12" x14ac:dyDescent="0.4">
      <c r="K127" s="36">
        <v>125</v>
      </c>
      <c r="L127" s="97">
        <v>1565.600000000001</v>
      </c>
    </row>
    <row r="128" spans="11:12" x14ac:dyDescent="0.4">
      <c r="K128" s="36">
        <v>126</v>
      </c>
      <c r="L128" s="97">
        <v>1666.5000000000011</v>
      </c>
    </row>
    <row r="129" spans="11:12" x14ac:dyDescent="0.4">
      <c r="K129" s="36">
        <v>127</v>
      </c>
      <c r="L129" s="97">
        <v>1643.100000000001</v>
      </c>
    </row>
    <row r="130" spans="11:12" x14ac:dyDescent="0.4">
      <c r="K130" s="36">
        <v>128</v>
      </c>
      <c r="L130" s="97">
        <v>1573.600000000001</v>
      </c>
    </row>
    <row r="131" spans="11:12" x14ac:dyDescent="0.4">
      <c r="K131" s="36">
        <v>129</v>
      </c>
      <c r="L131" s="97">
        <v>1603.0000000000011</v>
      </c>
    </row>
    <row r="132" spans="11:12" x14ac:dyDescent="0.4">
      <c r="K132" s="36">
        <v>130</v>
      </c>
      <c r="L132" s="97">
        <v>1682.600000000001</v>
      </c>
    </row>
    <row r="133" spans="11:12" x14ac:dyDescent="0.4">
      <c r="K133" s="36">
        <v>131</v>
      </c>
      <c r="L133" s="97">
        <v>1632.100000000001</v>
      </c>
    </row>
    <row r="134" spans="11:12" x14ac:dyDescent="0.4">
      <c r="K134" s="36">
        <v>132</v>
      </c>
      <c r="L134" s="97">
        <v>1590.400000000001</v>
      </c>
    </row>
    <row r="135" spans="11:12" x14ac:dyDescent="0.4">
      <c r="K135" s="36">
        <v>133</v>
      </c>
      <c r="L135" s="97">
        <v>1555.5000000000009</v>
      </c>
    </row>
    <row r="136" spans="11:12" x14ac:dyDescent="0.4">
      <c r="K136" s="36">
        <v>134</v>
      </c>
      <c r="L136" s="97">
        <v>1549.3000000000009</v>
      </c>
    </row>
    <row r="137" spans="11:12" x14ac:dyDescent="0.4">
      <c r="K137" s="36">
        <v>135</v>
      </c>
      <c r="L137" s="97">
        <v>1609.6000000000008</v>
      </c>
    </row>
    <row r="138" spans="11:12" x14ac:dyDescent="0.4">
      <c r="K138" s="36">
        <v>136</v>
      </c>
      <c r="L138" s="97">
        <v>1638.4000000000008</v>
      </c>
    </row>
    <row r="139" spans="11:12" x14ac:dyDescent="0.4">
      <c r="K139" s="36">
        <v>137</v>
      </c>
      <c r="L139" s="97">
        <v>1631.8000000000009</v>
      </c>
    </row>
    <row r="140" spans="11:12" x14ac:dyDescent="0.4">
      <c r="K140" s="36">
        <v>138</v>
      </c>
      <c r="L140" s="97">
        <v>1633.8000000000009</v>
      </c>
    </row>
    <row r="141" spans="11:12" x14ac:dyDescent="0.4">
      <c r="K141" s="36">
        <v>139</v>
      </c>
      <c r="L141" s="97">
        <v>1701.6000000000008</v>
      </c>
    </row>
    <row r="142" spans="11:12" x14ac:dyDescent="0.4">
      <c r="K142" s="36">
        <v>140</v>
      </c>
      <c r="L142" s="97">
        <v>1700.4000000000008</v>
      </c>
    </row>
    <row r="143" spans="11:12" x14ac:dyDescent="0.4">
      <c r="K143" s="36">
        <v>141</v>
      </c>
      <c r="L143" s="97">
        <v>1724.1000000000008</v>
      </c>
    </row>
    <row r="144" spans="11:12" x14ac:dyDescent="0.4">
      <c r="K144" s="36">
        <v>142</v>
      </c>
      <c r="L144" s="97">
        <v>1751.8000000000009</v>
      </c>
    </row>
    <row r="145" spans="11:12" x14ac:dyDescent="0.4">
      <c r="K145" s="36">
        <v>143</v>
      </c>
      <c r="L145" s="97">
        <v>1797.1000000000008</v>
      </c>
    </row>
    <row r="146" spans="11:12" x14ac:dyDescent="0.4">
      <c r="K146" s="36">
        <v>144</v>
      </c>
      <c r="L146" s="97">
        <v>1806.1000000000008</v>
      </c>
    </row>
    <row r="147" spans="11:12" x14ac:dyDescent="0.4">
      <c r="K147" s="36">
        <v>145</v>
      </c>
      <c r="L147" s="97">
        <v>1774.3000000000009</v>
      </c>
    </row>
    <row r="148" spans="11:12" x14ac:dyDescent="0.4">
      <c r="K148" s="36">
        <v>146</v>
      </c>
      <c r="L148" s="97">
        <v>1767.0000000000009</v>
      </c>
    </row>
    <row r="149" spans="11:12" x14ac:dyDescent="0.4">
      <c r="K149" s="36">
        <v>147</v>
      </c>
      <c r="L149" s="97">
        <v>1763.5000000000009</v>
      </c>
    </row>
    <row r="150" spans="11:12" x14ac:dyDescent="0.4">
      <c r="K150" s="36">
        <v>148</v>
      </c>
      <c r="L150" s="97">
        <v>1727.1000000000008</v>
      </c>
    </row>
    <row r="151" spans="11:12" x14ac:dyDescent="0.4">
      <c r="K151" s="36">
        <v>149</v>
      </c>
      <c r="L151" s="97">
        <v>1744.7000000000007</v>
      </c>
    </row>
    <row r="152" spans="11:12" x14ac:dyDescent="0.4">
      <c r="K152" s="36">
        <v>150</v>
      </c>
      <c r="L152" s="97">
        <v>1788.5000000000007</v>
      </c>
    </row>
    <row r="153" spans="11:12" x14ac:dyDescent="0.4">
      <c r="K153" s="36">
        <v>151</v>
      </c>
      <c r="L153" s="97">
        <v>1847.5000000000007</v>
      </c>
    </row>
    <row r="154" spans="11:12" x14ac:dyDescent="0.4">
      <c r="K154" s="36">
        <v>152</v>
      </c>
      <c r="L154" s="97">
        <v>1812.8000000000006</v>
      </c>
    </row>
    <row r="155" spans="11:12" x14ac:dyDescent="0.4">
      <c r="K155" s="36">
        <v>153</v>
      </c>
      <c r="L155" s="97">
        <v>1805.4000000000005</v>
      </c>
    </row>
    <row r="156" spans="11:12" x14ac:dyDescent="0.4">
      <c r="K156" s="36">
        <v>154</v>
      </c>
      <c r="L156" s="97">
        <v>1855.1000000000006</v>
      </c>
    </row>
    <row r="157" spans="11:12" x14ac:dyDescent="0.4">
      <c r="K157" s="36">
        <v>155</v>
      </c>
      <c r="L157" s="97">
        <v>1940.5000000000007</v>
      </c>
    </row>
    <row r="158" spans="11:12" x14ac:dyDescent="0.4">
      <c r="K158" s="36">
        <v>156</v>
      </c>
      <c r="L158" s="97">
        <v>2009.8000000000006</v>
      </c>
    </row>
    <row r="159" spans="11:12" x14ac:dyDescent="0.4">
      <c r="K159" s="36">
        <v>157</v>
      </c>
      <c r="L159" s="97">
        <v>2024.8000000000006</v>
      </c>
    </row>
    <row r="160" spans="11:12" x14ac:dyDescent="0.4">
      <c r="K160" s="36">
        <v>158</v>
      </c>
      <c r="L160" s="97">
        <v>1973.9000000000005</v>
      </c>
    </row>
    <row r="161" spans="11:12" x14ac:dyDescent="0.4">
      <c r="K161" s="36">
        <v>159</v>
      </c>
      <c r="L161" s="97">
        <v>1932.7000000000005</v>
      </c>
    </row>
    <row r="162" spans="11:12" x14ac:dyDescent="0.4">
      <c r="K162" s="36">
        <v>160</v>
      </c>
      <c r="L162" s="97">
        <v>1899.8000000000004</v>
      </c>
    </row>
    <row r="163" spans="11:12" x14ac:dyDescent="0.4">
      <c r="K163" s="36">
        <v>161</v>
      </c>
      <c r="L163" s="97">
        <v>1913.3000000000004</v>
      </c>
    </row>
    <row r="164" spans="11:12" x14ac:dyDescent="0.4">
      <c r="K164" s="36">
        <v>162</v>
      </c>
      <c r="L164" s="97">
        <v>1955.5000000000005</v>
      </c>
    </row>
    <row r="165" spans="11:12" x14ac:dyDescent="0.4">
      <c r="K165" s="36">
        <v>163</v>
      </c>
      <c r="L165" s="97">
        <v>1950.5000000000005</v>
      </c>
    </row>
    <row r="166" spans="11:12" x14ac:dyDescent="0.4">
      <c r="K166" s="36">
        <v>164</v>
      </c>
      <c r="L166" s="97">
        <v>1985.5000000000005</v>
      </c>
    </row>
    <row r="167" spans="11:12" x14ac:dyDescent="0.4">
      <c r="K167" s="36">
        <v>165</v>
      </c>
      <c r="L167" s="97">
        <v>1995.0000000000005</v>
      </c>
    </row>
    <row r="168" spans="11:12" x14ac:dyDescent="0.4">
      <c r="K168" s="36">
        <v>166</v>
      </c>
      <c r="L168" s="97">
        <v>1939.7000000000005</v>
      </c>
    </row>
    <row r="169" spans="11:12" x14ac:dyDescent="0.4">
      <c r="K169" s="36">
        <v>167</v>
      </c>
      <c r="L169" s="97">
        <v>1970.7000000000005</v>
      </c>
    </row>
    <row r="170" spans="11:12" x14ac:dyDescent="0.4">
      <c r="K170" s="36">
        <v>168</v>
      </c>
      <c r="L170" s="97">
        <v>1935.4000000000005</v>
      </c>
    </row>
    <row r="171" spans="11:12" x14ac:dyDescent="0.4">
      <c r="K171" s="36">
        <v>169</v>
      </c>
      <c r="L171" s="97">
        <v>1976.5000000000005</v>
      </c>
    </row>
    <row r="172" spans="11:12" x14ac:dyDescent="0.4">
      <c r="K172" s="36">
        <v>170</v>
      </c>
      <c r="L172" s="97">
        <v>2031.1000000000004</v>
      </c>
    </row>
    <row r="173" spans="11:12" x14ac:dyDescent="0.4">
      <c r="K173" s="36">
        <v>171</v>
      </c>
      <c r="L173" s="97">
        <v>2031.0000000000005</v>
      </c>
    </row>
    <row r="174" spans="11:12" x14ac:dyDescent="0.4">
      <c r="K174" s="36">
        <v>172</v>
      </c>
      <c r="L174" s="97">
        <v>2043.9000000000005</v>
      </c>
    </row>
    <row r="175" spans="11:12" x14ac:dyDescent="0.4">
      <c r="K175" s="36">
        <v>173</v>
      </c>
      <c r="L175" s="97">
        <v>2066.5000000000005</v>
      </c>
    </row>
    <row r="176" spans="11:12" x14ac:dyDescent="0.4">
      <c r="K176" s="36">
        <v>174</v>
      </c>
      <c r="L176" s="97">
        <v>2121.1000000000004</v>
      </c>
    </row>
    <row r="177" spans="11:12" x14ac:dyDescent="0.4">
      <c r="K177" s="36">
        <v>175</v>
      </c>
      <c r="L177" s="97">
        <v>2087.3000000000002</v>
      </c>
    </row>
    <row r="178" spans="11:12" x14ac:dyDescent="0.4">
      <c r="K178" s="36">
        <v>176</v>
      </c>
      <c r="L178" s="97">
        <v>2055.5</v>
      </c>
    </row>
    <row r="179" spans="11:12" x14ac:dyDescent="0.4">
      <c r="K179" s="36">
        <v>177</v>
      </c>
      <c r="L179" s="97">
        <v>2093.1</v>
      </c>
    </row>
    <row r="180" spans="11:12" x14ac:dyDescent="0.4">
      <c r="K180" s="36">
        <v>178</v>
      </c>
      <c r="L180" s="97">
        <v>2146.2999999999997</v>
      </c>
    </row>
    <row r="181" spans="11:12" x14ac:dyDescent="0.4">
      <c r="K181" s="36">
        <v>179</v>
      </c>
      <c r="L181" s="97">
        <v>2182.3999999999996</v>
      </c>
    </row>
    <row r="182" spans="11:12" x14ac:dyDescent="0.4">
      <c r="K182" s="36">
        <v>180</v>
      </c>
      <c r="L182" s="97">
        <v>2155.9999999999995</v>
      </c>
    </row>
    <row r="183" spans="11:12" x14ac:dyDescent="0.4">
      <c r="K183" s="36">
        <v>181</v>
      </c>
      <c r="L183" s="97">
        <v>2216.9999999999995</v>
      </c>
    </row>
    <row r="184" spans="11:12" x14ac:dyDescent="0.4">
      <c r="K184" s="36">
        <v>182</v>
      </c>
      <c r="L184" s="97">
        <v>2252.3999999999996</v>
      </c>
    </row>
    <row r="185" spans="11:12" x14ac:dyDescent="0.4">
      <c r="K185" s="36">
        <v>183</v>
      </c>
      <c r="L185" s="97">
        <v>2307.8999999999996</v>
      </c>
    </row>
    <row r="186" spans="11:12" x14ac:dyDescent="0.4">
      <c r="K186" s="36">
        <v>184</v>
      </c>
      <c r="L186" s="97">
        <v>2341.1999999999998</v>
      </c>
    </row>
    <row r="187" spans="11:12" x14ac:dyDescent="0.4">
      <c r="K187" s="36">
        <v>185</v>
      </c>
      <c r="L187" s="97">
        <v>2314.3999999999996</v>
      </c>
    </row>
    <row r="188" spans="11:12" x14ac:dyDescent="0.4">
      <c r="K188" s="36">
        <v>186</v>
      </c>
      <c r="L188" s="97">
        <v>2307.6999999999998</v>
      </c>
    </row>
    <row r="189" spans="11:12" x14ac:dyDescent="0.4">
      <c r="K189" s="36">
        <v>187</v>
      </c>
      <c r="L189" s="97">
        <v>2348.1</v>
      </c>
    </row>
    <row r="190" spans="11:12" x14ac:dyDescent="0.4">
      <c r="K190" s="36">
        <v>188</v>
      </c>
      <c r="L190" s="97">
        <v>2290.1</v>
      </c>
    </row>
    <row r="191" spans="11:12" x14ac:dyDescent="0.4">
      <c r="K191" s="36">
        <v>189</v>
      </c>
      <c r="L191" s="97">
        <v>2337.6</v>
      </c>
    </row>
    <row r="192" spans="11:12" x14ac:dyDescent="0.4">
      <c r="K192" s="36">
        <v>190</v>
      </c>
      <c r="L192" s="97">
        <v>2335.6999999999998</v>
      </c>
    </row>
    <row r="193" spans="11:12" x14ac:dyDescent="0.4">
      <c r="K193" s="36">
        <v>191</v>
      </c>
      <c r="L193" s="97">
        <v>2390.1</v>
      </c>
    </row>
    <row r="194" spans="11:12" x14ac:dyDescent="0.4">
      <c r="K194" s="36">
        <v>192</v>
      </c>
      <c r="L194" s="97">
        <v>2392.9</v>
      </c>
    </row>
    <row r="195" spans="11:12" x14ac:dyDescent="0.4">
      <c r="K195" s="36">
        <v>193</v>
      </c>
      <c r="L195" s="97">
        <v>2389.8000000000002</v>
      </c>
    </row>
    <row r="196" spans="11:12" x14ac:dyDescent="0.4">
      <c r="K196" s="36">
        <v>194</v>
      </c>
      <c r="L196" s="97">
        <v>2355.3000000000002</v>
      </c>
    </row>
    <row r="197" spans="11:12" x14ac:dyDescent="0.4">
      <c r="K197" s="36">
        <v>195</v>
      </c>
      <c r="L197" s="97">
        <v>2406.4</v>
      </c>
    </row>
    <row r="198" spans="11:12" x14ac:dyDescent="0.4">
      <c r="K198" s="36">
        <v>196</v>
      </c>
      <c r="L198" s="97">
        <v>2442.9</v>
      </c>
    </row>
    <row r="199" spans="11:12" x14ac:dyDescent="0.4">
      <c r="K199" s="36">
        <v>197</v>
      </c>
      <c r="L199" s="97">
        <v>2485.4</v>
      </c>
    </row>
    <row r="200" spans="11:12" x14ac:dyDescent="0.4">
      <c r="K200" s="36">
        <v>198</v>
      </c>
      <c r="L200" s="97">
        <v>2519.9</v>
      </c>
    </row>
    <row r="201" spans="11:12" x14ac:dyDescent="0.4">
      <c r="K201" s="36">
        <v>199</v>
      </c>
      <c r="L201" s="97">
        <v>2503.3000000000002</v>
      </c>
    </row>
    <row r="202" spans="11:12" x14ac:dyDescent="0.4">
      <c r="K202" s="36">
        <v>200</v>
      </c>
      <c r="L202" s="97">
        <v>2466.9</v>
      </c>
    </row>
    <row r="203" spans="11:12" x14ac:dyDescent="0.4">
      <c r="K203" s="36">
        <v>201</v>
      </c>
      <c r="L203" s="97">
        <v>2528.5</v>
      </c>
    </row>
    <row r="204" spans="11:12" x14ac:dyDescent="0.4">
      <c r="K204" s="36">
        <v>202</v>
      </c>
      <c r="L204" s="97">
        <v>2521.3000000000002</v>
      </c>
    </row>
    <row r="205" spans="11:12" x14ac:dyDescent="0.4">
      <c r="K205" s="36">
        <v>203</v>
      </c>
      <c r="L205" s="97">
        <v>2568.6000000000004</v>
      </c>
    </row>
    <row r="206" spans="11:12" x14ac:dyDescent="0.4">
      <c r="K206" s="36">
        <v>204</v>
      </c>
      <c r="L206" s="97">
        <v>2629.6000000000004</v>
      </c>
    </row>
    <row r="207" spans="11:12" x14ac:dyDescent="0.4">
      <c r="K207" s="36">
        <v>205</v>
      </c>
      <c r="L207" s="97">
        <v>2674.5000000000005</v>
      </c>
    </row>
    <row r="208" spans="11:12" x14ac:dyDescent="0.4">
      <c r="K208" s="36">
        <v>206</v>
      </c>
      <c r="L208" s="97">
        <v>2726.5000000000005</v>
      </c>
    </row>
    <row r="209" spans="11:12" x14ac:dyDescent="0.4">
      <c r="K209" s="36">
        <v>207</v>
      </c>
      <c r="L209" s="97">
        <v>2661.5000000000005</v>
      </c>
    </row>
    <row r="210" spans="11:12" x14ac:dyDescent="0.4">
      <c r="K210" s="36">
        <v>208</v>
      </c>
      <c r="L210" s="97">
        <v>2614.7000000000003</v>
      </c>
    </row>
    <row r="211" spans="11:12" x14ac:dyDescent="0.4">
      <c r="K211" s="36">
        <v>209</v>
      </c>
      <c r="L211" s="97">
        <v>2661.7000000000003</v>
      </c>
    </row>
    <row r="212" spans="11:12" x14ac:dyDescent="0.4">
      <c r="K212" s="36">
        <v>210</v>
      </c>
      <c r="L212" s="97">
        <v>2614.7000000000003</v>
      </c>
    </row>
    <row r="213" spans="11:12" x14ac:dyDescent="0.4">
      <c r="K213" s="36">
        <v>211</v>
      </c>
      <c r="L213" s="97">
        <v>2588.4</v>
      </c>
    </row>
    <row r="214" spans="11:12" x14ac:dyDescent="0.4">
      <c r="K214" s="36">
        <v>212</v>
      </c>
      <c r="L214" s="97">
        <v>2645.9</v>
      </c>
    </row>
    <row r="215" spans="11:12" x14ac:dyDescent="0.4">
      <c r="K215" s="36">
        <v>213</v>
      </c>
      <c r="L215" s="97">
        <v>2670.7000000000003</v>
      </c>
    </row>
    <row r="216" spans="11:12" x14ac:dyDescent="0.4">
      <c r="K216" s="36">
        <v>214</v>
      </c>
      <c r="L216" s="97">
        <v>2623.6000000000004</v>
      </c>
    </row>
    <row r="217" spans="11:12" x14ac:dyDescent="0.4">
      <c r="K217" s="36">
        <v>215</v>
      </c>
      <c r="L217" s="97">
        <v>2676.6000000000004</v>
      </c>
    </row>
    <row r="218" spans="11:12" x14ac:dyDescent="0.4">
      <c r="K218" s="36">
        <v>216</v>
      </c>
      <c r="L218" s="97">
        <v>2671.2000000000003</v>
      </c>
    </row>
    <row r="219" spans="11:12" x14ac:dyDescent="0.4">
      <c r="K219" s="36">
        <v>217</v>
      </c>
      <c r="L219" s="97">
        <v>2672.1000000000004</v>
      </c>
    </row>
    <row r="220" spans="11:12" x14ac:dyDescent="0.4">
      <c r="K220" s="36">
        <v>218</v>
      </c>
      <c r="L220" s="97">
        <v>2684.2000000000003</v>
      </c>
    </row>
    <row r="221" spans="11:12" x14ac:dyDescent="0.4">
      <c r="K221" s="36">
        <v>219</v>
      </c>
      <c r="L221" s="97">
        <v>2746.9</v>
      </c>
    </row>
  </sheetData>
  <sortState xmlns:xlrd2="http://schemas.microsoft.com/office/spreadsheetml/2017/richdata2" ref="N15:Q2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E0280-023A-46A0-A53A-5D0897B70680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128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163</v>
      </c>
      <c r="C2" s="149"/>
      <c r="E2" s="60" t="s">
        <v>67</v>
      </c>
      <c r="F2" s="57" t="s">
        <v>23</v>
      </c>
      <c r="G2" s="44">
        <v>267</v>
      </c>
      <c r="H2" s="130">
        <f>IF(B$17=0,0,G2/B$17)</f>
        <v>0.71967654986522911</v>
      </c>
      <c r="I2" s="91">
        <v>8</v>
      </c>
      <c r="K2" s="34">
        <v>0</v>
      </c>
      <c r="L2" s="96">
        <v>0</v>
      </c>
      <c r="N2" s="112" t="s">
        <v>132</v>
      </c>
      <c r="O2" s="119">
        <f t="shared" ref="O2:O7" si="0">IF(P2=0,0,Q2/P2)</f>
        <v>703.68098159509202</v>
      </c>
      <c r="P2" s="116">
        <v>163</v>
      </c>
      <c r="Q2" s="100">
        <v>114700</v>
      </c>
    </row>
    <row r="3" spans="1:17" x14ac:dyDescent="0.4">
      <c r="A3" s="53" t="s">
        <v>8</v>
      </c>
      <c r="B3" s="150">
        <v>1341</v>
      </c>
      <c r="C3" s="151"/>
      <c r="E3" s="61" t="s">
        <v>65</v>
      </c>
      <c r="F3" s="58" t="s">
        <v>21</v>
      </c>
      <c r="G3" s="45">
        <v>219</v>
      </c>
      <c r="H3" s="131">
        <f>IF(B$17=0,0,G3/B$17)</f>
        <v>0.59029649595687328</v>
      </c>
      <c r="I3" s="92">
        <v>3</v>
      </c>
      <c r="K3" s="36">
        <v>1</v>
      </c>
      <c r="L3" s="97">
        <v>45.5</v>
      </c>
      <c r="N3" s="113" t="s">
        <v>133</v>
      </c>
      <c r="O3" s="120">
        <f t="shared" si="0"/>
        <v>-1634.1772151898733</v>
      </c>
      <c r="P3" s="117">
        <v>158</v>
      </c>
      <c r="Q3" s="101">
        <v>-258200</v>
      </c>
    </row>
    <row r="4" spans="1:17" x14ac:dyDescent="0.4">
      <c r="A4" s="53" t="s">
        <v>6</v>
      </c>
      <c r="B4" s="152">
        <v>-539.20000000000005</v>
      </c>
      <c r="C4" s="153"/>
      <c r="E4" s="61" t="s">
        <v>73</v>
      </c>
      <c r="F4" s="58" t="s">
        <v>28</v>
      </c>
      <c r="G4" s="45">
        <v>165</v>
      </c>
      <c r="H4" s="131">
        <f>IF(B$17=0,0,G4/B$17)</f>
        <v>0.44474393530997303</v>
      </c>
      <c r="I4" s="92">
        <v>13</v>
      </c>
      <c r="K4" s="36">
        <v>2</v>
      </c>
      <c r="L4" s="97">
        <v>6.2999999999999972</v>
      </c>
      <c r="N4" s="113" t="s">
        <v>134</v>
      </c>
      <c r="O4" s="120">
        <f t="shared" si="0"/>
        <v>-456.29139072847681</v>
      </c>
      <c r="P4" s="117">
        <v>151</v>
      </c>
      <c r="Q4" s="101">
        <v>-68900</v>
      </c>
    </row>
    <row r="5" spans="1:17" x14ac:dyDescent="0.4">
      <c r="A5" s="53" t="s">
        <v>7</v>
      </c>
      <c r="B5" s="154">
        <f>IF(B$2=0,0,B$4/B$2)</f>
        <v>-3.3079754601226998</v>
      </c>
      <c r="C5" s="155"/>
      <c r="E5" s="61" t="s">
        <v>245</v>
      </c>
      <c r="F5" s="58" t="s">
        <v>246</v>
      </c>
      <c r="G5" s="45">
        <v>157</v>
      </c>
      <c r="H5" s="131">
        <f>IF(B$17=0,0,G5/B$17)</f>
        <v>0.42318059299191374</v>
      </c>
      <c r="I5" s="92">
        <v>5</v>
      </c>
      <c r="K5" s="36">
        <v>3</v>
      </c>
      <c r="L5" s="97">
        <v>-47.300000000000004</v>
      </c>
      <c r="N5" s="113" t="s">
        <v>135</v>
      </c>
      <c r="O5" s="120">
        <f t="shared" si="0"/>
        <v>-377.20588235294116</v>
      </c>
      <c r="P5" s="117">
        <v>136</v>
      </c>
      <c r="Q5" s="101">
        <v>-51300</v>
      </c>
    </row>
    <row r="6" spans="1:17" x14ac:dyDescent="0.4">
      <c r="A6" s="53" t="s">
        <v>1</v>
      </c>
      <c r="B6" s="144">
        <f>IF(B$2=0,0,(B$7*1+B$8*2+B$9*3)/B$2)</f>
        <v>2.0797546012269938</v>
      </c>
      <c r="C6" s="145"/>
      <c r="E6" s="61" t="s">
        <v>68</v>
      </c>
      <c r="F6" s="58" t="s">
        <v>24</v>
      </c>
      <c r="G6" s="45">
        <v>142</v>
      </c>
      <c r="H6" s="131">
        <f>IF(B$17=0,0,G6/B$17)</f>
        <v>0.38274932614555257</v>
      </c>
      <c r="I6" s="92">
        <v>4</v>
      </c>
      <c r="K6" s="36">
        <v>4</v>
      </c>
      <c r="L6" s="97">
        <v>13.599999999999994</v>
      </c>
      <c r="N6" s="113" t="s">
        <v>136</v>
      </c>
      <c r="O6" s="120">
        <f t="shared" si="0"/>
        <v>148.33333333333334</v>
      </c>
      <c r="P6" s="117">
        <v>120</v>
      </c>
      <c r="Q6" s="101">
        <v>17800</v>
      </c>
    </row>
    <row r="7" spans="1:17" x14ac:dyDescent="0.4">
      <c r="A7" s="53" t="s">
        <v>2</v>
      </c>
      <c r="B7" s="45">
        <v>44</v>
      </c>
      <c r="C7" s="37">
        <f t="shared" ref="C7:C12" si="1">IF(B$2=0,0,B7/B$2)</f>
        <v>0.26993865030674846</v>
      </c>
      <c r="E7" s="61" t="s">
        <v>69</v>
      </c>
      <c r="F7" s="58" t="s">
        <v>12</v>
      </c>
      <c r="G7" s="45">
        <v>133</v>
      </c>
      <c r="H7" s="131">
        <f>IF(B$17=0,0,G7/B$17)</f>
        <v>0.35849056603773582</v>
      </c>
      <c r="I7" s="92">
        <v>3</v>
      </c>
      <c r="K7" s="36">
        <v>5</v>
      </c>
      <c r="L7" s="97">
        <v>-16.600000000000005</v>
      </c>
      <c r="N7" s="114" t="s">
        <v>137</v>
      </c>
      <c r="O7" s="121">
        <f t="shared" si="0"/>
        <v>-143.92523364485982</v>
      </c>
      <c r="P7" s="118">
        <v>107</v>
      </c>
      <c r="Q7" s="102">
        <v>-15400</v>
      </c>
    </row>
    <row r="8" spans="1:17" x14ac:dyDescent="0.4">
      <c r="A8" s="53" t="s">
        <v>3</v>
      </c>
      <c r="B8" s="45">
        <v>62</v>
      </c>
      <c r="C8" s="37">
        <f t="shared" si="1"/>
        <v>0.38036809815950923</v>
      </c>
      <c r="E8" s="61" t="s">
        <v>70</v>
      </c>
      <c r="F8" s="58" t="s">
        <v>25</v>
      </c>
      <c r="G8" s="45">
        <v>81</v>
      </c>
      <c r="H8" s="131">
        <f>IF(B$17=0,0,G8/B$17)</f>
        <v>0.21832884097035041</v>
      </c>
      <c r="I8" s="92">
        <v>1</v>
      </c>
      <c r="K8" s="36">
        <v>6</v>
      </c>
      <c r="L8" s="97">
        <v>-14.000000000000005</v>
      </c>
      <c r="N8" s="41"/>
      <c r="O8" s="125"/>
      <c r="P8" s="109"/>
      <c r="Q8" s="107"/>
    </row>
    <row r="9" spans="1:17" x14ac:dyDescent="0.4">
      <c r="A9" s="54" t="s">
        <v>4</v>
      </c>
      <c r="B9" s="46">
        <v>57</v>
      </c>
      <c r="C9" s="38">
        <f t="shared" si="1"/>
        <v>0.34969325153374231</v>
      </c>
      <c r="E9" s="61" t="s">
        <v>66</v>
      </c>
      <c r="F9" s="58" t="s">
        <v>22</v>
      </c>
      <c r="G9" s="45">
        <v>52</v>
      </c>
      <c r="H9" s="131">
        <f>IF(B$17=0,0,G9/B$17)</f>
        <v>0.14016172506738545</v>
      </c>
      <c r="I9" s="92">
        <v>1</v>
      </c>
      <c r="K9" s="36">
        <v>7</v>
      </c>
      <c r="L9" s="97">
        <v>-45.300000000000004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22</v>
      </c>
      <c r="C10" s="38">
        <f t="shared" si="1"/>
        <v>0.13496932515337423</v>
      </c>
      <c r="E10" s="61" t="s">
        <v>71</v>
      </c>
      <c r="F10" s="58" t="s">
        <v>26</v>
      </c>
      <c r="G10" s="45">
        <v>48</v>
      </c>
      <c r="H10" s="131">
        <f>IF(B$17=0,0,G10/B$17)</f>
        <v>0.1293800539083558</v>
      </c>
      <c r="I10" s="92">
        <v>3</v>
      </c>
      <c r="K10" s="36">
        <v>8</v>
      </c>
      <c r="L10" s="97">
        <v>-49.6</v>
      </c>
      <c r="N10" s="112" t="s">
        <v>164</v>
      </c>
      <c r="O10" s="122">
        <f>IF(P10=0,0,Q10/P10)</f>
        <v>-6.2922077922077939</v>
      </c>
      <c r="P10" s="116">
        <v>77</v>
      </c>
      <c r="Q10" s="104">
        <v>-484.50000000000011</v>
      </c>
    </row>
    <row r="11" spans="1:17" x14ac:dyDescent="0.4">
      <c r="A11" s="54" t="s">
        <v>140</v>
      </c>
      <c r="B11" s="46">
        <v>16</v>
      </c>
      <c r="C11" s="38">
        <f t="shared" si="1"/>
        <v>9.815950920245399E-2</v>
      </c>
      <c r="E11" s="61" t="s">
        <v>90</v>
      </c>
      <c r="F11" s="58" t="s">
        <v>45</v>
      </c>
      <c r="G11" s="45">
        <v>43</v>
      </c>
      <c r="H11" s="131">
        <f>IF(B$17=0,0,G11/B$17)</f>
        <v>0.11590296495956873</v>
      </c>
      <c r="I11" s="92">
        <v>9</v>
      </c>
      <c r="K11" s="36">
        <v>9</v>
      </c>
      <c r="L11" s="97">
        <v>-79.5</v>
      </c>
      <c r="N11" s="113" t="s">
        <v>165</v>
      </c>
      <c r="O11" s="123">
        <f>IF(P11=0,0,Q11/P11)</f>
        <v>-4.3977777777777769</v>
      </c>
      <c r="P11" s="117">
        <v>45</v>
      </c>
      <c r="Q11" s="105">
        <v>-197.89999999999998</v>
      </c>
    </row>
    <row r="12" spans="1:17" x14ac:dyDescent="0.4">
      <c r="A12" s="55" t="s">
        <v>160</v>
      </c>
      <c r="B12" s="47">
        <v>9</v>
      </c>
      <c r="C12" s="40">
        <f t="shared" si="1"/>
        <v>5.5214723926380369E-2</v>
      </c>
      <c r="E12" s="61" t="s">
        <v>87</v>
      </c>
      <c r="F12" s="58" t="s">
        <v>42</v>
      </c>
      <c r="G12" s="45">
        <v>20</v>
      </c>
      <c r="H12" s="131">
        <f>IF(B$17=0,0,G12/B$17)</f>
        <v>5.3908355795148251E-2</v>
      </c>
      <c r="I12" s="92">
        <v>9</v>
      </c>
      <c r="K12" s="36">
        <v>10</v>
      </c>
      <c r="L12" s="97">
        <v>-80.900000000000006</v>
      </c>
      <c r="N12" s="114" t="s">
        <v>166</v>
      </c>
      <c r="O12" s="124">
        <f>IF(P12=0,0,Q12/P12)</f>
        <v>3.4926829268292678</v>
      </c>
      <c r="P12" s="118">
        <v>41</v>
      </c>
      <c r="Q12" s="106">
        <v>143.19999999999999</v>
      </c>
    </row>
    <row r="13" spans="1:17" x14ac:dyDescent="0.4">
      <c r="A13" s="56" t="s">
        <v>122</v>
      </c>
      <c r="B13" s="48">
        <v>397</v>
      </c>
      <c r="C13" s="42">
        <f>IF(B$3=0,0,B13/B$3)</f>
        <v>0.29604772557792691</v>
      </c>
      <c r="E13" s="61" t="s">
        <v>72</v>
      </c>
      <c r="F13" s="58" t="s">
        <v>27</v>
      </c>
      <c r="G13" s="45">
        <v>18</v>
      </c>
      <c r="H13" s="131">
        <f>IF(B$17=0,0,G13/B$17)</f>
        <v>4.8517520215633422E-2</v>
      </c>
      <c r="I13" s="92">
        <v>10</v>
      </c>
      <c r="K13" s="36">
        <v>11</v>
      </c>
      <c r="L13" s="97">
        <v>-53.100000000000009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232</v>
      </c>
      <c r="C14" s="37">
        <f>IF(B$3=0,0,B14/B$3)</f>
        <v>0.17300521998508575</v>
      </c>
      <c r="E14" s="61" t="s">
        <v>84</v>
      </c>
      <c r="F14" s="58" t="s">
        <v>39</v>
      </c>
      <c r="G14" s="45">
        <v>15</v>
      </c>
      <c r="H14" s="131">
        <f>IF(B$17=0,0,G14/B$17)</f>
        <v>4.0431266846361183E-2</v>
      </c>
      <c r="I14" s="92">
        <v>10</v>
      </c>
      <c r="K14" s="36">
        <v>12</v>
      </c>
      <c r="L14" s="97">
        <v>-56.500000000000007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232</v>
      </c>
      <c r="C15" s="35">
        <f>IF(B$13=0,0,B15/B$13)</f>
        <v>0.58438287153652391</v>
      </c>
      <c r="E15" s="61" t="s">
        <v>82</v>
      </c>
      <c r="F15" s="58" t="s">
        <v>37</v>
      </c>
      <c r="G15" s="45">
        <v>11</v>
      </c>
      <c r="H15" s="131">
        <f>IF(B$17=0,0,G15/B$17)</f>
        <v>2.9649595687331536E-2</v>
      </c>
      <c r="I15" s="92">
        <v>5</v>
      </c>
      <c r="K15" s="36">
        <v>13</v>
      </c>
      <c r="L15" s="97">
        <v>-81.900000000000006</v>
      </c>
      <c r="N15" s="112" t="s">
        <v>184</v>
      </c>
      <c r="O15" s="122">
        <f>IF(P15=0,0,Q15/P15)</f>
        <v>21.07</v>
      </c>
      <c r="P15" s="116">
        <v>10</v>
      </c>
      <c r="Q15" s="104">
        <v>210.70000000000002</v>
      </c>
    </row>
    <row r="16" spans="1:17" x14ac:dyDescent="0.4">
      <c r="A16" s="52" t="s">
        <v>125</v>
      </c>
      <c r="B16" s="44">
        <v>73</v>
      </c>
      <c r="C16" s="35">
        <f>IF(B$14=0,0,B16/B$14)</f>
        <v>0.31465517241379309</v>
      </c>
      <c r="E16" s="61" t="s">
        <v>79</v>
      </c>
      <c r="F16" s="58" t="s">
        <v>34</v>
      </c>
      <c r="G16" s="45">
        <v>8</v>
      </c>
      <c r="H16" s="131">
        <f>IF(B$17=0,0,G16/B$17)</f>
        <v>2.15633423180593E-2</v>
      </c>
      <c r="I16" s="92">
        <v>10</v>
      </c>
      <c r="K16" s="36">
        <v>14</v>
      </c>
      <c r="L16" s="97">
        <v>-25.600000000000009</v>
      </c>
      <c r="N16" s="113" t="s">
        <v>173</v>
      </c>
      <c r="O16" s="123">
        <f>IF(P16=0,0,Q16/P16)</f>
        <v>9.2423076923076923</v>
      </c>
      <c r="P16" s="117">
        <v>26</v>
      </c>
      <c r="Q16" s="105">
        <v>240.29999999999998</v>
      </c>
    </row>
    <row r="17" spans="1:17" x14ac:dyDescent="0.4">
      <c r="A17" s="52" t="s">
        <v>10</v>
      </c>
      <c r="B17" s="44">
        <f>B19+B18</f>
        <v>371</v>
      </c>
      <c r="C17" s="35">
        <f>IF(B$3=0,0,B17/B$3)</f>
        <v>0.27665920954511558</v>
      </c>
      <c r="E17" s="61" t="s">
        <v>180</v>
      </c>
      <c r="F17" s="58" t="s">
        <v>181</v>
      </c>
      <c r="G17" s="45">
        <v>8</v>
      </c>
      <c r="H17" s="131">
        <f>IF(B$17=0,0,G17/B$17)</f>
        <v>2.15633423180593E-2</v>
      </c>
      <c r="I17" s="92">
        <v>4</v>
      </c>
      <c r="K17" s="36">
        <v>15</v>
      </c>
      <c r="L17" s="97">
        <v>47.999999999999986</v>
      </c>
      <c r="N17" s="113" t="s">
        <v>129</v>
      </c>
      <c r="O17" s="123">
        <f>IF(P17=0,0,Q17/P17)</f>
        <v>2.8089552238805955</v>
      </c>
      <c r="P17" s="117">
        <v>67</v>
      </c>
      <c r="Q17" s="105">
        <v>188.1999999999999</v>
      </c>
    </row>
    <row r="18" spans="1:17" x14ac:dyDescent="0.4">
      <c r="A18" s="53" t="s">
        <v>12</v>
      </c>
      <c r="B18" s="45">
        <v>165</v>
      </c>
      <c r="C18" s="37">
        <f>IF(B$17=0,0,B18/B$17)</f>
        <v>0.44474393530997303</v>
      </c>
      <c r="E18" s="61" t="s">
        <v>80</v>
      </c>
      <c r="F18" s="58" t="s">
        <v>35</v>
      </c>
      <c r="G18" s="45">
        <v>7</v>
      </c>
      <c r="H18" s="131">
        <f>IF(B$17=0,0,G18/B$17)</f>
        <v>1.8867924528301886E-2</v>
      </c>
      <c r="I18" s="92">
        <v>5</v>
      </c>
      <c r="K18" s="36">
        <v>16</v>
      </c>
      <c r="L18" s="97">
        <v>41.699999999999989</v>
      </c>
      <c r="N18" s="113" t="s">
        <v>177</v>
      </c>
      <c r="O18" s="123">
        <f>IF(P18=0,0,Q18/P18)</f>
        <v>0.50909090909090871</v>
      </c>
      <c r="P18" s="117">
        <v>33</v>
      </c>
      <c r="Q18" s="105">
        <v>16.799999999999986</v>
      </c>
    </row>
    <row r="19" spans="1:17" x14ac:dyDescent="0.4">
      <c r="A19" s="53" t="s">
        <v>11</v>
      </c>
      <c r="B19" s="45">
        <v>206</v>
      </c>
      <c r="C19" s="37">
        <f>IF(B$17=0,0,B19/B$17)</f>
        <v>0.55525606469002697</v>
      </c>
      <c r="E19" s="61" t="s">
        <v>92</v>
      </c>
      <c r="F19" s="58" t="s">
        <v>47</v>
      </c>
      <c r="G19" s="45">
        <v>7</v>
      </c>
      <c r="H19" s="131">
        <f>IF(B$17=0,0,G19/B$17)</f>
        <v>1.8867924528301886E-2</v>
      </c>
      <c r="I19" s="92">
        <v>6</v>
      </c>
      <c r="K19" s="36">
        <v>17</v>
      </c>
      <c r="L19" s="97">
        <v>94.6</v>
      </c>
      <c r="N19" s="113" t="s">
        <v>171</v>
      </c>
      <c r="O19" s="123">
        <f>IF(P19=0,0,Q19/P19)</f>
        <v>-0.24736842105262649</v>
      </c>
      <c r="P19" s="117">
        <v>38</v>
      </c>
      <c r="Q19" s="105">
        <v>-9.3999999999998067</v>
      </c>
    </row>
    <row r="20" spans="1:17" x14ac:dyDescent="0.4">
      <c r="A20" s="53" t="s">
        <v>13</v>
      </c>
      <c r="B20" s="45">
        <v>246</v>
      </c>
      <c r="C20" s="37">
        <f>IF(B$3=0,0,B20/B$3)</f>
        <v>0.18344519015659955</v>
      </c>
      <c r="E20" s="61" t="s">
        <v>76</v>
      </c>
      <c r="F20" s="58" t="s">
        <v>31</v>
      </c>
      <c r="G20" s="45">
        <v>4</v>
      </c>
      <c r="H20" s="131">
        <f>IF(B$17=0,0,G20/B$17)</f>
        <v>1.078167115902965E-2</v>
      </c>
      <c r="I20" s="92">
        <v>3</v>
      </c>
      <c r="K20" s="36">
        <v>18</v>
      </c>
      <c r="L20" s="97">
        <v>116.69999999999999</v>
      </c>
      <c r="N20" s="113" t="s">
        <v>172</v>
      </c>
      <c r="O20" s="123">
        <f>IF(P20=0,0,Q20/P20)</f>
        <v>-0.40270270270270153</v>
      </c>
      <c r="P20" s="117">
        <v>37</v>
      </c>
      <c r="Q20" s="105">
        <v>-14.899999999999956</v>
      </c>
    </row>
    <row r="21" spans="1:17" x14ac:dyDescent="0.4">
      <c r="A21" s="53" t="s">
        <v>191</v>
      </c>
      <c r="B21" s="45">
        <v>6</v>
      </c>
      <c r="C21" s="133">
        <v>0</v>
      </c>
      <c r="E21" s="61" t="s">
        <v>74</v>
      </c>
      <c r="F21" s="58" t="s">
        <v>29</v>
      </c>
      <c r="G21" s="45">
        <v>3</v>
      </c>
      <c r="H21" s="131">
        <f>IF(B$17=0,0,G21/B$17)</f>
        <v>8.0862533692722376E-3</v>
      </c>
      <c r="I21" s="92">
        <v>4</v>
      </c>
      <c r="K21" s="36">
        <v>19</v>
      </c>
      <c r="L21" s="97">
        <v>138.79999999999998</v>
      </c>
      <c r="N21" s="113" t="s">
        <v>200</v>
      </c>
      <c r="O21" s="123">
        <f>IF(P21=0,0,Q21/P21)</f>
        <v>-5.5000000000000018</v>
      </c>
      <c r="P21" s="117">
        <v>2</v>
      </c>
      <c r="Q21" s="105">
        <v>-11.000000000000004</v>
      </c>
    </row>
    <row r="22" spans="1:17" x14ac:dyDescent="0.4">
      <c r="A22" s="53" t="s">
        <v>192</v>
      </c>
      <c r="B22" s="45">
        <v>24</v>
      </c>
      <c r="C22" s="133">
        <v>6</v>
      </c>
      <c r="E22" s="61" t="s">
        <v>75</v>
      </c>
      <c r="F22" s="58" t="s">
        <v>30</v>
      </c>
      <c r="G22" s="45">
        <v>2</v>
      </c>
      <c r="H22" s="131">
        <f>IF(B$17=0,0,G22/B$17)</f>
        <v>5.3908355795148251E-3</v>
      </c>
      <c r="I22" s="92">
        <v>5</v>
      </c>
      <c r="K22" s="36">
        <v>20</v>
      </c>
      <c r="L22" s="97">
        <v>164.49999999999997</v>
      </c>
      <c r="N22" s="113" t="s">
        <v>127</v>
      </c>
      <c r="O22" s="123">
        <f>IF(P22=0,0,Q22/P22)</f>
        <v>-19.807964601769918</v>
      </c>
      <c r="P22" s="117">
        <v>113</v>
      </c>
      <c r="Q22" s="105">
        <v>-2238.3000000000006</v>
      </c>
    </row>
    <row r="23" spans="1:17" x14ac:dyDescent="0.4">
      <c r="A23" s="53" t="s">
        <v>5</v>
      </c>
      <c r="B23" s="49">
        <f>IF(B$17=0,0,C23/B$17)</f>
        <v>8929.380053908355</v>
      </c>
      <c r="C23" s="39">
        <v>3312800</v>
      </c>
      <c r="E23" s="61" t="s">
        <v>78</v>
      </c>
      <c r="F23" s="58" t="s">
        <v>33</v>
      </c>
      <c r="G23" s="45">
        <v>1</v>
      </c>
      <c r="H23" s="131">
        <f>IF(B$17=0,0,G23/B$17)</f>
        <v>2.6954177897574125E-3</v>
      </c>
      <c r="I23" s="92">
        <v>8</v>
      </c>
      <c r="K23" s="36">
        <v>21</v>
      </c>
      <c r="L23" s="97">
        <v>204.09999999999997</v>
      </c>
    </row>
    <row r="24" spans="1:17" x14ac:dyDescent="0.4">
      <c r="A24" s="53" t="s">
        <v>14</v>
      </c>
      <c r="B24" s="49">
        <f>IF(B$20=0,0,C24/B$20)</f>
        <v>-7653.6585365853662</v>
      </c>
      <c r="C24" s="39">
        <v>-1882800</v>
      </c>
      <c r="E24" s="61" t="s">
        <v>85</v>
      </c>
      <c r="F24" s="58" t="s">
        <v>40</v>
      </c>
      <c r="G24" s="45">
        <v>1</v>
      </c>
      <c r="H24" s="131">
        <f>IF(B$17=0,0,G24/B$17)</f>
        <v>2.6954177897574125E-3</v>
      </c>
      <c r="I24" s="92">
        <v>3</v>
      </c>
      <c r="K24" s="36">
        <v>22</v>
      </c>
      <c r="L24" s="97">
        <v>239.39999999999998</v>
      </c>
    </row>
    <row r="25" spans="1:17" x14ac:dyDescent="0.4">
      <c r="A25" s="53" t="s">
        <v>305</v>
      </c>
      <c r="B25" s="49">
        <f>IF($B$17-B$16=0,0,C25/($B$17-B$16))</f>
        <v>9210.0671140939594</v>
      </c>
      <c r="C25" s="39">
        <v>2744600</v>
      </c>
      <c r="E25" s="61" t="s">
        <v>89</v>
      </c>
      <c r="F25" s="58" t="s">
        <v>44</v>
      </c>
      <c r="G25" s="45">
        <v>1</v>
      </c>
      <c r="H25" s="131">
        <f>IF(B$17=0,0,G25/B$17)</f>
        <v>2.6954177897574125E-3</v>
      </c>
      <c r="I25" s="92">
        <v>2</v>
      </c>
      <c r="K25" s="36">
        <v>23</v>
      </c>
      <c r="L25" s="97">
        <v>245.49999999999997</v>
      </c>
    </row>
    <row r="26" spans="1:17" x14ac:dyDescent="0.4">
      <c r="A26" s="55" t="s">
        <v>304</v>
      </c>
      <c r="B26" s="50">
        <f>IF(B$16=0,0,C26/B$16)</f>
        <v>7783.5616438356165</v>
      </c>
      <c r="C26" s="43">
        <v>568200</v>
      </c>
      <c r="E26" s="61" t="s">
        <v>93</v>
      </c>
      <c r="F26" s="58" t="s">
        <v>48</v>
      </c>
      <c r="G26" s="45">
        <v>1</v>
      </c>
      <c r="H26" s="131">
        <f>IF(B$17=0,0,G26/B$17)</f>
        <v>2.6954177897574125E-3</v>
      </c>
      <c r="I26" s="92">
        <v>5</v>
      </c>
      <c r="K26" s="36">
        <v>24</v>
      </c>
      <c r="L26" s="97">
        <v>240.39999999999998</v>
      </c>
    </row>
    <row r="27" spans="1:17" x14ac:dyDescent="0.4">
      <c r="A27" s="88" t="s">
        <v>142</v>
      </c>
      <c r="B27" s="142">
        <v>7</v>
      </c>
      <c r="C27" s="143"/>
      <c r="E27" s="61" t="s">
        <v>94</v>
      </c>
      <c r="F27" s="58" t="s">
        <v>49</v>
      </c>
      <c r="G27" s="45">
        <v>1</v>
      </c>
      <c r="H27" s="131">
        <f>IF(B$17=0,0,G27/B$17)</f>
        <v>2.6954177897574125E-3</v>
      </c>
      <c r="I27" s="92">
        <v>6</v>
      </c>
      <c r="K27" s="36">
        <v>25</v>
      </c>
      <c r="L27" s="97">
        <v>245.59999999999997</v>
      </c>
    </row>
    <row r="28" spans="1:17" x14ac:dyDescent="0.4">
      <c r="A28" s="56" t="s">
        <v>152</v>
      </c>
      <c r="B28" s="140">
        <v>107600</v>
      </c>
      <c r="C28" s="141"/>
      <c r="E28" s="61" t="s">
        <v>96</v>
      </c>
      <c r="F28" s="58" t="s">
        <v>51</v>
      </c>
      <c r="G28" s="45">
        <v>1</v>
      </c>
      <c r="H28" s="131">
        <f>IF(B$17=0,0,G28/B$17)</f>
        <v>2.6954177897574125E-3</v>
      </c>
      <c r="I28" s="92">
        <v>1</v>
      </c>
      <c r="K28" s="36">
        <v>26</v>
      </c>
      <c r="L28" s="97">
        <v>237.69999999999996</v>
      </c>
    </row>
    <row r="29" spans="1:17" x14ac:dyDescent="0.4">
      <c r="A29" s="55" t="s">
        <v>143</v>
      </c>
      <c r="B29" s="63">
        <v>6</v>
      </c>
      <c r="C29" s="40">
        <f>IF(B$3=0,0,B29/B$3)</f>
        <v>4.4742729306487695E-3</v>
      </c>
      <c r="E29" s="61" t="s">
        <v>77</v>
      </c>
      <c r="F29" s="58" t="s">
        <v>32</v>
      </c>
      <c r="G29" s="45">
        <v>0</v>
      </c>
      <c r="H29" s="131">
        <f>IF(B$17=0,0,G29/B$17)</f>
        <v>0</v>
      </c>
      <c r="I29" s="92">
        <v>1</v>
      </c>
      <c r="K29" s="36">
        <v>27</v>
      </c>
      <c r="L29" s="97">
        <v>236.69999999999996</v>
      </c>
    </row>
    <row r="30" spans="1:17" x14ac:dyDescent="0.4">
      <c r="E30" s="61" t="s">
        <v>81</v>
      </c>
      <c r="F30" s="58" t="s">
        <v>36</v>
      </c>
      <c r="G30" s="45">
        <v>0</v>
      </c>
      <c r="H30" s="131">
        <f>IF(B$17=0,0,G30/B$17)</f>
        <v>0</v>
      </c>
      <c r="I30" s="92">
        <v>1</v>
      </c>
      <c r="K30" s="36">
        <v>28</v>
      </c>
      <c r="L30" s="97">
        <v>191.39999999999998</v>
      </c>
    </row>
    <row r="31" spans="1:17" x14ac:dyDescent="0.4">
      <c r="E31" s="61" t="s">
        <v>83</v>
      </c>
      <c r="F31" s="58" t="s">
        <v>38</v>
      </c>
      <c r="G31" s="45">
        <v>0</v>
      </c>
      <c r="H31" s="131">
        <f>IF(B$17=0,0,G31/B$17)</f>
        <v>0</v>
      </c>
      <c r="I31" s="92">
        <v>1</v>
      </c>
      <c r="K31" s="36">
        <v>29</v>
      </c>
      <c r="L31" s="97">
        <v>182.49999999999997</v>
      </c>
    </row>
    <row r="32" spans="1:17" x14ac:dyDescent="0.4">
      <c r="E32" s="61" t="s">
        <v>86</v>
      </c>
      <c r="F32" s="58" t="s">
        <v>41</v>
      </c>
      <c r="G32" s="45">
        <v>0</v>
      </c>
      <c r="H32" s="131">
        <f>IF(B$17=0,0,G32/B$17)</f>
        <v>0</v>
      </c>
      <c r="I32" s="92">
        <v>5</v>
      </c>
      <c r="K32" s="36">
        <v>30</v>
      </c>
      <c r="L32" s="97">
        <v>178.99999999999997</v>
      </c>
    </row>
    <row r="33" spans="5:12" x14ac:dyDescent="0.4">
      <c r="E33" s="61" t="s">
        <v>88</v>
      </c>
      <c r="F33" s="58" t="s">
        <v>43</v>
      </c>
      <c r="G33" s="45">
        <v>0</v>
      </c>
      <c r="H33" s="131">
        <f>IF(B$17=0,0,G33/B$17)</f>
        <v>0</v>
      </c>
      <c r="I33" s="92">
        <v>7</v>
      </c>
      <c r="K33" s="36">
        <v>31</v>
      </c>
      <c r="L33" s="97">
        <v>186.99999999999997</v>
      </c>
    </row>
    <row r="34" spans="5:12" x14ac:dyDescent="0.4">
      <c r="E34" s="61" t="s">
        <v>91</v>
      </c>
      <c r="F34" s="58" t="s">
        <v>46</v>
      </c>
      <c r="G34" s="45">
        <v>0</v>
      </c>
      <c r="H34" s="131">
        <f>IF(B$17=0,0,G34/B$17)</f>
        <v>0</v>
      </c>
      <c r="I34" s="92">
        <v>5</v>
      </c>
      <c r="K34" s="36">
        <v>32</v>
      </c>
      <c r="L34" s="97">
        <v>241.49999999999997</v>
      </c>
    </row>
    <row r="35" spans="5:12" x14ac:dyDescent="0.4">
      <c r="E35" s="61" t="s">
        <v>95</v>
      </c>
      <c r="F35" s="58" t="s">
        <v>50</v>
      </c>
      <c r="G35" s="45">
        <v>0</v>
      </c>
      <c r="H35" s="131">
        <f>IF(B$17=0,0,G35/B$17)</f>
        <v>0</v>
      </c>
      <c r="I35" s="92">
        <v>1</v>
      </c>
      <c r="K35" s="36">
        <v>33</v>
      </c>
      <c r="L35" s="97">
        <v>230.89999999999998</v>
      </c>
    </row>
    <row r="36" spans="5:12" x14ac:dyDescent="0.4">
      <c r="E36" s="61" t="s">
        <v>97</v>
      </c>
      <c r="F36" s="58" t="s">
        <v>52</v>
      </c>
      <c r="G36" s="45">
        <v>0</v>
      </c>
      <c r="H36" s="131">
        <f>IF(B$17=0,0,G36/B$17)</f>
        <v>0</v>
      </c>
      <c r="I36" s="92">
        <v>1</v>
      </c>
      <c r="K36" s="36">
        <v>34</v>
      </c>
      <c r="L36" s="97">
        <v>235.49999999999997</v>
      </c>
    </row>
    <row r="37" spans="5:12" x14ac:dyDescent="0.4">
      <c r="E37" s="61" t="s">
        <v>98</v>
      </c>
      <c r="F37" s="58" t="s">
        <v>53</v>
      </c>
      <c r="G37" s="45">
        <v>0</v>
      </c>
      <c r="H37" s="131">
        <f>IF(B$17=0,0,G37/B$17)</f>
        <v>0</v>
      </c>
      <c r="I37" s="92">
        <v>3</v>
      </c>
      <c r="K37" s="36">
        <v>35</v>
      </c>
      <c r="L37" s="97">
        <v>232.99999999999997</v>
      </c>
    </row>
    <row r="38" spans="5:12" x14ac:dyDescent="0.4">
      <c r="E38" s="61" t="s">
        <v>99</v>
      </c>
      <c r="F38" s="58" t="s">
        <v>54</v>
      </c>
      <c r="G38" s="45">
        <v>0</v>
      </c>
      <c r="H38" s="131">
        <f>IF(B$17=0,0,G38/B$17)</f>
        <v>0</v>
      </c>
      <c r="I38" s="92">
        <v>1</v>
      </c>
      <c r="K38" s="36">
        <v>36</v>
      </c>
      <c r="L38" s="97">
        <v>176.99999999999997</v>
      </c>
    </row>
    <row r="39" spans="5:12" x14ac:dyDescent="0.4">
      <c r="E39" s="61" t="s">
        <v>100</v>
      </c>
      <c r="F39" s="58" t="s">
        <v>55</v>
      </c>
      <c r="G39" s="45">
        <v>0</v>
      </c>
      <c r="H39" s="131">
        <f>IF(B$17=0,0,G39/B$17)</f>
        <v>0</v>
      </c>
      <c r="I39" s="92">
        <v>1</v>
      </c>
      <c r="K39" s="36">
        <v>37</v>
      </c>
      <c r="L39" s="97">
        <v>189.39999999999998</v>
      </c>
    </row>
    <row r="40" spans="5:12" x14ac:dyDescent="0.4">
      <c r="E40" s="61" t="s">
        <v>101</v>
      </c>
      <c r="F40" s="58" t="s">
        <v>56</v>
      </c>
      <c r="G40" s="45">
        <v>0</v>
      </c>
      <c r="H40" s="131">
        <f>IF(B$17=0,0,G40/B$17)</f>
        <v>0</v>
      </c>
      <c r="I40" s="92">
        <v>1</v>
      </c>
      <c r="K40" s="36">
        <v>38</v>
      </c>
      <c r="L40" s="97">
        <v>129.09999999999997</v>
      </c>
    </row>
    <row r="41" spans="5:12" x14ac:dyDescent="0.4">
      <c r="E41" s="61" t="s">
        <v>102</v>
      </c>
      <c r="F41" s="58" t="s">
        <v>57</v>
      </c>
      <c r="G41" s="45">
        <v>0</v>
      </c>
      <c r="H41" s="131">
        <f>IF(B$17=0,0,G41/B$17)</f>
        <v>0</v>
      </c>
      <c r="I41" s="92">
        <v>3</v>
      </c>
      <c r="K41" s="36">
        <v>39</v>
      </c>
      <c r="L41" s="97">
        <v>127.59999999999997</v>
      </c>
    </row>
    <row r="42" spans="5:12" x14ac:dyDescent="0.4">
      <c r="E42" s="61" t="s">
        <v>103</v>
      </c>
      <c r="F42" s="58" t="s">
        <v>58</v>
      </c>
      <c r="G42" s="45">
        <v>0</v>
      </c>
      <c r="H42" s="131">
        <f>IF(B$17=0,0,G42/B$17)</f>
        <v>0</v>
      </c>
      <c r="I42" s="92">
        <v>1</v>
      </c>
      <c r="K42" s="36">
        <v>40</v>
      </c>
      <c r="L42" s="97">
        <v>174.99999999999997</v>
      </c>
    </row>
    <row r="43" spans="5:12" x14ac:dyDescent="0.4">
      <c r="E43" s="61" t="s">
        <v>104</v>
      </c>
      <c r="F43" s="58" t="s">
        <v>59</v>
      </c>
      <c r="G43" s="45">
        <v>0</v>
      </c>
      <c r="H43" s="131">
        <f>IF(B$17=0,0,G43/B$17)</f>
        <v>0</v>
      </c>
      <c r="I43" s="92">
        <v>1</v>
      </c>
      <c r="K43" s="36">
        <v>41</v>
      </c>
      <c r="L43" s="97">
        <v>248.59999999999997</v>
      </c>
    </row>
    <row r="44" spans="5:12" x14ac:dyDescent="0.4">
      <c r="E44" s="61" t="s">
        <v>105</v>
      </c>
      <c r="F44" s="58" t="s">
        <v>60</v>
      </c>
      <c r="G44" s="45">
        <v>0</v>
      </c>
      <c r="H44" s="131">
        <f>IF(B$17=0,0,G44/B$17)</f>
        <v>0</v>
      </c>
      <c r="I44" s="92">
        <v>1</v>
      </c>
      <c r="K44" s="36">
        <v>42</v>
      </c>
      <c r="L44" s="97">
        <v>214.99999999999997</v>
      </c>
    </row>
    <row r="45" spans="5:12" x14ac:dyDescent="0.4">
      <c r="E45" s="61" t="s">
        <v>106</v>
      </c>
      <c r="F45" s="58" t="s">
        <v>113</v>
      </c>
      <c r="G45" s="45">
        <v>0</v>
      </c>
      <c r="H45" s="131">
        <f>IF(B$17=0,0,G45/B$17)</f>
        <v>0</v>
      </c>
      <c r="I45" s="92">
        <v>1</v>
      </c>
      <c r="K45" s="36">
        <v>43</v>
      </c>
      <c r="L45" s="97">
        <v>230.09999999999997</v>
      </c>
    </row>
    <row r="46" spans="5:12" x14ac:dyDescent="0.4">
      <c r="E46" s="61" t="s">
        <v>107</v>
      </c>
      <c r="F46" s="58" t="s">
        <v>114</v>
      </c>
      <c r="G46" s="45">
        <v>0</v>
      </c>
      <c r="H46" s="131">
        <f>IF(B$17=0,0,G46/B$17)</f>
        <v>0</v>
      </c>
      <c r="I46" s="92">
        <v>3</v>
      </c>
      <c r="K46" s="36">
        <v>44</v>
      </c>
      <c r="L46" s="97">
        <v>169.19999999999996</v>
      </c>
    </row>
    <row r="47" spans="5:12" x14ac:dyDescent="0.4">
      <c r="E47" s="61" t="s">
        <v>108</v>
      </c>
      <c r="F47" s="58" t="s">
        <v>115</v>
      </c>
      <c r="G47" s="45">
        <v>0</v>
      </c>
      <c r="H47" s="131">
        <f>IF(B$17=0,0,G47/B$17)</f>
        <v>0</v>
      </c>
      <c r="I47" s="92">
        <v>1</v>
      </c>
      <c r="K47" s="36">
        <v>45</v>
      </c>
      <c r="L47" s="97">
        <v>111.49999999999996</v>
      </c>
    </row>
    <row r="48" spans="5:12" x14ac:dyDescent="0.4">
      <c r="E48" s="61" t="s">
        <v>109</v>
      </c>
      <c r="F48" s="58" t="s">
        <v>61</v>
      </c>
      <c r="G48" s="45">
        <v>0</v>
      </c>
      <c r="H48" s="131">
        <f>IF(B$17=0,0,G48/B$17)</f>
        <v>0</v>
      </c>
      <c r="I48" s="92">
        <v>1</v>
      </c>
      <c r="K48" s="36">
        <v>46</v>
      </c>
      <c r="L48" s="97">
        <v>55.999999999999957</v>
      </c>
    </row>
    <row r="49" spans="5:12" x14ac:dyDescent="0.4">
      <c r="E49" s="61" t="s">
        <v>110</v>
      </c>
      <c r="F49" s="58" t="s">
        <v>62</v>
      </c>
      <c r="G49" s="45">
        <v>0</v>
      </c>
      <c r="H49" s="131">
        <f>IF(B$17=0,0,G49/B$17)</f>
        <v>0</v>
      </c>
      <c r="I49" s="92">
        <v>1</v>
      </c>
      <c r="K49" s="36">
        <v>47</v>
      </c>
      <c r="L49" s="97">
        <v>-3.9000000000000412</v>
      </c>
    </row>
    <row r="50" spans="5:12" x14ac:dyDescent="0.4">
      <c r="E50" s="61" t="s">
        <v>111</v>
      </c>
      <c r="F50" s="58" t="s">
        <v>63</v>
      </c>
      <c r="G50" s="45">
        <v>0</v>
      </c>
      <c r="H50" s="131">
        <f>IF(B$17=0,0,G50/B$17)</f>
        <v>0</v>
      </c>
      <c r="I50" s="92">
        <v>1</v>
      </c>
      <c r="K50" s="36">
        <v>48</v>
      </c>
      <c r="L50" s="97">
        <v>50.599999999999959</v>
      </c>
    </row>
    <row r="51" spans="5:12" x14ac:dyDescent="0.4">
      <c r="E51" s="134" t="s">
        <v>112</v>
      </c>
      <c r="F51" s="135" t="s">
        <v>64</v>
      </c>
      <c r="G51" s="46">
        <v>0</v>
      </c>
      <c r="H51" s="136">
        <f>IF(B$17=0,0,G51/B$17)</f>
        <v>0</v>
      </c>
      <c r="I51" s="137">
        <v>1</v>
      </c>
      <c r="K51" s="36">
        <v>49</v>
      </c>
      <c r="L51" s="97">
        <v>-4.8000000000000398</v>
      </c>
    </row>
    <row r="52" spans="5:12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  <c r="K52" s="36">
        <v>50</v>
      </c>
      <c r="L52" s="97">
        <v>-0.70000000000004015</v>
      </c>
    </row>
    <row r="53" spans="5:12" x14ac:dyDescent="0.4">
      <c r="K53" s="36">
        <v>51</v>
      </c>
      <c r="L53" s="97">
        <v>-29.30000000000004</v>
      </c>
    </row>
    <row r="54" spans="5:12" x14ac:dyDescent="0.4">
      <c r="K54" s="36">
        <v>52</v>
      </c>
      <c r="L54" s="97">
        <v>-55.600000000000037</v>
      </c>
    </row>
    <row r="55" spans="5:12" x14ac:dyDescent="0.4">
      <c r="K55" s="36">
        <v>53</v>
      </c>
      <c r="L55" s="97">
        <v>-95.100000000000037</v>
      </c>
    </row>
    <row r="56" spans="5:12" x14ac:dyDescent="0.4">
      <c r="K56" s="36">
        <v>54</v>
      </c>
      <c r="L56" s="97">
        <v>-91.000000000000043</v>
      </c>
    </row>
    <row r="57" spans="5:12" x14ac:dyDescent="0.4">
      <c r="K57" s="36">
        <v>55</v>
      </c>
      <c r="L57" s="97">
        <v>-12.000000000000043</v>
      </c>
    </row>
    <row r="58" spans="5:12" x14ac:dyDescent="0.4">
      <c r="K58" s="36">
        <v>56</v>
      </c>
      <c r="L58" s="97">
        <v>-46.000000000000043</v>
      </c>
    </row>
    <row r="59" spans="5:12" x14ac:dyDescent="0.4">
      <c r="K59" s="36">
        <v>57</v>
      </c>
      <c r="L59" s="97">
        <v>-59.000000000000043</v>
      </c>
    </row>
    <row r="60" spans="5:12" x14ac:dyDescent="0.4">
      <c r="K60" s="36">
        <v>58</v>
      </c>
      <c r="L60" s="97">
        <v>-62.100000000000044</v>
      </c>
    </row>
    <row r="61" spans="5:12" x14ac:dyDescent="0.4">
      <c r="K61" s="36">
        <v>59</v>
      </c>
      <c r="L61" s="97">
        <v>-56.700000000000045</v>
      </c>
    </row>
    <row r="62" spans="5:12" x14ac:dyDescent="0.4">
      <c r="K62" s="36">
        <v>60</v>
      </c>
      <c r="L62" s="97">
        <v>-117.90000000000005</v>
      </c>
    </row>
    <row r="63" spans="5:12" x14ac:dyDescent="0.4">
      <c r="K63" s="36">
        <v>61</v>
      </c>
      <c r="L63" s="97">
        <v>-89.600000000000051</v>
      </c>
    </row>
    <row r="64" spans="5:12" x14ac:dyDescent="0.4">
      <c r="K64" s="36">
        <v>62</v>
      </c>
      <c r="L64" s="97">
        <v>-97.200000000000045</v>
      </c>
    </row>
    <row r="65" spans="11:12" x14ac:dyDescent="0.4">
      <c r="K65" s="36">
        <v>63</v>
      </c>
      <c r="L65" s="97">
        <v>-144.20000000000005</v>
      </c>
    </row>
    <row r="66" spans="11:12" x14ac:dyDescent="0.4">
      <c r="K66" s="36">
        <v>64</v>
      </c>
      <c r="L66" s="97">
        <v>-141.30000000000004</v>
      </c>
    </row>
    <row r="67" spans="11:12" x14ac:dyDescent="0.4">
      <c r="K67" s="36">
        <v>65</v>
      </c>
      <c r="L67" s="97">
        <v>-111.00000000000004</v>
      </c>
    </row>
    <row r="68" spans="11:12" x14ac:dyDescent="0.4">
      <c r="K68" s="36">
        <v>66</v>
      </c>
      <c r="L68" s="97">
        <v>-116.50000000000004</v>
      </c>
    </row>
    <row r="69" spans="11:12" x14ac:dyDescent="0.4">
      <c r="K69" s="36">
        <v>67</v>
      </c>
      <c r="L69" s="97">
        <v>-149.40000000000003</v>
      </c>
    </row>
    <row r="70" spans="11:12" x14ac:dyDescent="0.4">
      <c r="K70" s="36">
        <v>68</v>
      </c>
      <c r="L70" s="97">
        <v>-104.30000000000004</v>
      </c>
    </row>
    <row r="71" spans="11:12" x14ac:dyDescent="0.4">
      <c r="K71" s="36">
        <v>69</v>
      </c>
      <c r="L71" s="97">
        <v>-58.900000000000041</v>
      </c>
    </row>
    <row r="72" spans="11:12" x14ac:dyDescent="0.4">
      <c r="K72" s="36">
        <v>70</v>
      </c>
      <c r="L72" s="97">
        <v>-117.60000000000005</v>
      </c>
    </row>
    <row r="73" spans="11:12" x14ac:dyDescent="0.4">
      <c r="K73" s="36">
        <v>71</v>
      </c>
      <c r="L73" s="97">
        <v>-110.90000000000005</v>
      </c>
    </row>
    <row r="74" spans="11:12" x14ac:dyDescent="0.4">
      <c r="K74" s="36">
        <v>72</v>
      </c>
      <c r="L74" s="97">
        <v>-104.80000000000005</v>
      </c>
    </row>
    <row r="75" spans="11:12" x14ac:dyDescent="0.4">
      <c r="K75" s="36">
        <v>73</v>
      </c>
      <c r="L75" s="97">
        <v>-157.60000000000005</v>
      </c>
    </row>
    <row r="76" spans="11:12" x14ac:dyDescent="0.4">
      <c r="K76" s="36">
        <v>74</v>
      </c>
      <c r="L76" s="97">
        <v>-75.300000000000054</v>
      </c>
    </row>
    <row r="77" spans="11:12" x14ac:dyDescent="0.4">
      <c r="K77" s="36">
        <v>75</v>
      </c>
      <c r="L77" s="97">
        <v>-52.900000000000055</v>
      </c>
    </row>
    <row r="78" spans="11:12" x14ac:dyDescent="0.4">
      <c r="K78" s="36">
        <v>76</v>
      </c>
      <c r="L78" s="97">
        <v>-77.500000000000057</v>
      </c>
    </row>
    <row r="79" spans="11:12" x14ac:dyDescent="0.4">
      <c r="K79" s="36">
        <v>77</v>
      </c>
      <c r="L79" s="97">
        <v>-82.800000000000054</v>
      </c>
    </row>
    <row r="80" spans="11:12" x14ac:dyDescent="0.4">
      <c r="K80" s="36">
        <v>78</v>
      </c>
      <c r="L80" s="97">
        <v>-95.400000000000048</v>
      </c>
    </row>
    <row r="81" spans="11:12" x14ac:dyDescent="0.4">
      <c r="K81" s="36">
        <v>79</v>
      </c>
      <c r="L81" s="97">
        <v>-29.200000000000045</v>
      </c>
    </row>
    <row r="82" spans="11:12" x14ac:dyDescent="0.4">
      <c r="K82" s="36">
        <v>80</v>
      </c>
      <c r="L82" s="97">
        <v>-64.80000000000004</v>
      </c>
    </row>
    <row r="83" spans="11:12" x14ac:dyDescent="0.4">
      <c r="K83" s="36">
        <v>81</v>
      </c>
      <c r="L83" s="97">
        <v>-101.60000000000004</v>
      </c>
    </row>
    <row r="84" spans="11:12" x14ac:dyDescent="0.4">
      <c r="K84" s="36">
        <v>82</v>
      </c>
      <c r="L84" s="97">
        <v>-91.600000000000037</v>
      </c>
    </row>
    <row r="85" spans="11:12" x14ac:dyDescent="0.4">
      <c r="K85" s="36">
        <v>83</v>
      </c>
      <c r="L85" s="97">
        <v>-49.100000000000037</v>
      </c>
    </row>
    <row r="86" spans="11:12" x14ac:dyDescent="0.4">
      <c r="K86" s="36">
        <v>84</v>
      </c>
      <c r="L86" s="97">
        <v>-56.100000000000037</v>
      </c>
    </row>
    <row r="87" spans="11:12" x14ac:dyDescent="0.4">
      <c r="K87" s="36">
        <v>85</v>
      </c>
      <c r="L87" s="97">
        <v>-90.30000000000004</v>
      </c>
    </row>
    <row r="88" spans="11:12" x14ac:dyDescent="0.4">
      <c r="K88" s="36">
        <v>86</v>
      </c>
      <c r="L88" s="97">
        <v>-148.80000000000004</v>
      </c>
    </row>
    <row r="89" spans="11:12" x14ac:dyDescent="0.4">
      <c r="K89" s="36">
        <v>87</v>
      </c>
      <c r="L89" s="97">
        <v>-226.80000000000004</v>
      </c>
    </row>
    <row r="90" spans="11:12" x14ac:dyDescent="0.4">
      <c r="K90" s="36">
        <v>88</v>
      </c>
      <c r="L90" s="97">
        <v>-218.00000000000003</v>
      </c>
    </row>
    <row r="91" spans="11:12" x14ac:dyDescent="0.4">
      <c r="K91" s="36">
        <v>89</v>
      </c>
      <c r="L91" s="97">
        <v>-208.40000000000003</v>
      </c>
    </row>
    <row r="92" spans="11:12" x14ac:dyDescent="0.4">
      <c r="K92" s="36">
        <v>90</v>
      </c>
      <c r="L92" s="97">
        <v>-273.5</v>
      </c>
    </row>
    <row r="93" spans="11:12" x14ac:dyDescent="0.4">
      <c r="K93" s="36">
        <v>91</v>
      </c>
      <c r="L93" s="97">
        <v>-241.9</v>
      </c>
    </row>
    <row r="94" spans="11:12" x14ac:dyDescent="0.4">
      <c r="K94" s="36">
        <v>92</v>
      </c>
      <c r="L94" s="97">
        <v>-273.60000000000002</v>
      </c>
    </row>
    <row r="95" spans="11:12" x14ac:dyDescent="0.4">
      <c r="K95" s="36">
        <v>93</v>
      </c>
      <c r="L95" s="97">
        <v>-210.50000000000003</v>
      </c>
    </row>
    <row r="96" spans="11:12" x14ac:dyDescent="0.4">
      <c r="K96" s="36">
        <v>94</v>
      </c>
      <c r="L96" s="97">
        <v>-221.00000000000003</v>
      </c>
    </row>
    <row r="97" spans="11:12" x14ac:dyDescent="0.4">
      <c r="K97" s="36">
        <v>95</v>
      </c>
      <c r="L97" s="97">
        <v>-254.3</v>
      </c>
    </row>
    <row r="98" spans="11:12" x14ac:dyDescent="0.4">
      <c r="K98" s="36">
        <v>96</v>
      </c>
      <c r="L98" s="97">
        <v>-293.90000000000003</v>
      </c>
    </row>
    <row r="99" spans="11:12" x14ac:dyDescent="0.4">
      <c r="K99" s="36">
        <v>97</v>
      </c>
      <c r="L99" s="97">
        <v>-323.70000000000005</v>
      </c>
    </row>
    <row r="100" spans="11:12" x14ac:dyDescent="0.4">
      <c r="K100" s="36">
        <v>98</v>
      </c>
      <c r="L100" s="97">
        <v>-382.90000000000003</v>
      </c>
    </row>
    <row r="101" spans="11:12" x14ac:dyDescent="0.4">
      <c r="K101" s="36">
        <v>99</v>
      </c>
      <c r="L101" s="97">
        <v>-347.50000000000006</v>
      </c>
    </row>
    <row r="102" spans="11:12" x14ac:dyDescent="0.4">
      <c r="K102" s="36">
        <v>100</v>
      </c>
      <c r="L102" s="97">
        <v>-405.00000000000006</v>
      </c>
    </row>
    <row r="103" spans="11:12" x14ac:dyDescent="0.4">
      <c r="K103" s="36">
        <v>101</v>
      </c>
      <c r="L103" s="97">
        <v>-377.80000000000007</v>
      </c>
    </row>
    <row r="104" spans="11:12" x14ac:dyDescent="0.4">
      <c r="K104" s="36">
        <v>102</v>
      </c>
      <c r="L104" s="97">
        <v>-414.00000000000006</v>
      </c>
    </row>
    <row r="105" spans="11:12" x14ac:dyDescent="0.4">
      <c r="K105" s="36">
        <v>103</v>
      </c>
      <c r="L105" s="97">
        <v>-428.50000000000006</v>
      </c>
    </row>
    <row r="106" spans="11:12" x14ac:dyDescent="0.4">
      <c r="K106" s="36">
        <v>104</v>
      </c>
      <c r="L106" s="97">
        <v>-438.90000000000003</v>
      </c>
    </row>
    <row r="107" spans="11:12" x14ac:dyDescent="0.4">
      <c r="K107" s="36">
        <v>105</v>
      </c>
      <c r="L107" s="97">
        <v>-363.70000000000005</v>
      </c>
    </row>
    <row r="108" spans="11:12" x14ac:dyDescent="0.4">
      <c r="K108" s="36">
        <v>106</v>
      </c>
      <c r="L108" s="97">
        <v>-394.30000000000007</v>
      </c>
    </row>
    <row r="109" spans="11:12" x14ac:dyDescent="0.4">
      <c r="K109" s="36">
        <v>107</v>
      </c>
      <c r="L109" s="97">
        <v>-349.50000000000006</v>
      </c>
    </row>
    <row r="110" spans="11:12" x14ac:dyDescent="0.4">
      <c r="K110" s="36">
        <v>108</v>
      </c>
      <c r="L110" s="97">
        <v>-287.00000000000006</v>
      </c>
    </row>
    <row r="111" spans="11:12" x14ac:dyDescent="0.4">
      <c r="K111" s="36">
        <v>109</v>
      </c>
      <c r="L111" s="97">
        <v>-324.70000000000005</v>
      </c>
    </row>
    <row r="112" spans="11:12" x14ac:dyDescent="0.4">
      <c r="K112" s="36">
        <v>110</v>
      </c>
      <c r="L112" s="97">
        <v>-304.20000000000005</v>
      </c>
    </row>
    <row r="113" spans="11:12" x14ac:dyDescent="0.4">
      <c r="K113" s="36">
        <v>111</v>
      </c>
      <c r="L113" s="97">
        <v>-296.80000000000007</v>
      </c>
    </row>
    <row r="114" spans="11:12" x14ac:dyDescent="0.4">
      <c r="K114" s="36">
        <v>112</v>
      </c>
      <c r="L114" s="97">
        <v>-307.60000000000008</v>
      </c>
    </row>
    <row r="115" spans="11:12" x14ac:dyDescent="0.4">
      <c r="K115" s="36">
        <v>113</v>
      </c>
      <c r="L115" s="97">
        <v>-323.7000000000001</v>
      </c>
    </row>
    <row r="116" spans="11:12" x14ac:dyDescent="0.4">
      <c r="K116" s="36">
        <v>114</v>
      </c>
      <c r="L116" s="97">
        <v>-248.90000000000009</v>
      </c>
    </row>
    <row r="117" spans="11:12" x14ac:dyDescent="0.4">
      <c r="K117" s="36">
        <v>115</v>
      </c>
      <c r="L117" s="97">
        <v>-327.60000000000008</v>
      </c>
    </row>
    <row r="118" spans="11:12" x14ac:dyDescent="0.4">
      <c r="K118" s="36">
        <v>116</v>
      </c>
      <c r="L118" s="97">
        <v>-316.00000000000006</v>
      </c>
    </row>
    <row r="119" spans="11:12" x14ac:dyDescent="0.4">
      <c r="K119" s="36">
        <v>117</v>
      </c>
      <c r="L119" s="97">
        <v>-313.40000000000003</v>
      </c>
    </row>
    <row r="120" spans="11:12" x14ac:dyDescent="0.4">
      <c r="K120" s="36">
        <v>118</v>
      </c>
      <c r="L120" s="97">
        <v>-324.50000000000006</v>
      </c>
    </row>
    <row r="121" spans="11:12" x14ac:dyDescent="0.4">
      <c r="K121" s="36">
        <v>119</v>
      </c>
      <c r="L121" s="97">
        <v>-346.70000000000005</v>
      </c>
    </row>
    <row r="122" spans="11:12" x14ac:dyDescent="0.4">
      <c r="K122" s="36">
        <v>120</v>
      </c>
      <c r="L122" s="97">
        <v>-371.00000000000006</v>
      </c>
    </row>
    <row r="123" spans="11:12" x14ac:dyDescent="0.4">
      <c r="K123" s="36">
        <v>121</v>
      </c>
      <c r="L123" s="97">
        <v>-422.10000000000008</v>
      </c>
    </row>
    <row r="124" spans="11:12" x14ac:dyDescent="0.4">
      <c r="K124" s="36">
        <v>122</v>
      </c>
      <c r="L124" s="97">
        <v>-478.00000000000006</v>
      </c>
    </row>
    <row r="125" spans="11:12" x14ac:dyDescent="0.4">
      <c r="K125" s="36">
        <v>123</v>
      </c>
      <c r="L125" s="97">
        <v>-426.70000000000005</v>
      </c>
    </row>
    <row r="126" spans="11:12" x14ac:dyDescent="0.4">
      <c r="K126" s="36">
        <v>124</v>
      </c>
      <c r="L126" s="97">
        <v>-484.40000000000003</v>
      </c>
    </row>
    <row r="127" spans="11:12" x14ac:dyDescent="0.4">
      <c r="K127" s="36">
        <v>125</v>
      </c>
      <c r="L127" s="97">
        <v>-449.70000000000005</v>
      </c>
    </row>
    <row r="128" spans="11:12" x14ac:dyDescent="0.4">
      <c r="K128" s="36">
        <v>126</v>
      </c>
      <c r="L128" s="97">
        <v>-438.1</v>
      </c>
    </row>
    <row r="129" spans="11:12" x14ac:dyDescent="0.4">
      <c r="K129" s="36">
        <v>127</v>
      </c>
      <c r="L129" s="97">
        <v>-345.5</v>
      </c>
    </row>
    <row r="130" spans="11:12" x14ac:dyDescent="0.4">
      <c r="K130" s="36">
        <v>128</v>
      </c>
      <c r="L130" s="97">
        <v>-355.2</v>
      </c>
    </row>
    <row r="131" spans="11:12" x14ac:dyDescent="0.4">
      <c r="K131" s="36">
        <v>129</v>
      </c>
      <c r="L131" s="97">
        <v>-310.2</v>
      </c>
    </row>
    <row r="132" spans="11:12" x14ac:dyDescent="0.4">
      <c r="K132" s="36">
        <v>130</v>
      </c>
      <c r="L132" s="97">
        <v>-321</v>
      </c>
    </row>
    <row r="133" spans="11:12" x14ac:dyDescent="0.4">
      <c r="K133" s="36">
        <v>131</v>
      </c>
      <c r="L133" s="97">
        <v>-323.3</v>
      </c>
    </row>
    <row r="134" spans="11:12" x14ac:dyDescent="0.4">
      <c r="K134" s="36">
        <v>132</v>
      </c>
      <c r="L134" s="97">
        <v>-347.8</v>
      </c>
    </row>
    <row r="135" spans="11:12" x14ac:dyDescent="0.4">
      <c r="K135" s="36">
        <v>133</v>
      </c>
      <c r="L135" s="97">
        <v>-403.7</v>
      </c>
    </row>
    <row r="136" spans="11:12" x14ac:dyDescent="0.4">
      <c r="K136" s="36">
        <v>134</v>
      </c>
      <c r="L136" s="97">
        <v>-341.2</v>
      </c>
    </row>
    <row r="137" spans="11:12" x14ac:dyDescent="0.4">
      <c r="K137" s="36">
        <v>135</v>
      </c>
      <c r="L137" s="97">
        <v>-373.3</v>
      </c>
    </row>
    <row r="138" spans="11:12" x14ac:dyDescent="0.4">
      <c r="K138" s="36">
        <v>136</v>
      </c>
      <c r="L138" s="97">
        <v>-380.7</v>
      </c>
    </row>
    <row r="139" spans="11:12" x14ac:dyDescent="0.4">
      <c r="K139" s="36">
        <v>137</v>
      </c>
      <c r="L139" s="97">
        <v>-440.2</v>
      </c>
    </row>
    <row r="140" spans="11:12" x14ac:dyDescent="0.4">
      <c r="K140" s="36">
        <v>138</v>
      </c>
      <c r="L140" s="97">
        <v>-381.4</v>
      </c>
    </row>
    <row r="141" spans="11:12" x14ac:dyDescent="0.4">
      <c r="K141" s="36">
        <v>139</v>
      </c>
      <c r="L141" s="97">
        <v>-417.4</v>
      </c>
    </row>
    <row r="142" spans="11:12" x14ac:dyDescent="0.4">
      <c r="K142" s="36">
        <v>140</v>
      </c>
      <c r="L142" s="97">
        <v>-421</v>
      </c>
    </row>
    <row r="143" spans="11:12" x14ac:dyDescent="0.4">
      <c r="K143" s="36">
        <v>141</v>
      </c>
      <c r="L143" s="97">
        <v>-393.5</v>
      </c>
    </row>
    <row r="144" spans="11:12" x14ac:dyDescent="0.4">
      <c r="K144" s="36">
        <v>142</v>
      </c>
      <c r="L144" s="97">
        <v>-360.1</v>
      </c>
    </row>
    <row r="145" spans="11:12" x14ac:dyDescent="0.4">
      <c r="K145" s="36">
        <v>143</v>
      </c>
      <c r="L145" s="97">
        <v>-367.70000000000005</v>
      </c>
    </row>
    <row r="146" spans="11:12" x14ac:dyDescent="0.4">
      <c r="K146" s="36">
        <v>144</v>
      </c>
      <c r="L146" s="97">
        <v>-324.00000000000006</v>
      </c>
    </row>
    <row r="147" spans="11:12" x14ac:dyDescent="0.4">
      <c r="K147" s="36">
        <v>145</v>
      </c>
      <c r="L147" s="97">
        <v>-324.50000000000006</v>
      </c>
    </row>
    <row r="148" spans="11:12" x14ac:dyDescent="0.4">
      <c r="K148" s="36">
        <v>146</v>
      </c>
      <c r="L148" s="97">
        <v>-357.30000000000007</v>
      </c>
    </row>
    <row r="149" spans="11:12" x14ac:dyDescent="0.4">
      <c r="K149" s="36">
        <v>147</v>
      </c>
      <c r="L149" s="97">
        <v>-359.10000000000008</v>
      </c>
    </row>
    <row r="150" spans="11:12" x14ac:dyDescent="0.4">
      <c r="K150" s="36">
        <v>148</v>
      </c>
      <c r="L150" s="97">
        <v>-415.90000000000009</v>
      </c>
    </row>
    <row r="151" spans="11:12" x14ac:dyDescent="0.4">
      <c r="K151" s="36">
        <v>149</v>
      </c>
      <c r="L151" s="97">
        <v>-448.40000000000009</v>
      </c>
    </row>
    <row r="152" spans="11:12" x14ac:dyDescent="0.4">
      <c r="K152" s="36">
        <v>150</v>
      </c>
      <c r="L152" s="97">
        <v>-461.10000000000008</v>
      </c>
    </row>
    <row r="153" spans="11:12" x14ac:dyDescent="0.4">
      <c r="K153" s="36">
        <v>151</v>
      </c>
      <c r="L153" s="97">
        <v>-504.2000000000001</v>
      </c>
    </row>
    <row r="154" spans="11:12" x14ac:dyDescent="0.4">
      <c r="K154" s="36">
        <v>152</v>
      </c>
      <c r="L154" s="97">
        <v>-477.7000000000001</v>
      </c>
    </row>
    <row r="155" spans="11:12" x14ac:dyDescent="0.4">
      <c r="K155" s="36">
        <v>153</v>
      </c>
      <c r="L155" s="97">
        <v>-436.90000000000009</v>
      </c>
    </row>
    <row r="156" spans="11:12" x14ac:dyDescent="0.4">
      <c r="K156" s="36">
        <v>154</v>
      </c>
      <c r="L156" s="97">
        <v>-439.90000000000009</v>
      </c>
    </row>
    <row r="157" spans="11:12" x14ac:dyDescent="0.4">
      <c r="K157" s="36">
        <v>155</v>
      </c>
      <c r="L157" s="97">
        <v>-381.10000000000008</v>
      </c>
    </row>
    <row r="158" spans="11:12" x14ac:dyDescent="0.4">
      <c r="K158" s="36">
        <v>156</v>
      </c>
      <c r="L158" s="97">
        <v>-372.50000000000006</v>
      </c>
    </row>
    <row r="159" spans="11:12" x14ac:dyDescent="0.4">
      <c r="K159" s="36">
        <v>157</v>
      </c>
      <c r="L159" s="97">
        <v>-408.20000000000005</v>
      </c>
    </row>
    <row r="160" spans="11:12" x14ac:dyDescent="0.4">
      <c r="K160" s="36">
        <v>158</v>
      </c>
      <c r="L160" s="97">
        <v>-403.00000000000006</v>
      </c>
    </row>
    <row r="161" spans="11:12" x14ac:dyDescent="0.4">
      <c r="K161" s="36">
        <v>159</v>
      </c>
      <c r="L161" s="97">
        <v>-410.40000000000003</v>
      </c>
    </row>
    <row r="162" spans="11:12" x14ac:dyDescent="0.4">
      <c r="K162" s="36">
        <v>160</v>
      </c>
      <c r="L162" s="97">
        <v>-362.40000000000003</v>
      </c>
    </row>
    <row r="163" spans="11:12" x14ac:dyDescent="0.4">
      <c r="K163" s="36">
        <v>161</v>
      </c>
      <c r="L163" s="97">
        <v>-435</v>
      </c>
    </row>
    <row r="164" spans="11:12" x14ac:dyDescent="0.4">
      <c r="K164" s="36">
        <v>162</v>
      </c>
      <c r="L164" s="97">
        <v>-490.8</v>
      </c>
    </row>
    <row r="165" spans="11:12" x14ac:dyDescent="0.4">
      <c r="K165" s="36">
        <v>163</v>
      </c>
      <c r="L165" s="97">
        <v>-539.20000000000005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5C8E3-2AAD-4494-B65E-4D887616D4F4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129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179</v>
      </c>
      <c r="C2" s="149"/>
      <c r="E2" s="60" t="s">
        <v>67</v>
      </c>
      <c r="F2" s="57" t="s">
        <v>23</v>
      </c>
      <c r="G2" s="44">
        <v>335</v>
      </c>
      <c r="H2" s="130">
        <f>IF(B$17=0,0,G2/B$17)</f>
        <v>0.80335731414868106</v>
      </c>
      <c r="I2" s="91">
        <v>4</v>
      </c>
      <c r="K2" s="34">
        <v>0</v>
      </c>
      <c r="L2" s="96">
        <v>0</v>
      </c>
      <c r="N2" s="112" t="s">
        <v>132</v>
      </c>
      <c r="O2" s="119">
        <f t="shared" ref="O2:O7" si="0">IF(P2=0,0,Q2/P2)</f>
        <v>-1697.1910112359551</v>
      </c>
      <c r="P2" s="116">
        <v>178</v>
      </c>
      <c r="Q2" s="100">
        <v>-302100</v>
      </c>
    </row>
    <row r="3" spans="1:17" x14ac:dyDescent="0.4">
      <c r="A3" s="53" t="s">
        <v>8</v>
      </c>
      <c r="B3" s="150">
        <v>1508</v>
      </c>
      <c r="C3" s="151"/>
      <c r="E3" s="61" t="s">
        <v>65</v>
      </c>
      <c r="F3" s="58" t="s">
        <v>21</v>
      </c>
      <c r="G3" s="45">
        <v>191</v>
      </c>
      <c r="H3" s="131">
        <f>IF(B$17=0,0,G3/B$17)</f>
        <v>0.45803357314148679</v>
      </c>
      <c r="I3" s="92">
        <v>10</v>
      </c>
      <c r="K3" s="36">
        <v>1</v>
      </c>
      <c r="L3" s="97">
        <v>-40.4</v>
      </c>
      <c r="N3" s="113" t="s">
        <v>133</v>
      </c>
      <c r="O3" s="120">
        <f t="shared" si="0"/>
        <v>-1649.4252873563219</v>
      </c>
      <c r="P3" s="117">
        <v>174</v>
      </c>
      <c r="Q3" s="101">
        <v>-287000</v>
      </c>
    </row>
    <row r="4" spans="1:17" x14ac:dyDescent="0.4">
      <c r="A4" s="53" t="s">
        <v>6</v>
      </c>
      <c r="B4" s="152">
        <v>-1205.5000000000002</v>
      </c>
      <c r="C4" s="153"/>
      <c r="E4" s="61" t="s">
        <v>73</v>
      </c>
      <c r="F4" s="58" t="s">
        <v>28</v>
      </c>
      <c r="G4" s="45">
        <v>190</v>
      </c>
      <c r="H4" s="131">
        <f>IF(B$17=0,0,G4/B$17)</f>
        <v>0.45563549160671463</v>
      </c>
      <c r="I4" s="92">
        <v>12</v>
      </c>
      <c r="K4" s="36">
        <v>2</v>
      </c>
      <c r="L4" s="97">
        <v>-3.3999999999999986</v>
      </c>
      <c r="N4" s="113" t="s">
        <v>134</v>
      </c>
      <c r="O4" s="120">
        <f t="shared" si="0"/>
        <v>1036.1445783132531</v>
      </c>
      <c r="P4" s="117">
        <v>166</v>
      </c>
      <c r="Q4" s="101">
        <v>172000</v>
      </c>
    </row>
    <row r="5" spans="1:17" x14ac:dyDescent="0.4">
      <c r="A5" s="53" t="s">
        <v>7</v>
      </c>
      <c r="B5" s="154">
        <f>IF(B$2=0,0,B$4/B$2)</f>
        <v>-6.7346368715083811</v>
      </c>
      <c r="C5" s="155"/>
      <c r="E5" s="61" t="s">
        <v>245</v>
      </c>
      <c r="F5" s="58" t="s">
        <v>246</v>
      </c>
      <c r="G5" s="45">
        <v>160</v>
      </c>
      <c r="H5" s="131">
        <f>IF(B$17=0,0,G5/B$17)</f>
        <v>0.38369304556354916</v>
      </c>
      <c r="I5" s="92">
        <v>10</v>
      </c>
      <c r="K5" s="36">
        <v>3</v>
      </c>
      <c r="L5" s="97">
        <v>-23.099999999999998</v>
      </c>
      <c r="N5" s="113" t="s">
        <v>135</v>
      </c>
      <c r="O5" s="120">
        <f t="shared" si="0"/>
        <v>-2514.6666666666665</v>
      </c>
      <c r="P5" s="117">
        <v>150</v>
      </c>
      <c r="Q5" s="101">
        <v>-377200</v>
      </c>
    </row>
    <row r="6" spans="1:17" x14ac:dyDescent="0.4">
      <c r="A6" s="53" t="s">
        <v>1</v>
      </c>
      <c r="B6" s="144">
        <f>IF(B$2=0,0,(B$7*1+B$8*2+B$9*3)/B$2)</f>
        <v>2.1061452513966481</v>
      </c>
      <c r="C6" s="145"/>
      <c r="E6" s="61" t="s">
        <v>69</v>
      </c>
      <c r="F6" s="58" t="s">
        <v>12</v>
      </c>
      <c r="G6" s="45">
        <v>136</v>
      </c>
      <c r="H6" s="131">
        <f>IF(B$17=0,0,G6/B$17)</f>
        <v>0.32613908872901681</v>
      </c>
      <c r="I6" s="92">
        <v>5</v>
      </c>
      <c r="K6" s="36">
        <v>4</v>
      </c>
      <c r="L6" s="97">
        <v>-31.4</v>
      </c>
      <c r="N6" s="113" t="s">
        <v>136</v>
      </c>
      <c r="O6" s="120">
        <f t="shared" si="0"/>
        <v>147.40740740740742</v>
      </c>
      <c r="P6" s="117">
        <v>135</v>
      </c>
      <c r="Q6" s="101">
        <v>19900</v>
      </c>
    </row>
    <row r="7" spans="1:17" x14ac:dyDescent="0.4">
      <c r="A7" s="53" t="s">
        <v>2</v>
      </c>
      <c r="B7" s="45">
        <v>54</v>
      </c>
      <c r="C7" s="37">
        <f t="shared" ref="C7:C12" si="1">IF(B$2=0,0,B7/B$2)</f>
        <v>0.3016759776536313</v>
      </c>
      <c r="E7" s="61" t="s">
        <v>68</v>
      </c>
      <c r="F7" s="58" t="s">
        <v>24</v>
      </c>
      <c r="G7" s="45">
        <v>103</v>
      </c>
      <c r="H7" s="131">
        <f>IF(B$17=0,0,G7/B$17)</f>
        <v>0.24700239808153476</v>
      </c>
      <c r="I7" s="92">
        <v>10</v>
      </c>
      <c r="K7" s="36">
        <v>5</v>
      </c>
      <c r="L7" s="97">
        <v>-32.199999999999996</v>
      </c>
      <c r="N7" s="114" t="s">
        <v>137</v>
      </c>
      <c r="O7" s="121">
        <f t="shared" si="0"/>
        <v>-552.54237288135596</v>
      </c>
      <c r="P7" s="118">
        <v>118</v>
      </c>
      <c r="Q7" s="102">
        <v>-65200</v>
      </c>
    </row>
    <row r="8" spans="1:17" x14ac:dyDescent="0.4">
      <c r="A8" s="53" t="s">
        <v>3</v>
      </c>
      <c r="B8" s="45">
        <v>52</v>
      </c>
      <c r="C8" s="37">
        <f t="shared" si="1"/>
        <v>0.29050279329608941</v>
      </c>
      <c r="E8" s="61" t="s">
        <v>70</v>
      </c>
      <c r="F8" s="58" t="s">
        <v>25</v>
      </c>
      <c r="G8" s="45">
        <v>61</v>
      </c>
      <c r="H8" s="131">
        <f>IF(B$17=0,0,G8/B$17)</f>
        <v>0.14628297362110312</v>
      </c>
      <c r="I8" s="92">
        <v>10</v>
      </c>
      <c r="K8" s="36">
        <v>6</v>
      </c>
      <c r="L8" s="97">
        <v>-58.5</v>
      </c>
      <c r="N8" s="41"/>
      <c r="O8" s="125"/>
      <c r="P8" s="109"/>
      <c r="Q8" s="107"/>
    </row>
    <row r="9" spans="1:17" x14ac:dyDescent="0.4">
      <c r="A9" s="54" t="s">
        <v>4</v>
      </c>
      <c r="B9" s="46">
        <v>73</v>
      </c>
      <c r="C9" s="38">
        <f t="shared" si="1"/>
        <v>0.40782122905027934</v>
      </c>
      <c r="E9" s="61" t="s">
        <v>71</v>
      </c>
      <c r="F9" s="58" t="s">
        <v>26</v>
      </c>
      <c r="G9" s="45">
        <v>61</v>
      </c>
      <c r="H9" s="131">
        <f>IF(B$17=0,0,G9/B$17)</f>
        <v>0.14628297362110312</v>
      </c>
      <c r="I9" s="92">
        <v>2</v>
      </c>
      <c r="K9" s="36">
        <v>7</v>
      </c>
      <c r="L9" s="97">
        <v>-116.8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25</v>
      </c>
      <c r="C10" s="38">
        <f t="shared" si="1"/>
        <v>0.13966480446927373</v>
      </c>
      <c r="E10" s="61" t="s">
        <v>90</v>
      </c>
      <c r="F10" s="58" t="s">
        <v>45</v>
      </c>
      <c r="G10" s="45">
        <v>49</v>
      </c>
      <c r="H10" s="131">
        <f>IF(B$17=0,0,G10/B$17)</f>
        <v>0.11750599520383694</v>
      </c>
      <c r="I10" s="92">
        <v>8</v>
      </c>
      <c r="K10" s="36">
        <v>8</v>
      </c>
      <c r="L10" s="97">
        <v>-79.599999999999994</v>
      </c>
      <c r="N10" s="112" t="s">
        <v>164</v>
      </c>
      <c r="O10" s="122">
        <f>IF(P10=0,0,Q10/P10)</f>
        <v>-12.033999999999994</v>
      </c>
      <c r="P10" s="116">
        <v>50</v>
      </c>
      <c r="Q10" s="104">
        <v>-601.6999999999997</v>
      </c>
    </row>
    <row r="11" spans="1:17" x14ac:dyDescent="0.4">
      <c r="A11" s="54" t="s">
        <v>140</v>
      </c>
      <c r="B11" s="46">
        <v>19</v>
      </c>
      <c r="C11" s="38">
        <f t="shared" si="1"/>
        <v>0.10614525139664804</v>
      </c>
      <c r="E11" s="61" t="s">
        <v>72</v>
      </c>
      <c r="F11" s="58" t="s">
        <v>27</v>
      </c>
      <c r="G11" s="45">
        <v>41</v>
      </c>
      <c r="H11" s="131">
        <f>IF(B$17=0,0,G11/B$17)</f>
        <v>9.8321342925659472E-2</v>
      </c>
      <c r="I11" s="92">
        <v>3</v>
      </c>
      <c r="K11" s="36">
        <v>9</v>
      </c>
      <c r="L11" s="97">
        <v>-127.6</v>
      </c>
      <c r="N11" s="113" t="s">
        <v>165</v>
      </c>
      <c r="O11" s="123">
        <f>IF(P11=0,0,Q11/P11)</f>
        <v>-4.5333333333333359</v>
      </c>
      <c r="P11" s="117">
        <v>63</v>
      </c>
      <c r="Q11" s="105">
        <v>-285.60000000000014</v>
      </c>
    </row>
    <row r="12" spans="1:17" x14ac:dyDescent="0.4">
      <c r="A12" s="55" t="s">
        <v>160</v>
      </c>
      <c r="B12" s="47">
        <v>17</v>
      </c>
      <c r="C12" s="40">
        <f t="shared" si="1"/>
        <v>9.4972067039106142E-2</v>
      </c>
      <c r="E12" s="61" t="s">
        <v>66</v>
      </c>
      <c r="F12" s="58" t="s">
        <v>22</v>
      </c>
      <c r="G12" s="45">
        <v>36</v>
      </c>
      <c r="H12" s="131">
        <f>IF(B$17=0,0,G12/B$17)</f>
        <v>8.6330935251798566E-2</v>
      </c>
      <c r="I12" s="92">
        <v>9</v>
      </c>
      <c r="K12" s="36">
        <v>10</v>
      </c>
      <c r="L12" s="97">
        <v>-231.39999999999998</v>
      </c>
      <c r="N12" s="114" t="s">
        <v>166</v>
      </c>
      <c r="O12" s="124">
        <f>IF(P12=0,0,Q12/P12)</f>
        <v>-4.8212121212121186</v>
      </c>
      <c r="P12" s="118">
        <v>66</v>
      </c>
      <c r="Q12" s="106">
        <v>-318.19999999999982</v>
      </c>
    </row>
    <row r="13" spans="1:17" x14ac:dyDescent="0.4">
      <c r="A13" s="56" t="s">
        <v>122</v>
      </c>
      <c r="B13" s="48">
        <v>370</v>
      </c>
      <c r="C13" s="42">
        <f>IF(B$3=0,0,B13/B$3)</f>
        <v>0.24535809018567639</v>
      </c>
      <c r="E13" s="61" t="s">
        <v>87</v>
      </c>
      <c r="F13" s="58" t="s">
        <v>42</v>
      </c>
      <c r="G13" s="45">
        <v>22</v>
      </c>
      <c r="H13" s="131">
        <f>IF(B$17=0,0,G13/B$17)</f>
        <v>5.2757793764988008E-2</v>
      </c>
      <c r="I13" s="92">
        <v>10</v>
      </c>
      <c r="K13" s="36">
        <v>11</v>
      </c>
      <c r="L13" s="97">
        <v>-305.89999999999998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305</v>
      </c>
      <c r="C14" s="37">
        <f>IF(B$3=0,0,B14/B$3)</f>
        <v>0.20225464190981432</v>
      </c>
      <c r="E14" s="61" t="s">
        <v>84</v>
      </c>
      <c r="F14" s="58" t="s">
        <v>39</v>
      </c>
      <c r="G14" s="45">
        <v>16</v>
      </c>
      <c r="H14" s="131">
        <f>IF(B$17=0,0,G14/B$17)</f>
        <v>3.8369304556354913E-2</v>
      </c>
      <c r="I14" s="92">
        <v>11</v>
      </c>
      <c r="K14" s="36">
        <v>12</v>
      </c>
      <c r="L14" s="97">
        <v>-337.5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200</v>
      </c>
      <c r="C15" s="35">
        <f>IF(B$13=0,0,B15/B$13)</f>
        <v>0.54054054054054057</v>
      </c>
      <c r="E15" s="61" t="s">
        <v>79</v>
      </c>
      <c r="F15" s="58" t="s">
        <v>34</v>
      </c>
      <c r="G15" s="45">
        <v>12</v>
      </c>
      <c r="H15" s="131">
        <f>IF(B$17=0,0,G15/B$17)</f>
        <v>2.8776978417266189E-2</v>
      </c>
      <c r="I15" s="92">
        <v>6</v>
      </c>
      <c r="K15" s="36">
        <v>13</v>
      </c>
      <c r="L15" s="97">
        <v>-369.1</v>
      </c>
      <c r="N15" s="112" t="s">
        <v>223</v>
      </c>
      <c r="O15" s="122">
        <f>IF(P15=0,0,Q15/P15)</f>
        <v>42.5</v>
      </c>
      <c r="P15" s="116">
        <v>4</v>
      </c>
      <c r="Q15" s="104">
        <v>170</v>
      </c>
    </row>
    <row r="16" spans="1:17" x14ac:dyDescent="0.4">
      <c r="A16" s="52" t="s">
        <v>125</v>
      </c>
      <c r="B16" s="44">
        <v>109</v>
      </c>
      <c r="C16" s="35">
        <f>IF(B$14=0,0,B16/B$14)</f>
        <v>0.35737704918032787</v>
      </c>
      <c r="E16" s="61" t="s">
        <v>82</v>
      </c>
      <c r="F16" s="58" t="s">
        <v>37</v>
      </c>
      <c r="G16" s="45">
        <v>11</v>
      </c>
      <c r="H16" s="131">
        <f>IF(B$17=0,0,G16/B$17)</f>
        <v>2.6378896882494004E-2</v>
      </c>
      <c r="I16" s="92">
        <v>6</v>
      </c>
      <c r="K16" s="36">
        <v>14</v>
      </c>
      <c r="L16" s="97">
        <v>-394.6</v>
      </c>
      <c r="N16" s="113" t="s">
        <v>271</v>
      </c>
      <c r="O16" s="123">
        <f>IF(P16=0,0,Q16/P16)</f>
        <v>38.15</v>
      </c>
      <c r="P16" s="117">
        <v>6</v>
      </c>
      <c r="Q16" s="105">
        <v>228.89999999999998</v>
      </c>
    </row>
    <row r="17" spans="1:17" x14ac:dyDescent="0.4">
      <c r="A17" s="52" t="s">
        <v>10</v>
      </c>
      <c r="B17" s="44">
        <f>B19+B18</f>
        <v>417</v>
      </c>
      <c r="C17" s="35">
        <f>IF(B$3=0,0,B17/B$3)</f>
        <v>0.27652519893899202</v>
      </c>
      <c r="E17" s="61" t="s">
        <v>78</v>
      </c>
      <c r="F17" s="58" t="s">
        <v>33</v>
      </c>
      <c r="G17" s="45">
        <v>6</v>
      </c>
      <c r="H17" s="131">
        <f>IF(B$17=0,0,G17/B$17)</f>
        <v>1.4388489208633094E-2</v>
      </c>
      <c r="I17" s="92">
        <v>2</v>
      </c>
      <c r="K17" s="36">
        <v>15</v>
      </c>
      <c r="L17" s="97">
        <v>-424.5</v>
      </c>
      <c r="N17" s="113" t="s">
        <v>200</v>
      </c>
      <c r="O17" s="123">
        <f>IF(P17=0,0,Q17/P17)</f>
        <v>36.200000000000003</v>
      </c>
      <c r="P17" s="117">
        <v>6</v>
      </c>
      <c r="Q17" s="105">
        <v>217.20000000000002</v>
      </c>
    </row>
    <row r="18" spans="1:17" x14ac:dyDescent="0.4">
      <c r="A18" s="53" t="s">
        <v>12</v>
      </c>
      <c r="B18" s="45">
        <v>174</v>
      </c>
      <c r="C18" s="37">
        <f>IF(B$17=0,0,B18/B$17)</f>
        <v>0.41726618705035973</v>
      </c>
      <c r="E18" s="61" t="s">
        <v>80</v>
      </c>
      <c r="F18" s="58" t="s">
        <v>35</v>
      </c>
      <c r="G18" s="45">
        <v>6</v>
      </c>
      <c r="H18" s="131">
        <f>IF(B$17=0,0,G18/B$17)</f>
        <v>1.4388489208633094E-2</v>
      </c>
      <c r="I18" s="92">
        <v>10</v>
      </c>
      <c r="K18" s="36">
        <v>16</v>
      </c>
      <c r="L18" s="97">
        <v>-472</v>
      </c>
      <c r="N18" s="113" t="s">
        <v>301</v>
      </c>
      <c r="O18" s="123">
        <f>IF(P18=0,0,Q18/P18)</f>
        <v>5.75</v>
      </c>
      <c r="P18" s="117">
        <v>4</v>
      </c>
      <c r="Q18" s="105">
        <v>23</v>
      </c>
    </row>
    <row r="19" spans="1:17" x14ac:dyDescent="0.4">
      <c r="A19" s="53" t="s">
        <v>11</v>
      </c>
      <c r="B19" s="45">
        <v>243</v>
      </c>
      <c r="C19" s="37">
        <f>IF(B$17=0,0,B19/B$17)</f>
        <v>0.58273381294964033</v>
      </c>
      <c r="E19" s="61" t="s">
        <v>92</v>
      </c>
      <c r="F19" s="58" t="s">
        <v>47</v>
      </c>
      <c r="G19" s="45">
        <v>5</v>
      </c>
      <c r="H19" s="131">
        <f>IF(B$17=0,0,G19/B$17)</f>
        <v>1.1990407673860911E-2</v>
      </c>
      <c r="I19" s="92">
        <v>9</v>
      </c>
      <c r="K19" s="36">
        <v>17</v>
      </c>
      <c r="L19" s="97">
        <v>-538.29999999999995</v>
      </c>
      <c r="N19" s="113" t="s">
        <v>177</v>
      </c>
      <c r="O19" s="123">
        <f>IF(P19=0,0,Q19/P19)</f>
        <v>0.19666666666666779</v>
      </c>
      <c r="P19" s="117">
        <v>60</v>
      </c>
      <c r="Q19" s="105">
        <v>11.800000000000068</v>
      </c>
    </row>
    <row r="20" spans="1:17" x14ac:dyDescent="0.4">
      <c r="A20" s="53" t="s">
        <v>13</v>
      </c>
      <c r="B20" s="45">
        <v>260</v>
      </c>
      <c r="C20" s="37">
        <f>IF(B$3=0,0,B20/B$3)</f>
        <v>0.17241379310344829</v>
      </c>
      <c r="E20" s="61" t="s">
        <v>75</v>
      </c>
      <c r="F20" s="58" t="s">
        <v>30</v>
      </c>
      <c r="G20" s="45">
        <v>3</v>
      </c>
      <c r="H20" s="131">
        <f>IF(B$17=0,0,G20/B$17)</f>
        <v>7.1942446043165471E-3</v>
      </c>
      <c r="I20" s="92">
        <v>3</v>
      </c>
      <c r="K20" s="36">
        <v>18</v>
      </c>
      <c r="L20" s="97">
        <v>-537.19999999999993</v>
      </c>
      <c r="N20" s="113" t="s">
        <v>173</v>
      </c>
      <c r="O20" s="123">
        <f>IF(P20=0,0,Q20/P20)</f>
        <v>-1.1117647058823463</v>
      </c>
      <c r="P20" s="117">
        <v>17</v>
      </c>
      <c r="Q20" s="105">
        <v>-18.899999999999888</v>
      </c>
    </row>
    <row r="21" spans="1:17" x14ac:dyDescent="0.4">
      <c r="A21" s="53" t="s">
        <v>191</v>
      </c>
      <c r="B21" s="45">
        <v>5</v>
      </c>
      <c r="C21" s="133">
        <v>0</v>
      </c>
      <c r="E21" s="61" t="s">
        <v>76</v>
      </c>
      <c r="F21" s="58" t="s">
        <v>31</v>
      </c>
      <c r="G21" s="45">
        <v>3</v>
      </c>
      <c r="H21" s="131">
        <f>IF(B$17=0,0,G21/B$17)</f>
        <v>7.1942446043165471E-3</v>
      </c>
      <c r="I21" s="92">
        <v>5</v>
      </c>
      <c r="K21" s="36">
        <v>19</v>
      </c>
      <c r="L21" s="97">
        <v>-569.49999999999989</v>
      </c>
      <c r="N21" s="113" t="s">
        <v>128</v>
      </c>
      <c r="O21" s="123">
        <f>IF(P21=0,0,Q21/P21)</f>
        <v>-2.8089552238805964</v>
      </c>
      <c r="P21" s="117">
        <v>67</v>
      </c>
      <c r="Q21" s="105">
        <v>-188.19999999999996</v>
      </c>
    </row>
    <row r="22" spans="1:17" x14ac:dyDescent="0.4">
      <c r="A22" s="53" t="s">
        <v>192</v>
      </c>
      <c r="B22" s="45">
        <v>39</v>
      </c>
      <c r="C22" s="133">
        <v>4</v>
      </c>
      <c r="E22" s="61" t="s">
        <v>88</v>
      </c>
      <c r="F22" s="58" t="s">
        <v>43</v>
      </c>
      <c r="G22" s="45">
        <v>3</v>
      </c>
      <c r="H22" s="131">
        <f>IF(B$17=0,0,G22/B$17)</f>
        <v>7.1942446043165471E-3</v>
      </c>
      <c r="I22" s="92">
        <v>1</v>
      </c>
      <c r="K22" s="36">
        <v>20</v>
      </c>
      <c r="L22" s="97">
        <v>-632.99999999999989</v>
      </c>
      <c r="N22" s="113" t="s">
        <v>171</v>
      </c>
      <c r="O22" s="123">
        <f>IF(P22=0,0,Q22/P22)</f>
        <v>-16.480952380952374</v>
      </c>
      <c r="P22" s="117">
        <v>42</v>
      </c>
      <c r="Q22" s="105">
        <v>-692.1999999999997</v>
      </c>
    </row>
    <row r="23" spans="1:17" x14ac:dyDescent="0.4">
      <c r="A23" s="53" t="s">
        <v>5</v>
      </c>
      <c r="B23" s="49">
        <f>IF(B$17=0,0,C23/B$17)</f>
        <v>8105.035971223022</v>
      </c>
      <c r="C23" s="39">
        <v>3379800</v>
      </c>
      <c r="E23" s="61" t="s">
        <v>85</v>
      </c>
      <c r="F23" s="58" t="s">
        <v>40</v>
      </c>
      <c r="G23" s="45">
        <v>2</v>
      </c>
      <c r="H23" s="131">
        <f>IF(B$17=0,0,G23/B$17)</f>
        <v>4.7961630695443642E-3</v>
      </c>
      <c r="I23" s="92">
        <v>2</v>
      </c>
      <c r="K23" s="36">
        <v>21</v>
      </c>
      <c r="L23" s="97">
        <v>-629.49999999999989</v>
      </c>
      <c r="N23" s="113" t="s">
        <v>172</v>
      </c>
      <c r="O23" s="123">
        <f>IF(P23=0,0,Q23/P23)</f>
        <v>-21.449999999999996</v>
      </c>
      <c r="P23" s="117">
        <v>38</v>
      </c>
      <c r="Q23" s="105">
        <v>-815.0999999999998</v>
      </c>
    </row>
    <row r="24" spans="1:17" x14ac:dyDescent="0.4">
      <c r="A24" s="53" t="s">
        <v>14</v>
      </c>
      <c r="B24" s="49">
        <f>IF(B$20=0,0,C24/B$20)</f>
        <v>-8398.8461538461543</v>
      </c>
      <c r="C24" s="39">
        <v>-2183700</v>
      </c>
      <c r="E24" s="61" t="s">
        <v>94</v>
      </c>
      <c r="F24" s="58" t="s">
        <v>49</v>
      </c>
      <c r="G24" s="45">
        <v>2</v>
      </c>
      <c r="H24" s="131">
        <f>IF(B$17=0,0,G24/B$17)</f>
        <v>4.7961630695443642E-3</v>
      </c>
      <c r="I24" s="92">
        <v>1</v>
      </c>
      <c r="K24" s="36">
        <v>22</v>
      </c>
      <c r="L24" s="97">
        <v>-670.19999999999993</v>
      </c>
      <c r="N24" s="113" t="s">
        <v>127</v>
      </c>
      <c r="O24" s="123">
        <f>IF(P24=0,0,Q24/P24)</f>
        <v>-21.925000000000015</v>
      </c>
      <c r="P24" s="117">
        <v>108</v>
      </c>
      <c r="Q24" s="105">
        <v>-2367.9000000000015</v>
      </c>
    </row>
    <row r="25" spans="1:17" x14ac:dyDescent="0.4">
      <c r="A25" s="53" t="s">
        <v>305</v>
      </c>
      <c r="B25" s="49">
        <f>IF($B$17-B$16=0,0,C25/($B$17-B$16))</f>
        <v>8624.3506493506502</v>
      </c>
      <c r="C25" s="39">
        <v>2656300</v>
      </c>
      <c r="E25" s="61" t="s">
        <v>180</v>
      </c>
      <c r="F25" s="58" t="s">
        <v>181</v>
      </c>
      <c r="G25" s="45">
        <v>2</v>
      </c>
      <c r="H25" s="131">
        <f>IF(B$17=0,0,G25/B$17)</f>
        <v>4.7961630695443642E-3</v>
      </c>
      <c r="I25" s="92">
        <v>7</v>
      </c>
      <c r="K25" s="36">
        <v>23</v>
      </c>
      <c r="L25" s="97">
        <v>-737.19999999999993</v>
      </c>
      <c r="N25" s="113" t="s">
        <v>184</v>
      </c>
      <c r="O25" s="123">
        <f>IF(P25=0,0,Q25/P25)</f>
        <v>-30.849999999999998</v>
      </c>
      <c r="P25" s="117">
        <v>6</v>
      </c>
      <c r="Q25" s="105">
        <v>-185.1</v>
      </c>
    </row>
    <row r="26" spans="1:17" x14ac:dyDescent="0.4">
      <c r="A26" s="55" t="s">
        <v>304</v>
      </c>
      <c r="B26" s="50">
        <f>IF(B$16=0,0,C26/B$16)</f>
        <v>6637.6146788990827</v>
      </c>
      <c r="C26" s="43">
        <v>723500</v>
      </c>
      <c r="E26" s="61" t="s">
        <v>74</v>
      </c>
      <c r="F26" s="58" t="s">
        <v>29</v>
      </c>
      <c r="G26" s="45">
        <v>1</v>
      </c>
      <c r="H26" s="131">
        <f>IF(B$17=0,0,G26/B$17)</f>
        <v>2.3980815347721821E-3</v>
      </c>
      <c r="I26" s="92">
        <v>8</v>
      </c>
      <c r="K26" s="36">
        <v>24</v>
      </c>
      <c r="L26" s="97">
        <v>-817.09999999999991</v>
      </c>
    </row>
    <row r="27" spans="1:17" x14ac:dyDescent="0.4">
      <c r="A27" s="88" t="s">
        <v>142</v>
      </c>
      <c r="B27" s="142">
        <v>7</v>
      </c>
      <c r="C27" s="143"/>
      <c r="E27" s="61" t="s">
        <v>86</v>
      </c>
      <c r="F27" s="58" t="s">
        <v>41</v>
      </c>
      <c r="G27" s="45">
        <v>1</v>
      </c>
      <c r="H27" s="131">
        <f>IF(B$17=0,0,G27/B$17)</f>
        <v>2.3980815347721821E-3</v>
      </c>
      <c r="I27" s="92">
        <v>4</v>
      </c>
      <c r="K27" s="36">
        <v>25</v>
      </c>
      <c r="L27" s="97">
        <v>-783.69999999999993</v>
      </c>
    </row>
    <row r="28" spans="1:17" x14ac:dyDescent="0.4">
      <c r="A28" s="56" t="s">
        <v>152</v>
      </c>
      <c r="B28" s="140">
        <v>96900</v>
      </c>
      <c r="C28" s="141"/>
      <c r="E28" s="61" t="s">
        <v>89</v>
      </c>
      <c r="F28" s="58" t="s">
        <v>44</v>
      </c>
      <c r="G28" s="45">
        <v>1</v>
      </c>
      <c r="H28" s="131">
        <f>IF(B$17=0,0,G28/B$17)</f>
        <v>2.3980815347721821E-3</v>
      </c>
      <c r="I28" s="92">
        <v>3</v>
      </c>
      <c r="K28" s="36">
        <v>26</v>
      </c>
      <c r="L28" s="97">
        <v>-818.49999999999989</v>
      </c>
    </row>
    <row r="29" spans="1:17" x14ac:dyDescent="0.4">
      <c r="A29" s="55" t="s">
        <v>143</v>
      </c>
      <c r="B29" s="63">
        <v>3</v>
      </c>
      <c r="C29" s="40">
        <f>IF(B$3=0,0,B29/B$3)</f>
        <v>1.9893899204244032E-3</v>
      </c>
      <c r="E29" s="61" t="s">
        <v>93</v>
      </c>
      <c r="F29" s="58" t="s">
        <v>48</v>
      </c>
      <c r="G29" s="45">
        <v>1</v>
      </c>
      <c r="H29" s="131">
        <f>IF(B$17=0,0,G29/B$17)</f>
        <v>2.3980815347721821E-3</v>
      </c>
      <c r="I29" s="92">
        <v>6</v>
      </c>
      <c r="K29" s="36">
        <v>27</v>
      </c>
      <c r="L29" s="97">
        <v>-876.19999999999993</v>
      </c>
    </row>
    <row r="30" spans="1:17" x14ac:dyDescent="0.4">
      <c r="E30" s="61" t="s">
        <v>77</v>
      </c>
      <c r="F30" s="58" t="s">
        <v>32</v>
      </c>
      <c r="G30" s="45">
        <v>0</v>
      </c>
      <c r="H30" s="131">
        <f>IF(B$17=0,0,G30/B$17)</f>
        <v>0</v>
      </c>
      <c r="I30" s="92">
        <v>1</v>
      </c>
      <c r="K30" s="36">
        <v>28</v>
      </c>
      <c r="L30" s="97">
        <v>-931.09999999999991</v>
      </c>
    </row>
    <row r="31" spans="1:17" x14ac:dyDescent="0.4">
      <c r="E31" s="61" t="s">
        <v>81</v>
      </c>
      <c r="F31" s="58" t="s">
        <v>36</v>
      </c>
      <c r="G31" s="45">
        <v>0</v>
      </c>
      <c r="H31" s="131">
        <f>IF(B$17=0,0,G31/B$17)</f>
        <v>0</v>
      </c>
      <c r="I31" s="92">
        <v>1</v>
      </c>
      <c r="K31" s="36">
        <v>29</v>
      </c>
      <c r="L31" s="97">
        <v>-908.69999999999993</v>
      </c>
    </row>
    <row r="32" spans="1:17" x14ac:dyDescent="0.4">
      <c r="E32" s="61" t="s">
        <v>83</v>
      </c>
      <c r="F32" s="58" t="s">
        <v>38</v>
      </c>
      <c r="G32" s="45">
        <v>0</v>
      </c>
      <c r="H32" s="131">
        <f>IF(B$17=0,0,G32/B$17)</f>
        <v>0</v>
      </c>
      <c r="I32" s="92">
        <v>1</v>
      </c>
      <c r="K32" s="36">
        <v>30</v>
      </c>
      <c r="L32" s="97">
        <v>-826.8</v>
      </c>
    </row>
    <row r="33" spans="5:12" x14ac:dyDescent="0.4">
      <c r="E33" s="61" t="s">
        <v>91</v>
      </c>
      <c r="F33" s="58" t="s">
        <v>46</v>
      </c>
      <c r="G33" s="45">
        <v>0</v>
      </c>
      <c r="H33" s="131">
        <f>IF(B$17=0,0,G33/B$17)</f>
        <v>0</v>
      </c>
      <c r="I33" s="92">
        <v>5</v>
      </c>
      <c r="K33" s="36">
        <v>31</v>
      </c>
      <c r="L33" s="97">
        <v>-835.69999999999993</v>
      </c>
    </row>
    <row r="34" spans="5:12" x14ac:dyDescent="0.4">
      <c r="E34" s="61" t="s">
        <v>95</v>
      </c>
      <c r="F34" s="58" t="s">
        <v>50</v>
      </c>
      <c r="G34" s="45">
        <v>0</v>
      </c>
      <c r="H34" s="131">
        <f>IF(B$17=0,0,G34/B$17)</f>
        <v>0</v>
      </c>
      <c r="I34" s="92">
        <v>1</v>
      </c>
      <c r="K34" s="36">
        <v>32</v>
      </c>
      <c r="L34" s="97">
        <v>-838.69999999999993</v>
      </c>
    </row>
    <row r="35" spans="5:12" x14ac:dyDescent="0.4">
      <c r="E35" s="61" t="s">
        <v>96</v>
      </c>
      <c r="F35" s="58" t="s">
        <v>51</v>
      </c>
      <c r="G35" s="45">
        <v>0</v>
      </c>
      <c r="H35" s="131">
        <f>IF(B$17=0,0,G35/B$17)</f>
        <v>0</v>
      </c>
      <c r="I35" s="92">
        <v>4</v>
      </c>
      <c r="K35" s="36">
        <v>33</v>
      </c>
      <c r="L35" s="97">
        <v>-878.19999999999993</v>
      </c>
    </row>
    <row r="36" spans="5:12" x14ac:dyDescent="0.4">
      <c r="E36" s="61" t="s">
        <v>97</v>
      </c>
      <c r="F36" s="58" t="s">
        <v>52</v>
      </c>
      <c r="G36" s="45">
        <v>0</v>
      </c>
      <c r="H36" s="131">
        <f>IF(B$17=0,0,G36/B$17)</f>
        <v>0</v>
      </c>
      <c r="I36" s="92">
        <v>1</v>
      </c>
      <c r="K36" s="36">
        <v>34</v>
      </c>
      <c r="L36" s="97">
        <v>-833.19999999999993</v>
      </c>
    </row>
    <row r="37" spans="5:12" x14ac:dyDescent="0.4">
      <c r="E37" s="61" t="s">
        <v>98</v>
      </c>
      <c r="F37" s="58" t="s">
        <v>53</v>
      </c>
      <c r="G37" s="45">
        <v>0</v>
      </c>
      <c r="H37" s="131">
        <f>IF(B$17=0,0,G37/B$17)</f>
        <v>0</v>
      </c>
      <c r="I37" s="92">
        <v>3</v>
      </c>
      <c r="K37" s="36">
        <v>35</v>
      </c>
      <c r="L37" s="97">
        <v>-815.59999999999991</v>
      </c>
    </row>
    <row r="38" spans="5:12" x14ac:dyDescent="0.4">
      <c r="E38" s="61" t="s">
        <v>99</v>
      </c>
      <c r="F38" s="58" t="s">
        <v>54</v>
      </c>
      <c r="G38" s="45">
        <v>0</v>
      </c>
      <c r="H38" s="131">
        <f>IF(B$17=0,0,G38/B$17)</f>
        <v>0</v>
      </c>
      <c r="I38" s="92">
        <v>1</v>
      </c>
      <c r="K38" s="36">
        <v>36</v>
      </c>
      <c r="L38" s="97">
        <v>-783.49999999999989</v>
      </c>
    </row>
    <row r="39" spans="5:12" x14ac:dyDescent="0.4">
      <c r="E39" s="61" t="s">
        <v>100</v>
      </c>
      <c r="F39" s="58" t="s">
        <v>55</v>
      </c>
      <c r="G39" s="45">
        <v>0</v>
      </c>
      <c r="H39" s="131">
        <f>IF(B$17=0,0,G39/B$17)</f>
        <v>0</v>
      </c>
      <c r="I39" s="92">
        <v>1</v>
      </c>
      <c r="K39" s="36">
        <v>37</v>
      </c>
      <c r="L39" s="97">
        <v>-826.89999999999986</v>
      </c>
    </row>
    <row r="40" spans="5:12" x14ac:dyDescent="0.4">
      <c r="E40" s="61" t="s">
        <v>101</v>
      </c>
      <c r="F40" s="58" t="s">
        <v>56</v>
      </c>
      <c r="G40" s="45">
        <v>0</v>
      </c>
      <c r="H40" s="131">
        <f>IF(B$17=0,0,G40/B$17)</f>
        <v>0</v>
      </c>
      <c r="I40" s="92">
        <v>1</v>
      </c>
      <c r="K40" s="36">
        <v>38</v>
      </c>
      <c r="L40" s="97">
        <v>-829.99999999999989</v>
      </c>
    </row>
    <row r="41" spans="5:12" x14ac:dyDescent="0.4">
      <c r="E41" s="61" t="s">
        <v>102</v>
      </c>
      <c r="F41" s="58" t="s">
        <v>57</v>
      </c>
      <c r="G41" s="45">
        <v>0</v>
      </c>
      <c r="H41" s="131">
        <f>IF(B$17=0,0,G41/B$17)</f>
        <v>0</v>
      </c>
      <c r="I41" s="92">
        <v>3</v>
      </c>
      <c r="K41" s="36">
        <v>39</v>
      </c>
      <c r="L41" s="97">
        <v>-786.29999999999984</v>
      </c>
    </row>
    <row r="42" spans="5:12" x14ac:dyDescent="0.4">
      <c r="E42" s="61" t="s">
        <v>103</v>
      </c>
      <c r="F42" s="58" t="s">
        <v>58</v>
      </c>
      <c r="G42" s="45">
        <v>0</v>
      </c>
      <c r="H42" s="131">
        <f>IF(B$17=0,0,G42/B$17)</f>
        <v>0</v>
      </c>
      <c r="I42" s="92">
        <v>1</v>
      </c>
      <c r="K42" s="36">
        <v>40</v>
      </c>
      <c r="L42" s="97">
        <v>-820.5999999999998</v>
      </c>
    </row>
    <row r="43" spans="5:12" x14ac:dyDescent="0.4">
      <c r="E43" s="61" t="s">
        <v>104</v>
      </c>
      <c r="F43" s="58" t="s">
        <v>59</v>
      </c>
      <c r="G43" s="45">
        <v>0</v>
      </c>
      <c r="H43" s="131">
        <f>IF(B$17=0,0,G43/B$17)</f>
        <v>0</v>
      </c>
      <c r="I43" s="92">
        <v>1</v>
      </c>
      <c r="K43" s="36">
        <v>41</v>
      </c>
      <c r="L43" s="97">
        <v>-859.49999999999977</v>
      </c>
    </row>
    <row r="44" spans="5:12" x14ac:dyDescent="0.4">
      <c r="E44" s="61" t="s">
        <v>105</v>
      </c>
      <c r="F44" s="58" t="s">
        <v>60</v>
      </c>
      <c r="G44" s="45">
        <v>0</v>
      </c>
      <c r="H44" s="131">
        <f>IF(B$17=0,0,G44/B$17)</f>
        <v>0</v>
      </c>
      <c r="I44" s="92">
        <v>1</v>
      </c>
      <c r="K44" s="36">
        <v>42</v>
      </c>
      <c r="L44" s="97">
        <v>-828.89999999999975</v>
      </c>
    </row>
    <row r="45" spans="5:12" x14ac:dyDescent="0.4">
      <c r="E45" s="61" t="s">
        <v>106</v>
      </c>
      <c r="F45" s="58" t="s">
        <v>113</v>
      </c>
      <c r="G45" s="45">
        <v>0</v>
      </c>
      <c r="H45" s="131">
        <f>IF(B$17=0,0,G45/B$17)</f>
        <v>0</v>
      </c>
      <c r="I45" s="92">
        <v>1</v>
      </c>
      <c r="K45" s="36">
        <v>43</v>
      </c>
      <c r="L45" s="97">
        <v>-787.1999999999997</v>
      </c>
    </row>
    <row r="46" spans="5:12" x14ac:dyDescent="0.4">
      <c r="E46" s="61" t="s">
        <v>107</v>
      </c>
      <c r="F46" s="58" t="s">
        <v>114</v>
      </c>
      <c r="G46" s="45">
        <v>0</v>
      </c>
      <c r="H46" s="131">
        <f>IF(B$17=0,0,G46/B$17)</f>
        <v>0</v>
      </c>
      <c r="I46" s="92">
        <v>3</v>
      </c>
      <c r="K46" s="36">
        <v>44</v>
      </c>
      <c r="L46" s="97">
        <v>-744.79999999999973</v>
      </c>
    </row>
    <row r="47" spans="5:12" x14ac:dyDescent="0.4">
      <c r="E47" s="61" t="s">
        <v>108</v>
      </c>
      <c r="F47" s="58" t="s">
        <v>115</v>
      </c>
      <c r="G47" s="45">
        <v>0</v>
      </c>
      <c r="H47" s="131">
        <f>IF(B$17=0,0,G47/B$17)</f>
        <v>0</v>
      </c>
      <c r="I47" s="92">
        <v>1</v>
      </c>
      <c r="K47" s="36">
        <v>45</v>
      </c>
      <c r="L47" s="97">
        <v>-784.89999999999975</v>
      </c>
    </row>
    <row r="48" spans="5:12" x14ac:dyDescent="0.4">
      <c r="E48" s="61" t="s">
        <v>109</v>
      </c>
      <c r="F48" s="58" t="s">
        <v>61</v>
      </c>
      <c r="G48" s="45">
        <v>0</v>
      </c>
      <c r="H48" s="131">
        <f>IF(B$17=0,0,G48/B$17)</f>
        <v>0</v>
      </c>
      <c r="I48" s="92">
        <v>1</v>
      </c>
      <c r="K48" s="36">
        <v>46</v>
      </c>
      <c r="L48" s="97">
        <v>-738.89999999999975</v>
      </c>
    </row>
    <row r="49" spans="5:12" x14ac:dyDescent="0.4">
      <c r="E49" s="61" t="s">
        <v>110</v>
      </c>
      <c r="F49" s="58" t="s">
        <v>62</v>
      </c>
      <c r="G49" s="45">
        <v>0</v>
      </c>
      <c r="H49" s="131">
        <f>IF(B$17=0,0,G49/B$17)</f>
        <v>0</v>
      </c>
      <c r="I49" s="92">
        <v>1</v>
      </c>
      <c r="K49" s="36">
        <v>47</v>
      </c>
      <c r="L49" s="97">
        <v>-740.99999999999977</v>
      </c>
    </row>
    <row r="50" spans="5:12" x14ac:dyDescent="0.4">
      <c r="E50" s="61" t="s">
        <v>111</v>
      </c>
      <c r="F50" s="58" t="s">
        <v>63</v>
      </c>
      <c r="G50" s="45">
        <v>0</v>
      </c>
      <c r="H50" s="131">
        <f>IF(B$17=0,0,G50/B$17)</f>
        <v>0</v>
      </c>
      <c r="I50" s="92">
        <v>1</v>
      </c>
      <c r="K50" s="36">
        <v>48</v>
      </c>
      <c r="L50" s="97">
        <v>-699.39999999999975</v>
      </c>
    </row>
    <row r="51" spans="5:12" x14ac:dyDescent="0.4">
      <c r="E51" s="134" t="s">
        <v>112</v>
      </c>
      <c r="F51" s="135" t="s">
        <v>64</v>
      </c>
      <c r="G51" s="46">
        <v>0</v>
      </c>
      <c r="H51" s="136">
        <f>IF(B$17=0,0,G51/B$17)</f>
        <v>0</v>
      </c>
      <c r="I51" s="137">
        <v>1</v>
      </c>
      <c r="K51" s="36">
        <v>49</v>
      </c>
      <c r="L51" s="97">
        <v>-715.0999999999998</v>
      </c>
    </row>
    <row r="52" spans="5:12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  <c r="K52" s="36">
        <v>50</v>
      </c>
      <c r="L52" s="97">
        <v>-774.29999999999984</v>
      </c>
    </row>
    <row r="53" spans="5:12" x14ac:dyDescent="0.4">
      <c r="K53" s="36">
        <v>51</v>
      </c>
      <c r="L53" s="97">
        <v>-830.79999999999984</v>
      </c>
    </row>
    <row r="54" spans="5:12" x14ac:dyDescent="0.4">
      <c r="K54" s="36">
        <v>52</v>
      </c>
      <c r="L54" s="97">
        <v>-837.5999999999998</v>
      </c>
    </row>
    <row r="55" spans="5:12" x14ac:dyDescent="0.4">
      <c r="K55" s="36">
        <v>53</v>
      </c>
      <c r="L55" s="97">
        <v>-843.69999999999982</v>
      </c>
    </row>
    <row r="56" spans="5:12" x14ac:dyDescent="0.4">
      <c r="K56" s="36">
        <v>54</v>
      </c>
      <c r="L56" s="97">
        <v>-902.89999999999986</v>
      </c>
    </row>
    <row r="57" spans="5:12" x14ac:dyDescent="0.4">
      <c r="K57" s="36">
        <v>55</v>
      </c>
      <c r="L57" s="97">
        <v>-835.19999999999982</v>
      </c>
    </row>
    <row r="58" spans="5:12" x14ac:dyDescent="0.4">
      <c r="K58" s="36">
        <v>56</v>
      </c>
      <c r="L58" s="97">
        <v>-865.69999999999982</v>
      </c>
    </row>
    <row r="59" spans="5:12" x14ac:dyDescent="0.4">
      <c r="K59" s="36">
        <v>57</v>
      </c>
      <c r="L59" s="97">
        <v>-858.49999999999977</v>
      </c>
    </row>
    <row r="60" spans="5:12" x14ac:dyDescent="0.4">
      <c r="K60" s="36">
        <v>58</v>
      </c>
      <c r="L60" s="97">
        <v>-877.29999999999973</v>
      </c>
    </row>
    <row r="61" spans="5:12" x14ac:dyDescent="0.4">
      <c r="K61" s="36">
        <v>59</v>
      </c>
      <c r="L61" s="97">
        <v>-940.6999999999997</v>
      </c>
    </row>
    <row r="62" spans="5:12" x14ac:dyDescent="0.4">
      <c r="K62" s="36">
        <v>60</v>
      </c>
      <c r="L62" s="97">
        <v>-960.99999999999966</v>
      </c>
    </row>
    <row r="63" spans="5:12" x14ac:dyDescent="0.4">
      <c r="K63" s="36">
        <v>61</v>
      </c>
      <c r="L63" s="97">
        <v>-924.1999999999997</v>
      </c>
    </row>
    <row r="64" spans="5:12" x14ac:dyDescent="0.4">
      <c r="K64" s="36">
        <v>62</v>
      </c>
      <c r="L64" s="97">
        <v>-970.09999999999968</v>
      </c>
    </row>
    <row r="65" spans="11:12" x14ac:dyDescent="0.4">
      <c r="K65" s="36">
        <v>63</v>
      </c>
      <c r="L65" s="97">
        <v>-1013.0999999999997</v>
      </c>
    </row>
    <row r="66" spans="11:12" x14ac:dyDescent="0.4">
      <c r="K66" s="36">
        <v>64</v>
      </c>
      <c r="L66" s="97">
        <v>-1056.0999999999997</v>
      </c>
    </row>
    <row r="67" spans="11:12" x14ac:dyDescent="0.4">
      <c r="K67" s="36">
        <v>65</v>
      </c>
      <c r="L67" s="97">
        <v>-1083.0999999999997</v>
      </c>
    </row>
    <row r="68" spans="11:12" x14ac:dyDescent="0.4">
      <c r="K68" s="36">
        <v>66</v>
      </c>
      <c r="L68" s="97">
        <v>-1122.9999999999998</v>
      </c>
    </row>
    <row r="69" spans="11:12" x14ac:dyDescent="0.4">
      <c r="K69" s="36">
        <v>67</v>
      </c>
      <c r="L69" s="97">
        <v>-1123.7999999999997</v>
      </c>
    </row>
    <row r="70" spans="11:12" x14ac:dyDescent="0.4">
      <c r="K70" s="36">
        <v>68</v>
      </c>
      <c r="L70" s="97">
        <v>-1066.5999999999997</v>
      </c>
    </row>
    <row r="71" spans="11:12" x14ac:dyDescent="0.4">
      <c r="K71" s="36">
        <v>69</v>
      </c>
      <c r="L71" s="97">
        <v>-1115.2999999999997</v>
      </c>
    </row>
    <row r="72" spans="11:12" x14ac:dyDescent="0.4">
      <c r="K72" s="36">
        <v>70</v>
      </c>
      <c r="L72" s="97">
        <v>-1170.9999999999998</v>
      </c>
    </row>
    <row r="73" spans="11:12" x14ac:dyDescent="0.4">
      <c r="K73" s="36">
        <v>71</v>
      </c>
      <c r="L73" s="97">
        <v>-1130.3999999999999</v>
      </c>
    </row>
    <row r="74" spans="11:12" x14ac:dyDescent="0.4">
      <c r="K74" s="36">
        <v>72</v>
      </c>
      <c r="L74" s="97">
        <v>-1129.6999999999998</v>
      </c>
    </row>
    <row r="75" spans="11:12" x14ac:dyDescent="0.4">
      <c r="K75" s="36">
        <v>73</v>
      </c>
      <c r="L75" s="97">
        <v>-1091.5999999999999</v>
      </c>
    </row>
    <row r="76" spans="11:12" x14ac:dyDescent="0.4">
      <c r="K76" s="36">
        <v>74</v>
      </c>
      <c r="L76" s="97">
        <v>-1149.5999999999999</v>
      </c>
    </row>
    <row r="77" spans="11:12" x14ac:dyDescent="0.4">
      <c r="K77" s="36">
        <v>75</v>
      </c>
      <c r="L77" s="97">
        <v>-1147.8999999999999</v>
      </c>
    </row>
    <row r="78" spans="11:12" x14ac:dyDescent="0.4">
      <c r="K78" s="36">
        <v>76</v>
      </c>
      <c r="L78" s="97">
        <v>-1183.9999999999998</v>
      </c>
    </row>
    <row r="79" spans="11:12" x14ac:dyDescent="0.4">
      <c r="K79" s="36">
        <v>77</v>
      </c>
      <c r="L79" s="97">
        <v>-1135.9999999999998</v>
      </c>
    </row>
    <row r="80" spans="11:12" x14ac:dyDescent="0.4">
      <c r="K80" s="36">
        <v>78</v>
      </c>
      <c r="L80" s="97">
        <v>-1169.8999999999999</v>
      </c>
    </row>
    <row r="81" spans="11:12" x14ac:dyDescent="0.4">
      <c r="K81" s="36">
        <v>79</v>
      </c>
      <c r="L81" s="97">
        <v>-1226.5999999999999</v>
      </c>
    </row>
    <row r="82" spans="11:12" x14ac:dyDescent="0.4">
      <c r="K82" s="36">
        <v>80</v>
      </c>
      <c r="L82" s="97">
        <v>-1201</v>
      </c>
    </row>
    <row r="83" spans="11:12" x14ac:dyDescent="0.4">
      <c r="K83" s="36">
        <v>81</v>
      </c>
      <c r="L83" s="97">
        <v>-1265.7</v>
      </c>
    </row>
    <row r="84" spans="11:12" x14ac:dyDescent="0.4">
      <c r="K84" s="36">
        <v>82</v>
      </c>
      <c r="L84" s="97">
        <v>-1267.2</v>
      </c>
    </row>
    <row r="85" spans="11:12" x14ac:dyDescent="0.4">
      <c r="K85" s="36">
        <v>83</v>
      </c>
      <c r="L85" s="97">
        <v>-1270.6000000000001</v>
      </c>
    </row>
    <row r="86" spans="11:12" x14ac:dyDescent="0.4">
      <c r="K86" s="36">
        <v>84</v>
      </c>
      <c r="L86" s="97">
        <v>-1264.8000000000002</v>
      </c>
    </row>
    <row r="87" spans="11:12" x14ac:dyDescent="0.4">
      <c r="K87" s="36">
        <v>85</v>
      </c>
      <c r="L87" s="97">
        <v>-1322.1000000000001</v>
      </c>
    </row>
    <row r="88" spans="11:12" x14ac:dyDescent="0.4">
      <c r="K88" s="36">
        <v>86</v>
      </c>
      <c r="L88" s="97">
        <v>-1272.1000000000001</v>
      </c>
    </row>
    <row r="89" spans="11:12" x14ac:dyDescent="0.4">
      <c r="K89" s="36">
        <v>87</v>
      </c>
      <c r="L89" s="97">
        <v>-1283.8000000000002</v>
      </c>
    </row>
    <row r="90" spans="11:12" x14ac:dyDescent="0.4">
      <c r="K90" s="36">
        <v>88</v>
      </c>
      <c r="L90" s="97">
        <v>-1241.1000000000001</v>
      </c>
    </row>
    <row r="91" spans="11:12" x14ac:dyDescent="0.4">
      <c r="K91" s="36">
        <v>89</v>
      </c>
      <c r="L91" s="97">
        <v>-1288.1000000000001</v>
      </c>
    </row>
    <row r="92" spans="11:12" x14ac:dyDescent="0.4">
      <c r="K92" s="36">
        <v>90</v>
      </c>
      <c r="L92" s="97">
        <v>-1324.2</v>
      </c>
    </row>
    <row r="93" spans="11:12" x14ac:dyDescent="0.4">
      <c r="K93" s="36">
        <v>91</v>
      </c>
      <c r="L93" s="97">
        <v>-1253.1000000000001</v>
      </c>
    </row>
    <row r="94" spans="11:12" x14ac:dyDescent="0.4">
      <c r="K94" s="36">
        <v>92</v>
      </c>
      <c r="L94" s="97">
        <v>-1291.9000000000001</v>
      </c>
    </row>
    <row r="95" spans="11:12" x14ac:dyDescent="0.4">
      <c r="K95" s="36">
        <v>93</v>
      </c>
      <c r="L95" s="97">
        <v>-1348.9</v>
      </c>
    </row>
    <row r="96" spans="11:12" x14ac:dyDescent="0.4">
      <c r="K96" s="36">
        <v>94</v>
      </c>
      <c r="L96" s="97">
        <v>-1306.3000000000002</v>
      </c>
    </row>
    <row r="97" spans="11:12" x14ac:dyDescent="0.4">
      <c r="K97" s="36">
        <v>95</v>
      </c>
      <c r="L97" s="97">
        <v>-1362.6000000000001</v>
      </c>
    </row>
    <row r="98" spans="11:12" x14ac:dyDescent="0.4">
      <c r="K98" s="36">
        <v>96</v>
      </c>
      <c r="L98" s="97">
        <v>-1335.8000000000002</v>
      </c>
    </row>
    <row r="99" spans="11:12" x14ac:dyDescent="0.4">
      <c r="K99" s="36">
        <v>97</v>
      </c>
      <c r="L99" s="97">
        <v>-1299.4000000000001</v>
      </c>
    </row>
    <row r="100" spans="11:12" x14ac:dyDescent="0.4">
      <c r="K100" s="36">
        <v>98</v>
      </c>
      <c r="L100" s="97">
        <v>-1305.7</v>
      </c>
    </row>
    <row r="101" spans="11:12" x14ac:dyDescent="0.4">
      <c r="K101" s="36">
        <v>99</v>
      </c>
      <c r="L101" s="97">
        <v>-1267.5</v>
      </c>
    </row>
    <row r="102" spans="11:12" x14ac:dyDescent="0.4">
      <c r="K102" s="36">
        <v>100</v>
      </c>
      <c r="L102" s="97">
        <v>-1255.3</v>
      </c>
    </row>
    <row r="103" spans="11:12" x14ac:dyDescent="0.4">
      <c r="K103" s="36">
        <v>101</v>
      </c>
      <c r="L103" s="97">
        <v>-1246.3</v>
      </c>
    </row>
    <row r="104" spans="11:12" x14ac:dyDescent="0.4">
      <c r="K104" s="36">
        <v>102</v>
      </c>
      <c r="L104" s="97">
        <v>-1206.5</v>
      </c>
    </row>
    <row r="105" spans="11:12" x14ac:dyDescent="0.4">
      <c r="K105" s="36">
        <v>103</v>
      </c>
      <c r="L105" s="97">
        <v>-1144.9000000000001</v>
      </c>
    </row>
    <row r="106" spans="11:12" x14ac:dyDescent="0.4">
      <c r="K106" s="36">
        <v>104</v>
      </c>
      <c r="L106" s="97">
        <v>-1134.8000000000002</v>
      </c>
    </row>
    <row r="107" spans="11:12" x14ac:dyDescent="0.4">
      <c r="K107" s="36">
        <v>105</v>
      </c>
      <c r="L107" s="97">
        <v>-1138.7000000000003</v>
      </c>
    </row>
    <row r="108" spans="11:12" x14ac:dyDescent="0.4">
      <c r="K108" s="36">
        <v>106</v>
      </c>
      <c r="L108" s="97">
        <v>-1119.7000000000003</v>
      </c>
    </row>
    <row r="109" spans="11:12" x14ac:dyDescent="0.4">
      <c r="K109" s="36">
        <v>107</v>
      </c>
      <c r="L109" s="97">
        <v>-1085.0000000000002</v>
      </c>
    </row>
    <row r="110" spans="11:12" x14ac:dyDescent="0.4">
      <c r="K110" s="36">
        <v>108</v>
      </c>
      <c r="L110" s="97">
        <v>-1048.6000000000001</v>
      </c>
    </row>
    <row r="111" spans="11:12" x14ac:dyDescent="0.4">
      <c r="K111" s="36">
        <v>109</v>
      </c>
      <c r="L111" s="97">
        <v>-982.60000000000014</v>
      </c>
    </row>
    <row r="112" spans="11:12" x14ac:dyDescent="0.4">
      <c r="K112" s="36">
        <v>110</v>
      </c>
      <c r="L112" s="97">
        <v>-940.00000000000011</v>
      </c>
    </row>
    <row r="113" spans="11:12" x14ac:dyDescent="0.4">
      <c r="K113" s="36">
        <v>111</v>
      </c>
      <c r="L113" s="97">
        <v>-890.80000000000007</v>
      </c>
    </row>
    <row r="114" spans="11:12" x14ac:dyDescent="0.4">
      <c r="K114" s="36">
        <v>112</v>
      </c>
      <c r="L114" s="97">
        <v>-971.2</v>
      </c>
    </row>
    <row r="115" spans="11:12" x14ac:dyDescent="0.4">
      <c r="K115" s="36">
        <v>113</v>
      </c>
      <c r="L115" s="97">
        <v>-921.2</v>
      </c>
    </row>
    <row r="116" spans="11:12" x14ac:dyDescent="0.4">
      <c r="K116" s="36">
        <v>114</v>
      </c>
      <c r="L116" s="97">
        <v>-924.7</v>
      </c>
    </row>
    <row r="117" spans="11:12" x14ac:dyDescent="0.4">
      <c r="K117" s="36">
        <v>115</v>
      </c>
      <c r="L117" s="97">
        <v>-919.7</v>
      </c>
    </row>
    <row r="118" spans="11:12" x14ac:dyDescent="0.4">
      <c r="K118" s="36">
        <v>116</v>
      </c>
      <c r="L118" s="97">
        <v>-880.80000000000007</v>
      </c>
    </row>
    <row r="119" spans="11:12" x14ac:dyDescent="0.4">
      <c r="K119" s="36">
        <v>117</v>
      </c>
      <c r="L119" s="97">
        <v>-932.80000000000007</v>
      </c>
    </row>
    <row r="120" spans="11:12" x14ac:dyDescent="0.4">
      <c r="K120" s="36">
        <v>118</v>
      </c>
      <c r="L120" s="97">
        <v>-988.7</v>
      </c>
    </row>
    <row r="121" spans="11:12" x14ac:dyDescent="0.4">
      <c r="K121" s="36">
        <v>119</v>
      </c>
      <c r="L121" s="97">
        <v>-950.40000000000009</v>
      </c>
    </row>
    <row r="122" spans="11:12" x14ac:dyDescent="0.4">
      <c r="K122" s="36">
        <v>120</v>
      </c>
      <c r="L122" s="97">
        <v>-902.50000000000011</v>
      </c>
    </row>
    <row r="123" spans="11:12" x14ac:dyDescent="0.4">
      <c r="K123" s="36">
        <v>121</v>
      </c>
      <c r="L123" s="97">
        <v>-911.60000000000014</v>
      </c>
    </row>
    <row r="124" spans="11:12" x14ac:dyDescent="0.4">
      <c r="K124" s="36">
        <v>122</v>
      </c>
      <c r="L124" s="97">
        <v>-881.60000000000014</v>
      </c>
    </row>
    <row r="125" spans="11:12" x14ac:dyDescent="0.4">
      <c r="K125" s="36">
        <v>123</v>
      </c>
      <c r="L125" s="97">
        <v>-881.00000000000011</v>
      </c>
    </row>
    <row r="126" spans="11:12" x14ac:dyDescent="0.4">
      <c r="K126" s="36">
        <v>124</v>
      </c>
      <c r="L126" s="97">
        <v>-849.50000000000011</v>
      </c>
    </row>
    <row r="127" spans="11:12" x14ac:dyDescent="0.4">
      <c r="K127" s="36">
        <v>125</v>
      </c>
      <c r="L127" s="97">
        <v>-877.90000000000009</v>
      </c>
    </row>
    <row r="128" spans="11:12" x14ac:dyDescent="0.4">
      <c r="K128" s="36">
        <v>126</v>
      </c>
      <c r="L128" s="97">
        <v>-883.00000000000011</v>
      </c>
    </row>
    <row r="129" spans="11:12" x14ac:dyDescent="0.4">
      <c r="K129" s="36">
        <v>127</v>
      </c>
      <c r="L129" s="97">
        <v>-881.50000000000011</v>
      </c>
    </row>
    <row r="130" spans="11:12" x14ac:dyDescent="0.4">
      <c r="K130" s="36">
        <v>128</v>
      </c>
      <c r="L130" s="97">
        <v>-908.40000000000009</v>
      </c>
    </row>
    <row r="131" spans="11:12" x14ac:dyDescent="0.4">
      <c r="K131" s="36">
        <v>129</v>
      </c>
      <c r="L131" s="97">
        <v>-970.40000000000009</v>
      </c>
    </row>
    <row r="132" spans="11:12" x14ac:dyDescent="0.4">
      <c r="K132" s="36">
        <v>130</v>
      </c>
      <c r="L132" s="97">
        <v>-939.30000000000007</v>
      </c>
    </row>
    <row r="133" spans="11:12" x14ac:dyDescent="0.4">
      <c r="K133" s="36">
        <v>131</v>
      </c>
      <c r="L133" s="97">
        <v>-938.50000000000011</v>
      </c>
    </row>
    <row r="134" spans="11:12" x14ac:dyDescent="0.4">
      <c r="K134" s="36">
        <v>132</v>
      </c>
      <c r="L134" s="97">
        <v>-967.90000000000009</v>
      </c>
    </row>
    <row r="135" spans="11:12" x14ac:dyDescent="0.4">
      <c r="K135" s="36">
        <v>133</v>
      </c>
      <c r="L135" s="97">
        <v>-1016.2</v>
      </c>
    </row>
    <row r="136" spans="11:12" x14ac:dyDescent="0.4">
      <c r="K136" s="36">
        <v>134</v>
      </c>
      <c r="L136" s="97">
        <v>-1019.5</v>
      </c>
    </row>
    <row r="137" spans="11:12" x14ac:dyDescent="0.4">
      <c r="K137" s="36">
        <v>135</v>
      </c>
      <c r="L137" s="97">
        <v>-991.3</v>
      </c>
    </row>
    <row r="138" spans="11:12" x14ac:dyDescent="0.4">
      <c r="K138" s="36">
        <v>136</v>
      </c>
      <c r="L138" s="97">
        <v>-995.5</v>
      </c>
    </row>
    <row r="139" spans="11:12" x14ac:dyDescent="0.4">
      <c r="K139" s="36">
        <v>137</v>
      </c>
      <c r="L139" s="97">
        <v>-998.4</v>
      </c>
    </row>
    <row r="140" spans="11:12" x14ac:dyDescent="0.4">
      <c r="K140" s="36">
        <v>138</v>
      </c>
      <c r="L140" s="97">
        <v>-1041.2</v>
      </c>
    </row>
    <row r="141" spans="11:12" x14ac:dyDescent="0.4">
      <c r="K141" s="36">
        <v>139</v>
      </c>
      <c r="L141" s="97">
        <v>-1031.4000000000001</v>
      </c>
    </row>
    <row r="142" spans="11:12" x14ac:dyDescent="0.4">
      <c r="K142" s="36">
        <v>140</v>
      </c>
      <c r="L142" s="97">
        <v>-1031.1000000000001</v>
      </c>
    </row>
    <row r="143" spans="11:12" x14ac:dyDescent="0.4">
      <c r="K143" s="36">
        <v>141</v>
      </c>
      <c r="L143" s="97">
        <v>-1065.2</v>
      </c>
    </row>
    <row r="144" spans="11:12" x14ac:dyDescent="0.4">
      <c r="K144" s="36">
        <v>142</v>
      </c>
      <c r="L144" s="97">
        <v>-1102.6000000000001</v>
      </c>
    </row>
    <row r="145" spans="11:12" x14ac:dyDescent="0.4">
      <c r="K145" s="36">
        <v>143</v>
      </c>
      <c r="L145" s="97">
        <v>-1103.4000000000001</v>
      </c>
    </row>
    <row r="146" spans="11:12" x14ac:dyDescent="0.4">
      <c r="K146" s="36">
        <v>144</v>
      </c>
      <c r="L146" s="97">
        <v>-1159.5</v>
      </c>
    </row>
    <row r="147" spans="11:12" x14ac:dyDescent="0.4">
      <c r="K147" s="36">
        <v>145</v>
      </c>
      <c r="L147" s="97">
        <v>-1121.9000000000001</v>
      </c>
    </row>
    <row r="148" spans="11:12" x14ac:dyDescent="0.4">
      <c r="K148" s="36">
        <v>146</v>
      </c>
      <c r="L148" s="97">
        <v>-1181.5</v>
      </c>
    </row>
    <row r="149" spans="11:12" x14ac:dyDescent="0.4">
      <c r="K149" s="36">
        <v>147</v>
      </c>
      <c r="L149" s="97">
        <v>-1213.9000000000001</v>
      </c>
    </row>
    <row r="150" spans="11:12" x14ac:dyDescent="0.4">
      <c r="K150" s="36">
        <v>148</v>
      </c>
      <c r="L150" s="97">
        <v>-1255.3000000000002</v>
      </c>
    </row>
    <row r="151" spans="11:12" x14ac:dyDescent="0.4">
      <c r="K151" s="36">
        <v>149</v>
      </c>
      <c r="L151" s="97">
        <v>-1227.8000000000002</v>
      </c>
    </row>
    <row r="152" spans="11:12" x14ac:dyDescent="0.4">
      <c r="K152" s="36">
        <v>150</v>
      </c>
      <c r="L152" s="97">
        <v>-1274.3000000000002</v>
      </c>
    </row>
    <row r="153" spans="11:12" x14ac:dyDescent="0.4">
      <c r="K153" s="36">
        <v>151</v>
      </c>
      <c r="L153" s="97">
        <v>-1320.4</v>
      </c>
    </row>
    <row r="154" spans="11:12" x14ac:dyDescent="0.4">
      <c r="K154" s="36">
        <v>152</v>
      </c>
      <c r="L154" s="97">
        <v>-1364.7</v>
      </c>
    </row>
    <row r="155" spans="11:12" x14ac:dyDescent="0.4">
      <c r="K155" s="36">
        <v>153</v>
      </c>
      <c r="L155" s="97">
        <v>-1415.8</v>
      </c>
    </row>
    <row r="156" spans="11:12" x14ac:dyDescent="0.4">
      <c r="K156" s="36">
        <v>154</v>
      </c>
      <c r="L156" s="97">
        <v>-1432.6</v>
      </c>
    </row>
    <row r="157" spans="11:12" x14ac:dyDescent="0.4">
      <c r="K157" s="36">
        <v>155</v>
      </c>
      <c r="L157" s="97">
        <v>-1352.8</v>
      </c>
    </row>
    <row r="158" spans="11:12" x14ac:dyDescent="0.4">
      <c r="K158" s="36">
        <v>156</v>
      </c>
      <c r="L158" s="97">
        <v>-1344.3</v>
      </c>
    </row>
    <row r="159" spans="11:12" x14ac:dyDescent="0.4">
      <c r="K159" s="36">
        <v>157</v>
      </c>
      <c r="L159" s="97">
        <v>-1357.7</v>
      </c>
    </row>
    <row r="160" spans="11:12" x14ac:dyDescent="0.4">
      <c r="K160" s="36">
        <v>158</v>
      </c>
      <c r="L160" s="97">
        <v>-1338.1000000000001</v>
      </c>
    </row>
    <row r="161" spans="11:12" x14ac:dyDescent="0.4">
      <c r="K161" s="36">
        <v>159</v>
      </c>
      <c r="L161" s="97">
        <v>-1330.7</v>
      </c>
    </row>
    <row r="162" spans="11:12" x14ac:dyDescent="0.4">
      <c r="K162" s="36">
        <v>160</v>
      </c>
      <c r="L162" s="97">
        <v>-1265.7</v>
      </c>
    </row>
    <row r="163" spans="11:12" x14ac:dyDescent="0.4">
      <c r="K163" s="36">
        <v>161</v>
      </c>
      <c r="L163" s="97">
        <v>-1246.2</v>
      </c>
    </row>
    <row r="164" spans="11:12" x14ac:dyDescent="0.4">
      <c r="K164" s="36">
        <v>162</v>
      </c>
      <c r="L164" s="97">
        <v>-1210.3</v>
      </c>
    </row>
    <row r="165" spans="11:12" x14ac:dyDescent="0.4">
      <c r="K165" s="36">
        <v>163</v>
      </c>
      <c r="L165" s="97">
        <v>-1183.8</v>
      </c>
    </row>
    <row r="166" spans="11:12" x14ac:dyDescent="0.4">
      <c r="K166" s="36">
        <v>164</v>
      </c>
      <c r="L166" s="97">
        <v>-1234.3</v>
      </c>
    </row>
    <row r="167" spans="11:12" x14ac:dyDescent="0.4">
      <c r="K167" s="36">
        <v>165</v>
      </c>
      <c r="L167" s="97">
        <v>-1258.7</v>
      </c>
    </row>
    <row r="168" spans="11:12" x14ac:dyDescent="0.4">
      <c r="K168" s="36">
        <v>166</v>
      </c>
      <c r="L168" s="97">
        <v>-1194.5</v>
      </c>
    </row>
    <row r="169" spans="11:12" x14ac:dyDescent="0.4">
      <c r="K169" s="36">
        <v>167</v>
      </c>
      <c r="L169" s="97">
        <v>-1209.8</v>
      </c>
    </row>
    <row r="170" spans="11:12" x14ac:dyDescent="0.4">
      <c r="K170" s="36">
        <v>168</v>
      </c>
      <c r="L170" s="97">
        <v>-1244.5999999999999</v>
      </c>
    </row>
    <row r="171" spans="11:12" x14ac:dyDescent="0.4">
      <c r="K171" s="36">
        <v>169</v>
      </c>
      <c r="L171" s="97">
        <v>-1197.0999999999999</v>
      </c>
    </row>
    <row r="172" spans="11:12" x14ac:dyDescent="0.4">
      <c r="K172" s="36">
        <v>170</v>
      </c>
      <c r="L172" s="97">
        <v>-1147.5999999999999</v>
      </c>
    </row>
    <row r="173" spans="11:12" x14ac:dyDescent="0.4">
      <c r="K173" s="36">
        <v>171</v>
      </c>
      <c r="L173" s="97">
        <v>-1112.8999999999999</v>
      </c>
    </row>
    <row r="174" spans="11:12" x14ac:dyDescent="0.4">
      <c r="K174" s="36">
        <v>172</v>
      </c>
      <c r="L174" s="97">
        <v>-1065.8999999999999</v>
      </c>
    </row>
    <row r="175" spans="11:12" x14ac:dyDescent="0.4">
      <c r="K175" s="36">
        <v>173</v>
      </c>
      <c r="L175" s="97">
        <v>-1064.8</v>
      </c>
    </row>
    <row r="176" spans="11:12" x14ac:dyDescent="0.4">
      <c r="K176" s="36">
        <v>174</v>
      </c>
      <c r="L176" s="97">
        <v>-1090.0999999999999</v>
      </c>
    </row>
    <row r="177" spans="11:12" x14ac:dyDescent="0.4">
      <c r="K177" s="36">
        <v>175</v>
      </c>
      <c r="L177" s="97">
        <v>-1146.0999999999999</v>
      </c>
    </row>
    <row r="178" spans="11:12" x14ac:dyDescent="0.4">
      <c r="K178" s="36">
        <v>176</v>
      </c>
      <c r="L178" s="97">
        <v>-1142.5</v>
      </c>
    </row>
    <row r="179" spans="11:12" x14ac:dyDescent="0.4">
      <c r="K179" s="36">
        <v>177</v>
      </c>
      <c r="L179" s="97">
        <v>-1194.4000000000001</v>
      </c>
    </row>
    <row r="180" spans="11:12" x14ac:dyDescent="0.4">
      <c r="K180" s="36">
        <v>178</v>
      </c>
      <c r="L180" s="97">
        <v>-1166.8000000000002</v>
      </c>
    </row>
    <row r="181" spans="11:12" x14ac:dyDescent="0.4">
      <c r="K181" s="36">
        <v>179</v>
      </c>
      <c r="L181" s="97">
        <v>-1205.5000000000002</v>
      </c>
    </row>
  </sheetData>
  <sortState xmlns:xlrd2="http://schemas.microsoft.com/office/spreadsheetml/2017/richdata2" ref="N15:Q2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294FE-FC05-41C8-81FB-5DDC978AF883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171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110</v>
      </c>
      <c r="C2" s="149"/>
      <c r="E2" s="60" t="s">
        <v>67</v>
      </c>
      <c r="F2" s="57" t="s">
        <v>23</v>
      </c>
      <c r="G2" s="44">
        <v>208</v>
      </c>
      <c r="H2" s="130">
        <f>IF(B$17=0,0,G2/B$17)</f>
        <v>0.78490566037735854</v>
      </c>
      <c r="I2" s="91">
        <v>5</v>
      </c>
      <c r="K2" s="34">
        <v>0</v>
      </c>
      <c r="L2" s="96">
        <v>0</v>
      </c>
      <c r="N2" s="112" t="s">
        <v>132</v>
      </c>
      <c r="O2" s="119">
        <f t="shared" ref="O2:O7" si="0">IF(P2=0,0,Q2/P2)</f>
        <v>1039.090909090909</v>
      </c>
      <c r="P2" s="116">
        <v>110</v>
      </c>
      <c r="Q2" s="100">
        <v>114300</v>
      </c>
    </row>
    <row r="3" spans="1:17" x14ac:dyDescent="0.4">
      <c r="A3" s="53" t="s">
        <v>8</v>
      </c>
      <c r="B3" s="150">
        <v>914</v>
      </c>
      <c r="C3" s="151"/>
      <c r="E3" s="61" t="s">
        <v>73</v>
      </c>
      <c r="F3" s="58" t="s">
        <v>28</v>
      </c>
      <c r="G3" s="45">
        <v>148</v>
      </c>
      <c r="H3" s="131">
        <f>IF(B$17=0,0,G3/B$17)</f>
        <v>0.55849056603773584</v>
      </c>
      <c r="I3" s="92">
        <v>7</v>
      </c>
      <c r="K3" s="36">
        <v>1</v>
      </c>
      <c r="L3" s="97">
        <v>-51.2</v>
      </c>
      <c r="N3" s="113" t="s">
        <v>133</v>
      </c>
      <c r="O3" s="120">
        <f t="shared" si="0"/>
        <v>781.30841121495325</v>
      </c>
      <c r="P3" s="117">
        <v>107</v>
      </c>
      <c r="Q3" s="101">
        <v>83600</v>
      </c>
    </row>
    <row r="4" spans="1:17" x14ac:dyDescent="0.4">
      <c r="A4" s="53" t="s">
        <v>6</v>
      </c>
      <c r="B4" s="152">
        <v>136.29999999999998</v>
      </c>
      <c r="C4" s="153"/>
      <c r="E4" s="61" t="s">
        <v>65</v>
      </c>
      <c r="F4" s="58" t="s">
        <v>21</v>
      </c>
      <c r="G4" s="45">
        <v>137</v>
      </c>
      <c r="H4" s="131">
        <f>IF(B$17=0,0,G4/B$17)</f>
        <v>0.51698113207547169</v>
      </c>
      <c r="I4" s="92">
        <v>6</v>
      </c>
      <c r="K4" s="36">
        <v>2</v>
      </c>
      <c r="L4" s="97">
        <v>-93.300000000000011</v>
      </c>
      <c r="N4" s="113" t="s">
        <v>134</v>
      </c>
      <c r="O4" s="120">
        <f t="shared" si="0"/>
        <v>1439.795918367347</v>
      </c>
      <c r="P4" s="117">
        <v>98</v>
      </c>
      <c r="Q4" s="101">
        <v>141100</v>
      </c>
    </row>
    <row r="5" spans="1:17" x14ac:dyDescent="0.4">
      <c r="A5" s="53" t="s">
        <v>7</v>
      </c>
      <c r="B5" s="154">
        <f>IF(B$2=0,0,B$4/B$2)</f>
        <v>1.239090909090909</v>
      </c>
      <c r="C5" s="155"/>
      <c r="E5" s="61" t="s">
        <v>245</v>
      </c>
      <c r="F5" s="58" t="s">
        <v>246</v>
      </c>
      <c r="G5" s="45">
        <v>108</v>
      </c>
      <c r="H5" s="131">
        <f>IF(B$17=0,0,G5/B$17)</f>
        <v>0.40754716981132078</v>
      </c>
      <c r="I5" s="92">
        <v>6</v>
      </c>
      <c r="K5" s="36">
        <v>3</v>
      </c>
      <c r="L5" s="97">
        <v>-60.100000000000009</v>
      </c>
      <c r="N5" s="113" t="s">
        <v>135</v>
      </c>
      <c r="O5" s="120">
        <f t="shared" si="0"/>
        <v>-250.57471264367817</v>
      </c>
      <c r="P5" s="117">
        <v>87</v>
      </c>
      <c r="Q5" s="101">
        <v>-21800</v>
      </c>
    </row>
    <row r="6" spans="1:17" x14ac:dyDescent="0.4">
      <c r="A6" s="53" t="s">
        <v>1</v>
      </c>
      <c r="B6" s="144">
        <f>IF(B$2=0,0,(B$7*1+B$8*2+B$9*3)/B$2)</f>
        <v>2.0181818181818181</v>
      </c>
      <c r="C6" s="145"/>
      <c r="E6" s="61" t="s">
        <v>68</v>
      </c>
      <c r="F6" s="58" t="s">
        <v>24</v>
      </c>
      <c r="G6" s="45">
        <v>88</v>
      </c>
      <c r="H6" s="131">
        <f>IF(B$17=0,0,G6/B$17)</f>
        <v>0.33207547169811319</v>
      </c>
      <c r="I6" s="92">
        <v>5</v>
      </c>
      <c r="K6" s="36">
        <v>4</v>
      </c>
      <c r="L6" s="97">
        <v>-11.300000000000011</v>
      </c>
      <c r="N6" s="113" t="s">
        <v>136</v>
      </c>
      <c r="O6" s="120">
        <f t="shared" si="0"/>
        <v>-1970.5128205128206</v>
      </c>
      <c r="P6" s="117">
        <v>78</v>
      </c>
      <c r="Q6" s="101">
        <v>-153700</v>
      </c>
    </row>
    <row r="7" spans="1:17" x14ac:dyDescent="0.4">
      <c r="A7" s="53" t="s">
        <v>2</v>
      </c>
      <c r="B7" s="45">
        <v>35</v>
      </c>
      <c r="C7" s="37">
        <f t="shared" ref="C7:C12" si="1">IF(B$2=0,0,B7/B$2)</f>
        <v>0.31818181818181818</v>
      </c>
      <c r="E7" s="61" t="s">
        <v>69</v>
      </c>
      <c r="F7" s="58" t="s">
        <v>12</v>
      </c>
      <c r="G7" s="45">
        <v>78</v>
      </c>
      <c r="H7" s="131">
        <f>IF(B$17=0,0,G7/B$17)</f>
        <v>0.29433962264150942</v>
      </c>
      <c r="I7" s="92">
        <v>10</v>
      </c>
      <c r="K7" s="36">
        <v>5</v>
      </c>
      <c r="L7" s="97">
        <v>-36.100000000000009</v>
      </c>
      <c r="N7" s="114" t="s">
        <v>137</v>
      </c>
      <c r="O7" s="121">
        <f t="shared" si="0"/>
        <v>-228.16901408450704</v>
      </c>
      <c r="P7" s="118">
        <v>71</v>
      </c>
      <c r="Q7" s="102">
        <v>-16200</v>
      </c>
    </row>
    <row r="8" spans="1:17" x14ac:dyDescent="0.4">
      <c r="A8" s="53" t="s">
        <v>3</v>
      </c>
      <c r="B8" s="45">
        <v>38</v>
      </c>
      <c r="C8" s="37">
        <f t="shared" si="1"/>
        <v>0.34545454545454546</v>
      </c>
      <c r="E8" s="61" t="s">
        <v>70</v>
      </c>
      <c r="F8" s="58" t="s">
        <v>25</v>
      </c>
      <c r="G8" s="45">
        <v>49</v>
      </c>
      <c r="H8" s="131">
        <f>IF(B$17=0,0,G8/B$17)</f>
        <v>0.18490566037735848</v>
      </c>
      <c r="I8" s="92">
        <v>3</v>
      </c>
      <c r="K8" s="36">
        <v>6</v>
      </c>
      <c r="L8" s="97">
        <v>9.0999999999999943</v>
      </c>
      <c r="N8" s="41"/>
      <c r="O8" s="125"/>
      <c r="P8" s="109"/>
      <c r="Q8" s="107"/>
    </row>
    <row r="9" spans="1:17" x14ac:dyDescent="0.4">
      <c r="A9" s="54" t="s">
        <v>4</v>
      </c>
      <c r="B9" s="46">
        <v>37</v>
      </c>
      <c r="C9" s="38">
        <f t="shared" si="1"/>
        <v>0.33636363636363636</v>
      </c>
      <c r="E9" s="61" t="s">
        <v>90</v>
      </c>
      <c r="F9" s="58" t="s">
        <v>45</v>
      </c>
      <c r="G9" s="45">
        <v>44</v>
      </c>
      <c r="H9" s="131">
        <f>IF(B$17=0,0,G9/B$17)</f>
        <v>0.16603773584905659</v>
      </c>
      <c r="I9" s="92">
        <v>3</v>
      </c>
      <c r="K9" s="36">
        <v>7</v>
      </c>
      <c r="L9" s="97">
        <v>-51.300000000000004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11</v>
      </c>
      <c r="C10" s="38">
        <f t="shared" si="1"/>
        <v>0.1</v>
      </c>
      <c r="E10" s="61" t="s">
        <v>66</v>
      </c>
      <c r="F10" s="58" t="s">
        <v>22</v>
      </c>
      <c r="G10" s="45">
        <v>30</v>
      </c>
      <c r="H10" s="131">
        <f>IF(B$17=0,0,G10/B$17)</f>
        <v>0.11320754716981132</v>
      </c>
      <c r="I10" s="92">
        <v>3</v>
      </c>
      <c r="K10" s="36">
        <v>8</v>
      </c>
      <c r="L10" s="97">
        <v>-1.7000000000000028</v>
      </c>
      <c r="N10" s="112" t="s">
        <v>164</v>
      </c>
      <c r="O10" s="122">
        <f>IF(P10=0,0,Q10/P10)</f>
        <v>3.92</v>
      </c>
      <c r="P10" s="116">
        <v>30</v>
      </c>
      <c r="Q10" s="104">
        <v>117.6</v>
      </c>
    </row>
    <row r="11" spans="1:17" x14ac:dyDescent="0.4">
      <c r="A11" s="54" t="s">
        <v>140</v>
      </c>
      <c r="B11" s="46">
        <v>16</v>
      </c>
      <c r="C11" s="38">
        <f t="shared" si="1"/>
        <v>0.14545454545454545</v>
      </c>
      <c r="E11" s="61" t="s">
        <v>71</v>
      </c>
      <c r="F11" s="58" t="s">
        <v>26</v>
      </c>
      <c r="G11" s="45">
        <v>26</v>
      </c>
      <c r="H11" s="131">
        <f>IF(B$17=0,0,G11/B$17)</f>
        <v>9.8113207547169817E-2</v>
      </c>
      <c r="I11" s="92">
        <v>6</v>
      </c>
      <c r="K11" s="36">
        <v>9</v>
      </c>
      <c r="L11" s="97">
        <v>-5.8000000000000025</v>
      </c>
      <c r="N11" s="113" t="s">
        <v>165</v>
      </c>
      <c r="O11" s="123">
        <f>IF(P11=0,0,Q11/P11)</f>
        <v>-1.1846153846153833</v>
      </c>
      <c r="P11" s="117">
        <v>39</v>
      </c>
      <c r="Q11" s="105">
        <v>-46.199999999999946</v>
      </c>
    </row>
    <row r="12" spans="1:17" x14ac:dyDescent="0.4">
      <c r="A12" s="55" t="s">
        <v>160</v>
      </c>
      <c r="B12" s="47">
        <v>7</v>
      </c>
      <c r="C12" s="40">
        <f t="shared" si="1"/>
        <v>6.363636363636363E-2</v>
      </c>
      <c r="E12" s="61" t="s">
        <v>87</v>
      </c>
      <c r="F12" s="58" t="s">
        <v>42</v>
      </c>
      <c r="G12" s="45">
        <v>20</v>
      </c>
      <c r="H12" s="131">
        <f>IF(B$17=0,0,G12/B$17)</f>
        <v>7.5471698113207544E-2</v>
      </c>
      <c r="I12" s="92">
        <v>5</v>
      </c>
      <c r="K12" s="36">
        <v>10</v>
      </c>
      <c r="L12" s="97">
        <v>-56.500000000000007</v>
      </c>
      <c r="N12" s="114" t="s">
        <v>166</v>
      </c>
      <c r="O12" s="124">
        <f>IF(P12=0,0,Q12/P12)</f>
        <v>1.5829268292682928</v>
      </c>
      <c r="P12" s="118">
        <v>41</v>
      </c>
      <c r="Q12" s="106">
        <v>64.900000000000006</v>
      </c>
    </row>
    <row r="13" spans="1:17" x14ac:dyDescent="0.4">
      <c r="A13" s="56" t="s">
        <v>122</v>
      </c>
      <c r="B13" s="48">
        <v>259</v>
      </c>
      <c r="C13" s="42">
        <f>IF(B$3=0,0,B13/B$3)</f>
        <v>0.28336980306345733</v>
      </c>
      <c r="E13" s="61" t="s">
        <v>72</v>
      </c>
      <c r="F13" s="58" t="s">
        <v>27</v>
      </c>
      <c r="G13" s="45">
        <v>16</v>
      </c>
      <c r="H13" s="131">
        <f>IF(B$17=0,0,G13/B$17)</f>
        <v>6.0377358490566038E-2</v>
      </c>
      <c r="I13" s="92">
        <v>8</v>
      </c>
      <c r="K13" s="36">
        <v>11</v>
      </c>
      <c r="L13" s="97">
        <v>-27.600000000000009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181</v>
      </c>
      <c r="C14" s="37">
        <f>IF(B$3=0,0,B14/B$3)</f>
        <v>0.19803063457330417</v>
      </c>
      <c r="E14" s="61" t="s">
        <v>79</v>
      </c>
      <c r="F14" s="58" t="s">
        <v>34</v>
      </c>
      <c r="G14" s="45">
        <v>12</v>
      </c>
      <c r="H14" s="131">
        <f>IF(B$17=0,0,G14/B$17)</f>
        <v>4.5283018867924525E-2</v>
      </c>
      <c r="I14" s="92">
        <v>4</v>
      </c>
      <c r="K14" s="36">
        <v>12</v>
      </c>
      <c r="L14" s="97">
        <v>-42.900000000000006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146</v>
      </c>
      <c r="C15" s="35">
        <f>IF(B$13=0,0,B15/B$13)</f>
        <v>0.56370656370656369</v>
      </c>
      <c r="E15" s="61" t="s">
        <v>84</v>
      </c>
      <c r="F15" s="58" t="s">
        <v>39</v>
      </c>
      <c r="G15" s="45">
        <v>11</v>
      </c>
      <c r="H15" s="131">
        <f>IF(B$17=0,0,G15/B$17)</f>
        <v>4.1509433962264149E-2</v>
      </c>
      <c r="I15" s="92">
        <v>9</v>
      </c>
      <c r="K15" s="36">
        <v>13</v>
      </c>
      <c r="L15" s="97">
        <v>-58.7</v>
      </c>
      <c r="N15" s="112" t="s">
        <v>184</v>
      </c>
      <c r="O15" s="122">
        <f>IF(P15=0,0,Q15/P15)</f>
        <v>18.200000000000003</v>
      </c>
      <c r="P15" s="116">
        <v>4</v>
      </c>
      <c r="Q15" s="104">
        <v>72.800000000000011</v>
      </c>
    </row>
    <row r="16" spans="1:17" x14ac:dyDescent="0.4">
      <c r="A16" s="52" t="s">
        <v>125</v>
      </c>
      <c r="B16" s="44">
        <v>74</v>
      </c>
      <c r="C16" s="35">
        <f>IF(B$14=0,0,B16/B$14)</f>
        <v>0.40883977900552487</v>
      </c>
      <c r="E16" s="61" t="s">
        <v>92</v>
      </c>
      <c r="F16" s="58" t="s">
        <v>47</v>
      </c>
      <c r="G16" s="45">
        <v>10</v>
      </c>
      <c r="H16" s="131">
        <f>IF(B$17=0,0,G16/B$17)</f>
        <v>3.7735849056603772E-2</v>
      </c>
      <c r="I16" s="92">
        <v>2</v>
      </c>
      <c r="K16" s="36">
        <v>14</v>
      </c>
      <c r="L16" s="97">
        <v>-29.400000000000002</v>
      </c>
      <c r="N16" s="113" t="s">
        <v>129</v>
      </c>
      <c r="O16" s="123">
        <f>IF(P16=0,0,Q16/P16)</f>
        <v>16.48095238095237</v>
      </c>
      <c r="P16" s="117">
        <v>42</v>
      </c>
      <c r="Q16" s="105">
        <v>692.19999999999959</v>
      </c>
    </row>
    <row r="17" spans="1:17" x14ac:dyDescent="0.4">
      <c r="A17" s="52" t="s">
        <v>10</v>
      </c>
      <c r="B17" s="44">
        <f>B19+B18</f>
        <v>265</v>
      </c>
      <c r="C17" s="35">
        <f>IF(B$3=0,0,B17/B$3)</f>
        <v>0.28993435448577681</v>
      </c>
      <c r="E17" s="61" t="s">
        <v>82</v>
      </c>
      <c r="F17" s="58" t="s">
        <v>37</v>
      </c>
      <c r="G17" s="45">
        <v>8</v>
      </c>
      <c r="H17" s="131">
        <f>IF(B$17=0,0,G17/B$17)</f>
        <v>3.0188679245283019E-2</v>
      </c>
      <c r="I17" s="92">
        <v>4</v>
      </c>
      <c r="K17" s="36">
        <v>15</v>
      </c>
      <c r="L17" s="97">
        <v>-26.3</v>
      </c>
      <c r="N17" s="113" t="s">
        <v>173</v>
      </c>
      <c r="O17" s="123">
        <f>IF(P17=0,0,Q17/P17)</f>
        <v>13.94210526315789</v>
      </c>
      <c r="P17" s="117">
        <v>19</v>
      </c>
      <c r="Q17" s="105">
        <v>264.89999999999992</v>
      </c>
    </row>
    <row r="18" spans="1:17" x14ac:dyDescent="0.4">
      <c r="A18" s="53" t="s">
        <v>12</v>
      </c>
      <c r="B18" s="45">
        <v>107</v>
      </c>
      <c r="C18" s="37">
        <f>IF(B$17=0,0,B18/B$17)</f>
        <v>0.4037735849056604</v>
      </c>
      <c r="E18" s="61" t="s">
        <v>80</v>
      </c>
      <c r="F18" s="58" t="s">
        <v>35</v>
      </c>
      <c r="G18" s="45">
        <v>6</v>
      </c>
      <c r="H18" s="131">
        <f>IF(B$17=0,0,G18/B$17)</f>
        <v>2.2641509433962263E-2</v>
      </c>
      <c r="I18" s="92">
        <v>3</v>
      </c>
      <c r="K18" s="36">
        <v>16</v>
      </c>
      <c r="L18" s="97">
        <v>-50.3</v>
      </c>
      <c r="N18" s="113" t="s">
        <v>172</v>
      </c>
      <c r="O18" s="123">
        <f>IF(P18=0,0,Q18/P18)</f>
        <v>7.0136363636363628</v>
      </c>
      <c r="P18" s="117">
        <v>22</v>
      </c>
      <c r="Q18" s="105">
        <v>154.29999999999998</v>
      </c>
    </row>
    <row r="19" spans="1:17" x14ac:dyDescent="0.4">
      <c r="A19" s="53" t="s">
        <v>11</v>
      </c>
      <c r="B19" s="45">
        <v>158</v>
      </c>
      <c r="C19" s="37">
        <f>IF(B$17=0,0,B19/B$17)</f>
        <v>0.5962264150943396</v>
      </c>
      <c r="E19" s="61" t="s">
        <v>180</v>
      </c>
      <c r="F19" s="58" t="s">
        <v>181</v>
      </c>
      <c r="G19" s="45">
        <v>6</v>
      </c>
      <c r="H19" s="131">
        <f>IF(B$17=0,0,G19/B$17)</f>
        <v>2.2641509433962263E-2</v>
      </c>
      <c r="I19" s="92">
        <v>3</v>
      </c>
      <c r="K19" s="36">
        <v>17</v>
      </c>
      <c r="L19" s="97">
        <v>-74.3</v>
      </c>
      <c r="N19" s="113" t="s">
        <v>127</v>
      </c>
      <c r="O19" s="123">
        <f>IF(P19=0,0,Q19/P19)</f>
        <v>1.9269841269841295</v>
      </c>
      <c r="P19" s="117">
        <v>63</v>
      </c>
      <c r="Q19" s="105">
        <v>121.40000000000016</v>
      </c>
    </row>
    <row r="20" spans="1:17" x14ac:dyDescent="0.4">
      <c r="A20" s="53" t="s">
        <v>13</v>
      </c>
      <c r="B20" s="45">
        <v>163</v>
      </c>
      <c r="C20" s="37">
        <f>IF(B$3=0,0,B20/B$3)</f>
        <v>0.17833698030634573</v>
      </c>
      <c r="E20" s="61" t="s">
        <v>74</v>
      </c>
      <c r="F20" s="58" t="s">
        <v>29</v>
      </c>
      <c r="G20" s="45">
        <v>3</v>
      </c>
      <c r="H20" s="131">
        <f>IF(B$17=0,0,G20/B$17)</f>
        <v>1.1320754716981131E-2</v>
      </c>
      <c r="I20" s="92">
        <v>3</v>
      </c>
      <c r="K20" s="36">
        <v>18</v>
      </c>
      <c r="L20" s="97">
        <v>-76.099999999999994</v>
      </c>
      <c r="N20" s="113" t="s">
        <v>128</v>
      </c>
      <c r="O20" s="123">
        <f>IF(P20=0,0,Q20/P20)</f>
        <v>0.24736842105262688</v>
      </c>
      <c r="P20" s="117">
        <v>38</v>
      </c>
      <c r="Q20" s="105">
        <v>9.3999999999998209</v>
      </c>
    </row>
    <row r="21" spans="1:17" x14ac:dyDescent="0.4">
      <c r="A21" s="53" t="s">
        <v>191</v>
      </c>
      <c r="B21" s="45">
        <v>6</v>
      </c>
      <c r="C21" s="133">
        <v>0</v>
      </c>
      <c r="E21" s="61" t="s">
        <v>76</v>
      </c>
      <c r="F21" s="58" t="s">
        <v>31</v>
      </c>
      <c r="G21" s="45">
        <v>3</v>
      </c>
      <c r="H21" s="131">
        <f>IF(B$17=0,0,G21/B$17)</f>
        <v>1.1320754716981131E-2</v>
      </c>
      <c r="I21" s="92">
        <v>2</v>
      </c>
      <c r="K21" s="36">
        <v>19</v>
      </c>
      <c r="L21" s="97">
        <v>0.60000000000000853</v>
      </c>
      <c r="N21" s="113" t="s">
        <v>200</v>
      </c>
      <c r="O21" s="123">
        <f>IF(P21=0,0,Q21/P21)</f>
        <v>-12.75</v>
      </c>
      <c r="P21" s="117">
        <v>6</v>
      </c>
      <c r="Q21" s="105">
        <v>-76.5</v>
      </c>
    </row>
    <row r="22" spans="1:17" x14ac:dyDescent="0.4">
      <c r="A22" s="53" t="s">
        <v>192</v>
      </c>
      <c r="B22" s="45">
        <v>32</v>
      </c>
      <c r="C22" s="133">
        <v>0</v>
      </c>
      <c r="E22" s="61" t="s">
        <v>78</v>
      </c>
      <c r="F22" s="58" t="s">
        <v>33</v>
      </c>
      <c r="G22" s="45">
        <v>3</v>
      </c>
      <c r="H22" s="131">
        <f>IF(B$17=0,0,G22/B$17)</f>
        <v>1.1320754716981131E-2</v>
      </c>
      <c r="I22" s="92">
        <v>3</v>
      </c>
      <c r="K22" s="36">
        <v>20</v>
      </c>
      <c r="L22" s="97">
        <v>-3.5999999999999917</v>
      </c>
      <c r="N22" s="113" t="s">
        <v>177</v>
      </c>
      <c r="O22" s="123">
        <f>IF(P22=0,0,Q22/P22)</f>
        <v>-30.404</v>
      </c>
      <c r="P22" s="117">
        <v>25</v>
      </c>
      <c r="Q22" s="105">
        <v>-760.1</v>
      </c>
    </row>
    <row r="23" spans="1:17" x14ac:dyDescent="0.4">
      <c r="A23" s="53" t="s">
        <v>5</v>
      </c>
      <c r="B23" s="49">
        <f>IF(B$17=0,0,C23/B$17)</f>
        <v>10015.094339622641</v>
      </c>
      <c r="C23" s="39">
        <v>2654000</v>
      </c>
      <c r="E23" s="61" t="s">
        <v>93</v>
      </c>
      <c r="F23" s="58" t="s">
        <v>48</v>
      </c>
      <c r="G23" s="45">
        <v>3</v>
      </c>
      <c r="H23" s="131">
        <f>IF(B$17=0,0,G23/B$17)</f>
        <v>1.1320754716981131E-2</v>
      </c>
      <c r="I23" s="92">
        <v>1</v>
      </c>
      <c r="K23" s="36">
        <v>21</v>
      </c>
      <c r="L23" s="97">
        <v>-3.0999999999999917</v>
      </c>
      <c r="N23" s="113" t="s">
        <v>222</v>
      </c>
      <c r="O23" s="123">
        <f>IF(P23=0,0,Q23/P23)</f>
        <v>-69.5</v>
      </c>
      <c r="P23" s="117">
        <v>1</v>
      </c>
      <c r="Q23" s="105">
        <v>-69.5</v>
      </c>
    </row>
    <row r="24" spans="1:17" x14ac:dyDescent="0.4">
      <c r="A24" s="53" t="s">
        <v>14</v>
      </c>
      <c r="B24" s="49">
        <f>IF(B$20=0,0,C24/B$20)</f>
        <v>-8357.6687116564426</v>
      </c>
      <c r="C24" s="39">
        <v>-1362300</v>
      </c>
      <c r="E24" s="61" t="s">
        <v>85</v>
      </c>
      <c r="F24" s="58" t="s">
        <v>40</v>
      </c>
      <c r="G24" s="45">
        <v>2</v>
      </c>
      <c r="H24" s="131">
        <f>IF(B$17=0,0,G24/B$17)</f>
        <v>7.5471698113207548E-3</v>
      </c>
      <c r="I24" s="92">
        <v>1</v>
      </c>
      <c r="K24" s="36">
        <v>22</v>
      </c>
      <c r="L24" s="97">
        <v>-17.099999999999991</v>
      </c>
    </row>
    <row r="25" spans="1:17" x14ac:dyDescent="0.4">
      <c r="A25" s="53" t="s">
        <v>305</v>
      </c>
      <c r="B25" s="49">
        <f>IF($B$17-B$16=0,0,C25/($B$17-B$16))</f>
        <v>10450.261780104713</v>
      </c>
      <c r="C25" s="39">
        <v>1996000</v>
      </c>
      <c r="E25" s="61" t="s">
        <v>88</v>
      </c>
      <c r="F25" s="58" t="s">
        <v>43</v>
      </c>
      <c r="G25" s="45">
        <v>1</v>
      </c>
      <c r="H25" s="131">
        <f>IF(B$17=0,0,G25/B$17)</f>
        <v>3.7735849056603774E-3</v>
      </c>
      <c r="I25" s="92">
        <v>3</v>
      </c>
      <c r="K25" s="36">
        <v>23</v>
      </c>
      <c r="L25" s="97">
        <v>-55.699999999999989</v>
      </c>
    </row>
    <row r="26" spans="1:17" x14ac:dyDescent="0.4">
      <c r="A26" s="55" t="s">
        <v>304</v>
      </c>
      <c r="B26" s="50">
        <f>IF(B$16=0,0,C26/B$16)</f>
        <v>8891.8918918918916</v>
      </c>
      <c r="C26" s="43">
        <v>658000</v>
      </c>
      <c r="E26" s="61" t="s">
        <v>94</v>
      </c>
      <c r="F26" s="58" t="s">
        <v>49</v>
      </c>
      <c r="G26" s="45">
        <v>1</v>
      </c>
      <c r="H26" s="131">
        <f>IF(B$17=0,0,G26/B$17)</f>
        <v>3.7735849056603774E-3</v>
      </c>
      <c r="I26" s="92">
        <v>2</v>
      </c>
      <c r="K26" s="36">
        <v>24</v>
      </c>
      <c r="L26" s="97">
        <v>-59.499999999999986</v>
      </c>
    </row>
    <row r="27" spans="1:17" x14ac:dyDescent="0.4">
      <c r="A27" s="88" t="s">
        <v>142</v>
      </c>
      <c r="B27" s="142">
        <v>8</v>
      </c>
      <c r="C27" s="143"/>
      <c r="E27" s="61" t="s">
        <v>75</v>
      </c>
      <c r="F27" s="58" t="s">
        <v>30</v>
      </c>
      <c r="G27" s="45">
        <v>0</v>
      </c>
      <c r="H27" s="131">
        <f>IF(B$17=0,0,G27/B$17)</f>
        <v>0</v>
      </c>
      <c r="I27" s="92">
        <v>7</v>
      </c>
      <c r="K27" s="36">
        <v>25</v>
      </c>
      <c r="L27" s="97">
        <v>-39.999999999999986</v>
      </c>
    </row>
    <row r="28" spans="1:17" x14ac:dyDescent="0.4">
      <c r="A28" s="56" t="s">
        <v>152</v>
      </c>
      <c r="B28" s="140">
        <v>96000</v>
      </c>
      <c r="C28" s="141"/>
      <c r="E28" s="61" t="s">
        <v>77</v>
      </c>
      <c r="F28" s="58" t="s">
        <v>32</v>
      </c>
      <c r="G28" s="45">
        <v>0</v>
      </c>
      <c r="H28" s="131">
        <f>IF(B$17=0,0,G28/B$17)</f>
        <v>0</v>
      </c>
      <c r="I28" s="92">
        <v>1</v>
      </c>
      <c r="K28" s="36">
        <v>26</v>
      </c>
      <c r="L28" s="97">
        <v>-71.099999999999994</v>
      </c>
    </row>
    <row r="29" spans="1:17" x14ac:dyDescent="0.4">
      <c r="A29" s="55" t="s">
        <v>143</v>
      </c>
      <c r="B29" s="63">
        <v>2</v>
      </c>
      <c r="C29" s="40">
        <f>IF(B$3=0,0,B29/B$3)</f>
        <v>2.1881838074398249E-3</v>
      </c>
      <c r="E29" s="61" t="s">
        <v>81</v>
      </c>
      <c r="F29" s="58" t="s">
        <v>36</v>
      </c>
      <c r="G29" s="45">
        <v>0</v>
      </c>
      <c r="H29" s="131">
        <f>IF(B$17=0,0,G29/B$17)</f>
        <v>0</v>
      </c>
      <c r="I29" s="92">
        <v>1</v>
      </c>
      <c r="K29" s="36">
        <v>27</v>
      </c>
      <c r="L29" s="97">
        <v>-66.199999999999989</v>
      </c>
    </row>
    <row r="30" spans="1:17" x14ac:dyDescent="0.4">
      <c r="E30" s="61" t="s">
        <v>83</v>
      </c>
      <c r="F30" s="58" t="s">
        <v>38</v>
      </c>
      <c r="G30" s="45">
        <v>0</v>
      </c>
      <c r="H30" s="131">
        <f>IF(B$17=0,0,G30/B$17)</f>
        <v>0</v>
      </c>
      <c r="I30" s="92">
        <v>1</v>
      </c>
      <c r="K30" s="36">
        <v>28</v>
      </c>
      <c r="L30" s="97">
        <v>-116.49999999999999</v>
      </c>
    </row>
    <row r="31" spans="1:17" x14ac:dyDescent="0.4">
      <c r="E31" s="61" t="s">
        <v>86</v>
      </c>
      <c r="F31" s="58" t="s">
        <v>41</v>
      </c>
      <c r="G31" s="45">
        <v>0</v>
      </c>
      <c r="H31" s="131">
        <f>IF(B$17=0,0,G31/B$17)</f>
        <v>0</v>
      </c>
      <c r="I31" s="92">
        <v>5</v>
      </c>
      <c r="K31" s="36">
        <v>29</v>
      </c>
      <c r="L31" s="97">
        <v>-121.79999999999998</v>
      </c>
    </row>
    <row r="32" spans="1:17" x14ac:dyDescent="0.4">
      <c r="E32" s="61" t="s">
        <v>89</v>
      </c>
      <c r="F32" s="58" t="s">
        <v>44</v>
      </c>
      <c r="G32" s="45">
        <v>0</v>
      </c>
      <c r="H32" s="131">
        <f>IF(B$17=0,0,G32/B$17)</f>
        <v>0</v>
      </c>
      <c r="I32" s="92">
        <v>5</v>
      </c>
      <c r="K32" s="36">
        <v>30</v>
      </c>
      <c r="L32" s="97">
        <v>-156.19999999999999</v>
      </c>
    </row>
    <row r="33" spans="5:12" x14ac:dyDescent="0.4">
      <c r="E33" s="61" t="s">
        <v>91</v>
      </c>
      <c r="F33" s="58" t="s">
        <v>46</v>
      </c>
      <c r="G33" s="45">
        <v>0</v>
      </c>
      <c r="H33" s="131">
        <f>IF(B$17=0,0,G33/B$17)</f>
        <v>0</v>
      </c>
      <c r="I33" s="92">
        <v>5</v>
      </c>
      <c r="K33" s="36">
        <v>31</v>
      </c>
      <c r="L33" s="97">
        <v>-91.899999999999991</v>
      </c>
    </row>
    <row r="34" spans="5:12" x14ac:dyDescent="0.4">
      <c r="E34" s="61" t="s">
        <v>95</v>
      </c>
      <c r="F34" s="58" t="s">
        <v>50</v>
      </c>
      <c r="G34" s="45">
        <v>0</v>
      </c>
      <c r="H34" s="131">
        <f>IF(B$17=0,0,G34/B$17)</f>
        <v>0</v>
      </c>
      <c r="I34" s="92">
        <v>1</v>
      </c>
      <c r="K34" s="36">
        <v>32</v>
      </c>
      <c r="L34" s="97">
        <v>-119</v>
      </c>
    </row>
    <row r="35" spans="5:12" x14ac:dyDescent="0.4">
      <c r="E35" s="61" t="s">
        <v>96</v>
      </c>
      <c r="F35" s="58" t="s">
        <v>51</v>
      </c>
      <c r="G35" s="45">
        <v>0</v>
      </c>
      <c r="H35" s="131">
        <f>IF(B$17=0,0,G35/B$17)</f>
        <v>0</v>
      </c>
      <c r="I35" s="92">
        <v>4</v>
      </c>
      <c r="K35" s="36">
        <v>33</v>
      </c>
      <c r="L35" s="97">
        <v>-108.9</v>
      </c>
    </row>
    <row r="36" spans="5:12" x14ac:dyDescent="0.4">
      <c r="E36" s="61" t="s">
        <v>97</v>
      </c>
      <c r="F36" s="58" t="s">
        <v>52</v>
      </c>
      <c r="G36" s="45">
        <v>0</v>
      </c>
      <c r="H36" s="131">
        <f>IF(B$17=0,0,G36/B$17)</f>
        <v>0</v>
      </c>
      <c r="I36" s="92">
        <v>1</v>
      </c>
      <c r="K36" s="36">
        <v>34</v>
      </c>
      <c r="L36" s="97">
        <v>-56.7</v>
      </c>
    </row>
    <row r="37" spans="5:12" x14ac:dyDescent="0.4">
      <c r="E37" s="61" t="s">
        <v>98</v>
      </c>
      <c r="F37" s="58" t="s">
        <v>53</v>
      </c>
      <c r="G37" s="45">
        <v>0</v>
      </c>
      <c r="H37" s="131">
        <f>IF(B$17=0,0,G37/B$17)</f>
        <v>0</v>
      </c>
      <c r="I37" s="92">
        <v>3</v>
      </c>
      <c r="K37" s="36">
        <v>35</v>
      </c>
      <c r="L37" s="97">
        <v>-88.4</v>
      </c>
    </row>
    <row r="38" spans="5:12" x14ac:dyDescent="0.4">
      <c r="E38" s="61" t="s">
        <v>99</v>
      </c>
      <c r="F38" s="58" t="s">
        <v>54</v>
      </c>
      <c r="G38" s="45">
        <v>0</v>
      </c>
      <c r="H38" s="131">
        <f>IF(B$17=0,0,G38/B$17)</f>
        <v>0</v>
      </c>
      <c r="I38" s="92">
        <v>1</v>
      </c>
      <c r="K38" s="36">
        <v>36</v>
      </c>
      <c r="L38" s="97">
        <v>-130.69999999999999</v>
      </c>
    </row>
    <row r="39" spans="5:12" x14ac:dyDescent="0.4">
      <c r="E39" s="61" t="s">
        <v>100</v>
      </c>
      <c r="F39" s="58" t="s">
        <v>55</v>
      </c>
      <c r="G39" s="45">
        <v>0</v>
      </c>
      <c r="H39" s="131">
        <f>IF(B$17=0,0,G39/B$17)</f>
        <v>0</v>
      </c>
      <c r="I39" s="92">
        <v>1</v>
      </c>
      <c r="K39" s="36">
        <v>37</v>
      </c>
      <c r="L39" s="97">
        <v>-64.099999999999994</v>
      </c>
    </row>
    <row r="40" spans="5:12" x14ac:dyDescent="0.4">
      <c r="E40" s="61" t="s">
        <v>101</v>
      </c>
      <c r="F40" s="58" t="s">
        <v>56</v>
      </c>
      <c r="G40" s="45">
        <v>0</v>
      </c>
      <c r="H40" s="131">
        <f>IF(B$17=0,0,G40/B$17)</f>
        <v>0</v>
      </c>
      <c r="I40" s="92">
        <v>1</v>
      </c>
      <c r="K40" s="36">
        <v>38</v>
      </c>
      <c r="L40" s="97">
        <v>-76.599999999999994</v>
      </c>
    </row>
    <row r="41" spans="5:12" x14ac:dyDescent="0.4">
      <c r="E41" s="61" t="s">
        <v>102</v>
      </c>
      <c r="F41" s="58" t="s">
        <v>57</v>
      </c>
      <c r="G41" s="45">
        <v>0</v>
      </c>
      <c r="H41" s="131">
        <f>IF(B$17=0,0,G41/B$17)</f>
        <v>0</v>
      </c>
      <c r="I41" s="92">
        <v>3</v>
      </c>
      <c r="K41" s="36">
        <v>39</v>
      </c>
      <c r="L41" s="97">
        <v>-71.3</v>
      </c>
    </row>
    <row r="42" spans="5:12" x14ac:dyDescent="0.4">
      <c r="E42" s="61" t="s">
        <v>103</v>
      </c>
      <c r="F42" s="58" t="s">
        <v>58</v>
      </c>
      <c r="G42" s="45">
        <v>0</v>
      </c>
      <c r="H42" s="131">
        <f>IF(B$17=0,0,G42/B$17)</f>
        <v>0</v>
      </c>
      <c r="I42" s="92">
        <v>1</v>
      </c>
      <c r="K42" s="36">
        <v>40</v>
      </c>
      <c r="L42" s="97">
        <v>-65.2</v>
      </c>
    </row>
    <row r="43" spans="5:12" x14ac:dyDescent="0.4">
      <c r="E43" s="61" t="s">
        <v>104</v>
      </c>
      <c r="F43" s="58" t="s">
        <v>59</v>
      </c>
      <c r="G43" s="45">
        <v>0</v>
      </c>
      <c r="H43" s="131">
        <f>IF(B$17=0,0,G43/B$17)</f>
        <v>0</v>
      </c>
      <c r="I43" s="92">
        <v>1</v>
      </c>
      <c r="K43" s="36">
        <v>41</v>
      </c>
      <c r="L43" s="97">
        <v>-100</v>
      </c>
    </row>
    <row r="44" spans="5:12" x14ac:dyDescent="0.4">
      <c r="E44" s="61" t="s">
        <v>105</v>
      </c>
      <c r="F44" s="58" t="s">
        <v>60</v>
      </c>
      <c r="G44" s="45">
        <v>0</v>
      </c>
      <c r="H44" s="131">
        <f>IF(B$17=0,0,G44/B$17)</f>
        <v>0</v>
      </c>
      <c r="I44" s="92">
        <v>1</v>
      </c>
      <c r="K44" s="36">
        <v>42</v>
      </c>
      <c r="L44" s="97">
        <v>-65.5</v>
      </c>
    </row>
    <row r="45" spans="5:12" x14ac:dyDescent="0.4">
      <c r="E45" s="61" t="s">
        <v>106</v>
      </c>
      <c r="F45" s="58" t="s">
        <v>113</v>
      </c>
      <c r="G45" s="45">
        <v>0</v>
      </c>
      <c r="H45" s="131">
        <f>IF(B$17=0,0,G45/B$17)</f>
        <v>0</v>
      </c>
      <c r="I45" s="92">
        <v>1</v>
      </c>
      <c r="K45" s="36">
        <v>43</v>
      </c>
      <c r="L45" s="97">
        <v>-52</v>
      </c>
    </row>
    <row r="46" spans="5:12" x14ac:dyDescent="0.4">
      <c r="E46" s="61" t="s">
        <v>107</v>
      </c>
      <c r="F46" s="58" t="s">
        <v>114</v>
      </c>
      <c r="G46" s="45">
        <v>0</v>
      </c>
      <c r="H46" s="131">
        <f>IF(B$17=0,0,G46/B$17)</f>
        <v>0</v>
      </c>
      <c r="I46" s="92">
        <v>3</v>
      </c>
      <c r="K46" s="36">
        <v>44</v>
      </c>
      <c r="L46" s="97">
        <v>8.3999999999999986</v>
      </c>
    </row>
    <row r="47" spans="5:12" x14ac:dyDescent="0.4">
      <c r="E47" s="61" t="s">
        <v>108</v>
      </c>
      <c r="F47" s="58" t="s">
        <v>115</v>
      </c>
      <c r="G47" s="45">
        <v>0</v>
      </c>
      <c r="H47" s="131">
        <f>IF(B$17=0,0,G47/B$17)</f>
        <v>0</v>
      </c>
      <c r="I47" s="92">
        <v>1</v>
      </c>
      <c r="K47" s="36">
        <v>45</v>
      </c>
      <c r="L47" s="97">
        <v>-32.5</v>
      </c>
    </row>
    <row r="48" spans="5:12" x14ac:dyDescent="0.4">
      <c r="E48" s="61" t="s">
        <v>109</v>
      </c>
      <c r="F48" s="58" t="s">
        <v>61</v>
      </c>
      <c r="G48" s="45">
        <v>0</v>
      </c>
      <c r="H48" s="131">
        <f>IF(B$17=0,0,G48/B$17)</f>
        <v>0</v>
      </c>
      <c r="I48" s="92">
        <v>1</v>
      </c>
      <c r="K48" s="36">
        <v>46</v>
      </c>
      <c r="L48" s="97">
        <v>-6.1000000000000014</v>
      </c>
    </row>
    <row r="49" spans="5:12" x14ac:dyDescent="0.4">
      <c r="E49" s="61" t="s">
        <v>110</v>
      </c>
      <c r="F49" s="58" t="s">
        <v>62</v>
      </c>
      <c r="G49" s="45">
        <v>0</v>
      </c>
      <c r="H49" s="131">
        <f>IF(B$17=0,0,G49/B$17)</f>
        <v>0</v>
      </c>
      <c r="I49" s="92">
        <v>1</v>
      </c>
      <c r="K49" s="36">
        <v>47</v>
      </c>
      <c r="L49" s="97">
        <v>-33.1</v>
      </c>
    </row>
    <row r="50" spans="5:12" x14ac:dyDescent="0.4">
      <c r="E50" s="61" t="s">
        <v>111</v>
      </c>
      <c r="F50" s="58" t="s">
        <v>63</v>
      </c>
      <c r="G50" s="45">
        <v>0</v>
      </c>
      <c r="H50" s="131">
        <f>IF(B$17=0,0,G50/B$17)</f>
        <v>0</v>
      </c>
      <c r="I50" s="92">
        <v>1</v>
      </c>
      <c r="K50" s="36">
        <v>48</v>
      </c>
      <c r="L50" s="97">
        <v>-33.800000000000004</v>
      </c>
    </row>
    <row r="51" spans="5:12" x14ac:dyDescent="0.4">
      <c r="E51" s="134" t="s">
        <v>112</v>
      </c>
      <c r="F51" s="135" t="s">
        <v>64</v>
      </c>
      <c r="G51" s="46">
        <v>0</v>
      </c>
      <c r="H51" s="136">
        <f>IF(B$17=0,0,G51/B$17)</f>
        <v>0</v>
      </c>
      <c r="I51" s="137">
        <v>1</v>
      </c>
      <c r="K51" s="36">
        <v>49</v>
      </c>
      <c r="L51" s="97">
        <v>-23.100000000000005</v>
      </c>
    </row>
    <row r="52" spans="5:12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  <c r="K52" s="36">
        <v>50</v>
      </c>
      <c r="L52" s="97">
        <v>-79.300000000000011</v>
      </c>
    </row>
    <row r="53" spans="5:12" x14ac:dyDescent="0.4">
      <c r="K53" s="36">
        <v>51</v>
      </c>
      <c r="L53" s="97">
        <v>-16.600000000000009</v>
      </c>
    </row>
    <row r="54" spans="5:12" x14ac:dyDescent="0.4">
      <c r="K54" s="36">
        <v>52</v>
      </c>
      <c r="L54" s="97">
        <v>18.499999999999993</v>
      </c>
    </row>
    <row r="55" spans="5:12" x14ac:dyDescent="0.4">
      <c r="K55" s="36">
        <v>53</v>
      </c>
      <c r="L55" s="97">
        <v>-4.1000000000000085</v>
      </c>
    </row>
    <row r="56" spans="5:12" x14ac:dyDescent="0.4">
      <c r="K56" s="36">
        <v>54</v>
      </c>
      <c r="L56" s="97">
        <v>13.099999999999991</v>
      </c>
    </row>
    <row r="57" spans="5:12" x14ac:dyDescent="0.4">
      <c r="K57" s="36">
        <v>55</v>
      </c>
      <c r="L57" s="97">
        <v>26.999999999999993</v>
      </c>
    </row>
    <row r="58" spans="5:12" x14ac:dyDescent="0.4">
      <c r="K58" s="36">
        <v>56</v>
      </c>
      <c r="L58" s="97">
        <v>-46.500000000000007</v>
      </c>
    </row>
    <row r="59" spans="5:12" x14ac:dyDescent="0.4">
      <c r="K59" s="36">
        <v>57</v>
      </c>
      <c r="L59" s="97">
        <v>-35.100000000000009</v>
      </c>
    </row>
    <row r="60" spans="5:12" x14ac:dyDescent="0.4">
      <c r="K60" s="36">
        <v>58</v>
      </c>
      <c r="L60" s="97">
        <v>-67.300000000000011</v>
      </c>
    </row>
    <row r="61" spans="5:12" x14ac:dyDescent="0.4">
      <c r="K61" s="36">
        <v>59</v>
      </c>
      <c r="L61" s="97">
        <v>-52.70000000000001</v>
      </c>
    </row>
    <row r="62" spans="5:12" x14ac:dyDescent="0.4">
      <c r="K62" s="36">
        <v>60</v>
      </c>
      <c r="L62" s="97">
        <v>13.599999999999987</v>
      </c>
    </row>
    <row r="63" spans="5:12" x14ac:dyDescent="0.4">
      <c r="K63" s="36">
        <v>61</v>
      </c>
      <c r="L63" s="97">
        <v>-25.100000000000016</v>
      </c>
    </row>
    <row r="64" spans="5:12" x14ac:dyDescent="0.4">
      <c r="K64" s="36">
        <v>62</v>
      </c>
      <c r="L64" s="97">
        <v>-27.600000000000016</v>
      </c>
    </row>
    <row r="65" spans="11:12" x14ac:dyDescent="0.4">
      <c r="K65" s="36">
        <v>63</v>
      </c>
      <c r="L65" s="97">
        <v>19.999999999999986</v>
      </c>
    </row>
    <row r="66" spans="11:12" x14ac:dyDescent="0.4">
      <c r="K66" s="36">
        <v>64</v>
      </c>
      <c r="L66" s="97">
        <v>60.099999999999987</v>
      </c>
    </row>
    <row r="67" spans="11:12" x14ac:dyDescent="0.4">
      <c r="K67" s="36">
        <v>65</v>
      </c>
      <c r="L67" s="97">
        <v>131.6</v>
      </c>
    </row>
    <row r="68" spans="11:12" x14ac:dyDescent="0.4">
      <c r="K68" s="36">
        <v>66</v>
      </c>
      <c r="L68" s="97">
        <v>86.1</v>
      </c>
    </row>
    <row r="69" spans="11:12" x14ac:dyDescent="0.4">
      <c r="K69" s="36">
        <v>67</v>
      </c>
      <c r="L69" s="97">
        <v>154.1</v>
      </c>
    </row>
    <row r="70" spans="11:12" x14ac:dyDescent="0.4">
      <c r="K70" s="36">
        <v>68</v>
      </c>
      <c r="L70" s="97">
        <v>152.29999999999998</v>
      </c>
    </row>
    <row r="71" spans="11:12" x14ac:dyDescent="0.4">
      <c r="K71" s="36">
        <v>69</v>
      </c>
      <c r="L71" s="97">
        <v>106.19999999999999</v>
      </c>
    </row>
    <row r="72" spans="11:12" x14ac:dyDescent="0.4">
      <c r="K72" s="36">
        <v>70</v>
      </c>
      <c r="L72" s="97">
        <v>146.79999999999998</v>
      </c>
    </row>
    <row r="73" spans="11:12" x14ac:dyDescent="0.4">
      <c r="K73" s="36">
        <v>71</v>
      </c>
      <c r="L73" s="97">
        <v>88.799999999999983</v>
      </c>
    </row>
    <row r="74" spans="11:12" x14ac:dyDescent="0.4">
      <c r="K74" s="36">
        <v>72</v>
      </c>
      <c r="L74" s="97">
        <v>98.299999999999983</v>
      </c>
    </row>
    <row r="75" spans="11:12" x14ac:dyDescent="0.4">
      <c r="K75" s="36">
        <v>73</v>
      </c>
      <c r="L75" s="97">
        <v>156.29999999999998</v>
      </c>
    </row>
    <row r="76" spans="11:12" x14ac:dyDescent="0.4">
      <c r="K76" s="36">
        <v>74</v>
      </c>
      <c r="L76" s="97">
        <v>99.299999999999983</v>
      </c>
    </row>
    <row r="77" spans="11:12" x14ac:dyDescent="0.4">
      <c r="K77" s="36">
        <v>75</v>
      </c>
      <c r="L77" s="97">
        <v>145.29999999999998</v>
      </c>
    </row>
    <row r="78" spans="11:12" x14ac:dyDescent="0.4">
      <c r="K78" s="36">
        <v>76</v>
      </c>
      <c r="L78" s="97">
        <v>163.29999999999998</v>
      </c>
    </row>
    <row r="79" spans="11:12" x14ac:dyDescent="0.4">
      <c r="K79" s="36">
        <v>77</v>
      </c>
      <c r="L79" s="97">
        <v>89.59999999999998</v>
      </c>
    </row>
    <row r="80" spans="11:12" x14ac:dyDescent="0.4">
      <c r="K80" s="36">
        <v>78</v>
      </c>
      <c r="L80" s="97">
        <v>94.299999999999983</v>
      </c>
    </row>
    <row r="81" spans="11:12" x14ac:dyDescent="0.4">
      <c r="K81" s="36">
        <v>79</v>
      </c>
      <c r="L81" s="97">
        <v>118.49999999999999</v>
      </c>
    </row>
    <row r="82" spans="11:12" x14ac:dyDescent="0.4">
      <c r="K82" s="36">
        <v>80</v>
      </c>
      <c r="L82" s="97">
        <v>109.69999999999999</v>
      </c>
    </row>
    <row r="83" spans="11:12" x14ac:dyDescent="0.4">
      <c r="K83" s="36">
        <v>81</v>
      </c>
      <c r="L83" s="97">
        <v>173.1</v>
      </c>
    </row>
    <row r="84" spans="11:12" x14ac:dyDescent="0.4">
      <c r="K84" s="36">
        <v>82</v>
      </c>
      <c r="L84" s="97">
        <v>214.1</v>
      </c>
    </row>
    <row r="85" spans="11:12" x14ac:dyDescent="0.4">
      <c r="K85" s="36">
        <v>83</v>
      </c>
      <c r="L85" s="97">
        <v>210.9</v>
      </c>
    </row>
    <row r="86" spans="11:12" x14ac:dyDescent="0.4">
      <c r="K86" s="36">
        <v>84</v>
      </c>
      <c r="L86" s="97">
        <v>275.10000000000002</v>
      </c>
    </row>
    <row r="87" spans="11:12" x14ac:dyDescent="0.4">
      <c r="K87" s="36">
        <v>85</v>
      </c>
      <c r="L87" s="97">
        <v>213.10000000000002</v>
      </c>
    </row>
    <row r="88" spans="11:12" x14ac:dyDescent="0.4">
      <c r="K88" s="36">
        <v>86</v>
      </c>
      <c r="L88" s="97">
        <v>158.50000000000003</v>
      </c>
    </row>
    <row r="89" spans="11:12" x14ac:dyDescent="0.4">
      <c r="K89" s="36">
        <v>87</v>
      </c>
      <c r="L89" s="97">
        <v>102.50000000000003</v>
      </c>
    </row>
    <row r="90" spans="11:12" x14ac:dyDescent="0.4">
      <c r="K90" s="36">
        <v>88</v>
      </c>
      <c r="L90" s="97">
        <v>46.300000000000026</v>
      </c>
    </row>
    <row r="91" spans="11:12" x14ac:dyDescent="0.4">
      <c r="K91" s="36">
        <v>89</v>
      </c>
      <c r="L91" s="97">
        <v>32.000000000000028</v>
      </c>
    </row>
    <row r="92" spans="11:12" x14ac:dyDescent="0.4">
      <c r="K92" s="36">
        <v>90</v>
      </c>
      <c r="L92" s="97">
        <v>1.7000000000000277</v>
      </c>
    </row>
    <row r="93" spans="11:12" x14ac:dyDescent="0.4">
      <c r="K93" s="36">
        <v>91</v>
      </c>
      <c r="L93" s="97">
        <v>-9.1999999999999726</v>
      </c>
    </row>
    <row r="94" spans="11:12" x14ac:dyDescent="0.4">
      <c r="K94" s="36">
        <v>92</v>
      </c>
      <c r="L94" s="97">
        <v>-69.199999999999974</v>
      </c>
    </row>
    <row r="95" spans="11:12" x14ac:dyDescent="0.4">
      <c r="K95" s="36">
        <v>93</v>
      </c>
      <c r="L95" s="97">
        <v>-125.79999999999998</v>
      </c>
    </row>
    <row r="96" spans="11:12" x14ac:dyDescent="0.4">
      <c r="K96" s="36">
        <v>94</v>
      </c>
      <c r="L96" s="97">
        <v>-44.799999999999983</v>
      </c>
    </row>
    <row r="97" spans="11:12" x14ac:dyDescent="0.4">
      <c r="K97" s="36">
        <v>95</v>
      </c>
      <c r="L97" s="97">
        <v>-1.8999999999999844</v>
      </c>
    </row>
    <row r="98" spans="11:12" x14ac:dyDescent="0.4">
      <c r="K98" s="36">
        <v>96</v>
      </c>
      <c r="L98" s="97">
        <v>-48.599999999999987</v>
      </c>
    </row>
    <row r="99" spans="11:12" x14ac:dyDescent="0.4">
      <c r="K99" s="36">
        <v>97</v>
      </c>
      <c r="L99" s="97">
        <v>-49.399999999999984</v>
      </c>
    </row>
    <row r="100" spans="11:12" x14ac:dyDescent="0.4">
      <c r="K100" s="36">
        <v>98</v>
      </c>
      <c r="L100" s="97">
        <v>22.600000000000016</v>
      </c>
    </row>
    <row r="101" spans="11:12" x14ac:dyDescent="0.4">
      <c r="K101" s="36">
        <v>99</v>
      </c>
      <c r="L101" s="97">
        <v>-10.099999999999987</v>
      </c>
    </row>
    <row r="102" spans="11:12" x14ac:dyDescent="0.4">
      <c r="K102" s="36">
        <v>100</v>
      </c>
      <c r="L102" s="97">
        <v>-46.699999999999989</v>
      </c>
    </row>
    <row r="103" spans="11:12" x14ac:dyDescent="0.4">
      <c r="K103" s="36">
        <v>101</v>
      </c>
      <c r="L103" s="97">
        <v>-17.099999999999987</v>
      </c>
    </row>
    <row r="104" spans="11:12" x14ac:dyDescent="0.4">
      <c r="K104" s="36">
        <v>102</v>
      </c>
      <c r="L104" s="97">
        <v>27.400000000000013</v>
      </c>
    </row>
    <row r="105" spans="11:12" x14ac:dyDescent="0.4">
      <c r="K105" s="36">
        <v>103</v>
      </c>
      <c r="L105" s="97">
        <v>34.400000000000013</v>
      </c>
    </row>
    <row r="106" spans="11:12" x14ac:dyDescent="0.4">
      <c r="K106" s="36">
        <v>104</v>
      </c>
      <c r="L106" s="97">
        <v>29.800000000000011</v>
      </c>
    </row>
    <row r="107" spans="11:12" x14ac:dyDescent="0.4">
      <c r="K107" s="36">
        <v>105</v>
      </c>
      <c r="L107" s="97">
        <v>105.00000000000001</v>
      </c>
    </row>
    <row r="108" spans="11:12" x14ac:dyDescent="0.4">
      <c r="K108" s="36">
        <v>106</v>
      </c>
      <c r="L108" s="97">
        <v>140.5</v>
      </c>
    </row>
    <row r="109" spans="11:12" x14ac:dyDescent="0.4">
      <c r="K109" s="36">
        <v>107</v>
      </c>
      <c r="L109" s="97">
        <v>198.1</v>
      </c>
    </row>
    <row r="110" spans="11:12" x14ac:dyDescent="0.4">
      <c r="K110" s="36">
        <v>108</v>
      </c>
      <c r="L110" s="97">
        <v>181</v>
      </c>
    </row>
    <row r="111" spans="11:12" x14ac:dyDescent="0.4">
      <c r="K111" s="36">
        <v>109</v>
      </c>
      <c r="L111" s="97">
        <v>167.1</v>
      </c>
    </row>
    <row r="112" spans="11:12" x14ac:dyDescent="0.4">
      <c r="K112" s="36">
        <v>110</v>
      </c>
      <c r="L112" s="97">
        <v>136.29999999999998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01073-EFAB-4A9E-8A74-4D4A0D175628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172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105</v>
      </c>
      <c r="C2" s="149"/>
      <c r="E2" s="60" t="s">
        <v>67</v>
      </c>
      <c r="F2" s="57" t="s">
        <v>23</v>
      </c>
      <c r="G2" s="44">
        <v>190</v>
      </c>
      <c r="H2" s="130">
        <f>IF(B$17=0,0,G2/B$17)</f>
        <v>0.64189189189189189</v>
      </c>
      <c r="I2" s="91">
        <v>10</v>
      </c>
      <c r="K2" s="34">
        <v>0</v>
      </c>
      <c r="L2" s="96">
        <v>0</v>
      </c>
      <c r="N2" s="112" t="s">
        <v>132</v>
      </c>
      <c r="O2" s="119">
        <f t="shared" ref="O2:O7" si="0">IF(P2=0,0,Q2/P2)</f>
        <v>37.142857142857146</v>
      </c>
      <c r="P2" s="116">
        <v>105</v>
      </c>
      <c r="Q2" s="100">
        <v>3900</v>
      </c>
    </row>
    <row r="3" spans="1:17" x14ac:dyDescent="0.4">
      <c r="A3" s="53" t="s">
        <v>8</v>
      </c>
      <c r="B3" s="150">
        <v>890</v>
      </c>
      <c r="C3" s="151"/>
      <c r="E3" s="61" t="s">
        <v>73</v>
      </c>
      <c r="F3" s="58" t="s">
        <v>28</v>
      </c>
      <c r="G3" s="45">
        <v>168</v>
      </c>
      <c r="H3" s="131">
        <f>IF(B$17=0,0,G3/B$17)</f>
        <v>0.56756756756756754</v>
      </c>
      <c r="I3" s="92">
        <v>6</v>
      </c>
      <c r="K3" s="36">
        <v>1</v>
      </c>
      <c r="L3" s="97">
        <v>11.1</v>
      </c>
      <c r="N3" s="113" t="s">
        <v>133</v>
      </c>
      <c r="O3" s="120">
        <f t="shared" si="0"/>
        <v>-963.80952380952385</v>
      </c>
      <c r="P3" s="117">
        <v>105</v>
      </c>
      <c r="Q3" s="101">
        <v>-101200</v>
      </c>
    </row>
    <row r="4" spans="1:17" x14ac:dyDescent="0.4">
      <c r="A4" s="53" t="s">
        <v>6</v>
      </c>
      <c r="B4" s="152">
        <v>-243.50000000000006</v>
      </c>
      <c r="C4" s="153"/>
      <c r="E4" s="61" t="s">
        <v>245</v>
      </c>
      <c r="F4" s="58" t="s">
        <v>246</v>
      </c>
      <c r="G4" s="45">
        <v>126</v>
      </c>
      <c r="H4" s="131">
        <f>IF(B$17=0,0,G4/B$17)</f>
        <v>0.42567567567567566</v>
      </c>
      <c r="I4" s="92">
        <v>4</v>
      </c>
      <c r="K4" s="36">
        <v>2</v>
      </c>
      <c r="L4" s="97">
        <v>-7.7000000000000011</v>
      </c>
      <c r="N4" s="113" t="s">
        <v>134</v>
      </c>
      <c r="O4" s="120">
        <f t="shared" si="0"/>
        <v>-1045.2631578947369</v>
      </c>
      <c r="P4" s="117">
        <v>95</v>
      </c>
      <c r="Q4" s="101">
        <v>-99300</v>
      </c>
    </row>
    <row r="5" spans="1:17" x14ac:dyDescent="0.4">
      <c r="A5" s="53" t="s">
        <v>7</v>
      </c>
      <c r="B5" s="154">
        <f>IF(B$2=0,0,B$4/B$2)</f>
        <v>-2.3190476190476197</v>
      </c>
      <c r="C5" s="155"/>
      <c r="E5" s="61" t="s">
        <v>65</v>
      </c>
      <c r="F5" s="58" t="s">
        <v>21</v>
      </c>
      <c r="G5" s="45">
        <v>105</v>
      </c>
      <c r="H5" s="131">
        <f>IF(B$17=0,0,G5/B$17)</f>
        <v>0.35472972972972971</v>
      </c>
      <c r="I5" s="92">
        <v>14</v>
      </c>
      <c r="K5" s="36">
        <v>3</v>
      </c>
      <c r="L5" s="97">
        <v>1.7999999999999989</v>
      </c>
      <c r="N5" s="113" t="s">
        <v>135</v>
      </c>
      <c r="O5" s="120">
        <f t="shared" si="0"/>
        <v>1017.7777777777778</v>
      </c>
      <c r="P5" s="117">
        <v>90</v>
      </c>
      <c r="Q5" s="101">
        <v>91600</v>
      </c>
    </row>
    <row r="6" spans="1:17" x14ac:dyDescent="0.4">
      <c r="A6" s="53" t="s">
        <v>1</v>
      </c>
      <c r="B6" s="144">
        <f>IF(B$2=0,0,(B$7*1+B$8*2+B$9*3)/B$2)</f>
        <v>2.0571428571428569</v>
      </c>
      <c r="C6" s="145"/>
      <c r="E6" s="61" t="s">
        <v>69</v>
      </c>
      <c r="F6" s="58" t="s">
        <v>12</v>
      </c>
      <c r="G6" s="45">
        <v>73</v>
      </c>
      <c r="H6" s="131">
        <f>IF(B$17=0,0,G6/B$17)</f>
        <v>0.24662162162162163</v>
      </c>
      <c r="I6" s="92">
        <v>13</v>
      </c>
      <c r="K6" s="36">
        <v>4</v>
      </c>
      <c r="L6" s="97">
        <v>34.9</v>
      </c>
      <c r="N6" s="113" t="s">
        <v>136</v>
      </c>
      <c r="O6" s="120">
        <f t="shared" si="0"/>
        <v>-176.1904761904762</v>
      </c>
      <c r="P6" s="117">
        <v>84</v>
      </c>
      <c r="Q6" s="101">
        <v>-14800</v>
      </c>
    </row>
    <row r="7" spans="1:17" x14ac:dyDescent="0.4">
      <c r="A7" s="53" t="s">
        <v>2</v>
      </c>
      <c r="B7" s="45">
        <v>26</v>
      </c>
      <c r="C7" s="37">
        <f t="shared" ref="C7:C12" si="1">IF(B$2=0,0,B7/B$2)</f>
        <v>0.24761904761904763</v>
      </c>
      <c r="E7" s="61" t="s">
        <v>68</v>
      </c>
      <c r="F7" s="58" t="s">
        <v>24</v>
      </c>
      <c r="G7" s="45">
        <v>53</v>
      </c>
      <c r="H7" s="131">
        <f>IF(B$17=0,0,G7/B$17)</f>
        <v>0.17905405405405406</v>
      </c>
      <c r="I7" s="92">
        <v>13</v>
      </c>
      <c r="K7" s="36">
        <v>5</v>
      </c>
      <c r="L7" s="97">
        <v>29.4</v>
      </c>
      <c r="N7" s="114" t="s">
        <v>137</v>
      </c>
      <c r="O7" s="121">
        <f t="shared" si="0"/>
        <v>-549.29577464788736</v>
      </c>
      <c r="P7" s="118">
        <v>71</v>
      </c>
      <c r="Q7" s="102">
        <v>-39000</v>
      </c>
    </row>
    <row r="8" spans="1:17" x14ac:dyDescent="0.4">
      <c r="A8" s="53" t="s">
        <v>3</v>
      </c>
      <c r="B8" s="45">
        <v>47</v>
      </c>
      <c r="C8" s="37">
        <f t="shared" si="1"/>
        <v>0.44761904761904764</v>
      </c>
      <c r="E8" s="61" t="s">
        <v>70</v>
      </c>
      <c r="F8" s="58" t="s">
        <v>25</v>
      </c>
      <c r="G8" s="45">
        <v>46</v>
      </c>
      <c r="H8" s="131">
        <f>IF(B$17=0,0,G8/B$17)</f>
        <v>0.1554054054054054</v>
      </c>
      <c r="I8" s="92">
        <v>7</v>
      </c>
      <c r="K8" s="36">
        <v>6</v>
      </c>
      <c r="L8" s="97">
        <v>4.2999999999999972</v>
      </c>
      <c r="N8" s="41"/>
      <c r="O8" s="125"/>
      <c r="P8" s="109"/>
      <c r="Q8" s="107"/>
    </row>
    <row r="9" spans="1:17" x14ac:dyDescent="0.4">
      <c r="A9" s="54" t="s">
        <v>4</v>
      </c>
      <c r="B9" s="46">
        <v>32</v>
      </c>
      <c r="C9" s="38">
        <f t="shared" si="1"/>
        <v>0.30476190476190479</v>
      </c>
      <c r="E9" s="61" t="s">
        <v>66</v>
      </c>
      <c r="F9" s="58" t="s">
        <v>22</v>
      </c>
      <c r="G9" s="45">
        <v>31</v>
      </c>
      <c r="H9" s="131">
        <f>IF(B$17=0,0,G9/B$17)</f>
        <v>0.10472972972972973</v>
      </c>
      <c r="I9" s="92">
        <v>7</v>
      </c>
      <c r="K9" s="36">
        <v>7</v>
      </c>
      <c r="L9" s="97">
        <v>7.7999999999999972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6</v>
      </c>
      <c r="C10" s="38">
        <f t="shared" si="1"/>
        <v>5.7142857142857141E-2</v>
      </c>
      <c r="E10" s="61" t="s">
        <v>90</v>
      </c>
      <c r="F10" s="58" t="s">
        <v>45</v>
      </c>
      <c r="G10" s="45">
        <v>24</v>
      </c>
      <c r="H10" s="131">
        <f>IF(B$17=0,0,G10/B$17)</f>
        <v>8.1081081081081086E-2</v>
      </c>
      <c r="I10" s="92">
        <v>13</v>
      </c>
      <c r="K10" s="36">
        <v>8</v>
      </c>
      <c r="L10" s="97">
        <v>-29.5</v>
      </c>
      <c r="N10" s="112" t="s">
        <v>164</v>
      </c>
      <c r="O10" s="122">
        <f>IF(P10=0,0,Q10/P10)</f>
        <v>-4.161764705882355</v>
      </c>
      <c r="P10" s="116">
        <v>34</v>
      </c>
      <c r="Q10" s="104">
        <v>-141.50000000000009</v>
      </c>
    </row>
    <row r="11" spans="1:17" x14ac:dyDescent="0.4">
      <c r="A11" s="54" t="s">
        <v>140</v>
      </c>
      <c r="B11" s="46">
        <v>10</v>
      </c>
      <c r="C11" s="38">
        <f t="shared" si="1"/>
        <v>9.5238095238095233E-2</v>
      </c>
      <c r="E11" s="61" t="s">
        <v>72</v>
      </c>
      <c r="F11" s="58" t="s">
        <v>27</v>
      </c>
      <c r="G11" s="45">
        <v>23</v>
      </c>
      <c r="H11" s="131">
        <f>IF(B$17=0,0,G11/B$17)</f>
        <v>7.77027027027027E-2</v>
      </c>
      <c r="I11" s="92">
        <v>4</v>
      </c>
      <c r="K11" s="36">
        <v>9</v>
      </c>
      <c r="L11" s="97">
        <v>-56.5</v>
      </c>
      <c r="N11" s="113" t="s">
        <v>165</v>
      </c>
      <c r="O11" s="123">
        <f>IF(P11=0,0,Q11/P11)</f>
        <v>1.9129032258064516</v>
      </c>
      <c r="P11" s="117">
        <v>31</v>
      </c>
      <c r="Q11" s="105">
        <v>59.3</v>
      </c>
    </row>
    <row r="12" spans="1:17" x14ac:dyDescent="0.4">
      <c r="A12" s="55" t="s">
        <v>160</v>
      </c>
      <c r="B12" s="47">
        <v>9</v>
      </c>
      <c r="C12" s="40">
        <f t="shared" si="1"/>
        <v>8.5714285714285715E-2</v>
      </c>
      <c r="E12" s="61" t="s">
        <v>71</v>
      </c>
      <c r="F12" s="58" t="s">
        <v>26</v>
      </c>
      <c r="G12" s="45">
        <v>21</v>
      </c>
      <c r="H12" s="131">
        <f>IF(B$17=0,0,G12/B$17)</f>
        <v>7.0945945945945943E-2</v>
      </c>
      <c r="I12" s="92">
        <v>9</v>
      </c>
      <c r="K12" s="36">
        <v>10</v>
      </c>
      <c r="L12" s="97">
        <v>24.200000000000003</v>
      </c>
      <c r="N12" s="114" t="s">
        <v>166</v>
      </c>
      <c r="O12" s="124">
        <f>IF(P12=0,0,Q12/P12)</f>
        <v>-4.0325000000000006</v>
      </c>
      <c r="P12" s="118">
        <v>40</v>
      </c>
      <c r="Q12" s="106">
        <v>-161.30000000000001</v>
      </c>
    </row>
    <row r="13" spans="1:17" x14ac:dyDescent="0.4">
      <c r="A13" s="56" t="s">
        <v>122</v>
      </c>
      <c r="B13" s="48">
        <v>189</v>
      </c>
      <c r="C13" s="42">
        <f>IF(B$3=0,0,B13/B$3)</f>
        <v>0.21235955056179776</v>
      </c>
      <c r="E13" s="61" t="s">
        <v>84</v>
      </c>
      <c r="F13" s="58" t="s">
        <v>39</v>
      </c>
      <c r="G13" s="45">
        <v>21</v>
      </c>
      <c r="H13" s="131">
        <f>IF(B$17=0,0,G13/B$17)</f>
        <v>7.0945945945945943E-2</v>
      </c>
      <c r="I13" s="92">
        <v>3</v>
      </c>
      <c r="K13" s="36">
        <v>11</v>
      </c>
      <c r="L13" s="97">
        <v>74.2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254</v>
      </c>
      <c r="C14" s="37">
        <f>IF(B$3=0,0,B14/B$3)</f>
        <v>0.28539325842696628</v>
      </c>
      <c r="E14" s="61" t="s">
        <v>87</v>
      </c>
      <c r="F14" s="58" t="s">
        <v>42</v>
      </c>
      <c r="G14" s="45">
        <v>13</v>
      </c>
      <c r="H14" s="131">
        <f>IF(B$17=0,0,G14/B$17)</f>
        <v>4.3918918918918921E-2</v>
      </c>
      <c r="I14" s="92">
        <v>12</v>
      </c>
      <c r="K14" s="36">
        <v>12</v>
      </c>
      <c r="L14" s="97">
        <v>46.1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104</v>
      </c>
      <c r="C15" s="35">
        <f>IF(B$13=0,0,B15/B$13)</f>
        <v>0.55026455026455023</v>
      </c>
      <c r="E15" s="61" t="s">
        <v>82</v>
      </c>
      <c r="F15" s="58" t="s">
        <v>37</v>
      </c>
      <c r="G15" s="45">
        <v>9</v>
      </c>
      <c r="H15" s="131">
        <f>IF(B$17=0,0,G15/B$17)</f>
        <v>3.0405405405405407E-2</v>
      </c>
      <c r="I15" s="92">
        <v>3</v>
      </c>
      <c r="K15" s="36">
        <v>13</v>
      </c>
      <c r="L15" s="97">
        <v>-3</v>
      </c>
      <c r="N15" s="112" t="s">
        <v>184</v>
      </c>
      <c r="O15" s="122">
        <f>IF(P15=0,0,Q15/P15)</f>
        <v>44.424999999999997</v>
      </c>
      <c r="P15" s="116">
        <v>4</v>
      </c>
      <c r="Q15" s="104">
        <v>177.7</v>
      </c>
    </row>
    <row r="16" spans="1:17" x14ac:dyDescent="0.4">
      <c r="A16" s="52" t="s">
        <v>125</v>
      </c>
      <c r="B16" s="44">
        <v>107</v>
      </c>
      <c r="C16" s="35">
        <f>IF(B$14=0,0,B16/B$14)</f>
        <v>0.42125984251968501</v>
      </c>
      <c r="E16" s="61" t="s">
        <v>79</v>
      </c>
      <c r="F16" s="58" t="s">
        <v>34</v>
      </c>
      <c r="G16" s="45">
        <v>4</v>
      </c>
      <c r="H16" s="131">
        <f>IF(B$17=0,0,G16/B$17)</f>
        <v>1.3513513513513514E-2</v>
      </c>
      <c r="I16" s="92">
        <v>11</v>
      </c>
      <c r="K16" s="36">
        <v>14</v>
      </c>
      <c r="L16" s="97">
        <v>-12.3</v>
      </c>
      <c r="N16" s="113" t="s">
        <v>129</v>
      </c>
      <c r="O16" s="123">
        <f>IF(P16=0,0,Q16/P16)</f>
        <v>21.449999999999992</v>
      </c>
      <c r="P16" s="117">
        <v>38</v>
      </c>
      <c r="Q16" s="105">
        <v>815.09999999999968</v>
      </c>
    </row>
    <row r="17" spans="1:17" x14ac:dyDescent="0.4">
      <c r="A17" s="52" t="s">
        <v>10</v>
      </c>
      <c r="B17" s="44">
        <f>B19+B18</f>
        <v>296</v>
      </c>
      <c r="C17" s="35">
        <f>IF(B$3=0,0,B17/B$3)</f>
        <v>0.33258426966292137</v>
      </c>
      <c r="E17" s="61" t="s">
        <v>92</v>
      </c>
      <c r="F17" s="58" t="s">
        <v>47</v>
      </c>
      <c r="G17" s="45">
        <v>4</v>
      </c>
      <c r="H17" s="131">
        <f>IF(B$17=0,0,G17/B$17)</f>
        <v>1.3513513513513514E-2</v>
      </c>
      <c r="I17" s="92">
        <v>8</v>
      </c>
      <c r="K17" s="36">
        <v>15</v>
      </c>
      <c r="L17" s="97">
        <v>-80.3</v>
      </c>
      <c r="N17" s="113" t="s">
        <v>173</v>
      </c>
      <c r="O17" s="123">
        <f>IF(P17=0,0,Q17/P17)</f>
        <v>4.0692307692307663</v>
      </c>
      <c r="P17" s="117">
        <v>13</v>
      </c>
      <c r="Q17" s="105">
        <v>52.899999999999963</v>
      </c>
    </row>
    <row r="18" spans="1:17" x14ac:dyDescent="0.4">
      <c r="A18" s="53" t="s">
        <v>12</v>
      </c>
      <c r="B18" s="45">
        <v>117</v>
      </c>
      <c r="C18" s="37">
        <f>IF(B$17=0,0,B18/B$17)</f>
        <v>0.39527027027027029</v>
      </c>
      <c r="E18" s="61" t="s">
        <v>80</v>
      </c>
      <c r="F18" s="58" t="s">
        <v>35</v>
      </c>
      <c r="G18" s="45">
        <v>3</v>
      </c>
      <c r="H18" s="131">
        <f>IF(B$17=0,0,G18/B$17)</f>
        <v>1.0135135135135136E-2</v>
      </c>
      <c r="I18" s="92">
        <v>11</v>
      </c>
      <c r="K18" s="36">
        <v>16</v>
      </c>
      <c r="L18" s="97">
        <v>-87.6</v>
      </c>
      <c r="N18" s="113" t="s">
        <v>177</v>
      </c>
      <c r="O18" s="123">
        <f>IF(P18=0,0,Q18/P18)</f>
        <v>1.6363636363636347</v>
      </c>
      <c r="P18" s="117">
        <v>33</v>
      </c>
      <c r="Q18" s="105">
        <v>53.999999999999943</v>
      </c>
    </row>
    <row r="19" spans="1:17" x14ac:dyDescent="0.4">
      <c r="A19" s="53" t="s">
        <v>11</v>
      </c>
      <c r="B19" s="45">
        <v>179</v>
      </c>
      <c r="C19" s="37">
        <f>IF(B$17=0,0,B19/B$17)</f>
        <v>0.60472972972972971</v>
      </c>
      <c r="E19" s="61" t="s">
        <v>75</v>
      </c>
      <c r="F19" s="58" t="s">
        <v>30</v>
      </c>
      <c r="G19" s="45">
        <v>2</v>
      </c>
      <c r="H19" s="131">
        <f>IF(B$17=0,0,G19/B$17)</f>
        <v>6.7567567567567571E-3</v>
      </c>
      <c r="I19" s="92">
        <v>4</v>
      </c>
      <c r="K19" s="36">
        <v>17</v>
      </c>
      <c r="L19" s="97">
        <v>-55.099999999999994</v>
      </c>
      <c r="N19" s="113" t="s">
        <v>128</v>
      </c>
      <c r="O19" s="123">
        <f>IF(P19=0,0,Q19/P19)</f>
        <v>0.40270270270270248</v>
      </c>
      <c r="P19" s="117">
        <v>37</v>
      </c>
      <c r="Q19" s="105">
        <v>14.899999999999991</v>
      </c>
    </row>
    <row r="20" spans="1:17" x14ac:dyDescent="0.4">
      <c r="A20" s="53" t="s">
        <v>13</v>
      </c>
      <c r="B20" s="45">
        <v>130</v>
      </c>
      <c r="C20" s="37">
        <f>IF(B$3=0,0,B20/B$3)</f>
        <v>0.14606741573033707</v>
      </c>
      <c r="E20" s="61" t="s">
        <v>74</v>
      </c>
      <c r="F20" s="58" t="s">
        <v>29</v>
      </c>
      <c r="G20" s="45">
        <v>1</v>
      </c>
      <c r="H20" s="131">
        <f>IF(B$17=0,0,G20/B$17)</f>
        <v>3.3783783783783786E-3</v>
      </c>
      <c r="I20" s="92">
        <v>7</v>
      </c>
      <c r="K20" s="36">
        <v>18</v>
      </c>
      <c r="L20" s="97">
        <v>-28.199999999999996</v>
      </c>
      <c r="N20" s="113" t="s">
        <v>171</v>
      </c>
      <c r="O20" s="123">
        <f>IF(P20=0,0,Q20/P20)</f>
        <v>-7.0136363636363646</v>
      </c>
      <c r="P20" s="117">
        <v>22</v>
      </c>
      <c r="Q20" s="105">
        <v>-154.30000000000001</v>
      </c>
    </row>
    <row r="21" spans="1:17" x14ac:dyDescent="0.4">
      <c r="A21" s="53" t="s">
        <v>191</v>
      </c>
      <c r="B21" s="45">
        <v>10</v>
      </c>
      <c r="C21" s="133">
        <v>0</v>
      </c>
      <c r="E21" s="61" t="s">
        <v>76</v>
      </c>
      <c r="F21" s="58" t="s">
        <v>31</v>
      </c>
      <c r="G21" s="45">
        <v>1</v>
      </c>
      <c r="H21" s="131">
        <f>IF(B$17=0,0,G21/B$17)</f>
        <v>3.3783783783783786E-3</v>
      </c>
      <c r="I21" s="92">
        <v>7</v>
      </c>
      <c r="K21" s="36">
        <v>19</v>
      </c>
      <c r="L21" s="97">
        <v>29.200000000000003</v>
      </c>
      <c r="N21" s="113" t="s">
        <v>200</v>
      </c>
      <c r="O21" s="123">
        <f>IF(P21=0,0,Q21/P21)</f>
        <v>-16.62857142857143</v>
      </c>
      <c r="P21" s="117">
        <v>7</v>
      </c>
      <c r="Q21" s="105">
        <v>-116.40000000000002</v>
      </c>
    </row>
    <row r="22" spans="1:17" x14ac:dyDescent="0.4">
      <c r="A22" s="53" t="s">
        <v>192</v>
      </c>
      <c r="B22" s="45">
        <v>23</v>
      </c>
      <c r="C22" s="133">
        <v>1</v>
      </c>
      <c r="E22" s="61" t="s">
        <v>78</v>
      </c>
      <c r="F22" s="58" t="s">
        <v>33</v>
      </c>
      <c r="G22" s="45">
        <v>1</v>
      </c>
      <c r="H22" s="131">
        <f>IF(B$17=0,0,G22/B$17)</f>
        <v>3.3783783783783786E-3</v>
      </c>
      <c r="I22" s="92">
        <v>7</v>
      </c>
      <c r="K22" s="36">
        <v>20</v>
      </c>
      <c r="L22" s="97">
        <v>43</v>
      </c>
      <c r="N22" s="113" t="s">
        <v>127</v>
      </c>
      <c r="O22" s="123">
        <f>IF(P22=0,0,Q22/P22)</f>
        <v>-27.732075471698106</v>
      </c>
      <c r="P22" s="117">
        <v>53</v>
      </c>
      <c r="Q22" s="105">
        <v>-1469.7999999999997</v>
      </c>
    </row>
    <row r="23" spans="1:17" x14ac:dyDescent="0.4">
      <c r="A23" s="53" t="s">
        <v>5</v>
      </c>
      <c r="B23" s="49">
        <f>IF(B$17=0,0,C23/B$17)</f>
        <v>6762.5</v>
      </c>
      <c r="C23" s="39">
        <v>2001700</v>
      </c>
      <c r="E23" s="61" t="s">
        <v>88</v>
      </c>
      <c r="F23" s="58" t="s">
        <v>43</v>
      </c>
      <c r="G23" s="45">
        <v>1</v>
      </c>
      <c r="H23" s="131">
        <f>IF(B$17=0,0,G23/B$17)</f>
        <v>3.3783783783783786E-3</v>
      </c>
      <c r="I23" s="92">
        <v>4</v>
      </c>
      <c r="K23" s="36">
        <v>21</v>
      </c>
      <c r="L23" s="97">
        <v>89.9</v>
      </c>
      <c r="N23" s="113" t="s">
        <v>223</v>
      </c>
      <c r="O23" s="123">
        <f>IF(P23=0,0,Q23/P23)</f>
        <v>-34.866666666666667</v>
      </c>
      <c r="P23" s="117">
        <v>3</v>
      </c>
      <c r="Q23" s="105">
        <v>-104.6</v>
      </c>
    </row>
    <row r="24" spans="1:17" x14ac:dyDescent="0.4">
      <c r="A24" s="53" t="s">
        <v>14</v>
      </c>
      <c r="B24" s="49">
        <f>IF(B$20=0,0,C24/B$20)</f>
        <v>-8148.4615384615381</v>
      </c>
      <c r="C24" s="39">
        <v>-1059300</v>
      </c>
      <c r="E24" s="61" t="s">
        <v>91</v>
      </c>
      <c r="F24" s="58" t="s">
        <v>46</v>
      </c>
      <c r="G24" s="45">
        <v>1</v>
      </c>
      <c r="H24" s="131">
        <f>IF(B$17=0,0,G24/B$17)</f>
        <v>3.3783783783783786E-3</v>
      </c>
      <c r="I24" s="92">
        <v>3</v>
      </c>
      <c r="K24" s="36">
        <v>22</v>
      </c>
      <c r="L24" s="97">
        <v>54.7</v>
      </c>
    </row>
    <row r="25" spans="1:17" x14ac:dyDescent="0.4">
      <c r="A25" s="53" t="s">
        <v>305</v>
      </c>
      <c r="B25" s="49">
        <f>IF($B$17-B$16=0,0,C25/($B$17-B$16))</f>
        <v>7049.2063492063489</v>
      </c>
      <c r="C25" s="39">
        <v>1332300</v>
      </c>
      <c r="E25" s="61" t="s">
        <v>77</v>
      </c>
      <c r="F25" s="58" t="s">
        <v>32</v>
      </c>
      <c r="G25" s="45">
        <v>0</v>
      </c>
      <c r="H25" s="131">
        <f>IF(B$17=0,0,G25/B$17)</f>
        <v>0</v>
      </c>
      <c r="I25" s="92">
        <v>1</v>
      </c>
      <c r="K25" s="36">
        <v>23</v>
      </c>
      <c r="L25" s="97">
        <v>-5.3999999999999986</v>
      </c>
    </row>
    <row r="26" spans="1:17" x14ac:dyDescent="0.4">
      <c r="A26" s="55" t="s">
        <v>304</v>
      </c>
      <c r="B26" s="50">
        <f>IF(B$16=0,0,C26/B$16)</f>
        <v>6256.0747663551401</v>
      </c>
      <c r="C26" s="43">
        <v>669400</v>
      </c>
      <c r="E26" s="61" t="s">
        <v>81</v>
      </c>
      <c r="F26" s="58" t="s">
        <v>36</v>
      </c>
      <c r="G26" s="45">
        <v>0</v>
      </c>
      <c r="H26" s="131">
        <f>IF(B$17=0,0,G26/B$17)</f>
        <v>0</v>
      </c>
      <c r="I26" s="92">
        <v>1</v>
      </c>
      <c r="K26" s="36">
        <v>24</v>
      </c>
      <c r="L26" s="97">
        <v>68.900000000000006</v>
      </c>
    </row>
    <row r="27" spans="1:17" x14ac:dyDescent="0.4">
      <c r="A27" s="88" t="s">
        <v>142</v>
      </c>
      <c r="B27" s="142">
        <v>7</v>
      </c>
      <c r="C27" s="143"/>
      <c r="E27" s="61" t="s">
        <v>83</v>
      </c>
      <c r="F27" s="58" t="s">
        <v>38</v>
      </c>
      <c r="G27" s="45">
        <v>0</v>
      </c>
      <c r="H27" s="131">
        <f>IF(B$17=0,0,G27/B$17)</f>
        <v>0</v>
      </c>
      <c r="I27" s="92">
        <v>1</v>
      </c>
      <c r="K27" s="36">
        <v>25</v>
      </c>
      <c r="L27" s="97">
        <v>30.400000000000006</v>
      </c>
    </row>
    <row r="28" spans="1:17" x14ac:dyDescent="0.4">
      <c r="A28" s="56" t="s">
        <v>152</v>
      </c>
      <c r="B28" s="140">
        <v>97500</v>
      </c>
      <c r="C28" s="141"/>
      <c r="E28" s="61" t="s">
        <v>85</v>
      </c>
      <c r="F28" s="58" t="s">
        <v>40</v>
      </c>
      <c r="G28" s="45">
        <v>0</v>
      </c>
      <c r="H28" s="131">
        <f>IF(B$17=0,0,G28/B$17)</f>
        <v>0</v>
      </c>
      <c r="I28" s="92">
        <v>6</v>
      </c>
      <c r="K28" s="36">
        <v>26</v>
      </c>
      <c r="L28" s="97">
        <v>32.900000000000006</v>
      </c>
    </row>
    <row r="29" spans="1:17" x14ac:dyDescent="0.4">
      <c r="A29" s="55" t="s">
        <v>143</v>
      </c>
      <c r="B29" s="63">
        <v>1</v>
      </c>
      <c r="C29" s="40">
        <f>IF(B$3=0,0,B29/B$3)</f>
        <v>1.1235955056179776E-3</v>
      </c>
      <c r="E29" s="61" t="s">
        <v>86</v>
      </c>
      <c r="F29" s="58" t="s">
        <v>41</v>
      </c>
      <c r="G29" s="45">
        <v>0</v>
      </c>
      <c r="H29" s="131">
        <f>IF(B$17=0,0,G29/B$17)</f>
        <v>0</v>
      </c>
      <c r="I29" s="92">
        <v>5</v>
      </c>
      <c r="K29" s="36">
        <v>27</v>
      </c>
      <c r="L29" s="97">
        <v>40.400000000000006</v>
      </c>
    </row>
    <row r="30" spans="1:17" x14ac:dyDescent="0.4">
      <c r="E30" s="61" t="s">
        <v>89</v>
      </c>
      <c r="F30" s="58" t="s">
        <v>44</v>
      </c>
      <c r="G30" s="45">
        <v>0</v>
      </c>
      <c r="H30" s="131">
        <f>IF(B$17=0,0,G30/B$17)</f>
        <v>0</v>
      </c>
      <c r="I30" s="92">
        <v>5</v>
      </c>
      <c r="K30" s="36">
        <v>28</v>
      </c>
      <c r="L30" s="97">
        <v>8.3000000000000043</v>
      </c>
    </row>
    <row r="31" spans="1:17" x14ac:dyDescent="0.4">
      <c r="E31" s="61" t="s">
        <v>93</v>
      </c>
      <c r="F31" s="58" t="s">
        <v>48</v>
      </c>
      <c r="G31" s="45">
        <v>0</v>
      </c>
      <c r="H31" s="131">
        <f>IF(B$17=0,0,G31/B$17)</f>
        <v>0</v>
      </c>
      <c r="I31" s="92">
        <v>7</v>
      </c>
      <c r="K31" s="36">
        <v>29</v>
      </c>
      <c r="L31" s="97">
        <v>90.800000000000011</v>
      </c>
    </row>
    <row r="32" spans="1:17" x14ac:dyDescent="0.4">
      <c r="E32" s="61" t="s">
        <v>94</v>
      </c>
      <c r="F32" s="58" t="s">
        <v>49</v>
      </c>
      <c r="G32" s="45">
        <v>0</v>
      </c>
      <c r="H32" s="131">
        <f>IF(B$17=0,0,G32/B$17)</f>
        <v>0</v>
      </c>
      <c r="I32" s="92">
        <v>7</v>
      </c>
      <c r="K32" s="36">
        <v>30</v>
      </c>
      <c r="L32" s="97">
        <v>63.300000000000011</v>
      </c>
    </row>
    <row r="33" spans="5:12" x14ac:dyDescent="0.4">
      <c r="E33" s="61" t="s">
        <v>95</v>
      </c>
      <c r="F33" s="58" t="s">
        <v>50</v>
      </c>
      <c r="G33" s="45">
        <v>0</v>
      </c>
      <c r="H33" s="131">
        <f>IF(B$17=0,0,G33/B$17)</f>
        <v>0</v>
      </c>
      <c r="I33" s="92">
        <v>1</v>
      </c>
      <c r="K33" s="36">
        <v>31</v>
      </c>
      <c r="L33" s="97">
        <v>114.4</v>
      </c>
    </row>
    <row r="34" spans="5:12" x14ac:dyDescent="0.4">
      <c r="E34" s="61" t="s">
        <v>96</v>
      </c>
      <c r="F34" s="58" t="s">
        <v>51</v>
      </c>
      <c r="G34" s="45">
        <v>0</v>
      </c>
      <c r="H34" s="131">
        <f>IF(B$17=0,0,G34/B$17)</f>
        <v>0</v>
      </c>
      <c r="I34" s="92">
        <v>4</v>
      </c>
      <c r="K34" s="36">
        <v>32</v>
      </c>
      <c r="L34" s="97">
        <v>76.900000000000006</v>
      </c>
    </row>
    <row r="35" spans="5:12" x14ac:dyDescent="0.4">
      <c r="E35" s="61" t="s">
        <v>97</v>
      </c>
      <c r="F35" s="58" t="s">
        <v>52</v>
      </c>
      <c r="G35" s="45">
        <v>0</v>
      </c>
      <c r="H35" s="131">
        <f>IF(B$17=0,0,G35/B$17)</f>
        <v>0</v>
      </c>
      <c r="I35" s="92">
        <v>1</v>
      </c>
      <c r="K35" s="36">
        <v>33</v>
      </c>
      <c r="L35" s="97">
        <v>42.500000000000007</v>
      </c>
    </row>
    <row r="36" spans="5:12" x14ac:dyDescent="0.4">
      <c r="E36" s="61" t="s">
        <v>98</v>
      </c>
      <c r="F36" s="58" t="s">
        <v>53</v>
      </c>
      <c r="G36" s="45">
        <v>0</v>
      </c>
      <c r="H36" s="131">
        <f>IF(B$17=0,0,G36/B$17)</f>
        <v>0</v>
      </c>
      <c r="I36" s="92">
        <v>3</v>
      </c>
      <c r="K36" s="36">
        <v>34</v>
      </c>
      <c r="L36" s="97">
        <v>9.8000000000000043</v>
      </c>
    </row>
    <row r="37" spans="5:12" x14ac:dyDescent="0.4">
      <c r="E37" s="61" t="s">
        <v>99</v>
      </c>
      <c r="F37" s="58" t="s">
        <v>54</v>
      </c>
      <c r="G37" s="45">
        <v>0</v>
      </c>
      <c r="H37" s="131">
        <f>IF(B$17=0,0,G37/B$17)</f>
        <v>0</v>
      </c>
      <c r="I37" s="92">
        <v>1</v>
      </c>
      <c r="K37" s="36">
        <v>35</v>
      </c>
      <c r="L37" s="97">
        <v>-8.2999999999999972</v>
      </c>
    </row>
    <row r="38" spans="5:12" x14ac:dyDescent="0.4">
      <c r="E38" s="61" t="s">
        <v>100</v>
      </c>
      <c r="F38" s="58" t="s">
        <v>55</v>
      </c>
      <c r="G38" s="45">
        <v>0</v>
      </c>
      <c r="H38" s="131">
        <f>IF(B$17=0,0,G38/B$17)</f>
        <v>0</v>
      </c>
      <c r="I38" s="92">
        <v>1</v>
      </c>
      <c r="K38" s="36">
        <v>36</v>
      </c>
      <c r="L38" s="97">
        <v>-9.6999999999999975</v>
      </c>
    </row>
    <row r="39" spans="5:12" x14ac:dyDescent="0.4">
      <c r="E39" s="61" t="s">
        <v>101</v>
      </c>
      <c r="F39" s="58" t="s">
        <v>56</v>
      </c>
      <c r="G39" s="45">
        <v>0</v>
      </c>
      <c r="H39" s="131">
        <f>IF(B$17=0,0,G39/B$17)</f>
        <v>0</v>
      </c>
      <c r="I39" s="92">
        <v>1</v>
      </c>
      <c r="K39" s="36">
        <v>37</v>
      </c>
      <c r="L39" s="97">
        <v>30.000000000000007</v>
      </c>
    </row>
    <row r="40" spans="5:12" x14ac:dyDescent="0.4">
      <c r="E40" s="61" t="s">
        <v>102</v>
      </c>
      <c r="F40" s="58" t="s">
        <v>57</v>
      </c>
      <c r="G40" s="45">
        <v>0</v>
      </c>
      <c r="H40" s="131">
        <f>IF(B$17=0,0,G40/B$17)</f>
        <v>0</v>
      </c>
      <c r="I40" s="92">
        <v>3</v>
      </c>
      <c r="K40" s="36">
        <v>38</v>
      </c>
      <c r="L40" s="97">
        <v>32.100000000000009</v>
      </c>
    </row>
    <row r="41" spans="5:12" x14ac:dyDescent="0.4">
      <c r="E41" s="61" t="s">
        <v>103</v>
      </c>
      <c r="F41" s="58" t="s">
        <v>58</v>
      </c>
      <c r="G41" s="45">
        <v>0</v>
      </c>
      <c r="H41" s="131">
        <f>IF(B$17=0,0,G41/B$17)</f>
        <v>0</v>
      </c>
      <c r="I41" s="92">
        <v>1</v>
      </c>
      <c r="K41" s="36">
        <v>39</v>
      </c>
      <c r="L41" s="97">
        <v>62.800000000000011</v>
      </c>
    </row>
    <row r="42" spans="5:12" x14ac:dyDescent="0.4">
      <c r="E42" s="61" t="s">
        <v>104</v>
      </c>
      <c r="F42" s="58" t="s">
        <v>59</v>
      </c>
      <c r="G42" s="45">
        <v>0</v>
      </c>
      <c r="H42" s="131">
        <f>IF(B$17=0,0,G42/B$17)</f>
        <v>0</v>
      </c>
      <c r="I42" s="92">
        <v>1</v>
      </c>
      <c r="K42" s="36">
        <v>40</v>
      </c>
      <c r="L42" s="97">
        <v>37.70000000000001</v>
      </c>
    </row>
    <row r="43" spans="5:12" x14ac:dyDescent="0.4">
      <c r="E43" s="61" t="s">
        <v>105</v>
      </c>
      <c r="F43" s="58" t="s">
        <v>60</v>
      </c>
      <c r="G43" s="45">
        <v>0</v>
      </c>
      <c r="H43" s="131">
        <f>IF(B$17=0,0,G43/B$17)</f>
        <v>0</v>
      </c>
      <c r="I43" s="92">
        <v>1</v>
      </c>
      <c r="K43" s="36">
        <v>41</v>
      </c>
      <c r="L43" s="97">
        <v>46.900000000000006</v>
      </c>
    </row>
    <row r="44" spans="5:12" x14ac:dyDescent="0.4">
      <c r="E44" s="61" t="s">
        <v>106</v>
      </c>
      <c r="F44" s="58" t="s">
        <v>113</v>
      </c>
      <c r="G44" s="45">
        <v>0</v>
      </c>
      <c r="H44" s="131">
        <f>IF(B$17=0,0,G44/B$17)</f>
        <v>0</v>
      </c>
      <c r="I44" s="92">
        <v>1</v>
      </c>
      <c r="K44" s="36">
        <v>42</v>
      </c>
      <c r="L44" s="97">
        <v>42.300000000000004</v>
      </c>
    </row>
    <row r="45" spans="5:12" x14ac:dyDescent="0.4">
      <c r="E45" s="61" t="s">
        <v>107</v>
      </c>
      <c r="F45" s="58" t="s">
        <v>114</v>
      </c>
      <c r="G45" s="45">
        <v>0</v>
      </c>
      <c r="H45" s="131">
        <f>IF(B$17=0,0,G45/B$17)</f>
        <v>0</v>
      </c>
      <c r="I45" s="92">
        <v>3</v>
      </c>
      <c r="K45" s="36">
        <v>43</v>
      </c>
      <c r="L45" s="97">
        <v>-32.999999999999993</v>
      </c>
    </row>
    <row r="46" spans="5:12" x14ac:dyDescent="0.4">
      <c r="E46" s="61" t="s">
        <v>108</v>
      </c>
      <c r="F46" s="58" t="s">
        <v>115</v>
      </c>
      <c r="G46" s="45">
        <v>0</v>
      </c>
      <c r="H46" s="131">
        <f>IF(B$17=0,0,G46/B$17)</f>
        <v>0</v>
      </c>
      <c r="I46" s="92">
        <v>1</v>
      </c>
      <c r="K46" s="36">
        <v>44</v>
      </c>
      <c r="L46" s="97">
        <v>-27.999999999999993</v>
      </c>
    </row>
    <row r="47" spans="5:12" x14ac:dyDescent="0.4">
      <c r="E47" s="61" t="s">
        <v>109</v>
      </c>
      <c r="F47" s="58" t="s">
        <v>61</v>
      </c>
      <c r="G47" s="45">
        <v>0</v>
      </c>
      <c r="H47" s="131">
        <f>IF(B$17=0,0,G47/B$17)</f>
        <v>0</v>
      </c>
      <c r="I47" s="92">
        <v>1</v>
      </c>
      <c r="K47" s="36">
        <v>45</v>
      </c>
      <c r="L47" s="97">
        <v>-25.299999999999994</v>
      </c>
    </row>
    <row r="48" spans="5:12" x14ac:dyDescent="0.4">
      <c r="E48" s="61" t="s">
        <v>110</v>
      </c>
      <c r="F48" s="58" t="s">
        <v>62</v>
      </c>
      <c r="G48" s="45">
        <v>0</v>
      </c>
      <c r="H48" s="131">
        <f>IF(B$17=0,0,G48/B$17)</f>
        <v>0</v>
      </c>
      <c r="I48" s="92">
        <v>1</v>
      </c>
      <c r="K48" s="36">
        <v>46</v>
      </c>
      <c r="L48" s="97">
        <v>12.900000000000009</v>
      </c>
    </row>
    <row r="49" spans="5:12" x14ac:dyDescent="0.4">
      <c r="E49" s="61" t="s">
        <v>111</v>
      </c>
      <c r="F49" s="58" t="s">
        <v>63</v>
      </c>
      <c r="G49" s="45">
        <v>0</v>
      </c>
      <c r="H49" s="131">
        <f>IF(B$17=0,0,G49/B$17)</f>
        <v>0</v>
      </c>
      <c r="I49" s="92">
        <v>1</v>
      </c>
      <c r="K49" s="36">
        <v>47</v>
      </c>
      <c r="L49" s="97">
        <v>45.900000000000006</v>
      </c>
    </row>
    <row r="50" spans="5:12" x14ac:dyDescent="0.4">
      <c r="E50" s="61" t="s">
        <v>112</v>
      </c>
      <c r="F50" s="58" t="s">
        <v>64</v>
      </c>
      <c r="G50" s="45">
        <v>0</v>
      </c>
      <c r="H50" s="131">
        <f>IF(B$17=0,0,G50/B$17)</f>
        <v>0</v>
      </c>
      <c r="I50" s="92">
        <v>1</v>
      </c>
      <c r="K50" s="36">
        <v>48</v>
      </c>
      <c r="L50" s="97">
        <v>111.4</v>
      </c>
    </row>
    <row r="51" spans="5:12" x14ac:dyDescent="0.4">
      <c r="E51" s="134" t="s">
        <v>180</v>
      </c>
      <c r="F51" s="135" t="s">
        <v>181</v>
      </c>
      <c r="G51" s="46">
        <v>0</v>
      </c>
      <c r="H51" s="136">
        <f>IF(B$17=0,0,G51/B$17)</f>
        <v>0</v>
      </c>
      <c r="I51" s="137">
        <v>8</v>
      </c>
      <c r="K51" s="36">
        <v>49</v>
      </c>
      <c r="L51" s="97">
        <v>113</v>
      </c>
    </row>
    <row r="52" spans="5:12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  <c r="K52" s="36">
        <v>50</v>
      </c>
      <c r="L52" s="97">
        <v>106.3</v>
      </c>
    </row>
    <row r="53" spans="5:12" x14ac:dyDescent="0.4">
      <c r="K53" s="36">
        <v>51</v>
      </c>
      <c r="L53" s="97">
        <v>113.39999999999999</v>
      </c>
    </row>
    <row r="54" spans="5:12" x14ac:dyDescent="0.4">
      <c r="K54" s="36">
        <v>52</v>
      </c>
      <c r="L54" s="97">
        <v>98.8</v>
      </c>
    </row>
    <row r="55" spans="5:12" x14ac:dyDescent="0.4">
      <c r="K55" s="36">
        <v>53</v>
      </c>
      <c r="L55" s="97">
        <v>65.199999999999989</v>
      </c>
    </row>
    <row r="56" spans="5:12" x14ac:dyDescent="0.4">
      <c r="K56" s="36">
        <v>54</v>
      </c>
      <c r="L56" s="97">
        <v>55.599999999999987</v>
      </c>
    </row>
    <row r="57" spans="5:12" x14ac:dyDescent="0.4">
      <c r="K57" s="36">
        <v>55</v>
      </c>
      <c r="L57" s="97">
        <v>34.699999999999989</v>
      </c>
    </row>
    <row r="58" spans="5:12" x14ac:dyDescent="0.4">
      <c r="K58" s="36">
        <v>56</v>
      </c>
      <c r="L58" s="97">
        <v>-8.0000000000000142</v>
      </c>
    </row>
    <row r="59" spans="5:12" x14ac:dyDescent="0.4">
      <c r="K59" s="36">
        <v>57</v>
      </c>
      <c r="L59" s="97">
        <v>-6.0000000000000142</v>
      </c>
    </row>
    <row r="60" spans="5:12" x14ac:dyDescent="0.4">
      <c r="K60" s="36">
        <v>58</v>
      </c>
      <c r="L60" s="97">
        <v>-0.40000000000001457</v>
      </c>
    </row>
    <row r="61" spans="5:12" x14ac:dyDescent="0.4">
      <c r="K61" s="36">
        <v>59</v>
      </c>
      <c r="L61" s="97">
        <v>21.999999999999986</v>
      </c>
    </row>
    <row r="62" spans="5:12" x14ac:dyDescent="0.4">
      <c r="K62" s="36">
        <v>60</v>
      </c>
      <c r="L62" s="97">
        <v>66.999999999999986</v>
      </c>
    </row>
    <row r="63" spans="5:12" x14ac:dyDescent="0.4">
      <c r="K63" s="36">
        <v>61</v>
      </c>
      <c r="L63" s="97">
        <v>39.799999999999983</v>
      </c>
    </row>
    <row r="64" spans="5:12" x14ac:dyDescent="0.4">
      <c r="K64" s="36">
        <v>62</v>
      </c>
      <c r="L64" s="97">
        <v>7.9999999999999822</v>
      </c>
    </row>
    <row r="65" spans="11:12" x14ac:dyDescent="0.4">
      <c r="K65" s="36">
        <v>63</v>
      </c>
      <c r="L65" s="97">
        <v>45.09999999999998</v>
      </c>
    </row>
    <row r="66" spans="11:12" x14ac:dyDescent="0.4">
      <c r="K66" s="36">
        <v>64</v>
      </c>
      <c r="L66" s="97">
        <v>45.899999999999977</v>
      </c>
    </row>
    <row r="67" spans="11:12" x14ac:dyDescent="0.4">
      <c r="K67" s="36">
        <v>65</v>
      </c>
      <c r="L67" s="97">
        <v>38.199999999999974</v>
      </c>
    </row>
    <row r="68" spans="11:12" x14ac:dyDescent="0.4">
      <c r="K68" s="36">
        <v>66</v>
      </c>
      <c r="L68" s="97">
        <v>-5.400000000000027</v>
      </c>
    </row>
    <row r="69" spans="11:12" x14ac:dyDescent="0.4">
      <c r="K69" s="36">
        <v>67</v>
      </c>
      <c r="L69" s="97">
        <v>1.8999999999999728</v>
      </c>
    </row>
    <row r="70" spans="11:12" x14ac:dyDescent="0.4">
      <c r="K70" s="36">
        <v>68</v>
      </c>
      <c r="L70" s="97">
        <v>-39.500000000000028</v>
      </c>
    </row>
    <row r="71" spans="11:12" x14ac:dyDescent="0.4">
      <c r="K71" s="36">
        <v>69</v>
      </c>
      <c r="L71" s="97">
        <v>-7.6000000000000298</v>
      </c>
    </row>
    <row r="72" spans="11:12" x14ac:dyDescent="0.4">
      <c r="K72" s="36">
        <v>70</v>
      </c>
      <c r="L72" s="97">
        <v>-32.000000000000028</v>
      </c>
    </row>
    <row r="73" spans="11:12" x14ac:dyDescent="0.4">
      <c r="K73" s="36">
        <v>71</v>
      </c>
      <c r="L73" s="97">
        <v>-76.600000000000023</v>
      </c>
    </row>
    <row r="74" spans="11:12" x14ac:dyDescent="0.4">
      <c r="K74" s="36">
        <v>72</v>
      </c>
      <c r="L74" s="97">
        <v>-68.40000000000002</v>
      </c>
    </row>
    <row r="75" spans="11:12" x14ac:dyDescent="0.4">
      <c r="K75" s="36">
        <v>73</v>
      </c>
      <c r="L75" s="97">
        <v>-129.30000000000001</v>
      </c>
    </row>
    <row r="76" spans="11:12" x14ac:dyDescent="0.4">
      <c r="K76" s="36">
        <v>74</v>
      </c>
      <c r="L76" s="97">
        <v>-61.500000000000014</v>
      </c>
    </row>
    <row r="77" spans="11:12" x14ac:dyDescent="0.4">
      <c r="K77" s="36">
        <v>75</v>
      </c>
      <c r="L77" s="97">
        <v>-76.40000000000002</v>
      </c>
    </row>
    <row r="78" spans="11:12" x14ac:dyDescent="0.4">
      <c r="K78" s="36">
        <v>76</v>
      </c>
      <c r="L78" s="97">
        <v>-36.300000000000018</v>
      </c>
    </row>
    <row r="79" spans="11:12" x14ac:dyDescent="0.4">
      <c r="K79" s="36">
        <v>77</v>
      </c>
      <c r="L79" s="97">
        <v>-37.300000000000018</v>
      </c>
    </row>
    <row r="80" spans="11:12" x14ac:dyDescent="0.4">
      <c r="K80" s="36">
        <v>78</v>
      </c>
      <c r="L80" s="97">
        <v>-38.600000000000016</v>
      </c>
    </row>
    <row r="81" spans="11:12" x14ac:dyDescent="0.4">
      <c r="K81" s="36">
        <v>79</v>
      </c>
      <c r="L81" s="97">
        <v>-67.000000000000014</v>
      </c>
    </row>
    <row r="82" spans="11:12" x14ac:dyDescent="0.4">
      <c r="K82" s="36">
        <v>80</v>
      </c>
      <c r="L82" s="97">
        <v>-114.70000000000002</v>
      </c>
    </row>
    <row r="83" spans="11:12" x14ac:dyDescent="0.4">
      <c r="K83" s="36">
        <v>81</v>
      </c>
      <c r="L83" s="97">
        <v>-115.90000000000002</v>
      </c>
    </row>
    <row r="84" spans="11:12" x14ac:dyDescent="0.4">
      <c r="K84" s="36">
        <v>82</v>
      </c>
      <c r="L84" s="97">
        <v>-110.60000000000002</v>
      </c>
    </row>
    <row r="85" spans="11:12" x14ac:dyDescent="0.4">
      <c r="K85" s="36">
        <v>83</v>
      </c>
      <c r="L85" s="97">
        <v>-101.20000000000002</v>
      </c>
    </row>
    <row r="86" spans="11:12" x14ac:dyDescent="0.4">
      <c r="K86" s="36">
        <v>84</v>
      </c>
      <c r="L86" s="97">
        <v>-162.90000000000003</v>
      </c>
    </row>
    <row r="87" spans="11:12" x14ac:dyDescent="0.4">
      <c r="K87" s="36">
        <v>85</v>
      </c>
      <c r="L87" s="97">
        <v>-121.30000000000004</v>
      </c>
    </row>
    <row r="88" spans="11:12" x14ac:dyDescent="0.4">
      <c r="K88" s="36">
        <v>86</v>
      </c>
      <c r="L88" s="97">
        <v>-133.30000000000004</v>
      </c>
    </row>
    <row r="89" spans="11:12" x14ac:dyDescent="0.4">
      <c r="K89" s="36">
        <v>87</v>
      </c>
      <c r="L89" s="97">
        <v>-118.60000000000004</v>
      </c>
    </row>
    <row r="90" spans="11:12" x14ac:dyDescent="0.4">
      <c r="K90" s="36">
        <v>88</v>
      </c>
      <c r="L90" s="97">
        <v>-163.20000000000005</v>
      </c>
    </row>
    <row r="91" spans="11:12" x14ac:dyDescent="0.4">
      <c r="K91" s="36">
        <v>89</v>
      </c>
      <c r="L91" s="97">
        <v>-123.90000000000005</v>
      </c>
    </row>
    <row r="92" spans="11:12" x14ac:dyDescent="0.4">
      <c r="K92" s="36">
        <v>90</v>
      </c>
      <c r="L92" s="97">
        <v>-122.80000000000005</v>
      </c>
    </row>
    <row r="93" spans="11:12" x14ac:dyDescent="0.4">
      <c r="K93" s="36">
        <v>91</v>
      </c>
      <c r="L93" s="97">
        <v>-121.50000000000006</v>
      </c>
    </row>
    <row r="94" spans="11:12" x14ac:dyDescent="0.4">
      <c r="K94" s="36">
        <v>92</v>
      </c>
      <c r="L94" s="97">
        <v>-120.50000000000006</v>
      </c>
    </row>
    <row r="95" spans="11:12" x14ac:dyDescent="0.4">
      <c r="K95" s="36">
        <v>93</v>
      </c>
      <c r="L95" s="97">
        <v>-155.10000000000005</v>
      </c>
    </row>
    <row r="96" spans="11:12" x14ac:dyDescent="0.4">
      <c r="K96" s="36">
        <v>94</v>
      </c>
      <c r="L96" s="97">
        <v>-184.60000000000005</v>
      </c>
    </row>
    <row r="97" spans="11:12" x14ac:dyDescent="0.4">
      <c r="K97" s="36">
        <v>95</v>
      </c>
      <c r="L97" s="97">
        <v>-161.50000000000006</v>
      </c>
    </row>
    <row r="98" spans="11:12" x14ac:dyDescent="0.4">
      <c r="K98" s="36">
        <v>96</v>
      </c>
      <c r="L98" s="97">
        <v>-202.00000000000006</v>
      </c>
    </row>
    <row r="99" spans="11:12" x14ac:dyDescent="0.4">
      <c r="K99" s="36">
        <v>97</v>
      </c>
      <c r="L99" s="97">
        <v>-200.50000000000006</v>
      </c>
    </row>
    <row r="100" spans="11:12" x14ac:dyDescent="0.4">
      <c r="K100" s="36">
        <v>98</v>
      </c>
      <c r="L100" s="97">
        <v>-164.70000000000005</v>
      </c>
    </row>
    <row r="101" spans="11:12" x14ac:dyDescent="0.4">
      <c r="K101" s="36">
        <v>99</v>
      </c>
      <c r="L101" s="97">
        <v>-172.90000000000003</v>
      </c>
    </row>
    <row r="102" spans="11:12" x14ac:dyDescent="0.4">
      <c r="K102" s="36">
        <v>100</v>
      </c>
      <c r="L102" s="97">
        <v>-177.80000000000004</v>
      </c>
    </row>
    <row r="103" spans="11:12" x14ac:dyDescent="0.4">
      <c r="K103" s="36">
        <v>101</v>
      </c>
      <c r="L103" s="97">
        <v>-212.40000000000003</v>
      </c>
    </row>
    <row r="104" spans="11:12" x14ac:dyDescent="0.4">
      <c r="K104" s="36">
        <v>102</v>
      </c>
      <c r="L104" s="97">
        <v>-200.80000000000004</v>
      </c>
    </row>
    <row r="105" spans="11:12" x14ac:dyDescent="0.4">
      <c r="K105" s="36">
        <v>103</v>
      </c>
      <c r="L105" s="97">
        <v>-259.40000000000003</v>
      </c>
    </row>
    <row r="106" spans="11:12" x14ac:dyDescent="0.4">
      <c r="K106" s="36">
        <v>104</v>
      </c>
      <c r="L106" s="97">
        <v>-234.20000000000005</v>
      </c>
    </row>
    <row r="107" spans="11:12" x14ac:dyDescent="0.4">
      <c r="K107" s="36">
        <v>105</v>
      </c>
      <c r="L107" s="97">
        <v>-243.50000000000006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8E20F-E9D2-4E60-A2CF-41091ACF5036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173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61</v>
      </c>
      <c r="C2" s="149"/>
      <c r="E2" s="60" t="s">
        <v>67</v>
      </c>
      <c r="F2" s="57" t="s">
        <v>23</v>
      </c>
      <c r="G2" s="44">
        <v>96</v>
      </c>
      <c r="H2" s="130">
        <f>IF(B$17=0,0,G2/B$17)</f>
        <v>0.65306122448979587</v>
      </c>
      <c r="I2" s="91">
        <v>9</v>
      </c>
      <c r="K2" s="34">
        <v>0</v>
      </c>
      <c r="L2" s="96">
        <v>0</v>
      </c>
      <c r="N2" s="112" t="s">
        <v>132</v>
      </c>
      <c r="O2" s="119">
        <f t="shared" ref="O2:O7" si="0">IF(P2=0,0,Q2/P2)</f>
        <v>-3171.6666666666665</v>
      </c>
      <c r="P2" s="116">
        <v>60</v>
      </c>
      <c r="Q2" s="100">
        <v>-190300</v>
      </c>
    </row>
    <row r="3" spans="1:17" x14ac:dyDescent="0.4">
      <c r="A3" s="53" t="s">
        <v>8</v>
      </c>
      <c r="B3" s="150">
        <v>529</v>
      </c>
      <c r="C3" s="151"/>
      <c r="E3" s="61" t="s">
        <v>73</v>
      </c>
      <c r="F3" s="58" t="s">
        <v>28</v>
      </c>
      <c r="G3" s="45">
        <v>70</v>
      </c>
      <c r="H3" s="131">
        <f>IF(B$17=0,0,G3/B$17)</f>
        <v>0.47619047619047616</v>
      </c>
      <c r="I3" s="92">
        <v>10</v>
      </c>
      <c r="K3" s="36">
        <v>1</v>
      </c>
      <c r="L3" s="97">
        <v>-82.6</v>
      </c>
      <c r="N3" s="113" t="s">
        <v>133</v>
      </c>
      <c r="O3" s="120">
        <f t="shared" si="0"/>
        <v>1775</v>
      </c>
      <c r="P3" s="117">
        <v>60</v>
      </c>
      <c r="Q3" s="101">
        <v>106500</v>
      </c>
    </row>
    <row r="4" spans="1:17" x14ac:dyDescent="0.4">
      <c r="A4" s="53" t="s">
        <v>6</v>
      </c>
      <c r="B4" s="152">
        <v>-560.6</v>
      </c>
      <c r="C4" s="153"/>
      <c r="E4" s="61" t="s">
        <v>65</v>
      </c>
      <c r="F4" s="58" t="s">
        <v>21</v>
      </c>
      <c r="G4" s="45">
        <v>65</v>
      </c>
      <c r="H4" s="131">
        <f>IF(B$17=0,0,G4/B$17)</f>
        <v>0.44217687074829931</v>
      </c>
      <c r="I4" s="92">
        <v>12</v>
      </c>
      <c r="K4" s="36">
        <v>2</v>
      </c>
      <c r="L4" s="97">
        <v>-122.3</v>
      </c>
      <c r="N4" s="113" t="s">
        <v>134</v>
      </c>
      <c r="O4" s="120">
        <f t="shared" si="0"/>
        <v>-1696.4912280701753</v>
      </c>
      <c r="P4" s="117">
        <v>57</v>
      </c>
      <c r="Q4" s="101">
        <v>-96700</v>
      </c>
    </row>
    <row r="5" spans="1:17" x14ac:dyDescent="0.4">
      <c r="A5" s="53" t="s">
        <v>7</v>
      </c>
      <c r="B5" s="154">
        <f>IF(B$2=0,0,B$4/B$2)</f>
        <v>-9.1901639344262307</v>
      </c>
      <c r="C5" s="155"/>
      <c r="E5" s="61" t="s">
        <v>69</v>
      </c>
      <c r="F5" s="58" t="s">
        <v>12</v>
      </c>
      <c r="G5" s="45">
        <v>58</v>
      </c>
      <c r="H5" s="131">
        <f>IF(B$17=0,0,G5/B$17)</f>
        <v>0.39455782312925169</v>
      </c>
      <c r="I5" s="92">
        <v>2</v>
      </c>
      <c r="K5" s="36">
        <v>3</v>
      </c>
      <c r="L5" s="97">
        <v>-149</v>
      </c>
      <c r="N5" s="113" t="s">
        <v>135</v>
      </c>
      <c r="O5" s="120">
        <f t="shared" si="0"/>
        <v>-4115.3846153846152</v>
      </c>
      <c r="P5" s="117">
        <v>52</v>
      </c>
      <c r="Q5" s="101">
        <v>-214000</v>
      </c>
    </row>
    <row r="6" spans="1:17" x14ac:dyDescent="0.4">
      <c r="A6" s="53" t="s">
        <v>1</v>
      </c>
      <c r="B6" s="144">
        <f>IF(B$2=0,0,(B$7*1+B$8*2+B$9*3)/B$2)</f>
        <v>2.1475409836065573</v>
      </c>
      <c r="C6" s="145"/>
      <c r="E6" s="61" t="s">
        <v>245</v>
      </c>
      <c r="F6" s="58" t="s">
        <v>246</v>
      </c>
      <c r="G6" s="45">
        <v>55</v>
      </c>
      <c r="H6" s="131">
        <f>IF(B$17=0,0,G6/B$17)</f>
        <v>0.37414965986394561</v>
      </c>
      <c r="I6" s="92">
        <v>12</v>
      </c>
      <c r="K6" s="36">
        <v>4</v>
      </c>
      <c r="L6" s="97">
        <v>-150.6</v>
      </c>
      <c r="N6" s="113" t="s">
        <v>136</v>
      </c>
      <c r="O6" s="120">
        <f t="shared" si="0"/>
        <v>10.869565217391305</v>
      </c>
      <c r="P6" s="117">
        <v>46</v>
      </c>
      <c r="Q6" s="101">
        <v>500</v>
      </c>
    </row>
    <row r="7" spans="1:17" x14ac:dyDescent="0.4">
      <c r="A7" s="53" t="s">
        <v>2</v>
      </c>
      <c r="B7" s="45">
        <v>16</v>
      </c>
      <c r="C7" s="37">
        <f t="shared" ref="C7:C12" si="1">IF(B$2=0,0,B7/B$2)</f>
        <v>0.26229508196721313</v>
      </c>
      <c r="E7" s="61" t="s">
        <v>68</v>
      </c>
      <c r="F7" s="58" t="s">
        <v>24</v>
      </c>
      <c r="G7" s="45">
        <v>31</v>
      </c>
      <c r="H7" s="131">
        <f>IF(B$17=0,0,G7/B$17)</f>
        <v>0.21088435374149661</v>
      </c>
      <c r="I7" s="92">
        <v>12</v>
      </c>
      <c r="K7" s="36">
        <v>5</v>
      </c>
      <c r="L7" s="97">
        <v>-184.89999999999998</v>
      </c>
      <c r="N7" s="114" t="s">
        <v>137</v>
      </c>
      <c r="O7" s="121">
        <f t="shared" si="0"/>
        <v>-281.39534883720933</v>
      </c>
      <c r="P7" s="118">
        <v>43</v>
      </c>
      <c r="Q7" s="102">
        <v>-12100</v>
      </c>
    </row>
    <row r="8" spans="1:17" x14ac:dyDescent="0.4">
      <c r="A8" s="53" t="s">
        <v>3</v>
      </c>
      <c r="B8" s="45">
        <v>20</v>
      </c>
      <c r="C8" s="37">
        <f t="shared" si="1"/>
        <v>0.32786885245901637</v>
      </c>
      <c r="E8" s="61" t="s">
        <v>70</v>
      </c>
      <c r="F8" s="58" t="s">
        <v>25</v>
      </c>
      <c r="G8" s="45">
        <v>19</v>
      </c>
      <c r="H8" s="131">
        <f>IF(B$17=0,0,G8/B$17)</f>
        <v>0.12925170068027211</v>
      </c>
      <c r="I8" s="92">
        <v>11</v>
      </c>
      <c r="K8" s="36">
        <v>6</v>
      </c>
      <c r="L8" s="97">
        <v>-187.59999999999997</v>
      </c>
      <c r="N8" s="41"/>
      <c r="O8" s="125"/>
      <c r="P8" s="109"/>
      <c r="Q8" s="107"/>
    </row>
    <row r="9" spans="1:17" x14ac:dyDescent="0.4">
      <c r="A9" s="54" t="s">
        <v>4</v>
      </c>
      <c r="B9" s="46">
        <v>25</v>
      </c>
      <c r="C9" s="38">
        <f t="shared" si="1"/>
        <v>0.4098360655737705</v>
      </c>
      <c r="E9" s="61" t="s">
        <v>90</v>
      </c>
      <c r="F9" s="58" t="s">
        <v>45</v>
      </c>
      <c r="G9" s="45">
        <v>18</v>
      </c>
      <c r="H9" s="131">
        <f>IF(B$17=0,0,G9/B$17)</f>
        <v>0.12244897959183673</v>
      </c>
      <c r="I9" s="92">
        <v>7</v>
      </c>
      <c r="K9" s="36">
        <v>7</v>
      </c>
      <c r="L9" s="97">
        <v>-216.09999999999997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10</v>
      </c>
      <c r="C10" s="38">
        <f t="shared" si="1"/>
        <v>0.16393442622950818</v>
      </c>
      <c r="E10" s="61" t="s">
        <v>71</v>
      </c>
      <c r="F10" s="58" t="s">
        <v>26</v>
      </c>
      <c r="G10" s="45">
        <v>17</v>
      </c>
      <c r="H10" s="131">
        <f>IF(B$17=0,0,G10/B$17)</f>
        <v>0.11564625850340136</v>
      </c>
      <c r="I10" s="92">
        <v>4</v>
      </c>
      <c r="K10" s="36">
        <v>8</v>
      </c>
      <c r="L10" s="97">
        <v>-219.59999999999997</v>
      </c>
      <c r="N10" s="112" t="s">
        <v>164</v>
      </c>
      <c r="O10" s="122">
        <f>IF(P10=0,0,Q10/P10)</f>
        <v>-13.678571428571429</v>
      </c>
      <c r="P10" s="116">
        <v>14</v>
      </c>
      <c r="Q10" s="104">
        <v>-191.5</v>
      </c>
    </row>
    <row r="11" spans="1:17" x14ac:dyDescent="0.4">
      <c r="A11" s="54" t="s">
        <v>140</v>
      </c>
      <c r="B11" s="46">
        <v>4</v>
      </c>
      <c r="C11" s="38">
        <f t="shared" si="1"/>
        <v>6.5573770491803282E-2</v>
      </c>
      <c r="E11" s="61" t="s">
        <v>66</v>
      </c>
      <c r="F11" s="58" t="s">
        <v>22</v>
      </c>
      <c r="G11" s="45">
        <v>11</v>
      </c>
      <c r="H11" s="131">
        <f>IF(B$17=0,0,G11/B$17)</f>
        <v>7.4829931972789115E-2</v>
      </c>
      <c r="I11" s="92">
        <v>12</v>
      </c>
      <c r="K11" s="36">
        <v>9</v>
      </c>
      <c r="L11" s="97">
        <v>-260.59999999999997</v>
      </c>
      <c r="N11" s="113" t="s">
        <v>165</v>
      </c>
      <c r="O11" s="123">
        <f>IF(P11=0,0,Q11/P11)</f>
        <v>-7.2064516129032263</v>
      </c>
      <c r="P11" s="117">
        <v>31</v>
      </c>
      <c r="Q11" s="105">
        <v>-223.4</v>
      </c>
    </row>
    <row r="12" spans="1:17" x14ac:dyDescent="0.4">
      <c r="A12" s="55" t="s">
        <v>160</v>
      </c>
      <c r="B12" s="47">
        <v>3</v>
      </c>
      <c r="C12" s="40">
        <f t="shared" si="1"/>
        <v>4.9180327868852458E-2</v>
      </c>
      <c r="E12" s="61" t="s">
        <v>87</v>
      </c>
      <c r="F12" s="58" t="s">
        <v>42</v>
      </c>
      <c r="G12" s="45">
        <v>8</v>
      </c>
      <c r="H12" s="131">
        <f>IF(B$17=0,0,G12/B$17)</f>
        <v>5.4421768707482991E-2</v>
      </c>
      <c r="I12" s="92">
        <v>8</v>
      </c>
      <c r="K12" s="36">
        <v>10</v>
      </c>
      <c r="L12" s="97">
        <v>-318.39999999999998</v>
      </c>
      <c r="N12" s="114" t="s">
        <v>166</v>
      </c>
      <c r="O12" s="124">
        <f>IF(P12=0,0,Q12/P12)</f>
        <v>-9.1062499999999993</v>
      </c>
      <c r="P12" s="118">
        <v>16</v>
      </c>
      <c r="Q12" s="106">
        <v>-145.69999999999999</v>
      </c>
    </row>
    <row r="13" spans="1:17" x14ac:dyDescent="0.4">
      <c r="A13" s="56" t="s">
        <v>122</v>
      </c>
      <c r="B13" s="48">
        <v>118</v>
      </c>
      <c r="C13" s="42">
        <f>IF(B$3=0,0,B13/B$3)</f>
        <v>0.22306238185255198</v>
      </c>
      <c r="E13" s="61" t="s">
        <v>72</v>
      </c>
      <c r="F13" s="58" t="s">
        <v>27</v>
      </c>
      <c r="G13" s="45">
        <v>7</v>
      </c>
      <c r="H13" s="131">
        <f>IF(B$17=0,0,G13/B$17)</f>
        <v>4.7619047619047616E-2</v>
      </c>
      <c r="I13" s="92">
        <v>11</v>
      </c>
      <c r="K13" s="36">
        <v>11</v>
      </c>
      <c r="L13" s="97">
        <v>-325.39999999999998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114</v>
      </c>
      <c r="C14" s="37">
        <f>IF(B$3=0,0,B14/B$3)</f>
        <v>0.21550094517958412</v>
      </c>
      <c r="E14" s="61" t="s">
        <v>79</v>
      </c>
      <c r="F14" s="58" t="s">
        <v>34</v>
      </c>
      <c r="G14" s="45">
        <v>4</v>
      </c>
      <c r="H14" s="131">
        <f>IF(B$17=0,0,G14/B$17)</f>
        <v>2.7210884353741496E-2</v>
      </c>
      <c r="I14" s="92">
        <v>8</v>
      </c>
      <c r="K14" s="36">
        <v>12</v>
      </c>
      <c r="L14" s="97">
        <v>-289.59999999999997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68</v>
      </c>
      <c r="C15" s="35">
        <f>IF(B$13=0,0,B15/B$13)</f>
        <v>0.57627118644067798</v>
      </c>
      <c r="E15" s="61" t="s">
        <v>74</v>
      </c>
      <c r="F15" s="58" t="s">
        <v>29</v>
      </c>
      <c r="G15" s="45">
        <v>3</v>
      </c>
      <c r="H15" s="131">
        <f>IF(B$17=0,0,G15/B$17)</f>
        <v>2.0408163265306121E-2</v>
      </c>
      <c r="I15" s="92">
        <v>1</v>
      </c>
      <c r="K15" s="36">
        <v>13</v>
      </c>
      <c r="L15" s="97">
        <v>-302.59999999999997</v>
      </c>
      <c r="N15" s="112" t="s">
        <v>271</v>
      </c>
      <c r="O15" s="122">
        <f>IF(P15=0,0,Q15/P15)</f>
        <v>83.449999999999989</v>
      </c>
      <c r="P15" s="116">
        <v>2</v>
      </c>
      <c r="Q15" s="104">
        <v>166.89999999999998</v>
      </c>
    </row>
    <row r="16" spans="1:17" x14ac:dyDescent="0.4">
      <c r="A16" s="52" t="s">
        <v>125</v>
      </c>
      <c r="B16" s="44">
        <v>38</v>
      </c>
      <c r="C16" s="35">
        <f>IF(B$14=0,0,B16/B$14)</f>
        <v>0.33333333333333331</v>
      </c>
      <c r="E16" s="61" t="s">
        <v>80</v>
      </c>
      <c r="F16" s="58" t="s">
        <v>35</v>
      </c>
      <c r="G16" s="45">
        <v>3</v>
      </c>
      <c r="H16" s="131">
        <f>IF(B$17=0,0,G16/B$17)</f>
        <v>2.0408163265306121E-2</v>
      </c>
      <c r="I16" s="92">
        <v>4</v>
      </c>
      <c r="K16" s="36">
        <v>14</v>
      </c>
      <c r="L16" s="97">
        <v>-269.99999999999994</v>
      </c>
      <c r="N16" s="113" t="s">
        <v>129</v>
      </c>
      <c r="O16" s="123">
        <f>IF(P16=0,0,Q16/P16)</f>
        <v>1.1117647058823532</v>
      </c>
      <c r="P16" s="117">
        <v>17</v>
      </c>
      <c r="Q16" s="105">
        <v>18.900000000000006</v>
      </c>
    </row>
    <row r="17" spans="1:17" x14ac:dyDescent="0.4">
      <c r="A17" s="52" t="s">
        <v>10</v>
      </c>
      <c r="B17" s="44">
        <f>B19+B18</f>
        <v>147</v>
      </c>
      <c r="C17" s="35">
        <f>IF(B$3=0,0,B17/B$3)</f>
        <v>0.27788279773156899</v>
      </c>
      <c r="E17" s="61" t="s">
        <v>84</v>
      </c>
      <c r="F17" s="58" t="s">
        <v>39</v>
      </c>
      <c r="G17" s="45">
        <v>3</v>
      </c>
      <c r="H17" s="131">
        <f>IF(B$17=0,0,G17/B$17)</f>
        <v>2.0408163265306121E-2</v>
      </c>
      <c r="I17" s="92">
        <v>12</v>
      </c>
      <c r="K17" s="36">
        <v>15</v>
      </c>
      <c r="L17" s="97">
        <v>-264.59999999999997</v>
      </c>
      <c r="N17" s="113" t="s">
        <v>172</v>
      </c>
      <c r="O17" s="123">
        <f>IF(P17=0,0,Q17/P17)</f>
        <v>-4.0692307692307681</v>
      </c>
      <c r="P17" s="117">
        <v>13</v>
      </c>
      <c r="Q17" s="105">
        <v>-52.899999999999984</v>
      </c>
    </row>
    <row r="18" spans="1:17" x14ac:dyDescent="0.4">
      <c r="A18" s="53" t="s">
        <v>12</v>
      </c>
      <c r="B18" s="45">
        <v>74</v>
      </c>
      <c r="C18" s="37">
        <f>IF(B$17=0,0,B18/B$17)</f>
        <v>0.50340136054421769</v>
      </c>
      <c r="E18" s="61" t="s">
        <v>180</v>
      </c>
      <c r="F18" s="58" t="s">
        <v>181</v>
      </c>
      <c r="G18" s="45">
        <v>3</v>
      </c>
      <c r="H18" s="131">
        <f>IF(B$17=0,0,G18/B$17)</f>
        <v>2.0408163265306121E-2</v>
      </c>
      <c r="I18" s="92">
        <v>5</v>
      </c>
      <c r="K18" s="36">
        <v>16</v>
      </c>
      <c r="L18" s="97">
        <v>-292.79999999999995</v>
      </c>
      <c r="N18" s="113" t="s">
        <v>128</v>
      </c>
      <c r="O18" s="123">
        <f>IF(P18=0,0,Q18/P18)</f>
        <v>-9.2423076923076888</v>
      </c>
      <c r="P18" s="117">
        <v>26</v>
      </c>
      <c r="Q18" s="105">
        <v>-240.29999999999993</v>
      </c>
    </row>
    <row r="19" spans="1:17" x14ac:dyDescent="0.4">
      <c r="A19" s="53" t="s">
        <v>11</v>
      </c>
      <c r="B19" s="45">
        <v>73</v>
      </c>
      <c r="C19" s="37">
        <f>IF(B$17=0,0,B19/B$17)</f>
        <v>0.49659863945578231</v>
      </c>
      <c r="E19" s="61" t="s">
        <v>92</v>
      </c>
      <c r="F19" s="58" t="s">
        <v>47</v>
      </c>
      <c r="G19" s="45">
        <v>2</v>
      </c>
      <c r="H19" s="131">
        <f>IF(B$17=0,0,G19/B$17)</f>
        <v>1.3605442176870748E-2</v>
      </c>
      <c r="I19" s="92">
        <v>7</v>
      </c>
      <c r="K19" s="36">
        <v>17</v>
      </c>
      <c r="L19" s="97">
        <v>-248.89999999999995</v>
      </c>
      <c r="N19" s="113" t="s">
        <v>177</v>
      </c>
      <c r="O19" s="123">
        <f>IF(P19=0,0,Q19/P19)</f>
        <v>-10.354545454545455</v>
      </c>
      <c r="P19" s="117">
        <v>11</v>
      </c>
      <c r="Q19" s="105">
        <v>-113.9</v>
      </c>
    </row>
    <row r="20" spans="1:17" x14ac:dyDescent="0.4">
      <c r="A20" s="53" t="s">
        <v>13</v>
      </c>
      <c r="B20" s="45">
        <v>103</v>
      </c>
      <c r="C20" s="37">
        <f>IF(B$3=0,0,B20/B$3)</f>
        <v>0.19470699432892249</v>
      </c>
      <c r="E20" s="61" t="s">
        <v>82</v>
      </c>
      <c r="F20" s="58" t="s">
        <v>37</v>
      </c>
      <c r="G20" s="45">
        <v>1</v>
      </c>
      <c r="H20" s="131">
        <f>IF(B$17=0,0,G20/B$17)</f>
        <v>6.8027210884353739E-3</v>
      </c>
      <c r="I20" s="92">
        <v>12</v>
      </c>
      <c r="K20" s="36">
        <v>18</v>
      </c>
      <c r="L20" s="97">
        <v>-218.99999999999994</v>
      </c>
      <c r="N20" s="113" t="s">
        <v>171</v>
      </c>
      <c r="O20" s="123">
        <f>IF(P20=0,0,Q20/P20)</f>
        <v>-13.942105263157893</v>
      </c>
      <c r="P20" s="117">
        <v>19</v>
      </c>
      <c r="Q20" s="105">
        <v>-264.89999999999998</v>
      </c>
    </row>
    <row r="21" spans="1:17" x14ac:dyDescent="0.4">
      <c r="A21" s="53" t="s">
        <v>191</v>
      </c>
      <c r="B21" s="45">
        <v>4</v>
      </c>
      <c r="C21" s="133">
        <v>0</v>
      </c>
      <c r="E21" s="61" t="s">
        <v>88</v>
      </c>
      <c r="F21" s="58" t="s">
        <v>43</v>
      </c>
      <c r="G21" s="45">
        <v>1</v>
      </c>
      <c r="H21" s="131">
        <f>IF(B$17=0,0,G21/B$17)</f>
        <v>6.8027210884353739E-3</v>
      </c>
      <c r="I21" s="92">
        <v>2</v>
      </c>
      <c r="K21" s="36">
        <v>19</v>
      </c>
      <c r="L21" s="97">
        <v>-188.59999999999994</v>
      </c>
      <c r="N21" s="113" t="s">
        <v>127</v>
      </c>
      <c r="O21" s="123">
        <f>IF(P21=0,0,Q21/P21)</f>
        <v>-28</v>
      </c>
      <c r="P21" s="117">
        <v>29</v>
      </c>
      <c r="Q21" s="105">
        <v>-812</v>
      </c>
    </row>
    <row r="22" spans="1:17" x14ac:dyDescent="0.4">
      <c r="A22" s="53" t="s">
        <v>192</v>
      </c>
      <c r="B22" s="45">
        <v>24</v>
      </c>
      <c r="C22" s="133">
        <v>7</v>
      </c>
      <c r="E22" s="61" t="s">
        <v>107</v>
      </c>
      <c r="F22" s="58" t="s">
        <v>114</v>
      </c>
      <c r="G22" s="45">
        <v>1</v>
      </c>
      <c r="H22" s="131">
        <f>IF(B$17=0,0,G22/B$17)</f>
        <v>6.8027210884353739E-3</v>
      </c>
      <c r="I22" s="92">
        <v>1</v>
      </c>
      <c r="K22" s="36">
        <v>20</v>
      </c>
      <c r="L22" s="97">
        <v>-182.79999999999993</v>
      </c>
      <c r="N22" s="113" t="s">
        <v>183</v>
      </c>
      <c r="O22" s="123">
        <f>IF(P22=0,0,Q22/P22)</f>
        <v>-45.5</v>
      </c>
      <c r="P22" s="117">
        <v>1</v>
      </c>
      <c r="Q22" s="105">
        <v>-45.5</v>
      </c>
    </row>
    <row r="23" spans="1:17" x14ac:dyDescent="0.4">
      <c r="A23" s="53" t="s">
        <v>5</v>
      </c>
      <c r="B23" s="49">
        <f>IF(B$17=0,0,C23/B$17)</f>
        <v>7610.2040816326535</v>
      </c>
      <c r="C23" s="39">
        <v>1118700</v>
      </c>
      <c r="E23" s="61" t="s">
        <v>75</v>
      </c>
      <c r="F23" s="58" t="s">
        <v>30</v>
      </c>
      <c r="G23" s="45">
        <v>0</v>
      </c>
      <c r="H23" s="131">
        <f>IF(B$17=0,0,G23/B$17)</f>
        <v>0</v>
      </c>
      <c r="I23" s="92">
        <v>7</v>
      </c>
      <c r="K23" s="36">
        <v>21</v>
      </c>
      <c r="L23" s="97">
        <v>-203.79999999999993</v>
      </c>
      <c r="N23" s="113" t="s">
        <v>200</v>
      </c>
      <c r="O23" s="123">
        <f>IF(P23=0,0,Q23/P23)</f>
        <v>-59.70000000000001</v>
      </c>
      <c r="P23" s="117">
        <v>3</v>
      </c>
      <c r="Q23" s="105">
        <v>-179.10000000000002</v>
      </c>
    </row>
    <row r="24" spans="1:17" x14ac:dyDescent="0.4">
      <c r="A24" s="53" t="s">
        <v>14</v>
      </c>
      <c r="B24" s="49">
        <f>IF(B$20=0,0,C24/B$20)</f>
        <v>-8151.4563106796113</v>
      </c>
      <c r="C24" s="39">
        <v>-839600</v>
      </c>
      <c r="E24" s="61" t="s">
        <v>76</v>
      </c>
      <c r="F24" s="58" t="s">
        <v>31</v>
      </c>
      <c r="G24" s="45">
        <v>0</v>
      </c>
      <c r="H24" s="131">
        <f>IF(B$17=0,0,G24/B$17)</f>
        <v>0</v>
      </c>
      <c r="I24" s="92">
        <v>9</v>
      </c>
      <c r="K24" s="36">
        <v>22</v>
      </c>
      <c r="L24" s="97">
        <v>-262.49999999999994</v>
      </c>
      <c r="N24" s="113" t="s">
        <v>184</v>
      </c>
      <c r="O24" s="123">
        <f>IF(P24=0,0,Q24/P24)</f>
        <v>-159</v>
      </c>
      <c r="P24" s="117">
        <v>1</v>
      </c>
      <c r="Q24" s="105">
        <v>-159</v>
      </c>
    </row>
    <row r="25" spans="1:17" x14ac:dyDescent="0.4">
      <c r="A25" s="53" t="s">
        <v>305</v>
      </c>
      <c r="B25" s="49">
        <f>IF($B$17-B$16=0,0,C25/($B$17-B$16))</f>
        <v>8606.4220183486232</v>
      </c>
      <c r="C25" s="39">
        <v>938100</v>
      </c>
      <c r="E25" s="61" t="s">
        <v>77</v>
      </c>
      <c r="F25" s="58" t="s">
        <v>32</v>
      </c>
      <c r="G25" s="45">
        <v>0</v>
      </c>
      <c r="H25" s="131">
        <f>IF(B$17=0,0,G25/B$17)</f>
        <v>0</v>
      </c>
      <c r="I25" s="92">
        <v>1</v>
      </c>
      <c r="K25" s="36">
        <v>23</v>
      </c>
      <c r="L25" s="97">
        <v>-259.09999999999997</v>
      </c>
    </row>
    <row r="26" spans="1:17" x14ac:dyDescent="0.4">
      <c r="A26" s="55" t="s">
        <v>304</v>
      </c>
      <c r="B26" s="50">
        <f>IF(B$16=0,0,C26/B$16)</f>
        <v>4752.6315789473683</v>
      </c>
      <c r="C26" s="43">
        <v>180600</v>
      </c>
      <c r="E26" s="61" t="s">
        <v>78</v>
      </c>
      <c r="F26" s="58" t="s">
        <v>33</v>
      </c>
      <c r="G26" s="45">
        <v>0</v>
      </c>
      <c r="H26" s="131">
        <f>IF(B$17=0,0,G26/B$17)</f>
        <v>0</v>
      </c>
      <c r="I26" s="92">
        <v>9</v>
      </c>
      <c r="K26" s="36">
        <v>24</v>
      </c>
      <c r="L26" s="97">
        <v>-287.89999999999998</v>
      </c>
    </row>
    <row r="27" spans="1:17" x14ac:dyDescent="0.4">
      <c r="A27" s="88" t="s">
        <v>142</v>
      </c>
      <c r="B27" s="142">
        <v>6</v>
      </c>
      <c r="C27" s="143"/>
      <c r="E27" s="61" t="s">
        <v>81</v>
      </c>
      <c r="F27" s="58" t="s">
        <v>36</v>
      </c>
      <c r="G27" s="45">
        <v>0</v>
      </c>
      <c r="H27" s="131">
        <f>IF(B$17=0,0,G27/B$17)</f>
        <v>0</v>
      </c>
      <c r="I27" s="92">
        <v>1</v>
      </c>
      <c r="K27" s="36">
        <v>25</v>
      </c>
      <c r="L27" s="97">
        <v>-344.29999999999995</v>
      </c>
    </row>
    <row r="28" spans="1:17" x14ac:dyDescent="0.4">
      <c r="A28" s="56" t="s">
        <v>152</v>
      </c>
      <c r="B28" s="140">
        <v>113300</v>
      </c>
      <c r="C28" s="141"/>
      <c r="E28" s="61" t="s">
        <v>83</v>
      </c>
      <c r="F28" s="58" t="s">
        <v>38</v>
      </c>
      <c r="G28" s="45">
        <v>0</v>
      </c>
      <c r="H28" s="131">
        <f>IF(B$17=0,0,G28/B$17)</f>
        <v>0</v>
      </c>
      <c r="I28" s="92">
        <v>1</v>
      </c>
      <c r="K28" s="36">
        <v>26</v>
      </c>
      <c r="L28" s="97">
        <v>-285.09999999999997</v>
      </c>
    </row>
    <row r="29" spans="1:17" x14ac:dyDescent="0.4">
      <c r="A29" s="55" t="s">
        <v>143</v>
      </c>
      <c r="B29" s="63">
        <v>2</v>
      </c>
      <c r="C29" s="40">
        <f>IF(B$3=0,0,B29/B$3)</f>
        <v>3.780718336483932E-3</v>
      </c>
      <c r="E29" s="61" t="s">
        <v>85</v>
      </c>
      <c r="F29" s="58" t="s">
        <v>40</v>
      </c>
      <c r="G29" s="45">
        <v>0</v>
      </c>
      <c r="H29" s="131">
        <f>IF(B$17=0,0,G29/B$17)</f>
        <v>0</v>
      </c>
      <c r="I29" s="92">
        <v>6</v>
      </c>
      <c r="K29" s="36">
        <v>27</v>
      </c>
      <c r="L29" s="97">
        <v>-257.39999999999998</v>
      </c>
    </row>
    <row r="30" spans="1:17" x14ac:dyDescent="0.4">
      <c r="E30" s="61" t="s">
        <v>86</v>
      </c>
      <c r="F30" s="58" t="s">
        <v>41</v>
      </c>
      <c r="G30" s="45">
        <v>0</v>
      </c>
      <c r="H30" s="131">
        <f>IF(B$17=0,0,G30/B$17)</f>
        <v>0</v>
      </c>
      <c r="I30" s="92">
        <v>5</v>
      </c>
      <c r="K30" s="36">
        <v>28</v>
      </c>
      <c r="L30" s="97">
        <v>-248.2</v>
      </c>
    </row>
    <row r="31" spans="1:17" x14ac:dyDescent="0.4">
      <c r="E31" s="61" t="s">
        <v>89</v>
      </c>
      <c r="F31" s="58" t="s">
        <v>44</v>
      </c>
      <c r="G31" s="45">
        <v>0</v>
      </c>
      <c r="H31" s="131">
        <f>IF(B$17=0,0,G31/B$17)</f>
        <v>0</v>
      </c>
      <c r="I31" s="92">
        <v>5</v>
      </c>
      <c r="K31" s="36">
        <v>29</v>
      </c>
      <c r="L31" s="97">
        <v>-177.29999999999998</v>
      </c>
    </row>
    <row r="32" spans="1:17" x14ac:dyDescent="0.4">
      <c r="E32" s="61" t="s">
        <v>91</v>
      </c>
      <c r="F32" s="58" t="s">
        <v>46</v>
      </c>
      <c r="G32" s="45">
        <v>0</v>
      </c>
      <c r="H32" s="131">
        <f>IF(B$17=0,0,G32/B$17)</f>
        <v>0</v>
      </c>
      <c r="I32" s="92">
        <v>5</v>
      </c>
      <c r="K32" s="36">
        <v>30</v>
      </c>
      <c r="L32" s="97">
        <v>-202.79999999999998</v>
      </c>
    </row>
    <row r="33" spans="5:12" x14ac:dyDescent="0.4">
      <c r="E33" s="61" t="s">
        <v>93</v>
      </c>
      <c r="F33" s="58" t="s">
        <v>48</v>
      </c>
      <c r="G33" s="45">
        <v>0</v>
      </c>
      <c r="H33" s="131">
        <f>IF(B$17=0,0,G33/B$17)</f>
        <v>0</v>
      </c>
      <c r="I33" s="92">
        <v>7</v>
      </c>
      <c r="K33" s="36">
        <v>31</v>
      </c>
      <c r="L33" s="97">
        <v>-226.29999999999998</v>
      </c>
    </row>
    <row r="34" spans="5:12" x14ac:dyDescent="0.4">
      <c r="E34" s="61" t="s">
        <v>94</v>
      </c>
      <c r="F34" s="58" t="s">
        <v>49</v>
      </c>
      <c r="G34" s="45">
        <v>0</v>
      </c>
      <c r="H34" s="131">
        <f>IF(B$17=0,0,G34/B$17)</f>
        <v>0</v>
      </c>
      <c r="I34" s="92">
        <v>7</v>
      </c>
      <c r="K34" s="36">
        <v>32</v>
      </c>
      <c r="L34" s="97">
        <v>-193.79999999999998</v>
      </c>
    </row>
    <row r="35" spans="5:12" x14ac:dyDescent="0.4">
      <c r="E35" s="61" t="s">
        <v>95</v>
      </c>
      <c r="F35" s="58" t="s">
        <v>50</v>
      </c>
      <c r="G35" s="45">
        <v>0</v>
      </c>
      <c r="H35" s="131">
        <f>IF(B$17=0,0,G35/B$17)</f>
        <v>0</v>
      </c>
      <c r="I35" s="92">
        <v>1</v>
      </c>
      <c r="K35" s="36">
        <v>33</v>
      </c>
      <c r="L35" s="97">
        <v>-194.1</v>
      </c>
    </row>
    <row r="36" spans="5:12" x14ac:dyDescent="0.4">
      <c r="E36" s="61" t="s">
        <v>96</v>
      </c>
      <c r="F36" s="58" t="s">
        <v>51</v>
      </c>
      <c r="G36" s="45">
        <v>0</v>
      </c>
      <c r="H36" s="131">
        <f>IF(B$17=0,0,G36/B$17)</f>
        <v>0</v>
      </c>
      <c r="I36" s="92">
        <v>4</v>
      </c>
      <c r="K36" s="36">
        <v>34</v>
      </c>
      <c r="L36" s="97">
        <v>-224.6</v>
      </c>
    </row>
    <row r="37" spans="5:12" x14ac:dyDescent="0.4">
      <c r="E37" s="61" t="s">
        <v>97</v>
      </c>
      <c r="F37" s="58" t="s">
        <v>52</v>
      </c>
      <c r="G37" s="45">
        <v>0</v>
      </c>
      <c r="H37" s="131">
        <f>IF(B$17=0,0,G37/B$17)</f>
        <v>0</v>
      </c>
      <c r="I37" s="92">
        <v>1</v>
      </c>
      <c r="K37" s="36">
        <v>35</v>
      </c>
      <c r="L37" s="97">
        <v>-224.9</v>
      </c>
    </row>
    <row r="38" spans="5:12" x14ac:dyDescent="0.4">
      <c r="E38" s="61" t="s">
        <v>98</v>
      </c>
      <c r="F38" s="58" t="s">
        <v>53</v>
      </c>
      <c r="G38" s="45">
        <v>0</v>
      </c>
      <c r="H38" s="131">
        <f>IF(B$17=0,0,G38/B$17)</f>
        <v>0</v>
      </c>
      <c r="I38" s="92">
        <v>3</v>
      </c>
      <c r="K38" s="36">
        <v>36</v>
      </c>
      <c r="L38" s="97">
        <v>-190.5</v>
      </c>
    </row>
    <row r="39" spans="5:12" x14ac:dyDescent="0.4">
      <c r="E39" s="61" t="s">
        <v>99</v>
      </c>
      <c r="F39" s="58" t="s">
        <v>54</v>
      </c>
      <c r="G39" s="45">
        <v>0</v>
      </c>
      <c r="H39" s="131">
        <f>IF(B$17=0,0,G39/B$17)</f>
        <v>0</v>
      </c>
      <c r="I39" s="92">
        <v>1</v>
      </c>
      <c r="K39" s="36">
        <v>37</v>
      </c>
      <c r="L39" s="97">
        <v>-234.4</v>
      </c>
    </row>
    <row r="40" spans="5:12" x14ac:dyDescent="0.4">
      <c r="E40" s="61" t="s">
        <v>100</v>
      </c>
      <c r="F40" s="58" t="s">
        <v>55</v>
      </c>
      <c r="G40" s="45">
        <v>0</v>
      </c>
      <c r="H40" s="131">
        <f>IF(B$17=0,0,G40/B$17)</f>
        <v>0</v>
      </c>
      <c r="I40" s="92">
        <v>1</v>
      </c>
      <c r="K40" s="36">
        <v>38</v>
      </c>
      <c r="L40" s="97">
        <v>-211.5</v>
      </c>
    </row>
    <row r="41" spans="5:12" x14ac:dyDescent="0.4">
      <c r="E41" s="61" t="s">
        <v>101</v>
      </c>
      <c r="F41" s="58" t="s">
        <v>56</v>
      </c>
      <c r="G41" s="45">
        <v>0</v>
      </c>
      <c r="H41" s="131">
        <f>IF(B$17=0,0,G41/B$17)</f>
        <v>0</v>
      </c>
      <c r="I41" s="92">
        <v>1</v>
      </c>
      <c r="K41" s="36">
        <v>39</v>
      </c>
      <c r="L41" s="97">
        <v>-223.9</v>
      </c>
    </row>
    <row r="42" spans="5:12" x14ac:dyDescent="0.4">
      <c r="E42" s="61" t="s">
        <v>102</v>
      </c>
      <c r="F42" s="58" t="s">
        <v>57</v>
      </c>
      <c r="G42" s="45">
        <v>0</v>
      </c>
      <c r="H42" s="131">
        <f>IF(B$17=0,0,G42/B$17)</f>
        <v>0</v>
      </c>
      <c r="I42" s="92">
        <v>3</v>
      </c>
      <c r="K42" s="36">
        <v>40</v>
      </c>
      <c r="L42" s="97">
        <v>-279.89999999999998</v>
      </c>
    </row>
    <row r="43" spans="5:12" x14ac:dyDescent="0.4">
      <c r="E43" s="61" t="s">
        <v>103</v>
      </c>
      <c r="F43" s="58" t="s">
        <v>58</v>
      </c>
      <c r="G43" s="45">
        <v>0</v>
      </c>
      <c r="H43" s="131">
        <f>IF(B$17=0,0,G43/B$17)</f>
        <v>0</v>
      </c>
      <c r="I43" s="92">
        <v>1</v>
      </c>
      <c r="K43" s="36">
        <v>41</v>
      </c>
      <c r="L43" s="97">
        <v>-303.59999999999997</v>
      </c>
    </row>
    <row r="44" spans="5:12" x14ac:dyDescent="0.4">
      <c r="E44" s="61" t="s">
        <v>104</v>
      </c>
      <c r="F44" s="58" t="s">
        <v>59</v>
      </c>
      <c r="G44" s="45">
        <v>0</v>
      </c>
      <c r="H44" s="131">
        <f>IF(B$17=0,0,G44/B$17)</f>
        <v>0</v>
      </c>
      <c r="I44" s="92">
        <v>1</v>
      </c>
      <c r="K44" s="36">
        <v>42</v>
      </c>
      <c r="L44" s="97">
        <v>-338.7</v>
      </c>
    </row>
    <row r="45" spans="5:12" x14ac:dyDescent="0.4">
      <c r="E45" s="61" t="s">
        <v>105</v>
      </c>
      <c r="F45" s="58" t="s">
        <v>60</v>
      </c>
      <c r="G45" s="45">
        <v>0</v>
      </c>
      <c r="H45" s="131">
        <f>IF(B$17=0,0,G45/B$17)</f>
        <v>0</v>
      </c>
      <c r="I45" s="92">
        <v>1</v>
      </c>
      <c r="K45" s="36">
        <v>43</v>
      </c>
      <c r="L45" s="97">
        <v>-289.7</v>
      </c>
    </row>
    <row r="46" spans="5:12" x14ac:dyDescent="0.4">
      <c r="E46" s="61" t="s">
        <v>106</v>
      </c>
      <c r="F46" s="58" t="s">
        <v>113</v>
      </c>
      <c r="G46" s="45">
        <v>0</v>
      </c>
      <c r="H46" s="131">
        <f>IF(B$17=0,0,G46/B$17)</f>
        <v>0</v>
      </c>
      <c r="I46" s="92">
        <v>1</v>
      </c>
      <c r="K46" s="36">
        <v>44</v>
      </c>
      <c r="L46" s="97">
        <v>-262.59999999999997</v>
      </c>
    </row>
    <row r="47" spans="5:12" x14ac:dyDescent="0.4">
      <c r="E47" s="61" t="s">
        <v>108</v>
      </c>
      <c r="F47" s="58" t="s">
        <v>115</v>
      </c>
      <c r="G47" s="45">
        <v>0</v>
      </c>
      <c r="H47" s="131">
        <f>IF(B$17=0,0,G47/B$17)</f>
        <v>0</v>
      </c>
      <c r="I47" s="92">
        <v>1</v>
      </c>
      <c r="K47" s="36">
        <v>45</v>
      </c>
      <c r="L47" s="97">
        <v>-295.39999999999998</v>
      </c>
    </row>
    <row r="48" spans="5:12" x14ac:dyDescent="0.4">
      <c r="E48" s="61" t="s">
        <v>109</v>
      </c>
      <c r="F48" s="58" t="s">
        <v>61</v>
      </c>
      <c r="G48" s="45">
        <v>0</v>
      </c>
      <c r="H48" s="131">
        <f>IF(B$17=0,0,G48/B$17)</f>
        <v>0</v>
      </c>
      <c r="I48" s="92">
        <v>1</v>
      </c>
      <c r="K48" s="36">
        <v>46</v>
      </c>
      <c r="L48" s="97">
        <v>-377.4</v>
      </c>
    </row>
    <row r="49" spans="5:12" x14ac:dyDescent="0.4">
      <c r="E49" s="61" t="s">
        <v>110</v>
      </c>
      <c r="F49" s="58" t="s">
        <v>62</v>
      </c>
      <c r="G49" s="45">
        <v>0</v>
      </c>
      <c r="H49" s="131">
        <f>IF(B$17=0,0,G49/B$17)</f>
        <v>0</v>
      </c>
      <c r="I49" s="92">
        <v>1</v>
      </c>
      <c r="K49" s="36">
        <v>47</v>
      </c>
      <c r="L49" s="97">
        <v>-439.7</v>
      </c>
    </row>
    <row r="50" spans="5:12" x14ac:dyDescent="0.4">
      <c r="E50" s="61" t="s">
        <v>111</v>
      </c>
      <c r="F50" s="58" t="s">
        <v>63</v>
      </c>
      <c r="G50" s="45">
        <v>0</v>
      </c>
      <c r="H50" s="131">
        <f>IF(B$17=0,0,G50/B$17)</f>
        <v>0</v>
      </c>
      <c r="I50" s="92">
        <v>1</v>
      </c>
      <c r="K50" s="36">
        <v>48</v>
      </c>
      <c r="L50" s="97">
        <v>-387.7</v>
      </c>
    </row>
    <row r="51" spans="5:12" x14ac:dyDescent="0.4">
      <c r="E51" s="134" t="s">
        <v>112</v>
      </c>
      <c r="F51" s="135" t="s">
        <v>64</v>
      </c>
      <c r="G51" s="46">
        <v>0</v>
      </c>
      <c r="H51" s="136">
        <f>IF(B$17=0,0,G51/B$17)</f>
        <v>0</v>
      </c>
      <c r="I51" s="137">
        <v>1</v>
      </c>
      <c r="K51" s="36">
        <v>49</v>
      </c>
      <c r="L51" s="97">
        <v>-433</v>
      </c>
    </row>
    <row r="52" spans="5:12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  <c r="K52" s="36">
        <v>50</v>
      </c>
      <c r="L52" s="97">
        <v>-437.3</v>
      </c>
    </row>
    <row r="53" spans="5:12" x14ac:dyDescent="0.4">
      <c r="K53" s="36">
        <v>51</v>
      </c>
      <c r="L53" s="97">
        <v>-495.90000000000003</v>
      </c>
    </row>
    <row r="54" spans="5:12" x14ac:dyDescent="0.4">
      <c r="K54" s="36">
        <v>52</v>
      </c>
      <c r="L54" s="97">
        <v>-397.6</v>
      </c>
    </row>
    <row r="55" spans="5:12" x14ac:dyDescent="0.4">
      <c r="K55" s="36">
        <v>53</v>
      </c>
      <c r="L55" s="97">
        <v>-396.70000000000005</v>
      </c>
    </row>
    <row r="56" spans="5:12" x14ac:dyDescent="0.4">
      <c r="K56" s="36">
        <v>54</v>
      </c>
      <c r="L56" s="97">
        <v>-404.6</v>
      </c>
    </row>
    <row r="57" spans="5:12" x14ac:dyDescent="0.4">
      <c r="K57" s="36">
        <v>55</v>
      </c>
      <c r="L57" s="97">
        <v>-349.5</v>
      </c>
    </row>
    <row r="58" spans="5:12" x14ac:dyDescent="0.4">
      <c r="K58" s="36">
        <v>56</v>
      </c>
      <c r="L58" s="97">
        <v>-397.1</v>
      </c>
    </row>
    <row r="59" spans="5:12" x14ac:dyDescent="0.4">
      <c r="K59" s="36">
        <v>57</v>
      </c>
      <c r="L59" s="97">
        <v>-461.6</v>
      </c>
    </row>
    <row r="60" spans="5:12" x14ac:dyDescent="0.4">
      <c r="K60" s="36">
        <v>58</v>
      </c>
      <c r="L60" s="97">
        <v>-521</v>
      </c>
    </row>
    <row r="61" spans="5:12" x14ac:dyDescent="0.4">
      <c r="K61" s="36">
        <v>59</v>
      </c>
      <c r="L61" s="97">
        <v>-521</v>
      </c>
    </row>
    <row r="62" spans="5:12" x14ac:dyDescent="0.4">
      <c r="K62" s="36">
        <v>60</v>
      </c>
      <c r="L62" s="97">
        <v>-511.8</v>
      </c>
    </row>
    <row r="63" spans="5:12" x14ac:dyDescent="0.4">
      <c r="K63" s="36">
        <v>61</v>
      </c>
      <c r="L63" s="97">
        <v>-560.6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5AAB1-464B-4AC4-B50F-D234C3A863C2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177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121</v>
      </c>
      <c r="C2" s="149"/>
      <c r="E2" s="60" t="s">
        <v>67</v>
      </c>
      <c r="F2" s="57" t="s">
        <v>23</v>
      </c>
      <c r="G2" s="44">
        <v>165</v>
      </c>
      <c r="H2" s="130">
        <f>IF(B$17=0,0,G2/B$17)</f>
        <v>0.6021897810218978</v>
      </c>
      <c r="I2" s="91">
        <v>11</v>
      </c>
      <c r="K2" s="34">
        <v>0</v>
      </c>
      <c r="L2" s="96">
        <v>0</v>
      </c>
      <c r="N2" s="112" t="s">
        <v>132</v>
      </c>
      <c r="O2" s="119">
        <f t="shared" ref="O2:O7" si="0">IF(P2=0,0,Q2/P2)</f>
        <v>379.3388429752066</v>
      </c>
      <c r="P2" s="116">
        <v>121</v>
      </c>
      <c r="Q2" s="100">
        <v>45900</v>
      </c>
    </row>
    <row r="3" spans="1:17" x14ac:dyDescent="0.4">
      <c r="A3" s="53" t="s">
        <v>8</v>
      </c>
      <c r="B3" s="150">
        <v>1007</v>
      </c>
      <c r="C3" s="151"/>
      <c r="E3" s="61" t="s">
        <v>65</v>
      </c>
      <c r="F3" s="58" t="s">
        <v>21</v>
      </c>
      <c r="G3" s="45">
        <v>162</v>
      </c>
      <c r="H3" s="131">
        <f>IF(B$17=0,0,G3/B$17)</f>
        <v>0.59124087591240881</v>
      </c>
      <c r="I3" s="92">
        <v>2</v>
      </c>
      <c r="K3" s="36">
        <v>1</v>
      </c>
      <c r="L3" s="97">
        <v>-1.9</v>
      </c>
      <c r="N3" s="113" t="s">
        <v>133</v>
      </c>
      <c r="O3" s="120">
        <f t="shared" si="0"/>
        <v>842.73504273504273</v>
      </c>
      <c r="P3" s="117">
        <v>117</v>
      </c>
      <c r="Q3" s="101">
        <v>98600</v>
      </c>
    </row>
    <row r="4" spans="1:17" x14ac:dyDescent="0.4">
      <c r="A4" s="53" t="s">
        <v>6</v>
      </c>
      <c r="B4" s="152">
        <v>57.399999999999935</v>
      </c>
      <c r="C4" s="153"/>
      <c r="E4" s="61" t="s">
        <v>73</v>
      </c>
      <c r="F4" s="58" t="s">
        <v>28</v>
      </c>
      <c r="G4" s="45">
        <v>126</v>
      </c>
      <c r="H4" s="131">
        <f>IF(B$17=0,0,G4/B$17)</f>
        <v>0.45985401459854014</v>
      </c>
      <c r="I4" s="92">
        <v>11</v>
      </c>
      <c r="K4" s="36">
        <v>2</v>
      </c>
      <c r="L4" s="97">
        <v>30</v>
      </c>
      <c r="N4" s="113" t="s">
        <v>134</v>
      </c>
      <c r="O4" s="120">
        <f t="shared" si="0"/>
        <v>-144.54545454545453</v>
      </c>
      <c r="P4" s="117">
        <v>110</v>
      </c>
      <c r="Q4" s="101">
        <v>-15900</v>
      </c>
    </row>
    <row r="5" spans="1:17" x14ac:dyDescent="0.4">
      <c r="A5" s="53" t="s">
        <v>7</v>
      </c>
      <c r="B5" s="154">
        <f>IF(B$2=0,0,B$4/B$2)</f>
        <v>0.47438016528925564</v>
      </c>
      <c r="C5" s="155"/>
      <c r="E5" s="61" t="s">
        <v>245</v>
      </c>
      <c r="F5" s="58" t="s">
        <v>246</v>
      </c>
      <c r="G5" s="45">
        <v>120</v>
      </c>
      <c r="H5" s="131">
        <f>IF(B$17=0,0,G5/B$17)</f>
        <v>0.43795620437956206</v>
      </c>
      <c r="I5" s="92">
        <v>3</v>
      </c>
      <c r="K5" s="36">
        <v>3</v>
      </c>
      <c r="L5" s="97">
        <v>-10</v>
      </c>
      <c r="N5" s="113" t="s">
        <v>135</v>
      </c>
      <c r="O5" s="120">
        <f t="shared" si="0"/>
        <v>460.57692307692309</v>
      </c>
      <c r="P5" s="117">
        <v>104</v>
      </c>
      <c r="Q5" s="101">
        <v>47900</v>
      </c>
    </row>
    <row r="6" spans="1:17" x14ac:dyDescent="0.4">
      <c r="A6" s="53" t="s">
        <v>1</v>
      </c>
      <c r="B6" s="144">
        <f>IF(B$2=0,0,(B$7*1+B$8*2+B$9*3)/B$2)</f>
        <v>1.9834710743801653</v>
      </c>
      <c r="C6" s="145"/>
      <c r="E6" s="61" t="s">
        <v>68</v>
      </c>
      <c r="F6" s="58" t="s">
        <v>24</v>
      </c>
      <c r="G6" s="45">
        <v>111</v>
      </c>
      <c r="H6" s="131">
        <f>IF(B$17=0,0,G6/B$17)</f>
        <v>0.4051094890510949</v>
      </c>
      <c r="I6" s="92">
        <v>2</v>
      </c>
      <c r="K6" s="36">
        <v>4</v>
      </c>
      <c r="L6" s="97">
        <v>40</v>
      </c>
      <c r="N6" s="113" t="s">
        <v>136</v>
      </c>
      <c r="O6" s="120">
        <f t="shared" si="0"/>
        <v>-1934.7368421052631</v>
      </c>
      <c r="P6" s="117">
        <v>95</v>
      </c>
      <c r="Q6" s="101">
        <v>-183800</v>
      </c>
    </row>
    <row r="7" spans="1:17" x14ac:dyDescent="0.4">
      <c r="A7" s="53" t="s">
        <v>2</v>
      </c>
      <c r="B7" s="45">
        <v>40</v>
      </c>
      <c r="C7" s="37">
        <f t="shared" ref="C7:C12" si="1">IF(B$2=0,0,B7/B$2)</f>
        <v>0.33057851239669422</v>
      </c>
      <c r="E7" s="61" t="s">
        <v>69</v>
      </c>
      <c r="F7" s="58" t="s">
        <v>12</v>
      </c>
      <c r="G7" s="45">
        <v>89</v>
      </c>
      <c r="H7" s="131">
        <f>IF(B$17=0,0,G7/B$17)</f>
        <v>0.32481751824817517</v>
      </c>
      <c r="I7" s="92">
        <v>6</v>
      </c>
      <c r="K7" s="36">
        <v>5</v>
      </c>
      <c r="L7" s="97">
        <v>35.4</v>
      </c>
      <c r="N7" s="114" t="s">
        <v>137</v>
      </c>
      <c r="O7" s="121">
        <f t="shared" si="0"/>
        <v>902.56410256410254</v>
      </c>
      <c r="P7" s="118">
        <v>78</v>
      </c>
      <c r="Q7" s="102">
        <v>70400</v>
      </c>
    </row>
    <row r="8" spans="1:17" x14ac:dyDescent="0.4">
      <c r="A8" s="53" t="s">
        <v>3</v>
      </c>
      <c r="B8" s="45">
        <v>43</v>
      </c>
      <c r="C8" s="37">
        <f t="shared" si="1"/>
        <v>0.35537190082644626</v>
      </c>
      <c r="E8" s="61" t="s">
        <v>70</v>
      </c>
      <c r="F8" s="58" t="s">
        <v>25</v>
      </c>
      <c r="G8" s="45">
        <v>41</v>
      </c>
      <c r="H8" s="131">
        <f>IF(B$17=0,0,G8/B$17)</f>
        <v>0.14963503649635038</v>
      </c>
      <c r="I8" s="92">
        <v>9</v>
      </c>
      <c r="K8" s="36">
        <v>6</v>
      </c>
      <c r="L8" s="97">
        <v>3.8999999999999986</v>
      </c>
      <c r="N8" s="41"/>
      <c r="O8" s="125"/>
      <c r="P8" s="109"/>
      <c r="Q8" s="107"/>
    </row>
    <row r="9" spans="1:17" x14ac:dyDescent="0.4">
      <c r="A9" s="54" t="s">
        <v>4</v>
      </c>
      <c r="B9" s="46">
        <v>38</v>
      </c>
      <c r="C9" s="38">
        <f t="shared" si="1"/>
        <v>0.31404958677685951</v>
      </c>
      <c r="E9" s="61" t="s">
        <v>66</v>
      </c>
      <c r="F9" s="58" t="s">
        <v>22</v>
      </c>
      <c r="G9" s="45">
        <v>31</v>
      </c>
      <c r="H9" s="131">
        <f>IF(B$17=0,0,G9/B$17)</f>
        <v>0.11313868613138686</v>
      </c>
      <c r="I9" s="92">
        <v>4</v>
      </c>
      <c r="K9" s="36">
        <v>7</v>
      </c>
      <c r="L9" s="97">
        <v>-30.1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15</v>
      </c>
      <c r="C10" s="38">
        <f t="shared" si="1"/>
        <v>0.12396694214876033</v>
      </c>
      <c r="E10" s="61" t="s">
        <v>90</v>
      </c>
      <c r="F10" s="58" t="s">
        <v>45</v>
      </c>
      <c r="G10" s="45">
        <v>31</v>
      </c>
      <c r="H10" s="131">
        <f>IF(B$17=0,0,G10/B$17)</f>
        <v>0.11313868613138686</v>
      </c>
      <c r="I10" s="92">
        <v>10</v>
      </c>
      <c r="K10" s="36">
        <v>8</v>
      </c>
      <c r="L10" s="97">
        <v>-87.1</v>
      </c>
      <c r="N10" s="112" t="s">
        <v>164</v>
      </c>
      <c r="O10" s="122">
        <f>IF(P10=0,0,Q10/P10)</f>
        <v>-3.8090909090909095</v>
      </c>
      <c r="P10" s="116">
        <v>44</v>
      </c>
      <c r="Q10" s="104">
        <v>-167.60000000000002</v>
      </c>
    </row>
    <row r="11" spans="1:17" x14ac:dyDescent="0.4">
      <c r="A11" s="54" t="s">
        <v>140</v>
      </c>
      <c r="B11" s="46">
        <v>11</v>
      </c>
      <c r="C11" s="38">
        <f t="shared" si="1"/>
        <v>9.0909090909090912E-2</v>
      </c>
      <c r="E11" s="61" t="s">
        <v>71</v>
      </c>
      <c r="F11" s="58" t="s">
        <v>26</v>
      </c>
      <c r="G11" s="45">
        <v>23</v>
      </c>
      <c r="H11" s="131">
        <f>IF(B$17=0,0,G11/B$17)</f>
        <v>8.3941605839416053E-2</v>
      </c>
      <c r="I11" s="92">
        <v>7</v>
      </c>
      <c r="K11" s="36">
        <v>9</v>
      </c>
      <c r="L11" s="97">
        <v>-128.6</v>
      </c>
      <c r="N11" s="113" t="s">
        <v>165</v>
      </c>
      <c r="O11" s="123">
        <f>IF(P11=0,0,Q11/P11)</f>
        <v>2.5756097560975606</v>
      </c>
      <c r="P11" s="117">
        <v>41</v>
      </c>
      <c r="Q11" s="105">
        <v>105.59999999999998</v>
      </c>
    </row>
    <row r="12" spans="1:17" x14ac:dyDescent="0.4">
      <c r="A12" s="55" t="s">
        <v>160</v>
      </c>
      <c r="B12" s="47">
        <v>8</v>
      </c>
      <c r="C12" s="40">
        <f t="shared" si="1"/>
        <v>6.6115702479338845E-2</v>
      </c>
      <c r="E12" s="61" t="s">
        <v>72</v>
      </c>
      <c r="F12" s="58" t="s">
        <v>27</v>
      </c>
      <c r="G12" s="45">
        <v>21</v>
      </c>
      <c r="H12" s="131">
        <f>IF(B$17=0,0,G12/B$17)</f>
        <v>7.6642335766423361E-2</v>
      </c>
      <c r="I12" s="92">
        <v>5</v>
      </c>
      <c r="K12" s="36">
        <v>10</v>
      </c>
      <c r="L12" s="97">
        <v>-183.7</v>
      </c>
      <c r="N12" s="114" t="s">
        <v>166</v>
      </c>
      <c r="O12" s="124">
        <f>IF(P12=0,0,Q12/P12)</f>
        <v>3.316666666666666</v>
      </c>
      <c r="P12" s="118">
        <v>36</v>
      </c>
      <c r="Q12" s="106">
        <v>119.39999999999998</v>
      </c>
    </row>
    <row r="13" spans="1:17" x14ac:dyDescent="0.4">
      <c r="A13" s="56" t="s">
        <v>122</v>
      </c>
      <c r="B13" s="48">
        <v>265</v>
      </c>
      <c r="C13" s="42">
        <f>IF(B$3=0,0,B13/B$3)</f>
        <v>0.26315789473684209</v>
      </c>
      <c r="E13" s="61" t="s">
        <v>84</v>
      </c>
      <c r="F13" s="58" t="s">
        <v>39</v>
      </c>
      <c r="G13" s="45">
        <v>15</v>
      </c>
      <c r="H13" s="131">
        <f>IF(B$17=0,0,G13/B$17)</f>
        <v>5.4744525547445258E-2</v>
      </c>
      <c r="I13" s="92">
        <v>5</v>
      </c>
      <c r="K13" s="36">
        <v>11</v>
      </c>
      <c r="L13" s="97">
        <v>-152.89999999999998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194</v>
      </c>
      <c r="C14" s="37">
        <f>IF(B$3=0,0,B14/B$3)</f>
        <v>0.19265143992055611</v>
      </c>
      <c r="E14" s="61" t="s">
        <v>87</v>
      </c>
      <c r="F14" s="58" t="s">
        <v>42</v>
      </c>
      <c r="G14" s="45">
        <v>13</v>
      </c>
      <c r="H14" s="131">
        <f>IF(B$17=0,0,G14/B$17)</f>
        <v>4.7445255474452552E-2</v>
      </c>
      <c r="I14" s="92">
        <v>11</v>
      </c>
      <c r="K14" s="36">
        <v>12</v>
      </c>
      <c r="L14" s="97">
        <v>-208.09999999999997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161</v>
      </c>
      <c r="C15" s="35">
        <f>IF(B$13=0,0,B15/B$13)</f>
        <v>0.60754716981132073</v>
      </c>
      <c r="E15" s="61" t="s">
        <v>79</v>
      </c>
      <c r="F15" s="58" t="s">
        <v>34</v>
      </c>
      <c r="G15" s="45">
        <v>9</v>
      </c>
      <c r="H15" s="131">
        <f>IF(B$17=0,0,G15/B$17)</f>
        <v>3.2846715328467155E-2</v>
      </c>
      <c r="I15" s="92">
        <v>5</v>
      </c>
      <c r="K15" s="36">
        <v>13</v>
      </c>
      <c r="L15" s="97">
        <v>-209.59999999999997</v>
      </c>
      <c r="N15" s="112" t="s">
        <v>271</v>
      </c>
      <c r="O15" s="122">
        <f>IF(P15=0,0,Q15/P15)</f>
        <v>64.679999999999993</v>
      </c>
      <c r="P15" s="116">
        <v>5</v>
      </c>
      <c r="Q15" s="104">
        <v>323.39999999999998</v>
      </c>
    </row>
    <row r="16" spans="1:17" x14ac:dyDescent="0.4">
      <c r="A16" s="52" t="s">
        <v>125</v>
      </c>
      <c r="B16" s="44">
        <v>69</v>
      </c>
      <c r="C16" s="35">
        <f>IF(B$14=0,0,B16/B$14)</f>
        <v>0.35567010309278352</v>
      </c>
      <c r="E16" s="61" t="s">
        <v>92</v>
      </c>
      <c r="F16" s="58" t="s">
        <v>47</v>
      </c>
      <c r="G16" s="45">
        <v>9</v>
      </c>
      <c r="H16" s="131">
        <f>IF(B$17=0,0,G16/B$17)</f>
        <v>3.2846715328467155E-2</v>
      </c>
      <c r="I16" s="92">
        <v>3</v>
      </c>
      <c r="K16" s="36">
        <v>14</v>
      </c>
      <c r="L16" s="97">
        <v>-178.49999999999997</v>
      </c>
      <c r="N16" s="113" t="s">
        <v>301</v>
      </c>
      <c r="O16" s="123">
        <f>IF(P16=0,0,Q16/P16)</f>
        <v>36.400000000000006</v>
      </c>
      <c r="P16" s="117">
        <v>4</v>
      </c>
      <c r="Q16" s="105">
        <v>145.60000000000002</v>
      </c>
    </row>
    <row r="17" spans="1:17" x14ac:dyDescent="0.4">
      <c r="A17" s="52" t="s">
        <v>10</v>
      </c>
      <c r="B17" s="44">
        <f>B19+B18</f>
        <v>274</v>
      </c>
      <c r="C17" s="35">
        <f>IF(B$3=0,0,B17/B$3)</f>
        <v>0.27209533267130087</v>
      </c>
      <c r="E17" s="61" t="s">
        <v>82</v>
      </c>
      <c r="F17" s="58" t="s">
        <v>37</v>
      </c>
      <c r="G17" s="45">
        <v>7</v>
      </c>
      <c r="H17" s="131">
        <f>IF(B$17=0,0,G17/B$17)</f>
        <v>2.5547445255474453E-2</v>
      </c>
      <c r="I17" s="92">
        <v>7</v>
      </c>
      <c r="K17" s="36">
        <v>15</v>
      </c>
      <c r="L17" s="97">
        <v>-146.19999999999999</v>
      </c>
      <c r="N17" s="113" t="s">
        <v>171</v>
      </c>
      <c r="O17" s="123">
        <f>IF(P17=0,0,Q17/P17)</f>
        <v>30.404000000000007</v>
      </c>
      <c r="P17" s="117">
        <v>25</v>
      </c>
      <c r="Q17" s="105">
        <v>760.10000000000014</v>
      </c>
    </row>
    <row r="18" spans="1:17" x14ac:dyDescent="0.4">
      <c r="A18" s="53" t="s">
        <v>12</v>
      </c>
      <c r="B18" s="45">
        <v>121</v>
      </c>
      <c r="C18" s="37">
        <f>IF(B$17=0,0,B18/B$17)</f>
        <v>0.44160583941605841</v>
      </c>
      <c r="E18" s="61" t="s">
        <v>86</v>
      </c>
      <c r="F18" s="58" t="s">
        <v>41</v>
      </c>
      <c r="G18" s="45">
        <v>5</v>
      </c>
      <c r="H18" s="131">
        <f>IF(B$17=0,0,G18/B$17)</f>
        <v>1.824817518248175E-2</v>
      </c>
      <c r="I18" s="92">
        <v>1</v>
      </c>
      <c r="K18" s="36">
        <v>16</v>
      </c>
      <c r="L18" s="97">
        <v>-153.29999999999998</v>
      </c>
      <c r="N18" s="113" t="s">
        <v>173</v>
      </c>
      <c r="O18" s="123">
        <f>IF(P18=0,0,Q18/P18)</f>
        <v>10.354545454545457</v>
      </c>
      <c r="P18" s="117">
        <v>11</v>
      </c>
      <c r="Q18" s="105">
        <v>113.90000000000002</v>
      </c>
    </row>
    <row r="19" spans="1:17" x14ac:dyDescent="0.4">
      <c r="A19" s="53" t="s">
        <v>11</v>
      </c>
      <c r="B19" s="45">
        <v>153</v>
      </c>
      <c r="C19" s="37">
        <f>IF(B$17=0,0,B19/B$17)</f>
        <v>0.55839416058394165</v>
      </c>
      <c r="E19" s="61" t="s">
        <v>80</v>
      </c>
      <c r="F19" s="58" t="s">
        <v>35</v>
      </c>
      <c r="G19" s="45">
        <v>4</v>
      </c>
      <c r="H19" s="131">
        <f>IF(B$17=0,0,G19/B$17)</f>
        <v>1.4598540145985401E-2</v>
      </c>
      <c r="I19" s="92">
        <v>9</v>
      </c>
      <c r="K19" s="36">
        <v>17</v>
      </c>
      <c r="L19" s="97">
        <v>-161.19999999999999</v>
      </c>
      <c r="N19" s="113" t="s">
        <v>200</v>
      </c>
      <c r="O19" s="123">
        <f>IF(P19=0,0,Q19/P19)</f>
        <v>9.3545454545454572</v>
      </c>
      <c r="P19" s="117">
        <v>11</v>
      </c>
      <c r="Q19" s="105">
        <v>102.90000000000002</v>
      </c>
    </row>
    <row r="20" spans="1:17" x14ac:dyDescent="0.4">
      <c r="A20" s="53" t="s">
        <v>13</v>
      </c>
      <c r="B20" s="45">
        <v>151</v>
      </c>
      <c r="C20" s="37">
        <f>IF(B$3=0,0,B20/B$3)</f>
        <v>0.1499503475670308</v>
      </c>
      <c r="E20" s="61" t="s">
        <v>75</v>
      </c>
      <c r="F20" s="58" t="s">
        <v>30</v>
      </c>
      <c r="G20" s="45">
        <v>2</v>
      </c>
      <c r="H20" s="131">
        <f>IF(B$17=0,0,G20/B$17)</f>
        <v>7.2992700729927005E-3</v>
      </c>
      <c r="I20" s="92">
        <v>2</v>
      </c>
      <c r="K20" s="36">
        <v>18</v>
      </c>
      <c r="L20" s="97">
        <v>-159</v>
      </c>
      <c r="N20" s="113" t="s">
        <v>184</v>
      </c>
      <c r="O20" s="123">
        <f>IF(P20=0,0,Q20/P20)</f>
        <v>4.8666666666666698</v>
      </c>
      <c r="P20" s="117">
        <v>6</v>
      </c>
      <c r="Q20" s="105">
        <v>29.200000000000017</v>
      </c>
    </row>
    <row r="21" spans="1:17" x14ac:dyDescent="0.4">
      <c r="A21" s="53" t="s">
        <v>191</v>
      </c>
      <c r="B21" s="45">
        <v>4</v>
      </c>
      <c r="C21" s="133">
        <v>1</v>
      </c>
      <c r="E21" s="61" t="s">
        <v>76</v>
      </c>
      <c r="F21" s="58" t="s">
        <v>31</v>
      </c>
      <c r="G21" s="45">
        <v>2</v>
      </c>
      <c r="H21" s="131">
        <f>IF(B$17=0,0,G21/B$17)</f>
        <v>7.2992700729927005E-3</v>
      </c>
      <c r="I21" s="92">
        <v>4</v>
      </c>
      <c r="K21" s="36">
        <v>19</v>
      </c>
      <c r="L21" s="97">
        <v>-235.6</v>
      </c>
      <c r="N21" s="113" t="s">
        <v>129</v>
      </c>
      <c r="O21" s="123">
        <f>IF(P21=0,0,Q21/P21)</f>
        <v>-0.1966666666666671</v>
      </c>
      <c r="P21" s="117">
        <v>60</v>
      </c>
      <c r="Q21" s="105">
        <v>-11.800000000000026</v>
      </c>
    </row>
    <row r="22" spans="1:17" x14ac:dyDescent="0.4">
      <c r="A22" s="53" t="s">
        <v>192</v>
      </c>
      <c r="B22" s="45">
        <v>45</v>
      </c>
      <c r="C22" s="133">
        <v>3</v>
      </c>
      <c r="E22" s="61" t="s">
        <v>78</v>
      </c>
      <c r="F22" s="58" t="s">
        <v>33</v>
      </c>
      <c r="G22" s="45">
        <v>2</v>
      </c>
      <c r="H22" s="131">
        <f>IF(B$17=0,0,G22/B$17)</f>
        <v>7.2992700729927005E-3</v>
      </c>
      <c r="I22" s="92">
        <v>5</v>
      </c>
      <c r="K22" s="36">
        <v>20</v>
      </c>
      <c r="L22" s="97">
        <v>-200.8</v>
      </c>
      <c r="N22" s="113" t="s">
        <v>128</v>
      </c>
      <c r="O22" s="123">
        <f>IF(P22=0,0,Q22/P22)</f>
        <v>-0.50909090909090871</v>
      </c>
      <c r="P22" s="117">
        <v>33</v>
      </c>
      <c r="Q22" s="105">
        <v>-16.799999999999986</v>
      </c>
    </row>
    <row r="23" spans="1:17" x14ac:dyDescent="0.4">
      <c r="A23" s="53" t="s">
        <v>5</v>
      </c>
      <c r="B23" s="49">
        <f>IF(B$17=0,0,C23/B$17)</f>
        <v>8750.7299270072999</v>
      </c>
      <c r="C23" s="39">
        <v>2397700</v>
      </c>
      <c r="E23" s="61" t="s">
        <v>91</v>
      </c>
      <c r="F23" s="58" t="s">
        <v>46</v>
      </c>
      <c r="G23" s="45">
        <v>2</v>
      </c>
      <c r="H23" s="131">
        <f>IF(B$17=0,0,G23/B$17)</f>
        <v>7.2992700729927005E-3</v>
      </c>
      <c r="I23" s="92">
        <v>1</v>
      </c>
      <c r="K23" s="36">
        <v>21</v>
      </c>
      <c r="L23" s="97">
        <v>-188.60000000000002</v>
      </c>
      <c r="N23" s="113" t="s">
        <v>172</v>
      </c>
      <c r="O23" s="123">
        <f>IF(P23=0,0,Q23/P23)</f>
        <v>-1.6363636363636371</v>
      </c>
      <c r="P23" s="117">
        <v>33</v>
      </c>
      <c r="Q23" s="105">
        <v>-54.000000000000028</v>
      </c>
    </row>
    <row r="24" spans="1:17" x14ac:dyDescent="0.4">
      <c r="A24" s="53" t="s">
        <v>14</v>
      </c>
      <c r="B24" s="49">
        <f>IF(B$20=0,0,C24/B$20)</f>
        <v>-7062.9139072847684</v>
      </c>
      <c r="C24" s="39">
        <v>-1066500</v>
      </c>
      <c r="E24" s="61" t="s">
        <v>93</v>
      </c>
      <c r="F24" s="58" t="s">
        <v>48</v>
      </c>
      <c r="G24" s="45">
        <v>1</v>
      </c>
      <c r="H24" s="131">
        <f>IF(B$17=0,0,G24/B$17)</f>
        <v>3.6496350364963502E-3</v>
      </c>
      <c r="I24" s="92">
        <v>4</v>
      </c>
      <c r="K24" s="36">
        <v>22</v>
      </c>
      <c r="L24" s="97">
        <v>-142.60000000000002</v>
      </c>
      <c r="N24" s="113" t="s">
        <v>127</v>
      </c>
      <c r="O24" s="123">
        <f>IF(P24=0,0,Q24/P24)</f>
        <v>-21.239215686274516</v>
      </c>
      <c r="P24" s="117">
        <v>51</v>
      </c>
      <c r="Q24" s="105">
        <v>-1083.2000000000003</v>
      </c>
    </row>
    <row r="25" spans="1:17" x14ac:dyDescent="0.4">
      <c r="A25" s="53" t="s">
        <v>305</v>
      </c>
      <c r="B25" s="49">
        <f>IF($B$17-B$16=0,0,C25/($B$17-B$16))</f>
        <v>9340.9756097560967</v>
      </c>
      <c r="C25" s="39">
        <v>1914900</v>
      </c>
      <c r="E25" s="61" t="s">
        <v>94</v>
      </c>
      <c r="F25" s="58" t="s">
        <v>49</v>
      </c>
      <c r="G25" s="45">
        <v>1</v>
      </c>
      <c r="H25" s="131">
        <f>IF(B$17=0,0,G25/B$17)</f>
        <v>3.6496350364963502E-3</v>
      </c>
      <c r="I25" s="92">
        <v>3</v>
      </c>
      <c r="K25" s="36">
        <v>23</v>
      </c>
      <c r="L25" s="97">
        <v>-145.80000000000001</v>
      </c>
      <c r="N25" s="113" t="s">
        <v>183</v>
      </c>
      <c r="O25" s="123">
        <f>IF(P25=0,0,Q25/P25)</f>
        <v>-45.699999999999996</v>
      </c>
      <c r="P25" s="117">
        <v>3</v>
      </c>
      <c r="Q25" s="105">
        <v>-137.1</v>
      </c>
    </row>
    <row r="26" spans="1:17" x14ac:dyDescent="0.4">
      <c r="A26" s="55" t="s">
        <v>304</v>
      </c>
      <c r="B26" s="50">
        <f>IF(B$16=0,0,C26/B$16)</f>
        <v>6997.101449275362</v>
      </c>
      <c r="C26" s="43">
        <v>482800</v>
      </c>
      <c r="E26" s="61" t="s">
        <v>102</v>
      </c>
      <c r="F26" s="58" t="s">
        <v>57</v>
      </c>
      <c r="G26" s="45">
        <v>1</v>
      </c>
      <c r="H26" s="131">
        <f>IF(B$17=0,0,G26/B$17)</f>
        <v>3.6496350364963502E-3</v>
      </c>
      <c r="I26" s="92">
        <v>1</v>
      </c>
      <c r="K26" s="36">
        <v>24</v>
      </c>
      <c r="L26" s="97">
        <v>-204</v>
      </c>
    </row>
    <row r="27" spans="1:17" x14ac:dyDescent="0.4">
      <c r="A27" s="88" t="s">
        <v>142</v>
      </c>
      <c r="B27" s="142">
        <v>8</v>
      </c>
      <c r="C27" s="143"/>
      <c r="E27" s="61" t="s">
        <v>74</v>
      </c>
      <c r="F27" s="58" t="s">
        <v>29</v>
      </c>
      <c r="G27" s="45">
        <v>0</v>
      </c>
      <c r="H27" s="131">
        <f>IF(B$17=0,0,G27/B$17)</f>
        <v>0</v>
      </c>
      <c r="I27" s="92">
        <v>9</v>
      </c>
      <c r="K27" s="36">
        <v>25</v>
      </c>
      <c r="L27" s="97">
        <v>-151.5</v>
      </c>
    </row>
    <row r="28" spans="1:17" x14ac:dyDescent="0.4">
      <c r="A28" s="56" t="s">
        <v>152</v>
      </c>
      <c r="B28" s="140">
        <v>103000</v>
      </c>
      <c r="C28" s="141"/>
      <c r="E28" s="61" t="s">
        <v>77</v>
      </c>
      <c r="F28" s="58" t="s">
        <v>32</v>
      </c>
      <c r="G28" s="45">
        <v>0</v>
      </c>
      <c r="H28" s="131">
        <f>IF(B$17=0,0,G28/B$17)</f>
        <v>0</v>
      </c>
      <c r="I28" s="92">
        <v>1</v>
      </c>
      <c r="K28" s="36">
        <v>26</v>
      </c>
      <c r="L28" s="97">
        <v>-115.1</v>
      </c>
    </row>
    <row r="29" spans="1:17" x14ac:dyDescent="0.4">
      <c r="A29" s="55" t="s">
        <v>143</v>
      </c>
      <c r="B29" s="63">
        <v>4</v>
      </c>
      <c r="C29" s="40">
        <f>IF(B$3=0,0,B29/B$3)</f>
        <v>3.9721946375372392E-3</v>
      </c>
      <c r="E29" s="61" t="s">
        <v>81</v>
      </c>
      <c r="F29" s="58" t="s">
        <v>36</v>
      </c>
      <c r="G29" s="45">
        <v>0</v>
      </c>
      <c r="H29" s="131">
        <f>IF(B$17=0,0,G29/B$17)</f>
        <v>0</v>
      </c>
      <c r="I29" s="92">
        <v>1</v>
      </c>
      <c r="K29" s="36">
        <v>27</v>
      </c>
      <c r="L29" s="97">
        <v>-27.099999999999994</v>
      </c>
    </row>
    <row r="30" spans="1:17" x14ac:dyDescent="0.4">
      <c r="E30" s="61" t="s">
        <v>83</v>
      </c>
      <c r="F30" s="58" t="s">
        <v>38</v>
      </c>
      <c r="G30" s="45">
        <v>0</v>
      </c>
      <c r="H30" s="131">
        <f>IF(B$17=0,0,G30/B$17)</f>
        <v>0</v>
      </c>
      <c r="I30" s="92">
        <v>1</v>
      </c>
      <c r="K30" s="36">
        <v>28</v>
      </c>
      <c r="L30" s="97">
        <v>7.2000000000000028</v>
      </c>
    </row>
    <row r="31" spans="1:17" x14ac:dyDescent="0.4">
      <c r="E31" s="61" t="s">
        <v>85</v>
      </c>
      <c r="F31" s="58" t="s">
        <v>40</v>
      </c>
      <c r="G31" s="45">
        <v>0</v>
      </c>
      <c r="H31" s="131">
        <f>IF(B$17=0,0,G31/B$17)</f>
        <v>0</v>
      </c>
      <c r="I31" s="92">
        <v>6</v>
      </c>
      <c r="K31" s="36">
        <v>29</v>
      </c>
      <c r="L31" s="97">
        <v>-49</v>
      </c>
    </row>
    <row r="32" spans="1:17" x14ac:dyDescent="0.4">
      <c r="E32" s="61" t="s">
        <v>88</v>
      </c>
      <c r="F32" s="58" t="s">
        <v>43</v>
      </c>
      <c r="G32" s="45">
        <v>0</v>
      </c>
      <c r="H32" s="131">
        <f>IF(B$17=0,0,G32/B$17)</f>
        <v>0</v>
      </c>
      <c r="I32" s="92">
        <v>7</v>
      </c>
      <c r="K32" s="36">
        <v>30</v>
      </c>
      <c r="L32" s="97">
        <v>-99.6</v>
      </c>
    </row>
    <row r="33" spans="5:12" x14ac:dyDescent="0.4">
      <c r="E33" s="61" t="s">
        <v>89</v>
      </c>
      <c r="F33" s="58" t="s">
        <v>44</v>
      </c>
      <c r="G33" s="45">
        <v>0</v>
      </c>
      <c r="H33" s="131">
        <f>IF(B$17=0,0,G33/B$17)</f>
        <v>0</v>
      </c>
      <c r="I33" s="92">
        <v>5</v>
      </c>
      <c r="K33" s="36">
        <v>31</v>
      </c>
      <c r="L33" s="97">
        <v>-54.199999999999996</v>
      </c>
    </row>
    <row r="34" spans="5:12" x14ac:dyDescent="0.4">
      <c r="E34" s="61" t="s">
        <v>95</v>
      </c>
      <c r="F34" s="58" t="s">
        <v>50</v>
      </c>
      <c r="G34" s="45">
        <v>0</v>
      </c>
      <c r="H34" s="131">
        <f>IF(B$17=0,0,G34/B$17)</f>
        <v>0</v>
      </c>
      <c r="I34" s="92">
        <v>1</v>
      </c>
      <c r="K34" s="36">
        <v>32</v>
      </c>
      <c r="L34" s="97">
        <v>-92</v>
      </c>
    </row>
    <row r="35" spans="5:12" x14ac:dyDescent="0.4">
      <c r="E35" s="61" t="s">
        <v>96</v>
      </c>
      <c r="F35" s="58" t="s">
        <v>51</v>
      </c>
      <c r="G35" s="45">
        <v>0</v>
      </c>
      <c r="H35" s="131">
        <f>IF(B$17=0,0,G35/B$17)</f>
        <v>0</v>
      </c>
      <c r="I35" s="92">
        <v>4</v>
      </c>
      <c r="K35" s="36">
        <v>33</v>
      </c>
      <c r="L35" s="97">
        <v>-107.4</v>
      </c>
    </row>
    <row r="36" spans="5:12" x14ac:dyDescent="0.4">
      <c r="E36" s="61" t="s">
        <v>97</v>
      </c>
      <c r="F36" s="58" t="s">
        <v>52</v>
      </c>
      <c r="G36" s="45">
        <v>0</v>
      </c>
      <c r="H36" s="131">
        <f>IF(B$17=0,0,G36/B$17)</f>
        <v>0</v>
      </c>
      <c r="I36" s="92">
        <v>1</v>
      </c>
      <c r="K36" s="36">
        <v>34</v>
      </c>
      <c r="L36" s="97">
        <v>-45.800000000000004</v>
      </c>
    </row>
    <row r="37" spans="5:12" x14ac:dyDescent="0.4">
      <c r="E37" s="61" t="s">
        <v>98</v>
      </c>
      <c r="F37" s="58" t="s">
        <v>53</v>
      </c>
      <c r="G37" s="45">
        <v>0</v>
      </c>
      <c r="H37" s="131">
        <f>IF(B$17=0,0,G37/B$17)</f>
        <v>0</v>
      </c>
      <c r="I37" s="92">
        <v>3</v>
      </c>
      <c r="K37" s="36">
        <v>35</v>
      </c>
      <c r="L37" s="97">
        <v>19.399999999999999</v>
      </c>
    </row>
    <row r="38" spans="5:12" x14ac:dyDescent="0.4">
      <c r="E38" s="61" t="s">
        <v>99</v>
      </c>
      <c r="F38" s="58" t="s">
        <v>54</v>
      </c>
      <c r="G38" s="45">
        <v>0</v>
      </c>
      <c r="H38" s="131">
        <f>IF(B$17=0,0,G38/B$17)</f>
        <v>0</v>
      </c>
      <c r="I38" s="92">
        <v>1</v>
      </c>
      <c r="K38" s="36">
        <v>36</v>
      </c>
      <c r="L38" s="97">
        <v>85.800000000000011</v>
      </c>
    </row>
    <row r="39" spans="5:12" x14ac:dyDescent="0.4">
      <c r="E39" s="61" t="s">
        <v>100</v>
      </c>
      <c r="F39" s="58" t="s">
        <v>55</v>
      </c>
      <c r="G39" s="45">
        <v>0</v>
      </c>
      <c r="H39" s="131">
        <f>IF(B$17=0,0,G39/B$17)</f>
        <v>0</v>
      </c>
      <c r="I39" s="92">
        <v>1</v>
      </c>
      <c r="K39" s="36">
        <v>37</v>
      </c>
      <c r="L39" s="97">
        <v>44.70000000000001</v>
      </c>
    </row>
    <row r="40" spans="5:12" x14ac:dyDescent="0.4">
      <c r="E40" s="61" t="s">
        <v>101</v>
      </c>
      <c r="F40" s="58" t="s">
        <v>56</v>
      </c>
      <c r="G40" s="45">
        <v>0</v>
      </c>
      <c r="H40" s="131">
        <f>IF(B$17=0,0,G40/B$17)</f>
        <v>0</v>
      </c>
      <c r="I40" s="92">
        <v>1</v>
      </c>
      <c r="K40" s="36">
        <v>38</v>
      </c>
      <c r="L40" s="97">
        <v>-18.79999999999999</v>
      </c>
    </row>
    <row r="41" spans="5:12" x14ac:dyDescent="0.4">
      <c r="E41" s="61" t="s">
        <v>103</v>
      </c>
      <c r="F41" s="58" t="s">
        <v>58</v>
      </c>
      <c r="G41" s="45">
        <v>0</v>
      </c>
      <c r="H41" s="131">
        <f>IF(B$17=0,0,G41/B$17)</f>
        <v>0</v>
      </c>
      <c r="I41" s="92">
        <v>1</v>
      </c>
      <c r="K41" s="36">
        <v>39</v>
      </c>
      <c r="L41" s="97">
        <v>-16.699999999999989</v>
      </c>
    </row>
    <row r="42" spans="5:12" x14ac:dyDescent="0.4">
      <c r="E42" s="61" t="s">
        <v>104</v>
      </c>
      <c r="F42" s="58" t="s">
        <v>59</v>
      </c>
      <c r="G42" s="45">
        <v>0</v>
      </c>
      <c r="H42" s="131">
        <f>IF(B$17=0,0,G42/B$17)</f>
        <v>0</v>
      </c>
      <c r="I42" s="92">
        <v>1</v>
      </c>
      <c r="K42" s="36">
        <v>40</v>
      </c>
      <c r="L42" s="97">
        <v>39.300000000000011</v>
      </c>
    </row>
    <row r="43" spans="5:12" x14ac:dyDescent="0.4">
      <c r="E43" s="61" t="s">
        <v>105</v>
      </c>
      <c r="F43" s="58" t="s">
        <v>60</v>
      </c>
      <c r="G43" s="45">
        <v>0</v>
      </c>
      <c r="H43" s="131">
        <f>IF(B$17=0,0,G43/B$17)</f>
        <v>0</v>
      </c>
      <c r="I43" s="92">
        <v>1</v>
      </c>
      <c r="K43" s="36">
        <v>41</v>
      </c>
      <c r="L43" s="97">
        <v>96.300000000000011</v>
      </c>
    </row>
    <row r="44" spans="5:12" x14ac:dyDescent="0.4">
      <c r="E44" s="61" t="s">
        <v>106</v>
      </c>
      <c r="F44" s="58" t="s">
        <v>113</v>
      </c>
      <c r="G44" s="45">
        <v>0</v>
      </c>
      <c r="H44" s="131">
        <f>IF(B$17=0,0,G44/B$17)</f>
        <v>0</v>
      </c>
      <c r="I44" s="92">
        <v>1</v>
      </c>
      <c r="K44" s="36">
        <v>42</v>
      </c>
      <c r="L44" s="97">
        <v>97.600000000000009</v>
      </c>
    </row>
    <row r="45" spans="5:12" x14ac:dyDescent="0.4">
      <c r="E45" s="61" t="s">
        <v>107</v>
      </c>
      <c r="F45" s="58" t="s">
        <v>114</v>
      </c>
      <c r="G45" s="45">
        <v>0</v>
      </c>
      <c r="H45" s="131">
        <f>IF(B$17=0,0,G45/B$17)</f>
        <v>0</v>
      </c>
      <c r="I45" s="92">
        <v>3</v>
      </c>
      <c r="K45" s="36">
        <v>43</v>
      </c>
      <c r="L45" s="97">
        <v>103.10000000000001</v>
      </c>
    </row>
    <row r="46" spans="5:12" x14ac:dyDescent="0.4">
      <c r="E46" s="61" t="s">
        <v>108</v>
      </c>
      <c r="F46" s="58" t="s">
        <v>115</v>
      </c>
      <c r="G46" s="45">
        <v>0</v>
      </c>
      <c r="H46" s="131">
        <f>IF(B$17=0,0,G46/B$17)</f>
        <v>0</v>
      </c>
      <c r="I46" s="92">
        <v>1</v>
      </c>
      <c r="K46" s="36">
        <v>44</v>
      </c>
      <c r="L46" s="97">
        <v>96.600000000000009</v>
      </c>
    </row>
    <row r="47" spans="5:12" x14ac:dyDescent="0.4">
      <c r="E47" s="61" t="s">
        <v>109</v>
      </c>
      <c r="F47" s="58" t="s">
        <v>61</v>
      </c>
      <c r="G47" s="45">
        <v>0</v>
      </c>
      <c r="H47" s="131">
        <f>IF(B$17=0,0,G47/B$17)</f>
        <v>0</v>
      </c>
      <c r="I47" s="92">
        <v>1</v>
      </c>
      <c r="K47" s="36">
        <v>45</v>
      </c>
      <c r="L47" s="97">
        <v>39.500000000000007</v>
      </c>
    </row>
    <row r="48" spans="5:12" x14ac:dyDescent="0.4">
      <c r="E48" s="61" t="s">
        <v>110</v>
      </c>
      <c r="F48" s="58" t="s">
        <v>62</v>
      </c>
      <c r="G48" s="45">
        <v>0</v>
      </c>
      <c r="H48" s="131">
        <f>IF(B$17=0,0,G48/B$17)</f>
        <v>0</v>
      </c>
      <c r="I48" s="92">
        <v>1</v>
      </c>
      <c r="K48" s="36">
        <v>46</v>
      </c>
      <c r="L48" s="97">
        <v>37.300000000000004</v>
      </c>
    </row>
    <row r="49" spans="5:12" x14ac:dyDescent="0.4">
      <c r="E49" s="61" t="s">
        <v>111</v>
      </c>
      <c r="F49" s="58" t="s">
        <v>63</v>
      </c>
      <c r="G49" s="45">
        <v>0</v>
      </c>
      <c r="H49" s="131">
        <f>IF(B$17=0,0,G49/B$17)</f>
        <v>0</v>
      </c>
      <c r="I49" s="92">
        <v>1</v>
      </c>
      <c r="K49" s="36">
        <v>47</v>
      </c>
      <c r="L49" s="97">
        <v>71.099999999999994</v>
      </c>
    </row>
    <row r="50" spans="5:12" x14ac:dyDescent="0.4">
      <c r="E50" s="61" t="s">
        <v>112</v>
      </c>
      <c r="F50" s="58" t="s">
        <v>64</v>
      </c>
      <c r="G50" s="45">
        <v>0</v>
      </c>
      <c r="H50" s="131">
        <f>IF(B$17=0,0,G50/B$17)</f>
        <v>0</v>
      </c>
      <c r="I50" s="92">
        <v>1</v>
      </c>
      <c r="K50" s="36">
        <v>48</v>
      </c>
      <c r="L50" s="97">
        <v>40.899999999999991</v>
      </c>
    </row>
    <row r="51" spans="5:12" x14ac:dyDescent="0.4">
      <c r="E51" s="134" t="s">
        <v>180</v>
      </c>
      <c r="F51" s="135" t="s">
        <v>181</v>
      </c>
      <c r="G51" s="46">
        <v>0</v>
      </c>
      <c r="H51" s="136">
        <f>IF(B$17=0,0,G51/B$17)</f>
        <v>0</v>
      </c>
      <c r="I51" s="137">
        <v>8</v>
      </c>
      <c r="K51" s="36">
        <v>49</v>
      </c>
      <c r="L51" s="97">
        <v>-29.900000000000006</v>
      </c>
    </row>
    <row r="52" spans="5:12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  <c r="K52" s="36">
        <v>50</v>
      </c>
      <c r="L52" s="97">
        <v>-26.900000000000006</v>
      </c>
    </row>
    <row r="53" spans="5:12" x14ac:dyDescent="0.4">
      <c r="K53" s="36">
        <v>51</v>
      </c>
      <c r="L53" s="97">
        <v>20.999999999999993</v>
      </c>
    </row>
    <row r="54" spans="5:12" x14ac:dyDescent="0.4">
      <c r="K54" s="36">
        <v>52</v>
      </c>
      <c r="L54" s="97">
        <v>30.699999999999992</v>
      </c>
    </row>
    <row r="55" spans="5:12" x14ac:dyDescent="0.4">
      <c r="K55" s="36">
        <v>53</v>
      </c>
      <c r="L55" s="97">
        <v>76.8</v>
      </c>
    </row>
    <row r="56" spans="5:12" x14ac:dyDescent="0.4">
      <c r="K56" s="36">
        <v>54</v>
      </c>
      <c r="L56" s="97">
        <v>133.30000000000001</v>
      </c>
    </row>
    <row r="57" spans="5:12" x14ac:dyDescent="0.4">
      <c r="K57" s="36">
        <v>55</v>
      </c>
      <c r="L57" s="97">
        <v>181.60000000000002</v>
      </c>
    </row>
    <row r="58" spans="5:12" x14ac:dyDescent="0.4">
      <c r="K58" s="36">
        <v>56</v>
      </c>
      <c r="L58" s="97">
        <v>187.60000000000002</v>
      </c>
    </row>
    <row r="59" spans="5:12" x14ac:dyDescent="0.4">
      <c r="K59" s="36">
        <v>57</v>
      </c>
      <c r="L59" s="97">
        <v>255.50000000000003</v>
      </c>
    </row>
    <row r="60" spans="5:12" x14ac:dyDescent="0.4">
      <c r="K60" s="36">
        <v>58</v>
      </c>
      <c r="L60" s="97">
        <v>244.60000000000002</v>
      </c>
    </row>
    <row r="61" spans="5:12" x14ac:dyDescent="0.4">
      <c r="K61" s="36">
        <v>59</v>
      </c>
      <c r="L61" s="97">
        <v>295</v>
      </c>
    </row>
    <row r="62" spans="5:12" x14ac:dyDescent="0.4">
      <c r="K62" s="36">
        <v>60</v>
      </c>
      <c r="L62" s="97">
        <v>359.4</v>
      </c>
    </row>
    <row r="63" spans="5:12" x14ac:dyDescent="0.4">
      <c r="K63" s="36">
        <v>61</v>
      </c>
      <c r="L63" s="97">
        <v>347.5</v>
      </c>
    </row>
    <row r="64" spans="5:12" x14ac:dyDescent="0.4">
      <c r="K64" s="36">
        <v>62</v>
      </c>
      <c r="L64" s="97">
        <v>345.6</v>
      </c>
    </row>
    <row r="65" spans="11:12" x14ac:dyDescent="0.4">
      <c r="K65" s="36">
        <v>63</v>
      </c>
      <c r="L65" s="97">
        <v>287.60000000000002</v>
      </c>
    </row>
    <row r="66" spans="11:12" x14ac:dyDescent="0.4">
      <c r="K66" s="36">
        <v>64</v>
      </c>
      <c r="L66" s="97">
        <v>323.60000000000002</v>
      </c>
    </row>
    <row r="67" spans="11:12" x14ac:dyDescent="0.4">
      <c r="K67" s="36">
        <v>65</v>
      </c>
      <c r="L67" s="97">
        <v>328.6</v>
      </c>
    </row>
    <row r="68" spans="11:12" x14ac:dyDescent="0.4">
      <c r="K68" s="36">
        <v>66</v>
      </c>
      <c r="L68" s="97">
        <v>307</v>
      </c>
    </row>
    <row r="69" spans="11:12" x14ac:dyDescent="0.4">
      <c r="K69" s="36">
        <v>67</v>
      </c>
      <c r="L69" s="97">
        <v>274.10000000000002</v>
      </c>
    </row>
    <row r="70" spans="11:12" x14ac:dyDescent="0.4">
      <c r="K70" s="36">
        <v>68</v>
      </c>
      <c r="L70" s="97">
        <v>285.40000000000003</v>
      </c>
    </row>
    <row r="71" spans="11:12" x14ac:dyDescent="0.4">
      <c r="K71" s="36">
        <v>69</v>
      </c>
      <c r="L71" s="97">
        <v>330.40000000000003</v>
      </c>
    </row>
    <row r="72" spans="11:12" x14ac:dyDescent="0.4">
      <c r="K72" s="36">
        <v>70</v>
      </c>
      <c r="L72" s="97">
        <v>382.50000000000006</v>
      </c>
    </row>
    <row r="73" spans="11:12" x14ac:dyDescent="0.4">
      <c r="K73" s="36">
        <v>71</v>
      </c>
      <c r="L73" s="97">
        <v>350.40000000000003</v>
      </c>
    </row>
    <row r="74" spans="11:12" x14ac:dyDescent="0.4">
      <c r="K74" s="36">
        <v>72</v>
      </c>
      <c r="L74" s="97">
        <v>304.60000000000002</v>
      </c>
    </row>
    <row r="75" spans="11:12" x14ac:dyDescent="0.4">
      <c r="K75" s="36">
        <v>73</v>
      </c>
      <c r="L75" s="97">
        <v>275</v>
      </c>
    </row>
    <row r="76" spans="11:12" x14ac:dyDescent="0.4">
      <c r="K76" s="36">
        <v>74</v>
      </c>
      <c r="L76" s="97">
        <v>242.1</v>
      </c>
    </row>
    <row r="77" spans="11:12" x14ac:dyDescent="0.4">
      <c r="K77" s="36">
        <v>75</v>
      </c>
      <c r="L77" s="97">
        <v>255.79999999999998</v>
      </c>
    </row>
    <row r="78" spans="11:12" x14ac:dyDescent="0.4">
      <c r="K78" s="36">
        <v>76</v>
      </c>
      <c r="L78" s="97">
        <v>198.29999999999998</v>
      </c>
    </row>
    <row r="79" spans="11:12" x14ac:dyDescent="0.4">
      <c r="K79" s="36">
        <v>77</v>
      </c>
      <c r="L79" s="97">
        <v>201.7</v>
      </c>
    </row>
    <row r="80" spans="11:12" x14ac:dyDescent="0.4">
      <c r="K80" s="36">
        <v>78</v>
      </c>
      <c r="L80" s="97">
        <v>193.39999999999998</v>
      </c>
    </row>
    <row r="81" spans="11:12" x14ac:dyDescent="0.4">
      <c r="K81" s="36">
        <v>79</v>
      </c>
      <c r="L81" s="97">
        <v>151.59999999999997</v>
      </c>
    </row>
    <row r="82" spans="11:12" x14ac:dyDescent="0.4">
      <c r="K82" s="36">
        <v>80</v>
      </c>
      <c r="L82" s="97">
        <v>154.19999999999996</v>
      </c>
    </row>
    <row r="83" spans="11:12" x14ac:dyDescent="0.4">
      <c r="K83" s="36">
        <v>81</v>
      </c>
      <c r="L83" s="97">
        <v>216.19999999999996</v>
      </c>
    </row>
    <row r="84" spans="11:12" x14ac:dyDescent="0.4">
      <c r="K84" s="36">
        <v>82</v>
      </c>
      <c r="L84" s="97">
        <v>225.79999999999995</v>
      </c>
    </row>
    <row r="85" spans="11:12" x14ac:dyDescent="0.4">
      <c r="K85" s="36">
        <v>83</v>
      </c>
      <c r="L85" s="97">
        <v>167.49999999999994</v>
      </c>
    </row>
    <row r="86" spans="11:12" x14ac:dyDescent="0.4">
      <c r="K86" s="36">
        <v>84</v>
      </c>
      <c r="L86" s="97">
        <v>131.69999999999993</v>
      </c>
    </row>
    <row r="87" spans="11:12" x14ac:dyDescent="0.4">
      <c r="K87" s="36">
        <v>85</v>
      </c>
      <c r="L87" s="97">
        <v>103.19999999999993</v>
      </c>
    </row>
    <row r="88" spans="11:12" x14ac:dyDescent="0.4">
      <c r="K88" s="36">
        <v>86</v>
      </c>
      <c r="L88" s="97">
        <v>69.899999999999935</v>
      </c>
    </row>
    <row r="89" spans="11:12" x14ac:dyDescent="0.4">
      <c r="K89" s="36">
        <v>87</v>
      </c>
      <c r="L89" s="97">
        <v>18.699999999999932</v>
      </c>
    </row>
    <row r="90" spans="11:12" x14ac:dyDescent="0.4">
      <c r="K90" s="36">
        <v>88</v>
      </c>
      <c r="L90" s="97">
        <v>-51.800000000000068</v>
      </c>
    </row>
    <row r="91" spans="11:12" x14ac:dyDescent="0.4">
      <c r="K91" s="36">
        <v>89</v>
      </c>
      <c r="L91" s="97">
        <v>-75.500000000000071</v>
      </c>
    </row>
    <row r="92" spans="11:12" x14ac:dyDescent="0.4">
      <c r="K92" s="36">
        <v>90</v>
      </c>
      <c r="L92" s="97">
        <v>-66.500000000000071</v>
      </c>
    </row>
    <row r="93" spans="11:12" x14ac:dyDescent="0.4">
      <c r="K93" s="36">
        <v>91</v>
      </c>
      <c r="L93" s="97">
        <v>-39.600000000000072</v>
      </c>
    </row>
    <row r="94" spans="11:12" x14ac:dyDescent="0.4">
      <c r="K94" s="36">
        <v>92</v>
      </c>
      <c r="L94" s="97">
        <v>-0.7000000000000739</v>
      </c>
    </row>
    <row r="95" spans="11:12" x14ac:dyDescent="0.4">
      <c r="K95" s="36">
        <v>93</v>
      </c>
      <c r="L95" s="97">
        <v>29.599999999999927</v>
      </c>
    </row>
    <row r="96" spans="11:12" x14ac:dyDescent="0.4">
      <c r="K96" s="36">
        <v>94</v>
      </c>
      <c r="L96" s="97">
        <v>57.299999999999926</v>
      </c>
    </row>
    <row r="97" spans="11:12" x14ac:dyDescent="0.4">
      <c r="K97" s="36">
        <v>95</v>
      </c>
      <c r="L97" s="97">
        <v>47.299999999999926</v>
      </c>
    </row>
    <row r="98" spans="11:12" x14ac:dyDescent="0.4">
      <c r="K98" s="36">
        <v>96</v>
      </c>
      <c r="L98" s="97">
        <v>48.899999999999928</v>
      </c>
    </row>
    <row r="99" spans="11:12" x14ac:dyDescent="0.4">
      <c r="K99" s="36">
        <v>97</v>
      </c>
      <c r="L99" s="97">
        <v>19.799999999999926</v>
      </c>
    </row>
    <row r="100" spans="11:12" x14ac:dyDescent="0.4">
      <c r="K100" s="36">
        <v>98</v>
      </c>
      <c r="L100" s="97">
        <v>87.099999999999923</v>
      </c>
    </row>
    <row r="101" spans="11:12" x14ac:dyDescent="0.4">
      <c r="K101" s="36">
        <v>99</v>
      </c>
      <c r="L101" s="97">
        <v>119.29999999999993</v>
      </c>
    </row>
    <row r="102" spans="11:12" x14ac:dyDescent="0.4">
      <c r="K102" s="36">
        <v>100</v>
      </c>
      <c r="L102" s="97">
        <v>115.59999999999992</v>
      </c>
    </row>
    <row r="103" spans="11:12" x14ac:dyDescent="0.4">
      <c r="K103" s="36">
        <v>101</v>
      </c>
      <c r="L103" s="97">
        <v>111.59999999999992</v>
      </c>
    </row>
    <row r="104" spans="11:12" x14ac:dyDescent="0.4">
      <c r="K104" s="36">
        <v>102</v>
      </c>
      <c r="L104" s="97">
        <v>112.49999999999993</v>
      </c>
    </row>
    <row r="105" spans="11:12" x14ac:dyDescent="0.4">
      <c r="K105" s="36">
        <v>103</v>
      </c>
      <c r="L105" s="97">
        <v>67.699999999999932</v>
      </c>
    </row>
    <row r="106" spans="11:12" x14ac:dyDescent="0.4">
      <c r="K106" s="36">
        <v>104</v>
      </c>
      <c r="L106" s="97">
        <v>56.899999999999935</v>
      </c>
    </row>
    <row r="107" spans="11:12" x14ac:dyDescent="0.4">
      <c r="K107" s="36">
        <v>105</v>
      </c>
      <c r="L107" s="97">
        <v>-9.6000000000000654</v>
      </c>
    </row>
    <row r="108" spans="11:12" x14ac:dyDescent="0.4">
      <c r="K108" s="36">
        <v>106</v>
      </c>
      <c r="L108" s="97">
        <v>1.4999999999999343</v>
      </c>
    </row>
    <row r="109" spans="11:12" x14ac:dyDescent="0.4">
      <c r="K109" s="36">
        <v>107</v>
      </c>
      <c r="L109" s="97">
        <v>1.2999999999999343</v>
      </c>
    </row>
    <row r="110" spans="11:12" x14ac:dyDescent="0.4">
      <c r="K110" s="36">
        <v>108</v>
      </c>
      <c r="L110" s="97">
        <v>-5.7000000000000659</v>
      </c>
    </row>
    <row r="111" spans="11:12" x14ac:dyDescent="0.4">
      <c r="K111" s="36">
        <v>109</v>
      </c>
      <c r="L111" s="97">
        <v>-6.1000000000000663</v>
      </c>
    </row>
    <row r="112" spans="11:12" x14ac:dyDescent="0.4">
      <c r="K112" s="36">
        <v>110</v>
      </c>
      <c r="L112" s="97">
        <v>-43.800000000000068</v>
      </c>
    </row>
    <row r="113" spans="11:12" x14ac:dyDescent="0.4">
      <c r="K113" s="36">
        <v>111</v>
      </c>
      <c r="L113" s="97">
        <v>-3.6000000000000654</v>
      </c>
    </row>
    <row r="114" spans="11:12" x14ac:dyDescent="0.4">
      <c r="K114" s="36">
        <v>112</v>
      </c>
      <c r="L114" s="97">
        <v>-65.200000000000074</v>
      </c>
    </row>
    <row r="115" spans="11:12" x14ac:dyDescent="0.4">
      <c r="K115" s="36">
        <v>113</v>
      </c>
      <c r="L115" s="97">
        <v>-109.10000000000008</v>
      </c>
    </row>
    <row r="116" spans="11:12" x14ac:dyDescent="0.4">
      <c r="K116" s="36">
        <v>114</v>
      </c>
      <c r="L116" s="97">
        <v>-98.400000000000077</v>
      </c>
    </row>
    <row r="117" spans="11:12" x14ac:dyDescent="0.4">
      <c r="K117" s="36">
        <v>115</v>
      </c>
      <c r="L117" s="97">
        <v>-62.700000000000074</v>
      </c>
    </row>
    <row r="118" spans="11:12" x14ac:dyDescent="0.4">
      <c r="K118" s="36">
        <v>116</v>
      </c>
      <c r="L118" s="97">
        <v>-35.500000000000071</v>
      </c>
    </row>
    <row r="119" spans="11:12" x14ac:dyDescent="0.4">
      <c r="K119" s="36">
        <v>117</v>
      </c>
      <c r="L119" s="97">
        <v>-19.70000000000007</v>
      </c>
    </row>
    <row r="120" spans="11:12" x14ac:dyDescent="0.4">
      <c r="K120" s="36">
        <v>118</v>
      </c>
      <c r="L120" s="97">
        <v>-48.500000000000071</v>
      </c>
    </row>
    <row r="121" spans="11:12" x14ac:dyDescent="0.4">
      <c r="K121" s="36">
        <v>119</v>
      </c>
      <c r="L121" s="97">
        <v>12.699999999999932</v>
      </c>
    </row>
    <row r="122" spans="11:12" x14ac:dyDescent="0.4">
      <c r="K122" s="36">
        <v>120</v>
      </c>
      <c r="L122" s="97">
        <v>15.899999999999931</v>
      </c>
    </row>
    <row r="123" spans="11:12" x14ac:dyDescent="0.4">
      <c r="K123" s="36">
        <v>121</v>
      </c>
      <c r="L123" s="97">
        <v>57.399999999999935</v>
      </c>
    </row>
  </sheetData>
  <sortState xmlns:xlrd2="http://schemas.microsoft.com/office/spreadsheetml/2017/richdata2" ref="N15:Q2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C48F2-5443-4E18-BDB3-6F4EBF25C50D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183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3</v>
      </c>
      <c r="C2" s="149"/>
      <c r="E2" s="60" t="s">
        <v>65</v>
      </c>
      <c r="F2" s="57" t="s">
        <v>21</v>
      </c>
      <c r="G2" s="44">
        <v>3</v>
      </c>
      <c r="H2" s="130">
        <f>IF(B$17=0,0,G2/B$17)</f>
        <v>0.6</v>
      </c>
      <c r="I2" s="91">
        <v>1</v>
      </c>
      <c r="K2" s="34">
        <v>0</v>
      </c>
      <c r="L2" s="96">
        <v>0</v>
      </c>
      <c r="N2" s="112" t="s">
        <v>132</v>
      </c>
      <c r="O2" s="119">
        <f t="shared" ref="O2:O7" si="0">IF(P2=0,0,Q2/P2)</f>
        <v>3000</v>
      </c>
      <c r="P2" s="116">
        <v>3</v>
      </c>
      <c r="Q2" s="100">
        <v>9000</v>
      </c>
    </row>
    <row r="3" spans="1:17" x14ac:dyDescent="0.4">
      <c r="A3" s="53" t="s">
        <v>8</v>
      </c>
      <c r="B3" s="150">
        <v>19</v>
      </c>
      <c r="C3" s="151"/>
      <c r="E3" s="61" t="s">
        <v>67</v>
      </c>
      <c r="F3" s="58" t="s">
        <v>23</v>
      </c>
      <c r="G3" s="45">
        <v>3</v>
      </c>
      <c r="H3" s="131">
        <f>IF(B$17=0,0,G3/B$17)</f>
        <v>0.6</v>
      </c>
      <c r="I3" s="92">
        <v>12</v>
      </c>
      <c r="K3" s="36">
        <v>1</v>
      </c>
      <c r="L3" s="97">
        <v>-14.6</v>
      </c>
      <c r="N3" s="113" t="s">
        <v>133</v>
      </c>
      <c r="O3" s="120">
        <f t="shared" si="0"/>
        <v>2233.3333333333335</v>
      </c>
      <c r="P3" s="117">
        <v>3</v>
      </c>
      <c r="Q3" s="101">
        <v>6700</v>
      </c>
    </row>
    <row r="4" spans="1:17" x14ac:dyDescent="0.4">
      <c r="A4" s="53" t="s">
        <v>6</v>
      </c>
      <c r="B4" s="152">
        <v>61</v>
      </c>
      <c r="C4" s="153"/>
      <c r="E4" s="61" t="s">
        <v>73</v>
      </c>
      <c r="F4" s="58" t="s">
        <v>28</v>
      </c>
      <c r="G4" s="45">
        <v>3</v>
      </c>
      <c r="H4" s="131">
        <f>IF(B$17=0,0,G4/B$17)</f>
        <v>0.6</v>
      </c>
      <c r="I4" s="92">
        <v>4</v>
      </c>
      <c r="K4" s="36">
        <v>2</v>
      </c>
      <c r="L4" s="97">
        <v>22.5</v>
      </c>
      <c r="N4" s="113" t="s">
        <v>134</v>
      </c>
      <c r="O4" s="120">
        <f t="shared" si="0"/>
        <v>-1000</v>
      </c>
      <c r="P4" s="117">
        <v>3</v>
      </c>
      <c r="Q4" s="101">
        <v>-3000</v>
      </c>
    </row>
    <row r="5" spans="1:17" x14ac:dyDescent="0.4">
      <c r="A5" s="53" t="s">
        <v>7</v>
      </c>
      <c r="B5" s="154">
        <f>IF(B$2=0,0,B$4/B$2)</f>
        <v>20.333333333333332</v>
      </c>
      <c r="C5" s="155"/>
      <c r="E5" s="61" t="s">
        <v>68</v>
      </c>
      <c r="F5" s="58" t="s">
        <v>24</v>
      </c>
      <c r="G5" s="45">
        <v>2</v>
      </c>
      <c r="H5" s="131">
        <f>IF(B$17=0,0,G5/B$17)</f>
        <v>0.4</v>
      </c>
      <c r="I5" s="92">
        <v>3</v>
      </c>
      <c r="K5" s="36">
        <v>3</v>
      </c>
      <c r="L5" s="97">
        <v>61</v>
      </c>
      <c r="N5" s="113" t="s">
        <v>135</v>
      </c>
      <c r="O5" s="120">
        <f t="shared" si="0"/>
        <v>6233.333333333333</v>
      </c>
      <c r="P5" s="117">
        <v>3</v>
      </c>
      <c r="Q5" s="101">
        <v>18700</v>
      </c>
    </row>
    <row r="6" spans="1:17" x14ac:dyDescent="0.4">
      <c r="A6" s="53" t="s">
        <v>1</v>
      </c>
      <c r="B6" s="144">
        <f>IF(B$2=0,0,(B$7*1+B$8*2+B$9*3)/B$2)</f>
        <v>1.3333333333333333</v>
      </c>
      <c r="C6" s="145"/>
      <c r="E6" s="61" t="s">
        <v>90</v>
      </c>
      <c r="F6" s="58" t="s">
        <v>45</v>
      </c>
      <c r="G6" s="45">
        <v>2</v>
      </c>
      <c r="H6" s="131">
        <f>IF(B$17=0,0,G6/B$17)</f>
        <v>0.4</v>
      </c>
      <c r="I6" s="92">
        <v>1</v>
      </c>
      <c r="N6" s="113" t="s">
        <v>136</v>
      </c>
      <c r="O6" s="120">
        <f t="shared" si="0"/>
        <v>100</v>
      </c>
      <c r="P6" s="117">
        <v>3</v>
      </c>
      <c r="Q6" s="101">
        <v>300</v>
      </c>
    </row>
    <row r="7" spans="1:17" x14ac:dyDescent="0.4">
      <c r="A7" s="53" t="s">
        <v>2</v>
      </c>
      <c r="B7" s="45">
        <v>2</v>
      </c>
      <c r="C7" s="37">
        <f t="shared" ref="C7:C12" si="1">IF(B$2=0,0,B7/B$2)</f>
        <v>0.66666666666666663</v>
      </c>
      <c r="E7" s="61" t="s">
        <v>245</v>
      </c>
      <c r="F7" s="58" t="s">
        <v>246</v>
      </c>
      <c r="G7" s="45">
        <v>2</v>
      </c>
      <c r="H7" s="131">
        <f>IF(B$17=0,0,G7/B$17)</f>
        <v>0.4</v>
      </c>
      <c r="I7" s="92">
        <v>8</v>
      </c>
      <c r="N7" s="114" t="s">
        <v>137</v>
      </c>
      <c r="O7" s="121">
        <f t="shared" si="0"/>
        <v>-3566.6666666666665</v>
      </c>
      <c r="P7" s="118">
        <v>3</v>
      </c>
      <c r="Q7" s="102">
        <v>-10700</v>
      </c>
    </row>
    <row r="8" spans="1:17" x14ac:dyDescent="0.4">
      <c r="A8" s="53" t="s">
        <v>3</v>
      </c>
      <c r="B8" s="45">
        <v>1</v>
      </c>
      <c r="C8" s="37">
        <f t="shared" si="1"/>
        <v>0.33333333333333331</v>
      </c>
      <c r="E8" s="61" t="s">
        <v>69</v>
      </c>
      <c r="F8" s="58" t="s">
        <v>12</v>
      </c>
      <c r="G8" s="45">
        <v>1</v>
      </c>
      <c r="H8" s="131">
        <f>IF(B$17=0,0,G8/B$17)</f>
        <v>0.2</v>
      </c>
      <c r="I8" s="92">
        <v>14</v>
      </c>
      <c r="N8" s="41"/>
      <c r="O8" s="125"/>
      <c r="P8" s="109"/>
      <c r="Q8" s="107"/>
    </row>
    <row r="9" spans="1:17" x14ac:dyDescent="0.4">
      <c r="A9" s="54" t="s">
        <v>4</v>
      </c>
      <c r="B9" s="46">
        <v>0</v>
      </c>
      <c r="C9" s="38">
        <f t="shared" si="1"/>
        <v>0</v>
      </c>
      <c r="E9" s="61" t="s">
        <v>70</v>
      </c>
      <c r="F9" s="58" t="s">
        <v>25</v>
      </c>
      <c r="G9" s="45">
        <v>1</v>
      </c>
      <c r="H9" s="131">
        <f>IF(B$17=0,0,G9/B$17)</f>
        <v>0.2</v>
      </c>
      <c r="I9" s="92">
        <v>2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0</v>
      </c>
      <c r="C10" s="38">
        <f t="shared" si="1"/>
        <v>0</v>
      </c>
      <c r="E10" s="61" t="s">
        <v>72</v>
      </c>
      <c r="F10" s="58" t="s">
        <v>27</v>
      </c>
      <c r="G10" s="45">
        <v>1</v>
      </c>
      <c r="H10" s="131">
        <f>IF(B$17=0,0,G10/B$17)</f>
        <v>0.2</v>
      </c>
      <c r="I10" s="92">
        <v>1</v>
      </c>
      <c r="N10" s="112" t="s">
        <v>164</v>
      </c>
      <c r="O10" s="122">
        <f>IF(P10=0,0,Q10/P10)</f>
        <v>0</v>
      </c>
      <c r="P10" s="116">
        <v>0</v>
      </c>
      <c r="Q10" s="104">
        <v>0</v>
      </c>
    </row>
    <row r="11" spans="1:17" x14ac:dyDescent="0.4">
      <c r="A11" s="54" t="s">
        <v>140</v>
      </c>
      <c r="B11" s="46">
        <v>0</v>
      </c>
      <c r="C11" s="38">
        <f t="shared" si="1"/>
        <v>0</v>
      </c>
      <c r="E11" s="61" t="s">
        <v>87</v>
      </c>
      <c r="F11" s="58" t="s">
        <v>42</v>
      </c>
      <c r="G11" s="45">
        <v>1</v>
      </c>
      <c r="H11" s="131">
        <f>IF(B$17=0,0,G11/B$17)</f>
        <v>0.2</v>
      </c>
      <c r="I11" s="92">
        <v>1</v>
      </c>
      <c r="N11" s="113" t="s">
        <v>165</v>
      </c>
      <c r="O11" s="123">
        <f>IF(P11=0,0,Q11/P11)</f>
        <v>0</v>
      </c>
      <c r="P11" s="117">
        <v>0</v>
      </c>
      <c r="Q11" s="105">
        <v>0</v>
      </c>
    </row>
    <row r="12" spans="1:17" x14ac:dyDescent="0.4">
      <c r="A12" s="55" t="s">
        <v>160</v>
      </c>
      <c r="B12" s="47">
        <v>0</v>
      </c>
      <c r="C12" s="40">
        <f t="shared" si="1"/>
        <v>0</v>
      </c>
      <c r="E12" s="61" t="s">
        <v>66</v>
      </c>
      <c r="F12" s="58" t="s">
        <v>22</v>
      </c>
      <c r="G12" s="45">
        <v>0</v>
      </c>
      <c r="H12" s="131">
        <f>IF(B$17=0,0,G12/B$17)</f>
        <v>0</v>
      </c>
      <c r="I12" s="92">
        <v>14</v>
      </c>
      <c r="N12" s="114" t="s">
        <v>166</v>
      </c>
      <c r="O12" s="124">
        <f>IF(P12=0,0,Q12/P12)</f>
        <v>20.333333333333332</v>
      </c>
      <c r="P12" s="118">
        <v>3</v>
      </c>
      <c r="Q12" s="106">
        <v>61</v>
      </c>
    </row>
    <row r="13" spans="1:17" x14ac:dyDescent="0.4">
      <c r="A13" s="56" t="s">
        <v>122</v>
      </c>
      <c r="B13" s="48">
        <v>5</v>
      </c>
      <c r="C13" s="42">
        <f>IF(B$3=0,0,B13/B$3)</f>
        <v>0.26315789473684209</v>
      </c>
      <c r="E13" s="61" t="s">
        <v>71</v>
      </c>
      <c r="F13" s="58" t="s">
        <v>26</v>
      </c>
      <c r="G13" s="45">
        <v>0</v>
      </c>
      <c r="H13" s="131">
        <f>IF(B$17=0,0,G13/B$17)</f>
        <v>0</v>
      </c>
      <c r="I13" s="92">
        <v>13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4</v>
      </c>
      <c r="C14" s="37">
        <f>IF(B$3=0,0,B14/B$3)</f>
        <v>0.21052631578947367</v>
      </c>
      <c r="E14" s="61" t="s">
        <v>74</v>
      </c>
      <c r="F14" s="58" t="s">
        <v>29</v>
      </c>
      <c r="G14" s="45">
        <v>0</v>
      </c>
      <c r="H14" s="131">
        <f>IF(B$17=0,0,G14/B$17)</f>
        <v>0</v>
      </c>
      <c r="I14" s="92">
        <v>9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3</v>
      </c>
      <c r="C15" s="35">
        <f>IF(B$13=0,0,B15/B$13)</f>
        <v>0.6</v>
      </c>
      <c r="E15" s="61" t="s">
        <v>75</v>
      </c>
      <c r="F15" s="58" t="s">
        <v>30</v>
      </c>
      <c r="G15" s="45">
        <v>0</v>
      </c>
      <c r="H15" s="131">
        <f>IF(B$17=0,0,G15/B$17)</f>
        <v>0</v>
      </c>
      <c r="I15" s="92">
        <v>7</v>
      </c>
      <c r="N15" s="112" t="s">
        <v>184</v>
      </c>
      <c r="O15" s="122">
        <f>IF(P15=0,0,Q15/P15)</f>
        <v>69.599999999999994</v>
      </c>
      <c r="P15" s="116">
        <v>1</v>
      </c>
      <c r="Q15" s="104">
        <v>69.599999999999994</v>
      </c>
    </row>
    <row r="16" spans="1:17" x14ac:dyDescent="0.4">
      <c r="A16" s="52" t="s">
        <v>125</v>
      </c>
      <c r="B16" s="44">
        <v>2</v>
      </c>
      <c r="C16" s="35">
        <f>IF(B$14=0,0,B16/B$14)</f>
        <v>0.5</v>
      </c>
      <c r="E16" s="61" t="s">
        <v>76</v>
      </c>
      <c r="F16" s="58" t="s">
        <v>31</v>
      </c>
      <c r="G16" s="45">
        <v>0</v>
      </c>
      <c r="H16" s="131">
        <f>IF(B$17=0,0,G16/B$17)</f>
        <v>0</v>
      </c>
      <c r="I16" s="92">
        <v>9</v>
      </c>
      <c r="N16" s="113" t="s">
        <v>177</v>
      </c>
      <c r="O16" s="123">
        <f>IF(P16=0,0,Q16/P16)</f>
        <v>45.699999999999996</v>
      </c>
      <c r="P16" s="117">
        <v>3</v>
      </c>
      <c r="Q16" s="105">
        <v>137.1</v>
      </c>
    </row>
    <row r="17" spans="1:17" x14ac:dyDescent="0.4">
      <c r="A17" s="52" t="s">
        <v>10</v>
      </c>
      <c r="B17" s="44">
        <f>B19+B18</f>
        <v>5</v>
      </c>
      <c r="C17" s="35">
        <f>IF(B$3=0,0,B17/B$3)</f>
        <v>0.26315789473684209</v>
      </c>
      <c r="E17" s="61" t="s">
        <v>77</v>
      </c>
      <c r="F17" s="58" t="s">
        <v>32</v>
      </c>
      <c r="G17" s="45">
        <v>0</v>
      </c>
      <c r="H17" s="131">
        <f>IF(B$17=0,0,G17/B$17)</f>
        <v>0</v>
      </c>
      <c r="I17" s="92">
        <v>1</v>
      </c>
      <c r="N17" s="113" t="s">
        <v>173</v>
      </c>
      <c r="O17" s="123">
        <f>IF(P17=0,0,Q17/P17)</f>
        <v>45.5</v>
      </c>
      <c r="P17" s="117">
        <v>1</v>
      </c>
      <c r="Q17" s="105">
        <v>45.5</v>
      </c>
    </row>
    <row r="18" spans="1:17" x14ac:dyDescent="0.4">
      <c r="A18" s="53" t="s">
        <v>12</v>
      </c>
      <c r="B18" s="45">
        <v>1</v>
      </c>
      <c r="C18" s="37">
        <f>IF(B$17=0,0,B18/B$17)</f>
        <v>0.2</v>
      </c>
      <c r="E18" s="61" t="s">
        <v>78</v>
      </c>
      <c r="F18" s="58" t="s">
        <v>33</v>
      </c>
      <c r="G18" s="45">
        <v>0</v>
      </c>
      <c r="H18" s="131">
        <f>IF(B$17=0,0,G18/B$17)</f>
        <v>0</v>
      </c>
      <c r="I18" s="92">
        <v>9</v>
      </c>
      <c r="N18" s="113" t="s">
        <v>127</v>
      </c>
      <c r="O18" s="123">
        <f>IF(P18=0,0,Q18/P18)</f>
        <v>-69.2</v>
      </c>
      <c r="P18" s="117">
        <v>1</v>
      </c>
      <c r="Q18" s="105">
        <v>-69.2</v>
      </c>
    </row>
    <row r="19" spans="1:17" x14ac:dyDescent="0.4">
      <c r="A19" s="53" t="s">
        <v>11</v>
      </c>
      <c r="B19" s="45">
        <v>4</v>
      </c>
      <c r="C19" s="37">
        <f>IF(B$17=0,0,B19/B$17)</f>
        <v>0.8</v>
      </c>
      <c r="E19" s="61" t="s">
        <v>79</v>
      </c>
      <c r="F19" s="58" t="s">
        <v>34</v>
      </c>
      <c r="G19" s="45">
        <v>0</v>
      </c>
      <c r="H19" s="131">
        <f>IF(B$17=0,0,G19/B$17)</f>
        <v>0</v>
      </c>
      <c r="I19" s="92">
        <v>12</v>
      </c>
    </row>
    <row r="20" spans="1:17" x14ac:dyDescent="0.4">
      <c r="A20" s="53" t="s">
        <v>13</v>
      </c>
      <c r="B20" s="45">
        <v>2</v>
      </c>
      <c r="C20" s="37">
        <f>IF(B$3=0,0,B20/B$3)</f>
        <v>0.10526315789473684</v>
      </c>
      <c r="E20" s="61" t="s">
        <v>80</v>
      </c>
      <c r="F20" s="58" t="s">
        <v>35</v>
      </c>
      <c r="G20" s="45">
        <v>0</v>
      </c>
      <c r="H20" s="131">
        <f>IF(B$17=0,0,G20/B$17)</f>
        <v>0</v>
      </c>
      <c r="I20" s="92">
        <v>12</v>
      </c>
    </row>
    <row r="21" spans="1:17" x14ac:dyDescent="0.4">
      <c r="A21" s="53" t="s">
        <v>191</v>
      </c>
      <c r="B21" s="45">
        <v>2</v>
      </c>
      <c r="C21" s="133">
        <v>0</v>
      </c>
      <c r="E21" s="61" t="s">
        <v>81</v>
      </c>
      <c r="F21" s="58" t="s">
        <v>36</v>
      </c>
      <c r="G21" s="45">
        <v>0</v>
      </c>
      <c r="H21" s="131">
        <f>IF(B$17=0,0,G21/B$17)</f>
        <v>0</v>
      </c>
      <c r="I21" s="92">
        <v>1</v>
      </c>
    </row>
    <row r="22" spans="1:17" x14ac:dyDescent="0.4">
      <c r="A22" s="53" t="s">
        <v>192</v>
      </c>
      <c r="B22" s="45">
        <v>12</v>
      </c>
      <c r="C22" s="133">
        <v>12</v>
      </c>
      <c r="E22" s="61" t="s">
        <v>82</v>
      </c>
      <c r="F22" s="58" t="s">
        <v>37</v>
      </c>
      <c r="G22" s="45">
        <v>0</v>
      </c>
      <c r="H22" s="131">
        <f>IF(B$17=0,0,G22/B$17)</f>
        <v>0</v>
      </c>
      <c r="I22" s="92">
        <v>13</v>
      </c>
    </row>
    <row r="23" spans="1:17" x14ac:dyDescent="0.4">
      <c r="A23" s="53" t="s">
        <v>5</v>
      </c>
      <c r="B23" s="49">
        <f>IF(B$17=0,0,C23/B$17)</f>
        <v>7860</v>
      </c>
      <c r="C23" s="39">
        <v>39300</v>
      </c>
      <c r="E23" s="61" t="s">
        <v>83</v>
      </c>
      <c r="F23" s="58" t="s">
        <v>38</v>
      </c>
      <c r="G23" s="45">
        <v>0</v>
      </c>
      <c r="H23" s="131">
        <f>IF(B$17=0,0,G23/B$17)</f>
        <v>0</v>
      </c>
      <c r="I23" s="92">
        <v>1</v>
      </c>
    </row>
    <row r="24" spans="1:17" x14ac:dyDescent="0.4">
      <c r="A24" s="53" t="s">
        <v>14</v>
      </c>
      <c r="B24" s="49">
        <f>IF(B$20=0,0,C24/B$20)</f>
        <v>-5150</v>
      </c>
      <c r="C24" s="39">
        <v>-10300</v>
      </c>
      <c r="E24" s="61" t="s">
        <v>84</v>
      </c>
      <c r="F24" s="58" t="s">
        <v>39</v>
      </c>
      <c r="G24" s="45">
        <v>0</v>
      </c>
      <c r="H24" s="131">
        <f>IF(B$17=0,0,G24/B$17)</f>
        <v>0</v>
      </c>
      <c r="I24" s="92">
        <v>13</v>
      </c>
    </row>
    <row r="25" spans="1:17" x14ac:dyDescent="0.4">
      <c r="A25" s="53" t="s">
        <v>305</v>
      </c>
      <c r="B25" s="49">
        <f>IF($B$17-B$16=0,0,C25/($B$17-B$16))</f>
        <v>9133.3333333333339</v>
      </c>
      <c r="C25" s="39">
        <v>27400</v>
      </c>
      <c r="E25" s="61" t="s">
        <v>85</v>
      </c>
      <c r="F25" s="58" t="s">
        <v>40</v>
      </c>
      <c r="G25" s="45">
        <v>0</v>
      </c>
      <c r="H25" s="131">
        <f>IF(B$17=0,0,G25/B$17)</f>
        <v>0</v>
      </c>
      <c r="I25" s="92">
        <v>6</v>
      </c>
    </row>
    <row r="26" spans="1:17" x14ac:dyDescent="0.4">
      <c r="A26" s="55" t="s">
        <v>304</v>
      </c>
      <c r="B26" s="50">
        <f>IF(B$16=0,0,C26/B$16)</f>
        <v>5950</v>
      </c>
      <c r="C26" s="43">
        <v>11900</v>
      </c>
      <c r="E26" s="61" t="s">
        <v>86</v>
      </c>
      <c r="F26" s="58" t="s">
        <v>41</v>
      </c>
      <c r="G26" s="45">
        <v>0</v>
      </c>
      <c r="H26" s="131">
        <f>IF(B$17=0,0,G26/B$17)</f>
        <v>0</v>
      </c>
      <c r="I26" s="92">
        <v>5</v>
      </c>
    </row>
    <row r="27" spans="1:17" x14ac:dyDescent="0.4">
      <c r="A27" s="88" t="s">
        <v>142</v>
      </c>
      <c r="B27" s="142">
        <v>3</v>
      </c>
      <c r="C27" s="143"/>
      <c r="E27" s="61" t="s">
        <v>88</v>
      </c>
      <c r="F27" s="58" t="s">
        <v>43</v>
      </c>
      <c r="G27" s="45">
        <v>0</v>
      </c>
      <c r="H27" s="131">
        <f>IF(B$17=0,0,G27/B$17)</f>
        <v>0</v>
      </c>
      <c r="I27" s="92">
        <v>7</v>
      </c>
    </row>
    <row r="28" spans="1:17" x14ac:dyDescent="0.4">
      <c r="A28" s="56" t="s">
        <v>152</v>
      </c>
      <c r="B28" s="140">
        <v>53500</v>
      </c>
      <c r="C28" s="141"/>
      <c r="E28" s="61" t="s">
        <v>89</v>
      </c>
      <c r="F28" s="58" t="s">
        <v>44</v>
      </c>
      <c r="G28" s="45">
        <v>0</v>
      </c>
      <c r="H28" s="131">
        <f>IF(B$17=0,0,G28/B$17)</f>
        <v>0</v>
      </c>
      <c r="I28" s="92">
        <v>5</v>
      </c>
    </row>
    <row r="29" spans="1:17" x14ac:dyDescent="0.4">
      <c r="A29" s="55" t="s">
        <v>143</v>
      </c>
      <c r="B29" s="63">
        <v>0</v>
      </c>
      <c r="C29" s="40">
        <f>IF(B$3=0,0,B29/B$3)</f>
        <v>0</v>
      </c>
      <c r="E29" s="61" t="s">
        <v>91</v>
      </c>
      <c r="F29" s="58" t="s">
        <v>46</v>
      </c>
      <c r="G29" s="45">
        <v>0</v>
      </c>
      <c r="H29" s="131">
        <f>IF(B$17=0,0,G29/B$17)</f>
        <v>0</v>
      </c>
      <c r="I29" s="92">
        <v>5</v>
      </c>
    </row>
    <row r="30" spans="1:17" x14ac:dyDescent="0.4">
      <c r="E30" s="61" t="s">
        <v>92</v>
      </c>
      <c r="F30" s="58" t="s">
        <v>47</v>
      </c>
      <c r="G30" s="45">
        <v>0</v>
      </c>
      <c r="H30" s="131">
        <f>IF(B$17=0,0,G30/B$17)</f>
        <v>0</v>
      </c>
      <c r="I30" s="92">
        <v>10</v>
      </c>
    </row>
    <row r="31" spans="1:17" x14ac:dyDescent="0.4">
      <c r="E31" s="61" t="s">
        <v>93</v>
      </c>
      <c r="F31" s="58" t="s">
        <v>48</v>
      </c>
      <c r="G31" s="45">
        <v>0</v>
      </c>
      <c r="H31" s="131">
        <f>IF(B$17=0,0,G31/B$17)</f>
        <v>0</v>
      </c>
      <c r="I31" s="92">
        <v>7</v>
      </c>
    </row>
    <row r="32" spans="1:17" x14ac:dyDescent="0.4">
      <c r="E32" s="61" t="s">
        <v>94</v>
      </c>
      <c r="F32" s="58" t="s">
        <v>49</v>
      </c>
      <c r="G32" s="45">
        <v>0</v>
      </c>
      <c r="H32" s="131">
        <f>IF(B$17=0,0,G32/B$17)</f>
        <v>0</v>
      </c>
      <c r="I32" s="92">
        <v>7</v>
      </c>
    </row>
    <row r="33" spans="5:9" x14ac:dyDescent="0.4">
      <c r="E33" s="61" t="s">
        <v>95</v>
      </c>
      <c r="F33" s="58" t="s">
        <v>50</v>
      </c>
      <c r="G33" s="45">
        <v>0</v>
      </c>
      <c r="H33" s="131">
        <f>IF(B$17=0,0,G33/B$17)</f>
        <v>0</v>
      </c>
      <c r="I33" s="92">
        <v>1</v>
      </c>
    </row>
    <row r="34" spans="5:9" x14ac:dyDescent="0.4">
      <c r="E34" s="61" t="s">
        <v>96</v>
      </c>
      <c r="F34" s="58" t="s">
        <v>51</v>
      </c>
      <c r="G34" s="45">
        <v>0</v>
      </c>
      <c r="H34" s="131">
        <f>IF(B$17=0,0,G34/B$17)</f>
        <v>0</v>
      </c>
      <c r="I34" s="92">
        <v>4</v>
      </c>
    </row>
    <row r="35" spans="5:9" x14ac:dyDescent="0.4">
      <c r="E35" s="61" t="s">
        <v>97</v>
      </c>
      <c r="F35" s="58" t="s">
        <v>52</v>
      </c>
      <c r="G35" s="45">
        <v>0</v>
      </c>
      <c r="H35" s="131">
        <f>IF(B$17=0,0,G35/B$17)</f>
        <v>0</v>
      </c>
      <c r="I35" s="92">
        <v>1</v>
      </c>
    </row>
    <row r="36" spans="5:9" x14ac:dyDescent="0.4">
      <c r="E36" s="61" t="s">
        <v>98</v>
      </c>
      <c r="F36" s="58" t="s">
        <v>53</v>
      </c>
      <c r="G36" s="45">
        <v>0</v>
      </c>
      <c r="H36" s="131">
        <f>IF(B$17=0,0,G36/B$17)</f>
        <v>0</v>
      </c>
      <c r="I36" s="92">
        <v>3</v>
      </c>
    </row>
    <row r="37" spans="5:9" x14ac:dyDescent="0.4">
      <c r="E37" s="61" t="s">
        <v>99</v>
      </c>
      <c r="F37" s="58" t="s">
        <v>54</v>
      </c>
      <c r="G37" s="45">
        <v>0</v>
      </c>
      <c r="H37" s="131">
        <f>IF(B$17=0,0,G37/B$17)</f>
        <v>0</v>
      </c>
      <c r="I37" s="92">
        <v>1</v>
      </c>
    </row>
    <row r="38" spans="5:9" x14ac:dyDescent="0.4">
      <c r="E38" s="61" t="s">
        <v>100</v>
      </c>
      <c r="F38" s="58" t="s">
        <v>55</v>
      </c>
      <c r="G38" s="45">
        <v>0</v>
      </c>
      <c r="H38" s="131">
        <f>IF(B$17=0,0,G38/B$17)</f>
        <v>0</v>
      </c>
      <c r="I38" s="92">
        <v>1</v>
      </c>
    </row>
    <row r="39" spans="5:9" x14ac:dyDescent="0.4">
      <c r="E39" s="61" t="s">
        <v>101</v>
      </c>
      <c r="F39" s="58" t="s">
        <v>56</v>
      </c>
      <c r="G39" s="45">
        <v>0</v>
      </c>
      <c r="H39" s="131">
        <f>IF(B$17=0,0,G39/B$17)</f>
        <v>0</v>
      </c>
      <c r="I39" s="92">
        <v>1</v>
      </c>
    </row>
    <row r="40" spans="5:9" x14ac:dyDescent="0.4">
      <c r="E40" s="61" t="s">
        <v>102</v>
      </c>
      <c r="F40" s="58" t="s">
        <v>57</v>
      </c>
      <c r="G40" s="45">
        <v>0</v>
      </c>
      <c r="H40" s="131">
        <f>IF(B$17=0,0,G40/B$17)</f>
        <v>0</v>
      </c>
      <c r="I40" s="92">
        <v>3</v>
      </c>
    </row>
    <row r="41" spans="5:9" x14ac:dyDescent="0.4">
      <c r="E41" s="61" t="s">
        <v>103</v>
      </c>
      <c r="F41" s="58" t="s">
        <v>58</v>
      </c>
      <c r="G41" s="45">
        <v>0</v>
      </c>
      <c r="H41" s="131">
        <f>IF(B$17=0,0,G41/B$17)</f>
        <v>0</v>
      </c>
      <c r="I41" s="92">
        <v>1</v>
      </c>
    </row>
    <row r="42" spans="5:9" x14ac:dyDescent="0.4">
      <c r="E42" s="61" t="s">
        <v>104</v>
      </c>
      <c r="F42" s="58" t="s">
        <v>59</v>
      </c>
      <c r="G42" s="45">
        <v>0</v>
      </c>
      <c r="H42" s="131">
        <f>IF(B$17=0,0,G42/B$17)</f>
        <v>0</v>
      </c>
      <c r="I42" s="92">
        <v>1</v>
      </c>
    </row>
    <row r="43" spans="5:9" x14ac:dyDescent="0.4">
      <c r="E43" s="61" t="s">
        <v>105</v>
      </c>
      <c r="F43" s="58" t="s">
        <v>60</v>
      </c>
      <c r="G43" s="45">
        <v>0</v>
      </c>
      <c r="H43" s="131">
        <f>IF(B$17=0,0,G43/B$17)</f>
        <v>0</v>
      </c>
      <c r="I43" s="92">
        <v>1</v>
      </c>
    </row>
    <row r="44" spans="5:9" x14ac:dyDescent="0.4">
      <c r="E44" s="61" t="s">
        <v>106</v>
      </c>
      <c r="F44" s="58" t="s">
        <v>113</v>
      </c>
      <c r="G44" s="45">
        <v>0</v>
      </c>
      <c r="H44" s="131">
        <f>IF(B$17=0,0,G44/B$17)</f>
        <v>0</v>
      </c>
      <c r="I44" s="92">
        <v>1</v>
      </c>
    </row>
    <row r="45" spans="5:9" x14ac:dyDescent="0.4">
      <c r="E45" s="61" t="s">
        <v>107</v>
      </c>
      <c r="F45" s="58" t="s">
        <v>114</v>
      </c>
      <c r="G45" s="45">
        <v>0</v>
      </c>
      <c r="H45" s="131">
        <f>IF(B$17=0,0,G45/B$17)</f>
        <v>0</v>
      </c>
      <c r="I45" s="92">
        <v>3</v>
      </c>
    </row>
    <row r="46" spans="5:9" x14ac:dyDescent="0.4">
      <c r="E46" s="61" t="s">
        <v>108</v>
      </c>
      <c r="F46" s="58" t="s">
        <v>115</v>
      </c>
      <c r="G46" s="45">
        <v>0</v>
      </c>
      <c r="H46" s="131">
        <f>IF(B$17=0,0,G46/B$17)</f>
        <v>0</v>
      </c>
      <c r="I46" s="92">
        <v>1</v>
      </c>
    </row>
    <row r="47" spans="5:9" x14ac:dyDescent="0.4">
      <c r="E47" s="61" t="s">
        <v>109</v>
      </c>
      <c r="F47" s="58" t="s">
        <v>61</v>
      </c>
      <c r="G47" s="45">
        <v>0</v>
      </c>
      <c r="H47" s="131">
        <f>IF(B$17=0,0,G47/B$17)</f>
        <v>0</v>
      </c>
      <c r="I47" s="92">
        <v>1</v>
      </c>
    </row>
    <row r="48" spans="5:9" x14ac:dyDescent="0.4">
      <c r="E48" s="61" t="s">
        <v>110</v>
      </c>
      <c r="F48" s="58" t="s">
        <v>62</v>
      </c>
      <c r="G48" s="45">
        <v>0</v>
      </c>
      <c r="H48" s="131">
        <f>IF(B$17=0,0,G48/B$17)</f>
        <v>0</v>
      </c>
      <c r="I48" s="92">
        <v>1</v>
      </c>
    </row>
    <row r="49" spans="5:9" x14ac:dyDescent="0.4">
      <c r="E49" s="61" t="s">
        <v>111</v>
      </c>
      <c r="F49" s="58" t="s">
        <v>63</v>
      </c>
      <c r="G49" s="45">
        <v>0</v>
      </c>
      <c r="H49" s="131">
        <f>IF(B$17=0,0,G49/B$17)</f>
        <v>0</v>
      </c>
      <c r="I49" s="92">
        <v>1</v>
      </c>
    </row>
    <row r="50" spans="5:9" x14ac:dyDescent="0.4">
      <c r="E50" s="61" t="s">
        <v>112</v>
      </c>
      <c r="F50" s="58" t="s">
        <v>64</v>
      </c>
      <c r="G50" s="45">
        <v>0</v>
      </c>
      <c r="H50" s="131">
        <f>IF(B$17=0,0,G50/B$17)</f>
        <v>0</v>
      </c>
      <c r="I50" s="92">
        <v>1</v>
      </c>
    </row>
    <row r="51" spans="5:9" x14ac:dyDescent="0.4">
      <c r="E51" s="134" t="s">
        <v>180</v>
      </c>
      <c r="F51" s="135" t="s">
        <v>181</v>
      </c>
      <c r="G51" s="46">
        <v>0</v>
      </c>
      <c r="H51" s="136">
        <f>IF(B$17=0,0,G51/B$17)</f>
        <v>0</v>
      </c>
      <c r="I51" s="137">
        <v>8</v>
      </c>
    </row>
    <row r="52" spans="5:9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</row>
  </sheetData>
  <sortState xmlns:xlrd2="http://schemas.microsoft.com/office/spreadsheetml/2017/richdata2" ref="N15:Q1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6E1CE-A464-4551-B016-22AA016EA0DB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184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24</v>
      </c>
      <c r="C2" s="149"/>
      <c r="E2" s="60" t="s">
        <v>67</v>
      </c>
      <c r="F2" s="57" t="s">
        <v>23</v>
      </c>
      <c r="G2" s="44">
        <v>43</v>
      </c>
      <c r="H2" s="130">
        <f>IF(B$17=0,0,G2/B$17)</f>
        <v>0.86</v>
      </c>
      <c r="I2" s="91">
        <v>3</v>
      </c>
      <c r="K2" s="34">
        <v>0</v>
      </c>
      <c r="L2" s="96">
        <v>0</v>
      </c>
      <c r="N2" s="112" t="s">
        <v>132</v>
      </c>
      <c r="O2" s="119">
        <f t="shared" ref="O2:O7" si="0">IF(P2=0,0,Q2/P2)</f>
        <v>-408.33333333333331</v>
      </c>
      <c r="P2" s="116">
        <v>24</v>
      </c>
      <c r="Q2" s="100">
        <v>-9800</v>
      </c>
    </row>
    <row r="3" spans="1:17" x14ac:dyDescent="0.4">
      <c r="A3" s="53" t="s">
        <v>8</v>
      </c>
      <c r="B3" s="150">
        <v>181</v>
      </c>
      <c r="C3" s="151"/>
      <c r="E3" s="61" t="s">
        <v>73</v>
      </c>
      <c r="F3" s="58" t="s">
        <v>28</v>
      </c>
      <c r="G3" s="45">
        <v>30</v>
      </c>
      <c r="H3" s="131">
        <f>IF(B$17=0,0,G3/B$17)</f>
        <v>0.6</v>
      </c>
      <c r="I3" s="92">
        <v>4</v>
      </c>
      <c r="K3" s="36">
        <v>1</v>
      </c>
      <c r="L3" s="97">
        <v>-43.7</v>
      </c>
      <c r="N3" s="113" t="s">
        <v>133</v>
      </c>
      <c r="O3" s="120">
        <f t="shared" si="0"/>
        <v>-4537.5</v>
      </c>
      <c r="P3" s="117">
        <v>24</v>
      </c>
      <c r="Q3" s="101">
        <v>-108900</v>
      </c>
    </row>
    <row r="4" spans="1:17" x14ac:dyDescent="0.4">
      <c r="A4" s="53" t="s">
        <v>6</v>
      </c>
      <c r="B4" s="152">
        <v>-300.5</v>
      </c>
      <c r="C4" s="153"/>
      <c r="E4" s="61" t="s">
        <v>65</v>
      </c>
      <c r="F4" s="58" t="s">
        <v>21</v>
      </c>
      <c r="G4" s="45">
        <v>27</v>
      </c>
      <c r="H4" s="131">
        <f>IF(B$17=0,0,G4/B$17)</f>
        <v>0.54</v>
      </c>
      <c r="I4" s="92">
        <v>4</v>
      </c>
      <c r="K4" s="36">
        <v>2</v>
      </c>
      <c r="L4" s="97">
        <v>-76.2</v>
      </c>
      <c r="N4" s="113" t="s">
        <v>134</v>
      </c>
      <c r="O4" s="120">
        <f t="shared" si="0"/>
        <v>-70</v>
      </c>
      <c r="P4" s="117">
        <v>20</v>
      </c>
      <c r="Q4" s="101">
        <v>-1400</v>
      </c>
    </row>
    <row r="5" spans="1:17" x14ac:dyDescent="0.4">
      <c r="A5" s="53" t="s">
        <v>7</v>
      </c>
      <c r="B5" s="154">
        <f>IF(B$2=0,0,B$4/B$2)</f>
        <v>-12.520833333333334</v>
      </c>
      <c r="C5" s="155"/>
      <c r="E5" s="61" t="s">
        <v>245</v>
      </c>
      <c r="F5" s="58" t="s">
        <v>246</v>
      </c>
      <c r="G5" s="45">
        <v>16</v>
      </c>
      <c r="H5" s="131">
        <f>IF(B$17=0,0,G5/B$17)</f>
        <v>0.32</v>
      </c>
      <c r="I5" s="92">
        <v>14</v>
      </c>
      <c r="K5" s="36">
        <v>3</v>
      </c>
      <c r="L5" s="97">
        <v>-78.400000000000006</v>
      </c>
      <c r="N5" s="113" t="s">
        <v>135</v>
      </c>
      <c r="O5" s="120">
        <f t="shared" si="0"/>
        <v>-3300</v>
      </c>
      <c r="P5" s="117">
        <v>20</v>
      </c>
      <c r="Q5" s="101">
        <v>-66000</v>
      </c>
    </row>
    <row r="6" spans="1:17" x14ac:dyDescent="0.4">
      <c r="A6" s="53" t="s">
        <v>1</v>
      </c>
      <c r="B6" s="144">
        <f>IF(B$2=0,0,(B$7*1+B$8*2+B$9*3)/B$2)</f>
        <v>2.2083333333333335</v>
      </c>
      <c r="C6" s="145"/>
      <c r="E6" s="61" t="s">
        <v>69</v>
      </c>
      <c r="F6" s="58" t="s">
        <v>12</v>
      </c>
      <c r="G6" s="45">
        <v>15</v>
      </c>
      <c r="H6" s="131">
        <f>IF(B$17=0,0,G6/B$17)</f>
        <v>0.3</v>
      </c>
      <c r="I6" s="92">
        <v>9</v>
      </c>
      <c r="K6" s="36">
        <v>4</v>
      </c>
      <c r="L6" s="97">
        <v>-49.800000000000004</v>
      </c>
      <c r="N6" s="113" t="s">
        <v>136</v>
      </c>
      <c r="O6" s="120">
        <f t="shared" si="0"/>
        <v>-1533.3333333333333</v>
      </c>
      <c r="P6" s="117">
        <v>18</v>
      </c>
      <c r="Q6" s="101">
        <v>-27600</v>
      </c>
    </row>
    <row r="7" spans="1:17" x14ac:dyDescent="0.4">
      <c r="A7" s="53" t="s">
        <v>2</v>
      </c>
      <c r="B7" s="45">
        <v>8</v>
      </c>
      <c r="C7" s="37">
        <f t="shared" ref="C7:C12" si="1">IF(B$2=0,0,B7/B$2)</f>
        <v>0.33333333333333331</v>
      </c>
      <c r="E7" s="61" t="s">
        <v>68</v>
      </c>
      <c r="F7" s="58" t="s">
        <v>24</v>
      </c>
      <c r="G7" s="45">
        <v>12</v>
      </c>
      <c r="H7" s="131">
        <f>IF(B$17=0,0,G7/B$17)</f>
        <v>0.24</v>
      </c>
      <c r="I7" s="92">
        <v>11</v>
      </c>
      <c r="K7" s="36">
        <v>5</v>
      </c>
      <c r="L7" s="97">
        <v>-121</v>
      </c>
      <c r="N7" s="114" t="s">
        <v>137</v>
      </c>
      <c r="O7" s="121">
        <f t="shared" si="0"/>
        <v>-3320</v>
      </c>
      <c r="P7" s="118">
        <v>15</v>
      </c>
      <c r="Q7" s="102">
        <v>-49800</v>
      </c>
    </row>
    <row r="8" spans="1:17" x14ac:dyDescent="0.4">
      <c r="A8" s="53" t="s">
        <v>3</v>
      </c>
      <c r="B8" s="45">
        <v>3</v>
      </c>
      <c r="C8" s="37">
        <f t="shared" si="1"/>
        <v>0.125</v>
      </c>
      <c r="E8" s="61" t="s">
        <v>70</v>
      </c>
      <c r="F8" s="58" t="s">
        <v>25</v>
      </c>
      <c r="G8" s="45">
        <v>8</v>
      </c>
      <c r="H8" s="131">
        <f>IF(B$17=0,0,G8/B$17)</f>
        <v>0.16</v>
      </c>
      <c r="I8" s="92">
        <v>5</v>
      </c>
      <c r="K8" s="36">
        <v>6</v>
      </c>
      <c r="L8" s="97">
        <v>-167</v>
      </c>
      <c r="N8" s="41"/>
      <c r="O8" s="125"/>
      <c r="P8" s="109"/>
      <c r="Q8" s="107"/>
    </row>
    <row r="9" spans="1:17" x14ac:dyDescent="0.4">
      <c r="A9" s="54" t="s">
        <v>4</v>
      </c>
      <c r="B9" s="46">
        <v>13</v>
      </c>
      <c r="C9" s="38">
        <f t="shared" si="1"/>
        <v>0.54166666666666663</v>
      </c>
      <c r="E9" s="61" t="s">
        <v>71</v>
      </c>
      <c r="F9" s="58" t="s">
        <v>26</v>
      </c>
      <c r="G9" s="45">
        <v>8</v>
      </c>
      <c r="H9" s="131">
        <f>IF(B$17=0,0,G9/B$17)</f>
        <v>0.16</v>
      </c>
      <c r="I9" s="92">
        <v>1</v>
      </c>
      <c r="K9" s="36">
        <v>7</v>
      </c>
      <c r="L9" s="97">
        <v>-218.2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7</v>
      </c>
      <c r="C10" s="38">
        <f t="shared" si="1"/>
        <v>0.29166666666666669</v>
      </c>
      <c r="E10" s="61" t="s">
        <v>84</v>
      </c>
      <c r="F10" s="58" t="s">
        <v>39</v>
      </c>
      <c r="G10" s="45">
        <v>6</v>
      </c>
      <c r="H10" s="131">
        <f>IF(B$17=0,0,G10/B$17)</f>
        <v>0.12</v>
      </c>
      <c r="I10" s="92">
        <v>1</v>
      </c>
      <c r="K10" s="36">
        <v>8</v>
      </c>
      <c r="L10" s="97">
        <v>-170.5</v>
      </c>
      <c r="N10" s="112" t="s">
        <v>164</v>
      </c>
      <c r="O10" s="122">
        <f>IF(P10=0,0,Q10/P10)</f>
        <v>-7.8777777777777755</v>
      </c>
      <c r="P10" s="116">
        <v>9</v>
      </c>
      <c r="Q10" s="104">
        <v>-70.899999999999977</v>
      </c>
    </row>
    <row r="11" spans="1:17" x14ac:dyDescent="0.4">
      <c r="A11" s="54" t="s">
        <v>140</v>
      </c>
      <c r="B11" s="46">
        <v>2</v>
      </c>
      <c r="C11" s="38">
        <f t="shared" si="1"/>
        <v>8.3333333333333329E-2</v>
      </c>
      <c r="E11" s="61" t="s">
        <v>90</v>
      </c>
      <c r="F11" s="58" t="s">
        <v>45</v>
      </c>
      <c r="G11" s="45">
        <v>5</v>
      </c>
      <c r="H11" s="131">
        <f>IF(B$17=0,0,G11/B$17)</f>
        <v>0.1</v>
      </c>
      <c r="I11" s="92">
        <v>11</v>
      </c>
      <c r="K11" s="36">
        <v>9</v>
      </c>
      <c r="L11" s="97">
        <v>-228.1</v>
      </c>
      <c r="N11" s="113" t="s">
        <v>165</v>
      </c>
      <c r="O11" s="123">
        <f>IF(P11=0,0,Q11/P11)</f>
        <v>-11.75</v>
      </c>
      <c r="P11" s="117">
        <v>6</v>
      </c>
      <c r="Q11" s="105">
        <v>-70.5</v>
      </c>
    </row>
    <row r="12" spans="1:17" x14ac:dyDescent="0.4">
      <c r="A12" s="55" t="s">
        <v>160</v>
      </c>
      <c r="B12" s="47">
        <v>3</v>
      </c>
      <c r="C12" s="40">
        <f t="shared" si="1"/>
        <v>0.125</v>
      </c>
      <c r="E12" s="61" t="s">
        <v>66</v>
      </c>
      <c r="F12" s="58" t="s">
        <v>22</v>
      </c>
      <c r="G12" s="45">
        <v>4</v>
      </c>
      <c r="H12" s="131">
        <f>IF(B$17=0,0,G12/B$17)</f>
        <v>0.08</v>
      </c>
      <c r="I12" s="92">
        <v>10</v>
      </c>
      <c r="K12" s="36">
        <v>10</v>
      </c>
      <c r="L12" s="97">
        <v>-197.5</v>
      </c>
      <c r="N12" s="114" t="s">
        <v>166</v>
      </c>
      <c r="O12" s="124">
        <f>IF(P12=0,0,Q12/P12)</f>
        <v>-17.677777777777777</v>
      </c>
      <c r="P12" s="118">
        <v>9</v>
      </c>
      <c r="Q12" s="106">
        <v>-159.1</v>
      </c>
    </row>
    <row r="13" spans="1:17" x14ac:dyDescent="0.4">
      <c r="A13" s="56" t="s">
        <v>122</v>
      </c>
      <c r="B13" s="48">
        <v>42</v>
      </c>
      <c r="C13" s="42">
        <f>IF(B$3=0,0,B13/B$3)</f>
        <v>0.23204419889502761</v>
      </c>
      <c r="E13" s="61" t="s">
        <v>72</v>
      </c>
      <c r="F13" s="58" t="s">
        <v>27</v>
      </c>
      <c r="G13" s="45">
        <v>3</v>
      </c>
      <c r="H13" s="131">
        <f>IF(B$17=0,0,G13/B$17)</f>
        <v>0.06</v>
      </c>
      <c r="I13" s="92">
        <v>9</v>
      </c>
      <c r="K13" s="36">
        <v>11</v>
      </c>
      <c r="L13" s="97">
        <v>-161.19999999999999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45</v>
      </c>
      <c r="C14" s="37">
        <f>IF(B$3=0,0,B14/B$3)</f>
        <v>0.24861878453038674</v>
      </c>
      <c r="E14" s="61" t="s">
        <v>80</v>
      </c>
      <c r="F14" s="58" t="s">
        <v>35</v>
      </c>
      <c r="G14" s="45">
        <v>3</v>
      </c>
      <c r="H14" s="131">
        <f>IF(B$17=0,0,G14/B$17)</f>
        <v>0.06</v>
      </c>
      <c r="I14" s="92">
        <v>2</v>
      </c>
      <c r="K14" s="36">
        <v>12</v>
      </c>
      <c r="L14" s="97">
        <v>-116.6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28</v>
      </c>
      <c r="C15" s="35">
        <f>IF(B$13=0,0,B15/B$13)</f>
        <v>0.66666666666666663</v>
      </c>
      <c r="E15" s="61" t="s">
        <v>74</v>
      </c>
      <c r="F15" s="58" t="s">
        <v>29</v>
      </c>
      <c r="G15" s="45">
        <v>1</v>
      </c>
      <c r="H15" s="131">
        <f>IF(B$17=0,0,G15/B$17)</f>
        <v>0.02</v>
      </c>
      <c r="I15" s="92">
        <v>2</v>
      </c>
      <c r="K15" s="36">
        <v>13</v>
      </c>
      <c r="L15" s="97">
        <v>-144.79999999999998</v>
      </c>
      <c r="N15" s="112" t="s">
        <v>173</v>
      </c>
      <c r="O15" s="122">
        <f>IF(P15=0,0,Q15/P15)</f>
        <v>159</v>
      </c>
      <c r="P15" s="116">
        <v>1</v>
      </c>
      <c r="Q15" s="104">
        <v>159</v>
      </c>
    </row>
    <row r="16" spans="1:17" x14ac:dyDescent="0.4">
      <c r="A16" s="52" t="s">
        <v>125</v>
      </c>
      <c r="B16" s="44">
        <v>17</v>
      </c>
      <c r="C16" s="35">
        <f>IF(B$14=0,0,B16/B$14)</f>
        <v>0.37777777777777777</v>
      </c>
      <c r="E16" s="61" t="s">
        <v>75</v>
      </c>
      <c r="F16" s="58" t="s">
        <v>30</v>
      </c>
      <c r="G16" s="45">
        <v>1</v>
      </c>
      <c r="H16" s="131">
        <f>IF(B$17=0,0,G16/B$17)</f>
        <v>0.02</v>
      </c>
      <c r="I16" s="92">
        <v>1</v>
      </c>
      <c r="K16" s="36">
        <v>14</v>
      </c>
      <c r="L16" s="97">
        <v>-138.69999999999999</v>
      </c>
      <c r="N16" s="113" t="s">
        <v>129</v>
      </c>
      <c r="O16" s="123">
        <f>IF(P16=0,0,Q16/P16)</f>
        <v>30.850000000000005</v>
      </c>
      <c r="P16" s="117">
        <v>6</v>
      </c>
      <c r="Q16" s="105">
        <v>185.10000000000002</v>
      </c>
    </row>
    <row r="17" spans="1:17" x14ac:dyDescent="0.4">
      <c r="A17" s="52" t="s">
        <v>10</v>
      </c>
      <c r="B17" s="44">
        <f>B19+B18</f>
        <v>50</v>
      </c>
      <c r="C17" s="35">
        <f>IF(B$3=0,0,B17/B$3)</f>
        <v>0.27624309392265195</v>
      </c>
      <c r="E17" s="61" t="s">
        <v>76</v>
      </c>
      <c r="F17" s="58" t="s">
        <v>31</v>
      </c>
      <c r="G17" s="45">
        <v>1</v>
      </c>
      <c r="H17" s="131">
        <f>IF(B$17=0,0,G17/B$17)</f>
        <v>0.02</v>
      </c>
      <c r="I17" s="92">
        <v>1</v>
      </c>
      <c r="K17" s="36">
        <v>15</v>
      </c>
      <c r="L17" s="97">
        <v>-84.399999999999991</v>
      </c>
      <c r="N17" s="113" t="s">
        <v>177</v>
      </c>
      <c r="O17" s="123">
        <f>IF(P17=0,0,Q17/P17)</f>
        <v>-4.8666666666666698</v>
      </c>
      <c r="P17" s="117">
        <v>6</v>
      </c>
      <c r="Q17" s="105">
        <v>-29.200000000000017</v>
      </c>
    </row>
    <row r="18" spans="1:17" x14ac:dyDescent="0.4">
      <c r="A18" s="53" t="s">
        <v>12</v>
      </c>
      <c r="B18" s="45">
        <v>24</v>
      </c>
      <c r="C18" s="37">
        <f>IF(B$17=0,0,B18/B$17)</f>
        <v>0.48</v>
      </c>
      <c r="E18" s="61" t="s">
        <v>82</v>
      </c>
      <c r="F18" s="58" t="s">
        <v>37</v>
      </c>
      <c r="G18" s="45">
        <v>1</v>
      </c>
      <c r="H18" s="131">
        <f>IF(B$17=0,0,G18/B$17)</f>
        <v>0.02</v>
      </c>
      <c r="I18" s="92">
        <v>9</v>
      </c>
      <c r="K18" s="36">
        <v>16</v>
      </c>
      <c r="L18" s="97">
        <v>-139.79999999999998</v>
      </c>
      <c r="N18" s="113" t="s">
        <v>171</v>
      </c>
      <c r="O18" s="123">
        <f>IF(P18=0,0,Q18/P18)</f>
        <v>-18.200000000000003</v>
      </c>
      <c r="P18" s="117">
        <v>4</v>
      </c>
      <c r="Q18" s="105">
        <v>-72.800000000000011</v>
      </c>
    </row>
    <row r="19" spans="1:17" x14ac:dyDescent="0.4">
      <c r="A19" s="53" t="s">
        <v>11</v>
      </c>
      <c r="B19" s="45">
        <v>26</v>
      </c>
      <c r="C19" s="37">
        <f>IF(B$17=0,0,B19/B$17)</f>
        <v>0.52</v>
      </c>
      <c r="E19" s="61" t="s">
        <v>98</v>
      </c>
      <c r="F19" s="58" t="s">
        <v>53</v>
      </c>
      <c r="G19" s="45">
        <v>1</v>
      </c>
      <c r="H19" s="131">
        <f>IF(B$17=0,0,G19/B$17)</f>
        <v>0.02</v>
      </c>
      <c r="I19" s="92">
        <v>1</v>
      </c>
      <c r="K19" s="36">
        <v>17</v>
      </c>
      <c r="L19" s="97">
        <v>-203.5</v>
      </c>
      <c r="N19" s="113" t="s">
        <v>128</v>
      </c>
      <c r="O19" s="123">
        <f>IF(P19=0,0,Q19/P19)</f>
        <v>-21.07</v>
      </c>
      <c r="P19" s="117">
        <v>10</v>
      </c>
      <c r="Q19" s="105">
        <v>-210.7</v>
      </c>
    </row>
    <row r="20" spans="1:17" x14ac:dyDescent="0.4">
      <c r="A20" s="53" t="s">
        <v>13</v>
      </c>
      <c r="B20" s="45">
        <v>41</v>
      </c>
      <c r="C20" s="37">
        <f>IF(B$3=0,0,B20/B$3)</f>
        <v>0.22651933701657459</v>
      </c>
      <c r="E20" s="61" t="s">
        <v>77</v>
      </c>
      <c r="F20" s="58" t="s">
        <v>32</v>
      </c>
      <c r="G20" s="45">
        <v>0</v>
      </c>
      <c r="H20" s="131">
        <f>IF(B$17=0,0,G20/B$17)</f>
        <v>0</v>
      </c>
      <c r="I20" s="92">
        <v>1</v>
      </c>
      <c r="K20" s="36">
        <v>18</v>
      </c>
      <c r="L20" s="97">
        <v>-126.5</v>
      </c>
      <c r="N20" s="113" t="s">
        <v>127</v>
      </c>
      <c r="O20" s="123">
        <f>IF(P20=0,0,Q20/P20)</f>
        <v>-29.121428571428577</v>
      </c>
      <c r="P20" s="117">
        <v>14</v>
      </c>
      <c r="Q20" s="105">
        <v>-407.7000000000001</v>
      </c>
    </row>
    <row r="21" spans="1:17" x14ac:dyDescent="0.4">
      <c r="A21" s="53" t="s">
        <v>191</v>
      </c>
      <c r="B21" s="45">
        <v>5</v>
      </c>
      <c r="C21" s="133">
        <v>0</v>
      </c>
      <c r="E21" s="61" t="s">
        <v>78</v>
      </c>
      <c r="F21" s="58" t="s">
        <v>33</v>
      </c>
      <c r="G21" s="45">
        <v>0</v>
      </c>
      <c r="H21" s="131">
        <f>IF(B$17=0,0,G21/B$17)</f>
        <v>0</v>
      </c>
      <c r="I21" s="92">
        <v>9</v>
      </c>
      <c r="K21" s="36">
        <v>19</v>
      </c>
      <c r="L21" s="97">
        <v>-67.599999999999994</v>
      </c>
      <c r="N21" s="113" t="s">
        <v>172</v>
      </c>
      <c r="O21" s="123">
        <f>IF(P21=0,0,Q21/P21)</f>
        <v>-44.424999999999997</v>
      </c>
      <c r="P21" s="117">
        <v>4</v>
      </c>
      <c r="Q21" s="105">
        <v>-177.7</v>
      </c>
    </row>
    <row r="22" spans="1:17" x14ac:dyDescent="0.4">
      <c r="A22" s="53" t="s">
        <v>192</v>
      </c>
      <c r="B22" s="45">
        <v>17</v>
      </c>
      <c r="C22" s="133">
        <v>1</v>
      </c>
      <c r="E22" s="61" t="s">
        <v>79</v>
      </c>
      <c r="F22" s="58" t="s">
        <v>34</v>
      </c>
      <c r="G22" s="45">
        <v>0</v>
      </c>
      <c r="H22" s="131">
        <f>IF(B$17=0,0,G22/B$17)</f>
        <v>0</v>
      </c>
      <c r="I22" s="92">
        <v>12</v>
      </c>
      <c r="K22" s="36">
        <v>20</v>
      </c>
      <c r="L22" s="97">
        <v>-124.1</v>
      </c>
      <c r="N22" s="113" t="s">
        <v>183</v>
      </c>
      <c r="O22" s="123">
        <f>IF(P22=0,0,Q22/P22)</f>
        <v>-69.599999999999994</v>
      </c>
      <c r="P22" s="117">
        <v>1</v>
      </c>
      <c r="Q22" s="105">
        <v>-69.599999999999994</v>
      </c>
    </row>
    <row r="23" spans="1:17" x14ac:dyDescent="0.4">
      <c r="A23" s="53" t="s">
        <v>5</v>
      </c>
      <c r="B23" s="49">
        <f>IF(B$17=0,0,C23/B$17)</f>
        <v>8434</v>
      </c>
      <c r="C23" s="39">
        <v>421700</v>
      </c>
      <c r="E23" s="61" t="s">
        <v>81</v>
      </c>
      <c r="F23" s="58" t="s">
        <v>36</v>
      </c>
      <c r="G23" s="45">
        <v>0</v>
      </c>
      <c r="H23" s="131">
        <f>IF(B$17=0,0,G23/B$17)</f>
        <v>0</v>
      </c>
      <c r="I23" s="92">
        <v>1</v>
      </c>
      <c r="K23" s="36">
        <v>21</v>
      </c>
      <c r="L23" s="97">
        <v>-189.2</v>
      </c>
      <c r="N23" s="113" t="s">
        <v>223</v>
      </c>
      <c r="O23" s="123">
        <f>IF(P23=0,0,Q23/P23)</f>
        <v>-138.94999999999999</v>
      </c>
      <c r="P23" s="117">
        <v>2</v>
      </c>
      <c r="Q23" s="105">
        <v>-277.89999999999998</v>
      </c>
    </row>
    <row r="24" spans="1:17" x14ac:dyDescent="0.4">
      <c r="A24" s="53" t="s">
        <v>14</v>
      </c>
      <c r="B24" s="49">
        <f>IF(B$20=0,0,C24/B$20)</f>
        <v>-9878.0487804878048</v>
      </c>
      <c r="C24" s="39">
        <v>-405000</v>
      </c>
      <c r="E24" s="61" t="s">
        <v>83</v>
      </c>
      <c r="F24" s="58" t="s">
        <v>38</v>
      </c>
      <c r="G24" s="45">
        <v>0</v>
      </c>
      <c r="H24" s="131">
        <f>IF(B$17=0,0,G24/B$17)</f>
        <v>0</v>
      </c>
      <c r="I24" s="92">
        <v>1</v>
      </c>
      <c r="K24" s="36">
        <v>22</v>
      </c>
      <c r="L24" s="97">
        <v>-264.39999999999998</v>
      </c>
    </row>
    <row r="25" spans="1:17" x14ac:dyDescent="0.4">
      <c r="A25" s="53" t="s">
        <v>305</v>
      </c>
      <c r="B25" s="49">
        <f>IF($B$17-B$16=0,0,C25/($B$17-B$16))</f>
        <v>7951.515151515152</v>
      </c>
      <c r="C25" s="39">
        <v>262400</v>
      </c>
      <c r="E25" s="61" t="s">
        <v>85</v>
      </c>
      <c r="F25" s="58" t="s">
        <v>40</v>
      </c>
      <c r="G25" s="45">
        <v>0</v>
      </c>
      <c r="H25" s="131">
        <f>IF(B$17=0,0,G25/B$17)</f>
        <v>0</v>
      </c>
      <c r="I25" s="92">
        <v>6</v>
      </c>
      <c r="K25" s="36">
        <v>23</v>
      </c>
      <c r="L25" s="97">
        <v>-253.49999999999997</v>
      </c>
    </row>
    <row r="26" spans="1:17" x14ac:dyDescent="0.4">
      <c r="A26" s="55" t="s">
        <v>304</v>
      </c>
      <c r="B26" s="50">
        <f>IF(B$16=0,0,C26/B$16)</f>
        <v>9370.5882352941171</v>
      </c>
      <c r="C26" s="43">
        <v>159300</v>
      </c>
      <c r="E26" s="61" t="s">
        <v>86</v>
      </c>
      <c r="F26" s="58" t="s">
        <v>41</v>
      </c>
      <c r="G26" s="45">
        <v>0</v>
      </c>
      <c r="H26" s="131">
        <f>IF(B$17=0,0,G26/B$17)</f>
        <v>0</v>
      </c>
      <c r="I26" s="92">
        <v>5</v>
      </c>
      <c r="K26" s="36">
        <v>24</v>
      </c>
      <c r="L26" s="97">
        <v>-300.5</v>
      </c>
    </row>
    <row r="27" spans="1:17" x14ac:dyDescent="0.4">
      <c r="A27" s="88" t="s">
        <v>142</v>
      </c>
      <c r="B27" s="142">
        <v>6</v>
      </c>
      <c r="C27" s="143"/>
      <c r="E27" s="61" t="s">
        <v>87</v>
      </c>
      <c r="F27" s="58" t="s">
        <v>42</v>
      </c>
      <c r="G27" s="45">
        <v>0</v>
      </c>
      <c r="H27" s="131">
        <f>IF(B$17=0,0,G27/B$17)</f>
        <v>0</v>
      </c>
      <c r="I27" s="92">
        <v>13</v>
      </c>
    </row>
    <row r="28" spans="1:17" x14ac:dyDescent="0.4">
      <c r="A28" s="56" t="s">
        <v>152</v>
      </c>
      <c r="B28" s="140">
        <v>92000</v>
      </c>
      <c r="C28" s="141"/>
      <c r="E28" s="61" t="s">
        <v>88</v>
      </c>
      <c r="F28" s="58" t="s">
        <v>43</v>
      </c>
      <c r="G28" s="45">
        <v>0</v>
      </c>
      <c r="H28" s="131">
        <f>IF(B$17=0,0,G28/B$17)</f>
        <v>0</v>
      </c>
      <c r="I28" s="92">
        <v>7</v>
      </c>
    </row>
    <row r="29" spans="1:17" x14ac:dyDescent="0.4">
      <c r="A29" s="55" t="s">
        <v>143</v>
      </c>
      <c r="B29" s="63">
        <v>0</v>
      </c>
      <c r="C29" s="40">
        <f>IF(B$3=0,0,B29/B$3)</f>
        <v>0</v>
      </c>
      <c r="E29" s="61" t="s">
        <v>89</v>
      </c>
      <c r="F29" s="58" t="s">
        <v>44</v>
      </c>
      <c r="G29" s="45">
        <v>0</v>
      </c>
      <c r="H29" s="131">
        <f>IF(B$17=0,0,G29/B$17)</f>
        <v>0</v>
      </c>
      <c r="I29" s="92">
        <v>5</v>
      </c>
    </row>
    <row r="30" spans="1:17" x14ac:dyDescent="0.4">
      <c r="E30" s="61" t="s">
        <v>91</v>
      </c>
      <c r="F30" s="58" t="s">
        <v>46</v>
      </c>
      <c r="G30" s="45">
        <v>0</v>
      </c>
      <c r="H30" s="131">
        <f>IF(B$17=0,0,G30/B$17)</f>
        <v>0</v>
      </c>
      <c r="I30" s="92">
        <v>5</v>
      </c>
    </row>
    <row r="31" spans="1:17" x14ac:dyDescent="0.4">
      <c r="E31" s="61" t="s">
        <v>92</v>
      </c>
      <c r="F31" s="58" t="s">
        <v>47</v>
      </c>
      <c r="G31" s="45">
        <v>0</v>
      </c>
      <c r="H31" s="131">
        <f>IF(B$17=0,0,G31/B$17)</f>
        <v>0</v>
      </c>
      <c r="I31" s="92">
        <v>10</v>
      </c>
    </row>
    <row r="32" spans="1:17" x14ac:dyDescent="0.4">
      <c r="E32" s="61" t="s">
        <v>93</v>
      </c>
      <c r="F32" s="58" t="s">
        <v>48</v>
      </c>
      <c r="G32" s="45">
        <v>0</v>
      </c>
      <c r="H32" s="131">
        <f>IF(B$17=0,0,G32/B$17)</f>
        <v>0</v>
      </c>
      <c r="I32" s="92">
        <v>7</v>
      </c>
    </row>
    <row r="33" spans="5:9" x14ac:dyDescent="0.4">
      <c r="E33" s="61" t="s">
        <v>94</v>
      </c>
      <c r="F33" s="58" t="s">
        <v>49</v>
      </c>
      <c r="G33" s="45">
        <v>0</v>
      </c>
      <c r="H33" s="131">
        <f>IF(B$17=0,0,G33/B$17)</f>
        <v>0</v>
      </c>
      <c r="I33" s="92">
        <v>7</v>
      </c>
    </row>
    <row r="34" spans="5:9" x14ac:dyDescent="0.4">
      <c r="E34" s="61" t="s">
        <v>95</v>
      </c>
      <c r="F34" s="58" t="s">
        <v>50</v>
      </c>
      <c r="G34" s="45">
        <v>0</v>
      </c>
      <c r="H34" s="131">
        <f>IF(B$17=0,0,G34/B$17)</f>
        <v>0</v>
      </c>
      <c r="I34" s="92">
        <v>1</v>
      </c>
    </row>
    <row r="35" spans="5:9" x14ac:dyDescent="0.4">
      <c r="E35" s="61" t="s">
        <v>96</v>
      </c>
      <c r="F35" s="58" t="s">
        <v>51</v>
      </c>
      <c r="G35" s="45">
        <v>0</v>
      </c>
      <c r="H35" s="131">
        <f>IF(B$17=0,0,G35/B$17)</f>
        <v>0</v>
      </c>
      <c r="I35" s="92">
        <v>4</v>
      </c>
    </row>
    <row r="36" spans="5:9" x14ac:dyDescent="0.4">
      <c r="E36" s="61" t="s">
        <v>97</v>
      </c>
      <c r="F36" s="58" t="s">
        <v>52</v>
      </c>
      <c r="G36" s="45">
        <v>0</v>
      </c>
      <c r="H36" s="131">
        <f>IF(B$17=0,0,G36/B$17)</f>
        <v>0</v>
      </c>
      <c r="I36" s="92">
        <v>1</v>
      </c>
    </row>
    <row r="37" spans="5:9" x14ac:dyDescent="0.4">
      <c r="E37" s="61" t="s">
        <v>99</v>
      </c>
      <c r="F37" s="58" t="s">
        <v>54</v>
      </c>
      <c r="G37" s="45">
        <v>0</v>
      </c>
      <c r="H37" s="131">
        <f>IF(B$17=0,0,G37/B$17)</f>
        <v>0</v>
      </c>
      <c r="I37" s="92">
        <v>1</v>
      </c>
    </row>
    <row r="38" spans="5:9" x14ac:dyDescent="0.4">
      <c r="E38" s="61" t="s">
        <v>100</v>
      </c>
      <c r="F38" s="58" t="s">
        <v>55</v>
      </c>
      <c r="G38" s="45">
        <v>0</v>
      </c>
      <c r="H38" s="131">
        <f>IF(B$17=0,0,G38/B$17)</f>
        <v>0</v>
      </c>
      <c r="I38" s="92">
        <v>1</v>
      </c>
    </row>
    <row r="39" spans="5:9" x14ac:dyDescent="0.4">
      <c r="E39" s="61" t="s">
        <v>101</v>
      </c>
      <c r="F39" s="58" t="s">
        <v>56</v>
      </c>
      <c r="G39" s="45">
        <v>0</v>
      </c>
      <c r="H39" s="131">
        <f>IF(B$17=0,0,G39/B$17)</f>
        <v>0</v>
      </c>
      <c r="I39" s="92">
        <v>1</v>
      </c>
    </row>
    <row r="40" spans="5:9" x14ac:dyDescent="0.4">
      <c r="E40" s="61" t="s">
        <v>102</v>
      </c>
      <c r="F40" s="58" t="s">
        <v>57</v>
      </c>
      <c r="G40" s="45">
        <v>0</v>
      </c>
      <c r="H40" s="131">
        <f>IF(B$17=0,0,G40/B$17)</f>
        <v>0</v>
      </c>
      <c r="I40" s="92">
        <v>3</v>
      </c>
    </row>
    <row r="41" spans="5:9" x14ac:dyDescent="0.4">
      <c r="E41" s="61" t="s">
        <v>103</v>
      </c>
      <c r="F41" s="58" t="s">
        <v>58</v>
      </c>
      <c r="G41" s="45">
        <v>0</v>
      </c>
      <c r="H41" s="131">
        <f>IF(B$17=0,0,G41/B$17)</f>
        <v>0</v>
      </c>
      <c r="I41" s="92">
        <v>1</v>
      </c>
    </row>
    <row r="42" spans="5:9" x14ac:dyDescent="0.4">
      <c r="E42" s="61" t="s">
        <v>104</v>
      </c>
      <c r="F42" s="58" t="s">
        <v>59</v>
      </c>
      <c r="G42" s="45">
        <v>0</v>
      </c>
      <c r="H42" s="131">
        <f>IF(B$17=0,0,G42/B$17)</f>
        <v>0</v>
      </c>
      <c r="I42" s="92">
        <v>1</v>
      </c>
    </row>
    <row r="43" spans="5:9" x14ac:dyDescent="0.4">
      <c r="E43" s="61" t="s">
        <v>105</v>
      </c>
      <c r="F43" s="58" t="s">
        <v>60</v>
      </c>
      <c r="G43" s="45">
        <v>0</v>
      </c>
      <c r="H43" s="131">
        <f>IF(B$17=0,0,G43/B$17)</f>
        <v>0</v>
      </c>
      <c r="I43" s="92">
        <v>1</v>
      </c>
    </row>
    <row r="44" spans="5:9" x14ac:dyDescent="0.4">
      <c r="E44" s="61" t="s">
        <v>106</v>
      </c>
      <c r="F44" s="58" t="s">
        <v>113</v>
      </c>
      <c r="G44" s="45">
        <v>0</v>
      </c>
      <c r="H44" s="131">
        <f>IF(B$17=0,0,G44/B$17)</f>
        <v>0</v>
      </c>
      <c r="I44" s="92">
        <v>1</v>
      </c>
    </row>
    <row r="45" spans="5:9" x14ac:dyDescent="0.4">
      <c r="E45" s="61" t="s">
        <v>107</v>
      </c>
      <c r="F45" s="58" t="s">
        <v>114</v>
      </c>
      <c r="G45" s="45">
        <v>0</v>
      </c>
      <c r="H45" s="131">
        <f>IF(B$17=0,0,G45/B$17)</f>
        <v>0</v>
      </c>
      <c r="I45" s="92">
        <v>3</v>
      </c>
    </row>
    <row r="46" spans="5:9" x14ac:dyDescent="0.4">
      <c r="E46" s="61" t="s">
        <v>108</v>
      </c>
      <c r="F46" s="58" t="s">
        <v>115</v>
      </c>
      <c r="G46" s="45">
        <v>0</v>
      </c>
      <c r="H46" s="131">
        <f>IF(B$17=0,0,G46/B$17)</f>
        <v>0</v>
      </c>
      <c r="I46" s="92">
        <v>1</v>
      </c>
    </row>
    <row r="47" spans="5:9" x14ac:dyDescent="0.4">
      <c r="E47" s="61" t="s">
        <v>109</v>
      </c>
      <c r="F47" s="58" t="s">
        <v>61</v>
      </c>
      <c r="G47" s="45">
        <v>0</v>
      </c>
      <c r="H47" s="131">
        <f>IF(B$17=0,0,G47/B$17)</f>
        <v>0</v>
      </c>
      <c r="I47" s="92">
        <v>1</v>
      </c>
    </row>
    <row r="48" spans="5:9" x14ac:dyDescent="0.4">
      <c r="E48" s="61" t="s">
        <v>110</v>
      </c>
      <c r="F48" s="58" t="s">
        <v>62</v>
      </c>
      <c r="G48" s="45">
        <v>0</v>
      </c>
      <c r="H48" s="131">
        <f>IF(B$17=0,0,G48/B$17)</f>
        <v>0</v>
      </c>
      <c r="I48" s="92">
        <v>1</v>
      </c>
    </row>
    <row r="49" spans="5:9" x14ac:dyDescent="0.4">
      <c r="E49" s="61" t="s">
        <v>111</v>
      </c>
      <c r="F49" s="58" t="s">
        <v>63</v>
      </c>
      <c r="G49" s="45">
        <v>0</v>
      </c>
      <c r="H49" s="131">
        <f>IF(B$17=0,0,G49/B$17)</f>
        <v>0</v>
      </c>
      <c r="I49" s="92">
        <v>1</v>
      </c>
    </row>
    <row r="50" spans="5:9" x14ac:dyDescent="0.4">
      <c r="E50" s="61" t="s">
        <v>112</v>
      </c>
      <c r="F50" s="58" t="s">
        <v>64</v>
      </c>
      <c r="G50" s="45">
        <v>0</v>
      </c>
      <c r="H50" s="131">
        <f>IF(B$17=0,0,G50/B$17)</f>
        <v>0</v>
      </c>
      <c r="I50" s="92">
        <v>1</v>
      </c>
    </row>
    <row r="51" spans="5:9" x14ac:dyDescent="0.4">
      <c r="E51" s="134" t="s">
        <v>180</v>
      </c>
      <c r="F51" s="135" t="s">
        <v>181</v>
      </c>
      <c r="G51" s="46">
        <v>0</v>
      </c>
      <c r="H51" s="136">
        <f>IF(B$17=0,0,G51/B$17)</f>
        <v>0</v>
      </c>
      <c r="I51" s="137">
        <v>8</v>
      </c>
    </row>
    <row r="52" spans="5:9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BC5B7-28FD-497B-B891-A54BCA6EC528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200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21</v>
      </c>
      <c r="C2" s="149"/>
      <c r="E2" s="60" t="s">
        <v>73</v>
      </c>
      <c r="F2" s="57" t="s">
        <v>28</v>
      </c>
      <c r="G2" s="44">
        <v>48</v>
      </c>
      <c r="H2" s="130">
        <f>IF(B$17=0,0,G2/B$17)</f>
        <v>0.7384615384615385</v>
      </c>
      <c r="I2" s="91">
        <v>2</v>
      </c>
      <c r="K2" s="34">
        <v>0</v>
      </c>
      <c r="L2" s="96">
        <v>0</v>
      </c>
      <c r="N2" s="112" t="s">
        <v>132</v>
      </c>
      <c r="O2" s="119">
        <f t="shared" ref="O2:O7" si="0">IF(P2=0,0,Q2/P2)</f>
        <v>-1095.2380952380952</v>
      </c>
      <c r="P2" s="116">
        <v>21</v>
      </c>
      <c r="Q2" s="100">
        <v>-23000</v>
      </c>
    </row>
    <row r="3" spans="1:17" x14ac:dyDescent="0.4">
      <c r="A3" s="53" t="s">
        <v>8</v>
      </c>
      <c r="B3" s="150">
        <v>191</v>
      </c>
      <c r="C3" s="151"/>
      <c r="E3" s="61" t="s">
        <v>67</v>
      </c>
      <c r="F3" s="58" t="s">
        <v>23</v>
      </c>
      <c r="G3" s="45">
        <v>34</v>
      </c>
      <c r="H3" s="131">
        <f>IF(B$17=0,0,G3/B$17)</f>
        <v>0.52307692307692311</v>
      </c>
      <c r="I3" s="92">
        <v>13</v>
      </c>
      <c r="K3" s="36">
        <v>1</v>
      </c>
      <c r="L3" s="97">
        <v>-12.5</v>
      </c>
      <c r="N3" s="113" t="s">
        <v>133</v>
      </c>
      <c r="O3" s="120">
        <f t="shared" si="0"/>
        <v>2014.2857142857142</v>
      </c>
      <c r="P3" s="117">
        <v>21</v>
      </c>
      <c r="Q3" s="101">
        <v>42300</v>
      </c>
    </row>
    <row r="4" spans="1:17" x14ac:dyDescent="0.4">
      <c r="A4" s="53" t="s">
        <v>6</v>
      </c>
      <c r="B4" s="152">
        <v>82.799999999999983</v>
      </c>
      <c r="C4" s="153"/>
      <c r="E4" s="61" t="s">
        <v>65</v>
      </c>
      <c r="F4" s="58" t="s">
        <v>21</v>
      </c>
      <c r="G4" s="45">
        <v>29</v>
      </c>
      <c r="H4" s="131">
        <f>IF(B$17=0,0,G4/B$17)</f>
        <v>0.44615384615384618</v>
      </c>
      <c r="I4" s="92">
        <v>11</v>
      </c>
      <c r="K4" s="36">
        <v>2</v>
      </c>
      <c r="L4" s="97">
        <v>-28.1</v>
      </c>
      <c r="N4" s="113" t="s">
        <v>134</v>
      </c>
      <c r="O4" s="120">
        <f t="shared" si="0"/>
        <v>-6390</v>
      </c>
      <c r="P4" s="117">
        <v>20</v>
      </c>
      <c r="Q4" s="101">
        <v>-127800</v>
      </c>
    </row>
    <row r="5" spans="1:17" x14ac:dyDescent="0.4">
      <c r="A5" s="53" t="s">
        <v>7</v>
      </c>
      <c r="B5" s="154">
        <f>IF(B$2=0,0,B$4/B$2)</f>
        <v>3.9428571428571422</v>
      </c>
      <c r="C5" s="155"/>
      <c r="E5" s="61" t="s">
        <v>69</v>
      </c>
      <c r="F5" s="58" t="s">
        <v>12</v>
      </c>
      <c r="G5" s="45">
        <v>23</v>
      </c>
      <c r="H5" s="131">
        <f>IF(B$17=0,0,G5/B$17)</f>
        <v>0.35384615384615387</v>
      </c>
      <c r="I5" s="92">
        <v>4</v>
      </c>
      <c r="K5" s="36">
        <v>3</v>
      </c>
      <c r="L5" s="97">
        <v>-20.400000000000002</v>
      </c>
      <c r="N5" s="113" t="s">
        <v>135</v>
      </c>
      <c r="O5" s="120">
        <f t="shared" si="0"/>
        <v>-755</v>
      </c>
      <c r="P5" s="117">
        <v>20</v>
      </c>
      <c r="Q5" s="101">
        <v>-15100</v>
      </c>
    </row>
    <row r="6" spans="1:17" x14ac:dyDescent="0.4">
      <c r="A6" s="53" t="s">
        <v>1</v>
      </c>
      <c r="B6" s="144">
        <f>IF(B$2=0,0,(B$7*1+B$8*2+B$9*3)/B$2)</f>
        <v>1.8571428571428572</v>
      </c>
      <c r="C6" s="145"/>
      <c r="E6" s="61" t="s">
        <v>245</v>
      </c>
      <c r="F6" s="58" t="s">
        <v>246</v>
      </c>
      <c r="G6" s="45">
        <v>21</v>
      </c>
      <c r="H6" s="131">
        <f>IF(B$17=0,0,G6/B$17)</f>
        <v>0.32307692307692309</v>
      </c>
      <c r="I6" s="92">
        <v>13</v>
      </c>
      <c r="K6" s="36">
        <v>4</v>
      </c>
      <c r="L6" s="97">
        <v>19.399999999999995</v>
      </c>
      <c r="N6" s="113" t="s">
        <v>136</v>
      </c>
      <c r="O6" s="120">
        <f t="shared" si="0"/>
        <v>9129.4117647058829</v>
      </c>
      <c r="P6" s="117">
        <v>17</v>
      </c>
      <c r="Q6" s="101">
        <v>155200</v>
      </c>
    </row>
    <row r="7" spans="1:17" x14ac:dyDescent="0.4">
      <c r="A7" s="53" t="s">
        <v>2</v>
      </c>
      <c r="B7" s="45">
        <v>7</v>
      </c>
      <c r="C7" s="37">
        <f t="shared" ref="C7:C12" si="1">IF(B$2=0,0,B7/B$2)</f>
        <v>0.33333333333333331</v>
      </c>
      <c r="E7" s="61" t="s">
        <v>68</v>
      </c>
      <c r="F7" s="58" t="s">
        <v>24</v>
      </c>
      <c r="G7" s="45">
        <v>20</v>
      </c>
      <c r="H7" s="131">
        <f>IF(B$17=0,0,G7/B$17)</f>
        <v>0.30769230769230771</v>
      </c>
      <c r="I7" s="92">
        <v>7</v>
      </c>
      <c r="K7" s="36">
        <v>5</v>
      </c>
      <c r="L7" s="97">
        <v>-16.100000000000005</v>
      </c>
      <c r="N7" s="114" t="s">
        <v>137</v>
      </c>
      <c r="O7" s="121">
        <f t="shared" si="0"/>
        <v>2073.3333333333335</v>
      </c>
      <c r="P7" s="118">
        <v>15</v>
      </c>
      <c r="Q7" s="102">
        <v>31100</v>
      </c>
    </row>
    <row r="8" spans="1:17" x14ac:dyDescent="0.4">
      <c r="A8" s="53" t="s">
        <v>3</v>
      </c>
      <c r="B8" s="45">
        <v>10</v>
      </c>
      <c r="C8" s="37">
        <f t="shared" si="1"/>
        <v>0.47619047619047616</v>
      </c>
      <c r="E8" s="61" t="s">
        <v>70</v>
      </c>
      <c r="F8" s="58" t="s">
        <v>25</v>
      </c>
      <c r="G8" s="45">
        <v>10</v>
      </c>
      <c r="H8" s="131">
        <f>IF(B$17=0,0,G8/B$17)</f>
        <v>0.15384615384615385</v>
      </c>
      <c r="I8" s="92">
        <v>8</v>
      </c>
      <c r="K8" s="36">
        <v>6</v>
      </c>
      <c r="L8" s="97">
        <v>-16.300000000000004</v>
      </c>
      <c r="N8" s="41"/>
      <c r="O8" s="125"/>
      <c r="P8" s="109"/>
      <c r="Q8" s="107"/>
    </row>
    <row r="9" spans="1:17" x14ac:dyDescent="0.4">
      <c r="A9" s="54" t="s">
        <v>4</v>
      </c>
      <c r="B9" s="46">
        <v>4</v>
      </c>
      <c r="C9" s="38">
        <f t="shared" si="1"/>
        <v>0.19047619047619047</v>
      </c>
      <c r="E9" s="61" t="s">
        <v>90</v>
      </c>
      <c r="F9" s="58" t="s">
        <v>45</v>
      </c>
      <c r="G9" s="45">
        <v>10</v>
      </c>
      <c r="H9" s="131">
        <f>IF(B$17=0,0,G9/B$17)</f>
        <v>0.15384615384615385</v>
      </c>
      <c r="I9" s="92">
        <v>5</v>
      </c>
      <c r="K9" s="36">
        <v>7</v>
      </c>
      <c r="L9" s="97">
        <v>-25.300000000000004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3</v>
      </c>
      <c r="C10" s="38">
        <f t="shared" si="1"/>
        <v>0.14285714285714285</v>
      </c>
      <c r="E10" s="61" t="s">
        <v>87</v>
      </c>
      <c r="F10" s="58" t="s">
        <v>42</v>
      </c>
      <c r="G10" s="45">
        <v>7</v>
      </c>
      <c r="H10" s="131">
        <f>IF(B$17=0,0,G10/B$17)</f>
        <v>0.1076923076923077</v>
      </c>
      <c r="I10" s="92">
        <v>3</v>
      </c>
      <c r="K10" s="36">
        <v>8</v>
      </c>
      <c r="L10" s="97">
        <v>9.5999999999999943</v>
      </c>
      <c r="N10" s="112" t="s">
        <v>164</v>
      </c>
      <c r="O10" s="122">
        <f>IF(P10=0,0,Q10/P10)</f>
        <v>-10.033333333333333</v>
      </c>
      <c r="P10" s="116">
        <v>6</v>
      </c>
      <c r="Q10" s="104">
        <v>-60.2</v>
      </c>
    </row>
    <row r="11" spans="1:17" x14ac:dyDescent="0.4">
      <c r="A11" s="54" t="s">
        <v>140</v>
      </c>
      <c r="B11" s="46">
        <v>1</v>
      </c>
      <c r="C11" s="38">
        <f t="shared" si="1"/>
        <v>4.7619047619047616E-2</v>
      </c>
      <c r="E11" s="61" t="s">
        <v>66</v>
      </c>
      <c r="F11" s="58" t="s">
        <v>22</v>
      </c>
      <c r="G11" s="45">
        <v>5</v>
      </c>
      <c r="H11" s="131">
        <f>IF(B$17=0,0,G11/B$17)</f>
        <v>7.6923076923076927E-2</v>
      </c>
      <c r="I11" s="92">
        <v>11</v>
      </c>
      <c r="K11" s="36">
        <v>9</v>
      </c>
      <c r="L11" s="97">
        <v>18.099999999999994</v>
      </c>
      <c r="N11" s="113" t="s">
        <v>165</v>
      </c>
      <c r="O11" s="123">
        <f>IF(P11=0,0,Q11/P11)</f>
        <v>9.5285714285714267</v>
      </c>
      <c r="P11" s="117">
        <v>7</v>
      </c>
      <c r="Q11" s="105">
        <v>66.699999999999989</v>
      </c>
    </row>
    <row r="12" spans="1:17" x14ac:dyDescent="0.4">
      <c r="A12" s="55" t="s">
        <v>160</v>
      </c>
      <c r="B12" s="47">
        <v>2</v>
      </c>
      <c r="C12" s="40">
        <f t="shared" si="1"/>
        <v>9.5238095238095233E-2</v>
      </c>
      <c r="E12" s="61" t="s">
        <v>79</v>
      </c>
      <c r="F12" s="58" t="s">
        <v>34</v>
      </c>
      <c r="G12" s="45">
        <v>4</v>
      </c>
      <c r="H12" s="131">
        <f>IF(B$17=0,0,G12/B$17)</f>
        <v>6.1538461538461542E-2</v>
      </c>
      <c r="I12" s="92">
        <v>3</v>
      </c>
      <c r="K12" s="36">
        <v>10</v>
      </c>
      <c r="L12" s="97">
        <v>109.39999999999999</v>
      </c>
      <c r="N12" s="114" t="s">
        <v>166</v>
      </c>
      <c r="O12" s="124">
        <f>IF(P12=0,0,Q12/P12)</f>
        <v>9.5374999999999996</v>
      </c>
      <c r="P12" s="118">
        <v>8</v>
      </c>
      <c r="Q12" s="106">
        <v>76.3</v>
      </c>
    </row>
    <row r="13" spans="1:17" x14ac:dyDescent="0.4">
      <c r="A13" s="56" t="s">
        <v>122</v>
      </c>
      <c r="B13" s="48">
        <v>48</v>
      </c>
      <c r="C13" s="42">
        <f>IF(B$3=0,0,B13/B$3)</f>
        <v>0.2513089005235602</v>
      </c>
      <c r="E13" s="61" t="s">
        <v>71</v>
      </c>
      <c r="F13" s="58" t="s">
        <v>26</v>
      </c>
      <c r="G13" s="45">
        <v>3</v>
      </c>
      <c r="H13" s="131">
        <f>IF(B$17=0,0,G13/B$17)</f>
        <v>4.6153846153846156E-2</v>
      </c>
      <c r="I13" s="92">
        <v>12</v>
      </c>
      <c r="K13" s="36">
        <v>11</v>
      </c>
      <c r="L13" s="97">
        <v>100.69999999999999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62</v>
      </c>
      <c r="C14" s="37">
        <f>IF(B$3=0,0,B14/B$3)</f>
        <v>0.32460732984293195</v>
      </c>
      <c r="E14" s="61" t="s">
        <v>78</v>
      </c>
      <c r="F14" s="58" t="s">
        <v>33</v>
      </c>
      <c r="G14" s="45">
        <v>3</v>
      </c>
      <c r="H14" s="131">
        <f>IF(B$17=0,0,G14/B$17)</f>
        <v>4.6153846153846156E-2</v>
      </c>
      <c r="I14" s="92">
        <v>1</v>
      </c>
      <c r="K14" s="36">
        <v>12</v>
      </c>
      <c r="L14" s="97">
        <v>45.599999999999987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29</v>
      </c>
      <c r="C15" s="35">
        <f>IF(B$13=0,0,B15/B$13)</f>
        <v>0.60416666666666663</v>
      </c>
      <c r="E15" s="61" t="s">
        <v>84</v>
      </c>
      <c r="F15" s="58" t="s">
        <v>39</v>
      </c>
      <c r="G15" s="45">
        <v>3</v>
      </c>
      <c r="H15" s="131">
        <f>IF(B$17=0,0,G15/B$17)</f>
        <v>4.6153846153846156E-2</v>
      </c>
      <c r="I15" s="92">
        <v>8</v>
      </c>
      <c r="K15" s="36">
        <v>13</v>
      </c>
      <c r="L15" s="97">
        <v>83.299999999999983</v>
      </c>
      <c r="N15" s="112" t="s">
        <v>173</v>
      </c>
      <c r="O15" s="122">
        <f>IF(P15=0,0,Q15/P15)</f>
        <v>59.70000000000001</v>
      </c>
      <c r="P15" s="116">
        <v>3</v>
      </c>
      <c r="Q15" s="104">
        <v>179.10000000000002</v>
      </c>
    </row>
    <row r="16" spans="1:17" x14ac:dyDescent="0.4">
      <c r="A16" s="52" t="s">
        <v>125</v>
      </c>
      <c r="B16" s="44">
        <v>27</v>
      </c>
      <c r="C16" s="35">
        <f>IF(B$14=0,0,B16/B$14)</f>
        <v>0.43548387096774194</v>
      </c>
      <c r="E16" s="61" t="s">
        <v>72</v>
      </c>
      <c r="F16" s="58" t="s">
        <v>27</v>
      </c>
      <c r="G16" s="45">
        <v>1</v>
      </c>
      <c r="H16" s="131">
        <f>IF(B$17=0,0,G16/B$17)</f>
        <v>1.5384615384615385E-2</v>
      </c>
      <c r="I16" s="92">
        <v>12</v>
      </c>
      <c r="K16" s="36">
        <v>14</v>
      </c>
      <c r="L16" s="97">
        <v>114.99999999999999</v>
      </c>
      <c r="N16" s="113" t="s">
        <v>271</v>
      </c>
      <c r="O16" s="123">
        <f>IF(P16=0,0,Q16/P16)</f>
        <v>31.72</v>
      </c>
      <c r="P16" s="117">
        <v>5</v>
      </c>
      <c r="Q16" s="105">
        <v>158.6</v>
      </c>
    </row>
    <row r="17" spans="1:17" x14ac:dyDescent="0.4">
      <c r="A17" s="52" t="s">
        <v>10</v>
      </c>
      <c r="B17" s="44">
        <f>B19+B18</f>
        <v>65</v>
      </c>
      <c r="C17" s="35">
        <f>IF(B$3=0,0,B17/B$3)</f>
        <v>0.34031413612565448</v>
      </c>
      <c r="E17" s="61" t="s">
        <v>80</v>
      </c>
      <c r="F17" s="58" t="s">
        <v>35</v>
      </c>
      <c r="G17" s="45">
        <v>1</v>
      </c>
      <c r="H17" s="131">
        <f>IF(B$17=0,0,G17/B$17)</f>
        <v>1.5384615384615385E-2</v>
      </c>
      <c r="I17" s="92">
        <v>7</v>
      </c>
      <c r="K17" s="36">
        <v>15</v>
      </c>
      <c r="L17" s="97">
        <v>157.69999999999999</v>
      </c>
      <c r="N17" s="113" t="s">
        <v>172</v>
      </c>
      <c r="O17" s="123">
        <f>IF(P17=0,0,Q17/P17)</f>
        <v>16.62857142857143</v>
      </c>
      <c r="P17" s="117">
        <v>7</v>
      </c>
      <c r="Q17" s="105">
        <v>116.4</v>
      </c>
    </row>
    <row r="18" spans="1:17" x14ac:dyDescent="0.4">
      <c r="A18" s="53" t="s">
        <v>12</v>
      </c>
      <c r="B18" s="45">
        <v>36</v>
      </c>
      <c r="C18" s="37">
        <f>IF(B$17=0,0,B18/B$17)</f>
        <v>0.55384615384615388</v>
      </c>
      <c r="E18" s="61" t="s">
        <v>82</v>
      </c>
      <c r="F18" s="58" t="s">
        <v>37</v>
      </c>
      <c r="G18" s="45">
        <v>1</v>
      </c>
      <c r="H18" s="131">
        <f>IF(B$17=0,0,G18/B$17)</f>
        <v>1.5384615384615385E-2</v>
      </c>
      <c r="I18" s="92">
        <v>11</v>
      </c>
      <c r="K18" s="36">
        <v>16</v>
      </c>
      <c r="L18" s="97">
        <v>99.6</v>
      </c>
      <c r="N18" s="113" t="s">
        <v>127</v>
      </c>
      <c r="O18" s="123">
        <f>IF(P18=0,0,Q18/P18)</f>
        <v>13.45</v>
      </c>
      <c r="P18" s="117">
        <v>2</v>
      </c>
      <c r="Q18" s="105">
        <v>26.9</v>
      </c>
    </row>
    <row r="19" spans="1:17" x14ac:dyDescent="0.4">
      <c r="A19" s="53" t="s">
        <v>11</v>
      </c>
      <c r="B19" s="45">
        <v>29</v>
      </c>
      <c r="C19" s="37">
        <f>IF(B$17=0,0,B19/B$17)</f>
        <v>0.44615384615384618</v>
      </c>
      <c r="E19" s="61" t="s">
        <v>74</v>
      </c>
      <c r="F19" s="58" t="s">
        <v>29</v>
      </c>
      <c r="G19" s="45">
        <v>0</v>
      </c>
      <c r="H19" s="131">
        <f>IF(B$17=0,0,G19/B$17)</f>
        <v>0</v>
      </c>
      <c r="I19" s="92">
        <v>9</v>
      </c>
      <c r="K19" s="36">
        <v>17</v>
      </c>
      <c r="L19" s="97">
        <v>112.39999999999999</v>
      </c>
      <c r="N19" s="113" t="s">
        <v>171</v>
      </c>
      <c r="O19" s="123">
        <f>IF(P19=0,0,Q19/P19)</f>
        <v>12.75</v>
      </c>
      <c r="P19" s="117">
        <v>6</v>
      </c>
      <c r="Q19" s="105">
        <v>76.5</v>
      </c>
    </row>
    <row r="20" spans="1:17" x14ac:dyDescent="0.4">
      <c r="A20" s="53" t="s">
        <v>13</v>
      </c>
      <c r="B20" s="45">
        <v>31</v>
      </c>
      <c r="C20" s="37">
        <f>IF(B$3=0,0,B20/B$3)</f>
        <v>0.16230366492146597</v>
      </c>
      <c r="E20" s="61" t="s">
        <v>75</v>
      </c>
      <c r="F20" s="58" t="s">
        <v>30</v>
      </c>
      <c r="G20" s="45">
        <v>0</v>
      </c>
      <c r="H20" s="131">
        <f>IF(B$17=0,0,G20/B$17)</f>
        <v>0</v>
      </c>
      <c r="I20" s="92">
        <v>7</v>
      </c>
      <c r="K20" s="36">
        <v>18</v>
      </c>
      <c r="L20" s="97">
        <v>45.399999999999991</v>
      </c>
      <c r="N20" s="113" t="s">
        <v>128</v>
      </c>
      <c r="O20" s="123">
        <f>IF(P20=0,0,Q20/P20)</f>
        <v>5.5000000000000018</v>
      </c>
      <c r="P20" s="117">
        <v>2</v>
      </c>
      <c r="Q20" s="105">
        <v>11.000000000000004</v>
      </c>
    </row>
    <row r="21" spans="1:17" x14ac:dyDescent="0.4">
      <c r="A21" s="53" t="s">
        <v>191</v>
      </c>
      <c r="B21" s="45">
        <v>7</v>
      </c>
      <c r="C21" s="133">
        <v>0</v>
      </c>
      <c r="E21" s="61" t="s">
        <v>76</v>
      </c>
      <c r="F21" s="58" t="s">
        <v>31</v>
      </c>
      <c r="G21" s="45">
        <v>0</v>
      </c>
      <c r="H21" s="131">
        <f>IF(B$17=0,0,G21/B$17)</f>
        <v>0</v>
      </c>
      <c r="I21" s="92">
        <v>9</v>
      </c>
      <c r="K21" s="36">
        <v>19</v>
      </c>
      <c r="L21" s="97">
        <v>94.299999999999983</v>
      </c>
      <c r="N21" s="113" t="s">
        <v>177</v>
      </c>
      <c r="O21" s="123">
        <f>IF(P21=0,0,Q21/P21)</f>
        <v>-9.3545454545454518</v>
      </c>
      <c r="P21" s="117">
        <v>11</v>
      </c>
      <c r="Q21" s="105">
        <v>-102.89999999999998</v>
      </c>
    </row>
    <row r="22" spans="1:17" x14ac:dyDescent="0.4">
      <c r="A22" s="53" t="s">
        <v>192</v>
      </c>
      <c r="B22" s="45">
        <v>14</v>
      </c>
      <c r="C22" s="133">
        <v>0</v>
      </c>
      <c r="E22" s="61" t="s">
        <v>77</v>
      </c>
      <c r="F22" s="58" t="s">
        <v>32</v>
      </c>
      <c r="G22" s="45">
        <v>0</v>
      </c>
      <c r="H22" s="131">
        <f>IF(B$17=0,0,G22/B$17)</f>
        <v>0</v>
      </c>
      <c r="I22" s="92">
        <v>1</v>
      </c>
      <c r="K22" s="36">
        <v>20</v>
      </c>
      <c r="L22" s="97">
        <v>80.999999999999986</v>
      </c>
      <c r="N22" s="113" t="s">
        <v>129</v>
      </c>
      <c r="O22" s="123">
        <f>IF(P22=0,0,Q22/P22)</f>
        <v>-36.199999999999996</v>
      </c>
      <c r="P22" s="117">
        <v>6</v>
      </c>
      <c r="Q22" s="105">
        <v>-217.2</v>
      </c>
    </row>
    <row r="23" spans="1:17" x14ac:dyDescent="0.4">
      <c r="A23" s="53" t="s">
        <v>5</v>
      </c>
      <c r="B23" s="49">
        <f>IF(B$17=0,0,C23/B$17)</f>
        <v>8000</v>
      </c>
      <c r="C23" s="39">
        <v>520000</v>
      </c>
      <c r="E23" s="61" t="s">
        <v>81</v>
      </c>
      <c r="F23" s="58" t="s">
        <v>36</v>
      </c>
      <c r="G23" s="45">
        <v>0</v>
      </c>
      <c r="H23" s="131">
        <f>IF(B$17=0,0,G23/B$17)</f>
        <v>0</v>
      </c>
      <c r="I23" s="92">
        <v>1</v>
      </c>
      <c r="K23" s="36">
        <v>21</v>
      </c>
      <c r="L23" s="97">
        <v>82.799999999999983</v>
      </c>
    </row>
    <row r="24" spans="1:17" x14ac:dyDescent="0.4">
      <c r="A24" s="53" t="s">
        <v>14</v>
      </c>
      <c r="B24" s="49">
        <f>IF(B$20=0,0,C24/B$20)</f>
        <v>-8645.1612903225814</v>
      </c>
      <c r="C24" s="39">
        <v>-268000</v>
      </c>
      <c r="E24" s="61" t="s">
        <v>83</v>
      </c>
      <c r="F24" s="58" t="s">
        <v>38</v>
      </c>
      <c r="G24" s="45">
        <v>0</v>
      </c>
      <c r="H24" s="131">
        <f>IF(B$17=0,0,G24/B$17)</f>
        <v>0</v>
      </c>
      <c r="I24" s="92">
        <v>1</v>
      </c>
    </row>
    <row r="25" spans="1:17" x14ac:dyDescent="0.4">
      <c r="A25" s="53" t="s">
        <v>305</v>
      </c>
      <c r="B25" s="49">
        <f>IF($B$17-B$16=0,0,C25/($B$17-B$16))</f>
        <v>9202.6315789473683</v>
      </c>
      <c r="C25" s="39">
        <v>349700</v>
      </c>
      <c r="E25" s="61" t="s">
        <v>85</v>
      </c>
      <c r="F25" s="58" t="s">
        <v>40</v>
      </c>
      <c r="G25" s="45">
        <v>0</v>
      </c>
      <c r="H25" s="131">
        <f>IF(B$17=0,0,G25/B$17)</f>
        <v>0</v>
      </c>
      <c r="I25" s="92">
        <v>6</v>
      </c>
    </row>
    <row r="26" spans="1:17" x14ac:dyDescent="0.4">
      <c r="A26" s="55" t="s">
        <v>304</v>
      </c>
      <c r="B26" s="50">
        <f>IF(B$16=0,0,C26/B$16)</f>
        <v>6307.4074074074078</v>
      </c>
      <c r="C26" s="43">
        <v>170300</v>
      </c>
      <c r="E26" s="61" t="s">
        <v>86</v>
      </c>
      <c r="F26" s="58" t="s">
        <v>41</v>
      </c>
      <c r="G26" s="45">
        <v>0</v>
      </c>
      <c r="H26" s="131">
        <f>IF(B$17=0,0,G26/B$17)</f>
        <v>0</v>
      </c>
      <c r="I26" s="92">
        <v>5</v>
      </c>
    </row>
    <row r="27" spans="1:17" x14ac:dyDescent="0.4">
      <c r="A27" s="88" t="s">
        <v>142</v>
      </c>
      <c r="B27" s="142">
        <v>4</v>
      </c>
      <c r="C27" s="143"/>
      <c r="E27" s="61" t="s">
        <v>88</v>
      </c>
      <c r="F27" s="58" t="s">
        <v>43</v>
      </c>
      <c r="G27" s="45">
        <v>0</v>
      </c>
      <c r="H27" s="131">
        <f>IF(B$17=0,0,G27/B$17)</f>
        <v>0</v>
      </c>
      <c r="I27" s="92">
        <v>7</v>
      </c>
    </row>
    <row r="28" spans="1:17" x14ac:dyDescent="0.4">
      <c r="A28" s="56" t="s">
        <v>152</v>
      </c>
      <c r="B28" s="140">
        <v>106300</v>
      </c>
      <c r="C28" s="141"/>
      <c r="E28" s="61" t="s">
        <v>89</v>
      </c>
      <c r="F28" s="58" t="s">
        <v>44</v>
      </c>
      <c r="G28" s="45">
        <v>0</v>
      </c>
      <c r="H28" s="131">
        <f>IF(B$17=0,0,G28/B$17)</f>
        <v>0</v>
      </c>
      <c r="I28" s="92">
        <v>5</v>
      </c>
    </row>
    <row r="29" spans="1:17" x14ac:dyDescent="0.4">
      <c r="A29" s="55" t="s">
        <v>143</v>
      </c>
      <c r="B29" s="63">
        <v>2</v>
      </c>
      <c r="C29" s="40">
        <f>IF(B$3=0,0,B29/B$3)</f>
        <v>1.0471204188481676E-2</v>
      </c>
      <c r="E29" s="61" t="s">
        <v>91</v>
      </c>
      <c r="F29" s="58" t="s">
        <v>46</v>
      </c>
      <c r="G29" s="45">
        <v>0</v>
      </c>
      <c r="H29" s="131">
        <f>IF(B$17=0,0,G29/B$17)</f>
        <v>0</v>
      </c>
      <c r="I29" s="92">
        <v>5</v>
      </c>
    </row>
    <row r="30" spans="1:17" x14ac:dyDescent="0.4">
      <c r="E30" s="61" t="s">
        <v>92</v>
      </c>
      <c r="F30" s="58" t="s">
        <v>47</v>
      </c>
      <c r="G30" s="45">
        <v>0</v>
      </c>
      <c r="H30" s="131">
        <f>IF(B$17=0,0,G30/B$17)</f>
        <v>0</v>
      </c>
      <c r="I30" s="92">
        <v>10</v>
      </c>
    </row>
    <row r="31" spans="1:17" x14ac:dyDescent="0.4">
      <c r="E31" s="61" t="s">
        <v>93</v>
      </c>
      <c r="F31" s="58" t="s">
        <v>48</v>
      </c>
      <c r="G31" s="45">
        <v>0</v>
      </c>
      <c r="H31" s="131">
        <f>IF(B$17=0,0,G31/B$17)</f>
        <v>0</v>
      </c>
      <c r="I31" s="92">
        <v>7</v>
      </c>
    </row>
    <row r="32" spans="1:17" x14ac:dyDescent="0.4">
      <c r="E32" s="61" t="s">
        <v>94</v>
      </c>
      <c r="F32" s="58" t="s">
        <v>49</v>
      </c>
      <c r="G32" s="45">
        <v>0</v>
      </c>
      <c r="H32" s="131">
        <f>IF(B$17=0,0,G32/B$17)</f>
        <v>0</v>
      </c>
      <c r="I32" s="92">
        <v>7</v>
      </c>
    </row>
    <row r="33" spans="5:9" x14ac:dyDescent="0.4">
      <c r="E33" s="61" t="s">
        <v>95</v>
      </c>
      <c r="F33" s="58" t="s">
        <v>50</v>
      </c>
      <c r="G33" s="45">
        <v>0</v>
      </c>
      <c r="H33" s="131">
        <f>IF(B$17=0,0,G33/B$17)</f>
        <v>0</v>
      </c>
      <c r="I33" s="92">
        <v>1</v>
      </c>
    </row>
    <row r="34" spans="5:9" x14ac:dyDescent="0.4">
      <c r="E34" s="61" t="s">
        <v>96</v>
      </c>
      <c r="F34" s="58" t="s">
        <v>51</v>
      </c>
      <c r="G34" s="45">
        <v>0</v>
      </c>
      <c r="H34" s="131">
        <f>IF(B$17=0,0,G34/B$17)</f>
        <v>0</v>
      </c>
      <c r="I34" s="92">
        <v>4</v>
      </c>
    </row>
    <row r="35" spans="5:9" x14ac:dyDescent="0.4">
      <c r="E35" s="61" t="s">
        <v>97</v>
      </c>
      <c r="F35" s="58" t="s">
        <v>52</v>
      </c>
      <c r="G35" s="45">
        <v>0</v>
      </c>
      <c r="H35" s="131">
        <f>IF(B$17=0,0,G35/B$17)</f>
        <v>0</v>
      </c>
      <c r="I35" s="92">
        <v>1</v>
      </c>
    </row>
    <row r="36" spans="5:9" x14ac:dyDescent="0.4">
      <c r="E36" s="61" t="s">
        <v>98</v>
      </c>
      <c r="F36" s="58" t="s">
        <v>53</v>
      </c>
      <c r="G36" s="45">
        <v>0</v>
      </c>
      <c r="H36" s="131">
        <f>IF(B$17=0,0,G36/B$17)</f>
        <v>0</v>
      </c>
      <c r="I36" s="92">
        <v>3</v>
      </c>
    </row>
    <row r="37" spans="5:9" x14ac:dyDescent="0.4">
      <c r="E37" s="61" t="s">
        <v>99</v>
      </c>
      <c r="F37" s="58" t="s">
        <v>54</v>
      </c>
      <c r="G37" s="45">
        <v>0</v>
      </c>
      <c r="H37" s="131">
        <f>IF(B$17=0,0,G37/B$17)</f>
        <v>0</v>
      </c>
      <c r="I37" s="92">
        <v>1</v>
      </c>
    </row>
    <row r="38" spans="5:9" x14ac:dyDescent="0.4">
      <c r="E38" s="61" t="s">
        <v>100</v>
      </c>
      <c r="F38" s="58" t="s">
        <v>55</v>
      </c>
      <c r="G38" s="45">
        <v>0</v>
      </c>
      <c r="H38" s="131">
        <f>IF(B$17=0,0,G38/B$17)</f>
        <v>0</v>
      </c>
      <c r="I38" s="92">
        <v>1</v>
      </c>
    </row>
    <row r="39" spans="5:9" x14ac:dyDescent="0.4">
      <c r="E39" s="61" t="s">
        <v>101</v>
      </c>
      <c r="F39" s="58" t="s">
        <v>56</v>
      </c>
      <c r="G39" s="45">
        <v>0</v>
      </c>
      <c r="H39" s="131">
        <f>IF(B$17=0,0,G39/B$17)</f>
        <v>0</v>
      </c>
      <c r="I39" s="92">
        <v>1</v>
      </c>
    </row>
    <row r="40" spans="5:9" x14ac:dyDescent="0.4">
      <c r="E40" s="61" t="s">
        <v>102</v>
      </c>
      <c r="F40" s="58" t="s">
        <v>57</v>
      </c>
      <c r="G40" s="45">
        <v>0</v>
      </c>
      <c r="H40" s="131">
        <f>IF(B$17=0,0,G40/B$17)</f>
        <v>0</v>
      </c>
      <c r="I40" s="92">
        <v>3</v>
      </c>
    </row>
    <row r="41" spans="5:9" x14ac:dyDescent="0.4">
      <c r="E41" s="61" t="s">
        <v>103</v>
      </c>
      <c r="F41" s="58" t="s">
        <v>58</v>
      </c>
      <c r="G41" s="45">
        <v>0</v>
      </c>
      <c r="H41" s="131">
        <f>IF(B$17=0,0,G41/B$17)</f>
        <v>0</v>
      </c>
      <c r="I41" s="92">
        <v>1</v>
      </c>
    </row>
    <row r="42" spans="5:9" x14ac:dyDescent="0.4">
      <c r="E42" s="61" t="s">
        <v>104</v>
      </c>
      <c r="F42" s="58" t="s">
        <v>59</v>
      </c>
      <c r="G42" s="45">
        <v>0</v>
      </c>
      <c r="H42" s="131">
        <f>IF(B$17=0,0,G42/B$17)</f>
        <v>0</v>
      </c>
      <c r="I42" s="92">
        <v>1</v>
      </c>
    </row>
    <row r="43" spans="5:9" x14ac:dyDescent="0.4">
      <c r="E43" s="61" t="s">
        <v>105</v>
      </c>
      <c r="F43" s="58" t="s">
        <v>60</v>
      </c>
      <c r="G43" s="45">
        <v>0</v>
      </c>
      <c r="H43" s="131">
        <f>IF(B$17=0,0,G43/B$17)</f>
        <v>0</v>
      </c>
      <c r="I43" s="92">
        <v>1</v>
      </c>
    </row>
    <row r="44" spans="5:9" x14ac:dyDescent="0.4">
      <c r="E44" s="61" t="s">
        <v>106</v>
      </c>
      <c r="F44" s="58" t="s">
        <v>113</v>
      </c>
      <c r="G44" s="45">
        <v>0</v>
      </c>
      <c r="H44" s="131">
        <f>IF(B$17=0,0,G44/B$17)</f>
        <v>0</v>
      </c>
      <c r="I44" s="92">
        <v>1</v>
      </c>
    </row>
    <row r="45" spans="5:9" x14ac:dyDescent="0.4">
      <c r="E45" s="61" t="s">
        <v>107</v>
      </c>
      <c r="F45" s="58" t="s">
        <v>114</v>
      </c>
      <c r="G45" s="45">
        <v>0</v>
      </c>
      <c r="H45" s="131">
        <f>IF(B$17=0,0,G45/B$17)</f>
        <v>0</v>
      </c>
      <c r="I45" s="92">
        <v>3</v>
      </c>
    </row>
    <row r="46" spans="5:9" x14ac:dyDescent="0.4">
      <c r="E46" s="61" t="s">
        <v>108</v>
      </c>
      <c r="F46" s="58" t="s">
        <v>115</v>
      </c>
      <c r="G46" s="45">
        <v>0</v>
      </c>
      <c r="H46" s="131">
        <f>IF(B$17=0,0,G46/B$17)</f>
        <v>0</v>
      </c>
      <c r="I46" s="92">
        <v>1</v>
      </c>
    </row>
    <row r="47" spans="5:9" x14ac:dyDescent="0.4">
      <c r="E47" s="61" t="s">
        <v>109</v>
      </c>
      <c r="F47" s="58" t="s">
        <v>61</v>
      </c>
      <c r="G47" s="45">
        <v>0</v>
      </c>
      <c r="H47" s="131">
        <f>IF(B$17=0,0,G47/B$17)</f>
        <v>0</v>
      </c>
      <c r="I47" s="92">
        <v>1</v>
      </c>
    </row>
    <row r="48" spans="5:9" x14ac:dyDescent="0.4">
      <c r="E48" s="61" t="s">
        <v>110</v>
      </c>
      <c r="F48" s="58" t="s">
        <v>62</v>
      </c>
      <c r="G48" s="45">
        <v>0</v>
      </c>
      <c r="H48" s="131">
        <f>IF(B$17=0,0,G48/B$17)</f>
        <v>0</v>
      </c>
      <c r="I48" s="92">
        <v>1</v>
      </c>
    </row>
    <row r="49" spans="5:9" x14ac:dyDescent="0.4">
      <c r="E49" s="61" t="s">
        <v>111</v>
      </c>
      <c r="F49" s="58" t="s">
        <v>63</v>
      </c>
      <c r="G49" s="45">
        <v>0</v>
      </c>
      <c r="H49" s="131">
        <f>IF(B$17=0,0,G49/B$17)</f>
        <v>0</v>
      </c>
      <c r="I49" s="92">
        <v>1</v>
      </c>
    </row>
    <row r="50" spans="5:9" x14ac:dyDescent="0.4">
      <c r="E50" s="61" t="s">
        <v>112</v>
      </c>
      <c r="F50" s="58" t="s">
        <v>64</v>
      </c>
      <c r="G50" s="45">
        <v>0</v>
      </c>
      <c r="H50" s="131">
        <f>IF(B$17=0,0,G50/B$17)</f>
        <v>0</v>
      </c>
      <c r="I50" s="92">
        <v>1</v>
      </c>
    </row>
    <row r="51" spans="5:9" x14ac:dyDescent="0.4">
      <c r="E51" s="134" t="s">
        <v>180</v>
      </c>
      <c r="F51" s="135" t="s">
        <v>181</v>
      </c>
      <c r="G51" s="46">
        <v>0</v>
      </c>
      <c r="H51" s="136">
        <f>IF(B$17=0,0,G51/B$17)</f>
        <v>0</v>
      </c>
      <c r="I51" s="137">
        <v>8</v>
      </c>
    </row>
    <row r="52" spans="5:9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EFC3C-5B5B-4BE9-9EFD-38020297E7F8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222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1</v>
      </c>
      <c r="C2" s="149"/>
      <c r="E2" s="60" t="s">
        <v>67</v>
      </c>
      <c r="F2" s="57" t="s">
        <v>23</v>
      </c>
      <c r="G2" s="44">
        <v>3</v>
      </c>
      <c r="H2" s="130">
        <f>IF(B$17=0,0,G2/B$17)</f>
        <v>1.5</v>
      </c>
      <c r="I2" s="91">
        <v>1</v>
      </c>
      <c r="K2" s="34">
        <v>0</v>
      </c>
      <c r="L2" s="96">
        <v>0</v>
      </c>
      <c r="N2" s="112" t="s">
        <v>132</v>
      </c>
      <c r="O2" s="119">
        <f t="shared" ref="O2:O7" si="0">IF(P2=0,0,Q2/P2)</f>
        <v>1500</v>
      </c>
      <c r="P2" s="116">
        <v>1</v>
      </c>
      <c r="Q2" s="100">
        <v>1500</v>
      </c>
    </row>
    <row r="3" spans="1:17" x14ac:dyDescent="0.4">
      <c r="A3" s="53" t="s">
        <v>8</v>
      </c>
      <c r="B3" s="150">
        <v>13</v>
      </c>
      <c r="C3" s="151"/>
      <c r="E3" s="61" t="s">
        <v>65</v>
      </c>
      <c r="F3" s="58" t="s">
        <v>21</v>
      </c>
      <c r="G3" s="45">
        <v>1</v>
      </c>
      <c r="H3" s="131">
        <f>IF(B$17=0,0,G3/B$17)</f>
        <v>0.5</v>
      </c>
      <c r="I3" s="92">
        <v>7</v>
      </c>
      <c r="K3" s="36">
        <v>1</v>
      </c>
      <c r="L3" s="97">
        <v>13.3</v>
      </c>
      <c r="N3" s="113" t="s">
        <v>133</v>
      </c>
      <c r="O3" s="120">
        <f t="shared" si="0"/>
        <v>12500</v>
      </c>
      <c r="P3" s="117">
        <v>1</v>
      </c>
      <c r="Q3" s="101">
        <v>12500</v>
      </c>
    </row>
    <row r="4" spans="1:17" x14ac:dyDescent="0.4">
      <c r="A4" s="53" t="s">
        <v>6</v>
      </c>
      <c r="B4" s="152">
        <v>13.3</v>
      </c>
      <c r="C4" s="153"/>
      <c r="E4" s="61" t="s">
        <v>68</v>
      </c>
      <c r="F4" s="58" t="s">
        <v>24</v>
      </c>
      <c r="G4" s="45">
        <v>1</v>
      </c>
      <c r="H4" s="131">
        <f>IF(B$17=0,0,G4/B$17)</f>
        <v>0.5</v>
      </c>
      <c r="I4" s="92">
        <v>1</v>
      </c>
      <c r="N4" s="113" t="s">
        <v>134</v>
      </c>
      <c r="O4" s="120">
        <f t="shared" si="0"/>
        <v>-14000</v>
      </c>
      <c r="P4" s="117">
        <v>1</v>
      </c>
      <c r="Q4" s="101">
        <v>-14000</v>
      </c>
    </row>
    <row r="5" spans="1:17" x14ac:dyDescent="0.4">
      <c r="A5" s="53" t="s">
        <v>7</v>
      </c>
      <c r="B5" s="154">
        <f>IF(B$2=0,0,B$4/B$2)</f>
        <v>13.3</v>
      </c>
      <c r="C5" s="155"/>
      <c r="E5" s="61" t="s">
        <v>69</v>
      </c>
      <c r="F5" s="58" t="s">
        <v>12</v>
      </c>
      <c r="G5" s="45">
        <v>1</v>
      </c>
      <c r="H5" s="131">
        <f>IF(B$17=0,0,G5/B$17)</f>
        <v>0.5</v>
      </c>
      <c r="I5" s="92">
        <v>1</v>
      </c>
      <c r="N5" s="113" t="s">
        <v>135</v>
      </c>
      <c r="O5" s="120">
        <f t="shared" si="0"/>
        <v>-2800</v>
      </c>
      <c r="P5" s="117">
        <v>1</v>
      </c>
      <c r="Q5" s="101">
        <v>-2800</v>
      </c>
    </row>
    <row r="6" spans="1:17" x14ac:dyDescent="0.4">
      <c r="A6" s="53" t="s">
        <v>1</v>
      </c>
      <c r="B6" s="144">
        <f>IF(B$2=0,0,(B$7*1+B$8*2+B$9*3)/B$2)</f>
        <v>2</v>
      </c>
      <c r="C6" s="145"/>
      <c r="E6" s="61" t="s">
        <v>82</v>
      </c>
      <c r="F6" s="58" t="s">
        <v>37</v>
      </c>
      <c r="G6" s="45">
        <v>1</v>
      </c>
      <c r="H6" s="131">
        <f>IF(B$17=0,0,G6/B$17)</f>
        <v>0.5</v>
      </c>
      <c r="I6" s="92">
        <v>1</v>
      </c>
      <c r="N6" s="113" t="s">
        <v>136</v>
      </c>
      <c r="O6" s="120">
        <f t="shared" si="0"/>
        <v>16100</v>
      </c>
      <c r="P6" s="117">
        <v>1</v>
      </c>
      <c r="Q6" s="101">
        <v>16100</v>
      </c>
    </row>
    <row r="7" spans="1:17" x14ac:dyDescent="0.4">
      <c r="A7" s="53" t="s">
        <v>2</v>
      </c>
      <c r="B7" s="45">
        <v>0</v>
      </c>
      <c r="C7" s="37">
        <f t="shared" ref="C7:C12" si="1">IF(B$2=0,0,B7/B$2)</f>
        <v>0</v>
      </c>
      <c r="E7" s="61" t="s">
        <v>245</v>
      </c>
      <c r="F7" s="58" t="s">
        <v>246</v>
      </c>
      <c r="G7" s="45">
        <v>1</v>
      </c>
      <c r="H7" s="131">
        <f>IF(B$17=0,0,G7/B$17)</f>
        <v>0.5</v>
      </c>
      <c r="I7" s="92">
        <v>1</v>
      </c>
      <c r="N7" s="114" t="s">
        <v>137</v>
      </c>
      <c r="O7" s="121">
        <f t="shared" si="0"/>
        <v>0</v>
      </c>
      <c r="P7" s="118">
        <v>0</v>
      </c>
      <c r="Q7" s="102">
        <v>0</v>
      </c>
    </row>
    <row r="8" spans="1:17" x14ac:dyDescent="0.4">
      <c r="A8" s="53" t="s">
        <v>3</v>
      </c>
      <c r="B8" s="45">
        <v>1</v>
      </c>
      <c r="C8" s="37">
        <f t="shared" si="1"/>
        <v>1</v>
      </c>
      <c r="E8" s="61" t="s">
        <v>66</v>
      </c>
      <c r="F8" s="58" t="s">
        <v>22</v>
      </c>
      <c r="G8" s="45">
        <v>0</v>
      </c>
      <c r="H8" s="131">
        <f>IF(B$17=0,0,G8/B$17)</f>
        <v>0</v>
      </c>
      <c r="I8" s="92">
        <v>14</v>
      </c>
      <c r="N8" s="41"/>
      <c r="O8" s="125"/>
      <c r="P8" s="109"/>
      <c r="Q8" s="107"/>
    </row>
    <row r="9" spans="1:17" x14ac:dyDescent="0.4">
      <c r="A9" s="54" t="s">
        <v>4</v>
      </c>
      <c r="B9" s="46">
        <v>0</v>
      </c>
      <c r="C9" s="38">
        <f t="shared" si="1"/>
        <v>0</v>
      </c>
      <c r="E9" s="61" t="s">
        <v>70</v>
      </c>
      <c r="F9" s="58" t="s">
        <v>25</v>
      </c>
      <c r="G9" s="45">
        <v>0</v>
      </c>
      <c r="H9" s="131">
        <f>IF(B$17=0,0,G9/B$17)</f>
        <v>0</v>
      </c>
      <c r="I9" s="92">
        <v>15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0</v>
      </c>
      <c r="C10" s="38">
        <f t="shared" si="1"/>
        <v>0</v>
      </c>
      <c r="E10" s="61" t="s">
        <v>71</v>
      </c>
      <c r="F10" s="58" t="s">
        <v>26</v>
      </c>
      <c r="G10" s="45">
        <v>0</v>
      </c>
      <c r="H10" s="131">
        <f>IF(B$17=0,0,G10/B$17)</f>
        <v>0</v>
      </c>
      <c r="I10" s="92">
        <v>13</v>
      </c>
      <c r="N10" s="112" t="s">
        <v>164</v>
      </c>
      <c r="O10" s="122">
        <f>IF(P10=0,0,Q10/P10)</f>
        <v>0</v>
      </c>
      <c r="P10" s="116">
        <v>0</v>
      </c>
      <c r="Q10" s="104">
        <v>0</v>
      </c>
    </row>
    <row r="11" spans="1:17" x14ac:dyDescent="0.4">
      <c r="A11" s="54" t="s">
        <v>140</v>
      </c>
      <c r="B11" s="46">
        <v>0</v>
      </c>
      <c r="C11" s="38">
        <f t="shared" si="1"/>
        <v>0</v>
      </c>
      <c r="E11" s="61" t="s">
        <v>72</v>
      </c>
      <c r="F11" s="58" t="s">
        <v>27</v>
      </c>
      <c r="G11" s="45">
        <v>0</v>
      </c>
      <c r="H11" s="131">
        <f>IF(B$17=0,0,G11/B$17)</f>
        <v>0</v>
      </c>
      <c r="I11" s="92">
        <v>13</v>
      </c>
      <c r="N11" s="113" t="s">
        <v>165</v>
      </c>
      <c r="O11" s="123">
        <f>IF(P11=0,0,Q11/P11)</f>
        <v>13.3</v>
      </c>
      <c r="P11" s="117">
        <v>1</v>
      </c>
      <c r="Q11" s="105">
        <v>13.3</v>
      </c>
    </row>
    <row r="12" spans="1:17" x14ac:dyDescent="0.4">
      <c r="A12" s="55" t="s">
        <v>160</v>
      </c>
      <c r="B12" s="47">
        <v>0</v>
      </c>
      <c r="C12" s="40">
        <f t="shared" si="1"/>
        <v>0</v>
      </c>
      <c r="E12" s="61" t="s">
        <v>73</v>
      </c>
      <c r="F12" s="58" t="s">
        <v>28</v>
      </c>
      <c r="G12" s="45">
        <v>0</v>
      </c>
      <c r="H12" s="131">
        <f>IF(B$17=0,0,G12/B$17)</f>
        <v>0</v>
      </c>
      <c r="I12" s="92">
        <v>15</v>
      </c>
      <c r="N12" s="114" t="s">
        <v>166</v>
      </c>
      <c r="O12" s="124">
        <f>IF(P12=0,0,Q12/P12)</f>
        <v>0</v>
      </c>
      <c r="P12" s="118">
        <v>0</v>
      </c>
      <c r="Q12" s="106">
        <v>0</v>
      </c>
    </row>
    <row r="13" spans="1:17" x14ac:dyDescent="0.4">
      <c r="A13" s="56" t="s">
        <v>122</v>
      </c>
      <c r="B13" s="48">
        <v>3</v>
      </c>
      <c r="C13" s="42">
        <f>IF(B$3=0,0,B13/B$3)</f>
        <v>0.23076923076923078</v>
      </c>
      <c r="E13" s="61" t="s">
        <v>74</v>
      </c>
      <c r="F13" s="58" t="s">
        <v>29</v>
      </c>
      <c r="G13" s="45">
        <v>0</v>
      </c>
      <c r="H13" s="131">
        <f>IF(B$17=0,0,G13/B$17)</f>
        <v>0</v>
      </c>
      <c r="I13" s="92">
        <v>9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1</v>
      </c>
      <c r="C14" s="37">
        <f>IF(B$3=0,0,B14/B$3)</f>
        <v>7.6923076923076927E-2</v>
      </c>
      <c r="E14" s="61" t="s">
        <v>75</v>
      </c>
      <c r="F14" s="58" t="s">
        <v>30</v>
      </c>
      <c r="G14" s="45">
        <v>0</v>
      </c>
      <c r="H14" s="131">
        <f>IF(B$17=0,0,G14/B$17)</f>
        <v>0</v>
      </c>
      <c r="I14" s="92">
        <v>7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1</v>
      </c>
      <c r="C15" s="35">
        <f>IF(B$13=0,0,B15/B$13)</f>
        <v>0.33333333333333331</v>
      </c>
      <c r="E15" s="61" t="s">
        <v>76</v>
      </c>
      <c r="F15" s="58" t="s">
        <v>31</v>
      </c>
      <c r="G15" s="45">
        <v>0</v>
      </c>
      <c r="H15" s="131">
        <f>IF(B$17=0,0,G15/B$17)</f>
        <v>0</v>
      </c>
      <c r="I15" s="92">
        <v>9</v>
      </c>
      <c r="N15" s="112" t="s">
        <v>171</v>
      </c>
      <c r="O15" s="122">
        <f>IF(P15=0,0,Q15/P15)</f>
        <v>69.5</v>
      </c>
      <c r="P15" s="116">
        <v>1</v>
      </c>
      <c r="Q15" s="104">
        <v>69.5</v>
      </c>
    </row>
    <row r="16" spans="1:17" x14ac:dyDescent="0.4">
      <c r="A16" s="52" t="s">
        <v>125</v>
      </c>
      <c r="B16" s="44">
        <v>0</v>
      </c>
      <c r="C16" s="35">
        <f>IF(B$14=0,0,B16/B$14)</f>
        <v>0</v>
      </c>
      <c r="E16" s="61" t="s">
        <v>77</v>
      </c>
      <c r="F16" s="58" t="s">
        <v>32</v>
      </c>
      <c r="G16" s="45">
        <v>0</v>
      </c>
      <c r="H16" s="131">
        <f>IF(B$17=0,0,G16/B$17)</f>
        <v>0</v>
      </c>
      <c r="I16" s="92">
        <v>1</v>
      </c>
      <c r="N16" s="113" t="s">
        <v>127</v>
      </c>
      <c r="O16" s="123">
        <f>IF(P16=0,0,Q16/P16)</f>
        <v>-29.599999999999998</v>
      </c>
      <c r="P16" s="117">
        <v>1</v>
      </c>
      <c r="Q16" s="105">
        <v>-29.599999999999998</v>
      </c>
    </row>
    <row r="17" spans="1:9" x14ac:dyDescent="0.4">
      <c r="A17" s="52" t="s">
        <v>10</v>
      </c>
      <c r="B17" s="44">
        <f>B19+B18</f>
        <v>2</v>
      </c>
      <c r="C17" s="35">
        <f>IF(B$3=0,0,B17/B$3)</f>
        <v>0.15384615384615385</v>
      </c>
      <c r="E17" s="61" t="s">
        <v>78</v>
      </c>
      <c r="F17" s="58" t="s">
        <v>33</v>
      </c>
      <c r="G17" s="45">
        <v>0</v>
      </c>
      <c r="H17" s="131">
        <f>IF(B$17=0,0,G17/B$17)</f>
        <v>0</v>
      </c>
      <c r="I17" s="92">
        <v>9</v>
      </c>
    </row>
    <row r="18" spans="1:9" x14ac:dyDescent="0.4">
      <c r="A18" s="53" t="s">
        <v>12</v>
      </c>
      <c r="B18" s="45">
        <v>1</v>
      </c>
      <c r="C18" s="37">
        <f>IF(B$17=0,0,B18/B$17)</f>
        <v>0.5</v>
      </c>
      <c r="E18" s="61" t="s">
        <v>79</v>
      </c>
      <c r="F18" s="58" t="s">
        <v>34</v>
      </c>
      <c r="G18" s="45">
        <v>0</v>
      </c>
      <c r="H18" s="131">
        <f>IF(B$17=0,0,G18/B$17)</f>
        <v>0</v>
      </c>
      <c r="I18" s="92">
        <v>12</v>
      </c>
    </row>
    <row r="19" spans="1:9" x14ac:dyDescent="0.4">
      <c r="A19" s="53" t="s">
        <v>11</v>
      </c>
      <c r="B19" s="45">
        <v>1</v>
      </c>
      <c r="C19" s="37">
        <f>IF(B$17=0,0,B19/B$17)</f>
        <v>0.5</v>
      </c>
      <c r="E19" s="61" t="s">
        <v>80</v>
      </c>
      <c r="F19" s="58" t="s">
        <v>35</v>
      </c>
      <c r="G19" s="45">
        <v>0</v>
      </c>
      <c r="H19" s="131">
        <f>IF(B$17=0,0,G19/B$17)</f>
        <v>0</v>
      </c>
      <c r="I19" s="92">
        <v>12</v>
      </c>
    </row>
    <row r="20" spans="1:9" x14ac:dyDescent="0.4">
      <c r="A20" s="53" t="s">
        <v>13</v>
      </c>
      <c r="B20" s="45">
        <v>1</v>
      </c>
      <c r="C20" s="37">
        <f>IF(B$3=0,0,B20/B$3)</f>
        <v>7.6923076923076927E-2</v>
      </c>
      <c r="E20" s="61" t="s">
        <v>81</v>
      </c>
      <c r="F20" s="58" t="s">
        <v>36</v>
      </c>
      <c r="G20" s="45">
        <v>0</v>
      </c>
      <c r="H20" s="131">
        <f>IF(B$17=0,0,G20/B$17)</f>
        <v>0</v>
      </c>
      <c r="I20" s="92">
        <v>1</v>
      </c>
    </row>
    <row r="21" spans="1:9" x14ac:dyDescent="0.4">
      <c r="A21" s="53" t="s">
        <v>191</v>
      </c>
      <c r="B21" s="45">
        <v>1</v>
      </c>
      <c r="C21" s="133">
        <v>1</v>
      </c>
      <c r="E21" s="61" t="s">
        <v>83</v>
      </c>
      <c r="F21" s="58" t="s">
        <v>38</v>
      </c>
      <c r="G21" s="45">
        <v>0</v>
      </c>
      <c r="H21" s="131">
        <f>IF(B$17=0,0,G21/B$17)</f>
        <v>0</v>
      </c>
      <c r="I21" s="92">
        <v>1</v>
      </c>
    </row>
    <row r="22" spans="1:9" x14ac:dyDescent="0.4">
      <c r="A22" s="53" t="s">
        <v>192</v>
      </c>
      <c r="B22" s="45">
        <v>7</v>
      </c>
      <c r="C22" s="133">
        <v>5</v>
      </c>
      <c r="E22" s="61" t="s">
        <v>84</v>
      </c>
      <c r="F22" s="58" t="s">
        <v>39</v>
      </c>
      <c r="G22" s="45">
        <v>0</v>
      </c>
      <c r="H22" s="131">
        <f>IF(B$17=0,0,G22/B$17)</f>
        <v>0</v>
      </c>
      <c r="I22" s="92">
        <v>13</v>
      </c>
    </row>
    <row r="23" spans="1:9" x14ac:dyDescent="0.4">
      <c r="A23" s="53" t="s">
        <v>5</v>
      </c>
      <c r="B23" s="49">
        <f>IF(B$17=0,0,C23/B$17)</f>
        <v>13800</v>
      </c>
      <c r="C23" s="39">
        <v>27600</v>
      </c>
      <c r="E23" s="61" t="s">
        <v>85</v>
      </c>
      <c r="F23" s="58" t="s">
        <v>40</v>
      </c>
      <c r="G23" s="45">
        <v>0</v>
      </c>
      <c r="H23" s="131">
        <f>IF(B$17=0,0,G23/B$17)</f>
        <v>0</v>
      </c>
      <c r="I23" s="92">
        <v>6</v>
      </c>
    </row>
    <row r="24" spans="1:9" x14ac:dyDescent="0.4">
      <c r="A24" s="53" t="s">
        <v>14</v>
      </c>
      <c r="B24" s="49">
        <f>IF(B$20=0,0,C24/B$20)</f>
        <v>-12000</v>
      </c>
      <c r="C24" s="39">
        <v>-12000</v>
      </c>
      <c r="E24" s="61" t="s">
        <v>86</v>
      </c>
      <c r="F24" s="58" t="s">
        <v>41</v>
      </c>
      <c r="G24" s="45">
        <v>0</v>
      </c>
      <c r="H24" s="131">
        <f>IF(B$17=0,0,G24/B$17)</f>
        <v>0</v>
      </c>
      <c r="I24" s="92">
        <v>5</v>
      </c>
    </row>
    <row r="25" spans="1:9" x14ac:dyDescent="0.4">
      <c r="A25" s="53" t="s">
        <v>305</v>
      </c>
      <c r="B25" s="49">
        <f>IF($B$17-B$16=0,0,C25/($B$17-B$16))</f>
        <v>13800</v>
      </c>
      <c r="C25" s="39">
        <v>27600</v>
      </c>
      <c r="E25" s="61" t="s">
        <v>87</v>
      </c>
      <c r="F25" s="58" t="s">
        <v>42</v>
      </c>
      <c r="G25" s="45">
        <v>0</v>
      </c>
      <c r="H25" s="131">
        <f>IF(B$17=0,0,G25/B$17)</f>
        <v>0</v>
      </c>
      <c r="I25" s="92">
        <v>13</v>
      </c>
    </row>
    <row r="26" spans="1:9" x14ac:dyDescent="0.4">
      <c r="A26" s="55" t="s">
        <v>304</v>
      </c>
      <c r="B26" s="50">
        <f>IF(B$16=0,0,C26/B$16)</f>
        <v>0</v>
      </c>
      <c r="C26" s="43">
        <v>0</v>
      </c>
      <c r="E26" s="61" t="s">
        <v>88</v>
      </c>
      <c r="F26" s="58" t="s">
        <v>43</v>
      </c>
      <c r="G26" s="45">
        <v>0</v>
      </c>
      <c r="H26" s="131">
        <f>IF(B$17=0,0,G26/B$17)</f>
        <v>0</v>
      </c>
      <c r="I26" s="92">
        <v>7</v>
      </c>
    </row>
    <row r="27" spans="1:9" x14ac:dyDescent="0.4">
      <c r="A27" s="88" t="s">
        <v>142</v>
      </c>
      <c r="B27" s="142">
        <v>5</v>
      </c>
      <c r="C27" s="143"/>
      <c r="E27" s="61" t="s">
        <v>89</v>
      </c>
      <c r="F27" s="58" t="s">
        <v>44</v>
      </c>
      <c r="G27" s="45">
        <v>0</v>
      </c>
      <c r="H27" s="131">
        <f>IF(B$17=0,0,G27/B$17)</f>
        <v>0</v>
      </c>
      <c r="I27" s="92">
        <v>5</v>
      </c>
    </row>
    <row r="28" spans="1:9" x14ac:dyDescent="0.4">
      <c r="A28" s="56" t="s">
        <v>152</v>
      </c>
      <c r="B28" s="140">
        <v>48300</v>
      </c>
      <c r="C28" s="141"/>
      <c r="E28" s="61" t="s">
        <v>90</v>
      </c>
      <c r="F28" s="58" t="s">
        <v>45</v>
      </c>
      <c r="G28" s="45">
        <v>0</v>
      </c>
      <c r="H28" s="131">
        <f>IF(B$17=0,0,G28/B$17)</f>
        <v>0</v>
      </c>
      <c r="I28" s="92">
        <v>15</v>
      </c>
    </row>
    <row r="29" spans="1:9" x14ac:dyDescent="0.4">
      <c r="A29" s="55" t="s">
        <v>143</v>
      </c>
      <c r="B29" s="63">
        <v>0</v>
      </c>
      <c r="C29" s="40">
        <f>IF(B$3=0,0,B29/B$3)</f>
        <v>0</v>
      </c>
      <c r="E29" s="61" t="s">
        <v>91</v>
      </c>
      <c r="F29" s="58" t="s">
        <v>46</v>
      </c>
      <c r="G29" s="45">
        <v>0</v>
      </c>
      <c r="H29" s="131">
        <f>IF(B$17=0,0,G29/B$17)</f>
        <v>0</v>
      </c>
      <c r="I29" s="92">
        <v>5</v>
      </c>
    </row>
    <row r="30" spans="1:9" x14ac:dyDescent="0.4">
      <c r="E30" s="61" t="s">
        <v>92</v>
      </c>
      <c r="F30" s="58" t="s">
        <v>47</v>
      </c>
      <c r="G30" s="45">
        <v>0</v>
      </c>
      <c r="H30" s="131">
        <f>IF(B$17=0,0,G30/B$17)</f>
        <v>0</v>
      </c>
      <c r="I30" s="92">
        <v>10</v>
      </c>
    </row>
    <row r="31" spans="1:9" x14ac:dyDescent="0.4">
      <c r="E31" s="61" t="s">
        <v>93</v>
      </c>
      <c r="F31" s="58" t="s">
        <v>48</v>
      </c>
      <c r="G31" s="45">
        <v>0</v>
      </c>
      <c r="H31" s="131">
        <f>IF(B$17=0,0,G31/B$17)</f>
        <v>0</v>
      </c>
      <c r="I31" s="92">
        <v>7</v>
      </c>
    </row>
    <row r="32" spans="1:9" x14ac:dyDescent="0.4">
      <c r="E32" s="61" t="s">
        <v>94</v>
      </c>
      <c r="F32" s="58" t="s">
        <v>49</v>
      </c>
      <c r="G32" s="45">
        <v>0</v>
      </c>
      <c r="H32" s="131">
        <f>IF(B$17=0,0,G32/B$17)</f>
        <v>0</v>
      </c>
      <c r="I32" s="92">
        <v>7</v>
      </c>
    </row>
    <row r="33" spans="5:9" x14ac:dyDescent="0.4">
      <c r="E33" s="61" t="s">
        <v>95</v>
      </c>
      <c r="F33" s="58" t="s">
        <v>50</v>
      </c>
      <c r="G33" s="45">
        <v>0</v>
      </c>
      <c r="H33" s="131">
        <f>IF(B$17=0,0,G33/B$17)</f>
        <v>0</v>
      </c>
      <c r="I33" s="92">
        <v>1</v>
      </c>
    </row>
    <row r="34" spans="5:9" x14ac:dyDescent="0.4">
      <c r="E34" s="61" t="s">
        <v>96</v>
      </c>
      <c r="F34" s="58" t="s">
        <v>51</v>
      </c>
      <c r="G34" s="45">
        <v>0</v>
      </c>
      <c r="H34" s="131">
        <f>IF(B$17=0,0,G34/B$17)</f>
        <v>0</v>
      </c>
      <c r="I34" s="92">
        <v>4</v>
      </c>
    </row>
    <row r="35" spans="5:9" x14ac:dyDescent="0.4">
      <c r="E35" s="61" t="s">
        <v>97</v>
      </c>
      <c r="F35" s="58" t="s">
        <v>52</v>
      </c>
      <c r="G35" s="45">
        <v>0</v>
      </c>
      <c r="H35" s="131">
        <f>IF(B$17=0,0,G35/B$17)</f>
        <v>0</v>
      </c>
      <c r="I35" s="92">
        <v>1</v>
      </c>
    </row>
    <row r="36" spans="5:9" x14ac:dyDescent="0.4">
      <c r="E36" s="61" t="s">
        <v>98</v>
      </c>
      <c r="F36" s="58" t="s">
        <v>53</v>
      </c>
      <c r="G36" s="45">
        <v>0</v>
      </c>
      <c r="H36" s="131">
        <f>IF(B$17=0,0,G36/B$17)</f>
        <v>0</v>
      </c>
      <c r="I36" s="92">
        <v>3</v>
      </c>
    </row>
    <row r="37" spans="5:9" x14ac:dyDescent="0.4">
      <c r="E37" s="61" t="s">
        <v>99</v>
      </c>
      <c r="F37" s="58" t="s">
        <v>54</v>
      </c>
      <c r="G37" s="45">
        <v>0</v>
      </c>
      <c r="H37" s="131">
        <f>IF(B$17=0,0,G37/B$17)</f>
        <v>0</v>
      </c>
      <c r="I37" s="92">
        <v>1</v>
      </c>
    </row>
    <row r="38" spans="5:9" x14ac:dyDescent="0.4">
      <c r="E38" s="61" t="s">
        <v>100</v>
      </c>
      <c r="F38" s="58" t="s">
        <v>55</v>
      </c>
      <c r="G38" s="45">
        <v>0</v>
      </c>
      <c r="H38" s="131">
        <f>IF(B$17=0,0,G38/B$17)</f>
        <v>0</v>
      </c>
      <c r="I38" s="92">
        <v>1</v>
      </c>
    </row>
    <row r="39" spans="5:9" x14ac:dyDescent="0.4">
      <c r="E39" s="61" t="s">
        <v>101</v>
      </c>
      <c r="F39" s="58" t="s">
        <v>56</v>
      </c>
      <c r="G39" s="45">
        <v>0</v>
      </c>
      <c r="H39" s="131">
        <f>IF(B$17=0,0,G39/B$17)</f>
        <v>0</v>
      </c>
      <c r="I39" s="92">
        <v>1</v>
      </c>
    </row>
    <row r="40" spans="5:9" x14ac:dyDescent="0.4">
      <c r="E40" s="61" t="s">
        <v>102</v>
      </c>
      <c r="F40" s="58" t="s">
        <v>57</v>
      </c>
      <c r="G40" s="45">
        <v>0</v>
      </c>
      <c r="H40" s="131">
        <f>IF(B$17=0,0,G40/B$17)</f>
        <v>0</v>
      </c>
      <c r="I40" s="92">
        <v>3</v>
      </c>
    </row>
    <row r="41" spans="5:9" x14ac:dyDescent="0.4">
      <c r="E41" s="61" t="s">
        <v>103</v>
      </c>
      <c r="F41" s="58" t="s">
        <v>58</v>
      </c>
      <c r="G41" s="45">
        <v>0</v>
      </c>
      <c r="H41" s="131">
        <f>IF(B$17=0,0,G41/B$17)</f>
        <v>0</v>
      </c>
      <c r="I41" s="92">
        <v>1</v>
      </c>
    </row>
    <row r="42" spans="5:9" x14ac:dyDescent="0.4">
      <c r="E42" s="61" t="s">
        <v>104</v>
      </c>
      <c r="F42" s="58" t="s">
        <v>59</v>
      </c>
      <c r="G42" s="45">
        <v>0</v>
      </c>
      <c r="H42" s="131">
        <f>IF(B$17=0,0,G42/B$17)</f>
        <v>0</v>
      </c>
      <c r="I42" s="92">
        <v>1</v>
      </c>
    </row>
    <row r="43" spans="5:9" x14ac:dyDescent="0.4">
      <c r="E43" s="61" t="s">
        <v>105</v>
      </c>
      <c r="F43" s="58" t="s">
        <v>60</v>
      </c>
      <c r="G43" s="45">
        <v>0</v>
      </c>
      <c r="H43" s="131">
        <f>IF(B$17=0,0,G43/B$17)</f>
        <v>0</v>
      </c>
      <c r="I43" s="92">
        <v>1</v>
      </c>
    </row>
    <row r="44" spans="5:9" x14ac:dyDescent="0.4">
      <c r="E44" s="61" t="s">
        <v>106</v>
      </c>
      <c r="F44" s="58" t="s">
        <v>113</v>
      </c>
      <c r="G44" s="45">
        <v>0</v>
      </c>
      <c r="H44" s="131">
        <f>IF(B$17=0,0,G44/B$17)</f>
        <v>0</v>
      </c>
      <c r="I44" s="92">
        <v>1</v>
      </c>
    </row>
    <row r="45" spans="5:9" x14ac:dyDescent="0.4">
      <c r="E45" s="61" t="s">
        <v>107</v>
      </c>
      <c r="F45" s="58" t="s">
        <v>114</v>
      </c>
      <c r="G45" s="45">
        <v>0</v>
      </c>
      <c r="H45" s="131">
        <f>IF(B$17=0,0,G45/B$17)</f>
        <v>0</v>
      </c>
      <c r="I45" s="92">
        <v>3</v>
      </c>
    </row>
    <row r="46" spans="5:9" x14ac:dyDescent="0.4">
      <c r="E46" s="61" t="s">
        <v>108</v>
      </c>
      <c r="F46" s="58" t="s">
        <v>115</v>
      </c>
      <c r="G46" s="45">
        <v>0</v>
      </c>
      <c r="H46" s="131">
        <f>IF(B$17=0,0,G46/B$17)</f>
        <v>0</v>
      </c>
      <c r="I46" s="92">
        <v>1</v>
      </c>
    </row>
    <row r="47" spans="5:9" x14ac:dyDescent="0.4">
      <c r="E47" s="61" t="s">
        <v>109</v>
      </c>
      <c r="F47" s="58" t="s">
        <v>61</v>
      </c>
      <c r="G47" s="45">
        <v>0</v>
      </c>
      <c r="H47" s="131">
        <f>IF(B$17=0,0,G47/B$17)</f>
        <v>0</v>
      </c>
      <c r="I47" s="92">
        <v>1</v>
      </c>
    </row>
    <row r="48" spans="5:9" x14ac:dyDescent="0.4">
      <c r="E48" s="61" t="s">
        <v>110</v>
      </c>
      <c r="F48" s="58" t="s">
        <v>62</v>
      </c>
      <c r="G48" s="45">
        <v>0</v>
      </c>
      <c r="H48" s="131">
        <f>IF(B$17=0,0,G48/B$17)</f>
        <v>0</v>
      </c>
      <c r="I48" s="92">
        <v>1</v>
      </c>
    </row>
    <row r="49" spans="5:9" x14ac:dyDescent="0.4">
      <c r="E49" s="61" t="s">
        <v>111</v>
      </c>
      <c r="F49" s="58" t="s">
        <v>63</v>
      </c>
      <c r="G49" s="45">
        <v>0</v>
      </c>
      <c r="H49" s="131">
        <f>IF(B$17=0,0,G49/B$17)</f>
        <v>0</v>
      </c>
      <c r="I49" s="92">
        <v>1</v>
      </c>
    </row>
    <row r="50" spans="5:9" x14ac:dyDescent="0.4">
      <c r="E50" s="61" t="s">
        <v>112</v>
      </c>
      <c r="F50" s="58" t="s">
        <v>64</v>
      </c>
      <c r="G50" s="45">
        <v>0</v>
      </c>
      <c r="H50" s="131">
        <f>IF(B$17=0,0,G50/B$17)</f>
        <v>0</v>
      </c>
      <c r="I50" s="92">
        <v>1</v>
      </c>
    </row>
    <row r="51" spans="5:9" x14ac:dyDescent="0.4">
      <c r="E51" s="134" t="s">
        <v>180</v>
      </c>
      <c r="F51" s="135" t="s">
        <v>181</v>
      </c>
      <c r="G51" s="46">
        <v>0</v>
      </c>
      <c r="H51" s="136">
        <f>IF(B$17=0,0,G51/B$17)</f>
        <v>0</v>
      </c>
      <c r="I51" s="137">
        <v>8</v>
      </c>
    </row>
    <row r="52" spans="5:9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</row>
  </sheetData>
  <sortState xmlns:xlrd2="http://schemas.microsoft.com/office/spreadsheetml/2017/richdata2" ref="N15:Q16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DDBB-202F-4375-B497-0EADB84FAA2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223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6</v>
      </c>
      <c r="C2" s="149"/>
      <c r="E2" s="60" t="s">
        <v>67</v>
      </c>
      <c r="F2" s="57" t="s">
        <v>23</v>
      </c>
      <c r="G2" s="44">
        <v>16</v>
      </c>
      <c r="H2" s="130">
        <f>IF(B$17=0,0,G2/B$17)</f>
        <v>1</v>
      </c>
      <c r="I2" s="91">
        <v>2</v>
      </c>
      <c r="K2" s="34">
        <v>0</v>
      </c>
      <c r="L2" s="96">
        <v>0</v>
      </c>
      <c r="N2" s="112" t="s">
        <v>132</v>
      </c>
      <c r="O2" s="119">
        <f t="shared" ref="O2:O7" si="0">IF(P2=0,0,Q2/P2)</f>
        <v>-1083.3333333333333</v>
      </c>
      <c r="P2" s="116">
        <v>6</v>
      </c>
      <c r="Q2" s="100">
        <v>-6500</v>
      </c>
    </row>
    <row r="3" spans="1:17" x14ac:dyDescent="0.4">
      <c r="A3" s="53" t="s">
        <v>8</v>
      </c>
      <c r="B3" s="150">
        <v>46</v>
      </c>
      <c r="C3" s="151"/>
      <c r="E3" s="61" t="s">
        <v>73</v>
      </c>
      <c r="F3" s="58" t="s">
        <v>28</v>
      </c>
      <c r="G3" s="45">
        <v>14</v>
      </c>
      <c r="H3" s="131">
        <f>IF(B$17=0,0,G3/B$17)</f>
        <v>0.875</v>
      </c>
      <c r="I3" s="92">
        <v>1</v>
      </c>
      <c r="K3" s="36">
        <v>1</v>
      </c>
      <c r="L3" s="97">
        <v>-37</v>
      </c>
      <c r="N3" s="113" t="s">
        <v>133</v>
      </c>
      <c r="O3" s="120">
        <f t="shared" si="0"/>
        <v>10800</v>
      </c>
      <c r="P3" s="117">
        <v>6</v>
      </c>
      <c r="Q3" s="101">
        <v>64800</v>
      </c>
    </row>
    <row r="4" spans="1:17" x14ac:dyDescent="0.4">
      <c r="A4" s="53" t="s">
        <v>6</v>
      </c>
      <c r="B4" s="152">
        <v>100.39999999999999</v>
      </c>
      <c r="C4" s="153"/>
      <c r="E4" s="61" t="s">
        <v>245</v>
      </c>
      <c r="F4" s="58" t="s">
        <v>246</v>
      </c>
      <c r="G4" s="45">
        <v>6</v>
      </c>
      <c r="H4" s="131">
        <f>IF(B$17=0,0,G4/B$17)</f>
        <v>0.375</v>
      </c>
      <c r="I4" s="92">
        <v>11</v>
      </c>
      <c r="K4" s="36">
        <v>2</v>
      </c>
      <c r="L4" s="97">
        <v>-24.7</v>
      </c>
      <c r="N4" s="113" t="s">
        <v>134</v>
      </c>
      <c r="O4" s="120">
        <f t="shared" si="0"/>
        <v>-3000</v>
      </c>
      <c r="P4" s="117">
        <v>5</v>
      </c>
      <c r="Q4" s="101">
        <v>-15000</v>
      </c>
    </row>
    <row r="5" spans="1:17" x14ac:dyDescent="0.4">
      <c r="A5" s="53" t="s">
        <v>7</v>
      </c>
      <c r="B5" s="154">
        <f>IF(B$2=0,0,B$4/B$2)</f>
        <v>16.733333333333331</v>
      </c>
      <c r="C5" s="155"/>
      <c r="E5" s="61" t="s">
        <v>69</v>
      </c>
      <c r="F5" s="58" t="s">
        <v>12</v>
      </c>
      <c r="G5" s="45">
        <v>5</v>
      </c>
      <c r="H5" s="131">
        <f>IF(B$17=0,0,G5/B$17)</f>
        <v>0.3125</v>
      </c>
      <c r="I5" s="92">
        <v>7</v>
      </c>
      <c r="K5" s="36">
        <v>3</v>
      </c>
      <c r="L5" s="97">
        <v>14.500000000000004</v>
      </c>
      <c r="N5" s="113" t="s">
        <v>135</v>
      </c>
      <c r="O5" s="120">
        <f t="shared" si="0"/>
        <v>6360</v>
      </c>
      <c r="P5" s="117">
        <v>5</v>
      </c>
      <c r="Q5" s="101">
        <v>31800</v>
      </c>
    </row>
    <row r="6" spans="1:17" x14ac:dyDescent="0.4">
      <c r="A6" s="53" t="s">
        <v>1</v>
      </c>
      <c r="B6" s="144">
        <f>IF(B$2=0,0,(B$7*1+B$8*2+B$9*3)/B$2)</f>
        <v>1.8333333333333333</v>
      </c>
      <c r="C6" s="145"/>
      <c r="E6" s="61" t="s">
        <v>65</v>
      </c>
      <c r="F6" s="58" t="s">
        <v>21</v>
      </c>
      <c r="G6" s="45">
        <v>4</v>
      </c>
      <c r="H6" s="131">
        <f>IF(B$17=0,0,G6/B$17)</f>
        <v>0.25</v>
      </c>
      <c r="I6" s="92">
        <v>15</v>
      </c>
      <c r="K6" s="36">
        <v>4</v>
      </c>
      <c r="L6" s="97">
        <v>-37.200000000000003</v>
      </c>
      <c r="N6" s="113" t="s">
        <v>136</v>
      </c>
      <c r="O6" s="120">
        <f t="shared" si="0"/>
        <v>-50</v>
      </c>
      <c r="P6" s="117">
        <v>4</v>
      </c>
      <c r="Q6" s="101">
        <v>-200</v>
      </c>
    </row>
    <row r="7" spans="1:17" x14ac:dyDescent="0.4">
      <c r="A7" s="53" t="s">
        <v>2</v>
      </c>
      <c r="B7" s="45">
        <v>3</v>
      </c>
      <c r="C7" s="37">
        <f t="shared" ref="C7:C12" si="1">IF(B$2=0,0,B7/B$2)</f>
        <v>0.5</v>
      </c>
      <c r="E7" s="61" t="s">
        <v>68</v>
      </c>
      <c r="F7" s="58" t="s">
        <v>24</v>
      </c>
      <c r="G7" s="45">
        <v>4</v>
      </c>
      <c r="H7" s="131">
        <f>IF(B$17=0,0,G7/B$17)</f>
        <v>0.25</v>
      </c>
      <c r="I7" s="92">
        <v>9</v>
      </c>
      <c r="K7" s="36">
        <v>5</v>
      </c>
      <c r="L7" s="97">
        <v>39.899999999999991</v>
      </c>
      <c r="N7" s="114" t="s">
        <v>137</v>
      </c>
      <c r="O7" s="121">
        <f t="shared" si="0"/>
        <v>1833.3333333333333</v>
      </c>
      <c r="P7" s="118">
        <v>3</v>
      </c>
      <c r="Q7" s="102">
        <v>5500</v>
      </c>
    </row>
    <row r="8" spans="1:17" x14ac:dyDescent="0.4">
      <c r="A8" s="53" t="s">
        <v>3</v>
      </c>
      <c r="B8" s="45">
        <v>1</v>
      </c>
      <c r="C8" s="37">
        <f t="shared" si="1"/>
        <v>0.16666666666666666</v>
      </c>
      <c r="E8" s="61" t="s">
        <v>90</v>
      </c>
      <c r="F8" s="58" t="s">
        <v>45</v>
      </c>
      <c r="G8" s="45">
        <v>3</v>
      </c>
      <c r="H8" s="131">
        <f>IF(B$17=0,0,G8/B$17)</f>
        <v>0.1875</v>
      </c>
      <c r="I8" s="92">
        <v>2</v>
      </c>
      <c r="K8" s="36">
        <v>6</v>
      </c>
      <c r="L8" s="97">
        <v>100.39999999999999</v>
      </c>
      <c r="N8" s="41"/>
      <c r="O8" s="125"/>
      <c r="P8" s="109"/>
      <c r="Q8" s="107"/>
    </row>
    <row r="9" spans="1:17" x14ac:dyDescent="0.4">
      <c r="A9" s="54" t="s">
        <v>4</v>
      </c>
      <c r="B9" s="46">
        <v>2</v>
      </c>
      <c r="C9" s="38">
        <f t="shared" si="1"/>
        <v>0.33333333333333331</v>
      </c>
      <c r="E9" s="61" t="s">
        <v>72</v>
      </c>
      <c r="F9" s="58" t="s">
        <v>27</v>
      </c>
      <c r="G9" s="45">
        <v>2</v>
      </c>
      <c r="H9" s="131">
        <f>IF(B$17=0,0,G9/B$17)</f>
        <v>0.125</v>
      </c>
      <c r="I9" s="92">
        <v>2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0</v>
      </c>
      <c r="C10" s="38">
        <f t="shared" si="1"/>
        <v>0</v>
      </c>
      <c r="E10" s="61" t="s">
        <v>180</v>
      </c>
      <c r="F10" s="58" t="s">
        <v>181</v>
      </c>
      <c r="G10" s="45">
        <v>2</v>
      </c>
      <c r="H10" s="131">
        <f>IF(B$17=0,0,G10/B$17)</f>
        <v>0.125</v>
      </c>
      <c r="I10" s="92">
        <v>1</v>
      </c>
      <c r="N10" s="112" t="s">
        <v>164</v>
      </c>
      <c r="O10" s="122">
        <f>IF(P10=0,0,Q10/P10)</f>
        <v>-37</v>
      </c>
      <c r="P10" s="116">
        <v>1</v>
      </c>
      <c r="Q10" s="104">
        <v>-37</v>
      </c>
    </row>
    <row r="11" spans="1:17" x14ac:dyDescent="0.4">
      <c r="A11" s="54" t="s">
        <v>140</v>
      </c>
      <c r="B11" s="46">
        <v>2</v>
      </c>
      <c r="C11" s="38">
        <f t="shared" si="1"/>
        <v>0.33333333333333331</v>
      </c>
      <c r="E11" s="61" t="s">
        <v>66</v>
      </c>
      <c r="F11" s="58" t="s">
        <v>22</v>
      </c>
      <c r="G11" s="45">
        <v>1</v>
      </c>
      <c r="H11" s="131">
        <f>IF(B$17=0,0,G11/B$17)</f>
        <v>6.25E-2</v>
      </c>
      <c r="I11" s="92">
        <v>13</v>
      </c>
      <c r="N11" s="113" t="s">
        <v>165</v>
      </c>
      <c r="O11" s="123">
        <f>IF(P11=0,0,Q11/P11)</f>
        <v>58.933333333333337</v>
      </c>
      <c r="P11" s="117">
        <v>3</v>
      </c>
      <c r="Q11" s="105">
        <v>176.8</v>
      </c>
    </row>
    <row r="12" spans="1:17" x14ac:dyDescent="0.4">
      <c r="A12" s="55" t="s">
        <v>160</v>
      </c>
      <c r="B12" s="47">
        <v>1</v>
      </c>
      <c r="C12" s="40">
        <f t="shared" si="1"/>
        <v>0.16666666666666666</v>
      </c>
      <c r="E12" s="61" t="s">
        <v>70</v>
      </c>
      <c r="F12" s="58" t="s">
        <v>25</v>
      </c>
      <c r="G12" s="45">
        <v>1</v>
      </c>
      <c r="H12" s="131">
        <f>IF(B$17=0,0,G12/B$17)</f>
        <v>6.25E-2</v>
      </c>
      <c r="I12" s="92">
        <v>14</v>
      </c>
      <c r="N12" s="114" t="s">
        <v>166</v>
      </c>
      <c r="O12" s="124">
        <f>IF(P12=0,0,Q12/P12)</f>
        <v>-19.700000000000003</v>
      </c>
      <c r="P12" s="118">
        <v>2</v>
      </c>
      <c r="Q12" s="106">
        <v>-39.400000000000006</v>
      </c>
    </row>
    <row r="13" spans="1:17" x14ac:dyDescent="0.4">
      <c r="A13" s="56" t="s">
        <v>122</v>
      </c>
      <c r="B13" s="48">
        <v>7</v>
      </c>
      <c r="C13" s="42">
        <f>IF(B$3=0,0,B13/B$3)</f>
        <v>0.15217391304347827</v>
      </c>
      <c r="E13" s="61" t="s">
        <v>71</v>
      </c>
      <c r="F13" s="58" t="s">
        <v>26</v>
      </c>
      <c r="G13" s="45">
        <v>1</v>
      </c>
      <c r="H13" s="131">
        <f>IF(B$17=0,0,G13/B$17)</f>
        <v>6.25E-2</v>
      </c>
      <c r="I13" s="92">
        <v>10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17</v>
      </c>
      <c r="C14" s="37">
        <f>IF(B$3=0,0,B14/B$3)</f>
        <v>0.36956521739130432</v>
      </c>
      <c r="E14" s="61" t="s">
        <v>79</v>
      </c>
      <c r="F14" s="58" t="s">
        <v>34</v>
      </c>
      <c r="G14" s="45">
        <v>1</v>
      </c>
      <c r="H14" s="131">
        <f>IF(B$17=0,0,G14/B$17)</f>
        <v>6.25E-2</v>
      </c>
      <c r="I14" s="92">
        <v>2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5</v>
      </c>
      <c r="C15" s="35">
        <f>IF(B$13=0,0,B15/B$13)</f>
        <v>0.7142857142857143</v>
      </c>
      <c r="E15" s="61" t="s">
        <v>80</v>
      </c>
      <c r="F15" s="58" t="s">
        <v>35</v>
      </c>
      <c r="G15" s="45">
        <v>1</v>
      </c>
      <c r="H15" s="131">
        <f>IF(B$17=0,0,G15/B$17)</f>
        <v>6.25E-2</v>
      </c>
      <c r="I15" s="92">
        <v>1</v>
      </c>
      <c r="N15" s="112" t="s">
        <v>184</v>
      </c>
      <c r="O15" s="122">
        <f>IF(P15=0,0,Q15/P15)</f>
        <v>138.94999999999999</v>
      </c>
      <c r="P15" s="116">
        <v>2</v>
      </c>
      <c r="Q15" s="104">
        <v>277.89999999999998</v>
      </c>
    </row>
    <row r="16" spans="1:17" x14ac:dyDescent="0.4">
      <c r="A16" s="52" t="s">
        <v>125</v>
      </c>
      <c r="B16" s="44">
        <v>9</v>
      </c>
      <c r="C16" s="35">
        <f>IF(B$14=0,0,B16/B$14)</f>
        <v>0.52941176470588236</v>
      </c>
      <c r="E16" s="61" t="s">
        <v>84</v>
      </c>
      <c r="F16" s="58" t="s">
        <v>39</v>
      </c>
      <c r="G16" s="45">
        <v>1</v>
      </c>
      <c r="H16" s="131">
        <f>IF(B$17=0,0,G16/B$17)</f>
        <v>6.25E-2</v>
      </c>
      <c r="I16" s="92">
        <v>4</v>
      </c>
      <c r="N16" s="113" t="s">
        <v>172</v>
      </c>
      <c r="O16" s="123">
        <f>IF(P16=0,0,Q16/P16)</f>
        <v>34.866666666666667</v>
      </c>
      <c r="P16" s="117">
        <v>3</v>
      </c>
      <c r="Q16" s="105">
        <v>104.6</v>
      </c>
    </row>
    <row r="17" spans="1:17" x14ac:dyDescent="0.4">
      <c r="A17" s="52" t="s">
        <v>10</v>
      </c>
      <c r="B17" s="44">
        <f>B19+B18</f>
        <v>16</v>
      </c>
      <c r="C17" s="35">
        <f>IF(B$3=0,0,B17/B$3)</f>
        <v>0.34782608695652173</v>
      </c>
      <c r="E17" s="61" t="s">
        <v>74</v>
      </c>
      <c r="F17" s="58" t="s">
        <v>29</v>
      </c>
      <c r="G17" s="45">
        <v>0</v>
      </c>
      <c r="H17" s="131">
        <f>IF(B$17=0,0,G17/B$17)</f>
        <v>0</v>
      </c>
      <c r="I17" s="92">
        <v>9</v>
      </c>
      <c r="N17" s="113" t="s">
        <v>127</v>
      </c>
      <c r="O17" s="123">
        <f>IF(P17=0,0,Q17/P17)</f>
        <v>29.566666666666666</v>
      </c>
      <c r="P17" s="117">
        <v>3</v>
      </c>
      <c r="Q17" s="105">
        <v>88.7</v>
      </c>
    </row>
    <row r="18" spans="1:17" x14ac:dyDescent="0.4">
      <c r="A18" s="53" t="s">
        <v>12</v>
      </c>
      <c r="B18" s="45">
        <v>10</v>
      </c>
      <c r="C18" s="37">
        <f>IF(B$17=0,0,B18/B$17)</f>
        <v>0.625</v>
      </c>
      <c r="E18" s="61" t="s">
        <v>75</v>
      </c>
      <c r="F18" s="58" t="s">
        <v>30</v>
      </c>
      <c r="G18" s="45">
        <v>0</v>
      </c>
      <c r="H18" s="131">
        <f>IF(B$17=0,0,G18/B$17)</f>
        <v>0</v>
      </c>
      <c r="I18" s="92">
        <v>7</v>
      </c>
      <c r="N18" s="113" t="s">
        <v>129</v>
      </c>
      <c r="O18" s="123">
        <f>IF(P18=0,0,Q18/P18)</f>
        <v>-42.5</v>
      </c>
      <c r="P18" s="117">
        <v>4</v>
      </c>
      <c r="Q18" s="105">
        <v>-170</v>
      </c>
    </row>
    <row r="19" spans="1:17" x14ac:dyDescent="0.4">
      <c r="A19" s="53" t="s">
        <v>11</v>
      </c>
      <c r="B19" s="45">
        <v>6</v>
      </c>
      <c r="C19" s="37">
        <f>IF(B$17=0,0,B19/B$17)</f>
        <v>0.375</v>
      </c>
      <c r="E19" s="61" t="s">
        <v>76</v>
      </c>
      <c r="F19" s="58" t="s">
        <v>31</v>
      </c>
      <c r="G19" s="45">
        <v>0</v>
      </c>
      <c r="H19" s="131">
        <f>IF(B$17=0,0,G19/B$17)</f>
        <v>0</v>
      </c>
      <c r="I19" s="92">
        <v>9</v>
      </c>
    </row>
    <row r="20" spans="1:17" x14ac:dyDescent="0.4">
      <c r="A20" s="53" t="s">
        <v>13</v>
      </c>
      <c r="B20" s="45">
        <v>6</v>
      </c>
      <c r="C20" s="37">
        <f>IF(B$3=0,0,B20/B$3)</f>
        <v>0.13043478260869565</v>
      </c>
      <c r="E20" s="61" t="s">
        <v>77</v>
      </c>
      <c r="F20" s="58" t="s">
        <v>32</v>
      </c>
      <c r="G20" s="45">
        <v>0</v>
      </c>
      <c r="H20" s="131">
        <f>IF(B$17=0,0,G20/B$17)</f>
        <v>0</v>
      </c>
      <c r="I20" s="92">
        <v>1</v>
      </c>
    </row>
    <row r="21" spans="1:17" x14ac:dyDescent="0.4">
      <c r="A21" s="53" t="s">
        <v>191</v>
      </c>
      <c r="B21" s="45">
        <v>4</v>
      </c>
      <c r="C21" s="133">
        <v>2</v>
      </c>
      <c r="E21" s="61" t="s">
        <v>78</v>
      </c>
      <c r="F21" s="58" t="s">
        <v>33</v>
      </c>
      <c r="G21" s="45">
        <v>0</v>
      </c>
      <c r="H21" s="131">
        <f>IF(B$17=0,0,G21/B$17)</f>
        <v>0</v>
      </c>
      <c r="I21" s="92">
        <v>9</v>
      </c>
    </row>
    <row r="22" spans="1:17" x14ac:dyDescent="0.4">
      <c r="A22" s="53" t="s">
        <v>192</v>
      </c>
      <c r="B22" s="45">
        <v>16</v>
      </c>
      <c r="C22" s="133">
        <v>11</v>
      </c>
      <c r="E22" s="61" t="s">
        <v>81</v>
      </c>
      <c r="F22" s="58" t="s">
        <v>36</v>
      </c>
      <c r="G22" s="45">
        <v>0</v>
      </c>
      <c r="H22" s="131">
        <f>IF(B$17=0,0,G22/B$17)</f>
        <v>0</v>
      </c>
      <c r="I22" s="92">
        <v>1</v>
      </c>
    </row>
    <row r="23" spans="1:17" x14ac:dyDescent="0.4">
      <c r="A23" s="53" t="s">
        <v>5</v>
      </c>
      <c r="B23" s="49">
        <f>IF(B$17=0,0,C23/B$17)</f>
        <v>12143.75</v>
      </c>
      <c r="C23" s="39">
        <v>194300</v>
      </c>
      <c r="E23" s="61" t="s">
        <v>82</v>
      </c>
      <c r="F23" s="58" t="s">
        <v>37</v>
      </c>
      <c r="G23" s="45">
        <v>0</v>
      </c>
      <c r="H23" s="131">
        <f>IF(B$17=0,0,G23/B$17)</f>
        <v>0</v>
      </c>
      <c r="I23" s="92">
        <v>13</v>
      </c>
    </row>
    <row r="24" spans="1:17" x14ac:dyDescent="0.4">
      <c r="A24" s="53" t="s">
        <v>14</v>
      </c>
      <c r="B24" s="49">
        <f>IF(B$20=0,0,C24/B$20)</f>
        <v>-10583.333333333334</v>
      </c>
      <c r="C24" s="39">
        <v>-63500</v>
      </c>
      <c r="E24" s="61" t="s">
        <v>83</v>
      </c>
      <c r="F24" s="58" t="s">
        <v>38</v>
      </c>
      <c r="G24" s="45">
        <v>0</v>
      </c>
      <c r="H24" s="131">
        <f>IF(B$17=0,0,G24/B$17)</f>
        <v>0</v>
      </c>
      <c r="I24" s="92">
        <v>1</v>
      </c>
    </row>
    <row r="25" spans="1:17" x14ac:dyDescent="0.4">
      <c r="A25" s="53" t="s">
        <v>305</v>
      </c>
      <c r="B25" s="49">
        <f>IF($B$17-B$16=0,0,C25/($B$17-B$16))</f>
        <v>13285.714285714286</v>
      </c>
      <c r="C25" s="39">
        <v>93000</v>
      </c>
      <c r="E25" s="61" t="s">
        <v>85</v>
      </c>
      <c r="F25" s="58" t="s">
        <v>40</v>
      </c>
      <c r="G25" s="45">
        <v>0</v>
      </c>
      <c r="H25" s="131">
        <f>IF(B$17=0,0,G25/B$17)</f>
        <v>0</v>
      </c>
      <c r="I25" s="92">
        <v>6</v>
      </c>
    </row>
    <row r="26" spans="1:17" x14ac:dyDescent="0.4">
      <c r="A26" s="55" t="s">
        <v>304</v>
      </c>
      <c r="B26" s="50">
        <f>IF(B$16=0,0,C26/B$16)</f>
        <v>11255.555555555555</v>
      </c>
      <c r="C26" s="43">
        <v>101300</v>
      </c>
      <c r="E26" s="61" t="s">
        <v>86</v>
      </c>
      <c r="F26" s="58" t="s">
        <v>41</v>
      </c>
      <c r="G26" s="45">
        <v>0</v>
      </c>
      <c r="H26" s="131">
        <f>IF(B$17=0,0,G26/B$17)</f>
        <v>0</v>
      </c>
      <c r="I26" s="92">
        <v>5</v>
      </c>
    </row>
    <row r="27" spans="1:17" x14ac:dyDescent="0.4">
      <c r="A27" s="88" t="s">
        <v>142</v>
      </c>
      <c r="B27" s="142">
        <v>6</v>
      </c>
      <c r="C27" s="143"/>
      <c r="E27" s="61" t="s">
        <v>87</v>
      </c>
      <c r="F27" s="58" t="s">
        <v>42</v>
      </c>
      <c r="G27" s="45">
        <v>0</v>
      </c>
      <c r="H27" s="131">
        <f>IF(B$17=0,0,G27/B$17)</f>
        <v>0</v>
      </c>
      <c r="I27" s="92">
        <v>13</v>
      </c>
    </row>
    <row r="28" spans="1:17" x14ac:dyDescent="0.4">
      <c r="A28" s="56" t="s">
        <v>152</v>
      </c>
      <c r="B28" s="140">
        <v>92100</v>
      </c>
      <c r="C28" s="141"/>
      <c r="E28" s="61" t="s">
        <v>88</v>
      </c>
      <c r="F28" s="58" t="s">
        <v>43</v>
      </c>
      <c r="G28" s="45">
        <v>0</v>
      </c>
      <c r="H28" s="131">
        <f>IF(B$17=0,0,G28/B$17)</f>
        <v>0</v>
      </c>
      <c r="I28" s="92">
        <v>7</v>
      </c>
    </row>
    <row r="29" spans="1:17" x14ac:dyDescent="0.4">
      <c r="A29" s="55" t="s">
        <v>143</v>
      </c>
      <c r="B29" s="63">
        <v>0</v>
      </c>
      <c r="C29" s="40">
        <f>IF(B$3=0,0,B29/B$3)</f>
        <v>0</v>
      </c>
      <c r="E29" s="61" t="s">
        <v>89</v>
      </c>
      <c r="F29" s="58" t="s">
        <v>44</v>
      </c>
      <c r="G29" s="45">
        <v>0</v>
      </c>
      <c r="H29" s="131">
        <f>IF(B$17=0,0,G29/B$17)</f>
        <v>0</v>
      </c>
      <c r="I29" s="92">
        <v>5</v>
      </c>
    </row>
    <row r="30" spans="1:17" x14ac:dyDescent="0.4">
      <c r="E30" s="61" t="s">
        <v>91</v>
      </c>
      <c r="F30" s="58" t="s">
        <v>46</v>
      </c>
      <c r="G30" s="45">
        <v>0</v>
      </c>
      <c r="H30" s="131">
        <f>IF(B$17=0,0,G30/B$17)</f>
        <v>0</v>
      </c>
      <c r="I30" s="92">
        <v>5</v>
      </c>
    </row>
    <row r="31" spans="1:17" x14ac:dyDescent="0.4">
      <c r="E31" s="61" t="s">
        <v>92</v>
      </c>
      <c r="F31" s="58" t="s">
        <v>47</v>
      </c>
      <c r="G31" s="45">
        <v>0</v>
      </c>
      <c r="H31" s="131">
        <f>IF(B$17=0,0,G31/B$17)</f>
        <v>0</v>
      </c>
      <c r="I31" s="92">
        <v>10</v>
      </c>
    </row>
    <row r="32" spans="1:17" x14ac:dyDescent="0.4">
      <c r="E32" s="61" t="s">
        <v>93</v>
      </c>
      <c r="F32" s="58" t="s">
        <v>48</v>
      </c>
      <c r="G32" s="45">
        <v>0</v>
      </c>
      <c r="H32" s="131">
        <f>IF(B$17=0,0,G32/B$17)</f>
        <v>0</v>
      </c>
      <c r="I32" s="92">
        <v>7</v>
      </c>
    </row>
    <row r="33" spans="5:9" x14ac:dyDescent="0.4">
      <c r="E33" s="61" t="s">
        <v>94</v>
      </c>
      <c r="F33" s="58" t="s">
        <v>49</v>
      </c>
      <c r="G33" s="45">
        <v>0</v>
      </c>
      <c r="H33" s="131">
        <f>IF(B$17=0,0,G33/B$17)</f>
        <v>0</v>
      </c>
      <c r="I33" s="92">
        <v>7</v>
      </c>
    </row>
    <row r="34" spans="5:9" x14ac:dyDescent="0.4">
      <c r="E34" s="61" t="s">
        <v>95</v>
      </c>
      <c r="F34" s="58" t="s">
        <v>50</v>
      </c>
      <c r="G34" s="45">
        <v>0</v>
      </c>
      <c r="H34" s="131">
        <f>IF(B$17=0,0,G34/B$17)</f>
        <v>0</v>
      </c>
      <c r="I34" s="92">
        <v>1</v>
      </c>
    </row>
    <row r="35" spans="5:9" x14ac:dyDescent="0.4">
      <c r="E35" s="61" t="s">
        <v>96</v>
      </c>
      <c r="F35" s="58" t="s">
        <v>51</v>
      </c>
      <c r="G35" s="45">
        <v>0</v>
      </c>
      <c r="H35" s="131">
        <f>IF(B$17=0,0,G35/B$17)</f>
        <v>0</v>
      </c>
      <c r="I35" s="92">
        <v>4</v>
      </c>
    </row>
    <row r="36" spans="5:9" x14ac:dyDescent="0.4">
      <c r="E36" s="61" t="s">
        <v>97</v>
      </c>
      <c r="F36" s="58" t="s">
        <v>52</v>
      </c>
      <c r="G36" s="45">
        <v>0</v>
      </c>
      <c r="H36" s="131">
        <f>IF(B$17=0,0,G36/B$17)</f>
        <v>0</v>
      </c>
      <c r="I36" s="92">
        <v>1</v>
      </c>
    </row>
    <row r="37" spans="5:9" x14ac:dyDescent="0.4">
      <c r="E37" s="61" t="s">
        <v>98</v>
      </c>
      <c r="F37" s="58" t="s">
        <v>53</v>
      </c>
      <c r="G37" s="45">
        <v>0</v>
      </c>
      <c r="H37" s="131">
        <f>IF(B$17=0,0,G37/B$17)</f>
        <v>0</v>
      </c>
      <c r="I37" s="92">
        <v>3</v>
      </c>
    </row>
    <row r="38" spans="5:9" x14ac:dyDescent="0.4">
      <c r="E38" s="61" t="s">
        <v>99</v>
      </c>
      <c r="F38" s="58" t="s">
        <v>54</v>
      </c>
      <c r="G38" s="45">
        <v>0</v>
      </c>
      <c r="H38" s="131">
        <f>IF(B$17=0,0,G38/B$17)</f>
        <v>0</v>
      </c>
      <c r="I38" s="92">
        <v>1</v>
      </c>
    </row>
    <row r="39" spans="5:9" x14ac:dyDescent="0.4">
      <c r="E39" s="61" t="s">
        <v>100</v>
      </c>
      <c r="F39" s="58" t="s">
        <v>55</v>
      </c>
      <c r="G39" s="45">
        <v>0</v>
      </c>
      <c r="H39" s="131">
        <f>IF(B$17=0,0,G39/B$17)</f>
        <v>0</v>
      </c>
      <c r="I39" s="92">
        <v>1</v>
      </c>
    </row>
    <row r="40" spans="5:9" x14ac:dyDescent="0.4">
      <c r="E40" s="61" t="s">
        <v>101</v>
      </c>
      <c r="F40" s="58" t="s">
        <v>56</v>
      </c>
      <c r="G40" s="45">
        <v>0</v>
      </c>
      <c r="H40" s="131">
        <f>IF(B$17=0,0,G40/B$17)</f>
        <v>0</v>
      </c>
      <c r="I40" s="92">
        <v>1</v>
      </c>
    </row>
    <row r="41" spans="5:9" x14ac:dyDescent="0.4">
      <c r="E41" s="61" t="s">
        <v>102</v>
      </c>
      <c r="F41" s="58" t="s">
        <v>57</v>
      </c>
      <c r="G41" s="45">
        <v>0</v>
      </c>
      <c r="H41" s="131">
        <f>IF(B$17=0,0,G41/B$17)</f>
        <v>0</v>
      </c>
      <c r="I41" s="92">
        <v>3</v>
      </c>
    </row>
    <row r="42" spans="5:9" x14ac:dyDescent="0.4">
      <c r="E42" s="61" t="s">
        <v>103</v>
      </c>
      <c r="F42" s="58" t="s">
        <v>58</v>
      </c>
      <c r="G42" s="45">
        <v>0</v>
      </c>
      <c r="H42" s="131">
        <f>IF(B$17=0,0,G42/B$17)</f>
        <v>0</v>
      </c>
      <c r="I42" s="92">
        <v>1</v>
      </c>
    </row>
    <row r="43" spans="5:9" x14ac:dyDescent="0.4">
      <c r="E43" s="61" t="s">
        <v>104</v>
      </c>
      <c r="F43" s="58" t="s">
        <v>59</v>
      </c>
      <c r="G43" s="45">
        <v>0</v>
      </c>
      <c r="H43" s="131">
        <f>IF(B$17=0,0,G43/B$17)</f>
        <v>0</v>
      </c>
      <c r="I43" s="92">
        <v>1</v>
      </c>
    </row>
    <row r="44" spans="5:9" x14ac:dyDescent="0.4">
      <c r="E44" s="61" t="s">
        <v>105</v>
      </c>
      <c r="F44" s="58" t="s">
        <v>60</v>
      </c>
      <c r="G44" s="45">
        <v>0</v>
      </c>
      <c r="H44" s="131">
        <f>IF(B$17=0,0,G44/B$17)</f>
        <v>0</v>
      </c>
      <c r="I44" s="92">
        <v>1</v>
      </c>
    </row>
    <row r="45" spans="5:9" x14ac:dyDescent="0.4">
      <c r="E45" s="61" t="s">
        <v>106</v>
      </c>
      <c r="F45" s="58" t="s">
        <v>113</v>
      </c>
      <c r="G45" s="45">
        <v>0</v>
      </c>
      <c r="H45" s="131">
        <f>IF(B$17=0,0,G45/B$17)</f>
        <v>0</v>
      </c>
      <c r="I45" s="92">
        <v>1</v>
      </c>
    </row>
    <row r="46" spans="5:9" x14ac:dyDescent="0.4">
      <c r="E46" s="61" t="s">
        <v>107</v>
      </c>
      <c r="F46" s="58" t="s">
        <v>114</v>
      </c>
      <c r="G46" s="45">
        <v>0</v>
      </c>
      <c r="H46" s="131">
        <f>IF(B$17=0,0,G46/B$17)</f>
        <v>0</v>
      </c>
      <c r="I46" s="92">
        <v>3</v>
      </c>
    </row>
    <row r="47" spans="5:9" x14ac:dyDescent="0.4">
      <c r="E47" s="61" t="s">
        <v>108</v>
      </c>
      <c r="F47" s="58" t="s">
        <v>115</v>
      </c>
      <c r="G47" s="45">
        <v>0</v>
      </c>
      <c r="H47" s="131">
        <f>IF(B$17=0,0,G47/B$17)</f>
        <v>0</v>
      </c>
      <c r="I47" s="92">
        <v>1</v>
      </c>
    </row>
    <row r="48" spans="5:9" x14ac:dyDescent="0.4">
      <c r="E48" s="61" t="s">
        <v>109</v>
      </c>
      <c r="F48" s="58" t="s">
        <v>61</v>
      </c>
      <c r="G48" s="45">
        <v>0</v>
      </c>
      <c r="H48" s="131">
        <f>IF(B$17=0,0,G48/B$17)</f>
        <v>0</v>
      </c>
      <c r="I48" s="92">
        <v>1</v>
      </c>
    </row>
    <row r="49" spans="5:9" x14ac:dyDescent="0.4">
      <c r="E49" s="61" t="s">
        <v>110</v>
      </c>
      <c r="F49" s="58" t="s">
        <v>62</v>
      </c>
      <c r="G49" s="45">
        <v>0</v>
      </c>
      <c r="H49" s="131">
        <f>IF(B$17=0,0,G49/B$17)</f>
        <v>0</v>
      </c>
      <c r="I49" s="92">
        <v>1</v>
      </c>
    </row>
    <row r="50" spans="5:9" x14ac:dyDescent="0.4">
      <c r="E50" s="61" t="s">
        <v>111</v>
      </c>
      <c r="F50" s="58" t="s">
        <v>63</v>
      </c>
      <c r="G50" s="45">
        <v>0</v>
      </c>
      <c r="H50" s="131">
        <f>IF(B$17=0,0,G50/B$17)</f>
        <v>0</v>
      </c>
      <c r="I50" s="92">
        <v>1</v>
      </c>
    </row>
    <row r="51" spans="5:9" x14ac:dyDescent="0.4">
      <c r="E51" s="134" t="s">
        <v>112</v>
      </c>
      <c r="F51" s="135" t="s">
        <v>64</v>
      </c>
      <c r="G51" s="46">
        <v>0</v>
      </c>
      <c r="H51" s="136">
        <f>IF(B$17=0,0,G51/B$17)</f>
        <v>0</v>
      </c>
      <c r="I51" s="137">
        <v>1</v>
      </c>
    </row>
    <row r="52" spans="5:9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</row>
  </sheetData>
  <sortState xmlns:xlrd2="http://schemas.microsoft.com/office/spreadsheetml/2017/richdata2" ref="N15:Q1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0DF84-D718-444E-9243-CEC81B704336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271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9</v>
      </c>
      <c r="C2" s="149"/>
      <c r="E2" s="60" t="s">
        <v>65</v>
      </c>
      <c r="F2" s="57" t="s">
        <v>21</v>
      </c>
      <c r="G2" s="44">
        <v>10</v>
      </c>
      <c r="H2" s="130">
        <f>IF(B$17=0,0,G2/B$17)</f>
        <v>0.52631578947368418</v>
      </c>
      <c r="I2" s="91">
        <v>5</v>
      </c>
      <c r="K2" s="34">
        <v>0</v>
      </c>
      <c r="L2" s="96">
        <v>0</v>
      </c>
      <c r="N2" s="112" t="s">
        <v>132</v>
      </c>
      <c r="O2" s="119">
        <f t="shared" ref="O2:O7" si="0">IF(P2=0,0,Q2/P2)</f>
        <v>-5455.5555555555557</v>
      </c>
      <c r="P2" s="116">
        <v>9</v>
      </c>
      <c r="Q2" s="100">
        <v>-49100</v>
      </c>
    </row>
    <row r="3" spans="1:17" x14ac:dyDescent="0.4">
      <c r="A3" s="53" t="s">
        <v>8</v>
      </c>
      <c r="B3" s="150">
        <v>80</v>
      </c>
      <c r="C3" s="151"/>
      <c r="E3" s="61" t="s">
        <v>67</v>
      </c>
      <c r="F3" s="58" t="s">
        <v>23</v>
      </c>
      <c r="G3" s="45">
        <v>9</v>
      </c>
      <c r="H3" s="131">
        <f>IF(B$17=0,0,G3/B$17)</f>
        <v>0.47368421052631576</v>
      </c>
      <c r="I3" s="92">
        <v>14</v>
      </c>
      <c r="K3" s="36">
        <v>1</v>
      </c>
      <c r="L3" s="97">
        <v>-43.2</v>
      </c>
      <c r="N3" s="113" t="s">
        <v>133</v>
      </c>
      <c r="O3" s="120">
        <f t="shared" si="0"/>
        <v>-3577.7777777777778</v>
      </c>
      <c r="P3" s="117">
        <v>9</v>
      </c>
      <c r="Q3" s="101">
        <v>-32200</v>
      </c>
    </row>
    <row r="4" spans="1:17" x14ac:dyDescent="0.4">
      <c r="A4" s="53" t="s">
        <v>6</v>
      </c>
      <c r="B4" s="152">
        <v>-292.60000000000002</v>
      </c>
      <c r="C4" s="153"/>
      <c r="E4" s="61" t="s">
        <v>245</v>
      </c>
      <c r="F4" s="58" t="s">
        <v>246</v>
      </c>
      <c r="G4" s="45">
        <v>9</v>
      </c>
      <c r="H4" s="131">
        <f>IF(B$17=0,0,G4/B$17)</f>
        <v>0.47368421052631576</v>
      </c>
      <c r="I4" s="92">
        <v>2</v>
      </c>
      <c r="K4" s="36">
        <v>2</v>
      </c>
      <c r="L4" s="97">
        <v>-96.5</v>
      </c>
      <c r="N4" s="113" t="s">
        <v>134</v>
      </c>
      <c r="O4" s="120">
        <f t="shared" si="0"/>
        <v>37.5</v>
      </c>
      <c r="P4" s="117">
        <v>8</v>
      </c>
      <c r="Q4" s="101">
        <v>300</v>
      </c>
    </row>
    <row r="5" spans="1:17" x14ac:dyDescent="0.4">
      <c r="A5" s="53" t="s">
        <v>7</v>
      </c>
      <c r="B5" s="154">
        <f>IF(B$2=0,0,B$4/B$2)</f>
        <v>-32.511111111111113</v>
      </c>
      <c r="C5" s="155"/>
      <c r="E5" s="61" t="s">
        <v>73</v>
      </c>
      <c r="F5" s="58" t="s">
        <v>28</v>
      </c>
      <c r="G5" s="45">
        <v>7</v>
      </c>
      <c r="H5" s="131">
        <f>IF(B$17=0,0,G5/B$17)</f>
        <v>0.36842105263157893</v>
      </c>
      <c r="I5" s="92">
        <v>14</v>
      </c>
      <c r="K5" s="36">
        <v>3</v>
      </c>
      <c r="L5" s="97">
        <v>-151.9</v>
      </c>
      <c r="N5" s="113" t="s">
        <v>135</v>
      </c>
      <c r="O5" s="120">
        <f t="shared" si="0"/>
        <v>3050</v>
      </c>
      <c r="P5" s="117">
        <v>8</v>
      </c>
      <c r="Q5" s="101">
        <v>24400</v>
      </c>
    </row>
    <row r="6" spans="1:17" x14ac:dyDescent="0.4">
      <c r="A6" s="53" t="s">
        <v>1</v>
      </c>
      <c r="B6" s="144">
        <f>IF(B$2=0,0,(B$7*1+B$8*2+B$9*3)/B$2)</f>
        <v>2.6666666666666665</v>
      </c>
      <c r="C6" s="145"/>
      <c r="E6" s="61" t="s">
        <v>69</v>
      </c>
      <c r="F6" s="58" t="s">
        <v>12</v>
      </c>
      <c r="G6" s="45">
        <v>5</v>
      </c>
      <c r="H6" s="131">
        <f>IF(B$17=0,0,G6/B$17)</f>
        <v>0.26315789473684209</v>
      </c>
      <c r="I6" s="92">
        <v>12</v>
      </c>
      <c r="K6" s="36">
        <v>4</v>
      </c>
      <c r="L6" s="97">
        <v>-134.1</v>
      </c>
      <c r="N6" s="113" t="s">
        <v>136</v>
      </c>
      <c r="O6" s="120">
        <f t="shared" si="0"/>
        <v>-3828.5714285714284</v>
      </c>
      <c r="P6" s="117">
        <v>7</v>
      </c>
      <c r="Q6" s="101">
        <v>-26800</v>
      </c>
    </row>
    <row r="7" spans="1:17" x14ac:dyDescent="0.4">
      <c r="A7" s="53" t="s">
        <v>2</v>
      </c>
      <c r="B7" s="45">
        <v>0</v>
      </c>
      <c r="C7" s="37">
        <f t="shared" ref="C7:C12" si="1">IF(B$2=0,0,B7/B$2)</f>
        <v>0</v>
      </c>
      <c r="E7" s="61" t="s">
        <v>87</v>
      </c>
      <c r="F7" s="58" t="s">
        <v>42</v>
      </c>
      <c r="G7" s="45">
        <v>3</v>
      </c>
      <c r="H7" s="131">
        <f>IF(B$17=0,0,G7/B$17)</f>
        <v>0.15789473684210525</v>
      </c>
      <c r="I7" s="92">
        <v>2</v>
      </c>
      <c r="K7" s="36">
        <v>5</v>
      </c>
      <c r="L7" s="97">
        <v>-152</v>
      </c>
      <c r="N7" s="114" t="s">
        <v>137</v>
      </c>
      <c r="O7" s="121">
        <f t="shared" si="0"/>
        <v>-6450</v>
      </c>
      <c r="P7" s="118">
        <v>6</v>
      </c>
      <c r="Q7" s="102">
        <v>-38700</v>
      </c>
    </row>
    <row r="8" spans="1:17" x14ac:dyDescent="0.4">
      <c r="A8" s="53" t="s">
        <v>3</v>
      </c>
      <c r="B8" s="45">
        <v>3</v>
      </c>
      <c r="C8" s="37">
        <f t="shared" si="1"/>
        <v>0.33333333333333331</v>
      </c>
      <c r="E8" s="61" t="s">
        <v>66</v>
      </c>
      <c r="F8" s="58" t="s">
        <v>22</v>
      </c>
      <c r="G8" s="45">
        <v>2</v>
      </c>
      <c r="H8" s="131">
        <f>IF(B$17=0,0,G8/B$17)</f>
        <v>0.10526315789473684</v>
      </c>
      <c r="I8" s="92">
        <v>6</v>
      </c>
      <c r="K8" s="36">
        <v>6</v>
      </c>
      <c r="L8" s="97">
        <v>-201.8</v>
      </c>
      <c r="N8" s="41"/>
      <c r="O8" s="125"/>
      <c r="P8" s="109"/>
      <c r="Q8" s="107"/>
    </row>
    <row r="9" spans="1:17" x14ac:dyDescent="0.4">
      <c r="A9" s="54" t="s">
        <v>4</v>
      </c>
      <c r="B9" s="46">
        <v>6</v>
      </c>
      <c r="C9" s="38">
        <f t="shared" si="1"/>
        <v>0.66666666666666663</v>
      </c>
      <c r="E9" s="61" t="s">
        <v>70</v>
      </c>
      <c r="F9" s="58" t="s">
        <v>25</v>
      </c>
      <c r="G9" s="45">
        <v>2</v>
      </c>
      <c r="H9" s="131">
        <f>IF(B$17=0,0,G9/B$17)</f>
        <v>0.10526315789473684</v>
      </c>
      <c r="I9" s="92">
        <v>12</v>
      </c>
      <c r="K9" s="36">
        <v>7</v>
      </c>
      <c r="L9" s="97">
        <v>-255.8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1</v>
      </c>
      <c r="C10" s="38">
        <f t="shared" si="1"/>
        <v>0.1111111111111111</v>
      </c>
      <c r="E10" s="61" t="s">
        <v>79</v>
      </c>
      <c r="F10" s="58" t="s">
        <v>34</v>
      </c>
      <c r="G10" s="45">
        <v>2</v>
      </c>
      <c r="H10" s="131">
        <f>IF(B$17=0,0,G10/B$17)</f>
        <v>0.10526315789473684</v>
      </c>
      <c r="I10" s="92">
        <v>1</v>
      </c>
      <c r="K10" s="36">
        <v>8</v>
      </c>
      <c r="L10" s="97">
        <v>-289.8</v>
      </c>
      <c r="N10" s="112" t="s">
        <v>164</v>
      </c>
      <c r="O10" s="122">
        <f>IF(P10=0,0,Q10/P10)</f>
        <v>-30.183333333333334</v>
      </c>
      <c r="P10" s="116">
        <v>6</v>
      </c>
      <c r="Q10" s="104">
        <v>-181.1</v>
      </c>
    </row>
    <row r="11" spans="1:17" x14ac:dyDescent="0.4">
      <c r="A11" s="54" t="s">
        <v>140</v>
      </c>
      <c r="B11" s="46">
        <v>0</v>
      </c>
      <c r="C11" s="38">
        <f t="shared" si="1"/>
        <v>0</v>
      </c>
      <c r="E11" s="61" t="s">
        <v>68</v>
      </c>
      <c r="F11" s="58" t="s">
        <v>24</v>
      </c>
      <c r="G11" s="45">
        <v>1</v>
      </c>
      <c r="H11" s="131">
        <f>IF(B$17=0,0,G11/B$17)</f>
        <v>5.2631578947368418E-2</v>
      </c>
      <c r="I11" s="92">
        <v>15</v>
      </c>
      <c r="K11" s="36">
        <v>9</v>
      </c>
      <c r="L11" s="97">
        <v>-292.60000000000002</v>
      </c>
      <c r="N11" s="113" t="s">
        <v>165</v>
      </c>
      <c r="O11" s="123">
        <f>IF(P11=0,0,Q11/P11)</f>
        <v>-54.349999999999994</v>
      </c>
      <c r="P11" s="117">
        <v>2</v>
      </c>
      <c r="Q11" s="105">
        <v>-108.69999999999999</v>
      </c>
    </row>
    <row r="12" spans="1:17" x14ac:dyDescent="0.4">
      <c r="A12" s="55" t="s">
        <v>160</v>
      </c>
      <c r="B12" s="47">
        <v>0</v>
      </c>
      <c r="C12" s="40">
        <f t="shared" si="1"/>
        <v>0</v>
      </c>
      <c r="E12" s="61" t="s">
        <v>71</v>
      </c>
      <c r="F12" s="58" t="s">
        <v>26</v>
      </c>
      <c r="G12" s="45">
        <v>1</v>
      </c>
      <c r="H12" s="131">
        <f>IF(B$17=0,0,G12/B$17)</f>
        <v>5.2631578947368418E-2</v>
      </c>
      <c r="I12" s="92">
        <v>11</v>
      </c>
      <c r="N12" s="114" t="s">
        <v>166</v>
      </c>
      <c r="O12" s="124">
        <f>IF(P12=0,0,Q12/P12)</f>
        <v>-2.8</v>
      </c>
      <c r="P12" s="118">
        <v>1</v>
      </c>
      <c r="Q12" s="106">
        <v>-2.8</v>
      </c>
    </row>
    <row r="13" spans="1:17" x14ac:dyDescent="0.4">
      <c r="A13" s="56" t="s">
        <v>122</v>
      </c>
      <c r="B13" s="48">
        <v>14</v>
      </c>
      <c r="C13" s="42">
        <f>IF(B$3=0,0,B13/B$3)</f>
        <v>0.17499999999999999</v>
      </c>
      <c r="E13" s="61" t="s">
        <v>90</v>
      </c>
      <c r="F13" s="58" t="s">
        <v>45</v>
      </c>
      <c r="G13" s="45">
        <v>1</v>
      </c>
      <c r="H13" s="131">
        <f>IF(B$17=0,0,G13/B$17)</f>
        <v>5.2631578947368418E-2</v>
      </c>
      <c r="I13" s="92">
        <v>14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24</v>
      </c>
      <c r="C14" s="37">
        <f>IF(B$3=0,0,B14/B$3)</f>
        <v>0.3</v>
      </c>
      <c r="E14" s="61" t="s">
        <v>92</v>
      </c>
      <c r="F14" s="58" t="s">
        <v>47</v>
      </c>
      <c r="G14" s="45">
        <v>1</v>
      </c>
      <c r="H14" s="131">
        <f>IF(B$17=0,0,G14/B$17)</f>
        <v>5.2631578947368418E-2</v>
      </c>
      <c r="I14" s="92">
        <v>1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10</v>
      </c>
      <c r="C15" s="35">
        <f>IF(B$13=0,0,B15/B$13)</f>
        <v>0.7142857142857143</v>
      </c>
      <c r="E15" s="61" t="s">
        <v>72</v>
      </c>
      <c r="F15" s="58" t="s">
        <v>27</v>
      </c>
      <c r="G15" s="45">
        <v>0</v>
      </c>
      <c r="H15" s="131">
        <f>IF(B$17=0,0,G15/B$17)</f>
        <v>0</v>
      </c>
      <c r="I15" s="92">
        <v>13</v>
      </c>
      <c r="N15" s="112" t="s">
        <v>200</v>
      </c>
      <c r="O15" s="122">
        <f>IF(P15=0,0,Q15/P15)</f>
        <v>-31.720000000000006</v>
      </c>
      <c r="P15" s="116">
        <v>5</v>
      </c>
      <c r="Q15" s="104">
        <v>-158.60000000000002</v>
      </c>
    </row>
    <row r="16" spans="1:17" x14ac:dyDescent="0.4">
      <c r="A16" s="52" t="s">
        <v>125</v>
      </c>
      <c r="B16" s="44">
        <v>6</v>
      </c>
      <c r="C16" s="35">
        <f>IF(B$14=0,0,B16/B$14)</f>
        <v>0.25</v>
      </c>
      <c r="E16" s="61" t="s">
        <v>74</v>
      </c>
      <c r="F16" s="58" t="s">
        <v>29</v>
      </c>
      <c r="G16" s="45">
        <v>0</v>
      </c>
      <c r="H16" s="131">
        <f>IF(B$17=0,0,G16/B$17)</f>
        <v>0</v>
      </c>
      <c r="I16" s="92">
        <v>9</v>
      </c>
      <c r="N16" s="113" t="s">
        <v>129</v>
      </c>
      <c r="O16" s="123">
        <f>IF(P16=0,0,Q16/P16)</f>
        <v>-38.15</v>
      </c>
      <c r="P16" s="117">
        <v>6</v>
      </c>
      <c r="Q16" s="105">
        <v>-228.89999999999998</v>
      </c>
    </row>
    <row r="17" spans="1:17" x14ac:dyDescent="0.4">
      <c r="A17" s="52" t="s">
        <v>10</v>
      </c>
      <c r="B17" s="44">
        <f>B19+B18</f>
        <v>19</v>
      </c>
      <c r="C17" s="35">
        <f>IF(B$3=0,0,B17/B$3)</f>
        <v>0.23749999999999999</v>
      </c>
      <c r="E17" s="61" t="s">
        <v>75</v>
      </c>
      <c r="F17" s="58" t="s">
        <v>30</v>
      </c>
      <c r="G17" s="45">
        <v>0</v>
      </c>
      <c r="H17" s="131">
        <f>IF(B$17=0,0,G17/B$17)</f>
        <v>0</v>
      </c>
      <c r="I17" s="92">
        <v>7</v>
      </c>
      <c r="N17" s="113" t="s">
        <v>177</v>
      </c>
      <c r="O17" s="123">
        <f>IF(P17=0,0,Q17/P17)</f>
        <v>-64.680000000000007</v>
      </c>
      <c r="P17" s="117">
        <v>5</v>
      </c>
      <c r="Q17" s="105">
        <v>-323.40000000000003</v>
      </c>
    </row>
    <row r="18" spans="1:17" x14ac:dyDescent="0.4">
      <c r="A18" s="53" t="s">
        <v>12</v>
      </c>
      <c r="B18" s="45">
        <v>8</v>
      </c>
      <c r="C18" s="37">
        <f>IF(B$17=0,0,B18/B$17)</f>
        <v>0.42105263157894735</v>
      </c>
      <c r="E18" s="61" t="s">
        <v>76</v>
      </c>
      <c r="F18" s="58" t="s">
        <v>31</v>
      </c>
      <c r="G18" s="45">
        <v>0</v>
      </c>
      <c r="H18" s="131">
        <f>IF(B$17=0,0,G18/B$17)</f>
        <v>0</v>
      </c>
      <c r="I18" s="92">
        <v>9</v>
      </c>
      <c r="N18" s="113" t="s">
        <v>173</v>
      </c>
      <c r="O18" s="123">
        <f>IF(P18=0,0,Q18/P18)</f>
        <v>-83.45</v>
      </c>
      <c r="P18" s="117">
        <v>2</v>
      </c>
      <c r="Q18" s="105">
        <v>-166.9</v>
      </c>
    </row>
    <row r="19" spans="1:17" x14ac:dyDescent="0.4">
      <c r="A19" s="53" t="s">
        <v>11</v>
      </c>
      <c r="B19" s="45">
        <v>11</v>
      </c>
      <c r="C19" s="37">
        <f>IF(B$17=0,0,B19/B$17)</f>
        <v>0.57894736842105265</v>
      </c>
      <c r="E19" s="61" t="s">
        <v>77</v>
      </c>
      <c r="F19" s="58" t="s">
        <v>32</v>
      </c>
      <c r="G19" s="45">
        <v>0</v>
      </c>
      <c r="H19" s="131">
        <f>IF(B$17=0,0,G19/B$17)</f>
        <v>0</v>
      </c>
      <c r="I19" s="92">
        <v>1</v>
      </c>
    </row>
    <row r="20" spans="1:17" x14ac:dyDescent="0.4">
      <c r="A20" s="53" t="s">
        <v>13</v>
      </c>
      <c r="B20" s="45">
        <v>21</v>
      </c>
      <c r="C20" s="37">
        <f>IF(B$3=0,0,B20/B$3)</f>
        <v>0.26250000000000001</v>
      </c>
      <c r="E20" s="61" t="s">
        <v>78</v>
      </c>
      <c r="F20" s="58" t="s">
        <v>33</v>
      </c>
      <c r="G20" s="45">
        <v>0</v>
      </c>
      <c r="H20" s="131">
        <f>IF(B$17=0,0,G20/B$17)</f>
        <v>0</v>
      </c>
      <c r="I20" s="92">
        <v>9</v>
      </c>
    </row>
    <row r="21" spans="1:17" x14ac:dyDescent="0.4">
      <c r="A21" s="53" t="s">
        <v>191</v>
      </c>
      <c r="B21" s="45">
        <v>3</v>
      </c>
      <c r="C21" s="133">
        <v>0</v>
      </c>
      <c r="E21" s="61" t="s">
        <v>80</v>
      </c>
      <c r="F21" s="58" t="s">
        <v>35</v>
      </c>
      <c r="G21" s="45">
        <v>0</v>
      </c>
      <c r="H21" s="131">
        <f>IF(B$17=0,0,G21/B$17)</f>
        <v>0</v>
      </c>
      <c r="I21" s="92">
        <v>12</v>
      </c>
    </row>
    <row r="22" spans="1:17" x14ac:dyDescent="0.4">
      <c r="A22" s="53" t="s">
        <v>192</v>
      </c>
      <c r="B22" s="45">
        <v>8</v>
      </c>
      <c r="C22" s="133">
        <v>0</v>
      </c>
      <c r="E22" s="61" t="s">
        <v>81</v>
      </c>
      <c r="F22" s="58" t="s">
        <v>36</v>
      </c>
      <c r="G22" s="45">
        <v>0</v>
      </c>
      <c r="H22" s="131">
        <f>IF(B$17=0,0,G22/B$17)</f>
        <v>0</v>
      </c>
      <c r="I22" s="92">
        <v>1</v>
      </c>
    </row>
    <row r="23" spans="1:17" x14ac:dyDescent="0.4">
      <c r="A23" s="53" t="s">
        <v>5</v>
      </c>
      <c r="B23" s="49">
        <f>IF(B$17=0,0,C23/B$17)</f>
        <v>6821.0526315789475</v>
      </c>
      <c r="C23" s="39">
        <v>129600</v>
      </c>
      <c r="E23" s="61" t="s">
        <v>82</v>
      </c>
      <c r="F23" s="58" t="s">
        <v>37</v>
      </c>
      <c r="G23" s="45">
        <v>0</v>
      </c>
      <c r="H23" s="131">
        <f>IF(B$17=0,0,G23/B$17)</f>
        <v>0</v>
      </c>
      <c r="I23" s="92">
        <v>13</v>
      </c>
    </row>
    <row r="24" spans="1:17" x14ac:dyDescent="0.4">
      <c r="A24" s="53" t="s">
        <v>14</v>
      </c>
      <c r="B24" s="49">
        <f>IF(B$20=0,0,C24/B$20)</f>
        <v>-7042.8571428571431</v>
      </c>
      <c r="C24" s="39">
        <v>-147900</v>
      </c>
      <c r="E24" s="61" t="s">
        <v>83</v>
      </c>
      <c r="F24" s="58" t="s">
        <v>38</v>
      </c>
      <c r="G24" s="45">
        <v>0</v>
      </c>
      <c r="H24" s="131">
        <f>IF(B$17=0,0,G24/B$17)</f>
        <v>0</v>
      </c>
      <c r="I24" s="92">
        <v>1</v>
      </c>
    </row>
    <row r="25" spans="1:17" x14ac:dyDescent="0.4">
      <c r="A25" s="53" t="s">
        <v>305</v>
      </c>
      <c r="B25" s="49">
        <f>IF($B$17-B$16=0,0,C25/($B$17-B$16))</f>
        <v>8261.538461538461</v>
      </c>
      <c r="C25" s="39">
        <v>107400</v>
      </c>
      <c r="E25" s="61" t="s">
        <v>84</v>
      </c>
      <c r="F25" s="58" t="s">
        <v>39</v>
      </c>
      <c r="G25" s="45">
        <v>0</v>
      </c>
      <c r="H25" s="131">
        <f>IF(B$17=0,0,G25/B$17)</f>
        <v>0</v>
      </c>
      <c r="I25" s="92">
        <v>13</v>
      </c>
    </row>
    <row r="26" spans="1:17" x14ac:dyDescent="0.4">
      <c r="A26" s="55" t="s">
        <v>304</v>
      </c>
      <c r="B26" s="50">
        <f>IF(B$16=0,0,C26/B$16)</f>
        <v>3700</v>
      </c>
      <c r="C26" s="43">
        <v>22200</v>
      </c>
      <c r="E26" s="61" t="s">
        <v>85</v>
      </c>
      <c r="F26" s="58" t="s">
        <v>40</v>
      </c>
      <c r="G26" s="45">
        <v>0</v>
      </c>
      <c r="H26" s="131">
        <f>IF(B$17=0,0,G26/B$17)</f>
        <v>0</v>
      </c>
      <c r="I26" s="92">
        <v>6</v>
      </c>
    </row>
    <row r="27" spans="1:17" x14ac:dyDescent="0.4">
      <c r="A27" s="88" t="s">
        <v>142</v>
      </c>
      <c r="B27" s="142">
        <v>4</v>
      </c>
      <c r="C27" s="143"/>
      <c r="E27" s="61" t="s">
        <v>86</v>
      </c>
      <c r="F27" s="58" t="s">
        <v>41</v>
      </c>
      <c r="G27" s="45">
        <v>0</v>
      </c>
      <c r="H27" s="131">
        <f>IF(B$17=0,0,G27/B$17)</f>
        <v>0</v>
      </c>
      <c r="I27" s="92">
        <v>5</v>
      </c>
    </row>
    <row r="28" spans="1:17" x14ac:dyDescent="0.4">
      <c r="A28" s="56" t="s">
        <v>152</v>
      </c>
      <c r="B28" s="140">
        <v>52800</v>
      </c>
      <c r="C28" s="141"/>
      <c r="E28" s="61" t="s">
        <v>88</v>
      </c>
      <c r="F28" s="58" t="s">
        <v>43</v>
      </c>
      <c r="G28" s="45">
        <v>0</v>
      </c>
      <c r="H28" s="131">
        <f>IF(B$17=0,0,G28/B$17)</f>
        <v>0</v>
      </c>
      <c r="I28" s="92">
        <v>7</v>
      </c>
    </row>
    <row r="29" spans="1:17" x14ac:dyDescent="0.4">
      <c r="A29" s="55" t="s">
        <v>143</v>
      </c>
      <c r="B29" s="63">
        <v>1</v>
      </c>
      <c r="C29" s="40">
        <f>IF(B$3=0,0,B29/B$3)</f>
        <v>1.2500000000000001E-2</v>
      </c>
      <c r="E29" s="61" t="s">
        <v>89</v>
      </c>
      <c r="F29" s="58" t="s">
        <v>44</v>
      </c>
      <c r="G29" s="45">
        <v>0</v>
      </c>
      <c r="H29" s="131">
        <f>IF(B$17=0,0,G29/B$17)</f>
        <v>0</v>
      </c>
      <c r="I29" s="92">
        <v>5</v>
      </c>
    </row>
    <row r="30" spans="1:17" x14ac:dyDescent="0.4">
      <c r="E30" s="61" t="s">
        <v>91</v>
      </c>
      <c r="F30" s="58" t="s">
        <v>46</v>
      </c>
      <c r="G30" s="45">
        <v>0</v>
      </c>
      <c r="H30" s="131">
        <f>IF(B$17=0,0,G30/B$17)</f>
        <v>0</v>
      </c>
      <c r="I30" s="92">
        <v>5</v>
      </c>
    </row>
    <row r="31" spans="1:17" x14ac:dyDescent="0.4">
      <c r="E31" s="61" t="s">
        <v>93</v>
      </c>
      <c r="F31" s="58" t="s">
        <v>48</v>
      </c>
      <c r="G31" s="45">
        <v>0</v>
      </c>
      <c r="H31" s="131">
        <f>IF(B$17=0,0,G31/B$17)</f>
        <v>0</v>
      </c>
      <c r="I31" s="92">
        <v>7</v>
      </c>
    </row>
    <row r="32" spans="1:17" x14ac:dyDescent="0.4">
      <c r="E32" s="61" t="s">
        <v>94</v>
      </c>
      <c r="F32" s="58" t="s">
        <v>49</v>
      </c>
      <c r="G32" s="45">
        <v>0</v>
      </c>
      <c r="H32" s="131">
        <f>IF(B$17=0,0,G32/B$17)</f>
        <v>0</v>
      </c>
      <c r="I32" s="92">
        <v>7</v>
      </c>
    </row>
    <row r="33" spans="5:9" x14ac:dyDescent="0.4">
      <c r="E33" s="61" t="s">
        <v>95</v>
      </c>
      <c r="F33" s="58" t="s">
        <v>50</v>
      </c>
      <c r="G33" s="45">
        <v>0</v>
      </c>
      <c r="H33" s="131">
        <f>IF(B$17=0,0,G33/B$17)</f>
        <v>0</v>
      </c>
      <c r="I33" s="92">
        <v>1</v>
      </c>
    </row>
    <row r="34" spans="5:9" x14ac:dyDescent="0.4">
      <c r="E34" s="61" t="s">
        <v>96</v>
      </c>
      <c r="F34" s="58" t="s">
        <v>51</v>
      </c>
      <c r="G34" s="45">
        <v>0</v>
      </c>
      <c r="H34" s="131">
        <f>IF(B$17=0,0,G34/B$17)</f>
        <v>0</v>
      </c>
      <c r="I34" s="92">
        <v>4</v>
      </c>
    </row>
    <row r="35" spans="5:9" x14ac:dyDescent="0.4">
      <c r="E35" s="61" t="s">
        <v>97</v>
      </c>
      <c r="F35" s="58" t="s">
        <v>52</v>
      </c>
      <c r="G35" s="45">
        <v>0</v>
      </c>
      <c r="H35" s="131">
        <f>IF(B$17=0,0,G35/B$17)</f>
        <v>0</v>
      </c>
      <c r="I35" s="92">
        <v>1</v>
      </c>
    </row>
    <row r="36" spans="5:9" x14ac:dyDescent="0.4">
      <c r="E36" s="61" t="s">
        <v>98</v>
      </c>
      <c r="F36" s="58" t="s">
        <v>53</v>
      </c>
      <c r="G36" s="45">
        <v>0</v>
      </c>
      <c r="H36" s="131">
        <f>IF(B$17=0,0,G36/B$17)</f>
        <v>0</v>
      </c>
      <c r="I36" s="92">
        <v>3</v>
      </c>
    </row>
    <row r="37" spans="5:9" x14ac:dyDescent="0.4">
      <c r="E37" s="61" t="s">
        <v>99</v>
      </c>
      <c r="F37" s="58" t="s">
        <v>54</v>
      </c>
      <c r="G37" s="45">
        <v>0</v>
      </c>
      <c r="H37" s="131">
        <f>IF(B$17=0,0,G37/B$17)</f>
        <v>0</v>
      </c>
      <c r="I37" s="92">
        <v>1</v>
      </c>
    </row>
    <row r="38" spans="5:9" x14ac:dyDescent="0.4">
      <c r="E38" s="61" t="s">
        <v>100</v>
      </c>
      <c r="F38" s="58" t="s">
        <v>55</v>
      </c>
      <c r="G38" s="45">
        <v>0</v>
      </c>
      <c r="H38" s="131">
        <f>IF(B$17=0,0,G38/B$17)</f>
        <v>0</v>
      </c>
      <c r="I38" s="92">
        <v>1</v>
      </c>
    </row>
    <row r="39" spans="5:9" x14ac:dyDescent="0.4">
      <c r="E39" s="61" t="s">
        <v>101</v>
      </c>
      <c r="F39" s="58" t="s">
        <v>56</v>
      </c>
      <c r="G39" s="45">
        <v>0</v>
      </c>
      <c r="H39" s="131">
        <f>IF(B$17=0,0,G39/B$17)</f>
        <v>0</v>
      </c>
      <c r="I39" s="92">
        <v>1</v>
      </c>
    </row>
    <row r="40" spans="5:9" x14ac:dyDescent="0.4">
      <c r="E40" s="61" t="s">
        <v>102</v>
      </c>
      <c r="F40" s="58" t="s">
        <v>57</v>
      </c>
      <c r="G40" s="45">
        <v>0</v>
      </c>
      <c r="H40" s="131">
        <f>IF(B$17=0,0,G40/B$17)</f>
        <v>0</v>
      </c>
      <c r="I40" s="92">
        <v>3</v>
      </c>
    </row>
    <row r="41" spans="5:9" x14ac:dyDescent="0.4">
      <c r="E41" s="61" t="s">
        <v>103</v>
      </c>
      <c r="F41" s="58" t="s">
        <v>58</v>
      </c>
      <c r="G41" s="45">
        <v>0</v>
      </c>
      <c r="H41" s="131">
        <f>IF(B$17=0,0,G41/B$17)</f>
        <v>0</v>
      </c>
      <c r="I41" s="92">
        <v>1</v>
      </c>
    </row>
    <row r="42" spans="5:9" x14ac:dyDescent="0.4">
      <c r="E42" s="61" t="s">
        <v>104</v>
      </c>
      <c r="F42" s="58" t="s">
        <v>59</v>
      </c>
      <c r="G42" s="45">
        <v>0</v>
      </c>
      <c r="H42" s="131">
        <f>IF(B$17=0,0,G42/B$17)</f>
        <v>0</v>
      </c>
      <c r="I42" s="92">
        <v>1</v>
      </c>
    </row>
    <row r="43" spans="5:9" x14ac:dyDescent="0.4">
      <c r="E43" s="61" t="s">
        <v>105</v>
      </c>
      <c r="F43" s="58" t="s">
        <v>60</v>
      </c>
      <c r="G43" s="45">
        <v>0</v>
      </c>
      <c r="H43" s="131">
        <f>IF(B$17=0,0,G43/B$17)</f>
        <v>0</v>
      </c>
      <c r="I43" s="92">
        <v>1</v>
      </c>
    </row>
    <row r="44" spans="5:9" x14ac:dyDescent="0.4">
      <c r="E44" s="61" t="s">
        <v>106</v>
      </c>
      <c r="F44" s="58" t="s">
        <v>113</v>
      </c>
      <c r="G44" s="45">
        <v>0</v>
      </c>
      <c r="H44" s="131">
        <f>IF(B$17=0,0,G44/B$17)</f>
        <v>0</v>
      </c>
      <c r="I44" s="92">
        <v>1</v>
      </c>
    </row>
    <row r="45" spans="5:9" x14ac:dyDescent="0.4">
      <c r="E45" s="61" t="s">
        <v>107</v>
      </c>
      <c r="F45" s="58" t="s">
        <v>114</v>
      </c>
      <c r="G45" s="45">
        <v>0</v>
      </c>
      <c r="H45" s="131">
        <f>IF(B$17=0,0,G45/B$17)</f>
        <v>0</v>
      </c>
      <c r="I45" s="92">
        <v>3</v>
      </c>
    </row>
    <row r="46" spans="5:9" x14ac:dyDescent="0.4">
      <c r="E46" s="61" t="s">
        <v>108</v>
      </c>
      <c r="F46" s="58" t="s">
        <v>115</v>
      </c>
      <c r="G46" s="45">
        <v>0</v>
      </c>
      <c r="H46" s="131">
        <f>IF(B$17=0,0,G46/B$17)</f>
        <v>0</v>
      </c>
      <c r="I46" s="92">
        <v>1</v>
      </c>
    </row>
    <row r="47" spans="5:9" x14ac:dyDescent="0.4">
      <c r="E47" s="61" t="s">
        <v>109</v>
      </c>
      <c r="F47" s="58" t="s">
        <v>61</v>
      </c>
      <c r="G47" s="45">
        <v>0</v>
      </c>
      <c r="H47" s="131">
        <f>IF(B$17=0,0,G47/B$17)</f>
        <v>0</v>
      </c>
      <c r="I47" s="92">
        <v>1</v>
      </c>
    </row>
    <row r="48" spans="5:9" x14ac:dyDescent="0.4">
      <c r="E48" s="61" t="s">
        <v>110</v>
      </c>
      <c r="F48" s="58" t="s">
        <v>62</v>
      </c>
      <c r="G48" s="45">
        <v>0</v>
      </c>
      <c r="H48" s="131">
        <f>IF(B$17=0,0,G48/B$17)</f>
        <v>0</v>
      </c>
      <c r="I48" s="92">
        <v>1</v>
      </c>
    </row>
    <row r="49" spans="5:9" x14ac:dyDescent="0.4">
      <c r="E49" s="61" t="s">
        <v>111</v>
      </c>
      <c r="F49" s="58" t="s">
        <v>63</v>
      </c>
      <c r="G49" s="45">
        <v>0</v>
      </c>
      <c r="H49" s="131">
        <f>IF(B$17=0,0,G49/B$17)</f>
        <v>0</v>
      </c>
      <c r="I49" s="92">
        <v>1</v>
      </c>
    </row>
    <row r="50" spans="5:9" x14ac:dyDescent="0.4">
      <c r="E50" s="61" t="s">
        <v>112</v>
      </c>
      <c r="F50" s="58" t="s">
        <v>64</v>
      </c>
      <c r="G50" s="45">
        <v>0</v>
      </c>
      <c r="H50" s="131">
        <f>IF(B$17=0,0,G50/B$17)</f>
        <v>0</v>
      </c>
      <c r="I50" s="92">
        <v>1</v>
      </c>
    </row>
    <row r="51" spans="5:9" x14ac:dyDescent="0.4">
      <c r="E51" s="134" t="s">
        <v>180</v>
      </c>
      <c r="F51" s="135" t="s">
        <v>181</v>
      </c>
      <c r="G51" s="46">
        <v>0</v>
      </c>
      <c r="H51" s="136">
        <f>IF(B$17=0,0,G51/B$17)</f>
        <v>0</v>
      </c>
      <c r="I51" s="137">
        <v>8</v>
      </c>
    </row>
    <row r="52" spans="5:9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</row>
  </sheetData>
  <sortState xmlns:xlrd2="http://schemas.microsoft.com/office/spreadsheetml/2017/richdata2" ref="N15:Q1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39F5B-AFD8-416C-B88C-B528DBF0256B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6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7" customWidth="1"/>
    <col min="13" max="13" width="3.625" style="31" customWidth="1"/>
    <col min="14" max="14" width="9" style="113" customWidth="1"/>
    <col min="15" max="15" width="9" style="123" customWidth="1"/>
    <col min="16" max="16" width="9" style="117" customWidth="1"/>
    <col min="17" max="17" width="3.625" style="105" customWidth="1"/>
    <col min="18" max="16384" width="9" style="31"/>
  </cols>
  <sheetData>
    <row r="1" spans="1:17" x14ac:dyDescent="0.4">
      <c r="A1" s="51" t="s">
        <v>0</v>
      </c>
      <c r="B1" s="146" t="s">
        <v>301</v>
      </c>
      <c r="C1" s="147"/>
      <c r="E1" s="127" t="s">
        <v>167</v>
      </c>
      <c r="F1" s="139" t="s">
        <v>116</v>
      </c>
      <c r="G1" s="138" t="s">
        <v>117</v>
      </c>
      <c r="H1" s="128" t="s">
        <v>118</v>
      </c>
      <c r="I1" s="139" t="s">
        <v>154</v>
      </c>
      <c r="K1" s="32" t="s">
        <v>20</v>
      </c>
      <c r="L1" s="33" t="s">
        <v>121</v>
      </c>
      <c r="M1" s="129"/>
      <c r="N1" s="111" t="s">
        <v>138</v>
      </c>
      <c r="O1" s="32" t="s">
        <v>139</v>
      </c>
      <c r="P1" s="115" t="s">
        <v>117</v>
      </c>
      <c r="Q1" s="99" t="s">
        <v>158</v>
      </c>
    </row>
    <row r="2" spans="1:17" x14ac:dyDescent="0.4">
      <c r="A2" s="52" t="s">
        <v>9</v>
      </c>
      <c r="B2" s="148">
        <v>4</v>
      </c>
      <c r="C2" s="149"/>
      <c r="E2" s="60" t="s">
        <v>73</v>
      </c>
      <c r="F2" s="57" t="s">
        <v>28</v>
      </c>
      <c r="G2" s="44">
        <v>7</v>
      </c>
      <c r="H2" s="130">
        <f>IF(B$17=0,0,G2/B$17)</f>
        <v>0.7</v>
      </c>
      <c r="I2" s="91">
        <v>3</v>
      </c>
      <c r="K2" s="34">
        <v>0</v>
      </c>
      <c r="L2" s="96">
        <v>0</v>
      </c>
      <c r="N2" s="112" t="s">
        <v>132</v>
      </c>
      <c r="O2" s="119">
        <f t="shared" ref="O2:O7" si="0">IF(P2=0,0,Q2/P2)</f>
        <v>2675</v>
      </c>
      <c r="P2" s="116">
        <v>4</v>
      </c>
      <c r="Q2" s="100">
        <v>10700</v>
      </c>
    </row>
    <row r="3" spans="1:17" x14ac:dyDescent="0.4">
      <c r="A3" s="53" t="s">
        <v>8</v>
      </c>
      <c r="B3" s="150">
        <v>32</v>
      </c>
      <c r="C3" s="151"/>
      <c r="E3" s="61" t="s">
        <v>65</v>
      </c>
      <c r="F3" s="58" t="s">
        <v>21</v>
      </c>
      <c r="G3" s="45">
        <v>4</v>
      </c>
      <c r="H3" s="131">
        <f>IF(B$17=0,0,G3/B$17)</f>
        <v>0.4</v>
      </c>
      <c r="I3" s="92">
        <v>13</v>
      </c>
      <c r="K3" s="36">
        <v>1</v>
      </c>
      <c r="L3" s="97">
        <v>-57.7</v>
      </c>
      <c r="N3" s="113" t="s">
        <v>133</v>
      </c>
      <c r="O3" s="120">
        <f t="shared" si="0"/>
        <v>-7300</v>
      </c>
      <c r="P3" s="117">
        <v>4</v>
      </c>
      <c r="Q3" s="101">
        <v>-29200</v>
      </c>
    </row>
    <row r="4" spans="1:17" x14ac:dyDescent="0.4">
      <c r="A4" s="53" t="s">
        <v>6</v>
      </c>
      <c r="B4" s="152">
        <v>-56.2</v>
      </c>
      <c r="C4" s="153"/>
      <c r="E4" s="61" t="s">
        <v>67</v>
      </c>
      <c r="F4" s="58" t="s">
        <v>23</v>
      </c>
      <c r="G4" s="45">
        <v>2</v>
      </c>
      <c r="H4" s="131">
        <f>IF(B$17=0,0,G4/B$17)</f>
        <v>0.2</v>
      </c>
      <c r="I4" s="92">
        <v>15</v>
      </c>
      <c r="K4" s="36">
        <v>2</v>
      </c>
      <c r="L4" s="97">
        <v>-94.5</v>
      </c>
      <c r="N4" s="113" t="s">
        <v>134</v>
      </c>
      <c r="O4" s="120">
        <f t="shared" si="0"/>
        <v>-100</v>
      </c>
      <c r="P4" s="117">
        <v>4</v>
      </c>
      <c r="Q4" s="101">
        <v>-400</v>
      </c>
    </row>
    <row r="5" spans="1:17" x14ac:dyDescent="0.4">
      <c r="A5" s="53" t="s">
        <v>7</v>
      </c>
      <c r="B5" s="154">
        <f>IF(B$2=0,0,B$4/B$2)</f>
        <v>-14.05</v>
      </c>
      <c r="C5" s="155"/>
      <c r="E5" s="61" t="s">
        <v>245</v>
      </c>
      <c r="F5" s="58" t="s">
        <v>246</v>
      </c>
      <c r="G5" s="45">
        <v>2</v>
      </c>
      <c r="H5" s="131">
        <f>IF(B$17=0,0,G5/B$17)</f>
        <v>0.2</v>
      </c>
      <c r="I5" s="92">
        <v>15</v>
      </c>
      <c r="K5" s="36">
        <v>3</v>
      </c>
      <c r="L5" s="97">
        <v>-96.4</v>
      </c>
      <c r="N5" s="113" t="s">
        <v>135</v>
      </c>
      <c r="O5" s="120">
        <f t="shared" si="0"/>
        <v>3025</v>
      </c>
      <c r="P5" s="117">
        <v>4</v>
      </c>
      <c r="Q5" s="101">
        <v>12100</v>
      </c>
    </row>
    <row r="6" spans="1:17" x14ac:dyDescent="0.4">
      <c r="A6" s="53" t="s">
        <v>1</v>
      </c>
      <c r="B6" s="144">
        <f>IF(B$2=0,0,(B$7*1+B$8*2+B$9*3)/B$2)</f>
        <v>2.25</v>
      </c>
      <c r="C6" s="145"/>
      <c r="E6" s="61" t="s">
        <v>66</v>
      </c>
      <c r="F6" s="58" t="s">
        <v>22</v>
      </c>
      <c r="G6" s="45">
        <v>1</v>
      </c>
      <c r="H6" s="131">
        <f>IF(B$17=0,0,G6/B$17)</f>
        <v>0.1</v>
      </c>
      <c r="I6" s="92">
        <v>8</v>
      </c>
      <c r="K6" s="36">
        <v>4</v>
      </c>
      <c r="L6" s="97">
        <v>-56.2</v>
      </c>
      <c r="N6" s="113" t="s">
        <v>136</v>
      </c>
      <c r="O6" s="120">
        <f t="shared" si="0"/>
        <v>-6000</v>
      </c>
      <c r="P6" s="117">
        <v>3</v>
      </c>
      <c r="Q6" s="101">
        <v>-18000</v>
      </c>
    </row>
    <row r="7" spans="1:17" x14ac:dyDescent="0.4">
      <c r="A7" s="53" t="s">
        <v>2</v>
      </c>
      <c r="B7" s="45">
        <v>1</v>
      </c>
      <c r="C7" s="37">
        <f t="shared" ref="C7:C12" si="1">IF(B$2=0,0,B7/B$2)</f>
        <v>0.25</v>
      </c>
      <c r="E7" s="61" t="s">
        <v>68</v>
      </c>
      <c r="F7" s="58" t="s">
        <v>24</v>
      </c>
      <c r="G7" s="45">
        <v>1</v>
      </c>
      <c r="H7" s="131">
        <f>IF(B$17=0,0,G7/B$17)</f>
        <v>0.1</v>
      </c>
      <c r="I7" s="92">
        <v>14</v>
      </c>
      <c r="N7" s="114" t="s">
        <v>137</v>
      </c>
      <c r="O7" s="121">
        <f t="shared" si="0"/>
        <v>-5833.333333333333</v>
      </c>
      <c r="P7" s="118">
        <v>3</v>
      </c>
      <c r="Q7" s="102">
        <v>-17500</v>
      </c>
    </row>
    <row r="8" spans="1:17" x14ac:dyDescent="0.4">
      <c r="A8" s="53" t="s">
        <v>3</v>
      </c>
      <c r="B8" s="45">
        <v>1</v>
      </c>
      <c r="C8" s="37">
        <f t="shared" si="1"/>
        <v>0.25</v>
      </c>
      <c r="E8" s="61" t="s">
        <v>69</v>
      </c>
      <c r="F8" s="58" t="s">
        <v>12</v>
      </c>
      <c r="G8" s="45">
        <v>1</v>
      </c>
      <c r="H8" s="131">
        <f>IF(B$17=0,0,G8/B$17)</f>
        <v>0.1</v>
      </c>
      <c r="I8" s="92">
        <v>15</v>
      </c>
      <c r="N8" s="41"/>
      <c r="O8" s="125"/>
      <c r="P8" s="109"/>
      <c r="Q8" s="107"/>
    </row>
    <row r="9" spans="1:17" x14ac:dyDescent="0.4">
      <c r="A9" s="54" t="s">
        <v>4</v>
      </c>
      <c r="B9" s="46">
        <v>2</v>
      </c>
      <c r="C9" s="38">
        <f t="shared" si="1"/>
        <v>0.5</v>
      </c>
      <c r="E9" s="61" t="s">
        <v>70</v>
      </c>
      <c r="F9" s="58" t="s">
        <v>25</v>
      </c>
      <c r="G9" s="45">
        <v>1</v>
      </c>
      <c r="H9" s="131">
        <f>IF(B$17=0,0,G9/B$17)</f>
        <v>0.1</v>
      </c>
      <c r="I9" s="92">
        <v>13</v>
      </c>
      <c r="N9" s="111" t="s">
        <v>163</v>
      </c>
      <c r="O9" s="32" t="s">
        <v>121</v>
      </c>
      <c r="P9" s="115" t="s">
        <v>117</v>
      </c>
      <c r="Q9" s="103" t="s">
        <v>158</v>
      </c>
    </row>
    <row r="10" spans="1:17" x14ac:dyDescent="0.4">
      <c r="A10" s="54" t="s">
        <v>19</v>
      </c>
      <c r="B10" s="46">
        <v>1</v>
      </c>
      <c r="C10" s="38">
        <f t="shared" si="1"/>
        <v>0.25</v>
      </c>
      <c r="E10" s="61" t="s">
        <v>82</v>
      </c>
      <c r="F10" s="58" t="s">
        <v>37</v>
      </c>
      <c r="G10" s="45">
        <v>1</v>
      </c>
      <c r="H10" s="131">
        <f>IF(B$17=0,0,G10/B$17)</f>
        <v>0.1</v>
      </c>
      <c r="I10" s="92">
        <v>2</v>
      </c>
      <c r="N10" s="112" t="s">
        <v>164</v>
      </c>
      <c r="O10" s="122">
        <f>IF(P10=0,0,Q10/P10)</f>
        <v>-57.7</v>
      </c>
      <c r="P10" s="116">
        <v>1</v>
      </c>
      <c r="Q10" s="104">
        <v>-57.7</v>
      </c>
    </row>
    <row r="11" spans="1:17" x14ac:dyDescent="0.4">
      <c r="A11" s="54" t="s">
        <v>140</v>
      </c>
      <c r="B11" s="46">
        <v>1</v>
      </c>
      <c r="C11" s="38">
        <f t="shared" si="1"/>
        <v>0.25</v>
      </c>
      <c r="E11" s="61" t="s">
        <v>84</v>
      </c>
      <c r="F11" s="58" t="s">
        <v>39</v>
      </c>
      <c r="G11" s="45">
        <v>1</v>
      </c>
      <c r="H11" s="131">
        <f>IF(B$17=0,0,G11/B$17)</f>
        <v>0.1</v>
      </c>
      <c r="I11" s="92">
        <v>2</v>
      </c>
      <c r="N11" s="113" t="s">
        <v>165</v>
      </c>
      <c r="O11" s="123">
        <f>IF(P11=0,0,Q11/P11)</f>
        <v>0.50000000000000233</v>
      </c>
      <c r="P11" s="117">
        <v>3</v>
      </c>
      <c r="Q11" s="105">
        <v>1.5000000000000071</v>
      </c>
    </row>
    <row r="12" spans="1:17" x14ac:dyDescent="0.4">
      <c r="A12" s="55" t="s">
        <v>160</v>
      </c>
      <c r="B12" s="47">
        <v>1</v>
      </c>
      <c r="C12" s="40">
        <f t="shared" si="1"/>
        <v>0.25</v>
      </c>
      <c r="E12" s="61" t="s">
        <v>87</v>
      </c>
      <c r="F12" s="58" t="s">
        <v>42</v>
      </c>
      <c r="G12" s="45">
        <v>1</v>
      </c>
      <c r="H12" s="131">
        <f>IF(B$17=0,0,G12/B$17)</f>
        <v>0.1</v>
      </c>
      <c r="I12" s="92">
        <v>4</v>
      </c>
      <c r="N12" s="114" t="s">
        <v>166</v>
      </c>
      <c r="O12" s="124">
        <f>IF(P12=0,0,Q12/P12)</f>
        <v>0</v>
      </c>
      <c r="P12" s="118">
        <v>0</v>
      </c>
      <c r="Q12" s="106">
        <v>0</v>
      </c>
    </row>
    <row r="13" spans="1:17" x14ac:dyDescent="0.4">
      <c r="A13" s="56" t="s">
        <v>122</v>
      </c>
      <c r="B13" s="48">
        <v>7</v>
      </c>
      <c r="C13" s="42">
        <f>IF(B$3=0,0,B13/B$3)</f>
        <v>0.21875</v>
      </c>
      <c r="E13" s="61" t="s">
        <v>90</v>
      </c>
      <c r="F13" s="58" t="s">
        <v>45</v>
      </c>
      <c r="G13" s="45">
        <v>1</v>
      </c>
      <c r="H13" s="131">
        <f>IF(B$17=0,0,G13/B$17)</f>
        <v>0.1</v>
      </c>
      <c r="I13" s="92">
        <v>11</v>
      </c>
      <c r="N13" s="31"/>
      <c r="O13" s="108"/>
      <c r="P13" s="110"/>
      <c r="Q13" s="108"/>
    </row>
    <row r="14" spans="1:17" x14ac:dyDescent="0.4">
      <c r="A14" s="53" t="s">
        <v>119</v>
      </c>
      <c r="B14" s="45">
        <v>12</v>
      </c>
      <c r="C14" s="37">
        <f>IF(B$3=0,0,B14/B$3)</f>
        <v>0.375</v>
      </c>
      <c r="E14" s="61" t="s">
        <v>71</v>
      </c>
      <c r="F14" s="58" t="s">
        <v>26</v>
      </c>
      <c r="G14" s="45">
        <v>0</v>
      </c>
      <c r="H14" s="131">
        <f>IF(B$17=0,0,G14/B$17)</f>
        <v>0</v>
      </c>
      <c r="I14" s="92">
        <v>13</v>
      </c>
      <c r="N14" s="111" t="s">
        <v>155</v>
      </c>
      <c r="O14" s="32" t="s">
        <v>121</v>
      </c>
      <c r="P14" s="115" t="s">
        <v>117</v>
      </c>
      <c r="Q14" s="103" t="s">
        <v>158</v>
      </c>
    </row>
    <row r="15" spans="1:17" x14ac:dyDescent="0.4">
      <c r="A15" s="52" t="s">
        <v>124</v>
      </c>
      <c r="B15" s="44">
        <v>3</v>
      </c>
      <c r="C15" s="35">
        <f>IF(B$13=0,0,B15/B$13)</f>
        <v>0.42857142857142855</v>
      </c>
      <c r="E15" s="61" t="s">
        <v>72</v>
      </c>
      <c r="F15" s="58" t="s">
        <v>27</v>
      </c>
      <c r="G15" s="45">
        <v>0</v>
      </c>
      <c r="H15" s="131">
        <f>IF(B$17=0,0,G15/B$17)</f>
        <v>0</v>
      </c>
      <c r="I15" s="92">
        <v>13</v>
      </c>
      <c r="N15" s="112" t="s">
        <v>129</v>
      </c>
      <c r="O15" s="122">
        <f>IF(P15=0,0,Q15/P15)</f>
        <v>-5.75</v>
      </c>
      <c r="P15" s="116">
        <v>4</v>
      </c>
      <c r="Q15" s="104">
        <v>-23</v>
      </c>
    </row>
    <row r="16" spans="1:17" x14ac:dyDescent="0.4">
      <c r="A16" s="52" t="s">
        <v>125</v>
      </c>
      <c r="B16" s="44">
        <v>3</v>
      </c>
      <c r="C16" s="35">
        <f>IF(B$14=0,0,B16/B$14)</f>
        <v>0.25</v>
      </c>
      <c r="E16" s="61" t="s">
        <v>74</v>
      </c>
      <c r="F16" s="58" t="s">
        <v>29</v>
      </c>
      <c r="G16" s="45">
        <v>0</v>
      </c>
      <c r="H16" s="131">
        <f>IF(B$17=0,0,G16/B$17)</f>
        <v>0</v>
      </c>
      <c r="I16" s="92">
        <v>9</v>
      </c>
      <c r="N16" s="113" t="s">
        <v>177</v>
      </c>
      <c r="O16" s="123">
        <f>IF(P16=0,0,Q16/P16)</f>
        <v>-36.400000000000006</v>
      </c>
      <c r="P16" s="117">
        <v>4</v>
      </c>
      <c r="Q16" s="105">
        <v>-145.60000000000002</v>
      </c>
    </row>
    <row r="17" spans="1:9" x14ac:dyDescent="0.4">
      <c r="A17" s="52" t="s">
        <v>10</v>
      </c>
      <c r="B17" s="44">
        <f>B19+B18</f>
        <v>10</v>
      </c>
      <c r="C17" s="35">
        <f>IF(B$3=0,0,B17/B$3)</f>
        <v>0.3125</v>
      </c>
      <c r="E17" s="61" t="s">
        <v>75</v>
      </c>
      <c r="F17" s="58" t="s">
        <v>30</v>
      </c>
      <c r="G17" s="45">
        <v>0</v>
      </c>
      <c r="H17" s="131">
        <f>IF(B$17=0,0,G17/B$17)</f>
        <v>0</v>
      </c>
      <c r="I17" s="92">
        <v>7</v>
      </c>
    </row>
    <row r="18" spans="1:9" x14ac:dyDescent="0.4">
      <c r="A18" s="53" t="s">
        <v>12</v>
      </c>
      <c r="B18" s="45">
        <v>3</v>
      </c>
      <c r="C18" s="37">
        <f>IF(B$17=0,0,B18/B$17)</f>
        <v>0.3</v>
      </c>
      <c r="E18" s="61" t="s">
        <v>76</v>
      </c>
      <c r="F18" s="58" t="s">
        <v>31</v>
      </c>
      <c r="G18" s="45">
        <v>0</v>
      </c>
      <c r="H18" s="131">
        <f>IF(B$17=0,0,G18/B$17)</f>
        <v>0</v>
      </c>
      <c r="I18" s="92">
        <v>9</v>
      </c>
    </row>
    <row r="19" spans="1:9" x14ac:dyDescent="0.4">
      <c r="A19" s="53" t="s">
        <v>11</v>
      </c>
      <c r="B19" s="45">
        <v>7</v>
      </c>
      <c r="C19" s="37">
        <f>IF(B$17=0,0,B19/B$17)</f>
        <v>0.7</v>
      </c>
      <c r="E19" s="61" t="s">
        <v>77</v>
      </c>
      <c r="F19" s="58" t="s">
        <v>32</v>
      </c>
      <c r="G19" s="45">
        <v>0</v>
      </c>
      <c r="H19" s="131">
        <f>IF(B$17=0,0,G19/B$17)</f>
        <v>0</v>
      </c>
      <c r="I19" s="92">
        <v>1</v>
      </c>
    </row>
    <row r="20" spans="1:9" x14ac:dyDescent="0.4">
      <c r="A20" s="53" t="s">
        <v>13</v>
      </c>
      <c r="B20" s="45">
        <v>5</v>
      </c>
      <c r="C20" s="37">
        <f>IF(B$3=0,0,B20/B$3)</f>
        <v>0.15625</v>
      </c>
      <c r="E20" s="61" t="s">
        <v>78</v>
      </c>
      <c r="F20" s="58" t="s">
        <v>33</v>
      </c>
      <c r="G20" s="45">
        <v>0</v>
      </c>
      <c r="H20" s="131">
        <f>IF(B$17=0,0,G20/B$17)</f>
        <v>0</v>
      </c>
      <c r="I20" s="92">
        <v>9</v>
      </c>
    </row>
    <row r="21" spans="1:9" x14ac:dyDescent="0.4">
      <c r="A21" s="53" t="s">
        <v>191</v>
      </c>
      <c r="B21" s="45">
        <v>4</v>
      </c>
      <c r="C21" s="133">
        <v>4</v>
      </c>
      <c r="E21" s="61" t="s">
        <v>79</v>
      </c>
      <c r="F21" s="58" t="s">
        <v>34</v>
      </c>
      <c r="G21" s="45">
        <v>0</v>
      </c>
      <c r="H21" s="131">
        <f>IF(B$17=0,0,G21/B$17)</f>
        <v>0</v>
      </c>
      <c r="I21" s="92">
        <v>12</v>
      </c>
    </row>
    <row r="22" spans="1:9" x14ac:dyDescent="0.4">
      <c r="A22" s="53" t="s">
        <v>192</v>
      </c>
      <c r="B22" s="45">
        <v>12</v>
      </c>
      <c r="C22" s="133">
        <v>12</v>
      </c>
      <c r="E22" s="61" t="s">
        <v>80</v>
      </c>
      <c r="F22" s="58" t="s">
        <v>35</v>
      </c>
      <c r="G22" s="45">
        <v>0</v>
      </c>
      <c r="H22" s="131">
        <f>IF(B$17=0,0,G22/B$17)</f>
        <v>0</v>
      </c>
      <c r="I22" s="92">
        <v>12</v>
      </c>
    </row>
    <row r="23" spans="1:9" x14ac:dyDescent="0.4">
      <c r="A23" s="53" t="s">
        <v>5</v>
      </c>
      <c r="B23" s="49">
        <f>IF(B$17=0,0,C23/B$17)</f>
        <v>4940</v>
      </c>
      <c r="C23" s="39">
        <v>49400</v>
      </c>
      <c r="E23" s="61" t="s">
        <v>81</v>
      </c>
      <c r="F23" s="58" t="s">
        <v>36</v>
      </c>
      <c r="G23" s="45">
        <v>0</v>
      </c>
      <c r="H23" s="131">
        <f>IF(B$17=0,0,G23/B$17)</f>
        <v>0</v>
      </c>
      <c r="I23" s="92">
        <v>1</v>
      </c>
    </row>
    <row r="24" spans="1:9" x14ac:dyDescent="0.4">
      <c r="A24" s="53" t="s">
        <v>14</v>
      </c>
      <c r="B24" s="49">
        <f>IF(B$20=0,0,C24/B$20)</f>
        <v>-11280</v>
      </c>
      <c r="C24" s="39">
        <v>-56400</v>
      </c>
      <c r="E24" s="61" t="s">
        <v>83</v>
      </c>
      <c r="F24" s="58" t="s">
        <v>38</v>
      </c>
      <c r="G24" s="45">
        <v>0</v>
      </c>
      <c r="H24" s="131">
        <f>IF(B$17=0,0,G24/B$17)</f>
        <v>0</v>
      </c>
      <c r="I24" s="92">
        <v>1</v>
      </c>
    </row>
    <row r="25" spans="1:9" x14ac:dyDescent="0.4">
      <c r="A25" s="53" t="s">
        <v>305</v>
      </c>
      <c r="B25" s="49">
        <f>IF($B$17-B$16=0,0,C25/($B$17-B$16))</f>
        <v>5471.4285714285716</v>
      </c>
      <c r="C25" s="39">
        <v>38300</v>
      </c>
      <c r="E25" s="61" t="s">
        <v>85</v>
      </c>
      <c r="F25" s="58" t="s">
        <v>40</v>
      </c>
      <c r="G25" s="45">
        <v>0</v>
      </c>
      <c r="H25" s="131">
        <f>IF(B$17=0,0,G25/B$17)</f>
        <v>0</v>
      </c>
      <c r="I25" s="92">
        <v>6</v>
      </c>
    </row>
    <row r="26" spans="1:9" x14ac:dyDescent="0.4">
      <c r="A26" s="55" t="s">
        <v>304</v>
      </c>
      <c r="B26" s="50">
        <f>IF(B$16=0,0,C26/B$16)</f>
        <v>3700</v>
      </c>
      <c r="C26" s="43">
        <v>11100</v>
      </c>
      <c r="E26" s="61" t="s">
        <v>86</v>
      </c>
      <c r="F26" s="58" t="s">
        <v>41</v>
      </c>
      <c r="G26" s="45">
        <v>0</v>
      </c>
      <c r="H26" s="131">
        <f>IF(B$17=0,0,G26/B$17)</f>
        <v>0</v>
      </c>
      <c r="I26" s="92">
        <v>5</v>
      </c>
    </row>
    <row r="27" spans="1:9" x14ac:dyDescent="0.4">
      <c r="A27" s="88" t="s">
        <v>142</v>
      </c>
      <c r="B27" s="142">
        <v>2</v>
      </c>
      <c r="C27" s="143"/>
      <c r="E27" s="61" t="s">
        <v>88</v>
      </c>
      <c r="F27" s="58" t="s">
        <v>43</v>
      </c>
      <c r="G27" s="45">
        <v>0</v>
      </c>
      <c r="H27" s="131">
        <f>IF(B$17=0,0,G27/B$17)</f>
        <v>0</v>
      </c>
      <c r="I27" s="92">
        <v>7</v>
      </c>
    </row>
    <row r="28" spans="1:9" x14ac:dyDescent="0.4">
      <c r="A28" s="56" t="s">
        <v>152</v>
      </c>
      <c r="B28" s="140">
        <v>55200</v>
      </c>
      <c r="C28" s="141"/>
      <c r="E28" s="61" t="s">
        <v>89</v>
      </c>
      <c r="F28" s="58" t="s">
        <v>44</v>
      </c>
      <c r="G28" s="45">
        <v>0</v>
      </c>
      <c r="H28" s="131">
        <f>IF(B$17=0,0,G28/B$17)</f>
        <v>0</v>
      </c>
      <c r="I28" s="92">
        <v>5</v>
      </c>
    </row>
    <row r="29" spans="1:9" x14ac:dyDescent="0.4">
      <c r="A29" s="55" t="s">
        <v>143</v>
      </c>
      <c r="B29" s="63">
        <v>0</v>
      </c>
      <c r="C29" s="40">
        <f>IF(B$3=0,0,B29/B$3)</f>
        <v>0</v>
      </c>
      <c r="E29" s="61" t="s">
        <v>91</v>
      </c>
      <c r="F29" s="58" t="s">
        <v>46</v>
      </c>
      <c r="G29" s="45">
        <v>0</v>
      </c>
      <c r="H29" s="131">
        <f>IF(B$17=0,0,G29/B$17)</f>
        <v>0</v>
      </c>
      <c r="I29" s="92">
        <v>5</v>
      </c>
    </row>
    <row r="30" spans="1:9" x14ac:dyDescent="0.4">
      <c r="E30" s="61" t="s">
        <v>92</v>
      </c>
      <c r="F30" s="58" t="s">
        <v>47</v>
      </c>
      <c r="G30" s="45">
        <v>0</v>
      </c>
      <c r="H30" s="131">
        <f>IF(B$17=0,0,G30/B$17)</f>
        <v>0</v>
      </c>
      <c r="I30" s="92">
        <v>10</v>
      </c>
    </row>
    <row r="31" spans="1:9" x14ac:dyDescent="0.4">
      <c r="E31" s="61" t="s">
        <v>93</v>
      </c>
      <c r="F31" s="58" t="s">
        <v>48</v>
      </c>
      <c r="G31" s="45">
        <v>0</v>
      </c>
      <c r="H31" s="131">
        <f>IF(B$17=0,0,G31/B$17)</f>
        <v>0</v>
      </c>
      <c r="I31" s="92">
        <v>7</v>
      </c>
    </row>
    <row r="32" spans="1:9" x14ac:dyDescent="0.4">
      <c r="E32" s="61" t="s">
        <v>94</v>
      </c>
      <c r="F32" s="58" t="s">
        <v>49</v>
      </c>
      <c r="G32" s="45">
        <v>0</v>
      </c>
      <c r="H32" s="131">
        <f>IF(B$17=0,0,G32/B$17)</f>
        <v>0</v>
      </c>
      <c r="I32" s="92">
        <v>7</v>
      </c>
    </row>
    <row r="33" spans="5:9" x14ac:dyDescent="0.4">
      <c r="E33" s="61" t="s">
        <v>95</v>
      </c>
      <c r="F33" s="58" t="s">
        <v>50</v>
      </c>
      <c r="G33" s="45">
        <v>0</v>
      </c>
      <c r="H33" s="131">
        <f>IF(B$17=0,0,G33/B$17)</f>
        <v>0</v>
      </c>
      <c r="I33" s="92">
        <v>1</v>
      </c>
    </row>
    <row r="34" spans="5:9" x14ac:dyDescent="0.4">
      <c r="E34" s="61" t="s">
        <v>96</v>
      </c>
      <c r="F34" s="58" t="s">
        <v>51</v>
      </c>
      <c r="G34" s="45">
        <v>0</v>
      </c>
      <c r="H34" s="131">
        <f>IF(B$17=0,0,G34/B$17)</f>
        <v>0</v>
      </c>
      <c r="I34" s="92">
        <v>4</v>
      </c>
    </row>
    <row r="35" spans="5:9" x14ac:dyDescent="0.4">
      <c r="E35" s="61" t="s">
        <v>97</v>
      </c>
      <c r="F35" s="58" t="s">
        <v>52</v>
      </c>
      <c r="G35" s="45">
        <v>0</v>
      </c>
      <c r="H35" s="131">
        <f>IF(B$17=0,0,G35/B$17)</f>
        <v>0</v>
      </c>
      <c r="I35" s="92">
        <v>1</v>
      </c>
    </row>
    <row r="36" spans="5:9" x14ac:dyDescent="0.4">
      <c r="E36" s="61" t="s">
        <v>98</v>
      </c>
      <c r="F36" s="58" t="s">
        <v>53</v>
      </c>
      <c r="G36" s="45">
        <v>0</v>
      </c>
      <c r="H36" s="131">
        <f>IF(B$17=0,0,G36/B$17)</f>
        <v>0</v>
      </c>
      <c r="I36" s="92">
        <v>3</v>
      </c>
    </row>
    <row r="37" spans="5:9" x14ac:dyDescent="0.4">
      <c r="E37" s="61" t="s">
        <v>99</v>
      </c>
      <c r="F37" s="58" t="s">
        <v>54</v>
      </c>
      <c r="G37" s="45">
        <v>0</v>
      </c>
      <c r="H37" s="131">
        <f>IF(B$17=0,0,G37/B$17)</f>
        <v>0</v>
      </c>
      <c r="I37" s="92">
        <v>1</v>
      </c>
    </row>
    <row r="38" spans="5:9" x14ac:dyDescent="0.4">
      <c r="E38" s="61" t="s">
        <v>100</v>
      </c>
      <c r="F38" s="58" t="s">
        <v>55</v>
      </c>
      <c r="G38" s="45">
        <v>0</v>
      </c>
      <c r="H38" s="131">
        <f>IF(B$17=0,0,G38/B$17)</f>
        <v>0</v>
      </c>
      <c r="I38" s="92">
        <v>1</v>
      </c>
    </row>
    <row r="39" spans="5:9" x14ac:dyDescent="0.4">
      <c r="E39" s="61" t="s">
        <v>101</v>
      </c>
      <c r="F39" s="58" t="s">
        <v>56</v>
      </c>
      <c r="G39" s="45">
        <v>0</v>
      </c>
      <c r="H39" s="131">
        <f>IF(B$17=0,0,G39/B$17)</f>
        <v>0</v>
      </c>
      <c r="I39" s="92">
        <v>1</v>
      </c>
    </row>
    <row r="40" spans="5:9" x14ac:dyDescent="0.4">
      <c r="E40" s="61" t="s">
        <v>102</v>
      </c>
      <c r="F40" s="58" t="s">
        <v>57</v>
      </c>
      <c r="G40" s="45">
        <v>0</v>
      </c>
      <c r="H40" s="131">
        <f>IF(B$17=0,0,G40/B$17)</f>
        <v>0</v>
      </c>
      <c r="I40" s="92">
        <v>3</v>
      </c>
    </row>
    <row r="41" spans="5:9" x14ac:dyDescent="0.4">
      <c r="E41" s="61" t="s">
        <v>103</v>
      </c>
      <c r="F41" s="58" t="s">
        <v>58</v>
      </c>
      <c r="G41" s="45">
        <v>0</v>
      </c>
      <c r="H41" s="131">
        <f>IF(B$17=0,0,G41/B$17)</f>
        <v>0</v>
      </c>
      <c r="I41" s="92">
        <v>1</v>
      </c>
    </row>
    <row r="42" spans="5:9" x14ac:dyDescent="0.4">
      <c r="E42" s="61" t="s">
        <v>104</v>
      </c>
      <c r="F42" s="58" t="s">
        <v>59</v>
      </c>
      <c r="G42" s="45">
        <v>0</v>
      </c>
      <c r="H42" s="131">
        <f>IF(B$17=0,0,G42/B$17)</f>
        <v>0</v>
      </c>
      <c r="I42" s="92">
        <v>1</v>
      </c>
    </row>
    <row r="43" spans="5:9" x14ac:dyDescent="0.4">
      <c r="E43" s="61" t="s">
        <v>105</v>
      </c>
      <c r="F43" s="58" t="s">
        <v>60</v>
      </c>
      <c r="G43" s="45">
        <v>0</v>
      </c>
      <c r="H43" s="131">
        <f>IF(B$17=0,0,G43/B$17)</f>
        <v>0</v>
      </c>
      <c r="I43" s="92">
        <v>1</v>
      </c>
    </row>
    <row r="44" spans="5:9" x14ac:dyDescent="0.4">
      <c r="E44" s="61" t="s">
        <v>106</v>
      </c>
      <c r="F44" s="58" t="s">
        <v>113</v>
      </c>
      <c r="G44" s="45">
        <v>0</v>
      </c>
      <c r="H44" s="131">
        <f>IF(B$17=0,0,G44/B$17)</f>
        <v>0</v>
      </c>
      <c r="I44" s="92">
        <v>1</v>
      </c>
    </row>
    <row r="45" spans="5:9" x14ac:dyDescent="0.4">
      <c r="E45" s="61" t="s">
        <v>107</v>
      </c>
      <c r="F45" s="58" t="s">
        <v>114</v>
      </c>
      <c r="G45" s="45">
        <v>0</v>
      </c>
      <c r="H45" s="131">
        <f>IF(B$17=0,0,G45/B$17)</f>
        <v>0</v>
      </c>
      <c r="I45" s="92">
        <v>3</v>
      </c>
    </row>
    <row r="46" spans="5:9" x14ac:dyDescent="0.4">
      <c r="E46" s="61" t="s">
        <v>108</v>
      </c>
      <c r="F46" s="58" t="s">
        <v>115</v>
      </c>
      <c r="G46" s="45">
        <v>0</v>
      </c>
      <c r="H46" s="131">
        <f>IF(B$17=0,0,G46/B$17)</f>
        <v>0</v>
      </c>
      <c r="I46" s="92">
        <v>1</v>
      </c>
    </row>
    <row r="47" spans="5:9" x14ac:dyDescent="0.4">
      <c r="E47" s="61" t="s">
        <v>109</v>
      </c>
      <c r="F47" s="58" t="s">
        <v>61</v>
      </c>
      <c r="G47" s="45">
        <v>0</v>
      </c>
      <c r="H47" s="131">
        <f>IF(B$17=0,0,G47/B$17)</f>
        <v>0</v>
      </c>
      <c r="I47" s="92">
        <v>1</v>
      </c>
    </row>
    <row r="48" spans="5:9" x14ac:dyDescent="0.4">
      <c r="E48" s="61" t="s">
        <v>110</v>
      </c>
      <c r="F48" s="58" t="s">
        <v>62</v>
      </c>
      <c r="G48" s="45">
        <v>0</v>
      </c>
      <c r="H48" s="131">
        <f>IF(B$17=0,0,G48/B$17)</f>
        <v>0</v>
      </c>
      <c r="I48" s="92">
        <v>1</v>
      </c>
    </row>
    <row r="49" spans="5:9" x14ac:dyDescent="0.4">
      <c r="E49" s="61" t="s">
        <v>111</v>
      </c>
      <c r="F49" s="58" t="s">
        <v>63</v>
      </c>
      <c r="G49" s="45">
        <v>0</v>
      </c>
      <c r="H49" s="131">
        <f>IF(B$17=0,0,G49/B$17)</f>
        <v>0</v>
      </c>
      <c r="I49" s="92">
        <v>1</v>
      </c>
    </row>
    <row r="50" spans="5:9" x14ac:dyDescent="0.4">
      <c r="E50" s="61" t="s">
        <v>112</v>
      </c>
      <c r="F50" s="58" t="s">
        <v>64</v>
      </c>
      <c r="G50" s="45">
        <v>0</v>
      </c>
      <c r="H50" s="131">
        <f>IF(B$17=0,0,G50/B$17)</f>
        <v>0</v>
      </c>
      <c r="I50" s="92">
        <v>1</v>
      </c>
    </row>
    <row r="51" spans="5:9" x14ac:dyDescent="0.4">
      <c r="E51" s="134" t="s">
        <v>180</v>
      </c>
      <c r="F51" s="135" t="s">
        <v>181</v>
      </c>
      <c r="G51" s="46">
        <v>0</v>
      </c>
      <c r="H51" s="136">
        <f>IF(B$17=0,0,G51/B$17)</f>
        <v>0</v>
      </c>
      <c r="I51" s="137">
        <v>8</v>
      </c>
    </row>
    <row r="52" spans="5:9" x14ac:dyDescent="0.4">
      <c r="E52" s="62" t="s">
        <v>247</v>
      </c>
      <c r="F52" s="59" t="s">
        <v>248</v>
      </c>
      <c r="G52" s="47">
        <v>0</v>
      </c>
      <c r="H52" s="132">
        <f>IF(B$17=0,0,G52/B$17)</f>
        <v>0</v>
      </c>
      <c r="I52" s="93">
        <v>1</v>
      </c>
    </row>
  </sheetData>
  <sortState xmlns:xlrd2="http://schemas.microsoft.com/office/spreadsheetml/2017/richdata2" ref="N15:Q16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89F08-052D-47FA-9E74-A37D2AB579B3}">
  <sheetPr codeName="Sheet35"/>
  <dimension ref="A1:Q7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301</v>
      </c>
      <c r="B1" s="68" t="s">
        <v>301</v>
      </c>
      <c r="C1" s="68" t="s">
        <v>301</v>
      </c>
      <c r="D1" s="69" t="s">
        <v>301</v>
      </c>
      <c r="E1" s="68" t="s">
        <v>301</v>
      </c>
      <c r="F1" s="68" t="s">
        <v>301</v>
      </c>
      <c r="G1" s="68" t="s">
        <v>301</v>
      </c>
      <c r="H1" s="68" t="s">
        <v>301</v>
      </c>
      <c r="I1" s="68" t="s">
        <v>301</v>
      </c>
      <c r="J1" s="68" t="s">
        <v>301</v>
      </c>
      <c r="K1" s="68" t="s">
        <v>301</v>
      </c>
      <c r="L1" s="68" t="s">
        <v>301</v>
      </c>
      <c r="M1" s="68" t="s">
        <v>301</v>
      </c>
      <c r="N1" s="68" t="s">
        <v>301</v>
      </c>
      <c r="O1" s="68" t="s">
        <v>301</v>
      </c>
      <c r="P1" s="68" t="s">
        <v>301</v>
      </c>
      <c r="Q1" s="68" t="s">
        <v>301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-57.7</v>
      </c>
      <c r="C4" s="64">
        <v>-57.7</v>
      </c>
      <c r="D4" s="69">
        <v>3</v>
      </c>
      <c r="E4" s="65">
        <v>0</v>
      </c>
      <c r="F4" s="65">
        <v>1</v>
      </c>
      <c r="G4" s="65">
        <v>0.27272727272727271</v>
      </c>
      <c r="H4" s="65">
        <v>0.36363636363636365</v>
      </c>
      <c r="I4" s="66">
        <v>4566.666666666667</v>
      </c>
      <c r="J4" s="66">
        <v>-11100</v>
      </c>
      <c r="K4" s="65">
        <v>1</v>
      </c>
      <c r="L4" s="65">
        <v>0</v>
      </c>
      <c r="M4" s="65">
        <v>0.18181818181818182</v>
      </c>
      <c r="N4" s="65">
        <v>0.27272727272727271</v>
      </c>
      <c r="O4" s="65">
        <v>0.5</v>
      </c>
      <c r="P4" s="65">
        <v>0</v>
      </c>
      <c r="Q4" s="65">
        <v>0.33333333333333331</v>
      </c>
    </row>
    <row r="5" spans="1:17" x14ac:dyDescent="0.4">
      <c r="A5" s="67">
        <v>2</v>
      </c>
      <c r="B5" s="64">
        <v>-94.5</v>
      </c>
      <c r="C5" s="64">
        <v>-47.25</v>
      </c>
      <c r="D5" s="69">
        <v>3</v>
      </c>
      <c r="E5" s="65">
        <v>0</v>
      </c>
      <c r="F5" s="65">
        <v>1</v>
      </c>
      <c r="G5" s="65">
        <v>0.17647058823529413</v>
      </c>
      <c r="H5" s="65">
        <v>0.23529411764705882</v>
      </c>
      <c r="I5" s="66">
        <v>4566.666666666667</v>
      </c>
      <c r="J5" s="66">
        <v>-11100</v>
      </c>
      <c r="K5" s="65">
        <v>0.5</v>
      </c>
      <c r="L5" s="65">
        <v>0</v>
      </c>
      <c r="M5" s="65">
        <v>0.23529411764705882</v>
      </c>
      <c r="N5" s="65">
        <v>0.35294117647058826</v>
      </c>
      <c r="O5" s="65">
        <v>0.25</v>
      </c>
      <c r="P5" s="65">
        <v>0</v>
      </c>
      <c r="Q5" s="65">
        <v>0.33333333333333331</v>
      </c>
    </row>
    <row r="6" spans="1:17" x14ac:dyDescent="0.4">
      <c r="A6" s="67">
        <v>3</v>
      </c>
      <c r="B6" s="64">
        <v>-96.4</v>
      </c>
      <c r="C6" s="64">
        <v>-32.133333333333333</v>
      </c>
      <c r="D6" s="69">
        <v>2.6666666666666665</v>
      </c>
      <c r="E6" s="65">
        <v>0</v>
      </c>
      <c r="F6" s="65">
        <v>0.66666666666666663</v>
      </c>
      <c r="G6" s="65">
        <v>0.24</v>
      </c>
      <c r="H6" s="65">
        <v>0.2</v>
      </c>
      <c r="I6" s="66">
        <v>5616.666666666667</v>
      </c>
      <c r="J6" s="66">
        <v>-11280</v>
      </c>
      <c r="K6" s="65">
        <v>0.33333333333333331</v>
      </c>
      <c r="L6" s="65">
        <v>0</v>
      </c>
      <c r="M6" s="65">
        <v>0.24</v>
      </c>
      <c r="N6" s="65">
        <v>0.36</v>
      </c>
      <c r="O6" s="65">
        <v>0.5</v>
      </c>
      <c r="P6" s="65">
        <v>0.1111111111111111</v>
      </c>
      <c r="Q6" s="65">
        <v>0.33333333333333331</v>
      </c>
    </row>
    <row r="7" spans="1:17" x14ac:dyDescent="0.4">
      <c r="A7" s="67">
        <v>4</v>
      </c>
      <c r="B7" s="64">
        <v>-56.2</v>
      </c>
      <c r="C7" s="64">
        <v>-14.05</v>
      </c>
      <c r="D7" s="69">
        <v>2.25</v>
      </c>
      <c r="E7" s="65">
        <v>0.25</v>
      </c>
      <c r="F7" s="65">
        <v>0.5</v>
      </c>
      <c r="G7" s="65">
        <v>0.3125</v>
      </c>
      <c r="H7" s="65">
        <v>0.15625</v>
      </c>
      <c r="I7" s="66">
        <v>4940</v>
      </c>
      <c r="J7" s="66">
        <v>-11280</v>
      </c>
      <c r="K7" s="65">
        <v>0.25</v>
      </c>
      <c r="L7" s="65">
        <v>0.25</v>
      </c>
      <c r="M7" s="65">
        <v>0.21875</v>
      </c>
      <c r="N7" s="65">
        <v>0.375</v>
      </c>
      <c r="O7" s="65">
        <v>0.42857142857142855</v>
      </c>
      <c r="P7" s="65">
        <v>0.25</v>
      </c>
      <c r="Q7" s="65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AC84E-8431-49D8-8955-0AA755A50C16}">
  <sheetPr codeName="Sheet33"/>
  <dimension ref="A1:Q12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271</v>
      </c>
      <c r="B1" s="68" t="s">
        <v>271</v>
      </c>
      <c r="C1" s="68" t="s">
        <v>271</v>
      </c>
      <c r="D1" s="69" t="s">
        <v>271</v>
      </c>
      <c r="E1" s="68" t="s">
        <v>271</v>
      </c>
      <c r="F1" s="68" t="s">
        <v>271</v>
      </c>
      <c r="G1" s="68" t="s">
        <v>271</v>
      </c>
      <c r="H1" s="68" t="s">
        <v>271</v>
      </c>
      <c r="I1" s="68" t="s">
        <v>271</v>
      </c>
      <c r="J1" s="68" t="s">
        <v>271</v>
      </c>
      <c r="K1" s="68" t="s">
        <v>271</v>
      </c>
      <c r="L1" s="68" t="s">
        <v>271</v>
      </c>
      <c r="M1" s="68" t="s">
        <v>271</v>
      </c>
      <c r="N1" s="68" t="s">
        <v>271</v>
      </c>
      <c r="O1" s="68" t="s">
        <v>271</v>
      </c>
      <c r="P1" s="68" t="s">
        <v>271</v>
      </c>
      <c r="Q1" s="68" t="s">
        <v>271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-43.2</v>
      </c>
      <c r="C4" s="64">
        <v>-43.2</v>
      </c>
      <c r="D4" s="69">
        <v>3</v>
      </c>
      <c r="E4" s="65">
        <v>0</v>
      </c>
      <c r="F4" s="65">
        <v>1</v>
      </c>
      <c r="G4" s="65">
        <v>0.14285714285714285</v>
      </c>
      <c r="H4" s="65">
        <v>0.14285714285714285</v>
      </c>
      <c r="I4" s="66">
        <v>3900</v>
      </c>
      <c r="J4" s="66">
        <v>-3200</v>
      </c>
      <c r="K4" s="65">
        <v>0</v>
      </c>
      <c r="L4" s="65">
        <v>0</v>
      </c>
      <c r="M4" s="65">
        <v>0</v>
      </c>
      <c r="N4" s="65">
        <v>0.2857142857142857</v>
      </c>
      <c r="O4" s="65">
        <v>0</v>
      </c>
      <c r="P4" s="65">
        <v>0.5</v>
      </c>
      <c r="Q4" s="65">
        <v>0</v>
      </c>
    </row>
    <row r="5" spans="1:17" x14ac:dyDescent="0.4">
      <c r="A5" s="67">
        <v>2</v>
      </c>
      <c r="B5" s="64">
        <v>-96.5</v>
      </c>
      <c r="C5" s="64">
        <v>-48.25</v>
      </c>
      <c r="D5" s="69">
        <v>3</v>
      </c>
      <c r="E5" s="65">
        <v>0</v>
      </c>
      <c r="F5" s="65">
        <v>1</v>
      </c>
      <c r="G5" s="65">
        <v>0.19047619047619047</v>
      </c>
      <c r="H5" s="65">
        <v>0.23809523809523808</v>
      </c>
      <c r="I5" s="66">
        <v>4475</v>
      </c>
      <c r="J5" s="66">
        <v>-6140</v>
      </c>
      <c r="K5" s="65">
        <v>0</v>
      </c>
      <c r="L5" s="65">
        <v>0</v>
      </c>
      <c r="M5" s="65">
        <v>4.7619047619047616E-2</v>
      </c>
      <c r="N5" s="65">
        <v>0.47619047619047616</v>
      </c>
      <c r="O5" s="65">
        <v>1</v>
      </c>
      <c r="P5" s="65">
        <v>0.2</v>
      </c>
      <c r="Q5" s="65">
        <v>0.25</v>
      </c>
    </row>
    <row r="6" spans="1:17" x14ac:dyDescent="0.4">
      <c r="A6" s="67">
        <v>3</v>
      </c>
      <c r="B6" s="64">
        <v>-151.9</v>
      </c>
      <c r="C6" s="64">
        <v>-50.633333333333333</v>
      </c>
      <c r="D6" s="69">
        <v>3</v>
      </c>
      <c r="E6" s="65">
        <v>0</v>
      </c>
      <c r="F6" s="65">
        <v>1</v>
      </c>
      <c r="G6" s="65">
        <v>0.16</v>
      </c>
      <c r="H6" s="65">
        <v>0.28000000000000003</v>
      </c>
      <c r="I6" s="66">
        <v>4475</v>
      </c>
      <c r="J6" s="66">
        <v>-6514.2857142857147</v>
      </c>
      <c r="K6" s="65">
        <v>0.33333333333333331</v>
      </c>
      <c r="L6" s="65">
        <v>0</v>
      </c>
      <c r="M6" s="65">
        <v>0.04</v>
      </c>
      <c r="N6" s="65">
        <v>0.48</v>
      </c>
      <c r="O6" s="65">
        <v>1</v>
      </c>
      <c r="P6" s="65">
        <v>0.16666666666666666</v>
      </c>
      <c r="Q6" s="65">
        <v>0.25</v>
      </c>
    </row>
    <row r="7" spans="1:17" x14ac:dyDescent="0.4">
      <c r="A7" s="67">
        <v>4</v>
      </c>
      <c r="B7" s="64">
        <v>-134.1</v>
      </c>
      <c r="C7" s="64">
        <v>-33.524999999999999</v>
      </c>
      <c r="D7" s="69">
        <v>2.75</v>
      </c>
      <c r="E7" s="65">
        <v>0</v>
      </c>
      <c r="F7" s="65">
        <v>0.75</v>
      </c>
      <c r="G7" s="65">
        <v>0.2</v>
      </c>
      <c r="H7" s="65">
        <v>0.22857142857142856</v>
      </c>
      <c r="I7" s="66">
        <v>5157.1428571428569</v>
      </c>
      <c r="J7" s="66">
        <v>-6187.5</v>
      </c>
      <c r="K7" s="65">
        <v>0.25</v>
      </c>
      <c r="L7" s="65">
        <v>0</v>
      </c>
      <c r="M7" s="65">
        <v>5.7142857142857141E-2</v>
      </c>
      <c r="N7" s="65">
        <v>0.4</v>
      </c>
      <c r="O7" s="65">
        <v>1</v>
      </c>
      <c r="P7" s="65">
        <v>0.21428571428571427</v>
      </c>
      <c r="Q7" s="65">
        <v>0.42857142857142855</v>
      </c>
    </row>
    <row r="8" spans="1:17" x14ac:dyDescent="0.4">
      <c r="A8" s="67">
        <v>5</v>
      </c>
      <c r="B8" s="64">
        <v>-152</v>
      </c>
      <c r="C8" s="64">
        <v>-30.4</v>
      </c>
      <c r="D8" s="69">
        <v>2.6</v>
      </c>
      <c r="E8" s="65">
        <v>0</v>
      </c>
      <c r="F8" s="65">
        <v>0.6</v>
      </c>
      <c r="G8" s="65">
        <v>0.24444444444444444</v>
      </c>
      <c r="H8" s="65">
        <v>0.2</v>
      </c>
      <c r="I8" s="66">
        <v>6727.272727272727</v>
      </c>
      <c r="J8" s="66">
        <v>-6077.7777777777774</v>
      </c>
      <c r="K8" s="65">
        <v>0.2</v>
      </c>
      <c r="L8" s="65">
        <v>0</v>
      </c>
      <c r="M8" s="65">
        <v>0.13333333333333333</v>
      </c>
      <c r="N8" s="65">
        <v>0.35555555555555557</v>
      </c>
      <c r="O8" s="65">
        <v>0.83333333333333337</v>
      </c>
      <c r="P8" s="65">
        <v>0.25</v>
      </c>
      <c r="Q8" s="65">
        <v>0.36363636363636365</v>
      </c>
    </row>
    <row r="9" spans="1:17" x14ac:dyDescent="0.4">
      <c r="A9" s="67">
        <v>6</v>
      </c>
      <c r="B9" s="64">
        <v>-201.8</v>
      </c>
      <c r="C9" s="64">
        <v>-33.633333333333333</v>
      </c>
      <c r="D9" s="69">
        <v>2.6666666666666665</v>
      </c>
      <c r="E9" s="65">
        <v>0</v>
      </c>
      <c r="F9" s="65">
        <v>0.66666666666666663</v>
      </c>
      <c r="G9" s="65">
        <v>0.25</v>
      </c>
      <c r="H9" s="65">
        <v>0.21428571428571427</v>
      </c>
      <c r="I9" s="66">
        <v>6614.2857142857147</v>
      </c>
      <c r="J9" s="66">
        <v>-6825</v>
      </c>
      <c r="K9" s="65">
        <v>0.16666666666666666</v>
      </c>
      <c r="L9" s="65">
        <v>0</v>
      </c>
      <c r="M9" s="65">
        <v>0.17857142857142858</v>
      </c>
      <c r="N9" s="65">
        <v>0.35714285714285715</v>
      </c>
      <c r="O9" s="65">
        <v>0.7</v>
      </c>
      <c r="P9" s="65">
        <v>0.25</v>
      </c>
      <c r="Q9" s="65">
        <v>0.42857142857142855</v>
      </c>
    </row>
    <row r="10" spans="1:17" x14ac:dyDescent="0.4">
      <c r="A10" s="67">
        <v>7</v>
      </c>
      <c r="B10" s="64">
        <v>-255.8</v>
      </c>
      <c r="C10" s="64">
        <v>-36.542857142857144</v>
      </c>
      <c r="D10" s="69">
        <v>2.7142857142857144</v>
      </c>
      <c r="E10" s="65">
        <v>0</v>
      </c>
      <c r="F10" s="65">
        <v>0.7142857142857143</v>
      </c>
      <c r="G10" s="65">
        <v>0.23809523809523808</v>
      </c>
      <c r="H10" s="65">
        <v>0.23809523809523808</v>
      </c>
      <c r="I10" s="66">
        <v>6706.666666666667</v>
      </c>
      <c r="J10" s="66">
        <v>-7593.333333333333</v>
      </c>
      <c r="K10" s="65">
        <v>0.14285714285714285</v>
      </c>
      <c r="L10" s="65">
        <v>0</v>
      </c>
      <c r="M10" s="65">
        <v>0.17460317460317459</v>
      </c>
      <c r="N10" s="65">
        <v>0.33333333333333331</v>
      </c>
      <c r="O10" s="65">
        <v>0.72727272727272729</v>
      </c>
      <c r="P10" s="65">
        <v>0.23809523809523808</v>
      </c>
      <c r="Q10" s="65">
        <v>0.4</v>
      </c>
    </row>
    <row r="11" spans="1:17" x14ac:dyDescent="0.4">
      <c r="A11" s="67">
        <v>8</v>
      </c>
      <c r="B11" s="64">
        <v>-289.8</v>
      </c>
      <c r="C11" s="64">
        <v>-36.225000000000001</v>
      </c>
      <c r="D11" s="69">
        <v>2.75</v>
      </c>
      <c r="E11" s="65">
        <v>0</v>
      </c>
      <c r="F11" s="65">
        <v>0.75</v>
      </c>
      <c r="G11" s="65">
        <v>0.2361111111111111</v>
      </c>
      <c r="H11" s="65">
        <v>0.2638888888888889</v>
      </c>
      <c r="I11" s="66">
        <v>6776.4705882352937</v>
      </c>
      <c r="J11" s="66">
        <v>-7089.4736842105267</v>
      </c>
      <c r="K11" s="65">
        <v>0.125</v>
      </c>
      <c r="L11" s="65">
        <v>0</v>
      </c>
      <c r="M11" s="65">
        <v>0.18055555555555555</v>
      </c>
      <c r="N11" s="65">
        <v>0.33333333333333331</v>
      </c>
      <c r="O11" s="65">
        <v>0.69230769230769229</v>
      </c>
      <c r="P11" s="65">
        <v>0.25</v>
      </c>
      <c r="Q11" s="65">
        <v>0.41176470588235292</v>
      </c>
    </row>
    <row r="12" spans="1:17" x14ac:dyDescent="0.4">
      <c r="A12" s="67">
        <v>9</v>
      </c>
      <c r="B12" s="64">
        <v>-292.60000000000002</v>
      </c>
      <c r="C12" s="64">
        <v>-32.511111111111113</v>
      </c>
      <c r="D12" s="69">
        <v>2.6666666666666665</v>
      </c>
      <c r="E12" s="65">
        <v>0</v>
      </c>
      <c r="F12" s="65">
        <v>0.66666666666666663</v>
      </c>
      <c r="G12" s="65">
        <v>0.23749999999999999</v>
      </c>
      <c r="H12" s="65">
        <v>0.26250000000000001</v>
      </c>
      <c r="I12" s="66">
        <v>6821.0526315789475</v>
      </c>
      <c r="J12" s="66">
        <v>-7042.8571428571431</v>
      </c>
      <c r="K12" s="65">
        <v>0.1111111111111111</v>
      </c>
      <c r="L12" s="65">
        <v>0</v>
      </c>
      <c r="M12" s="65">
        <v>0.17499999999999999</v>
      </c>
      <c r="N12" s="65">
        <v>0.3</v>
      </c>
      <c r="O12" s="65">
        <v>0.7142857142857143</v>
      </c>
      <c r="P12" s="65">
        <v>0.25</v>
      </c>
      <c r="Q12" s="65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3AC55-082E-47DC-839F-8F1FDE3A4D77}">
  <sheetPr codeName="Sheet30"/>
  <dimension ref="A1:Q9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223</v>
      </c>
      <c r="B1" s="68" t="s">
        <v>223</v>
      </c>
      <c r="C1" s="68" t="s">
        <v>223</v>
      </c>
      <c r="D1" s="69" t="s">
        <v>223</v>
      </c>
      <c r="E1" s="68" t="s">
        <v>223</v>
      </c>
      <c r="F1" s="68" t="s">
        <v>223</v>
      </c>
      <c r="G1" s="68" t="s">
        <v>223</v>
      </c>
      <c r="H1" s="68" t="s">
        <v>223</v>
      </c>
      <c r="I1" s="68" t="s">
        <v>223</v>
      </c>
      <c r="J1" s="68" t="s">
        <v>223</v>
      </c>
      <c r="K1" s="68" t="s">
        <v>223</v>
      </c>
      <c r="L1" s="68" t="s">
        <v>223</v>
      </c>
      <c r="M1" s="68" t="s">
        <v>223</v>
      </c>
      <c r="N1" s="68" t="s">
        <v>223</v>
      </c>
      <c r="O1" s="68" t="s">
        <v>223</v>
      </c>
      <c r="P1" s="68" t="s">
        <v>223</v>
      </c>
      <c r="Q1" s="68" t="s">
        <v>223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-37</v>
      </c>
      <c r="C4" s="64">
        <v>-37</v>
      </c>
      <c r="D4" s="69">
        <v>3</v>
      </c>
      <c r="E4" s="65">
        <v>0</v>
      </c>
      <c r="F4" s="65">
        <v>1</v>
      </c>
      <c r="G4" s="65">
        <v>0.375</v>
      </c>
      <c r="H4" s="65">
        <v>0.375</v>
      </c>
      <c r="I4" s="66">
        <v>8666.6666666666661</v>
      </c>
      <c r="J4" s="66">
        <v>-14000</v>
      </c>
      <c r="K4" s="65">
        <v>0</v>
      </c>
      <c r="L4" s="65">
        <v>0</v>
      </c>
      <c r="M4" s="65">
        <v>0.375</v>
      </c>
      <c r="N4" s="65">
        <v>0.125</v>
      </c>
      <c r="O4" s="65">
        <v>1</v>
      </c>
      <c r="P4" s="65">
        <v>0</v>
      </c>
      <c r="Q4" s="65">
        <v>0.66666666666666663</v>
      </c>
    </row>
    <row r="5" spans="1:17" x14ac:dyDescent="0.4">
      <c r="A5" s="67">
        <v>2</v>
      </c>
      <c r="B5" s="64">
        <v>-24.7</v>
      </c>
      <c r="C5" s="64">
        <v>-12.35</v>
      </c>
      <c r="D5" s="69">
        <v>2.5</v>
      </c>
      <c r="E5" s="65">
        <v>0</v>
      </c>
      <c r="F5" s="65">
        <v>0.5</v>
      </c>
      <c r="G5" s="65">
        <v>0.29411764705882354</v>
      </c>
      <c r="H5" s="65">
        <v>0.23529411764705882</v>
      </c>
      <c r="I5" s="66">
        <v>10600</v>
      </c>
      <c r="J5" s="66">
        <v>-12425</v>
      </c>
      <c r="K5" s="65">
        <v>0</v>
      </c>
      <c r="L5" s="65">
        <v>0</v>
      </c>
      <c r="M5" s="65">
        <v>0.17647058823529413</v>
      </c>
      <c r="N5" s="65">
        <v>0.23529411764705882</v>
      </c>
      <c r="O5" s="65">
        <v>1</v>
      </c>
      <c r="P5" s="65">
        <v>0.25</v>
      </c>
      <c r="Q5" s="65">
        <v>0.6</v>
      </c>
    </row>
    <row r="6" spans="1:17" x14ac:dyDescent="0.4">
      <c r="A6" s="67">
        <v>3</v>
      </c>
      <c r="B6" s="64">
        <v>14.500000000000004</v>
      </c>
      <c r="C6" s="64">
        <v>4.8333333333333348</v>
      </c>
      <c r="D6" s="69">
        <v>2</v>
      </c>
      <c r="E6" s="65">
        <v>0.33333333333333331</v>
      </c>
      <c r="F6" s="65">
        <v>0.33333333333333331</v>
      </c>
      <c r="G6" s="65">
        <v>0.33333333333333331</v>
      </c>
      <c r="H6" s="65">
        <v>0.16666666666666666</v>
      </c>
      <c r="I6" s="66">
        <v>9270</v>
      </c>
      <c r="J6" s="66">
        <v>-11540</v>
      </c>
      <c r="K6" s="65">
        <v>0</v>
      </c>
      <c r="L6" s="65">
        <v>0</v>
      </c>
      <c r="M6" s="65">
        <v>0.13333333333333333</v>
      </c>
      <c r="N6" s="65">
        <v>0.33333333333333331</v>
      </c>
      <c r="O6" s="65">
        <v>0.75</v>
      </c>
      <c r="P6" s="65">
        <v>0.6</v>
      </c>
      <c r="Q6" s="65">
        <v>0.7</v>
      </c>
    </row>
    <row r="7" spans="1:17" x14ac:dyDescent="0.4">
      <c r="A7" s="67">
        <v>4</v>
      </c>
      <c r="B7" s="64">
        <v>-37.200000000000003</v>
      </c>
      <c r="C7" s="64">
        <v>-9.3000000000000007</v>
      </c>
      <c r="D7" s="69">
        <v>2.25</v>
      </c>
      <c r="E7" s="65">
        <v>0.25</v>
      </c>
      <c r="F7" s="65">
        <v>0.5</v>
      </c>
      <c r="G7" s="65">
        <v>0.26315789473684209</v>
      </c>
      <c r="H7" s="65">
        <v>0.15789473684210525</v>
      </c>
      <c r="I7" s="66">
        <v>9270</v>
      </c>
      <c r="J7" s="66">
        <v>-10583.333333333334</v>
      </c>
      <c r="K7" s="65">
        <v>0</v>
      </c>
      <c r="L7" s="65">
        <v>0</v>
      </c>
      <c r="M7" s="65">
        <v>0.13157894736842105</v>
      </c>
      <c r="N7" s="65">
        <v>0.36842105263157893</v>
      </c>
      <c r="O7" s="65">
        <v>0.6</v>
      </c>
      <c r="P7" s="65">
        <v>0.42857142857142855</v>
      </c>
      <c r="Q7" s="65">
        <v>0.7</v>
      </c>
    </row>
    <row r="8" spans="1:17" x14ac:dyDescent="0.4">
      <c r="A8" s="67">
        <v>5</v>
      </c>
      <c r="B8" s="64">
        <v>39.899999999999991</v>
      </c>
      <c r="C8" s="64">
        <v>7.9799999999999986</v>
      </c>
      <c r="D8" s="69">
        <v>2</v>
      </c>
      <c r="E8" s="65">
        <v>0.4</v>
      </c>
      <c r="F8" s="65">
        <v>0.4</v>
      </c>
      <c r="G8" s="65">
        <v>0.30952380952380953</v>
      </c>
      <c r="H8" s="65">
        <v>0.14285714285714285</v>
      </c>
      <c r="I8" s="66">
        <v>11253.846153846154</v>
      </c>
      <c r="J8" s="66">
        <v>-10583.333333333334</v>
      </c>
      <c r="K8" s="65">
        <v>0</v>
      </c>
      <c r="L8" s="65">
        <v>0.2</v>
      </c>
      <c r="M8" s="65">
        <v>0.14285714285714285</v>
      </c>
      <c r="N8" s="65">
        <v>0.38095238095238093</v>
      </c>
      <c r="O8" s="65">
        <v>0.66666666666666663</v>
      </c>
      <c r="P8" s="65">
        <v>0.5</v>
      </c>
      <c r="Q8" s="65">
        <v>0.69230769230769229</v>
      </c>
    </row>
    <row r="9" spans="1:17" x14ac:dyDescent="0.4">
      <c r="A9" s="67">
        <v>6</v>
      </c>
      <c r="B9" s="64">
        <v>100.39999999999999</v>
      </c>
      <c r="C9" s="64">
        <v>16.733333333333331</v>
      </c>
      <c r="D9" s="69">
        <v>1.8333333333333333</v>
      </c>
      <c r="E9" s="65">
        <v>0.5</v>
      </c>
      <c r="F9" s="65">
        <v>0.33333333333333331</v>
      </c>
      <c r="G9" s="65">
        <v>0.34782608695652173</v>
      </c>
      <c r="H9" s="65">
        <v>0.13043478260869565</v>
      </c>
      <c r="I9" s="66">
        <v>12143.75</v>
      </c>
      <c r="J9" s="66">
        <v>-10583.333333333334</v>
      </c>
      <c r="K9" s="65">
        <v>0</v>
      </c>
      <c r="L9" s="65">
        <v>0.33333333333333331</v>
      </c>
      <c r="M9" s="65">
        <v>0.15217391304347827</v>
      </c>
      <c r="N9" s="65">
        <v>0.36956521739130432</v>
      </c>
      <c r="O9" s="65">
        <v>0.7142857142857143</v>
      </c>
      <c r="P9" s="65">
        <v>0.52941176470588236</v>
      </c>
      <c r="Q9" s="65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D0C54-7B16-4172-B98C-97D19802E684}">
  <sheetPr codeName="Sheet28"/>
  <dimension ref="A1:Q4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222</v>
      </c>
      <c r="B1" s="68" t="s">
        <v>222</v>
      </c>
      <c r="C1" s="68" t="s">
        <v>222</v>
      </c>
      <c r="D1" s="69" t="s">
        <v>222</v>
      </c>
      <c r="E1" s="68" t="s">
        <v>222</v>
      </c>
      <c r="F1" s="68" t="s">
        <v>222</v>
      </c>
      <c r="G1" s="68" t="s">
        <v>222</v>
      </c>
      <c r="H1" s="68" t="s">
        <v>222</v>
      </c>
      <c r="I1" s="68" t="s">
        <v>222</v>
      </c>
      <c r="J1" s="68" t="s">
        <v>222</v>
      </c>
      <c r="K1" s="68" t="s">
        <v>222</v>
      </c>
      <c r="L1" s="68" t="s">
        <v>222</v>
      </c>
      <c r="M1" s="68" t="s">
        <v>222</v>
      </c>
      <c r="N1" s="68" t="s">
        <v>222</v>
      </c>
      <c r="O1" s="68" t="s">
        <v>222</v>
      </c>
      <c r="P1" s="68" t="s">
        <v>222</v>
      </c>
      <c r="Q1" s="68" t="s">
        <v>222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13.3</v>
      </c>
      <c r="C4" s="64">
        <v>13.3</v>
      </c>
      <c r="D4" s="69">
        <v>2</v>
      </c>
      <c r="E4" s="65">
        <v>0</v>
      </c>
      <c r="F4" s="65">
        <v>0</v>
      </c>
      <c r="G4" s="65">
        <v>0.15384615384615385</v>
      </c>
      <c r="H4" s="65">
        <v>7.6923076923076927E-2</v>
      </c>
      <c r="I4" s="66">
        <v>13800</v>
      </c>
      <c r="J4" s="66">
        <v>-12000</v>
      </c>
      <c r="K4" s="65">
        <v>0</v>
      </c>
      <c r="L4" s="65">
        <v>0</v>
      </c>
      <c r="M4" s="65">
        <v>0.23076923076923078</v>
      </c>
      <c r="N4" s="65">
        <v>7.6923076923076927E-2</v>
      </c>
      <c r="O4" s="65">
        <v>0.33333333333333331</v>
      </c>
      <c r="P4" s="65">
        <v>0</v>
      </c>
      <c r="Q4" s="65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B709-73A2-4967-B9E0-4FAA36DE9F67}">
  <sheetPr codeName="Sheet26"/>
  <dimension ref="A1:Q24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200</v>
      </c>
      <c r="B1" s="68" t="s">
        <v>200</v>
      </c>
      <c r="C1" s="68" t="s">
        <v>200</v>
      </c>
      <c r="D1" s="69" t="s">
        <v>200</v>
      </c>
      <c r="E1" s="68" t="s">
        <v>200</v>
      </c>
      <c r="F1" s="68" t="s">
        <v>200</v>
      </c>
      <c r="G1" s="68" t="s">
        <v>200</v>
      </c>
      <c r="H1" s="68" t="s">
        <v>200</v>
      </c>
      <c r="I1" s="68" t="s">
        <v>200</v>
      </c>
      <c r="J1" s="68" t="s">
        <v>200</v>
      </c>
      <c r="K1" s="68" t="s">
        <v>200</v>
      </c>
      <c r="L1" s="68" t="s">
        <v>200</v>
      </c>
      <c r="M1" s="68" t="s">
        <v>200</v>
      </c>
      <c r="N1" s="68" t="s">
        <v>200</v>
      </c>
      <c r="O1" s="68" t="s">
        <v>200</v>
      </c>
      <c r="P1" s="68" t="s">
        <v>200</v>
      </c>
      <c r="Q1" s="68" t="s">
        <v>200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-12.5</v>
      </c>
      <c r="C4" s="64">
        <v>-12.5</v>
      </c>
      <c r="D4" s="69">
        <v>2</v>
      </c>
      <c r="E4" s="65">
        <v>0</v>
      </c>
      <c r="F4" s="65">
        <v>0</v>
      </c>
      <c r="G4" s="65">
        <v>0.18181818181818182</v>
      </c>
      <c r="H4" s="65">
        <v>0.18181818181818182</v>
      </c>
      <c r="I4" s="66">
        <v>12000</v>
      </c>
      <c r="J4" s="66">
        <v>-3250</v>
      </c>
      <c r="K4" s="65">
        <v>0</v>
      </c>
      <c r="L4" s="65">
        <v>0</v>
      </c>
      <c r="M4" s="65">
        <v>0.18181818181818182</v>
      </c>
      <c r="N4" s="65">
        <v>0.18181818181818182</v>
      </c>
      <c r="O4" s="65">
        <v>0.5</v>
      </c>
      <c r="P4" s="65">
        <v>0.5</v>
      </c>
      <c r="Q4" s="65">
        <v>0.5</v>
      </c>
    </row>
    <row r="5" spans="1:17" x14ac:dyDescent="0.4">
      <c r="A5" s="67">
        <v>2</v>
      </c>
      <c r="B5" s="64">
        <v>-28.1</v>
      </c>
      <c r="C5" s="64">
        <v>-14.05</v>
      </c>
      <c r="D5" s="69">
        <v>2</v>
      </c>
      <c r="E5" s="65">
        <v>0</v>
      </c>
      <c r="F5" s="65">
        <v>0</v>
      </c>
      <c r="G5" s="65">
        <v>0.17647058823529413</v>
      </c>
      <c r="H5" s="65">
        <v>0.17647058823529413</v>
      </c>
      <c r="I5" s="66">
        <v>10566.666666666666</v>
      </c>
      <c r="J5" s="66">
        <v>-6166.666666666667</v>
      </c>
      <c r="K5" s="65">
        <v>0</v>
      </c>
      <c r="L5" s="65">
        <v>0</v>
      </c>
      <c r="M5" s="65">
        <v>0.17647058823529413</v>
      </c>
      <c r="N5" s="65">
        <v>0.35294117647058826</v>
      </c>
      <c r="O5" s="65">
        <v>0.33333333333333331</v>
      </c>
      <c r="P5" s="65">
        <v>0.33333333333333331</v>
      </c>
      <c r="Q5" s="65">
        <v>0.66666666666666663</v>
      </c>
    </row>
    <row r="6" spans="1:17" x14ac:dyDescent="0.4">
      <c r="A6" s="67">
        <v>3</v>
      </c>
      <c r="B6" s="64">
        <v>-20.400000000000002</v>
      </c>
      <c r="C6" s="64">
        <v>-6.8000000000000007</v>
      </c>
      <c r="D6" s="69">
        <v>2</v>
      </c>
      <c r="E6" s="65">
        <v>0</v>
      </c>
      <c r="F6" s="65">
        <v>0</v>
      </c>
      <c r="G6" s="65">
        <v>0.17857142857142858</v>
      </c>
      <c r="H6" s="65">
        <v>0.17857142857142858</v>
      </c>
      <c r="I6" s="66">
        <v>12340</v>
      </c>
      <c r="J6" s="66">
        <v>-5880</v>
      </c>
      <c r="K6" s="65">
        <v>0</v>
      </c>
      <c r="L6" s="65">
        <v>0</v>
      </c>
      <c r="M6" s="65">
        <v>0.17857142857142858</v>
      </c>
      <c r="N6" s="65">
        <v>0.32142857142857145</v>
      </c>
      <c r="O6" s="65">
        <v>0.4</v>
      </c>
      <c r="P6" s="65">
        <v>0.33333333333333331</v>
      </c>
      <c r="Q6" s="65">
        <v>0.6</v>
      </c>
    </row>
    <row r="7" spans="1:17" x14ac:dyDescent="0.4">
      <c r="A7" s="67">
        <v>4</v>
      </c>
      <c r="B7" s="64">
        <v>19.399999999999995</v>
      </c>
      <c r="C7" s="64">
        <v>4.8499999999999988</v>
      </c>
      <c r="D7" s="69">
        <v>1.75</v>
      </c>
      <c r="E7" s="65">
        <v>0.25</v>
      </c>
      <c r="F7" s="65">
        <v>0</v>
      </c>
      <c r="G7" s="65">
        <v>0.25</v>
      </c>
      <c r="H7" s="65">
        <v>0.16666666666666666</v>
      </c>
      <c r="I7" s="66">
        <v>9555.5555555555547</v>
      </c>
      <c r="J7" s="66">
        <v>-5866.666666666667</v>
      </c>
      <c r="K7" s="65">
        <v>0</v>
      </c>
      <c r="L7" s="65">
        <v>0</v>
      </c>
      <c r="M7" s="65">
        <v>0.30555555555555558</v>
      </c>
      <c r="N7" s="65">
        <v>0.27777777777777779</v>
      </c>
      <c r="O7" s="65">
        <v>0.54545454545454541</v>
      </c>
      <c r="P7" s="65">
        <v>0.3</v>
      </c>
      <c r="Q7" s="65">
        <v>0.66666666666666663</v>
      </c>
    </row>
    <row r="8" spans="1:17" x14ac:dyDescent="0.4">
      <c r="A8" s="67">
        <v>5</v>
      </c>
      <c r="B8" s="64">
        <v>-16.100000000000005</v>
      </c>
      <c r="C8" s="64">
        <v>-3.2200000000000011</v>
      </c>
      <c r="D8" s="69">
        <v>2</v>
      </c>
      <c r="E8" s="65">
        <v>0.2</v>
      </c>
      <c r="F8" s="65">
        <v>0.2</v>
      </c>
      <c r="G8" s="65">
        <v>0.24</v>
      </c>
      <c r="H8" s="65">
        <v>0.2</v>
      </c>
      <c r="I8" s="66">
        <v>8425</v>
      </c>
      <c r="J8" s="66">
        <v>-5420</v>
      </c>
      <c r="K8" s="65">
        <v>0</v>
      </c>
      <c r="L8" s="65">
        <v>0</v>
      </c>
      <c r="M8" s="65">
        <v>0.24</v>
      </c>
      <c r="N8" s="65">
        <v>0.26</v>
      </c>
      <c r="O8" s="65">
        <v>0.58333333333333337</v>
      </c>
      <c r="P8" s="65">
        <v>0.30769230769230771</v>
      </c>
      <c r="Q8" s="65">
        <v>0.58333333333333337</v>
      </c>
    </row>
    <row r="9" spans="1:17" x14ac:dyDescent="0.4">
      <c r="A9" s="67">
        <v>6</v>
      </c>
      <c r="B9" s="64">
        <v>-16.300000000000004</v>
      </c>
      <c r="C9" s="64">
        <v>-2.7166666666666672</v>
      </c>
      <c r="D9" s="69">
        <v>2</v>
      </c>
      <c r="E9" s="65">
        <v>0.16666666666666666</v>
      </c>
      <c r="F9" s="65">
        <v>0.16666666666666666</v>
      </c>
      <c r="G9" s="65">
        <v>0.26229508196721313</v>
      </c>
      <c r="H9" s="65">
        <v>0.18032786885245902</v>
      </c>
      <c r="I9" s="66">
        <v>8043.75</v>
      </c>
      <c r="J9" s="66">
        <v>-6563.636363636364</v>
      </c>
      <c r="K9" s="65">
        <v>0</v>
      </c>
      <c r="L9" s="65">
        <v>0</v>
      </c>
      <c r="M9" s="65">
        <v>0.24590163934426229</v>
      </c>
      <c r="N9" s="65">
        <v>0.24590163934426229</v>
      </c>
      <c r="O9" s="65">
        <v>0.66666666666666663</v>
      </c>
      <c r="P9" s="65">
        <v>0.33333333333333331</v>
      </c>
      <c r="Q9" s="65">
        <v>0.5625</v>
      </c>
    </row>
    <row r="10" spans="1:17" x14ac:dyDescent="0.4">
      <c r="A10" s="67">
        <v>7</v>
      </c>
      <c r="B10" s="64">
        <v>-25.300000000000004</v>
      </c>
      <c r="C10" s="64">
        <v>-3.6142857142857148</v>
      </c>
      <c r="D10" s="69">
        <v>2</v>
      </c>
      <c r="E10" s="65">
        <v>0.14285714285714285</v>
      </c>
      <c r="F10" s="65">
        <v>0.14285714285714285</v>
      </c>
      <c r="G10" s="65">
        <v>0.30434782608695654</v>
      </c>
      <c r="H10" s="65">
        <v>0.17391304347826086</v>
      </c>
      <c r="I10" s="66">
        <v>7438.0952380952385</v>
      </c>
      <c r="J10" s="66">
        <v>-6683.333333333333</v>
      </c>
      <c r="K10" s="65">
        <v>0</v>
      </c>
      <c r="L10" s="65">
        <v>0</v>
      </c>
      <c r="M10" s="65">
        <v>0.24637681159420291</v>
      </c>
      <c r="N10" s="65">
        <v>0.27536231884057971</v>
      </c>
      <c r="O10" s="65">
        <v>0.70588235294117652</v>
      </c>
      <c r="P10" s="65">
        <v>0.42105263157894735</v>
      </c>
      <c r="Q10" s="65">
        <v>0.5714285714285714</v>
      </c>
    </row>
    <row r="11" spans="1:17" x14ac:dyDescent="0.4">
      <c r="A11" s="67">
        <v>8</v>
      </c>
      <c r="B11" s="64">
        <v>9.5999999999999943</v>
      </c>
      <c r="C11" s="64">
        <v>1.1999999999999993</v>
      </c>
      <c r="D11" s="69">
        <v>1.875</v>
      </c>
      <c r="E11" s="65">
        <v>0.25</v>
      </c>
      <c r="F11" s="65">
        <v>0.125</v>
      </c>
      <c r="G11" s="65">
        <v>0.33766233766233766</v>
      </c>
      <c r="H11" s="65">
        <v>0.16883116883116883</v>
      </c>
      <c r="I11" s="66">
        <v>6973.0769230769229</v>
      </c>
      <c r="J11" s="66">
        <v>-6569.2307692307695</v>
      </c>
      <c r="K11" s="65">
        <v>0</v>
      </c>
      <c r="L11" s="65">
        <v>0</v>
      </c>
      <c r="M11" s="65">
        <v>0.23376623376623376</v>
      </c>
      <c r="N11" s="65">
        <v>0.31168831168831168</v>
      </c>
      <c r="O11" s="65">
        <v>0.72222222222222221</v>
      </c>
      <c r="P11" s="65">
        <v>0.5</v>
      </c>
      <c r="Q11" s="65">
        <v>0.57692307692307687</v>
      </c>
    </row>
    <row r="12" spans="1:17" x14ac:dyDescent="0.4">
      <c r="A12" s="67">
        <v>9</v>
      </c>
      <c r="B12" s="64">
        <v>18.099999999999994</v>
      </c>
      <c r="C12" s="64">
        <v>2.0111111111111106</v>
      </c>
      <c r="D12" s="69">
        <v>1.8888888888888888</v>
      </c>
      <c r="E12" s="65">
        <v>0.22222222222222221</v>
      </c>
      <c r="F12" s="65">
        <v>0.1111111111111111</v>
      </c>
      <c r="G12" s="65">
        <v>0.3411764705882353</v>
      </c>
      <c r="H12" s="65">
        <v>0.16470588235294117</v>
      </c>
      <c r="I12" s="66">
        <v>6765.5172413793107</v>
      </c>
      <c r="J12" s="66">
        <v>-6378.5714285714284</v>
      </c>
      <c r="K12" s="65">
        <v>0</v>
      </c>
      <c r="L12" s="65">
        <v>0</v>
      </c>
      <c r="M12" s="65">
        <v>0.23529411764705882</v>
      </c>
      <c r="N12" s="65">
        <v>0.29411764705882354</v>
      </c>
      <c r="O12" s="65">
        <v>0.7</v>
      </c>
      <c r="P12" s="65">
        <v>0.48</v>
      </c>
      <c r="Q12" s="65">
        <v>0.58620689655172409</v>
      </c>
    </row>
    <row r="13" spans="1:17" x14ac:dyDescent="0.4">
      <c r="A13" s="67">
        <v>10</v>
      </c>
      <c r="B13" s="64">
        <v>109.39999999999999</v>
      </c>
      <c r="C13" s="64">
        <v>10.94</v>
      </c>
      <c r="D13" s="69">
        <v>1.8</v>
      </c>
      <c r="E13" s="65">
        <v>0.3</v>
      </c>
      <c r="F13" s="65">
        <v>0.1</v>
      </c>
      <c r="G13" s="65">
        <v>0.38297872340425532</v>
      </c>
      <c r="H13" s="65">
        <v>0.1702127659574468</v>
      </c>
      <c r="I13" s="66">
        <v>7680.5555555555557</v>
      </c>
      <c r="J13" s="66">
        <v>-6831.25</v>
      </c>
      <c r="K13" s="65">
        <v>0</v>
      </c>
      <c r="L13" s="65">
        <v>0.1</v>
      </c>
      <c r="M13" s="65">
        <v>0.24468085106382978</v>
      </c>
      <c r="N13" s="65">
        <v>0.31914893617021278</v>
      </c>
      <c r="O13" s="65">
        <v>0.69565217391304346</v>
      </c>
      <c r="P13" s="65">
        <v>0.53333333333333333</v>
      </c>
      <c r="Q13" s="65">
        <v>0.63888888888888884</v>
      </c>
    </row>
    <row r="14" spans="1:17" x14ac:dyDescent="0.4">
      <c r="A14" s="67">
        <v>11</v>
      </c>
      <c r="B14" s="64">
        <v>100.69999999999999</v>
      </c>
      <c r="C14" s="64">
        <v>9.1545454545454543</v>
      </c>
      <c r="D14" s="69">
        <v>1.8181818181818181</v>
      </c>
      <c r="E14" s="65">
        <v>0.27272727272727271</v>
      </c>
      <c r="F14" s="65">
        <v>9.0909090909090912E-2</v>
      </c>
      <c r="G14" s="65">
        <v>0.38613861386138615</v>
      </c>
      <c r="H14" s="65">
        <v>0.17821782178217821</v>
      </c>
      <c r="I14" s="66">
        <v>7551.2820512820517</v>
      </c>
      <c r="J14" s="66">
        <v>-7388.8888888888887</v>
      </c>
      <c r="K14" s="65">
        <v>0</v>
      </c>
      <c r="L14" s="65">
        <v>9.0909090909090912E-2</v>
      </c>
      <c r="M14" s="65">
        <v>0.22772277227722773</v>
      </c>
      <c r="N14" s="65">
        <v>0.34653465346534651</v>
      </c>
      <c r="O14" s="65">
        <v>0.69565217391304346</v>
      </c>
      <c r="P14" s="65">
        <v>0.51428571428571423</v>
      </c>
      <c r="Q14" s="65">
        <v>0.61538461538461542</v>
      </c>
    </row>
    <row r="15" spans="1:17" x14ac:dyDescent="0.4">
      <c r="A15" s="67">
        <v>12</v>
      </c>
      <c r="B15" s="64">
        <v>45.599999999999987</v>
      </c>
      <c r="C15" s="64">
        <v>3.7999999999999989</v>
      </c>
      <c r="D15" s="69">
        <v>1.9166666666666667</v>
      </c>
      <c r="E15" s="65">
        <v>0.25</v>
      </c>
      <c r="F15" s="65">
        <v>0.16666666666666666</v>
      </c>
      <c r="G15" s="65">
        <v>0.3783783783783784</v>
      </c>
      <c r="H15" s="65">
        <v>0.18018018018018017</v>
      </c>
      <c r="I15" s="66">
        <v>7535.7142857142853</v>
      </c>
      <c r="J15" s="66">
        <v>-8280</v>
      </c>
      <c r="K15" s="65">
        <v>8.3333333333333329E-2</v>
      </c>
      <c r="L15" s="65">
        <v>8.3333333333333329E-2</v>
      </c>
      <c r="M15" s="65">
        <v>0.22522522522522523</v>
      </c>
      <c r="N15" s="65">
        <v>0.34234234234234234</v>
      </c>
      <c r="O15" s="65">
        <v>0.72</v>
      </c>
      <c r="P15" s="65">
        <v>0.47368421052631576</v>
      </c>
      <c r="Q15" s="65">
        <v>0.61904761904761907</v>
      </c>
    </row>
    <row r="16" spans="1:17" x14ac:dyDescent="0.4">
      <c r="A16" s="67">
        <v>13</v>
      </c>
      <c r="B16" s="64">
        <v>83.299999999999983</v>
      </c>
      <c r="C16" s="64">
        <v>6.4076923076923062</v>
      </c>
      <c r="D16" s="69">
        <v>1.8461538461538463</v>
      </c>
      <c r="E16" s="65">
        <v>0.30769230769230771</v>
      </c>
      <c r="F16" s="65">
        <v>0.15384615384615385</v>
      </c>
      <c r="G16" s="65">
        <v>0.36585365853658536</v>
      </c>
      <c r="H16" s="65">
        <v>0.17073170731707318</v>
      </c>
      <c r="I16" s="66">
        <v>7880</v>
      </c>
      <c r="J16" s="66">
        <v>-8071.4285714285716</v>
      </c>
      <c r="K16" s="65">
        <v>7.6923076923076927E-2</v>
      </c>
      <c r="L16" s="65">
        <v>7.6923076923076927E-2</v>
      </c>
      <c r="M16" s="65">
        <v>0.23577235772357724</v>
      </c>
      <c r="N16" s="65">
        <v>0.32520325203252032</v>
      </c>
      <c r="O16" s="65">
        <v>0.68965517241379315</v>
      </c>
      <c r="P16" s="65">
        <v>0.45</v>
      </c>
      <c r="Q16" s="65">
        <v>0.62222222222222223</v>
      </c>
    </row>
    <row r="17" spans="1:17" x14ac:dyDescent="0.4">
      <c r="A17" s="67">
        <v>14</v>
      </c>
      <c r="B17" s="64">
        <v>114.99999999999999</v>
      </c>
      <c r="C17" s="64">
        <v>8.2142857142857135</v>
      </c>
      <c r="D17" s="69">
        <v>1.7857142857142858</v>
      </c>
      <c r="E17" s="65">
        <v>0.35714285714285715</v>
      </c>
      <c r="F17" s="65">
        <v>0.14285714285714285</v>
      </c>
      <c r="G17" s="65">
        <v>0.36363636363636365</v>
      </c>
      <c r="H17" s="65">
        <v>0.15909090909090909</v>
      </c>
      <c r="I17" s="66">
        <v>7858.333333333333</v>
      </c>
      <c r="J17" s="66">
        <v>-8071.4285714285716</v>
      </c>
      <c r="K17" s="65">
        <v>7.1428571428571425E-2</v>
      </c>
      <c r="L17" s="65">
        <v>7.1428571428571425E-2</v>
      </c>
      <c r="M17" s="65">
        <v>0.22727272727272727</v>
      </c>
      <c r="N17" s="65">
        <v>0.34090909090909088</v>
      </c>
      <c r="O17" s="65">
        <v>0.66666666666666663</v>
      </c>
      <c r="P17" s="65">
        <v>0.46666666666666667</v>
      </c>
      <c r="Q17" s="65">
        <v>0.60416666666666663</v>
      </c>
    </row>
    <row r="18" spans="1:17" x14ac:dyDescent="0.4">
      <c r="A18" s="67">
        <v>15</v>
      </c>
      <c r="B18" s="64">
        <v>157.69999999999999</v>
      </c>
      <c r="C18" s="64">
        <v>10.513333333333332</v>
      </c>
      <c r="D18" s="69">
        <v>1.7333333333333334</v>
      </c>
      <c r="E18" s="65">
        <v>0.4</v>
      </c>
      <c r="F18" s="65">
        <v>0.13333333333333333</v>
      </c>
      <c r="G18" s="65">
        <v>0.36690647482014388</v>
      </c>
      <c r="H18" s="65">
        <v>0.15827338129496402</v>
      </c>
      <c r="I18" s="66">
        <v>7968.6274509803925</v>
      </c>
      <c r="J18" s="66">
        <v>-8068.181818181818</v>
      </c>
      <c r="K18" s="65">
        <v>6.6666666666666666E-2</v>
      </c>
      <c r="L18" s="65">
        <v>6.6666666666666666E-2</v>
      </c>
      <c r="M18" s="65">
        <v>0.22302158273381295</v>
      </c>
      <c r="N18" s="65">
        <v>0.34532374100719426</v>
      </c>
      <c r="O18" s="65">
        <v>0.67741935483870963</v>
      </c>
      <c r="P18" s="65">
        <v>0.45833333333333331</v>
      </c>
      <c r="Q18" s="65">
        <v>0.60784313725490191</v>
      </c>
    </row>
    <row r="19" spans="1:17" x14ac:dyDescent="0.4">
      <c r="A19" s="67">
        <v>16</v>
      </c>
      <c r="B19" s="64">
        <v>99.6</v>
      </c>
      <c r="C19" s="64">
        <v>6.2249999999999996</v>
      </c>
      <c r="D19" s="69">
        <v>1.8125</v>
      </c>
      <c r="E19" s="65">
        <v>0.375</v>
      </c>
      <c r="F19" s="65">
        <v>0.1875</v>
      </c>
      <c r="G19" s="65">
        <v>0.35333333333333333</v>
      </c>
      <c r="H19" s="65">
        <v>0.16666666666666666</v>
      </c>
      <c r="I19" s="66">
        <v>8041.5094339622638</v>
      </c>
      <c r="J19" s="66">
        <v>-8416</v>
      </c>
      <c r="K19" s="65">
        <v>0.125</v>
      </c>
      <c r="L19" s="65">
        <v>6.25E-2</v>
      </c>
      <c r="M19" s="65">
        <v>0.24</v>
      </c>
      <c r="N19" s="65">
        <v>0.33333333333333331</v>
      </c>
      <c r="O19" s="65">
        <v>0.63888888888888884</v>
      </c>
      <c r="P19" s="65">
        <v>0.44</v>
      </c>
      <c r="Q19" s="65">
        <v>0.60377358490566035</v>
      </c>
    </row>
    <row r="20" spans="1:17" x14ac:dyDescent="0.4">
      <c r="A20" s="67">
        <v>17</v>
      </c>
      <c r="B20" s="64">
        <v>112.39999999999999</v>
      </c>
      <c r="C20" s="64">
        <v>6.6117647058823525</v>
      </c>
      <c r="D20" s="69">
        <v>1.8235294117647058</v>
      </c>
      <c r="E20" s="65">
        <v>0.35294117647058826</v>
      </c>
      <c r="F20" s="65">
        <v>0.17647058823529413</v>
      </c>
      <c r="G20" s="65">
        <v>0.35714285714285715</v>
      </c>
      <c r="H20" s="65">
        <v>0.16233766233766234</v>
      </c>
      <c r="I20" s="66">
        <v>8063.636363636364</v>
      </c>
      <c r="J20" s="66">
        <v>-8416</v>
      </c>
      <c r="K20" s="65">
        <v>0.11764705882352941</v>
      </c>
      <c r="L20" s="65">
        <v>5.8823529411764705E-2</v>
      </c>
      <c r="M20" s="65">
        <v>0.24025974025974026</v>
      </c>
      <c r="N20" s="65">
        <v>0.32467532467532467</v>
      </c>
      <c r="O20" s="65">
        <v>0.64864864864864868</v>
      </c>
      <c r="P20" s="65">
        <v>0.44</v>
      </c>
      <c r="Q20" s="65">
        <v>0.6</v>
      </c>
    </row>
    <row r="21" spans="1:17" x14ac:dyDescent="0.4">
      <c r="A21" s="67">
        <v>18</v>
      </c>
      <c r="B21" s="64">
        <v>45.399999999999991</v>
      </c>
      <c r="C21" s="64">
        <v>2.5222222222222217</v>
      </c>
      <c r="D21" s="69">
        <v>1.8888888888888888</v>
      </c>
      <c r="E21" s="65">
        <v>0.33333333333333331</v>
      </c>
      <c r="F21" s="65">
        <v>0.22222222222222221</v>
      </c>
      <c r="G21" s="65">
        <v>0.33536585365853661</v>
      </c>
      <c r="H21" s="65">
        <v>0.17073170731707318</v>
      </c>
      <c r="I21" s="66">
        <v>8063.636363636364</v>
      </c>
      <c r="J21" s="66">
        <v>-8367.8571428571431</v>
      </c>
      <c r="K21" s="65">
        <v>0.16666666666666666</v>
      </c>
      <c r="L21" s="65">
        <v>5.5555555555555552E-2</v>
      </c>
      <c r="M21" s="65">
        <v>0.23170731707317074</v>
      </c>
      <c r="N21" s="65">
        <v>0.31707317073170732</v>
      </c>
      <c r="O21" s="65">
        <v>0.63157894736842102</v>
      </c>
      <c r="P21" s="65">
        <v>0.42307692307692307</v>
      </c>
      <c r="Q21" s="65">
        <v>0.6</v>
      </c>
    </row>
    <row r="22" spans="1:17" x14ac:dyDescent="0.4">
      <c r="A22" s="67">
        <v>19</v>
      </c>
      <c r="B22" s="64">
        <v>94.299999999999983</v>
      </c>
      <c r="C22" s="64">
        <v>4.9631578947368409</v>
      </c>
      <c r="D22" s="69">
        <v>1.8421052631578947</v>
      </c>
      <c r="E22" s="65">
        <v>0.36842105263157893</v>
      </c>
      <c r="F22" s="65">
        <v>0.21052631578947367</v>
      </c>
      <c r="G22" s="65">
        <v>0.34285714285714286</v>
      </c>
      <c r="H22" s="65">
        <v>0.16</v>
      </c>
      <c r="I22" s="66">
        <v>8058.333333333333</v>
      </c>
      <c r="J22" s="66">
        <v>-8367.8571428571431</v>
      </c>
      <c r="K22" s="65">
        <v>0.15789473684210525</v>
      </c>
      <c r="L22" s="65">
        <v>5.2631578947368418E-2</v>
      </c>
      <c r="M22" s="65">
        <v>0.24571428571428572</v>
      </c>
      <c r="N22" s="65">
        <v>0.31428571428571428</v>
      </c>
      <c r="O22" s="65">
        <v>0.62790697674418605</v>
      </c>
      <c r="P22" s="65">
        <v>0.43636363636363634</v>
      </c>
      <c r="Q22" s="65">
        <v>0.58333333333333337</v>
      </c>
    </row>
    <row r="23" spans="1:17" x14ac:dyDescent="0.4">
      <c r="A23" s="67">
        <v>20</v>
      </c>
      <c r="B23" s="64">
        <v>80.999999999999986</v>
      </c>
      <c r="C23" s="64">
        <v>4.0499999999999989</v>
      </c>
      <c r="D23" s="69">
        <v>1.85</v>
      </c>
      <c r="E23" s="65">
        <v>0.35</v>
      </c>
      <c r="F23" s="65">
        <v>0.2</v>
      </c>
      <c r="G23" s="65">
        <v>0.34065934065934067</v>
      </c>
      <c r="H23" s="65">
        <v>0.15934065934065933</v>
      </c>
      <c r="I23" s="66">
        <v>7943.5483870967746</v>
      </c>
      <c r="J23" s="66">
        <v>-8355.1724137931033</v>
      </c>
      <c r="K23" s="65">
        <v>0.15</v>
      </c>
      <c r="L23" s="65">
        <v>0.05</v>
      </c>
      <c r="M23" s="65">
        <v>0.25274725274725274</v>
      </c>
      <c r="N23" s="65">
        <v>0.31318681318681318</v>
      </c>
      <c r="O23" s="65">
        <v>0.60869565217391308</v>
      </c>
      <c r="P23" s="65">
        <v>0.43859649122807015</v>
      </c>
      <c r="Q23" s="65">
        <v>0.56451612903225812</v>
      </c>
    </row>
    <row r="24" spans="1:17" x14ac:dyDescent="0.4">
      <c r="A24" s="67">
        <v>21</v>
      </c>
      <c r="B24" s="64">
        <v>82.799999999999983</v>
      </c>
      <c r="C24" s="64">
        <v>3.9428571428571422</v>
      </c>
      <c r="D24" s="69">
        <v>1.8571428571428572</v>
      </c>
      <c r="E24" s="65">
        <v>0.33333333333333331</v>
      </c>
      <c r="F24" s="65">
        <v>0.19047619047619047</v>
      </c>
      <c r="G24" s="65">
        <v>0.34031413612565448</v>
      </c>
      <c r="H24" s="65">
        <v>0.16230366492146597</v>
      </c>
      <c r="I24" s="66">
        <v>8000</v>
      </c>
      <c r="J24" s="66">
        <v>-8645.1612903225814</v>
      </c>
      <c r="K24" s="65">
        <v>0.14285714285714285</v>
      </c>
      <c r="L24" s="65">
        <v>4.7619047619047616E-2</v>
      </c>
      <c r="M24" s="65">
        <v>0.2513089005235602</v>
      </c>
      <c r="N24" s="65">
        <v>0.32460732984293195</v>
      </c>
      <c r="O24" s="65">
        <v>0.60416666666666663</v>
      </c>
      <c r="P24" s="65">
        <v>0.43548387096774194</v>
      </c>
      <c r="Q24" s="65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9965-DD5E-4EA1-B92C-59BDEF91808A}">
  <sheetPr codeName="Sheet24"/>
  <dimension ref="A1:Q27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184</v>
      </c>
      <c r="B1" s="68" t="s">
        <v>184</v>
      </c>
      <c r="C1" s="68" t="s">
        <v>184</v>
      </c>
      <c r="D1" s="69" t="s">
        <v>184</v>
      </c>
      <c r="E1" s="68" t="s">
        <v>184</v>
      </c>
      <c r="F1" s="68" t="s">
        <v>184</v>
      </c>
      <c r="G1" s="68" t="s">
        <v>184</v>
      </c>
      <c r="H1" s="68" t="s">
        <v>184</v>
      </c>
      <c r="I1" s="68" t="s">
        <v>184</v>
      </c>
      <c r="J1" s="68" t="s">
        <v>184</v>
      </c>
      <c r="K1" s="68" t="s">
        <v>184</v>
      </c>
      <c r="L1" s="68" t="s">
        <v>184</v>
      </c>
      <c r="M1" s="68" t="s">
        <v>184</v>
      </c>
      <c r="N1" s="68" t="s">
        <v>184</v>
      </c>
      <c r="O1" s="68" t="s">
        <v>184</v>
      </c>
      <c r="P1" s="68" t="s">
        <v>184</v>
      </c>
      <c r="Q1" s="68" t="s">
        <v>184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-43.7</v>
      </c>
      <c r="C4" s="64">
        <v>-43.7</v>
      </c>
      <c r="D4" s="69">
        <v>3</v>
      </c>
      <c r="E4" s="65">
        <v>0</v>
      </c>
      <c r="F4" s="65">
        <v>1</v>
      </c>
      <c r="G4" s="65">
        <v>0.22222222222222221</v>
      </c>
      <c r="H4" s="65">
        <v>0.33333333333333331</v>
      </c>
      <c r="I4" s="66">
        <v>3650</v>
      </c>
      <c r="J4" s="66">
        <v>-8566.6666666666661</v>
      </c>
      <c r="K4" s="65">
        <v>0</v>
      </c>
      <c r="L4" s="65">
        <v>0</v>
      </c>
      <c r="M4" s="65">
        <v>0.1111111111111111</v>
      </c>
      <c r="N4" s="65">
        <v>0.1111111111111111</v>
      </c>
      <c r="O4" s="65">
        <v>1</v>
      </c>
      <c r="P4" s="65">
        <v>1</v>
      </c>
      <c r="Q4" s="65">
        <v>0.5</v>
      </c>
    </row>
    <row r="5" spans="1:17" x14ac:dyDescent="0.4">
      <c r="A5" s="67">
        <v>2</v>
      </c>
      <c r="B5" s="64">
        <v>-76.2</v>
      </c>
      <c r="C5" s="64">
        <v>-38.1</v>
      </c>
      <c r="D5" s="69">
        <v>3</v>
      </c>
      <c r="E5" s="65">
        <v>0</v>
      </c>
      <c r="F5" s="65">
        <v>1</v>
      </c>
      <c r="G5" s="65">
        <v>0.2</v>
      </c>
      <c r="H5" s="65">
        <v>0.33333333333333331</v>
      </c>
      <c r="I5" s="66">
        <v>3366.6666666666665</v>
      </c>
      <c r="J5" s="66">
        <v>-6940</v>
      </c>
      <c r="K5" s="65">
        <v>0</v>
      </c>
      <c r="L5" s="65">
        <v>0</v>
      </c>
      <c r="M5" s="65">
        <v>6.6666666666666666E-2</v>
      </c>
      <c r="N5" s="65">
        <v>6.6666666666666666E-2</v>
      </c>
      <c r="O5" s="65">
        <v>1</v>
      </c>
      <c r="P5" s="65">
        <v>1</v>
      </c>
      <c r="Q5" s="65">
        <v>0.66666666666666663</v>
      </c>
    </row>
    <row r="6" spans="1:17" x14ac:dyDescent="0.4">
      <c r="A6" s="67">
        <v>3</v>
      </c>
      <c r="B6" s="64">
        <v>-78.400000000000006</v>
      </c>
      <c r="C6" s="64">
        <v>-26.133333333333336</v>
      </c>
      <c r="D6" s="69">
        <v>2.6666666666666665</v>
      </c>
      <c r="E6" s="65">
        <v>0</v>
      </c>
      <c r="F6" s="65">
        <v>0.66666666666666663</v>
      </c>
      <c r="G6" s="65">
        <v>0.25</v>
      </c>
      <c r="H6" s="65">
        <v>0.25</v>
      </c>
      <c r="I6" s="66">
        <v>5014.2857142857147</v>
      </c>
      <c r="J6" s="66">
        <v>-7200</v>
      </c>
      <c r="K6" s="65">
        <v>0</v>
      </c>
      <c r="L6" s="65">
        <v>0</v>
      </c>
      <c r="M6" s="65">
        <v>0.10714285714285714</v>
      </c>
      <c r="N6" s="65">
        <v>0.14285714285714285</v>
      </c>
      <c r="O6" s="65">
        <v>1</v>
      </c>
      <c r="P6" s="65">
        <v>0.75</v>
      </c>
      <c r="Q6" s="65">
        <v>0.42857142857142855</v>
      </c>
    </row>
    <row r="7" spans="1:17" x14ac:dyDescent="0.4">
      <c r="A7" s="67">
        <v>4</v>
      </c>
      <c r="B7" s="64">
        <v>-49.800000000000004</v>
      </c>
      <c r="C7" s="64">
        <v>-12.450000000000001</v>
      </c>
      <c r="D7" s="69">
        <v>2.25</v>
      </c>
      <c r="E7" s="65">
        <v>0.25</v>
      </c>
      <c r="F7" s="65">
        <v>0.5</v>
      </c>
      <c r="G7" s="65">
        <v>0.27027027027027029</v>
      </c>
      <c r="H7" s="65">
        <v>0.21621621621621623</v>
      </c>
      <c r="I7" s="66">
        <v>6070</v>
      </c>
      <c r="J7" s="66">
        <v>-6700</v>
      </c>
      <c r="K7" s="65">
        <v>0</v>
      </c>
      <c r="L7" s="65">
        <v>0</v>
      </c>
      <c r="M7" s="65">
        <v>0.1891891891891892</v>
      </c>
      <c r="N7" s="65">
        <v>0.16216216216216217</v>
      </c>
      <c r="O7" s="65">
        <v>0.7142857142857143</v>
      </c>
      <c r="P7" s="65">
        <v>0.66666666666666663</v>
      </c>
      <c r="Q7" s="65">
        <v>0.6</v>
      </c>
    </row>
    <row r="8" spans="1:17" x14ac:dyDescent="0.4">
      <c r="A8" s="67">
        <v>5</v>
      </c>
      <c r="B8" s="64">
        <v>-121</v>
      </c>
      <c r="C8" s="64">
        <v>-24.2</v>
      </c>
      <c r="D8" s="69">
        <v>2.4</v>
      </c>
      <c r="E8" s="65">
        <v>0.2</v>
      </c>
      <c r="F8" s="65">
        <v>0.6</v>
      </c>
      <c r="G8" s="65">
        <v>0.23809523809523808</v>
      </c>
      <c r="H8" s="65">
        <v>0.26190476190476192</v>
      </c>
      <c r="I8" s="66">
        <v>6070</v>
      </c>
      <c r="J8" s="66">
        <v>-8300</v>
      </c>
      <c r="K8" s="65">
        <v>0.2</v>
      </c>
      <c r="L8" s="65">
        <v>0</v>
      </c>
      <c r="M8" s="65">
        <v>0.16666666666666666</v>
      </c>
      <c r="N8" s="65">
        <v>0.21428571428571427</v>
      </c>
      <c r="O8" s="65">
        <v>0.7142857142857143</v>
      </c>
      <c r="P8" s="65">
        <v>0.44444444444444442</v>
      </c>
      <c r="Q8" s="65">
        <v>0.6</v>
      </c>
    </row>
    <row r="9" spans="1:17" x14ac:dyDescent="0.4">
      <c r="A9" s="67">
        <v>6</v>
      </c>
      <c r="B9" s="64">
        <v>-167</v>
      </c>
      <c r="C9" s="64">
        <v>-27.833333333333332</v>
      </c>
      <c r="D9" s="69">
        <v>2.5</v>
      </c>
      <c r="E9" s="65">
        <v>0.16666666666666666</v>
      </c>
      <c r="F9" s="65">
        <v>0.66666666666666663</v>
      </c>
      <c r="G9" s="65">
        <v>0.22916666666666666</v>
      </c>
      <c r="H9" s="65">
        <v>0.29166666666666669</v>
      </c>
      <c r="I9" s="66">
        <v>6972.727272727273</v>
      </c>
      <c r="J9" s="66">
        <v>-8585.7142857142862</v>
      </c>
      <c r="K9" s="65">
        <v>0.16666666666666666</v>
      </c>
      <c r="L9" s="65">
        <v>0</v>
      </c>
      <c r="M9" s="65">
        <v>0.14583333333333334</v>
      </c>
      <c r="N9" s="65">
        <v>0.22916666666666666</v>
      </c>
      <c r="O9" s="65">
        <v>0.7142857142857143</v>
      </c>
      <c r="P9" s="65">
        <v>0.45454545454545453</v>
      </c>
      <c r="Q9" s="65">
        <v>0.54545454545454541</v>
      </c>
    </row>
    <row r="10" spans="1:17" x14ac:dyDescent="0.4">
      <c r="A10" s="67">
        <v>7</v>
      </c>
      <c r="B10" s="64">
        <v>-218.2</v>
      </c>
      <c r="C10" s="64">
        <v>-31.171428571428571</v>
      </c>
      <c r="D10" s="69">
        <v>2.5714285714285716</v>
      </c>
      <c r="E10" s="65">
        <v>0.14285714285714285</v>
      </c>
      <c r="F10" s="65">
        <v>0.7142857142857143</v>
      </c>
      <c r="G10" s="65">
        <v>0.21052631578947367</v>
      </c>
      <c r="H10" s="65">
        <v>0.2807017543859649</v>
      </c>
      <c r="I10" s="66">
        <v>6500</v>
      </c>
      <c r="J10" s="66">
        <v>-8762.5</v>
      </c>
      <c r="K10" s="65">
        <v>0.14285714285714285</v>
      </c>
      <c r="L10" s="65">
        <v>0</v>
      </c>
      <c r="M10" s="65">
        <v>0.12280701754385964</v>
      </c>
      <c r="N10" s="65">
        <v>0.22807017543859648</v>
      </c>
      <c r="O10" s="65">
        <v>0.7142857142857143</v>
      </c>
      <c r="P10" s="65">
        <v>0.38461538461538464</v>
      </c>
      <c r="Q10" s="65">
        <v>0.5</v>
      </c>
    </row>
    <row r="11" spans="1:17" x14ac:dyDescent="0.4">
      <c r="A11" s="67">
        <v>8</v>
      </c>
      <c r="B11" s="64">
        <v>-170.5</v>
      </c>
      <c r="C11" s="64">
        <v>-21.3125</v>
      </c>
      <c r="D11" s="69">
        <v>2.375</v>
      </c>
      <c r="E11" s="65">
        <v>0.25</v>
      </c>
      <c r="F11" s="65">
        <v>0.625</v>
      </c>
      <c r="G11" s="65">
        <v>0.25</v>
      </c>
      <c r="H11" s="65">
        <v>0.25</v>
      </c>
      <c r="I11" s="66">
        <v>7364.7058823529414</v>
      </c>
      <c r="J11" s="66">
        <v>-8323.5294117647063</v>
      </c>
      <c r="K11" s="65">
        <v>0.125</v>
      </c>
      <c r="L11" s="65">
        <v>0</v>
      </c>
      <c r="M11" s="65">
        <v>0.17647058823529413</v>
      </c>
      <c r="N11" s="65">
        <v>0.22058823529411764</v>
      </c>
      <c r="O11" s="65">
        <v>0.66666666666666663</v>
      </c>
      <c r="P11" s="65">
        <v>0.46666666666666667</v>
      </c>
      <c r="Q11" s="65">
        <v>0.52941176470588236</v>
      </c>
    </row>
    <row r="12" spans="1:17" x14ac:dyDescent="0.4">
      <c r="A12" s="67">
        <v>9</v>
      </c>
      <c r="B12" s="64">
        <v>-228.1</v>
      </c>
      <c r="C12" s="64">
        <v>-25.344444444444445</v>
      </c>
      <c r="D12" s="69">
        <v>2.4444444444444446</v>
      </c>
      <c r="E12" s="65">
        <v>0.22222222222222221</v>
      </c>
      <c r="F12" s="65">
        <v>0.66666666666666663</v>
      </c>
      <c r="G12" s="65">
        <v>0.23076923076923078</v>
      </c>
      <c r="H12" s="65">
        <v>0.26923076923076922</v>
      </c>
      <c r="I12" s="66">
        <v>7072.2222222222226</v>
      </c>
      <c r="J12" s="66">
        <v>-8233.3333333333339</v>
      </c>
      <c r="K12" s="65">
        <v>0.22222222222222221</v>
      </c>
      <c r="L12" s="65">
        <v>0</v>
      </c>
      <c r="M12" s="65">
        <v>0.20512820512820512</v>
      </c>
      <c r="N12" s="65">
        <v>0.20512820512820512</v>
      </c>
      <c r="O12" s="65">
        <v>0.5625</v>
      </c>
      <c r="P12" s="65">
        <v>0.4375</v>
      </c>
      <c r="Q12" s="65">
        <v>0.55555555555555558</v>
      </c>
    </row>
    <row r="13" spans="1:17" x14ac:dyDescent="0.4">
      <c r="A13" s="67">
        <v>10</v>
      </c>
      <c r="B13" s="64">
        <v>-197.5</v>
      </c>
      <c r="C13" s="64">
        <v>-19.75</v>
      </c>
      <c r="D13" s="69">
        <v>2.2999999999999998</v>
      </c>
      <c r="E13" s="65">
        <v>0.3</v>
      </c>
      <c r="F13" s="65">
        <v>0.6</v>
      </c>
      <c r="G13" s="65">
        <v>0.23529411764705882</v>
      </c>
      <c r="H13" s="65">
        <v>0.27058823529411763</v>
      </c>
      <c r="I13" s="66">
        <v>7365</v>
      </c>
      <c r="J13" s="66">
        <v>-7686.95652173913</v>
      </c>
      <c r="K13" s="65">
        <v>0.2</v>
      </c>
      <c r="L13" s="65">
        <v>0</v>
      </c>
      <c r="M13" s="65">
        <v>0.21176470588235294</v>
      </c>
      <c r="N13" s="65">
        <v>0.2</v>
      </c>
      <c r="O13" s="65">
        <v>0.55555555555555558</v>
      </c>
      <c r="P13" s="65">
        <v>0.47058823529411764</v>
      </c>
      <c r="Q13" s="65">
        <v>0.55000000000000004</v>
      </c>
    </row>
    <row r="14" spans="1:17" x14ac:dyDescent="0.4">
      <c r="A14" s="67">
        <v>11</v>
      </c>
      <c r="B14" s="64">
        <v>-161.19999999999999</v>
      </c>
      <c r="C14" s="64">
        <v>-14.654545454545454</v>
      </c>
      <c r="D14" s="69">
        <v>2.1818181818181817</v>
      </c>
      <c r="E14" s="65">
        <v>0.36363636363636365</v>
      </c>
      <c r="F14" s="65">
        <v>0.54545454545454541</v>
      </c>
      <c r="G14" s="65">
        <v>0.25531914893617019</v>
      </c>
      <c r="H14" s="65">
        <v>0.25531914893617019</v>
      </c>
      <c r="I14" s="66">
        <v>7358.333333333333</v>
      </c>
      <c r="J14" s="66">
        <v>-7700</v>
      </c>
      <c r="K14" s="65">
        <v>0.18181818181818182</v>
      </c>
      <c r="L14" s="65">
        <v>0</v>
      </c>
      <c r="M14" s="65">
        <v>0.21276595744680851</v>
      </c>
      <c r="N14" s="65">
        <v>0.21276595744680851</v>
      </c>
      <c r="O14" s="65">
        <v>0.6</v>
      </c>
      <c r="P14" s="65">
        <v>0.45</v>
      </c>
      <c r="Q14" s="65">
        <v>0.45833333333333331</v>
      </c>
    </row>
    <row r="15" spans="1:17" x14ac:dyDescent="0.4">
      <c r="A15" s="67">
        <v>12</v>
      </c>
      <c r="B15" s="64">
        <v>-116.6</v>
      </c>
      <c r="C15" s="64">
        <v>-9.7166666666666668</v>
      </c>
      <c r="D15" s="69">
        <v>2.0833333333333335</v>
      </c>
      <c r="E15" s="65">
        <v>0.41666666666666669</v>
      </c>
      <c r="F15" s="65">
        <v>0.5</v>
      </c>
      <c r="G15" s="65">
        <v>0.26923076923076922</v>
      </c>
      <c r="H15" s="65">
        <v>0.23076923076923078</v>
      </c>
      <c r="I15" s="66">
        <v>7700</v>
      </c>
      <c r="J15" s="66">
        <v>-7700</v>
      </c>
      <c r="K15" s="65">
        <v>0.16666666666666666</v>
      </c>
      <c r="L15" s="65">
        <v>0</v>
      </c>
      <c r="M15" s="65">
        <v>0.23076923076923078</v>
      </c>
      <c r="N15" s="65">
        <v>0.19230769230769232</v>
      </c>
      <c r="O15" s="65">
        <v>0.625</v>
      </c>
      <c r="P15" s="65">
        <v>0.45</v>
      </c>
      <c r="Q15" s="65">
        <v>0.5</v>
      </c>
    </row>
    <row r="16" spans="1:17" x14ac:dyDescent="0.4">
      <c r="A16" s="67">
        <v>13</v>
      </c>
      <c r="B16" s="64">
        <v>-144.79999999999998</v>
      </c>
      <c r="C16" s="64">
        <v>-11.138461538461538</v>
      </c>
      <c r="D16" s="69">
        <v>2.1538461538461537</v>
      </c>
      <c r="E16" s="65">
        <v>0.38461538461538464</v>
      </c>
      <c r="F16" s="65">
        <v>0.53846153846153844</v>
      </c>
      <c r="G16" s="65">
        <v>0.2767857142857143</v>
      </c>
      <c r="H16" s="65">
        <v>0.23214285714285715</v>
      </c>
      <c r="I16" s="66">
        <v>7577.4193548387093</v>
      </c>
      <c r="J16" s="66">
        <v>-8107.6923076923076</v>
      </c>
      <c r="K16" s="65">
        <v>0.15384615384615385</v>
      </c>
      <c r="L16" s="65">
        <v>0</v>
      </c>
      <c r="M16" s="65">
        <v>0.22321428571428573</v>
      </c>
      <c r="N16" s="65">
        <v>0.21428571428571427</v>
      </c>
      <c r="O16" s="65">
        <v>0.64</v>
      </c>
      <c r="P16" s="65">
        <v>0.45833333333333331</v>
      </c>
      <c r="Q16" s="65">
        <v>0.5161290322580645</v>
      </c>
    </row>
    <row r="17" spans="1:17" x14ac:dyDescent="0.4">
      <c r="A17" s="67">
        <v>14</v>
      </c>
      <c r="B17" s="64">
        <v>-138.69999999999999</v>
      </c>
      <c r="C17" s="64">
        <v>-9.9071428571428566</v>
      </c>
      <c r="D17" s="69">
        <v>2.1428571428571428</v>
      </c>
      <c r="E17" s="65">
        <v>0.35714285714285715</v>
      </c>
      <c r="F17" s="65">
        <v>0.5</v>
      </c>
      <c r="G17" s="65">
        <v>0.28813559322033899</v>
      </c>
      <c r="H17" s="65">
        <v>0.22033898305084745</v>
      </c>
      <c r="I17" s="66">
        <v>7494.1176470588234</v>
      </c>
      <c r="J17" s="66">
        <v>-8107.6923076923076</v>
      </c>
      <c r="K17" s="65">
        <v>0.14285714285714285</v>
      </c>
      <c r="L17" s="65">
        <v>0</v>
      </c>
      <c r="M17" s="65">
        <v>0.23728813559322035</v>
      </c>
      <c r="N17" s="65">
        <v>0.21186440677966101</v>
      </c>
      <c r="O17" s="65">
        <v>0.6785714285714286</v>
      </c>
      <c r="P17" s="65">
        <v>0.44</v>
      </c>
      <c r="Q17" s="65">
        <v>0.52941176470588236</v>
      </c>
    </row>
    <row r="18" spans="1:17" x14ac:dyDescent="0.4">
      <c r="A18" s="67">
        <v>15</v>
      </c>
      <c r="B18" s="64">
        <v>-84.399999999999991</v>
      </c>
      <c r="C18" s="64">
        <v>-5.626666666666666</v>
      </c>
      <c r="D18" s="69">
        <v>2.0666666666666669</v>
      </c>
      <c r="E18" s="65">
        <v>0.4</v>
      </c>
      <c r="F18" s="65">
        <v>0.46666666666666667</v>
      </c>
      <c r="G18" s="65">
        <v>0.2857142857142857</v>
      </c>
      <c r="H18" s="65">
        <v>0.21428571428571427</v>
      </c>
      <c r="I18" s="66">
        <v>8300</v>
      </c>
      <c r="J18" s="66">
        <v>-8092.5925925925922</v>
      </c>
      <c r="K18" s="65">
        <v>0.13333333333333333</v>
      </c>
      <c r="L18" s="65">
        <v>0</v>
      </c>
      <c r="M18" s="65">
        <v>0.23015873015873015</v>
      </c>
      <c r="N18" s="65">
        <v>0.21428571428571427</v>
      </c>
      <c r="O18" s="65">
        <v>0.68965517241379315</v>
      </c>
      <c r="P18" s="65">
        <v>0.44444444444444442</v>
      </c>
      <c r="Q18" s="65">
        <v>0.5</v>
      </c>
    </row>
    <row r="19" spans="1:17" x14ac:dyDescent="0.4">
      <c r="A19" s="67">
        <v>16</v>
      </c>
      <c r="B19" s="64">
        <v>-139.79999999999998</v>
      </c>
      <c r="C19" s="64">
        <v>-8.7374999999999989</v>
      </c>
      <c r="D19" s="69">
        <v>2.125</v>
      </c>
      <c r="E19" s="65">
        <v>0.375</v>
      </c>
      <c r="F19" s="65">
        <v>0.5</v>
      </c>
      <c r="G19" s="65">
        <v>0.27611940298507465</v>
      </c>
      <c r="H19" s="65">
        <v>0.22388059701492538</v>
      </c>
      <c r="I19" s="66">
        <v>8135.135135135135</v>
      </c>
      <c r="J19" s="66">
        <v>-8053.333333333333</v>
      </c>
      <c r="K19" s="65">
        <v>0.1875</v>
      </c>
      <c r="L19" s="65">
        <v>0</v>
      </c>
      <c r="M19" s="65">
        <v>0.23880597014925373</v>
      </c>
      <c r="N19" s="65">
        <v>0.20895522388059701</v>
      </c>
      <c r="O19" s="65">
        <v>0.625</v>
      </c>
      <c r="P19" s="65">
        <v>0.42857142857142855</v>
      </c>
      <c r="Q19" s="65">
        <v>0.51351351351351349</v>
      </c>
    </row>
    <row r="20" spans="1:17" x14ac:dyDescent="0.4">
      <c r="A20" s="67">
        <v>17</v>
      </c>
      <c r="B20" s="64">
        <v>-203.5</v>
      </c>
      <c r="C20" s="64">
        <v>-11.970588235294118</v>
      </c>
      <c r="D20" s="69">
        <v>2.1764705882352939</v>
      </c>
      <c r="E20" s="65">
        <v>0.35294117647058826</v>
      </c>
      <c r="F20" s="65">
        <v>0.52941176470588236</v>
      </c>
      <c r="G20" s="65">
        <v>0.26241134751773049</v>
      </c>
      <c r="H20" s="65">
        <v>0.23404255319148937</v>
      </c>
      <c r="I20" s="66">
        <v>8135.135135135135</v>
      </c>
      <c r="J20" s="66">
        <v>-8387.878787878788</v>
      </c>
      <c r="K20" s="65">
        <v>0.23529411764705882</v>
      </c>
      <c r="L20" s="65">
        <v>0</v>
      </c>
      <c r="M20" s="65">
        <v>0.23404255319148937</v>
      </c>
      <c r="N20" s="65">
        <v>0.21985815602836881</v>
      </c>
      <c r="O20" s="65">
        <v>0.60606060606060608</v>
      </c>
      <c r="P20" s="65">
        <v>0.38709677419354838</v>
      </c>
      <c r="Q20" s="65">
        <v>0.51351351351351349</v>
      </c>
    </row>
    <row r="21" spans="1:17" x14ac:dyDescent="0.4">
      <c r="A21" s="67">
        <v>18</v>
      </c>
      <c r="B21" s="64">
        <v>-126.5</v>
      </c>
      <c r="C21" s="64">
        <v>-7.0277777777777777</v>
      </c>
      <c r="D21" s="69">
        <v>2.1111111111111112</v>
      </c>
      <c r="E21" s="65">
        <v>0.3888888888888889</v>
      </c>
      <c r="F21" s="65">
        <v>0.5</v>
      </c>
      <c r="G21" s="65">
        <v>0.2857142857142857</v>
      </c>
      <c r="H21" s="65">
        <v>0.23129251700680273</v>
      </c>
      <c r="I21" s="66">
        <v>8642.8571428571431</v>
      </c>
      <c r="J21" s="66">
        <v>-8376.4705882352937</v>
      </c>
      <c r="K21" s="65">
        <v>0.22222222222222221</v>
      </c>
      <c r="L21" s="65">
        <v>5.5555555555555552E-2</v>
      </c>
      <c r="M21" s="65">
        <v>0.24489795918367346</v>
      </c>
      <c r="N21" s="65">
        <v>0.22448979591836735</v>
      </c>
      <c r="O21" s="65">
        <v>0.63888888888888884</v>
      </c>
      <c r="P21" s="65">
        <v>0.42424242424242425</v>
      </c>
      <c r="Q21" s="65">
        <v>0.47619047619047616</v>
      </c>
    </row>
    <row r="22" spans="1:17" x14ac:dyDescent="0.4">
      <c r="A22" s="67">
        <v>19</v>
      </c>
      <c r="B22" s="64">
        <v>-67.599999999999994</v>
      </c>
      <c r="C22" s="64">
        <v>-3.5578947368421048</v>
      </c>
      <c r="D22" s="69">
        <v>2.0526315789473686</v>
      </c>
      <c r="E22" s="65">
        <v>0.42105263157894735</v>
      </c>
      <c r="F22" s="65">
        <v>0.47368421052631576</v>
      </c>
      <c r="G22" s="65">
        <v>0.29870129870129869</v>
      </c>
      <c r="H22" s="65">
        <v>0.22727272727272727</v>
      </c>
      <c r="I22" s="66">
        <v>8621.7391304347821</v>
      </c>
      <c r="J22" s="66">
        <v>-8285.7142857142862</v>
      </c>
      <c r="K22" s="65">
        <v>0.21052631578947367</v>
      </c>
      <c r="L22" s="65">
        <v>0.10526315789473684</v>
      </c>
      <c r="M22" s="65">
        <v>0.24675324675324675</v>
      </c>
      <c r="N22" s="65">
        <v>0.22727272727272727</v>
      </c>
      <c r="O22" s="65">
        <v>0.65789473684210531</v>
      </c>
      <c r="P22" s="65">
        <v>0.45714285714285713</v>
      </c>
      <c r="Q22" s="65">
        <v>0.47826086956521741</v>
      </c>
    </row>
    <row r="23" spans="1:17" x14ac:dyDescent="0.4">
      <c r="A23" s="67">
        <v>20</v>
      </c>
      <c r="B23" s="64">
        <v>-124.1</v>
      </c>
      <c r="C23" s="64">
        <v>-6.2050000000000001</v>
      </c>
      <c r="D23" s="69">
        <v>2.1</v>
      </c>
      <c r="E23" s="65">
        <v>0.4</v>
      </c>
      <c r="F23" s="65">
        <v>0.5</v>
      </c>
      <c r="G23" s="65">
        <v>0.2929936305732484</v>
      </c>
      <c r="H23" s="65">
        <v>0.22929936305732485</v>
      </c>
      <c r="I23" s="66">
        <v>8621.7391304347821</v>
      </c>
      <c r="J23" s="66">
        <v>-8722.2222222222226</v>
      </c>
      <c r="K23" s="65">
        <v>0.25</v>
      </c>
      <c r="L23" s="65">
        <v>0.1</v>
      </c>
      <c r="M23" s="65">
        <v>0.24203821656050956</v>
      </c>
      <c r="N23" s="65">
        <v>0.24203821656050956</v>
      </c>
      <c r="O23" s="65">
        <v>0.65789473684210531</v>
      </c>
      <c r="P23" s="65">
        <v>0.42105263157894735</v>
      </c>
      <c r="Q23" s="65">
        <v>0.47826086956521741</v>
      </c>
    </row>
    <row r="24" spans="1:17" x14ac:dyDescent="0.4">
      <c r="A24" s="67">
        <v>21</v>
      </c>
      <c r="B24" s="64">
        <v>-189.2</v>
      </c>
      <c r="C24" s="64">
        <v>-9.0095238095238095</v>
      </c>
      <c r="D24" s="69">
        <v>2.1428571428571428</v>
      </c>
      <c r="E24" s="65">
        <v>0.38095238095238093</v>
      </c>
      <c r="F24" s="65">
        <v>0.52380952380952384</v>
      </c>
      <c r="G24" s="65">
        <v>0.2857142857142857</v>
      </c>
      <c r="H24" s="65">
        <v>0.22981366459627328</v>
      </c>
      <c r="I24" s="66">
        <v>8621.7391304347821</v>
      </c>
      <c r="J24" s="66">
        <v>-9124.3243243243251</v>
      </c>
      <c r="K24" s="65">
        <v>0.2857142857142857</v>
      </c>
      <c r="L24" s="65">
        <v>9.5238095238095233E-2</v>
      </c>
      <c r="M24" s="65">
        <v>0.2360248447204969</v>
      </c>
      <c r="N24" s="65">
        <v>0.24223602484472051</v>
      </c>
      <c r="O24" s="65">
        <v>0.65789473684210531</v>
      </c>
      <c r="P24" s="65">
        <v>0.41025641025641024</v>
      </c>
      <c r="Q24" s="65">
        <v>0.47826086956521741</v>
      </c>
    </row>
    <row r="25" spans="1:17" x14ac:dyDescent="0.4">
      <c r="A25" s="67">
        <v>22</v>
      </c>
      <c r="B25" s="64">
        <v>-264.39999999999998</v>
      </c>
      <c r="C25" s="64">
        <v>-12.018181818181818</v>
      </c>
      <c r="D25" s="69">
        <v>2.1818181818181817</v>
      </c>
      <c r="E25" s="65">
        <v>0.36363636363636365</v>
      </c>
      <c r="F25" s="65">
        <v>0.54545454545454541</v>
      </c>
      <c r="G25" s="65">
        <v>0.27878787878787881</v>
      </c>
      <c r="H25" s="65">
        <v>0.23636363636363636</v>
      </c>
      <c r="I25" s="66">
        <v>8621.7391304347821</v>
      </c>
      <c r="J25" s="66">
        <v>-9879.4871794871797</v>
      </c>
      <c r="K25" s="65">
        <v>0.31818181818181818</v>
      </c>
      <c r="L25" s="65">
        <v>9.0909090909090912E-2</v>
      </c>
      <c r="M25" s="65">
        <v>0.23030303030303031</v>
      </c>
      <c r="N25" s="65">
        <v>0.24848484848484848</v>
      </c>
      <c r="O25" s="65">
        <v>0.65789473684210531</v>
      </c>
      <c r="P25" s="65">
        <v>0.3902439024390244</v>
      </c>
      <c r="Q25" s="65">
        <v>0.47826086956521741</v>
      </c>
    </row>
    <row r="26" spans="1:17" x14ac:dyDescent="0.4">
      <c r="A26" s="67">
        <v>23</v>
      </c>
      <c r="B26" s="64">
        <v>-253.49999999999997</v>
      </c>
      <c r="C26" s="64">
        <v>-11.021739130434781</v>
      </c>
      <c r="D26" s="69">
        <v>2.1739130434782608</v>
      </c>
      <c r="E26" s="65">
        <v>0.34782608695652173</v>
      </c>
      <c r="F26" s="65">
        <v>0.52173913043478259</v>
      </c>
      <c r="G26" s="65">
        <v>0.28735632183908044</v>
      </c>
      <c r="H26" s="65">
        <v>0.22988505747126436</v>
      </c>
      <c r="I26" s="66">
        <v>8434</v>
      </c>
      <c r="J26" s="66">
        <v>-9825</v>
      </c>
      <c r="K26" s="65">
        <v>0.30434782608695654</v>
      </c>
      <c r="L26" s="65">
        <v>8.6956521739130432E-2</v>
      </c>
      <c r="M26" s="65">
        <v>0.23563218390804597</v>
      </c>
      <c r="N26" s="65">
        <v>0.25287356321839083</v>
      </c>
      <c r="O26" s="65">
        <v>0.68292682926829273</v>
      </c>
      <c r="P26" s="65">
        <v>0.38636363636363635</v>
      </c>
      <c r="Q26" s="65">
        <v>0.48</v>
      </c>
    </row>
    <row r="27" spans="1:17" x14ac:dyDescent="0.4">
      <c r="A27" s="67">
        <v>24</v>
      </c>
      <c r="B27" s="64">
        <v>-300.5</v>
      </c>
      <c r="C27" s="64">
        <v>-12.520833333333334</v>
      </c>
      <c r="D27" s="69">
        <v>2.2083333333333335</v>
      </c>
      <c r="E27" s="65">
        <v>0.33333333333333331</v>
      </c>
      <c r="F27" s="65">
        <v>0.54166666666666663</v>
      </c>
      <c r="G27" s="65">
        <v>0.27624309392265195</v>
      </c>
      <c r="H27" s="65">
        <v>0.22651933701657459</v>
      </c>
      <c r="I27" s="66">
        <v>8434</v>
      </c>
      <c r="J27" s="66">
        <v>-9878.0487804878048</v>
      </c>
      <c r="K27" s="65">
        <v>0.29166666666666669</v>
      </c>
      <c r="L27" s="65">
        <v>8.3333333333333329E-2</v>
      </c>
      <c r="M27" s="65">
        <v>0.23204419889502761</v>
      </c>
      <c r="N27" s="65">
        <v>0.24861878453038674</v>
      </c>
      <c r="O27" s="65">
        <v>0.66666666666666663</v>
      </c>
      <c r="P27" s="65">
        <v>0.37777777777777777</v>
      </c>
      <c r="Q27" s="65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C8E82-D761-4221-80A1-978C00734BA7}">
  <sheetPr codeName="Sheet22"/>
  <dimension ref="A1:Q6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183</v>
      </c>
      <c r="B1" s="68" t="s">
        <v>183</v>
      </c>
      <c r="C1" s="68" t="s">
        <v>183</v>
      </c>
      <c r="D1" s="69" t="s">
        <v>183</v>
      </c>
      <c r="E1" s="68" t="s">
        <v>183</v>
      </c>
      <c r="F1" s="68" t="s">
        <v>183</v>
      </c>
      <c r="G1" s="68" t="s">
        <v>183</v>
      </c>
      <c r="H1" s="68" t="s">
        <v>183</v>
      </c>
      <c r="I1" s="68" t="s">
        <v>183</v>
      </c>
      <c r="J1" s="68" t="s">
        <v>183</v>
      </c>
      <c r="K1" s="68" t="s">
        <v>183</v>
      </c>
      <c r="L1" s="68" t="s">
        <v>183</v>
      </c>
      <c r="M1" s="68" t="s">
        <v>183</v>
      </c>
      <c r="N1" s="68" t="s">
        <v>183</v>
      </c>
      <c r="O1" s="68" t="s">
        <v>183</v>
      </c>
      <c r="P1" s="68" t="s">
        <v>183</v>
      </c>
      <c r="Q1" s="68" t="s">
        <v>183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-14.6</v>
      </c>
      <c r="C4" s="64">
        <v>-14.6</v>
      </c>
      <c r="D4" s="69">
        <v>2</v>
      </c>
      <c r="E4" s="65">
        <v>0</v>
      </c>
      <c r="F4" s="65">
        <v>0</v>
      </c>
      <c r="G4" s="65">
        <v>0</v>
      </c>
      <c r="H4" s="65">
        <v>0.2857142857142857</v>
      </c>
      <c r="I4" s="66">
        <v>0</v>
      </c>
      <c r="J4" s="66">
        <v>-5150</v>
      </c>
      <c r="K4" s="65">
        <v>0</v>
      </c>
      <c r="L4" s="65">
        <v>0</v>
      </c>
      <c r="M4" s="65">
        <v>0.2857142857142857</v>
      </c>
      <c r="N4" s="65">
        <v>0</v>
      </c>
      <c r="O4" s="65">
        <v>0</v>
      </c>
      <c r="P4" s="65">
        <v>0</v>
      </c>
      <c r="Q4" s="65">
        <v>0</v>
      </c>
    </row>
    <row r="5" spans="1:17" x14ac:dyDescent="0.4">
      <c r="A5" s="67">
        <v>2</v>
      </c>
      <c r="B5" s="64">
        <v>22.5</v>
      </c>
      <c r="C5" s="64">
        <v>11.25</v>
      </c>
      <c r="D5" s="69">
        <v>1.5</v>
      </c>
      <c r="E5" s="65">
        <v>0.5</v>
      </c>
      <c r="F5" s="65">
        <v>0</v>
      </c>
      <c r="G5" s="65">
        <v>0.23076923076923078</v>
      </c>
      <c r="H5" s="65">
        <v>0.15384615384615385</v>
      </c>
      <c r="I5" s="66">
        <v>6433.333333333333</v>
      </c>
      <c r="J5" s="66">
        <v>-5150</v>
      </c>
      <c r="K5" s="65">
        <v>0</v>
      </c>
      <c r="L5" s="65">
        <v>0</v>
      </c>
      <c r="M5" s="65">
        <v>0.30769230769230771</v>
      </c>
      <c r="N5" s="65">
        <v>0.15384615384615385</v>
      </c>
      <c r="O5" s="65">
        <v>0.5</v>
      </c>
      <c r="P5" s="65">
        <v>0.5</v>
      </c>
      <c r="Q5" s="65">
        <v>0.33333333333333331</v>
      </c>
    </row>
    <row r="6" spans="1:17" x14ac:dyDescent="0.4">
      <c r="A6" s="67">
        <v>3</v>
      </c>
      <c r="B6" s="64">
        <v>61</v>
      </c>
      <c r="C6" s="64">
        <v>20.333333333333332</v>
      </c>
      <c r="D6" s="69">
        <v>1.3333333333333333</v>
      </c>
      <c r="E6" s="65">
        <v>0.66666666666666663</v>
      </c>
      <c r="F6" s="65">
        <v>0</v>
      </c>
      <c r="G6" s="65">
        <v>0.26315789473684209</v>
      </c>
      <c r="H6" s="65">
        <v>0.10526315789473684</v>
      </c>
      <c r="I6" s="66">
        <v>7860</v>
      </c>
      <c r="J6" s="66">
        <v>-5150</v>
      </c>
      <c r="K6" s="65">
        <v>0</v>
      </c>
      <c r="L6" s="65">
        <v>0</v>
      </c>
      <c r="M6" s="65">
        <v>0.26315789473684209</v>
      </c>
      <c r="N6" s="65">
        <v>0.21052631578947367</v>
      </c>
      <c r="O6" s="65">
        <v>0.6</v>
      </c>
      <c r="P6" s="65">
        <v>0.5</v>
      </c>
      <c r="Q6" s="65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7D38-70C2-4275-8752-1AD7A7FA649D}">
  <sheetPr codeName="Sheet20"/>
  <dimension ref="A1:Q124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177</v>
      </c>
      <c r="B1" s="68" t="s">
        <v>177</v>
      </c>
      <c r="C1" s="68" t="s">
        <v>177</v>
      </c>
      <c r="D1" s="69" t="s">
        <v>177</v>
      </c>
      <c r="E1" s="68" t="s">
        <v>177</v>
      </c>
      <c r="F1" s="68" t="s">
        <v>177</v>
      </c>
      <c r="G1" s="68" t="s">
        <v>177</v>
      </c>
      <c r="H1" s="68" t="s">
        <v>177</v>
      </c>
      <c r="I1" s="68" t="s">
        <v>177</v>
      </c>
      <c r="J1" s="68" t="s">
        <v>177</v>
      </c>
      <c r="K1" s="68" t="s">
        <v>177</v>
      </c>
      <c r="L1" s="68" t="s">
        <v>177</v>
      </c>
      <c r="M1" s="68" t="s">
        <v>177</v>
      </c>
      <c r="N1" s="68" t="s">
        <v>177</v>
      </c>
      <c r="O1" s="68" t="s">
        <v>177</v>
      </c>
      <c r="P1" s="68" t="s">
        <v>177</v>
      </c>
      <c r="Q1" s="68" t="s">
        <v>177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-1.9</v>
      </c>
      <c r="C4" s="64">
        <v>-1.9</v>
      </c>
      <c r="D4" s="69">
        <v>2</v>
      </c>
      <c r="E4" s="65">
        <v>0</v>
      </c>
      <c r="F4" s="65">
        <v>0</v>
      </c>
      <c r="G4" s="65">
        <v>0.2857142857142857</v>
      </c>
      <c r="H4" s="65">
        <v>0.14285714285714285</v>
      </c>
      <c r="I4" s="66">
        <v>7050</v>
      </c>
      <c r="J4" s="66">
        <v>-3900</v>
      </c>
      <c r="K4" s="65">
        <v>0</v>
      </c>
      <c r="L4" s="65">
        <v>0</v>
      </c>
      <c r="M4" s="65">
        <v>0</v>
      </c>
      <c r="N4" s="65">
        <v>0.14285714285714285</v>
      </c>
      <c r="O4" s="65">
        <v>0</v>
      </c>
      <c r="P4" s="65">
        <v>0</v>
      </c>
      <c r="Q4" s="65">
        <v>0.5</v>
      </c>
    </row>
    <row r="5" spans="1:17" x14ac:dyDescent="0.4">
      <c r="A5" s="67">
        <v>2</v>
      </c>
      <c r="B5" s="64">
        <v>30</v>
      </c>
      <c r="C5" s="64">
        <v>15</v>
      </c>
      <c r="D5" s="69">
        <v>1.5</v>
      </c>
      <c r="E5" s="65">
        <v>0.5</v>
      </c>
      <c r="F5" s="65">
        <v>0</v>
      </c>
      <c r="G5" s="65">
        <v>0.29411764705882354</v>
      </c>
      <c r="H5" s="65">
        <v>0.17647058823529413</v>
      </c>
      <c r="I5" s="66">
        <v>8800</v>
      </c>
      <c r="J5" s="66">
        <v>-2933.3333333333335</v>
      </c>
      <c r="K5" s="65">
        <v>0</v>
      </c>
      <c r="L5" s="65">
        <v>0</v>
      </c>
      <c r="M5" s="65">
        <v>0.11764705882352941</v>
      </c>
      <c r="N5" s="65">
        <v>0.17647058823529413</v>
      </c>
      <c r="O5" s="65">
        <v>1</v>
      </c>
      <c r="P5" s="65">
        <v>0.33333333333333331</v>
      </c>
      <c r="Q5" s="65">
        <v>0.4</v>
      </c>
    </row>
    <row r="6" spans="1:17" x14ac:dyDescent="0.4">
      <c r="A6" s="67">
        <v>3</v>
      </c>
      <c r="B6" s="64">
        <v>-10</v>
      </c>
      <c r="C6" s="64">
        <v>-3.3333333333333335</v>
      </c>
      <c r="D6" s="69">
        <v>2</v>
      </c>
      <c r="E6" s="65">
        <v>0.33333333333333331</v>
      </c>
      <c r="F6" s="65">
        <v>0.33333333333333331</v>
      </c>
      <c r="G6" s="65">
        <v>0.29166666666666669</v>
      </c>
      <c r="H6" s="65">
        <v>0.20833333333333334</v>
      </c>
      <c r="I6" s="66">
        <v>6828.5714285714284</v>
      </c>
      <c r="J6" s="66">
        <v>-6560</v>
      </c>
      <c r="K6" s="65">
        <v>0</v>
      </c>
      <c r="L6" s="65">
        <v>0</v>
      </c>
      <c r="M6" s="65">
        <v>0.16666666666666666</v>
      </c>
      <c r="N6" s="65">
        <v>0.25</v>
      </c>
      <c r="O6" s="65">
        <v>0.75</v>
      </c>
      <c r="P6" s="65">
        <v>0.33333333333333331</v>
      </c>
      <c r="Q6" s="65">
        <v>0.42857142857142855</v>
      </c>
    </row>
    <row r="7" spans="1:17" x14ac:dyDescent="0.4">
      <c r="A7" s="67">
        <v>4</v>
      </c>
      <c r="B7" s="64">
        <v>40</v>
      </c>
      <c r="C7" s="64">
        <v>10</v>
      </c>
      <c r="D7" s="69">
        <v>1.75</v>
      </c>
      <c r="E7" s="65">
        <v>0.5</v>
      </c>
      <c r="F7" s="65">
        <v>0.25</v>
      </c>
      <c r="G7" s="65">
        <v>0.36363636363636365</v>
      </c>
      <c r="H7" s="65">
        <v>0.15151515151515152</v>
      </c>
      <c r="I7" s="66">
        <v>7050</v>
      </c>
      <c r="J7" s="66">
        <v>-6560</v>
      </c>
      <c r="K7" s="65">
        <v>0</v>
      </c>
      <c r="L7" s="65">
        <v>0</v>
      </c>
      <c r="M7" s="65">
        <v>0.24242424242424243</v>
      </c>
      <c r="N7" s="65">
        <v>0.27272727272727271</v>
      </c>
      <c r="O7" s="65">
        <v>0.875</v>
      </c>
      <c r="P7" s="65">
        <v>0.33333333333333331</v>
      </c>
      <c r="Q7" s="65">
        <v>0.33333333333333331</v>
      </c>
    </row>
    <row r="8" spans="1:17" x14ac:dyDescent="0.4">
      <c r="A8" s="67">
        <v>5</v>
      </c>
      <c r="B8" s="64">
        <v>35.4</v>
      </c>
      <c r="C8" s="64">
        <v>7.08</v>
      </c>
      <c r="D8" s="69">
        <v>1.8</v>
      </c>
      <c r="E8" s="65">
        <v>0.4</v>
      </c>
      <c r="F8" s="65">
        <v>0.2</v>
      </c>
      <c r="G8" s="65">
        <v>0.33333333333333331</v>
      </c>
      <c r="H8" s="65">
        <v>0.15384615384615385</v>
      </c>
      <c r="I8" s="66">
        <v>6607.6923076923076</v>
      </c>
      <c r="J8" s="66">
        <v>-6116.666666666667</v>
      </c>
      <c r="K8" s="65">
        <v>0</v>
      </c>
      <c r="L8" s="65">
        <v>0</v>
      </c>
      <c r="M8" s="65">
        <v>0.25641025641025639</v>
      </c>
      <c r="N8" s="65">
        <v>0.28205128205128205</v>
      </c>
      <c r="O8" s="65">
        <v>0.8</v>
      </c>
      <c r="P8" s="65">
        <v>0.27272727272727271</v>
      </c>
      <c r="Q8" s="65">
        <v>0.30769230769230771</v>
      </c>
    </row>
    <row r="9" spans="1:17" x14ac:dyDescent="0.4">
      <c r="A9" s="67">
        <v>6</v>
      </c>
      <c r="B9" s="64">
        <v>3.8999999999999986</v>
      </c>
      <c r="C9" s="64">
        <v>0.6499999999999998</v>
      </c>
      <c r="D9" s="69">
        <v>2</v>
      </c>
      <c r="E9" s="65">
        <v>0.33333333333333331</v>
      </c>
      <c r="F9" s="65">
        <v>0.33333333333333331</v>
      </c>
      <c r="G9" s="65">
        <v>0.31111111111111112</v>
      </c>
      <c r="H9" s="65">
        <v>0.2</v>
      </c>
      <c r="I9" s="66">
        <v>6414.2857142857147</v>
      </c>
      <c r="J9" s="66">
        <v>-5400</v>
      </c>
      <c r="K9" s="65">
        <v>0</v>
      </c>
      <c r="L9" s="65">
        <v>0</v>
      </c>
      <c r="M9" s="65">
        <v>0.26666666666666666</v>
      </c>
      <c r="N9" s="65">
        <v>0.26666666666666666</v>
      </c>
      <c r="O9" s="65">
        <v>0.66666666666666663</v>
      </c>
      <c r="P9" s="65">
        <v>0.33333333333333331</v>
      </c>
      <c r="Q9" s="65">
        <v>0.2857142857142857</v>
      </c>
    </row>
    <row r="10" spans="1:17" x14ac:dyDescent="0.4">
      <c r="A10" s="67">
        <v>7</v>
      </c>
      <c r="B10" s="64">
        <v>-30.1</v>
      </c>
      <c r="C10" s="64">
        <v>-4.3</v>
      </c>
      <c r="D10" s="69">
        <v>2.1428571428571428</v>
      </c>
      <c r="E10" s="65">
        <v>0.2857142857142857</v>
      </c>
      <c r="F10" s="65">
        <v>0.42857142857142855</v>
      </c>
      <c r="G10" s="65">
        <v>0.27777777777777779</v>
      </c>
      <c r="H10" s="65">
        <v>0.18518518518518517</v>
      </c>
      <c r="I10" s="66">
        <v>6253.333333333333</v>
      </c>
      <c r="J10" s="66">
        <v>-6060</v>
      </c>
      <c r="K10" s="65">
        <v>0</v>
      </c>
      <c r="L10" s="65">
        <v>0</v>
      </c>
      <c r="M10" s="65">
        <v>0.24074074074074073</v>
      </c>
      <c r="N10" s="65">
        <v>0.25925925925925924</v>
      </c>
      <c r="O10" s="65">
        <v>0.61538461538461542</v>
      </c>
      <c r="P10" s="65">
        <v>0.35714285714285715</v>
      </c>
      <c r="Q10" s="65">
        <v>0.33333333333333331</v>
      </c>
    </row>
    <row r="11" spans="1:17" x14ac:dyDescent="0.4">
      <c r="A11" s="67">
        <v>8</v>
      </c>
      <c r="B11" s="64">
        <v>-87.1</v>
      </c>
      <c r="C11" s="64">
        <v>-10.887499999999999</v>
      </c>
      <c r="D11" s="69">
        <v>2.25</v>
      </c>
      <c r="E11" s="65">
        <v>0.25</v>
      </c>
      <c r="F11" s="65">
        <v>0.5</v>
      </c>
      <c r="G11" s="65">
        <v>0.25</v>
      </c>
      <c r="H11" s="65">
        <v>0.18333333333333332</v>
      </c>
      <c r="I11" s="66">
        <v>6253.333333333333</v>
      </c>
      <c r="J11" s="66">
        <v>-6236.363636363636</v>
      </c>
      <c r="K11" s="65">
        <v>0.125</v>
      </c>
      <c r="L11" s="65">
        <v>0</v>
      </c>
      <c r="M11" s="65">
        <v>0.23333333333333334</v>
      </c>
      <c r="N11" s="65">
        <v>0.25</v>
      </c>
      <c r="O11" s="65">
        <v>0.5714285714285714</v>
      </c>
      <c r="P11" s="65">
        <v>0.33333333333333331</v>
      </c>
      <c r="Q11" s="65">
        <v>0.33333333333333331</v>
      </c>
    </row>
    <row r="12" spans="1:17" x14ac:dyDescent="0.4">
      <c r="A12" s="67">
        <v>9</v>
      </c>
      <c r="B12" s="64">
        <v>-128.6</v>
      </c>
      <c r="C12" s="64">
        <v>-14.288888888888888</v>
      </c>
      <c r="D12" s="69">
        <v>2.3333333333333335</v>
      </c>
      <c r="E12" s="65">
        <v>0.22222222222222221</v>
      </c>
      <c r="F12" s="65">
        <v>0.55555555555555558</v>
      </c>
      <c r="G12" s="65">
        <v>0.24637681159420291</v>
      </c>
      <c r="H12" s="65">
        <v>0.17391304347826086</v>
      </c>
      <c r="I12" s="66">
        <v>5694.1176470588234</v>
      </c>
      <c r="J12" s="66">
        <v>-6358.333333333333</v>
      </c>
      <c r="K12" s="65">
        <v>0.1111111111111111</v>
      </c>
      <c r="L12" s="65">
        <v>0</v>
      </c>
      <c r="M12" s="65">
        <v>0.20289855072463769</v>
      </c>
      <c r="N12" s="65">
        <v>0.2608695652173913</v>
      </c>
      <c r="O12" s="65">
        <v>0.5714285714285714</v>
      </c>
      <c r="P12" s="65">
        <v>0.33333333333333331</v>
      </c>
      <c r="Q12" s="65">
        <v>0.29411764705882354</v>
      </c>
    </row>
    <row r="13" spans="1:17" x14ac:dyDescent="0.4">
      <c r="A13" s="67">
        <v>10</v>
      </c>
      <c r="B13" s="64">
        <v>-183.7</v>
      </c>
      <c r="C13" s="64">
        <v>-18.369999999999997</v>
      </c>
      <c r="D13" s="69">
        <v>2.4</v>
      </c>
      <c r="E13" s="65">
        <v>0.2</v>
      </c>
      <c r="F13" s="65">
        <v>0.6</v>
      </c>
      <c r="G13" s="65">
        <v>0.2361111111111111</v>
      </c>
      <c r="H13" s="65">
        <v>0.19444444444444445</v>
      </c>
      <c r="I13" s="66">
        <v>5694.1176470588234</v>
      </c>
      <c r="J13" s="66">
        <v>-6921.4285714285716</v>
      </c>
      <c r="K13" s="65">
        <v>0.2</v>
      </c>
      <c r="L13" s="65">
        <v>0</v>
      </c>
      <c r="M13" s="65">
        <v>0.19444444444444445</v>
      </c>
      <c r="N13" s="65">
        <v>0.25</v>
      </c>
      <c r="O13" s="65">
        <v>0.5714285714285714</v>
      </c>
      <c r="P13" s="65">
        <v>0.33333333333333331</v>
      </c>
      <c r="Q13" s="65">
        <v>0.29411764705882354</v>
      </c>
    </row>
    <row r="14" spans="1:17" x14ac:dyDescent="0.4">
      <c r="A14" s="67">
        <v>11</v>
      </c>
      <c r="B14" s="64">
        <v>-152.89999999999998</v>
      </c>
      <c r="C14" s="64">
        <v>-13.899999999999999</v>
      </c>
      <c r="D14" s="69">
        <v>2.2727272727272729</v>
      </c>
      <c r="E14" s="65">
        <v>0.27272727272727271</v>
      </c>
      <c r="F14" s="65">
        <v>0.54545454545454541</v>
      </c>
      <c r="G14" s="65">
        <v>0.24691358024691357</v>
      </c>
      <c r="H14" s="65">
        <v>0.20987654320987653</v>
      </c>
      <c r="I14" s="66">
        <v>6480</v>
      </c>
      <c r="J14" s="66">
        <v>-7141.1764705882351</v>
      </c>
      <c r="K14" s="65">
        <v>0.18181818181818182</v>
      </c>
      <c r="L14" s="65">
        <v>0</v>
      </c>
      <c r="M14" s="65">
        <v>0.20987654320987653</v>
      </c>
      <c r="N14" s="65">
        <v>0.24691358024691357</v>
      </c>
      <c r="O14" s="65">
        <v>0.52941176470588236</v>
      </c>
      <c r="P14" s="65">
        <v>0.35</v>
      </c>
      <c r="Q14" s="65">
        <v>0.35</v>
      </c>
    </row>
    <row r="15" spans="1:17" x14ac:dyDescent="0.4">
      <c r="A15" s="67">
        <v>12</v>
      </c>
      <c r="B15" s="64">
        <v>-208.09999999999997</v>
      </c>
      <c r="C15" s="64">
        <v>-17.341666666666665</v>
      </c>
      <c r="D15" s="69">
        <v>2.3333333333333335</v>
      </c>
      <c r="E15" s="65">
        <v>0.25</v>
      </c>
      <c r="F15" s="65">
        <v>0.58333333333333337</v>
      </c>
      <c r="G15" s="65">
        <v>0.22988505747126436</v>
      </c>
      <c r="H15" s="65">
        <v>0.20689655172413793</v>
      </c>
      <c r="I15" s="66">
        <v>6480</v>
      </c>
      <c r="J15" s="66">
        <v>-7411.1111111111113</v>
      </c>
      <c r="K15" s="65">
        <v>0.25</v>
      </c>
      <c r="L15" s="65">
        <v>0</v>
      </c>
      <c r="M15" s="65">
        <v>0.19540229885057472</v>
      </c>
      <c r="N15" s="65">
        <v>0.2413793103448276</v>
      </c>
      <c r="O15" s="65">
        <v>0.52941176470588236</v>
      </c>
      <c r="P15" s="65">
        <v>0.33333333333333331</v>
      </c>
      <c r="Q15" s="65">
        <v>0.35</v>
      </c>
    </row>
    <row r="16" spans="1:17" x14ac:dyDescent="0.4">
      <c r="A16" s="67">
        <v>13</v>
      </c>
      <c r="B16" s="64">
        <v>-209.59999999999997</v>
      </c>
      <c r="C16" s="64">
        <v>-16.123076923076919</v>
      </c>
      <c r="D16" s="69">
        <v>2.3076923076923075</v>
      </c>
      <c r="E16" s="65">
        <v>0.23076923076923078</v>
      </c>
      <c r="F16" s="65">
        <v>0.53846153846153844</v>
      </c>
      <c r="G16" s="65">
        <v>0.23404255319148937</v>
      </c>
      <c r="H16" s="65">
        <v>0.20212765957446807</v>
      </c>
      <c r="I16" s="66">
        <v>6218.181818181818</v>
      </c>
      <c r="J16" s="66">
        <v>-7426.3157894736842</v>
      </c>
      <c r="K16" s="65">
        <v>0.23076923076923078</v>
      </c>
      <c r="L16" s="65">
        <v>0</v>
      </c>
      <c r="M16" s="65">
        <v>0.18085106382978725</v>
      </c>
      <c r="N16" s="65">
        <v>0.25531914893617019</v>
      </c>
      <c r="O16" s="65">
        <v>0.52941176470588236</v>
      </c>
      <c r="P16" s="65">
        <v>0.375</v>
      </c>
      <c r="Q16" s="65">
        <v>0.40909090909090912</v>
      </c>
    </row>
    <row r="17" spans="1:17" x14ac:dyDescent="0.4">
      <c r="A17" s="67">
        <v>14</v>
      </c>
      <c r="B17" s="64">
        <v>-178.49999999999997</v>
      </c>
      <c r="C17" s="64">
        <v>-12.749999999999998</v>
      </c>
      <c r="D17" s="69">
        <v>2.2142857142857144</v>
      </c>
      <c r="E17" s="65">
        <v>0.2857142857142857</v>
      </c>
      <c r="F17" s="65">
        <v>0.5</v>
      </c>
      <c r="G17" s="65">
        <v>0.25242718446601942</v>
      </c>
      <c r="H17" s="65">
        <v>0.18446601941747573</v>
      </c>
      <c r="I17" s="66">
        <v>6103.8461538461543</v>
      </c>
      <c r="J17" s="66">
        <v>-7426.3157894736842</v>
      </c>
      <c r="K17" s="65">
        <v>0.21428571428571427</v>
      </c>
      <c r="L17" s="65">
        <v>0</v>
      </c>
      <c r="M17" s="65">
        <v>0.18446601941747573</v>
      </c>
      <c r="N17" s="65">
        <v>0.25242718446601942</v>
      </c>
      <c r="O17" s="65">
        <v>0.57894736842105265</v>
      </c>
      <c r="P17" s="65">
        <v>0.38461538461538464</v>
      </c>
      <c r="Q17" s="65">
        <v>0.38461538461538464</v>
      </c>
    </row>
    <row r="18" spans="1:17" x14ac:dyDescent="0.4">
      <c r="A18" s="67">
        <v>15</v>
      </c>
      <c r="B18" s="64">
        <v>-146.19999999999999</v>
      </c>
      <c r="C18" s="64">
        <v>-9.7466666666666661</v>
      </c>
      <c r="D18" s="69">
        <v>2.1333333333333333</v>
      </c>
      <c r="E18" s="65">
        <v>0.33333333333333331</v>
      </c>
      <c r="F18" s="65">
        <v>0.46666666666666667</v>
      </c>
      <c r="G18" s="65">
        <v>0.25663716814159293</v>
      </c>
      <c r="H18" s="65">
        <v>0.17699115044247787</v>
      </c>
      <c r="I18" s="66">
        <v>6362.0689655172409</v>
      </c>
      <c r="J18" s="66">
        <v>-7250</v>
      </c>
      <c r="K18" s="65">
        <v>0.2</v>
      </c>
      <c r="L18" s="65">
        <v>0</v>
      </c>
      <c r="M18" s="65">
        <v>0.17699115044247787</v>
      </c>
      <c r="N18" s="65">
        <v>0.29203539823008851</v>
      </c>
      <c r="O18" s="65">
        <v>0.55000000000000004</v>
      </c>
      <c r="P18" s="65">
        <v>0.39393939393939392</v>
      </c>
      <c r="Q18" s="65">
        <v>0.37931034482758619</v>
      </c>
    </row>
    <row r="19" spans="1:17" x14ac:dyDescent="0.4">
      <c r="A19" s="67">
        <v>16</v>
      </c>
      <c r="B19" s="64">
        <v>-153.29999999999998</v>
      </c>
      <c r="C19" s="64">
        <v>-9.5812499999999989</v>
      </c>
      <c r="D19" s="69">
        <v>2.125</v>
      </c>
      <c r="E19" s="65">
        <v>0.3125</v>
      </c>
      <c r="F19" s="65">
        <v>0.4375</v>
      </c>
      <c r="G19" s="65">
        <v>0.25833333333333336</v>
      </c>
      <c r="H19" s="65">
        <v>0.18333333333333332</v>
      </c>
      <c r="I19" s="66">
        <v>6458.0645161290322</v>
      </c>
      <c r="J19" s="66">
        <v>-7500</v>
      </c>
      <c r="K19" s="65">
        <v>0.1875</v>
      </c>
      <c r="L19" s="65">
        <v>0</v>
      </c>
      <c r="M19" s="65">
        <v>0.18333333333333332</v>
      </c>
      <c r="N19" s="65">
        <v>0.27500000000000002</v>
      </c>
      <c r="O19" s="65">
        <v>0.54545454545454541</v>
      </c>
      <c r="P19" s="65">
        <v>0.39393939393939392</v>
      </c>
      <c r="Q19" s="65">
        <v>0.35483870967741937</v>
      </c>
    </row>
    <row r="20" spans="1:17" x14ac:dyDescent="0.4">
      <c r="A20" s="67">
        <v>17</v>
      </c>
      <c r="B20" s="64">
        <v>-161.19999999999999</v>
      </c>
      <c r="C20" s="64">
        <v>-9.4823529411764707</v>
      </c>
      <c r="D20" s="69">
        <v>2.1176470588235294</v>
      </c>
      <c r="E20" s="65">
        <v>0.29411764705882354</v>
      </c>
      <c r="F20" s="65">
        <v>0.41176470588235292</v>
      </c>
      <c r="G20" s="65">
        <v>0.25190839694656486</v>
      </c>
      <c r="H20" s="65">
        <v>0.20610687022900764</v>
      </c>
      <c r="I20" s="66">
        <v>7036.363636363636</v>
      </c>
      <c r="J20" s="66">
        <v>-7029.6296296296296</v>
      </c>
      <c r="K20" s="65">
        <v>0.17647058823529413</v>
      </c>
      <c r="L20" s="65">
        <v>0</v>
      </c>
      <c r="M20" s="65">
        <v>0.17557251908396945</v>
      </c>
      <c r="N20" s="65">
        <v>0.27480916030534353</v>
      </c>
      <c r="O20" s="65">
        <v>0.52173913043478259</v>
      </c>
      <c r="P20" s="65">
        <v>0.3888888888888889</v>
      </c>
      <c r="Q20" s="65">
        <v>0.39393939393939392</v>
      </c>
    </row>
    <row r="21" spans="1:17" x14ac:dyDescent="0.4">
      <c r="A21" s="67">
        <v>18</v>
      </c>
      <c r="B21" s="64">
        <v>-159</v>
      </c>
      <c r="C21" s="64">
        <v>-8.8333333333333339</v>
      </c>
      <c r="D21" s="69">
        <v>2.1111111111111112</v>
      </c>
      <c r="E21" s="65">
        <v>0.27777777777777779</v>
      </c>
      <c r="F21" s="65">
        <v>0.3888888888888889</v>
      </c>
      <c r="G21" s="65">
        <v>0.24285714285714285</v>
      </c>
      <c r="H21" s="65">
        <v>0.2</v>
      </c>
      <c r="I21" s="66">
        <v>7535.2941176470586</v>
      </c>
      <c r="J21" s="66">
        <v>-6917.8571428571431</v>
      </c>
      <c r="K21" s="65">
        <v>0.16666666666666666</v>
      </c>
      <c r="L21" s="65">
        <v>0</v>
      </c>
      <c r="M21" s="65">
        <v>0.17857142857142858</v>
      </c>
      <c r="N21" s="65">
        <v>0.27142857142857141</v>
      </c>
      <c r="O21" s="65">
        <v>0.52</v>
      </c>
      <c r="P21" s="65">
        <v>0.36842105263157893</v>
      </c>
      <c r="Q21" s="65">
        <v>0.41176470588235292</v>
      </c>
    </row>
    <row r="22" spans="1:17" x14ac:dyDescent="0.4">
      <c r="A22" s="67">
        <v>19</v>
      </c>
      <c r="B22" s="64">
        <v>-235.6</v>
      </c>
      <c r="C22" s="64">
        <v>-12.4</v>
      </c>
      <c r="D22" s="69">
        <v>2.1578947368421053</v>
      </c>
      <c r="E22" s="65">
        <v>0.26315789473684209</v>
      </c>
      <c r="F22" s="65">
        <v>0.42105263157894735</v>
      </c>
      <c r="G22" s="65">
        <v>0.2348993288590604</v>
      </c>
      <c r="H22" s="65">
        <v>0.19463087248322147</v>
      </c>
      <c r="I22" s="66">
        <v>7431.4285714285716</v>
      </c>
      <c r="J22" s="66">
        <v>-7093.1034482758623</v>
      </c>
      <c r="K22" s="65">
        <v>0.21052631578947367</v>
      </c>
      <c r="L22" s="65">
        <v>0</v>
      </c>
      <c r="M22" s="65">
        <v>0.18120805369127516</v>
      </c>
      <c r="N22" s="65">
        <v>0.25503355704697989</v>
      </c>
      <c r="O22" s="65">
        <v>0.51851851851851849</v>
      </c>
      <c r="P22" s="65">
        <v>0.36842105263157893</v>
      </c>
      <c r="Q22" s="65">
        <v>0.4</v>
      </c>
    </row>
    <row r="23" spans="1:17" x14ac:dyDescent="0.4">
      <c r="A23" s="67">
        <v>20</v>
      </c>
      <c r="B23" s="64">
        <v>-200.8</v>
      </c>
      <c r="C23" s="64">
        <v>-10.040000000000001</v>
      </c>
      <c r="D23" s="69">
        <v>2.1</v>
      </c>
      <c r="E23" s="65">
        <v>0.3</v>
      </c>
      <c r="F23" s="65">
        <v>0.4</v>
      </c>
      <c r="G23" s="65">
        <v>0.24683544303797469</v>
      </c>
      <c r="H23" s="65">
        <v>0.18354430379746836</v>
      </c>
      <c r="I23" s="66">
        <v>7369.2307692307695</v>
      </c>
      <c r="J23" s="66">
        <v>-7093.1034482758623</v>
      </c>
      <c r="K23" s="65">
        <v>0.2</v>
      </c>
      <c r="L23" s="65">
        <v>0</v>
      </c>
      <c r="M23" s="65">
        <v>0.17721518987341772</v>
      </c>
      <c r="N23" s="65">
        <v>0.25949367088607594</v>
      </c>
      <c r="O23" s="65">
        <v>0.5357142857142857</v>
      </c>
      <c r="P23" s="65">
        <v>0.41463414634146339</v>
      </c>
      <c r="Q23" s="65">
        <v>0.38461538461538464</v>
      </c>
    </row>
    <row r="24" spans="1:17" x14ac:dyDescent="0.4">
      <c r="A24" s="67">
        <v>21</v>
      </c>
      <c r="B24" s="64">
        <v>-188.60000000000002</v>
      </c>
      <c r="C24" s="64">
        <v>-8.9809523809523828</v>
      </c>
      <c r="D24" s="69">
        <v>2.0952380952380953</v>
      </c>
      <c r="E24" s="65">
        <v>0.2857142857142857</v>
      </c>
      <c r="F24" s="65">
        <v>0.38095238095238093</v>
      </c>
      <c r="G24" s="65">
        <v>0.24848484848484848</v>
      </c>
      <c r="H24" s="65">
        <v>0.17575757575757575</v>
      </c>
      <c r="I24" s="66">
        <v>7512.1951219512193</v>
      </c>
      <c r="J24" s="66">
        <v>-7093.1034482758623</v>
      </c>
      <c r="K24" s="65">
        <v>0.19047619047619047</v>
      </c>
      <c r="L24" s="65">
        <v>0</v>
      </c>
      <c r="M24" s="65">
        <v>0.18181818181818182</v>
      </c>
      <c r="N24" s="65">
        <v>0.24848484848484848</v>
      </c>
      <c r="O24" s="65">
        <v>0.56666666666666665</v>
      </c>
      <c r="P24" s="65">
        <v>0.41463414634146339</v>
      </c>
      <c r="Q24" s="65">
        <v>0.3902439024390244</v>
      </c>
    </row>
    <row r="25" spans="1:17" x14ac:dyDescent="0.4">
      <c r="A25" s="67">
        <v>22</v>
      </c>
      <c r="B25" s="64">
        <v>-142.60000000000002</v>
      </c>
      <c r="C25" s="64">
        <v>-6.4818181818181833</v>
      </c>
      <c r="D25" s="69">
        <v>2.0454545454545454</v>
      </c>
      <c r="E25" s="65">
        <v>0.31818181818181818</v>
      </c>
      <c r="F25" s="65">
        <v>0.36363636363636365</v>
      </c>
      <c r="G25" s="65">
        <v>0.26256983240223464</v>
      </c>
      <c r="H25" s="65">
        <v>0.16759776536312848</v>
      </c>
      <c r="I25" s="66">
        <v>7276.5957446808507</v>
      </c>
      <c r="J25" s="66">
        <v>-7113.333333333333</v>
      </c>
      <c r="K25" s="65">
        <v>0.18181818181818182</v>
      </c>
      <c r="L25" s="65">
        <v>0</v>
      </c>
      <c r="M25" s="65">
        <v>0.18994413407821228</v>
      </c>
      <c r="N25" s="65">
        <v>0.23463687150837989</v>
      </c>
      <c r="O25" s="65">
        <v>0.61764705882352944</v>
      </c>
      <c r="P25" s="65">
        <v>0.40476190476190477</v>
      </c>
      <c r="Q25" s="65">
        <v>0.38297872340425532</v>
      </c>
    </row>
    <row r="26" spans="1:17" x14ac:dyDescent="0.4">
      <c r="A26" s="67">
        <v>23</v>
      </c>
      <c r="B26" s="64">
        <v>-145.80000000000001</v>
      </c>
      <c r="C26" s="64">
        <v>-6.339130434782609</v>
      </c>
      <c r="D26" s="69">
        <v>2.0434782608695654</v>
      </c>
      <c r="E26" s="65">
        <v>0.30434782608695654</v>
      </c>
      <c r="F26" s="65">
        <v>0.34782608695652173</v>
      </c>
      <c r="G26" s="65">
        <v>0.26595744680851063</v>
      </c>
      <c r="H26" s="65">
        <v>0.16489361702127658</v>
      </c>
      <c r="I26" s="66">
        <v>7186</v>
      </c>
      <c r="J26" s="66">
        <v>-7464.5161290322585</v>
      </c>
      <c r="K26" s="65">
        <v>0.17391304347826086</v>
      </c>
      <c r="L26" s="65">
        <v>0</v>
      </c>
      <c r="M26" s="65">
        <v>0.19680851063829788</v>
      </c>
      <c r="N26" s="65">
        <v>0.22872340425531915</v>
      </c>
      <c r="O26" s="65">
        <v>0.64864864864864868</v>
      </c>
      <c r="P26" s="65">
        <v>0.39534883720930231</v>
      </c>
      <c r="Q26" s="65">
        <v>0.38</v>
      </c>
    </row>
    <row r="27" spans="1:17" x14ac:dyDescent="0.4">
      <c r="A27" s="67">
        <v>24</v>
      </c>
      <c r="B27" s="64">
        <v>-204</v>
      </c>
      <c r="C27" s="64">
        <v>-8.5</v>
      </c>
      <c r="D27" s="69">
        <v>2.0833333333333335</v>
      </c>
      <c r="E27" s="65">
        <v>0.29166666666666669</v>
      </c>
      <c r="F27" s="65">
        <v>0.375</v>
      </c>
      <c r="G27" s="65">
        <v>0.26262626262626265</v>
      </c>
      <c r="H27" s="65">
        <v>0.18686868686868688</v>
      </c>
      <c r="I27" s="66">
        <v>7163.4615384615381</v>
      </c>
      <c r="J27" s="66">
        <v>-7291.8918918918916</v>
      </c>
      <c r="K27" s="65">
        <v>0.20833333333333334</v>
      </c>
      <c r="L27" s="65">
        <v>0</v>
      </c>
      <c r="M27" s="65">
        <v>0.20202020202020202</v>
      </c>
      <c r="N27" s="65">
        <v>0.22727272727272727</v>
      </c>
      <c r="O27" s="65">
        <v>0.625</v>
      </c>
      <c r="P27" s="65">
        <v>0.4</v>
      </c>
      <c r="Q27" s="65">
        <v>0.38461538461538464</v>
      </c>
    </row>
    <row r="28" spans="1:17" x14ac:dyDescent="0.4">
      <c r="A28" s="67">
        <v>25</v>
      </c>
      <c r="B28" s="64">
        <v>-151.5</v>
      </c>
      <c r="C28" s="64">
        <v>-6.06</v>
      </c>
      <c r="D28" s="69">
        <v>2.04</v>
      </c>
      <c r="E28" s="65">
        <v>0.32</v>
      </c>
      <c r="F28" s="65">
        <v>0.36</v>
      </c>
      <c r="G28" s="65">
        <v>0.27450980392156865</v>
      </c>
      <c r="H28" s="65">
        <v>0.18137254901960784</v>
      </c>
      <c r="I28" s="66">
        <v>7285.7142857142853</v>
      </c>
      <c r="J28" s="66">
        <v>-7291.8918918918916</v>
      </c>
      <c r="K28" s="65">
        <v>0.2</v>
      </c>
      <c r="L28" s="65">
        <v>0</v>
      </c>
      <c r="M28" s="65">
        <v>0.21568627450980393</v>
      </c>
      <c r="N28" s="65">
        <v>0.22058823529411764</v>
      </c>
      <c r="O28" s="65">
        <v>0.65909090909090906</v>
      </c>
      <c r="P28" s="65">
        <v>0.4</v>
      </c>
      <c r="Q28" s="65">
        <v>0.39285714285714285</v>
      </c>
    </row>
    <row r="29" spans="1:17" x14ac:dyDescent="0.4">
      <c r="A29" s="67">
        <v>26</v>
      </c>
      <c r="B29" s="64">
        <v>-115.1</v>
      </c>
      <c r="C29" s="64">
        <v>-4.4269230769230763</v>
      </c>
      <c r="D29" s="69">
        <v>2</v>
      </c>
      <c r="E29" s="65">
        <v>0.34615384615384615</v>
      </c>
      <c r="F29" s="65">
        <v>0.34615384615384615</v>
      </c>
      <c r="G29" s="65">
        <v>0.27906976744186046</v>
      </c>
      <c r="H29" s="65">
        <v>0.18139534883720931</v>
      </c>
      <c r="I29" s="66">
        <v>7431.666666666667</v>
      </c>
      <c r="J29" s="66">
        <v>-7292.3076923076924</v>
      </c>
      <c r="K29" s="65">
        <v>0.19230769230769232</v>
      </c>
      <c r="L29" s="65">
        <v>0</v>
      </c>
      <c r="M29" s="65">
        <v>0.21395348837209302</v>
      </c>
      <c r="N29" s="65">
        <v>0.21860465116279071</v>
      </c>
      <c r="O29" s="65">
        <v>0.67391304347826086</v>
      </c>
      <c r="P29" s="65">
        <v>0.40425531914893614</v>
      </c>
      <c r="Q29" s="65">
        <v>0.38333333333333336</v>
      </c>
    </row>
    <row r="30" spans="1:17" x14ac:dyDescent="0.4">
      <c r="A30" s="67">
        <v>27</v>
      </c>
      <c r="B30" s="64">
        <v>-27.099999999999994</v>
      </c>
      <c r="C30" s="64">
        <v>-1.0037037037037035</v>
      </c>
      <c r="D30" s="69">
        <v>1.962962962962963</v>
      </c>
      <c r="E30" s="65">
        <v>0.37037037037037035</v>
      </c>
      <c r="F30" s="65">
        <v>0.33333333333333331</v>
      </c>
      <c r="G30" s="65">
        <v>0.29223744292237441</v>
      </c>
      <c r="H30" s="65">
        <v>0.17808219178082191</v>
      </c>
      <c r="I30" s="66">
        <v>7904.6875</v>
      </c>
      <c r="J30" s="66">
        <v>-7292.3076923076924</v>
      </c>
      <c r="K30" s="65">
        <v>0.18518518518518517</v>
      </c>
      <c r="L30" s="65">
        <v>3.7037037037037035E-2</v>
      </c>
      <c r="M30" s="65">
        <v>0.21917808219178081</v>
      </c>
      <c r="N30" s="65">
        <v>0.22374429223744291</v>
      </c>
      <c r="O30" s="65">
        <v>0.6875</v>
      </c>
      <c r="P30" s="65">
        <v>0.42857142857142855</v>
      </c>
      <c r="Q30" s="65">
        <v>0.390625</v>
      </c>
    </row>
    <row r="31" spans="1:17" x14ac:dyDescent="0.4">
      <c r="A31" s="67">
        <v>28</v>
      </c>
      <c r="B31" s="64">
        <v>7.2000000000000028</v>
      </c>
      <c r="C31" s="64">
        <v>0.25714285714285723</v>
      </c>
      <c r="D31" s="69">
        <v>1.9285714285714286</v>
      </c>
      <c r="E31" s="65">
        <v>0.39285714285714285</v>
      </c>
      <c r="F31" s="65">
        <v>0.32142857142857145</v>
      </c>
      <c r="G31" s="65">
        <v>0.29515418502202645</v>
      </c>
      <c r="H31" s="65">
        <v>0.17180616740088106</v>
      </c>
      <c r="I31" s="66">
        <v>7883.5820895522384</v>
      </c>
      <c r="J31" s="66">
        <v>-7292.3076923076924</v>
      </c>
      <c r="K31" s="65">
        <v>0.17857142857142858</v>
      </c>
      <c r="L31" s="65">
        <v>3.5714285714285712E-2</v>
      </c>
      <c r="M31" s="65">
        <v>0.22026431718061673</v>
      </c>
      <c r="N31" s="65">
        <v>0.21585903083700442</v>
      </c>
      <c r="O31" s="65">
        <v>0.7</v>
      </c>
      <c r="P31" s="65">
        <v>0.42857142857142855</v>
      </c>
      <c r="Q31" s="65">
        <v>0.40298507462686567</v>
      </c>
    </row>
    <row r="32" spans="1:17" x14ac:dyDescent="0.4">
      <c r="A32" s="67">
        <v>29</v>
      </c>
      <c r="B32" s="64">
        <v>-49</v>
      </c>
      <c r="C32" s="64">
        <v>-1.6896551724137931</v>
      </c>
      <c r="D32" s="69">
        <v>1.9655172413793103</v>
      </c>
      <c r="E32" s="65">
        <v>0.37931034482758619</v>
      </c>
      <c r="F32" s="65">
        <v>0.34482758620689657</v>
      </c>
      <c r="G32" s="65">
        <v>0.29487179487179488</v>
      </c>
      <c r="H32" s="65">
        <v>0.17948717948717949</v>
      </c>
      <c r="I32" s="66">
        <v>7846.376811594203</v>
      </c>
      <c r="J32" s="66">
        <v>-7771.4285714285716</v>
      </c>
      <c r="K32" s="65">
        <v>0.20689655172413793</v>
      </c>
      <c r="L32" s="65">
        <v>3.4482758620689655E-2</v>
      </c>
      <c r="M32" s="65">
        <v>0.22222222222222221</v>
      </c>
      <c r="N32" s="65">
        <v>0.21367521367521367</v>
      </c>
      <c r="O32" s="65">
        <v>0.69230769230769229</v>
      </c>
      <c r="P32" s="65">
        <v>0.42</v>
      </c>
      <c r="Q32" s="65">
        <v>0.40579710144927539</v>
      </c>
    </row>
    <row r="33" spans="1:17" x14ac:dyDescent="0.4">
      <c r="A33" s="67">
        <v>30</v>
      </c>
      <c r="B33" s="64">
        <v>-99.6</v>
      </c>
      <c r="C33" s="64">
        <v>-3.32</v>
      </c>
      <c r="D33" s="69">
        <v>2</v>
      </c>
      <c r="E33" s="65">
        <v>0.36666666666666664</v>
      </c>
      <c r="F33" s="65">
        <v>0.36666666666666664</v>
      </c>
      <c r="G33" s="65">
        <v>0.28799999999999998</v>
      </c>
      <c r="H33" s="65">
        <v>0.17199999999999999</v>
      </c>
      <c r="I33" s="66">
        <v>7775</v>
      </c>
      <c r="J33" s="66">
        <v>-7769.7674418604647</v>
      </c>
      <c r="K33" s="65">
        <v>0.2</v>
      </c>
      <c r="L33" s="65">
        <v>3.3333333333333333E-2</v>
      </c>
      <c r="M33" s="65">
        <v>0.21199999999999999</v>
      </c>
      <c r="N33" s="65">
        <v>0.22</v>
      </c>
      <c r="O33" s="65">
        <v>0.69811320754716977</v>
      </c>
      <c r="P33" s="65">
        <v>0.4</v>
      </c>
      <c r="Q33" s="65">
        <v>0.43055555555555558</v>
      </c>
    </row>
    <row r="34" spans="1:17" x14ac:dyDescent="0.4">
      <c r="A34" s="67">
        <v>31</v>
      </c>
      <c r="B34" s="64">
        <v>-54.199999999999996</v>
      </c>
      <c r="C34" s="64">
        <v>-1.7483870967741935</v>
      </c>
      <c r="D34" s="69">
        <v>1.967741935483871</v>
      </c>
      <c r="E34" s="65">
        <v>0.38709677419354838</v>
      </c>
      <c r="F34" s="65">
        <v>0.35483870967741937</v>
      </c>
      <c r="G34" s="65">
        <v>0.29296875</v>
      </c>
      <c r="H34" s="65">
        <v>0.16796875</v>
      </c>
      <c r="I34" s="66">
        <v>7889.333333333333</v>
      </c>
      <c r="J34" s="66">
        <v>-7769.7674418604647</v>
      </c>
      <c r="K34" s="65">
        <v>0.19354838709677419</v>
      </c>
      <c r="L34" s="65">
        <v>6.4516129032258063E-2</v>
      </c>
      <c r="M34" s="65">
        <v>0.21484375</v>
      </c>
      <c r="N34" s="65">
        <v>0.21875</v>
      </c>
      <c r="O34" s="65">
        <v>0.70909090909090911</v>
      </c>
      <c r="P34" s="65">
        <v>0.4107142857142857</v>
      </c>
      <c r="Q34" s="65">
        <v>0.41333333333333333</v>
      </c>
    </row>
    <row r="35" spans="1:17" x14ac:dyDescent="0.4">
      <c r="A35" s="67">
        <v>32</v>
      </c>
      <c r="B35" s="64">
        <v>-92</v>
      </c>
      <c r="C35" s="64">
        <v>-2.875</v>
      </c>
      <c r="D35" s="69">
        <v>2</v>
      </c>
      <c r="E35" s="65">
        <v>0.375</v>
      </c>
      <c r="F35" s="65">
        <v>0.375</v>
      </c>
      <c r="G35" s="65">
        <v>0.29056603773584905</v>
      </c>
      <c r="H35" s="65">
        <v>0.17358490566037735</v>
      </c>
      <c r="I35" s="66">
        <v>7803.8961038961043</v>
      </c>
      <c r="J35" s="66">
        <v>-7741.304347826087</v>
      </c>
      <c r="K35" s="65">
        <v>0.1875</v>
      </c>
      <c r="L35" s="65">
        <v>6.25E-2</v>
      </c>
      <c r="M35" s="65">
        <v>0.21509433962264152</v>
      </c>
      <c r="N35" s="65">
        <v>0.21886792452830189</v>
      </c>
      <c r="O35" s="65">
        <v>0.70175438596491224</v>
      </c>
      <c r="P35" s="65">
        <v>0.41379310344827586</v>
      </c>
      <c r="Q35" s="65">
        <v>0.41558441558441561</v>
      </c>
    </row>
    <row r="36" spans="1:17" x14ac:dyDescent="0.4">
      <c r="A36" s="67">
        <v>33</v>
      </c>
      <c r="B36" s="64">
        <v>-107.4</v>
      </c>
      <c r="C36" s="64">
        <v>-3.2545454545454549</v>
      </c>
      <c r="D36" s="69">
        <v>2</v>
      </c>
      <c r="E36" s="65">
        <v>0.36363636363636365</v>
      </c>
      <c r="F36" s="65">
        <v>0.36363636363636365</v>
      </c>
      <c r="G36" s="65">
        <v>0.28832116788321166</v>
      </c>
      <c r="H36" s="65">
        <v>0.17153284671532848</v>
      </c>
      <c r="I36" s="66">
        <v>7783.5443037974683</v>
      </c>
      <c r="J36" s="66">
        <v>-7831.9148936170213</v>
      </c>
      <c r="K36" s="65">
        <v>0.18181818181818182</v>
      </c>
      <c r="L36" s="65">
        <v>6.0606060606060608E-2</v>
      </c>
      <c r="M36" s="65">
        <v>0.21167883211678831</v>
      </c>
      <c r="N36" s="65">
        <v>0.22262773722627738</v>
      </c>
      <c r="O36" s="65">
        <v>0.7068965517241379</v>
      </c>
      <c r="P36" s="65">
        <v>0.39344262295081966</v>
      </c>
      <c r="Q36" s="65">
        <v>0.4050632911392405</v>
      </c>
    </row>
    <row r="37" spans="1:17" x14ac:dyDescent="0.4">
      <c r="A37" s="67">
        <v>34</v>
      </c>
      <c r="B37" s="64">
        <v>-45.800000000000004</v>
      </c>
      <c r="C37" s="64">
        <v>-1.3470588235294119</v>
      </c>
      <c r="D37" s="69">
        <v>1.9705882352941178</v>
      </c>
      <c r="E37" s="65">
        <v>0.38235294117647056</v>
      </c>
      <c r="F37" s="65">
        <v>0.35294117647058826</v>
      </c>
      <c r="G37" s="65">
        <v>0.29328621908127206</v>
      </c>
      <c r="H37" s="65">
        <v>0.16961130742049471</v>
      </c>
      <c r="I37" s="66">
        <v>7945.7831325301204</v>
      </c>
      <c r="J37" s="66">
        <v>-7735.416666666667</v>
      </c>
      <c r="K37" s="65">
        <v>0.17647058823529413</v>
      </c>
      <c r="L37" s="65">
        <v>5.8823529411764705E-2</v>
      </c>
      <c r="M37" s="65">
        <v>0.21201413427561838</v>
      </c>
      <c r="N37" s="65">
        <v>0.22614840989399293</v>
      </c>
      <c r="O37" s="65">
        <v>0.7</v>
      </c>
      <c r="P37" s="65">
        <v>0.390625</v>
      </c>
      <c r="Q37" s="65">
        <v>0.39759036144578314</v>
      </c>
    </row>
    <row r="38" spans="1:17" x14ac:dyDescent="0.4">
      <c r="A38" s="67">
        <v>35</v>
      </c>
      <c r="B38" s="64">
        <v>19.399999999999999</v>
      </c>
      <c r="C38" s="64">
        <v>0.55428571428571427</v>
      </c>
      <c r="D38" s="69">
        <v>1.9428571428571428</v>
      </c>
      <c r="E38" s="65">
        <v>0.4</v>
      </c>
      <c r="F38" s="65">
        <v>0.34285714285714286</v>
      </c>
      <c r="G38" s="65">
        <v>0.2986111111111111</v>
      </c>
      <c r="H38" s="65">
        <v>0.1701388888888889</v>
      </c>
      <c r="I38" s="66">
        <v>8409.3023255813951</v>
      </c>
      <c r="J38" s="66">
        <v>-7822.4489795918371</v>
      </c>
      <c r="K38" s="65">
        <v>0.17142857142857143</v>
      </c>
      <c r="L38" s="65">
        <v>8.5714285714285715E-2</v>
      </c>
      <c r="M38" s="65">
        <v>0.20833333333333334</v>
      </c>
      <c r="N38" s="65">
        <v>0.22569444444444445</v>
      </c>
      <c r="O38" s="65">
        <v>0.7</v>
      </c>
      <c r="P38" s="65">
        <v>0.38461538461538464</v>
      </c>
      <c r="Q38" s="65">
        <v>0.39534883720930231</v>
      </c>
    </row>
    <row r="39" spans="1:17" x14ac:dyDescent="0.4">
      <c r="A39" s="67">
        <v>36</v>
      </c>
      <c r="B39" s="64">
        <v>85.800000000000011</v>
      </c>
      <c r="C39" s="64">
        <v>2.3833333333333337</v>
      </c>
      <c r="D39" s="69">
        <v>1.9166666666666667</v>
      </c>
      <c r="E39" s="65">
        <v>0.41666666666666669</v>
      </c>
      <c r="F39" s="65">
        <v>0.33333333333333331</v>
      </c>
      <c r="G39" s="65">
        <v>0.30132450331125826</v>
      </c>
      <c r="H39" s="65">
        <v>0.16556291390728478</v>
      </c>
      <c r="I39" s="66">
        <v>8735.1648351648346</v>
      </c>
      <c r="J39" s="66">
        <v>-7782</v>
      </c>
      <c r="K39" s="65">
        <v>0.16666666666666666</v>
      </c>
      <c r="L39" s="65">
        <v>8.3333333333333329E-2</v>
      </c>
      <c r="M39" s="65">
        <v>0.2251655629139073</v>
      </c>
      <c r="N39" s="65">
        <v>0.22185430463576158</v>
      </c>
      <c r="O39" s="65">
        <v>0.69117647058823528</v>
      </c>
      <c r="P39" s="65">
        <v>0.37313432835820898</v>
      </c>
      <c r="Q39" s="65">
        <v>0.40659340659340659</v>
      </c>
    </row>
    <row r="40" spans="1:17" x14ac:dyDescent="0.4">
      <c r="A40" s="67">
        <v>37</v>
      </c>
      <c r="B40" s="64">
        <v>44.70000000000001</v>
      </c>
      <c r="C40" s="64">
        <v>1.2081081081081084</v>
      </c>
      <c r="D40" s="69">
        <v>1.9459459459459461</v>
      </c>
      <c r="E40" s="65">
        <v>0.40540540540540543</v>
      </c>
      <c r="F40" s="65">
        <v>0.35135135135135137</v>
      </c>
      <c r="G40" s="65">
        <v>0.29773462783171523</v>
      </c>
      <c r="H40" s="65">
        <v>0.1650485436893204</v>
      </c>
      <c r="I40" s="66">
        <v>8683.6956521739139</v>
      </c>
      <c r="J40" s="66">
        <v>-7680.3921568627447</v>
      </c>
      <c r="K40" s="65">
        <v>0.16216216216216217</v>
      </c>
      <c r="L40" s="65">
        <v>8.1081081081081086E-2</v>
      </c>
      <c r="M40" s="65">
        <v>0.22330097087378642</v>
      </c>
      <c r="N40" s="65">
        <v>0.2168284789644013</v>
      </c>
      <c r="O40" s="65">
        <v>0.69565217391304346</v>
      </c>
      <c r="P40" s="65">
        <v>0.37313432835820898</v>
      </c>
      <c r="Q40" s="65">
        <v>0.41304347826086957</v>
      </c>
    </row>
    <row r="41" spans="1:17" x14ac:dyDescent="0.4">
      <c r="A41" s="67">
        <v>38</v>
      </c>
      <c r="B41" s="64">
        <v>-18.79999999999999</v>
      </c>
      <c r="C41" s="64">
        <v>-0.49473684210526292</v>
      </c>
      <c r="D41" s="69">
        <v>1.9736842105263157</v>
      </c>
      <c r="E41" s="65">
        <v>0.39473684210526316</v>
      </c>
      <c r="F41" s="65">
        <v>0.36842105263157893</v>
      </c>
      <c r="G41" s="65">
        <v>0.29153605015673983</v>
      </c>
      <c r="H41" s="65">
        <v>0.16614420062695925</v>
      </c>
      <c r="I41" s="66">
        <v>8673.1182795698933</v>
      </c>
      <c r="J41" s="66">
        <v>-7664.1509433962265</v>
      </c>
      <c r="K41" s="65">
        <v>0.18421052631578946</v>
      </c>
      <c r="L41" s="65">
        <v>7.8947368421052627E-2</v>
      </c>
      <c r="M41" s="65">
        <v>0.22884012539184953</v>
      </c>
      <c r="N41" s="65">
        <v>0.21316614420062696</v>
      </c>
      <c r="O41" s="65">
        <v>0.67123287671232879</v>
      </c>
      <c r="P41" s="65">
        <v>0.36764705882352944</v>
      </c>
      <c r="Q41" s="65">
        <v>0.41935483870967744</v>
      </c>
    </row>
    <row r="42" spans="1:17" x14ac:dyDescent="0.4">
      <c r="A42" s="67">
        <v>39</v>
      </c>
      <c r="B42" s="64">
        <v>-16.699999999999989</v>
      </c>
      <c r="C42" s="64">
        <v>-0.42820512820512791</v>
      </c>
      <c r="D42" s="69">
        <v>1.9743589743589745</v>
      </c>
      <c r="E42" s="65">
        <v>0.38461538461538464</v>
      </c>
      <c r="F42" s="65">
        <v>0.35897435897435898</v>
      </c>
      <c r="G42" s="65">
        <v>0.29447852760736198</v>
      </c>
      <c r="H42" s="65">
        <v>0.16257668711656442</v>
      </c>
      <c r="I42" s="66">
        <v>8621.875</v>
      </c>
      <c r="J42" s="66">
        <v>-7664.1509433962265</v>
      </c>
      <c r="K42" s="65">
        <v>0.17948717948717949</v>
      </c>
      <c r="L42" s="65">
        <v>7.6923076923076927E-2</v>
      </c>
      <c r="M42" s="65">
        <v>0.23312883435582821</v>
      </c>
      <c r="N42" s="65">
        <v>0.21165644171779141</v>
      </c>
      <c r="O42" s="65">
        <v>0.67105263157894735</v>
      </c>
      <c r="P42" s="65">
        <v>0.37681159420289856</v>
      </c>
      <c r="Q42" s="65">
        <v>0.41666666666666669</v>
      </c>
    </row>
    <row r="43" spans="1:17" x14ac:dyDescent="0.4">
      <c r="A43" s="67">
        <v>40</v>
      </c>
      <c r="B43" s="64">
        <v>39.300000000000011</v>
      </c>
      <c r="C43" s="64">
        <v>0.98250000000000026</v>
      </c>
      <c r="D43" s="69">
        <v>1.95</v>
      </c>
      <c r="E43" s="65">
        <v>0.4</v>
      </c>
      <c r="F43" s="65">
        <v>0.35</v>
      </c>
      <c r="G43" s="65">
        <v>0.3</v>
      </c>
      <c r="H43" s="65">
        <v>0.16060606060606061</v>
      </c>
      <c r="I43" s="66">
        <v>8683.8383838383834</v>
      </c>
      <c r="J43" s="66">
        <v>-7664.1509433962265</v>
      </c>
      <c r="K43" s="65">
        <v>0.17499999999999999</v>
      </c>
      <c r="L43" s="65">
        <v>0.1</v>
      </c>
      <c r="M43" s="65">
        <v>0.23636363636363636</v>
      </c>
      <c r="N43" s="65">
        <v>0.20909090909090908</v>
      </c>
      <c r="O43" s="65">
        <v>0.67948717948717952</v>
      </c>
      <c r="P43" s="65">
        <v>0.37681159420289856</v>
      </c>
      <c r="Q43" s="65">
        <v>0.41414141414141414</v>
      </c>
    </row>
    <row r="44" spans="1:17" x14ac:dyDescent="0.4">
      <c r="A44" s="67">
        <v>41</v>
      </c>
      <c r="B44" s="64">
        <v>96.300000000000011</v>
      </c>
      <c r="C44" s="64">
        <v>2.3487804878048784</v>
      </c>
      <c r="D44" s="69">
        <v>1.9268292682926829</v>
      </c>
      <c r="E44" s="65">
        <v>0.41463414634146339</v>
      </c>
      <c r="F44" s="65">
        <v>0.34146341463414637</v>
      </c>
      <c r="G44" s="65">
        <v>0.30630630630630629</v>
      </c>
      <c r="H44" s="65">
        <v>0.15915915915915915</v>
      </c>
      <c r="I44" s="66">
        <v>8781.3725490196084</v>
      </c>
      <c r="J44" s="66">
        <v>-7664.1509433962265</v>
      </c>
      <c r="K44" s="65">
        <v>0.17073170731707318</v>
      </c>
      <c r="L44" s="65">
        <v>0.12195121951219512</v>
      </c>
      <c r="M44" s="65">
        <v>0.24324324324324326</v>
      </c>
      <c r="N44" s="65">
        <v>0.2072072072072072</v>
      </c>
      <c r="O44" s="65">
        <v>0.69135802469135799</v>
      </c>
      <c r="P44" s="65">
        <v>0.37681159420289856</v>
      </c>
      <c r="Q44" s="65">
        <v>0.40196078431372551</v>
      </c>
    </row>
    <row r="45" spans="1:17" x14ac:dyDescent="0.4">
      <c r="A45" s="67">
        <v>42</v>
      </c>
      <c r="B45" s="64">
        <v>97.600000000000009</v>
      </c>
      <c r="C45" s="64">
        <v>2.323809523809524</v>
      </c>
      <c r="D45" s="69">
        <v>1.9285714285714286</v>
      </c>
      <c r="E45" s="65">
        <v>0.40476190476190477</v>
      </c>
      <c r="F45" s="65">
        <v>0.33333333333333331</v>
      </c>
      <c r="G45" s="65">
        <v>0.30791788856304986</v>
      </c>
      <c r="H45" s="65">
        <v>0.15835777126099707</v>
      </c>
      <c r="I45" s="66">
        <v>8869.5238095238092</v>
      </c>
      <c r="J45" s="66">
        <v>-7670.3703703703704</v>
      </c>
      <c r="K45" s="65">
        <v>0.16666666666666666</v>
      </c>
      <c r="L45" s="65">
        <v>0.11904761904761904</v>
      </c>
      <c r="M45" s="65">
        <v>0.24926686217008798</v>
      </c>
      <c r="N45" s="65">
        <v>0.20527859237536658</v>
      </c>
      <c r="O45" s="65">
        <v>0.69411764705882351</v>
      </c>
      <c r="P45" s="65">
        <v>0.37142857142857144</v>
      </c>
      <c r="Q45" s="65">
        <v>0.41904761904761906</v>
      </c>
    </row>
    <row r="46" spans="1:17" x14ac:dyDescent="0.4">
      <c r="A46" s="67">
        <v>43</v>
      </c>
      <c r="B46" s="64">
        <v>103.10000000000001</v>
      </c>
      <c r="C46" s="64">
        <v>2.3976744186046512</v>
      </c>
      <c r="D46" s="69">
        <v>1.930232558139535</v>
      </c>
      <c r="E46" s="65">
        <v>0.39534883720930231</v>
      </c>
      <c r="F46" s="65">
        <v>0.32558139534883723</v>
      </c>
      <c r="G46" s="65">
        <v>0.30945558739255014</v>
      </c>
      <c r="H46" s="65">
        <v>0.15759312320916904</v>
      </c>
      <c r="I46" s="66">
        <v>8845.3703703703704</v>
      </c>
      <c r="J46" s="66">
        <v>-7749.090909090909</v>
      </c>
      <c r="K46" s="65">
        <v>0.16279069767441862</v>
      </c>
      <c r="L46" s="65">
        <v>0.11627906976744186</v>
      </c>
      <c r="M46" s="65">
        <v>0.25214899713467048</v>
      </c>
      <c r="N46" s="65">
        <v>0.20057306590257878</v>
      </c>
      <c r="O46" s="65">
        <v>0.70454545454545459</v>
      </c>
      <c r="P46" s="65">
        <v>0.37142857142857144</v>
      </c>
      <c r="Q46" s="65">
        <v>0.41666666666666669</v>
      </c>
    </row>
    <row r="47" spans="1:17" x14ac:dyDescent="0.4">
      <c r="A47" s="67">
        <v>44</v>
      </c>
      <c r="B47" s="64">
        <v>96.600000000000009</v>
      </c>
      <c r="C47" s="64">
        <v>2.1954545454545458</v>
      </c>
      <c r="D47" s="69">
        <v>1.9318181818181819</v>
      </c>
      <c r="E47" s="65">
        <v>0.38636363636363635</v>
      </c>
      <c r="F47" s="65">
        <v>0.31818181818181818</v>
      </c>
      <c r="G47" s="65">
        <v>0.30422535211267604</v>
      </c>
      <c r="H47" s="65">
        <v>0.16056338028169015</v>
      </c>
      <c r="I47" s="66">
        <v>8845.3703703703704</v>
      </c>
      <c r="J47" s="66">
        <v>-7591.2280701754389</v>
      </c>
      <c r="K47" s="65">
        <v>0.15909090909090909</v>
      </c>
      <c r="L47" s="65">
        <v>0.11363636363636363</v>
      </c>
      <c r="M47" s="65">
        <v>0.25352112676056338</v>
      </c>
      <c r="N47" s="65">
        <v>0.19718309859154928</v>
      </c>
      <c r="O47" s="65">
        <v>0.68888888888888888</v>
      </c>
      <c r="P47" s="65">
        <v>0.37142857142857144</v>
      </c>
      <c r="Q47" s="65">
        <v>0.41666666666666669</v>
      </c>
    </row>
    <row r="48" spans="1:17" x14ac:dyDescent="0.4">
      <c r="A48" s="67">
        <v>45</v>
      </c>
      <c r="B48" s="64">
        <v>39.500000000000007</v>
      </c>
      <c r="C48" s="64">
        <v>0.87777777777777799</v>
      </c>
      <c r="D48" s="69">
        <v>1.9555555555555555</v>
      </c>
      <c r="E48" s="65">
        <v>0.37777777777777777</v>
      </c>
      <c r="F48" s="65">
        <v>0.33333333333333331</v>
      </c>
      <c r="G48" s="65">
        <v>0.29700272479564033</v>
      </c>
      <c r="H48" s="65">
        <v>0.16621253405994552</v>
      </c>
      <c r="I48" s="66">
        <v>8874.3119266055037</v>
      </c>
      <c r="J48" s="66">
        <v>-7621.311475409836</v>
      </c>
      <c r="K48" s="65">
        <v>0.17777777777777778</v>
      </c>
      <c r="L48" s="65">
        <v>0.1111111111111111</v>
      </c>
      <c r="M48" s="65">
        <v>0.2561307901907357</v>
      </c>
      <c r="N48" s="65">
        <v>0.1907356948228883</v>
      </c>
      <c r="O48" s="65">
        <v>0.67021276595744683</v>
      </c>
      <c r="P48" s="65">
        <v>0.37142857142857144</v>
      </c>
      <c r="Q48" s="65">
        <v>0.41284403669724773</v>
      </c>
    </row>
    <row r="49" spans="1:17" x14ac:dyDescent="0.4">
      <c r="A49" s="67">
        <v>46</v>
      </c>
      <c r="B49" s="64">
        <v>37.300000000000004</v>
      </c>
      <c r="C49" s="64">
        <v>0.8108695652173914</v>
      </c>
      <c r="D49" s="69">
        <v>1.9565217391304348</v>
      </c>
      <c r="E49" s="65">
        <v>0.36956521739130432</v>
      </c>
      <c r="F49" s="65">
        <v>0.32608695652173914</v>
      </c>
      <c r="G49" s="65">
        <v>0.29333333333333333</v>
      </c>
      <c r="H49" s="65">
        <v>0.16266666666666665</v>
      </c>
      <c r="I49" s="66">
        <v>8805.454545454546</v>
      </c>
      <c r="J49" s="66">
        <v>-7621.311475409836</v>
      </c>
      <c r="K49" s="65">
        <v>0.17391304347826086</v>
      </c>
      <c r="L49" s="65">
        <v>0.10869565217391304</v>
      </c>
      <c r="M49" s="65">
        <v>0.25866666666666666</v>
      </c>
      <c r="N49" s="65">
        <v>0.192</v>
      </c>
      <c r="O49" s="65">
        <v>0.65979381443298968</v>
      </c>
      <c r="P49" s="65">
        <v>0.3611111111111111</v>
      </c>
      <c r="Q49" s="65">
        <v>0.40909090909090912</v>
      </c>
    </row>
    <row r="50" spans="1:17" x14ac:dyDescent="0.4">
      <c r="A50" s="67">
        <v>47</v>
      </c>
      <c r="B50" s="64">
        <v>71.099999999999994</v>
      </c>
      <c r="C50" s="64">
        <v>1.5127659574468084</v>
      </c>
      <c r="D50" s="69">
        <v>1.9361702127659575</v>
      </c>
      <c r="E50" s="65">
        <v>0.38297872340425532</v>
      </c>
      <c r="F50" s="65">
        <v>0.31914893617021278</v>
      </c>
      <c r="G50" s="65">
        <v>0.29396325459317585</v>
      </c>
      <c r="H50" s="65">
        <v>0.16010498687664043</v>
      </c>
      <c r="I50" s="66">
        <v>8838.3928571428569</v>
      </c>
      <c r="J50" s="66">
        <v>-7621.311475409836</v>
      </c>
      <c r="K50" s="65">
        <v>0.1702127659574468</v>
      </c>
      <c r="L50" s="65">
        <v>0.10638297872340426</v>
      </c>
      <c r="M50" s="65">
        <v>0.25984251968503935</v>
      </c>
      <c r="N50" s="65">
        <v>0.19160104986876642</v>
      </c>
      <c r="O50" s="65">
        <v>0.66666666666666663</v>
      </c>
      <c r="P50" s="65">
        <v>0.35616438356164382</v>
      </c>
      <c r="Q50" s="65">
        <v>0.41964285714285715</v>
      </c>
    </row>
    <row r="51" spans="1:17" x14ac:dyDescent="0.4">
      <c r="A51" s="67">
        <v>48</v>
      </c>
      <c r="B51" s="64">
        <v>40.899999999999991</v>
      </c>
      <c r="C51" s="64">
        <v>0.85208333333333319</v>
      </c>
      <c r="D51" s="69">
        <v>1.9583333333333333</v>
      </c>
      <c r="E51" s="65">
        <v>0.375</v>
      </c>
      <c r="F51" s="65">
        <v>0.33333333333333331</v>
      </c>
      <c r="G51" s="65">
        <v>0.29591836734693877</v>
      </c>
      <c r="H51" s="65">
        <v>0.16071428571428573</v>
      </c>
      <c r="I51" s="66">
        <v>8723.2758620689656</v>
      </c>
      <c r="J51" s="66">
        <v>-7787.3015873015875</v>
      </c>
      <c r="K51" s="65">
        <v>0.16666666666666666</v>
      </c>
      <c r="L51" s="65">
        <v>0.10416666666666667</v>
      </c>
      <c r="M51" s="65">
        <v>0.26020408163265307</v>
      </c>
      <c r="N51" s="65">
        <v>0.18877551020408162</v>
      </c>
      <c r="O51" s="65">
        <v>0.67647058823529416</v>
      </c>
      <c r="P51" s="65">
        <v>0.35135135135135137</v>
      </c>
      <c r="Q51" s="65">
        <v>0.42241379310344829</v>
      </c>
    </row>
    <row r="52" spans="1:17" x14ac:dyDescent="0.4">
      <c r="A52" s="67">
        <v>49</v>
      </c>
      <c r="B52" s="64">
        <v>-29.900000000000006</v>
      </c>
      <c r="C52" s="64">
        <v>-0.61020408163265316</v>
      </c>
      <c r="D52" s="69">
        <v>1.9795918367346939</v>
      </c>
      <c r="E52" s="65">
        <v>0.36734693877551022</v>
      </c>
      <c r="F52" s="65">
        <v>0.34693877551020408</v>
      </c>
      <c r="G52" s="65">
        <v>0.29219143576826195</v>
      </c>
      <c r="H52" s="65">
        <v>0.16372795969773299</v>
      </c>
      <c r="I52" s="66">
        <v>8723.2758620689656</v>
      </c>
      <c r="J52" s="66">
        <v>-8036.9230769230771</v>
      </c>
      <c r="K52" s="65">
        <v>0.18367346938775511</v>
      </c>
      <c r="L52" s="65">
        <v>0.10204081632653061</v>
      </c>
      <c r="M52" s="65">
        <v>0.26196473551637278</v>
      </c>
      <c r="N52" s="65">
        <v>0.18639798488664988</v>
      </c>
      <c r="O52" s="65">
        <v>0.66346153846153844</v>
      </c>
      <c r="P52" s="65">
        <v>0.35135135135135137</v>
      </c>
      <c r="Q52" s="65">
        <v>0.42241379310344829</v>
      </c>
    </row>
    <row r="53" spans="1:17" x14ac:dyDescent="0.4">
      <c r="A53" s="67">
        <v>50</v>
      </c>
      <c r="B53" s="64">
        <v>-26.900000000000006</v>
      </c>
      <c r="C53" s="64">
        <v>-0.53800000000000014</v>
      </c>
      <c r="D53" s="69">
        <v>1.98</v>
      </c>
      <c r="E53" s="65">
        <v>0.36</v>
      </c>
      <c r="F53" s="65">
        <v>0.34</v>
      </c>
      <c r="G53" s="65">
        <v>0.29484029484029484</v>
      </c>
      <c r="H53" s="65">
        <v>0.16461916461916462</v>
      </c>
      <c r="I53" s="66">
        <v>8586.6666666666661</v>
      </c>
      <c r="J53" s="66">
        <v>-7931.3432835820895</v>
      </c>
      <c r="K53" s="65">
        <v>0.18</v>
      </c>
      <c r="L53" s="65">
        <v>0.1</v>
      </c>
      <c r="M53" s="65">
        <v>0.26289926289926291</v>
      </c>
      <c r="N53" s="65">
        <v>0.1891891891891892</v>
      </c>
      <c r="O53" s="65">
        <v>0.66355140186915884</v>
      </c>
      <c r="P53" s="65">
        <v>0.36363636363636365</v>
      </c>
      <c r="Q53" s="65">
        <v>0.42499999999999999</v>
      </c>
    </row>
    <row r="54" spans="1:17" x14ac:dyDescent="0.4">
      <c r="A54" s="67">
        <v>51</v>
      </c>
      <c r="B54" s="64">
        <v>20.999999999999993</v>
      </c>
      <c r="C54" s="64">
        <v>0.41176470588235281</v>
      </c>
      <c r="D54" s="69">
        <v>1.9607843137254901</v>
      </c>
      <c r="E54" s="65">
        <v>0.37254901960784315</v>
      </c>
      <c r="F54" s="65">
        <v>0.33333333333333331</v>
      </c>
      <c r="G54" s="65">
        <v>0.29879518072289157</v>
      </c>
      <c r="H54" s="65">
        <v>0.16144578313253011</v>
      </c>
      <c r="I54" s="66">
        <v>8587.0967741935492</v>
      </c>
      <c r="J54" s="66">
        <v>-7931.3432835820895</v>
      </c>
      <c r="K54" s="65">
        <v>0.17647058823529413</v>
      </c>
      <c r="L54" s="65">
        <v>9.8039215686274508E-2</v>
      </c>
      <c r="M54" s="65">
        <v>0.26506024096385544</v>
      </c>
      <c r="N54" s="65">
        <v>0.18795180722891566</v>
      </c>
      <c r="O54" s="65">
        <v>0.66363636363636369</v>
      </c>
      <c r="P54" s="65">
        <v>0.37179487179487181</v>
      </c>
      <c r="Q54" s="65">
        <v>0.43548387096774194</v>
      </c>
    </row>
    <row r="55" spans="1:17" x14ac:dyDescent="0.4">
      <c r="A55" s="67">
        <v>52</v>
      </c>
      <c r="B55" s="64">
        <v>30.699999999999992</v>
      </c>
      <c r="C55" s="64">
        <v>0.59038461538461529</v>
      </c>
      <c r="D55" s="69">
        <v>1.9615384615384615</v>
      </c>
      <c r="E55" s="65">
        <v>0.36538461538461536</v>
      </c>
      <c r="F55" s="65">
        <v>0.32692307692307693</v>
      </c>
      <c r="G55" s="65">
        <v>0.30023640661938533</v>
      </c>
      <c r="H55" s="65">
        <v>0.15839243498817968</v>
      </c>
      <c r="I55" s="66">
        <v>8508.6614173228354</v>
      </c>
      <c r="J55" s="66">
        <v>-7931.3432835820895</v>
      </c>
      <c r="K55" s="65">
        <v>0.17307692307692307</v>
      </c>
      <c r="L55" s="65">
        <v>9.6153846153846159E-2</v>
      </c>
      <c r="M55" s="65">
        <v>0.26477541371158392</v>
      </c>
      <c r="N55" s="65">
        <v>0.1867612293144208</v>
      </c>
      <c r="O55" s="65">
        <v>0.6696428571428571</v>
      </c>
      <c r="P55" s="65">
        <v>0.379746835443038</v>
      </c>
      <c r="Q55" s="65">
        <v>0.43307086614173229</v>
      </c>
    </row>
    <row r="56" spans="1:17" x14ac:dyDescent="0.4">
      <c r="A56" s="67">
        <v>53</v>
      </c>
      <c r="B56" s="64">
        <v>76.8</v>
      </c>
      <c r="C56" s="64">
        <v>1.4490566037735848</v>
      </c>
      <c r="D56" s="69">
        <v>1.9433962264150944</v>
      </c>
      <c r="E56" s="65">
        <v>0.37735849056603776</v>
      </c>
      <c r="F56" s="65">
        <v>0.32075471698113206</v>
      </c>
      <c r="G56" s="65">
        <v>0.30162412993039445</v>
      </c>
      <c r="H56" s="65">
        <v>0.1554524361948956</v>
      </c>
      <c r="I56" s="66">
        <v>8553.0769230769238</v>
      </c>
      <c r="J56" s="66">
        <v>-7931.3432835820895</v>
      </c>
      <c r="K56" s="65">
        <v>0.16981132075471697</v>
      </c>
      <c r="L56" s="65">
        <v>9.4339622641509441E-2</v>
      </c>
      <c r="M56" s="65">
        <v>0.26682134570765659</v>
      </c>
      <c r="N56" s="65">
        <v>0.18793503480278423</v>
      </c>
      <c r="O56" s="65">
        <v>0.67826086956521736</v>
      </c>
      <c r="P56" s="65">
        <v>0.37037037037037035</v>
      </c>
      <c r="Q56" s="65">
        <v>0.43076923076923079</v>
      </c>
    </row>
    <row r="57" spans="1:17" x14ac:dyDescent="0.4">
      <c r="A57" s="67">
        <v>54</v>
      </c>
      <c r="B57" s="64">
        <v>133.30000000000001</v>
      </c>
      <c r="C57" s="64">
        <v>2.4685185185185188</v>
      </c>
      <c r="D57" s="69">
        <v>1.9259259259259258</v>
      </c>
      <c r="E57" s="65">
        <v>0.3888888888888889</v>
      </c>
      <c r="F57" s="65">
        <v>0.31481481481481483</v>
      </c>
      <c r="G57" s="65">
        <v>0.30523917995444189</v>
      </c>
      <c r="H57" s="65">
        <v>0.15261958997722094</v>
      </c>
      <c r="I57" s="66">
        <v>8598.507462686568</v>
      </c>
      <c r="J57" s="66">
        <v>-7931.3432835820895</v>
      </c>
      <c r="K57" s="65">
        <v>0.16666666666666666</v>
      </c>
      <c r="L57" s="65">
        <v>0.1111111111111111</v>
      </c>
      <c r="M57" s="65">
        <v>0.27334851936218679</v>
      </c>
      <c r="N57" s="65">
        <v>0.18906605922551253</v>
      </c>
      <c r="O57" s="65">
        <v>0.66666666666666663</v>
      </c>
      <c r="P57" s="65">
        <v>0.37349397590361444</v>
      </c>
      <c r="Q57" s="65">
        <v>0.42537313432835822</v>
      </c>
    </row>
    <row r="58" spans="1:17" x14ac:dyDescent="0.4">
      <c r="A58" s="67">
        <v>55</v>
      </c>
      <c r="B58" s="64">
        <v>181.60000000000002</v>
      </c>
      <c r="C58" s="64">
        <v>3.3018181818181822</v>
      </c>
      <c r="D58" s="69">
        <v>1.9090909090909092</v>
      </c>
      <c r="E58" s="65">
        <v>0.4</v>
      </c>
      <c r="F58" s="65">
        <v>0.30909090909090908</v>
      </c>
      <c r="G58" s="65">
        <v>0.3087248322147651</v>
      </c>
      <c r="H58" s="65">
        <v>0.14988814317673377</v>
      </c>
      <c r="I58" s="66">
        <v>8637.68115942029</v>
      </c>
      <c r="J58" s="66">
        <v>-7931.3432835820895</v>
      </c>
      <c r="K58" s="65">
        <v>0.16363636363636364</v>
      </c>
      <c r="L58" s="65">
        <v>0.12727272727272726</v>
      </c>
      <c r="M58" s="65">
        <v>0.27516778523489932</v>
      </c>
      <c r="N58" s="65">
        <v>0.18791946308724833</v>
      </c>
      <c r="O58" s="65">
        <v>0.67479674796747968</v>
      </c>
      <c r="P58" s="65">
        <v>0.38095238095238093</v>
      </c>
      <c r="Q58" s="65">
        <v>0.42753623188405798</v>
      </c>
    </row>
    <row r="59" spans="1:17" x14ac:dyDescent="0.4">
      <c r="A59" s="67">
        <v>56</v>
      </c>
      <c r="B59" s="64">
        <v>187.60000000000002</v>
      </c>
      <c r="C59" s="64">
        <v>3.3500000000000005</v>
      </c>
      <c r="D59" s="69">
        <v>1.9107142857142858</v>
      </c>
      <c r="E59" s="65">
        <v>0.39285714285714285</v>
      </c>
      <c r="F59" s="65">
        <v>0.30357142857142855</v>
      </c>
      <c r="G59" s="65">
        <v>0.30905077262693159</v>
      </c>
      <c r="H59" s="65">
        <v>0.15231788079470199</v>
      </c>
      <c r="I59" s="66">
        <v>8685.7142857142862</v>
      </c>
      <c r="J59" s="66">
        <v>-7991.304347826087</v>
      </c>
      <c r="K59" s="65">
        <v>0.16071428571428573</v>
      </c>
      <c r="L59" s="65">
        <v>0.125</v>
      </c>
      <c r="M59" s="65">
        <v>0.27593818984547464</v>
      </c>
      <c r="N59" s="65">
        <v>0.18543046357615894</v>
      </c>
      <c r="O59" s="65">
        <v>0.68</v>
      </c>
      <c r="P59" s="65">
        <v>0.38095238095238093</v>
      </c>
      <c r="Q59" s="65">
        <v>0.42142857142857143</v>
      </c>
    </row>
    <row r="60" spans="1:17" x14ac:dyDescent="0.4">
      <c r="A60" s="67">
        <v>57</v>
      </c>
      <c r="B60" s="64">
        <v>255.50000000000003</v>
      </c>
      <c r="C60" s="64">
        <v>4.4824561403508776</v>
      </c>
      <c r="D60" s="69">
        <v>1.8947368421052631</v>
      </c>
      <c r="E60" s="65">
        <v>0.40350877192982454</v>
      </c>
      <c r="F60" s="65">
        <v>0.2982456140350877</v>
      </c>
      <c r="G60" s="65">
        <v>0.31372549019607843</v>
      </c>
      <c r="H60" s="65">
        <v>0.15032679738562091</v>
      </c>
      <c r="I60" s="66">
        <v>8768.75</v>
      </c>
      <c r="J60" s="66">
        <v>-7991.304347826087</v>
      </c>
      <c r="K60" s="65">
        <v>0.15789473684210525</v>
      </c>
      <c r="L60" s="65">
        <v>0.14035087719298245</v>
      </c>
      <c r="M60" s="65">
        <v>0.27886710239651419</v>
      </c>
      <c r="N60" s="65">
        <v>0.18736383442265794</v>
      </c>
      <c r="O60" s="65">
        <v>0.6875</v>
      </c>
      <c r="P60" s="65">
        <v>0.38372093023255816</v>
      </c>
      <c r="Q60" s="65">
        <v>0.43055555555555558</v>
      </c>
    </row>
    <row r="61" spans="1:17" x14ac:dyDescent="0.4">
      <c r="A61" s="67">
        <v>58</v>
      </c>
      <c r="B61" s="64">
        <v>244.60000000000002</v>
      </c>
      <c r="C61" s="64">
        <v>4.2172413793103454</v>
      </c>
      <c r="D61" s="69">
        <v>1.896551724137931</v>
      </c>
      <c r="E61" s="65">
        <v>0.39655172413793105</v>
      </c>
      <c r="F61" s="65">
        <v>0.29310344827586204</v>
      </c>
      <c r="G61" s="65">
        <v>0.30916844349680173</v>
      </c>
      <c r="H61" s="65">
        <v>0.15351812366737741</v>
      </c>
      <c r="I61" s="66">
        <v>8762.0689655172409</v>
      </c>
      <c r="J61" s="66">
        <v>-7793.0555555555557</v>
      </c>
      <c r="K61" s="65">
        <v>0.15517241379310345</v>
      </c>
      <c r="L61" s="65">
        <v>0.13793103448275862</v>
      </c>
      <c r="M61" s="65">
        <v>0.28358208955223879</v>
      </c>
      <c r="N61" s="65">
        <v>0.18550106609808104</v>
      </c>
      <c r="O61" s="65">
        <v>0.66917293233082709</v>
      </c>
      <c r="P61" s="65">
        <v>0.37931034482758619</v>
      </c>
      <c r="Q61" s="65">
        <v>0.43448275862068964</v>
      </c>
    </row>
    <row r="62" spans="1:17" x14ac:dyDescent="0.4">
      <c r="A62" s="67">
        <v>59</v>
      </c>
      <c r="B62" s="64">
        <v>295</v>
      </c>
      <c r="C62" s="64">
        <v>5</v>
      </c>
      <c r="D62" s="69">
        <v>1.8813559322033899</v>
      </c>
      <c r="E62" s="65">
        <v>0.40677966101694918</v>
      </c>
      <c r="F62" s="65">
        <v>0.28813559322033899</v>
      </c>
      <c r="G62" s="65">
        <v>0.30721649484536084</v>
      </c>
      <c r="H62" s="65">
        <v>0.15257731958762888</v>
      </c>
      <c r="I62" s="66">
        <v>8833.5570469798658</v>
      </c>
      <c r="J62" s="66">
        <v>-7635.135135135135</v>
      </c>
      <c r="K62" s="65">
        <v>0.15254237288135594</v>
      </c>
      <c r="L62" s="65">
        <v>0.13559322033898305</v>
      </c>
      <c r="M62" s="65">
        <v>0.2907216494845361</v>
      </c>
      <c r="N62" s="65">
        <v>0.18144329896907216</v>
      </c>
      <c r="O62" s="65">
        <v>0.65957446808510634</v>
      </c>
      <c r="P62" s="65">
        <v>0.375</v>
      </c>
      <c r="Q62" s="65">
        <v>0.44295302013422821</v>
      </c>
    </row>
    <row r="63" spans="1:17" x14ac:dyDescent="0.4">
      <c r="A63" s="67">
        <v>60</v>
      </c>
      <c r="B63" s="64">
        <v>359.4</v>
      </c>
      <c r="C63" s="64">
        <v>5.9899999999999993</v>
      </c>
      <c r="D63" s="69">
        <v>1.8666666666666667</v>
      </c>
      <c r="E63" s="65">
        <v>0.41666666666666669</v>
      </c>
      <c r="F63" s="65">
        <v>0.28333333333333333</v>
      </c>
      <c r="G63" s="65">
        <v>0.30894308943089432</v>
      </c>
      <c r="H63" s="65">
        <v>0.15040650406504066</v>
      </c>
      <c r="I63" s="66">
        <v>8948.0263157894733</v>
      </c>
      <c r="J63" s="66">
        <v>-7635.135135135135</v>
      </c>
      <c r="K63" s="65">
        <v>0.15</v>
      </c>
      <c r="L63" s="65">
        <v>0.15</v>
      </c>
      <c r="M63" s="65">
        <v>0.29065040650406504</v>
      </c>
      <c r="N63" s="65">
        <v>0.17886178861788618</v>
      </c>
      <c r="O63" s="65">
        <v>0.65734265734265729</v>
      </c>
      <c r="P63" s="65">
        <v>0.375</v>
      </c>
      <c r="Q63" s="65">
        <v>0.44736842105263158</v>
      </c>
    </row>
    <row r="64" spans="1:17" x14ac:dyDescent="0.4">
      <c r="A64" s="67">
        <v>61</v>
      </c>
      <c r="B64" s="64">
        <v>347.5</v>
      </c>
      <c r="C64" s="64">
        <v>5.6967213114754101</v>
      </c>
      <c r="D64" s="69">
        <v>1.8688524590163935</v>
      </c>
      <c r="E64" s="65">
        <v>0.4098360655737705</v>
      </c>
      <c r="F64" s="65">
        <v>0.27868852459016391</v>
      </c>
      <c r="G64" s="65">
        <v>0.30645161290322581</v>
      </c>
      <c r="H64" s="65">
        <v>0.14919354838709678</v>
      </c>
      <c r="I64" s="66">
        <v>8948.0263157894733</v>
      </c>
      <c r="J64" s="66">
        <v>-7635.135135135135</v>
      </c>
      <c r="K64" s="65">
        <v>0.14754098360655737</v>
      </c>
      <c r="L64" s="65">
        <v>0.14754098360655737</v>
      </c>
      <c r="M64" s="65">
        <v>0.29032258064516131</v>
      </c>
      <c r="N64" s="65">
        <v>0.18145161290322581</v>
      </c>
      <c r="O64" s="65">
        <v>0.65277777777777779</v>
      </c>
      <c r="P64" s="65">
        <v>0.36666666666666664</v>
      </c>
      <c r="Q64" s="65">
        <v>0.44736842105263158</v>
      </c>
    </row>
    <row r="65" spans="1:17" x14ac:dyDescent="0.4">
      <c r="A65" s="67">
        <v>62</v>
      </c>
      <c r="B65" s="64">
        <v>345.6</v>
      </c>
      <c r="C65" s="64">
        <v>5.5741935483870968</v>
      </c>
      <c r="D65" s="69">
        <v>1.8709677419354838</v>
      </c>
      <c r="E65" s="65">
        <v>0.40322580645161288</v>
      </c>
      <c r="F65" s="65">
        <v>0.27419354838709675</v>
      </c>
      <c r="G65" s="65">
        <v>0.3061630218687873</v>
      </c>
      <c r="H65" s="65">
        <v>0.14910536779324055</v>
      </c>
      <c r="I65" s="66">
        <v>8912.9870129870123</v>
      </c>
      <c r="J65" s="66">
        <v>-7568</v>
      </c>
      <c r="K65" s="65">
        <v>0.14516129032258066</v>
      </c>
      <c r="L65" s="65">
        <v>0.14516129032258066</v>
      </c>
      <c r="M65" s="65">
        <v>0.2922465208747515</v>
      </c>
      <c r="N65" s="65">
        <v>0.17892644135188868</v>
      </c>
      <c r="O65" s="65">
        <v>0.65306122448979587</v>
      </c>
      <c r="P65" s="65">
        <v>0.36666666666666664</v>
      </c>
      <c r="Q65" s="65">
        <v>0.44805194805194803</v>
      </c>
    </row>
    <row r="66" spans="1:17" x14ac:dyDescent="0.4">
      <c r="A66" s="67">
        <v>63</v>
      </c>
      <c r="B66" s="64">
        <v>287.60000000000002</v>
      </c>
      <c r="C66" s="64">
        <v>4.5650793650793657</v>
      </c>
      <c r="D66" s="69">
        <v>1.8888888888888888</v>
      </c>
      <c r="E66" s="65">
        <v>0.3968253968253968</v>
      </c>
      <c r="F66" s="65">
        <v>0.2857142857142857</v>
      </c>
      <c r="G66" s="65">
        <v>0.30078125</v>
      </c>
      <c r="H66" s="65">
        <v>0.1484375</v>
      </c>
      <c r="I66" s="66">
        <v>8912.9870129870123</v>
      </c>
      <c r="J66" s="66">
        <v>-7626.3157894736842</v>
      </c>
      <c r="K66" s="65">
        <v>0.15873015873015872</v>
      </c>
      <c r="L66" s="65">
        <v>0.14285714285714285</v>
      </c>
      <c r="M66" s="65">
        <v>0.29296875</v>
      </c>
      <c r="N66" s="65">
        <v>0.177734375</v>
      </c>
      <c r="O66" s="65">
        <v>0.64</v>
      </c>
      <c r="P66" s="65">
        <v>0.36263736263736263</v>
      </c>
      <c r="Q66" s="65">
        <v>0.44805194805194803</v>
      </c>
    </row>
    <row r="67" spans="1:17" x14ac:dyDescent="0.4">
      <c r="A67" s="67">
        <v>64</v>
      </c>
      <c r="B67" s="64">
        <v>323.60000000000002</v>
      </c>
      <c r="C67" s="64">
        <v>5.0562500000000004</v>
      </c>
      <c r="D67" s="69">
        <v>1.875</v>
      </c>
      <c r="E67" s="65">
        <v>0.40625</v>
      </c>
      <c r="F67" s="65">
        <v>0.28125</v>
      </c>
      <c r="G67" s="65">
        <v>0.30250481695568399</v>
      </c>
      <c r="H67" s="65">
        <v>0.14836223506743737</v>
      </c>
      <c r="I67" s="66">
        <v>8923.5668789808915</v>
      </c>
      <c r="J67" s="66">
        <v>-7553.2467532467535</v>
      </c>
      <c r="K67" s="65">
        <v>0.15625</v>
      </c>
      <c r="L67" s="65">
        <v>0.140625</v>
      </c>
      <c r="M67" s="65">
        <v>0.2947976878612717</v>
      </c>
      <c r="N67" s="65">
        <v>0.17533718689788053</v>
      </c>
      <c r="O67" s="65">
        <v>0.64052287581699341</v>
      </c>
      <c r="P67" s="65">
        <v>0.36263736263736263</v>
      </c>
      <c r="Q67" s="65">
        <v>0.45222929936305734</v>
      </c>
    </row>
    <row r="68" spans="1:17" x14ac:dyDescent="0.4">
      <c r="A68" s="67">
        <v>65</v>
      </c>
      <c r="B68" s="64">
        <v>328.6</v>
      </c>
      <c r="C68" s="64">
        <v>5.0553846153846154</v>
      </c>
      <c r="D68" s="69">
        <v>1.8769230769230769</v>
      </c>
      <c r="E68" s="65">
        <v>0.4</v>
      </c>
      <c r="F68" s="65">
        <v>0.27692307692307694</v>
      </c>
      <c r="G68" s="65">
        <v>0.30285714285714288</v>
      </c>
      <c r="H68" s="65">
        <v>0.15047619047619049</v>
      </c>
      <c r="I68" s="66">
        <v>8937.1069182389929</v>
      </c>
      <c r="J68" s="66">
        <v>-7539.2405063291135</v>
      </c>
      <c r="K68" s="65">
        <v>0.15384615384615385</v>
      </c>
      <c r="L68" s="65">
        <v>0.13846153846153847</v>
      </c>
      <c r="M68" s="65">
        <v>0.29523809523809524</v>
      </c>
      <c r="N68" s="65">
        <v>0.17714285714285713</v>
      </c>
      <c r="O68" s="65">
        <v>0.64516129032258063</v>
      </c>
      <c r="P68" s="65">
        <v>0.35483870967741937</v>
      </c>
      <c r="Q68" s="65">
        <v>0.44654088050314467</v>
      </c>
    </row>
    <row r="69" spans="1:17" x14ac:dyDescent="0.4">
      <c r="A69" s="67">
        <v>66</v>
      </c>
      <c r="B69" s="64">
        <v>307</v>
      </c>
      <c r="C69" s="64">
        <v>4.6515151515151514</v>
      </c>
      <c r="D69" s="69">
        <v>1.8787878787878789</v>
      </c>
      <c r="E69" s="65">
        <v>0.39393939393939392</v>
      </c>
      <c r="F69" s="65">
        <v>0.27272727272727271</v>
      </c>
      <c r="G69" s="65">
        <v>0.29906542056074764</v>
      </c>
      <c r="H69" s="65">
        <v>0.15140186915887852</v>
      </c>
      <c r="I69" s="66">
        <v>8905.625</v>
      </c>
      <c r="J69" s="66">
        <v>-7460.4938271604942</v>
      </c>
      <c r="K69" s="65">
        <v>0.15151515151515152</v>
      </c>
      <c r="L69" s="65">
        <v>0.13636363636363635</v>
      </c>
      <c r="M69" s="65">
        <v>0.29158878504672897</v>
      </c>
      <c r="N69" s="65">
        <v>0.18130841121495328</v>
      </c>
      <c r="O69" s="65">
        <v>0.64102564102564108</v>
      </c>
      <c r="P69" s="65">
        <v>0.35051546391752575</v>
      </c>
      <c r="Q69" s="65">
        <v>0.44374999999999998</v>
      </c>
    </row>
    <row r="70" spans="1:17" x14ac:dyDescent="0.4">
      <c r="A70" s="67">
        <v>67</v>
      </c>
      <c r="B70" s="64">
        <v>274.10000000000002</v>
      </c>
      <c r="C70" s="64">
        <v>4.0910447761194035</v>
      </c>
      <c r="D70" s="69">
        <v>1.8955223880597014</v>
      </c>
      <c r="E70" s="65">
        <v>0.38805970149253732</v>
      </c>
      <c r="F70" s="65">
        <v>0.28358208955223879</v>
      </c>
      <c r="G70" s="65">
        <v>0.29520295202952029</v>
      </c>
      <c r="H70" s="65">
        <v>0.15313653136531366</v>
      </c>
      <c r="I70" s="66">
        <v>8905.625</v>
      </c>
      <c r="J70" s="66">
        <v>-7336.1445783132531</v>
      </c>
      <c r="K70" s="65">
        <v>0.14925373134328357</v>
      </c>
      <c r="L70" s="65">
        <v>0.13432835820895522</v>
      </c>
      <c r="M70" s="65">
        <v>0.28966789667896681</v>
      </c>
      <c r="N70" s="65">
        <v>0.18265682656826568</v>
      </c>
      <c r="O70" s="65">
        <v>0.63694267515923564</v>
      </c>
      <c r="P70" s="65">
        <v>0.34343434343434343</v>
      </c>
      <c r="Q70" s="65">
        <v>0.44374999999999998</v>
      </c>
    </row>
    <row r="71" spans="1:17" x14ac:dyDescent="0.4">
      <c r="A71" s="67">
        <v>68</v>
      </c>
      <c r="B71" s="64">
        <v>285.40000000000003</v>
      </c>
      <c r="C71" s="64">
        <v>4.197058823529412</v>
      </c>
      <c r="D71" s="69">
        <v>1.8970588235294117</v>
      </c>
      <c r="E71" s="65">
        <v>0.38235294117647056</v>
      </c>
      <c r="F71" s="65">
        <v>0.27941176470588236</v>
      </c>
      <c r="G71" s="65">
        <v>0.29454545454545455</v>
      </c>
      <c r="H71" s="65">
        <v>0.15090909090909091</v>
      </c>
      <c r="I71" s="66">
        <v>8905.5555555555547</v>
      </c>
      <c r="J71" s="66">
        <v>-7336.1445783132531</v>
      </c>
      <c r="K71" s="65">
        <v>0.14705882352941177</v>
      </c>
      <c r="L71" s="65">
        <v>0.13235294117647059</v>
      </c>
      <c r="M71" s="65">
        <v>0.29090909090909089</v>
      </c>
      <c r="N71" s="65">
        <v>0.18181818181818182</v>
      </c>
      <c r="O71" s="65">
        <v>0.63749999999999996</v>
      </c>
      <c r="P71" s="65">
        <v>0.34</v>
      </c>
      <c r="Q71" s="65">
        <v>0.43827160493827161</v>
      </c>
    </row>
    <row r="72" spans="1:17" x14ac:dyDescent="0.4">
      <c r="A72" s="67">
        <v>69</v>
      </c>
      <c r="B72" s="64">
        <v>330.40000000000003</v>
      </c>
      <c r="C72" s="64">
        <v>4.7884057971014498</v>
      </c>
      <c r="D72" s="69">
        <v>1.8840579710144927</v>
      </c>
      <c r="E72" s="65">
        <v>0.39130434782608697</v>
      </c>
      <c r="F72" s="65">
        <v>0.27536231884057971</v>
      </c>
      <c r="G72" s="65">
        <v>0.29749103942652327</v>
      </c>
      <c r="H72" s="65">
        <v>0.14874551971326164</v>
      </c>
      <c r="I72" s="66">
        <v>8931.9277108433744</v>
      </c>
      <c r="J72" s="66">
        <v>-7336.1445783132531</v>
      </c>
      <c r="K72" s="65">
        <v>0.14492753623188406</v>
      </c>
      <c r="L72" s="65">
        <v>0.14492753623188406</v>
      </c>
      <c r="M72" s="65">
        <v>0.29569892473118281</v>
      </c>
      <c r="N72" s="65">
        <v>0.17921146953405018</v>
      </c>
      <c r="O72" s="65">
        <v>0.64242424242424245</v>
      </c>
      <c r="P72" s="65">
        <v>0.34</v>
      </c>
      <c r="Q72" s="65">
        <v>0.43975903614457829</v>
      </c>
    </row>
    <row r="73" spans="1:17" x14ac:dyDescent="0.4">
      <c r="A73" s="67">
        <v>70</v>
      </c>
      <c r="B73" s="64">
        <v>382.50000000000006</v>
      </c>
      <c r="C73" s="64">
        <v>5.4642857142857153</v>
      </c>
      <c r="D73" s="69">
        <v>1.8714285714285714</v>
      </c>
      <c r="E73" s="65">
        <v>0.4</v>
      </c>
      <c r="F73" s="65">
        <v>0.27142857142857141</v>
      </c>
      <c r="G73" s="65">
        <v>0.29720279720279719</v>
      </c>
      <c r="H73" s="65">
        <v>0.14685314685314685</v>
      </c>
      <c r="I73" s="66">
        <v>9014.1176470588234</v>
      </c>
      <c r="J73" s="66">
        <v>-7266.666666666667</v>
      </c>
      <c r="K73" s="65">
        <v>0.14285714285714285</v>
      </c>
      <c r="L73" s="65">
        <v>0.14285714285714285</v>
      </c>
      <c r="M73" s="65">
        <v>0.2937062937062937</v>
      </c>
      <c r="N73" s="65">
        <v>0.18356643356643357</v>
      </c>
      <c r="O73" s="65">
        <v>0.6428571428571429</v>
      </c>
      <c r="P73" s="65">
        <v>0.33333333333333331</v>
      </c>
      <c r="Q73" s="65">
        <v>0.44705882352941179</v>
      </c>
    </row>
    <row r="74" spans="1:17" x14ac:dyDescent="0.4">
      <c r="A74" s="67">
        <v>71</v>
      </c>
      <c r="B74" s="64">
        <v>350.40000000000003</v>
      </c>
      <c r="C74" s="64">
        <v>4.9352112676056343</v>
      </c>
      <c r="D74" s="69">
        <v>1.8873239436619718</v>
      </c>
      <c r="E74" s="65">
        <v>0.39436619718309857</v>
      </c>
      <c r="F74" s="65">
        <v>0.28169014084507044</v>
      </c>
      <c r="G74" s="65">
        <v>0.29776247848537007</v>
      </c>
      <c r="H74" s="65">
        <v>0.14802065404475043</v>
      </c>
      <c r="I74" s="66">
        <v>8984.9710982658962</v>
      </c>
      <c r="J74" s="66">
        <v>-7139.5348837209303</v>
      </c>
      <c r="K74" s="65">
        <v>0.14084507042253522</v>
      </c>
      <c r="L74" s="65">
        <v>0.14084507042253522</v>
      </c>
      <c r="M74" s="65">
        <v>0.29432013769363169</v>
      </c>
      <c r="N74" s="65">
        <v>0.18588640275387264</v>
      </c>
      <c r="O74" s="65">
        <v>0.63742690058479534</v>
      </c>
      <c r="P74" s="65">
        <v>0.34259259259259262</v>
      </c>
      <c r="Q74" s="65">
        <v>0.44508670520231214</v>
      </c>
    </row>
    <row r="75" spans="1:17" x14ac:dyDescent="0.4">
      <c r="A75" s="67">
        <v>72</v>
      </c>
      <c r="B75" s="64">
        <v>304.60000000000002</v>
      </c>
      <c r="C75" s="64">
        <v>4.2305555555555561</v>
      </c>
      <c r="D75" s="69">
        <v>1.9027777777777777</v>
      </c>
      <c r="E75" s="65">
        <v>0.3888888888888889</v>
      </c>
      <c r="F75" s="65">
        <v>0.29166666666666669</v>
      </c>
      <c r="G75" s="65">
        <v>0.29471890971039183</v>
      </c>
      <c r="H75" s="65">
        <v>0.14991482112436116</v>
      </c>
      <c r="I75" s="66">
        <v>8984.9710982658962</v>
      </c>
      <c r="J75" s="66">
        <v>-7112.5</v>
      </c>
      <c r="K75" s="65">
        <v>0.1388888888888889</v>
      </c>
      <c r="L75" s="65">
        <v>0.1388888888888889</v>
      </c>
      <c r="M75" s="65">
        <v>0.29131175468483816</v>
      </c>
      <c r="N75" s="65">
        <v>0.18568994889267462</v>
      </c>
      <c r="O75" s="65">
        <v>0.63742690058479534</v>
      </c>
      <c r="P75" s="65">
        <v>0.33944954128440369</v>
      </c>
      <c r="Q75" s="65">
        <v>0.44508670520231214</v>
      </c>
    </row>
    <row r="76" spans="1:17" x14ac:dyDescent="0.4">
      <c r="A76" s="67">
        <v>73</v>
      </c>
      <c r="B76" s="64">
        <v>275</v>
      </c>
      <c r="C76" s="64">
        <v>3.7671232876712328</v>
      </c>
      <c r="D76" s="69">
        <v>1.904109589041096</v>
      </c>
      <c r="E76" s="65">
        <v>0.38356164383561642</v>
      </c>
      <c r="F76" s="65">
        <v>0.28767123287671231</v>
      </c>
      <c r="G76" s="65">
        <v>0.29194630872483224</v>
      </c>
      <c r="H76" s="65">
        <v>0.1476510067114094</v>
      </c>
      <c r="I76" s="66">
        <v>8979.310344827587</v>
      </c>
      <c r="J76" s="66">
        <v>-7112.5</v>
      </c>
      <c r="K76" s="65">
        <v>0.13698630136986301</v>
      </c>
      <c r="L76" s="65">
        <v>0.13698630136986301</v>
      </c>
      <c r="M76" s="65">
        <v>0.29026845637583892</v>
      </c>
      <c r="N76" s="65">
        <v>0.18456375838926176</v>
      </c>
      <c r="O76" s="65">
        <v>0.63583815028901736</v>
      </c>
      <c r="P76" s="65">
        <v>0.33636363636363636</v>
      </c>
      <c r="Q76" s="65">
        <v>0.44252873563218392</v>
      </c>
    </row>
    <row r="77" spans="1:17" x14ac:dyDescent="0.4">
      <c r="A77" s="67">
        <v>74</v>
      </c>
      <c r="B77" s="64">
        <v>242.1</v>
      </c>
      <c r="C77" s="64">
        <v>3.2716216216216214</v>
      </c>
      <c r="D77" s="69">
        <v>1.9189189189189189</v>
      </c>
      <c r="E77" s="65">
        <v>0.3783783783783784</v>
      </c>
      <c r="F77" s="65">
        <v>0.29729729729729731</v>
      </c>
      <c r="G77" s="65">
        <v>0.28855721393034828</v>
      </c>
      <c r="H77" s="65">
        <v>0.14925373134328357</v>
      </c>
      <c r="I77" s="66">
        <v>8979.310344827587</v>
      </c>
      <c r="J77" s="66">
        <v>-7047.7777777777774</v>
      </c>
      <c r="K77" s="65">
        <v>0.13513513513513514</v>
      </c>
      <c r="L77" s="65">
        <v>0.13513513513513514</v>
      </c>
      <c r="M77" s="65">
        <v>0.29021558872305142</v>
      </c>
      <c r="N77" s="65">
        <v>0.18573797678275289</v>
      </c>
      <c r="O77" s="65">
        <v>0.62857142857142856</v>
      </c>
      <c r="P77" s="65">
        <v>0.33035714285714285</v>
      </c>
      <c r="Q77" s="65">
        <v>0.44252873563218392</v>
      </c>
    </row>
    <row r="78" spans="1:17" x14ac:dyDescent="0.4">
      <c r="A78" s="67">
        <v>75</v>
      </c>
      <c r="B78" s="64">
        <v>255.79999999999998</v>
      </c>
      <c r="C78" s="64">
        <v>3.4106666666666663</v>
      </c>
      <c r="D78" s="69">
        <v>1.92</v>
      </c>
      <c r="E78" s="65">
        <v>0.37333333333333335</v>
      </c>
      <c r="F78" s="65">
        <v>0.29333333333333333</v>
      </c>
      <c r="G78" s="65">
        <v>0.28852459016393445</v>
      </c>
      <c r="H78" s="65">
        <v>0.14754098360655737</v>
      </c>
      <c r="I78" s="66">
        <v>8982.954545454546</v>
      </c>
      <c r="J78" s="66">
        <v>-7047.7777777777774</v>
      </c>
      <c r="K78" s="65">
        <v>0.13333333333333333</v>
      </c>
      <c r="L78" s="65">
        <v>0.13333333333333333</v>
      </c>
      <c r="M78" s="65">
        <v>0.29180327868852457</v>
      </c>
      <c r="N78" s="65">
        <v>0.18360655737704917</v>
      </c>
      <c r="O78" s="65">
        <v>0.6292134831460674</v>
      </c>
      <c r="P78" s="65">
        <v>0.33035714285714285</v>
      </c>
      <c r="Q78" s="65">
        <v>0.4375</v>
      </c>
    </row>
    <row r="79" spans="1:17" x14ac:dyDescent="0.4">
      <c r="A79" s="67">
        <v>76</v>
      </c>
      <c r="B79" s="64">
        <v>198.29999999999998</v>
      </c>
      <c r="C79" s="64">
        <v>2.6092105263157892</v>
      </c>
      <c r="D79" s="69">
        <v>1.9342105263157894</v>
      </c>
      <c r="E79" s="65">
        <v>0.36842105263157893</v>
      </c>
      <c r="F79" s="65">
        <v>0.30263157894736842</v>
      </c>
      <c r="G79" s="65">
        <v>0.2861788617886179</v>
      </c>
      <c r="H79" s="65">
        <v>0.14959349593495935</v>
      </c>
      <c r="I79" s="66">
        <v>8982.954545454546</v>
      </c>
      <c r="J79" s="66">
        <v>-7155.434782608696</v>
      </c>
      <c r="K79" s="65">
        <v>0.14473684210526316</v>
      </c>
      <c r="L79" s="65">
        <v>0.13157894736842105</v>
      </c>
      <c r="M79" s="65">
        <v>0.2943089430894309</v>
      </c>
      <c r="N79" s="65">
        <v>0.1821138211382114</v>
      </c>
      <c r="O79" s="65">
        <v>0.61878453038674031</v>
      </c>
      <c r="P79" s="65">
        <v>0.33035714285714285</v>
      </c>
      <c r="Q79" s="65">
        <v>0.4375</v>
      </c>
    </row>
    <row r="80" spans="1:17" x14ac:dyDescent="0.4">
      <c r="A80" s="67">
        <v>77</v>
      </c>
      <c r="B80" s="64">
        <v>201.7</v>
      </c>
      <c r="C80" s="64">
        <v>2.6194805194805193</v>
      </c>
      <c r="D80" s="69">
        <v>1.9350649350649352</v>
      </c>
      <c r="E80" s="65">
        <v>0.36363636363636365</v>
      </c>
      <c r="F80" s="65">
        <v>0.29870129870129869</v>
      </c>
      <c r="G80" s="65">
        <v>0.2861736334405145</v>
      </c>
      <c r="H80" s="65">
        <v>0.14790996784565916</v>
      </c>
      <c r="I80" s="66">
        <v>8989.8876404494385</v>
      </c>
      <c r="J80" s="66">
        <v>-7155.434782608696</v>
      </c>
      <c r="K80" s="65">
        <v>0.14285714285714285</v>
      </c>
      <c r="L80" s="65">
        <v>0.12987012987012986</v>
      </c>
      <c r="M80" s="65">
        <v>0.297427652733119</v>
      </c>
      <c r="N80" s="65">
        <v>0.18006430868167203</v>
      </c>
      <c r="O80" s="65">
        <v>0.61621621621621625</v>
      </c>
      <c r="P80" s="65">
        <v>0.33035714285714285</v>
      </c>
      <c r="Q80" s="65">
        <v>0.43820224719101125</v>
      </c>
    </row>
    <row r="81" spans="1:17" x14ac:dyDescent="0.4">
      <c r="A81" s="67">
        <v>78</v>
      </c>
      <c r="B81" s="64">
        <v>193.39999999999998</v>
      </c>
      <c r="C81" s="64">
        <v>2.4794871794871791</v>
      </c>
      <c r="D81" s="69">
        <v>1.9358974358974359</v>
      </c>
      <c r="E81" s="65">
        <v>0.35897435897435898</v>
      </c>
      <c r="F81" s="65">
        <v>0.29487179487179488</v>
      </c>
      <c r="G81" s="65">
        <v>0.28459119496855345</v>
      </c>
      <c r="H81" s="65">
        <v>0.14622641509433962</v>
      </c>
      <c r="I81" s="66">
        <v>8916.5745856353587</v>
      </c>
      <c r="J81" s="66">
        <v>-7161.2903225806449</v>
      </c>
      <c r="K81" s="65">
        <v>0.14102564102564102</v>
      </c>
      <c r="L81" s="65">
        <v>0.12820512820512819</v>
      </c>
      <c r="M81" s="65">
        <v>0.29402515723270439</v>
      </c>
      <c r="N81" s="65">
        <v>0.17767295597484276</v>
      </c>
      <c r="O81" s="65">
        <v>0.60962566844919786</v>
      </c>
      <c r="P81" s="65">
        <v>0.33628318584070799</v>
      </c>
      <c r="Q81" s="65">
        <v>0.43646408839779005</v>
      </c>
    </row>
    <row r="82" spans="1:17" x14ac:dyDescent="0.4">
      <c r="A82" s="67">
        <v>79</v>
      </c>
      <c r="B82" s="64">
        <v>151.59999999999997</v>
      </c>
      <c r="C82" s="64">
        <v>1.9189873417721515</v>
      </c>
      <c r="D82" s="69">
        <v>1.9493670886075949</v>
      </c>
      <c r="E82" s="65">
        <v>0.35443037974683544</v>
      </c>
      <c r="F82" s="65">
        <v>0.30379746835443039</v>
      </c>
      <c r="G82" s="65">
        <v>0.28217054263565894</v>
      </c>
      <c r="H82" s="65">
        <v>0.14728682170542637</v>
      </c>
      <c r="I82" s="66">
        <v>8910.4395604395613</v>
      </c>
      <c r="J82" s="66">
        <v>-7164.2105263157891</v>
      </c>
      <c r="K82" s="65">
        <v>0.13924050632911392</v>
      </c>
      <c r="L82" s="65">
        <v>0.12658227848101267</v>
      </c>
      <c r="M82" s="65">
        <v>0.29457364341085274</v>
      </c>
      <c r="N82" s="65">
        <v>0.17674418604651163</v>
      </c>
      <c r="O82" s="65">
        <v>0.60526315789473684</v>
      </c>
      <c r="P82" s="65">
        <v>0.33333333333333331</v>
      </c>
      <c r="Q82" s="65">
        <v>0.43956043956043955</v>
      </c>
    </row>
    <row r="83" spans="1:17" x14ac:dyDescent="0.4">
      <c r="A83" s="67">
        <v>80</v>
      </c>
      <c r="B83" s="64">
        <v>154.19999999999996</v>
      </c>
      <c r="C83" s="64">
        <v>1.9274999999999995</v>
      </c>
      <c r="D83" s="69">
        <v>1.95</v>
      </c>
      <c r="E83" s="65">
        <v>0.35</v>
      </c>
      <c r="F83" s="65">
        <v>0.3</v>
      </c>
      <c r="G83" s="65">
        <v>0.28374233128834359</v>
      </c>
      <c r="H83" s="65">
        <v>0.14723926380368099</v>
      </c>
      <c r="I83" s="66">
        <v>8837.8378378378384</v>
      </c>
      <c r="J83" s="66">
        <v>-7110.416666666667</v>
      </c>
      <c r="K83" s="65">
        <v>0.13750000000000001</v>
      </c>
      <c r="L83" s="65">
        <v>0.125</v>
      </c>
      <c r="M83" s="65">
        <v>0.29754601226993865</v>
      </c>
      <c r="N83" s="65">
        <v>0.17484662576687116</v>
      </c>
      <c r="O83" s="65">
        <v>0.60309278350515461</v>
      </c>
      <c r="P83" s="65">
        <v>0.33333333333333331</v>
      </c>
      <c r="Q83" s="65">
        <v>0.43783783783783786</v>
      </c>
    </row>
    <row r="84" spans="1:17" x14ac:dyDescent="0.4">
      <c r="A84" s="67">
        <v>81</v>
      </c>
      <c r="B84" s="64">
        <v>216.19999999999996</v>
      </c>
      <c r="C84" s="64">
        <v>2.6691358024691354</v>
      </c>
      <c r="D84" s="69">
        <v>1.9382716049382716</v>
      </c>
      <c r="E84" s="65">
        <v>0.35802469135802467</v>
      </c>
      <c r="F84" s="65">
        <v>0.29629629629629628</v>
      </c>
      <c r="G84" s="65">
        <v>0.28657616892911009</v>
      </c>
      <c r="H84" s="65">
        <v>0.14630467571644043</v>
      </c>
      <c r="I84" s="66">
        <v>8883.6842105263149</v>
      </c>
      <c r="J84" s="66">
        <v>-7119.5876288659792</v>
      </c>
      <c r="K84" s="65">
        <v>0.13580246913580246</v>
      </c>
      <c r="L84" s="65">
        <v>0.13580246913580246</v>
      </c>
      <c r="M84" s="65">
        <v>0.29864253393665158</v>
      </c>
      <c r="N84" s="65">
        <v>0.17496229260935142</v>
      </c>
      <c r="O84" s="65">
        <v>0.61111111111111116</v>
      </c>
      <c r="P84" s="65">
        <v>0.33620689655172414</v>
      </c>
      <c r="Q84" s="65">
        <v>0.43157894736842106</v>
      </c>
    </row>
    <row r="85" spans="1:17" x14ac:dyDescent="0.4">
      <c r="A85" s="67">
        <v>82</v>
      </c>
      <c r="B85" s="64">
        <v>225.79999999999995</v>
      </c>
      <c r="C85" s="64">
        <v>2.7536585365853652</v>
      </c>
      <c r="D85" s="69">
        <v>1.9390243902439024</v>
      </c>
      <c r="E85" s="65">
        <v>0.35365853658536583</v>
      </c>
      <c r="F85" s="65">
        <v>0.29268292682926828</v>
      </c>
      <c r="G85" s="65">
        <v>0.28528974739970281</v>
      </c>
      <c r="H85" s="65">
        <v>0.14710252600297177</v>
      </c>
      <c r="I85" s="66">
        <v>8895.3125</v>
      </c>
      <c r="J85" s="66">
        <v>-7015.151515151515</v>
      </c>
      <c r="K85" s="65">
        <v>0.13414634146341464</v>
      </c>
      <c r="L85" s="65">
        <v>0.13414634146341464</v>
      </c>
      <c r="M85" s="65">
        <v>0.29569093610698366</v>
      </c>
      <c r="N85" s="65">
        <v>0.17533432392273401</v>
      </c>
      <c r="O85" s="65">
        <v>0.60804020100502509</v>
      </c>
      <c r="P85" s="65">
        <v>0.34745762711864409</v>
      </c>
      <c r="Q85" s="65">
        <v>0.42708333333333331</v>
      </c>
    </row>
    <row r="86" spans="1:17" x14ac:dyDescent="0.4">
      <c r="A86" s="67">
        <v>83</v>
      </c>
      <c r="B86" s="64">
        <v>167.49999999999994</v>
      </c>
      <c r="C86" s="64">
        <v>2.0180722891566258</v>
      </c>
      <c r="D86" s="69">
        <v>1.9518072289156627</v>
      </c>
      <c r="E86" s="65">
        <v>0.3493975903614458</v>
      </c>
      <c r="F86" s="65">
        <v>0.30120481927710846</v>
      </c>
      <c r="G86" s="65">
        <v>0.28193832599118945</v>
      </c>
      <c r="H86" s="65">
        <v>0.14831130690161526</v>
      </c>
      <c r="I86" s="66">
        <v>8895.3125</v>
      </c>
      <c r="J86" s="66">
        <v>-7092.0792079207922</v>
      </c>
      <c r="K86" s="65">
        <v>0.14457831325301204</v>
      </c>
      <c r="L86" s="65">
        <v>0.13253012048192772</v>
      </c>
      <c r="M86" s="65">
        <v>0.29368575624082233</v>
      </c>
      <c r="N86" s="65">
        <v>0.17474302496328928</v>
      </c>
      <c r="O86" s="65">
        <v>0.60499999999999998</v>
      </c>
      <c r="P86" s="65">
        <v>0.34453781512605042</v>
      </c>
      <c r="Q86" s="65">
        <v>0.42708333333333331</v>
      </c>
    </row>
    <row r="87" spans="1:17" x14ac:dyDescent="0.4">
      <c r="A87" s="67">
        <v>84</v>
      </c>
      <c r="B87" s="64">
        <v>131.69999999999993</v>
      </c>
      <c r="C87" s="64">
        <v>1.5678571428571419</v>
      </c>
      <c r="D87" s="69">
        <v>1.9642857142857142</v>
      </c>
      <c r="E87" s="65">
        <v>0.34523809523809523</v>
      </c>
      <c r="F87" s="65">
        <v>0.30952380952380953</v>
      </c>
      <c r="G87" s="65">
        <v>0.27971014492753621</v>
      </c>
      <c r="H87" s="65">
        <v>0.14927536231884059</v>
      </c>
      <c r="I87" s="66">
        <v>8861.6580310880836</v>
      </c>
      <c r="J87" s="66">
        <v>-7048.5436893203887</v>
      </c>
      <c r="K87" s="65">
        <v>0.14285714285714285</v>
      </c>
      <c r="L87" s="65">
        <v>0.13095238095238096</v>
      </c>
      <c r="M87" s="65">
        <v>0.28985507246376813</v>
      </c>
      <c r="N87" s="65">
        <v>0.17681159420289855</v>
      </c>
      <c r="O87" s="65">
        <v>0.60499999999999998</v>
      </c>
      <c r="P87" s="65">
        <v>0.33606557377049179</v>
      </c>
      <c r="Q87" s="65">
        <v>0.42487046632124353</v>
      </c>
    </row>
    <row r="88" spans="1:17" x14ac:dyDescent="0.4">
      <c r="A88" s="67">
        <v>85</v>
      </c>
      <c r="B88" s="64">
        <v>103.19999999999993</v>
      </c>
      <c r="C88" s="64">
        <v>1.2141176470588226</v>
      </c>
      <c r="D88" s="69">
        <v>1.9764705882352942</v>
      </c>
      <c r="E88" s="65">
        <v>0.3411764705882353</v>
      </c>
      <c r="F88" s="65">
        <v>0.31764705882352939</v>
      </c>
      <c r="G88" s="65">
        <v>0.27873563218390807</v>
      </c>
      <c r="H88" s="65">
        <v>0.14942528735632185</v>
      </c>
      <c r="I88" s="66">
        <v>8855.6701030927834</v>
      </c>
      <c r="J88" s="66">
        <v>-7030.7692307692305</v>
      </c>
      <c r="K88" s="65">
        <v>0.14117647058823529</v>
      </c>
      <c r="L88" s="65">
        <v>0.12941176470588237</v>
      </c>
      <c r="M88" s="65">
        <v>0.28879310344827586</v>
      </c>
      <c r="N88" s="65">
        <v>0.17816091954022989</v>
      </c>
      <c r="O88" s="65">
        <v>0.60199004975124382</v>
      </c>
      <c r="P88" s="65">
        <v>0.33870967741935482</v>
      </c>
      <c r="Q88" s="65">
        <v>0.42268041237113402</v>
      </c>
    </row>
    <row r="89" spans="1:17" x14ac:dyDescent="0.4">
      <c r="A89" s="67">
        <v>86</v>
      </c>
      <c r="B89" s="64">
        <v>69.899999999999935</v>
      </c>
      <c r="C89" s="64">
        <v>0.81279069767441781</v>
      </c>
      <c r="D89" s="69">
        <v>1.9883720930232558</v>
      </c>
      <c r="E89" s="65">
        <v>0.33720930232558138</v>
      </c>
      <c r="F89" s="65">
        <v>0.32558139534883723</v>
      </c>
      <c r="G89" s="65">
        <v>0.27620396600566571</v>
      </c>
      <c r="H89" s="65">
        <v>0.14730878186968838</v>
      </c>
      <c r="I89" s="66">
        <v>8892.3076923076915</v>
      </c>
      <c r="J89" s="66">
        <v>-7030.7692307692305</v>
      </c>
      <c r="K89" s="65">
        <v>0.13953488372093023</v>
      </c>
      <c r="L89" s="65">
        <v>0.12790697674418605</v>
      </c>
      <c r="M89" s="65">
        <v>0.28611898016997167</v>
      </c>
      <c r="N89" s="65">
        <v>0.17705382436260622</v>
      </c>
      <c r="O89" s="65">
        <v>0.60396039603960394</v>
      </c>
      <c r="P89" s="65">
        <v>0.33600000000000002</v>
      </c>
      <c r="Q89" s="65">
        <v>0.42051282051282052</v>
      </c>
    </row>
    <row r="90" spans="1:17" x14ac:dyDescent="0.4">
      <c r="A90" s="67">
        <v>87</v>
      </c>
      <c r="B90" s="64">
        <v>18.699999999999932</v>
      </c>
      <c r="C90" s="64">
        <v>0.21494252873563141</v>
      </c>
      <c r="D90" s="69">
        <v>2</v>
      </c>
      <c r="E90" s="65">
        <v>0.33333333333333331</v>
      </c>
      <c r="F90" s="65">
        <v>0.33333333333333331</v>
      </c>
      <c r="G90" s="65">
        <v>0.27489481065918653</v>
      </c>
      <c r="H90" s="65">
        <v>0.15007012622720897</v>
      </c>
      <c r="I90" s="66">
        <v>8861.224489795919</v>
      </c>
      <c r="J90" s="66">
        <v>-7076.6355140186915</v>
      </c>
      <c r="K90" s="65">
        <v>0.13793103448275862</v>
      </c>
      <c r="L90" s="65">
        <v>0.12643678160919541</v>
      </c>
      <c r="M90" s="65">
        <v>0.28611500701262271</v>
      </c>
      <c r="N90" s="65">
        <v>0.17671809256661991</v>
      </c>
      <c r="O90" s="65">
        <v>0.6029411764705882</v>
      </c>
      <c r="P90" s="65">
        <v>0.33333333333333331</v>
      </c>
      <c r="Q90" s="65">
        <v>0.42346938775510207</v>
      </c>
    </row>
    <row r="91" spans="1:17" x14ac:dyDescent="0.4">
      <c r="A91" s="67">
        <v>88</v>
      </c>
      <c r="B91" s="64">
        <v>-51.800000000000068</v>
      </c>
      <c r="C91" s="64">
        <v>-0.5886363636363644</v>
      </c>
      <c r="D91" s="69">
        <v>2.0113636363636362</v>
      </c>
      <c r="E91" s="65">
        <v>0.32954545454545453</v>
      </c>
      <c r="F91" s="65">
        <v>0.34090909090909088</v>
      </c>
      <c r="G91" s="65">
        <v>0.27323162274618584</v>
      </c>
      <c r="H91" s="65">
        <v>0.15117891816920942</v>
      </c>
      <c r="I91" s="66">
        <v>8845.6852791878173</v>
      </c>
      <c r="J91" s="66">
        <v>-7214.6788990825689</v>
      </c>
      <c r="K91" s="65">
        <v>0.14772727272727273</v>
      </c>
      <c r="L91" s="65">
        <v>0.125</v>
      </c>
      <c r="M91" s="65">
        <v>0.28294036061026351</v>
      </c>
      <c r="N91" s="65">
        <v>0.17891816920943135</v>
      </c>
      <c r="O91" s="65">
        <v>0.6029411764705882</v>
      </c>
      <c r="P91" s="65">
        <v>0.33333333333333331</v>
      </c>
      <c r="Q91" s="65">
        <v>0.42131979695431471</v>
      </c>
    </row>
    <row r="92" spans="1:17" x14ac:dyDescent="0.4">
      <c r="A92" s="67">
        <v>89</v>
      </c>
      <c r="B92" s="64">
        <v>-75.500000000000071</v>
      </c>
      <c r="C92" s="64">
        <v>-0.84831460674157388</v>
      </c>
      <c r="D92" s="69">
        <v>2.0224719101123596</v>
      </c>
      <c r="E92" s="65">
        <v>0.3258426966292135</v>
      </c>
      <c r="F92" s="65">
        <v>0.34831460674157305</v>
      </c>
      <c r="G92" s="65">
        <v>0.27235213204951858</v>
      </c>
      <c r="H92" s="65">
        <v>0.1499312242090784</v>
      </c>
      <c r="I92" s="66">
        <v>8841.4141414141413</v>
      </c>
      <c r="J92" s="66">
        <v>-7214.6788990825689</v>
      </c>
      <c r="K92" s="65">
        <v>0.14606741573033707</v>
      </c>
      <c r="L92" s="65">
        <v>0.12359550561797752</v>
      </c>
      <c r="M92" s="65">
        <v>0.28198074277854196</v>
      </c>
      <c r="N92" s="65">
        <v>0.17744154057771663</v>
      </c>
      <c r="O92" s="65">
        <v>0.60487804878048779</v>
      </c>
      <c r="P92" s="65">
        <v>0.33333333333333331</v>
      </c>
      <c r="Q92" s="65">
        <v>0.42424242424242425</v>
      </c>
    </row>
    <row r="93" spans="1:17" x14ac:dyDescent="0.4">
      <c r="A93" s="67">
        <v>90</v>
      </c>
      <c r="B93" s="64">
        <v>-66.500000000000071</v>
      </c>
      <c r="C93" s="64">
        <v>-0.73888888888888971</v>
      </c>
      <c r="D93" s="69">
        <v>2.0222222222222221</v>
      </c>
      <c r="E93" s="65">
        <v>0.32222222222222224</v>
      </c>
      <c r="F93" s="65">
        <v>0.34444444444444444</v>
      </c>
      <c r="G93" s="65">
        <v>0.27309782608695654</v>
      </c>
      <c r="H93" s="65">
        <v>0.15081521739130435</v>
      </c>
      <c r="I93" s="66">
        <v>8868.6567164179105</v>
      </c>
      <c r="J93" s="66">
        <v>-7185.5855855855852</v>
      </c>
      <c r="K93" s="65">
        <v>0.14444444444444443</v>
      </c>
      <c r="L93" s="65">
        <v>0.12222222222222222</v>
      </c>
      <c r="M93" s="65">
        <v>0.27989130434782611</v>
      </c>
      <c r="N93" s="65">
        <v>0.18070652173913043</v>
      </c>
      <c r="O93" s="65">
        <v>0.60679611650485432</v>
      </c>
      <c r="P93" s="65">
        <v>0.33834586466165412</v>
      </c>
      <c r="Q93" s="65">
        <v>0.42786069651741293</v>
      </c>
    </row>
    <row r="94" spans="1:17" x14ac:dyDescent="0.4">
      <c r="A94" s="67">
        <v>91</v>
      </c>
      <c r="B94" s="64">
        <v>-39.600000000000072</v>
      </c>
      <c r="C94" s="64">
        <v>-0.43516483516483595</v>
      </c>
      <c r="D94" s="69">
        <v>2.0109890109890109</v>
      </c>
      <c r="E94" s="65">
        <v>0.32967032967032966</v>
      </c>
      <c r="F94" s="65">
        <v>0.34065934065934067</v>
      </c>
      <c r="G94" s="65">
        <v>0.2767379679144385</v>
      </c>
      <c r="H94" s="65">
        <v>0.15240641711229946</v>
      </c>
      <c r="I94" s="66">
        <v>8809.6618357487914</v>
      </c>
      <c r="J94" s="66">
        <v>-7247.3684210526317</v>
      </c>
      <c r="K94" s="65">
        <v>0.14285714285714285</v>
      </c>
      <c r="L94" s="65">
        <v>0.12087912087912088</v>
      </c>
      <c r="M94" s="65">
        <v>0.28074866310160429</v>
      </c>
      <c r="N94" s="65">
        <v>0.18449197860962566</v>
      </c>
      <c r="O94" s="65">
        <v>0.61428571428571432</v>
      </c>
      <c r="P94" s="65">
        <v>0.34057971014492755</v>
      </c>
      <c r="Q94" s="65">
        <v>0.43961352657004832</v>
      </c>
    </row>
    <row r="95" spans="1:17" x14ac:dyDescent="0.4">
      <c r="A95" s="67">
        <v>92</v>
      </c>
      <c r="B95" s="64">
        <v>-0.7000000000000739</v>
      </c>
      <c r="C95" s="64">
        <v>-7.6086956521747165E-3</v>
      </c>
      <c r="D95" s="69">
        <v>2</v>
      </c>
      <c r="E95" s="65">
        <v>0.33695652173913043</v>
      </c>
      <c r="F95" s="65">
        <v>0.33695652173913043</v>
      </c>
      <c r="G95" s="65">
        <v>0.27777777777777779</v>
      </c>
      <c r="H95" s="65">
        <v>0.15079365079365079</v>
      </c>
      <c r="I95" s="66">
        <v>8806.1904761904771</v>
      </c>
      <c r="J95" s="66">
        <v>-7247.3684210526317</v>
      </c>
      <c r="K95" s="65">
        <v>0.14130434782608695</v>
      </c>
      <c r="L95" s="65">
        <v>0.11956521739130435</v>
      </c>
      <c r="M95" s="65">
        <v>0.28042328042328041</v>
      </c>
      <c r="N95" s="65">
        <v>0.18386243386243387</v>
      </c>
      <c r="O95" s="65">
        <v>0.61792452830188682</v>
      </c>
      <c r="P95" s="65">
        <v>0.33812949640287771</v>
      </c>
      <c r="Q95" s="65">
        <v>0.44761904761904764</v>
      </c>
    </row>
    <row r="96" spans="1:17" x14ac:dyDescent="0.4">
      <c r="A96" s="67">
        <v>93</v>
      </c>
      <c r="B96" s="64">
        <v>29.599999999999927</v>
      </c>
      <c r="C96" s="64">
        <v>0.31827956989247236</v>
      </c>
      <c r="D96" s="69">
        <v>1.989247311827957</v>
      </c>
      <c r="E96" s="65">
        <v>0.34408602150537637</v>
      </c>
      <c r="F96" s="65">
        <v>0.33333333333333331</v>
      </c>
      <c r="G96" s="65">
        <v>0.27748691099476441</v>
      </c>
      <c r="H96" s="65">
        <v>0.15052356020942409</v>
      </c>
      <c r="I96" s="66">
        <v>8836.3207547169804</v>
      </c>
      <c r="J96" s="66">
        <v>-7251.304347826087</v>
      </c>
      <c r="K96" s="65">
        <v>0.13978494623655913</v>
      </c>
      <c r="L96" s="65">
        <v>0.11827956989247312</v>
      </c>
      <c r="M96" s="65">
        <v>0.281413612565445</v>
      </c>
      <c r="N96" s="65">
        <v>0.18324607329842932</v>
      </c>
      <c r="O96" s="65">
        <v>0.61395348837209307</v>
      </c>
      <c r="P96" s="65">
        <v>0.33571428571428569</v>
      </c>
      <c r="Q96" s="65">
        <v>0.44811320754716982</v>
      </c>
    </row>
    <row r="97" spans="1:17" x14ac:dyDescent="0.4">
      <c r="A97" s="67">
        <v>94</v>
      </c>
      <c r="B97" s="64">
        <v>57.299999999999926</v>
      </c>
      <c r="C97" s="64">
        <v>0.60957446808510563</v>
      </c>
      <c r="D97" s="69">
        <v>1.9787234042553192</v>
      </c>
      <c r="E97" s="65">
        <v>0.35106382978723405</v>
      </c>
      <c r="F97" s="65">
        <v>0.32978723404255317</v>
      </c>
      <c r="G97" s="65">
        <v>0.2779220779220779</v>
      </c>
      <c r="H97" s="65">
        <v>0.15064935064935064</v>
      </c>
      <c r="I97" s="66">
        <v>8841.5887850467298</v>
      </c>
      <c r="J97" s="66">
        <v>-7257.7586206896549</v>
      </c>
      <c r="K97" s="65">
        <v>0.13829787234042554</v>
      </c>
      <c r="L97" s="65">
        <v>0.11702127659574468</v>
      </c>
      <c r="M97" s="65">
        <v>0.2818181818181818</v>
      </c>
      <c r="N97" s="65">
        <v>0.18311688311688312</v>
      </c>
      <c r="O97" s="65">
        <v>0.61290322580645162</v>
      </c>
      <c r="P97" s="65">
        <v>0.34042553191489361</v>
      </c>
      <c r="Q97" s="65">
        <v>0.45327102803738317</v>
      </c>
    </row>
    <row r="98" spans="1:17" x14ac:dyDescent="0.4">
      <c r="A98" s="67">
        <v>95</v>
      </c>
      <c r="B98" s="64">
        <v>47.299999999999926</v>
      </c>
      <c r="C98" s="64">
        <v>0.4978947368421045</v>
      </c>
      <c r="D98" s="69">
        <v>1.9789473684210526</v>
      </c>
      <c r="E98" s="65">
        <v>0.3473684210526316</v>
      </c>
      <c r="F98" s="65">
        <v>0.32631578947368423</v>
      </c>
      <c r="G98" s="65">
        <v>0.27684346701164297</v>
      </c>
      <c r="H98" s="65">
        <v>0.1500646830530401</v>
      </c>
      <c r="I98" s="66">
        <v>8841.5887850467298</v>
      </c>
      <c r="J98" s="66">
        <v>-7257.7586206896549</v>
      </c>
      <c r="K98" s="65">
        <v>0.1368421052631579</v>
      </c>
      <c r="L98" s="65">
        <v>0.11578947368421053</v>
      </c>
      <c r="M98" s="65">
        <v>0.28072445019404918</v>
      </c>
      <c r="N98" s="65">
        <v>0.18240620957309184</v>
      </c>
      <c r="O98" s="65">
        <v>0.61290322580645162</v>
      </c>
      <c r="P98" s="65">
        <v>0.34042553191489361</v>
      </c>
      <c r="Q98" s="65">
        <v>0.45327102803738317</v>
      </c>
    </row>
    <row r="99" spans="1:17" x14ac:dyDescent="0.4">
      <c r="A99" s="67">
        <v>96</v>
      </c>
      <c r="B99" s="64">
        <v>48.899999999999928</v>
      </c>
      <c r="C99" s="64">
        <v>0.50937499999999925</v>
      </c>
      <c r="D99" s="69">
        <v>1.9791666666666667</v>
      </c>
      <c r="E99" s="65">
        <v>0.34375</v>
      </c>
      <c r="F99" s="65">
        <v>0.32291666666666669</v>
      </c>
      <c r="G99" s="65">
        <v>0.27458492975734355</v>
      </c>
      <c r="H99" s="65">
        <v>0.14942528735632185</v>
      </c>
      <c r="I99" s="66">
        <v>8874.8837209302328</v>
      </c>
      <c r="J99" s="66">
        <v>-7229.0598290598291</v>
      </c>
      <c r="K99" s="65">
        <v>0.13541666666666666</v>
      </c>
      <c r="L99" s="65">
        <v>0.11458333333333333</v>
      </c>
      <c r="M99" s="65">
        <v>0.27713920817369092</v>
      </c>
      <c r="N99" s="65">
        <v>0.18135376756066413</v>
      </c>
      <c r="O99" s="65">
        <v>0.61290322580645162</v>
      </c>
      <c r="P99" s="65">
        <v>0.3380281690140845</v>
      </c>
      <c r="Q99" s="65">
        <v>0.45581395348837211</v>
      </c>
    </row>
    <row r="100" spans="1:17" x14ac:dyDescent="0.4">
      <c r="A100" s="67">
        <v>97</v>
      </c>
      <c r="B100" s="64">
        <v>19.799999999999926</v>
      </c>
      <c r="C100" s="64">
        <v>0.20412371134020543</v>
      </c>
      <c r="D100" s="69">
        <v>1.9896907216494846</v>
      </c>
      <c r="E100" s="65">
        <v>0.34020618556701032</v>
      </c>
      <c r="F100" s="65">
        <v>0.32989690721649484</v>
      </c>
      <c r="G100" s="65">
        <v>0.27490542244640603</v>
      </c>
      <c r="H100" s="65">
        <v>0.15006305170239598</v>
      </c>
      <c r="I100" s="66">
        <v>8802.2935779816507</v>
      </c>
      <c r="J100" s="66">
        <v>-7187.3949579831933</v>
      </c>
      <c r="K100" s="65">
        <v>0.13402061855670103</v>
      </c>
      <c r="L100" s="65">
        <v>0.1134020618556701</v>
      </c>
      <c r="M100" s="65">
        <v>0.27742749054224464</v>
      </c>
      <c r="N100" s="65">
        <v>0.1828499369482976</v>
      </c>
      <c r="O100" s="65">
        <v>0.60909090909090913</v>
      </c>
      <c r="P100" s="65">
        <v>0.33793103448275863</v>
      </c>
      <c r="Q100" s="65">
        <v>0.45871559633027525</v>
      </c>
    </row>
    <row r="101" spans="1:17" x14ac:dyDescent="0.4">
      <c r="A101" s="67">
        <v>98</v>
      </c>
      <c r="B101" s="64">
        <v>87.099999999999923</v>
      </c>
      <c r="C101" s="64">
        <v>0.88877551020408085</v>
      </c>
      <c r="D101" s="69">
        <v>1.9795918367346939</v>
      </c>
      <c r="E101" s="65">
        <v>0.34693877551020408</v>
      </c>
      <c r="F101" s="65">
        <v>0.32653061224489793</v>
      </c>
      <c r="G101" s="65">
        <v>0.27750000000000002</v>
      </c>
      <c r="H101" s="65">
        <v>0.15</v>
      </c>
      <c r="I101" s="66">
        <v>8856.7567567567567</v>
      </c>
      <c r="J101" s="66">
        <v>-7135.833333333333</v>
      </c>
      <c r="K101" s="65">
        <v>0.1326530612244898</v>
      </c>
      <c r="L101" s="65">
        <v>0.11224489795918367</v>
      </c>
      <c r="M101" s="65">
        <v>0.28000000000000003</v>
      </c>
      <c r="N101" s="65">
        <v>0.1825</v>
      </c>
      <c r="O101" s="65">
        <v>0.6116071428571429</v>
      </c>
      <c r="P101" s="65">
        <v>0.34246575342465752</v>
      </c>
      <c r="Q101" s="65">
        <v>0.45945945945945948</v>
      </c>
    </row>
    <row r="102" spans="1:17" x14ac:dyDescent="0.4">
      <c r="A102" s="67">
        <v>99</v>
      </c>
      <c r="B102" s="64">
        <v>119.29999999999993</v>
      </c>
      <c r="C102" s="64">
        <v>1.2050505050505043</v>
      </c>
      <c r="D102" s="69">
        <v>1.9696969696969697</v>
      </c>
      <c r="E102" s="65">
        <v>0.35353535353535354</v>
      </c>
      <c r="F102" s="65">
        <v>0.32323232323232326</v>
      </c>
      <c r="G102" s="65">
        <v>0.27935723114956734</v>
      </c>
      <c r="H102" s="65">
        <v>0.14956736711990112</v>
      </c>
      <c r="I102" s="66">
        <v>8835.3982300884963</v>
      </c>
      <c r="J102" s="66">
        <v>-7172.727272727273</v>
      </c>
      <c r="K102" s="65">
        <v>0.13131313131313133</v>
      </c>
      <c r="L102" s="65">
        <v>0.1111111111111111</v>
      </c>
      <c r="M102" s="65">
        <v>0.27812113720642767</v>
      </c>
      <c r="N102" s="65">
        <v>0.18665018541409148</v>
      </c>
      <c r="O102" s="65">
        <v>0.61333333333333329</v>
      </c>
      <c r="P102" s="65">
        <v>0.35099337748344372</v>
      </c>
      <c r="Q102" s="65">
        <v>0.45132743362831856</v>
      </c>
    </row>
    <row r="103" spans="1:17" x14ac:dyDescent="0.4">
      <c r="A103" s="67">
        <v>100</v>
      </c>
      <c r="B103" s="64">
        <v>115.59999999999992</v>
      </c>
      <c r="C103" s="64">
        <v>1.1559999999999993</v>
      </c>
      <c r="D103" s="69">
        <v>1.97</v>
      </c>
      <c r="E103" s="65">
        <v>0.35</v>
      </c>
      <c r="F103" s="65">
        <v>0.32</v>
      </c>
      <c r="G103" s="65">
        <v>0.27892813641900122</v>
      </c>
      <c r="H103" s="65">
        <v>0.15103532277710111</v>
      </c>
      <c r="I103" s="66">
        <v>8838.427947598253</v>
      </c>
      <c r="J103" s="66">
        <v>-7139.5161290322585</v>
      </c>
      <c r="K103" s="65">
        <v>0.13</v>
      </c>
      <c r="L103" s="65">
        <v>0.11</v>
      </c>
      <c r="M103" s="65">
        <v>0.27771010962241172</v>
      </c>
      <c r="N103" s="65">
        <v>0.18635809987819732</v>
      </c>
      <c r="O103" s="65">
        <v>0.61403508771929827</v>
      </c>
      <c r="P103" s="65">
        <v>0.34640522875816993</v>
      </c>
      <c r="Q103" s="65">
        <v>0.45851528384279477</v>
      </c>
    </row>
    <row r="104" spans="1:17" x14ac:dyDescent="0.4">
      <c r="A104" s="67">
        <v>101</v>
      </c>
      <c r="B104" s="64">
        <v>111.59999999999992</v>
      </c>
      <c r="C104" s="64">
        <v>1.1049504950495042</v>
      </c>
      <c r="D104" s="69">
        <v>1.9702970297029703</v>
      </c>
      <c r="E104" s="65">
        <v>0.34653465346534651</v>
      </c>
      <c r="F104" s="65">
        <v>0.31683168316831684</v>
      </c>
      <c r="G104" s="65">
        <v>0.27677496991576411</v>
      </c>
      <c r="H104" s="65">
        <v>0.15042117930204574</v>
      </c>
      <c r="I104" s="66">
        <v>8806.95652173913</v>
      </c>
      <c r="J104" s="66">
        <v>-7092.8</v>
      </c>
      <c r="K104" s="65">
        <v>0.12871287128712872</v>
      </c>
      <c r="L104" s="65">
        <v>0.10891089108910891</v>
      </c>
      <c r="M104" s="65">
        <v>0.27557160048134777</v>
      </c>
      <c r="N104" s="65">
        <v>0.18772563176895307</v>
      </c>
      <c r="O104" s="65">
        <v>0.611353711790393</v>
      </c>
      <c r="P104" s="65">
        <v>0.34615384615384615</v>
      </c>
      <c r="Q104" s="65">
        <v>0.46086956521739131</v>
      </c>
    </row>
    <row r="105" spans="1:17" x14ac:dyDescent="0.4">
      <c r="A105" s="67">
        <v>102</v>
      </c>
      <c r="B105" s="64">
        <v>112.49999999999993</v>
      </c>
      <c r="C105" s="64">
        <v>1.1029411764705876</v>
      </c>
      <c r="D105" s="69">
        <v>1.9705882352941178</v>
      </c>
      <c r="E105" s="65">
        <v>0.34313725490196079</v>
      </c>
      <c r="F105" s="65">
        <v>0.31372549019607843</v>
      </c>
      <c r="G105" s="65">
        <v>0.27824019024970276</v>
      </c>
      <c r="H105" s="65">
        <v>0.14982164090368608</v>
      </c>
      <c r="I105" s="66">
        <v>8729.9145299145293</v>
      </c>
      <c r="J105" s="66">
        <v>-7128.5714285714284</v>
      </c>
      <c r="K105" s="65">
        <v>0.12745098039215685</v>
      </c>
      <c r="L105" s="65">
        <v>0.10784313725490197</v>
      </c>
      <c r="M105" s="65">
        <v>0.27586206896551724</v>
      </c>
      <c r="N105" s="65">
        <v>0.18549346016646848</v>
      </c>
      <c r="O105" s="65">
        <v>0.61637931034482762</v>
      </c>
      <c r="P105" s="65">
        <v>0.34615384615384615</v>
      </c>
      <c r="Q105" s="65">
        <v>0.45726495726495725</v>
      </c>
    </row>
    <row r="106" spans="1:17" x14ac:dyDescent="0.4">
      <c r="A106" s="67">
        <v>103</v>
      </c>
      <c r="B106" s="64">
        <v>67.699999999999932</v>
      </c>
      <c r="C106" s="64">
        <v>0.65728155339805761</v>
      </c>
      <c r="D106" s="69">
        <v>1.9805825242718447</v>
      </c>
      <c r="E106" s="65">
        <v>0.33980582524271846</v>
      </c>
      <c r="F106" s="65">
        <v>0.32038834951456313</v>
      </c>
      <c r="G106" s="65">
        <v>0.2752941176470588</v>
      </c>
      <c r="H106" s="65">
        <v>0.14941176470588236</v>
      </c>
      <c r="I106" s="66">
        <v>8729.9145299145293</v>
      </c>
      <c r="J106" s="66">
        <v>-7113.3858267716532</v>
      </c>
      <c r="K106" s="65">
        <v>0.12621359223300971</v>
      </c>
      <c r="L106" s="65">
        <v>0.10679611650485436</v>
      </c>
      <c r="M106" s="65">
        <v>0.27294117647058824</v>
      </c>
      <c r="N106" s="65">
        <v>0.18588235294117647</v>
      </c>
      <c r="O106" s="65">
        <v>0.61637931034482762</v>
      </c>
      <c r="P106" s="65">
        <v>0.34177215189873417</v>
      </c>
      <c r="Q106" s="65">
        <v>0.45726495726495725</v>
      </c>
    </row>
    <row r="107" spans="1:17" x14ac:dyDescent="0.4">
      <c r="A107" s="67">
        <v>104</v>
      </c>
      <c r="B107" s="64">
        <v>56.899999999999935</v>
      </c>
      <c r="C107" s="64">
        <v>0.547115384615384</v>
      </c>
      <c r="D107" s="69">
        <v>1.9807692307692308</v>
      </c>
      <c r="E107" s="65">
        <v>0.33653846153846156</v>
      </c>
      <c r="F107" s="65">
        <v>0.31730769230769229</v>
      </c>
      <c r="G107" s="65">
        <v>0.27336448598130841</v>
      </c>
      <c r="H107" s="65">
        <v>0.14836448598130841</v>
      </c>
      <c r="I107" s="66">
        <v>8729.9145299145293</v>
      </c>
      <c r="J107" s="66">
        <v>-7113.3858267716532</v>
      </c>
      <c r="K107" s="65">
        <v>0.125</v>
      </c>
      <c r="L107" s="65">
        <v>0.10576923076923077</v>
      </c>
      <c r="M107" s="65">
        <v>0.27336448598130841</v>
      </c>
      <c r="N107" s="65">
        <v>0.18457943925233644</v>
      </c>
      <c r="O107" s="65">
        <v>0.61111111111111116</v>
      </c>
      <c r="P107" s="65">
        <v>0.34177215189873417</v>
      </c>
      <c r="Q107" s="65">
        <v>0.45726495726495725</v>
      </c>
    </row>
    <row r="108" spans="1:17" x14ac:dyDescent="0.4">
      <c r="A108" s="67">
        <v>105</v>
      </c>
      <c r="B108" s="64">
        <v>-9.6000000000000654</v>
      </c>
      <c r="C108" s="64">
        <v>-9.1428571428572053E-2</v>
      </c>
      <c r="D108" s="69">
        <v>1.9904761904761905</v>
      </c>
      <c r="E108" s="65">
        <v>0.33333333333333331</v>
      </c>
      <c r="F108" s="65">
        <v>0.32380952380952382</v>
      </c>
      <c r="G108" s="65">
        <v>0.27293844367015097</v>
      </c>
      <c r="H108" s="65">
        <v>0.15098722415795587</v>
      </c>
      <c r="I108" s="66">
        <v>8705.5319148936178</v>
      </c>
      <c r="J108" s="66">
        <v>-7287.6923076923076</v>
      </c>
      <c r="K108" s="65">
        <v>0.13333333333333333</v>
      </c>
      <c r="L108" s="65">
        <v>0.10476190476190476</v>
      </c>
      <c r="M108" s="65">
        <v>0.27177700348432055</v>
      </c>
      <c r="N108" s="65">
        <v>0.18466898954703834</v>
      </c>
      <c r="O108" s="65">
        <v>0.61111111111111116</v>
      </c>
      <c r="P108" s="65">
        <v>0.34591194968553457</v>
      </c>
      <c r="Q108" s="65">
        <v>0.45957446808510638</v>
      </c>
    </row>
    <row r="109" spans="1:17" x14ac:dyDescent="0.4">
      <c r="A109" s="67">
        <v>106</v>
      </c>
      <c r="B109" s="64">
        <v>1.4999999999999343</v>
      </c>
      <c r="C109" s="64">
        <v>1.4150943396225794E-2</v>
      </c>
      <c r="D109" s="69">
        <v>1.9905660377358489</v>
      </c>
      <c r="E109" s="65">
        <v>0.330188679245283</v>
      </c>
      <c r="F109" s="65">
        <v>0.32075471698113206</v>
      </c>
      <c r="G109" s="65">
        <v>0.27304147465437789</v>
      </c>
      <c r="H109" s="65">
        <v>0.15092165898617513</v>
      </c>
      <c r="I109" s="66">
        <v>8733.3333333333339</v>
      </c>
      <c r="J109" s="66">
        <v>-7251.9083969465646</v>
      </c>
      <c r="K109" s="65">
        <v>0.13207547169811321</v>
      </c>
      <c r="L109" s="65">
        <v>0.10377358490566038</v>
      </c>
      <c r="M109" s="65">
        <v>0.27188940092165897</v>
      </c>
      <c r="N109" s="65">
        <v>0.18317972350230416</v>
      </c>
      <c r="O109" s="65">
        <v>0.61016949152542377</v>
      </c>
      <c r="P109" s="65">
        <v>0.34591194968553457</v>
      </c>
      <c r="Q109" s="65">
        <v>0.46413502109704641</v>
      </c>
    </row>
    <row r="110" spans="1:17" x14ac:dyDescent="0.4">
      <c r="A110" s="67">
        <v>107</v>
      </c>
      <c r="B110" s="64">
        <v>1.2999999999999343</v>
      </c>
      <c r="C110" s="64">
        <v>1.214953271027976E-2</v>
      </c>
      <c r="D110" s="69">
        <v>1.9906542056074767</v>
      </c>
      <c r="E110" s="65">
        <v>0.32710280373831774</v>
      </c>
      <c r="F110" s="65">
        <v>0.31775700934579437</v>
      </c>
      <c r="G110" s="65">
        <v>0.27324263038548752</v>
      </c>
      <c r="H110" s="65">
        <v>0.15192743764172337</v>
      </c>
      <c r="I110" s="66">
        <v>8734.8547717842321</v>
      </c>
      <c r="J110" s="66">
        <v>-7208.9552238805973</v>
      </c>
      <c r="K110" s="65">
        <v>0.13084112149532709</v>
      </c>
      <c r="L110" s="65">
        <v>0.10280373831775701</v>
      </c>
      <c r="M110" s="65">
        <v>0.27324263038548752</v>
      </c>
      <c r="N110" s="65">
        <v>0.18367346938775511</v>
      </c>
      <c r="O110" s="65">
        <v>0.60580912863070535</v>
      </c>
      <c r="P110" s="65">
        <v>0.35185185185185186</v>
      </c>
      <c r="Q110" s="65">
        <v>0.46058091286307051</v>
      </c>
    </row>
    <row r="111" spans="1:17" x14ac:dyDescent="0.4">
      <c r="A111" s="67">
        <v>108</v>
      </c>
      <c r="B111" s="64">
        <v>-5.7000000000000659</v>
      </c>
      <c r="C111" s="64">
        <v>-5.2777777777778388E-2</v>
      </c>
      <c r="D111" s="69">
        <v>1.9907407407407407</v>
      </c>
      <c r="E111" s="65">
        <v>0.32407407407407407</v>
      </c>
      <c r="F111" s="65">
        <v>0.31481481481481483</v>
      </c>
      <c r="G111" s="65">
        <v>0.27130044843049328</v>
      </c>
      <c r="H111" s="65">
        <v>0.15022421524663676</v>
      </c>
      <c r="I111" s="66">
        <v>8748.3471074380159</v>
      </c>
      <c r="J111" s="66">
        <v>-7208.9552238805973</v>
      </c>
      <c r="K111" s="65">
        <v>0.12962962962962962</v>
      </c>
      <c r="L111" s="65">
        <v>0.10185185185185185</v>
      </c>
      <c r="M111" s="65">
        <v>0.273542600896861</v>
      </c>
      <c r="N111" s="65">
        <v>0.18273542600896861</v>
      </c>
      <c r="O111" s="65">
        <v>0.60245901639344257</v>
      </c>
      <c r="P111" s="65">
        <v>0.34969325153374231</v>
      </c>
      <c r="Q111" s="65">
        <v>0.45867768595041325</v>
      </c>
    </row>
    <row r="112" spans="1:17" x14ac:dyDescent="0.4">
      <c r="A112" s="67">
        <v>109</v>
      </c>
      <c r="B112" s="64">
        <v>-6.1000000000000663</v>
      </c>
      <c r="C112" s="64">
        <v>-5.5963302752294185E-2</v>
      </c>
      <c r="D112" s="69">
        <v>1.9908256880733946</v>
      </c>
      <c r="E112" s="65">
        <v>0.32110091743119268</v>
      </c>
      <c r="F112" s="65">
        <v>0.31192660550458717</v>
      </c>
      <c r="G112" s="65">
        <v>0.27081021087680357</v>
      </c>
      <c r="H112" s="65">
        <v>0.15094339622641509</v>
      </c>
      <c r="I112" s="66">
        <v>8807.7868852459014</v>
      </c>
      <c r="J112" s="66">
        <v>-7219.8529411764703</v>
      </c>
      <c r="K112" s="65">
        <v>0.12844036697247707</v>
      </c>
      <c r="L112" s="65">
        <v>0.10091743119266056</v>
      </c>
      <c r="M112" s="65">
        <v>0.27192008879023305</v>
      </c>
      <c r="N112" s="65">
        <v>0.18201997780244172</v>
      </c>
      <c r="O112" s="65">
        <v>0.60408163265306125</v>
      </c>
      <c r="P112" s="65">
        <v>0.34756097560975607</v>
      </c>
      <c r="Q112" s="65">
        <v>0.45901639344262296</v>
      </c>
    </row>
    <row r="113" spans="1:17" x14ac:dyDescent="0.4">
      <c r="A113" s="67">
        <v>110</v>
      </c>
      <c r="B113" s="64">
        <v>-43.800000000000068</v>
      </c>
      <c r="C113" s="64">
        <v>-0.3981818181818188</v>
      </c>
      <c r="D113" s="69">
        <v>2</v>
      </c>
      <c r="E113" s="65">
        <v>0.31818181818181818</v>
      </c>
      <c r="F113" s="65">
        <v>0.31818181818181818</v>
      </c>
      <c r="G113" s="65">
        <v>0.27012127894156562</v>
      </c>
      <c r="H113" s="65">
        <v>0.15104740904079383</v>
      </c>
      <c r="I113" s="66">
        <v>8793.0612244897966</v>
      </c>
      <c r="J113" s="66">
        <v>-7205.1094890510949</v>
      </c>
      <c r="K113" s="65">
        <v>0.12727272727272726</v>
      </c>
      <c r="L113" s="65">
        <v>0.1</v>
      </c>
      <c r="M113" s="65">
        <v>0.27012127894156562</v>
      </c>
      <c r="N113" s="65">
        <v>0.18412348401323042</v>
      </c>
      <c r="O113" s="65">
        <v>0.60408163265306125</v>
      </c>
      <c r="P113" s="65">
        <v>0.3413173652694611</v>
      </c>
      <c r="Q113" s="65">
        <v>0.45714285714285713</v>
      </c>
    </row>
    <row r="114" spans="1:17" x14ac:dyDescent="0.4">
      <c r="A114" s="67">
        <v>111</v>
      </c>
      <c r="B114" s="64">
        <v>-3.6000000000000654</v>
      </c>
      <c r="C114" s="64">
        <v>-3.2432432432433024E-2</v>
      </c>
      <c r="D114" s="69">
        <v>1.9909909909909911</v>
      </c>
      <c r="E114" s="65">
        <v>0.32432432432432434</v>
      </c>
      <c r="F114" s="65">
        <v>0.31531531531531531</v>
      </c>
      <c r="G114" s="65">
        <v>0.2735229759299781</v>
      </c>
      <c r="H114" s="65">
        <v>0.14989059080962802</v>
      </c>
      <c r="I114" s="66">
        <v>8717.2000000000007</v>
      </c>
      <c r="J114" s="66">
        <v>-7205.1094890510949</v>
      </c>
      <c r="K114" s="65">
        <v>0.12612612612612611</v>
      </c>
      <c r="L114" s="65">
        <v>9.90990990990991E-2</v>
      </c>
      <c r="M114" s="65">
        <v>0.26805251641137856</v>
      </c>
      <c r="N114" s="65">
        <v>0.18927789934354486</v>
      </c>
      <c r="O114" s="65">
        <v>0.60408163265306125</v>
      </c>
      <c r="P114" s="65">
        <v>0.3583815028901734</v>
      </c>
      <c r="Q114" s="65">
        <v>0.45600000000000002</v>
      </c>
    </row>
    <row r="115" spans="1:17" x14ac:dyDescent="0.4">
      <c r="A115" s="67">
        <v>112</v>
      </c>
      <c r="B115" s="64">
        <v>-65.200000000000074</v>
      </c>
      <c r="C115" s="64">
        <v>-0.58214285714285785</v>
      </c>
      <c r="D115" s="69">
        <v>2</v>
      </c>
      <c r="E115" s="65">
        <v>0.32142857142857145</v>
      </c>
      <c r="F115" s="65">
        <v>0.32142857142857145</v>
      </c>
      <c r="G115" s="65">
        <v>0.27114967462039047</v>
      </c>
      <c r="H115" s="65">
        <v>0.15292841648590022</v>
      </c>
      <c r="I115" s="66">
        <v>8717.2000000000007</v>
      </c>
      <c r="J115" s="66">
        <v>-7217.7304964539007</v>
      </c>
      <c r="K115" s="65">
        <v>0.13392857142857142</v>
      </c>
      <c r="L115" s="65">
        <v>9.8214285714285712E-2</v>
      </c>
      <c r="M115" s="65">
        <v>0.26789587852494579</v>
      </c>
      <c r="N115" s="65">
        <v>0.18872017353579176</v>
      </c>
      <c r="O115" s="65">
        <v>0.59919028340080971</v>
      </c>
      <c r="P115" s="65">
        <v>0.35632183908045978</v>
      </c>
      <c r="Q115" s="65">
        <v>0.45600000000000002</v>
      </c>
    </row>
    <row r="116" spans="1:17" x14ac:dyDescent="0.4">
      <c r="A116" s="67">
        <v>113</v>
      </c>
      <c r="B116" s="64">
        <v>-109.10000000000008</v>
      </c>
      <c r="C116" s="64">
        <v>-0.96548672566371752</v>
      </c>
      <c r="D116" s="69">
        <v>2.0088495575221237</v>
      </c>
      <c r="E116" s="65">
        <v>0.31858407079646017</v>
      </c>
      <c r="F116" s="65">
        <v>0.32743362831858408</v>
      </c>
      <c r="G116" s="65">
        <v>0.27058823529411763</v>
      </c>
      <c r="H116" s="65">
        <v>0.15187165775401071</v>
      </c>
      <c r="I116" s="66">
        <v>8655.3359683794461</v>
      </c>
      <c r="J116" s="66">
        <v>-7200.7042253521131</v>
      </c>
      <c r="K116" s="65">
        <v>0.13274336283185842</v>
      </c>
      <c r="L116" s="65">
        <v>9.7345132743362831E-2</v>
      </c>
      <c r="M116" s="65">
        <v>0.26631016042780747</v>
      </c>
      <c r="N116" s="65">
        <v>0.19251336898395721</v>
      </c>
      <c r="O116" s="65">
        <v>0.59839357429718876</v>
      </c>
      <c r="P116" s="65">
        <v>0.35555555555555557</v>
      </c>
      <c r="Q116" s="65">
        <v>0.45059288537549408</v>
      </c>
    </row>
    <row r="117" spans="1:17" x14ac:dyDescent="0.4">
      <c r="A117" s="67">
        <v>114</v>
      </c>
      <c r="B117" s="64">
        <v>-98.400000000000077</v>
      </c>
      <c r="C117" s="64">
        <v>-0.86315789473684279</v>
      </c>
      <c r="D117" s="69">
        <v>2.0087719298245612</v>
      </c>
      <c r="E117" s="65">
        <v>0.31578947368421051</v>
      </c>
      <c r="F117" s="65">
        <v>0.32456140350877194</v>
      </c>
      <c r="G117" s="65">
        <v>0.27061310782241016</v>
      </c>
      <c r="H117" s="65">
        <v>0.15221987315010571</v>
      </c>
      <c r="I117" s="66">
        <v>8657.03125</v>
      </c>
      <c r="J117" s="66">
        <v>-7183.333333333333</v>
      </c>
      <c r="K117" s="65">
        <v>0.13157894736842105</v>
      </c>
      <c r="L117" s="65">
        <v>9.6491228070175433E-2</v>
      </c>
      <c r="M117" s="65">
        <v>0.26532769556025371</v>
      </c>
      <c r="N117" s="65">
        <v>0.193446088794926</v>
      </c>
      <c r="O117" s="65">
        <v>0.60159362549800799</v>
      </c>
      <c r="P117" s="65">
        <v>0.3551912568306011</v>
      </c>
      <c r="Q117" s="65">
        <v>0.4453125</v>
      </c>
    </row>
    <row r="118" spans="1:17" x14ac:dyDescent="0.4">
      <c r="A118" s="67">
        <v>115</v>
      </c>
      <c r="B118" s="64">
        <v>-62.700000000000074</v>
      </c>
      <c r="C118" s="64">
        <v>-0.54521739130434843</v>
      </c>
      <c r="D118" s="69">
        <v>2</v>
      </c>
      <c r="E118" s="65">
        <v>0.32173913043478258</v>
      </c>
      <c r="F118" s="65">
        <v>0.32173913043478258</v>
      </c>
      <c r="G118" s="65">
        <v>0.27205882352941174</v>
      </c>
      <c r="H118" s="65">
        <v>0.15126050420168066</v>
      </c>
      <c r="I118" s="66">
        <v>8636.6795366795359</v>
      </c>
      <c r="J118" s="66">
        <v>-7183.333333333333</v>
      </c>
      <c r="K118" s="65">
        <v>0.13043478260869565</v>
      </c>
      <c r="L118" s="65">
        <v>9.5652173913043481E-2</v>
      </c>
      <c r="M118" s="65">
        <v>0.2657563025210084</v>
      </c>
      <c r="N118" s="65">
        <v>0.19222689075630253</v>
      </c>
      <c r="O118" s="65">
        <v>0.60474308300395252</v>
      </c>
      <c r="P118" s="65">
        <v>0.3551912568306011</v>
      </c>
      <c r="Q118" s="65">
        <v>0.44787644787644787</v>
      </c>
    </row>
    <row r="119" spans="1:17" x14ac:dyDescent="0.4">
      <c r="A119" s="67">
        <v>116</v>
      </c>
      <c r="B119" s="64">
        <v>-35.500000000000071</v>
      </c>
      <c r="C119" s="64">
        <v>-0.30603448275862133</v>
      </c>
      <c r="D119" s="69">
        <v>1.9913793103448276</v>
      </c>
      <c r="E119" s="65">
        <v>0.32758620689655171</v>
      </c>
      <c r="F119" s="65">
        <v>0.31896551724137934</v>
      </c>
      <c r="G119" s="65">
        <v>0.27291666666666664</v>
      </c>
      <c r="H119" s="65">
        <v>0.15104166666666666</v>
      </c>
      <c r="I119" s="66">
        <v>8644.6564885496191</v>
      </c>
      <c r="J119" s="66">
        <v>-7216.5517241379312</v>
      </c>
      <c r="K119" s="65">
        <v>0.12931034482758622</v>
      </c>
      <c r="L119" s="65">
        <v>9.4827586206896547E-2</v>
      </c>
      <c r="M119" s="65">
        <v>0.26458333333333334</v>
      </c>
      <c r="N119" s="65">
        <v>0.19375000000000001</v>
      </c>
      <c r="O119" s="65">
        <v>0.60629921259842523</v>
      </c>
      <c r="P119" s="65">
        <v>0.35483870967741937</v>
      </c>
      <c r="Q119" s="65">
        <v>0.45038167938931295</v>
      </c>
    </row>
    <row r="120" spans="1:17" x14ac:dyDescent="0.4">
      <c r="A120" s="67">
        <v>117</v>
      </c>
      <c r="B120" s="64">
        <v>-19.70000000000007</v>
      </c>
      <c r="C120" s="64">
        <v>-0.16837606837606897</v>
      </c>
      <c r="D120" s="69">
        <v>1.9914529914529915</v>
      </c>
      <c r="E120" s="65">
        <v>0.3247863247863248</v>
      </c>
      <c r="F120" s="65">
        <v>0.31623931623931623</v>
      </c>
      <c r="G120" s="65">
        <v>0.27197518097207857</v>
      </c>
      <c r="H120" s="65">
        <v>0.15098241985522234</v>
      </c>
      <c r="I120" s="66">
        <v>8672.6235741444871</v>
      </c>
      <c r="J120" s="66">
        <v>-7184.9315068493152</v>
      </c>
      <c r="K120" s="65">
        <v>0.12820512820512819</v>
      </c>
      <c r="L120" s="65">
        <v>9.4017094017094016E-2</v>
      </c>
      <c r="M120" s="65">
        <v>0.26370217166494314</v>
      </c>
      <c r="N120" s="65">
        <v>0.19338159255429163</v>
      </c>
      <c r="O120" s="65">
        <v>0.60392156862745094</v>
      </c>
      <c r="P120" s="65">
        <v>0.35828877005347592</v>
      </c>
      <c r="Q120" s="65">
        <v>0.44866920152091255</v>
      </c>
    </row>
    <row r="121" spans="1:17" x14ac:dyDescent="0.4">
      <c r="A121" s="67">
        <v>118</v>
      </c>
      <c r="B121" s="64">
        <v>-48.500000000000071</v>
      </c>
      <c r="C121" s="64">
        <v>-0.411016949152543</v>
      </c>
      <c r="D121" s="69">
        <v>2</v>
      </c>
      <c r="E121" s="65">
        <v>0.32203389830508472</v>
      </c>
      <c r="F121" s="65">
        <v>0.32203389830508472</v>
      </c>
      <c r="G121" s="65">
        <v>0.27049180327868855</v>
      </c>
      <c r="H121" s="65">
        <v>0.15061475409836064</v>
      </c>
      <c r="I121" s="66">
        <v>8659.8484848484841</v>
      </c>
      <c r="J121" s="66">
        <v>-7162.5850340136058</v>
      </c>
      <c r="K121" s="65">
        <v>0.1271186440677966</v>
      </c>
      <c r="L121" s="65">
        <v>9.3220338983050849E-2</v>
      </c>
      <c r="M121" s="65">
        <v>0.26331967213114754</v>
      </c>
      <c r="N121" s="65">
        <v>0.19262295081967212</v>
      </c>
      <c r="O121" s="65">
        <v>0.59922178988326846</v>
      </c>
      <c r="P121" s="65">
        <v>0.36170212765957449</v>
      </c>
      <c r="Q121" s="65">
        <v>0.45075757575757575</v>
      </c>
    </row>
    <row r="122" spans="1:17" x14ac:dyDescent="0.4">
      <c r="A122" s="67">
        <v>119</v>
      </c>
      <c r="B122" s="64">
        <v>12.699999999999932</v>
      </c>
      <c r="C122" s="64">
        <v>0.10672268907562968</v>
      </c>
      <c r="D122" s="69">
        <v>1.9915966386554622</v>
      </c>
      <c r="E122" s="65">
        <v>0.32773109243697479</v>
      </c>
      <c r="F122" s="65">
        <v>0.31932773109243695</v>
      </c>
      <c r="G122" s="65">
        <v>0.27190332326283989</v>
      </c>
      <c r="H122" s="65">
        <v>0.15005035246727089</v>
      </c>
      <c r="I122" s="66">
        <v>8703.7037037037044</v>
      </c>
      <c r="J122" s="66">
        <v>-7090.6040268456372</v>
      </c>
      <c r="K122" s="65">
        <v>0.12605042016806722</v>
      </c>
      <c r="L122" s="65">
        <v>9.2436974789915971E-2</v>
      </c>
      <c r="M122" s="65">
        <v>0.26384692849949648</v>
      </c>
      <c r="N122" s="65">
        <v>0.19234642497482377</v>
      </c>
      <c r="O122" s="65">
        <v>0.60687022900763354</v>
      </c>
      <c r="P122" s="65">
        <v>0.35602094240837695</v>
      </c>
      <c r="Q122" s="65">
        <v>0.44444444444444442</v>
      </c>
    </row>
    <row r="123" spans="1:17" x14ac:dyDescent="0.4">
      <c r="A123" s="67">
        <v>120</v>
      </c>
      <c r="B123" s="64">
        <v>15.899999999999931</v>
      </c>
      <c r="C123" s="64">
        <v>0.13249999999999942</v>
      </c>
      <c r="D123" s="69">
        <v>1.9916666666666667</v>
      </c>
      <c r="E123" s="65">
        <v>0.32500000000000001</v>
      </c>
      <c r="F123" s="65">
        <v>0.31666666666666665</v>
      </c>
      <c r="G123" s="65">
        <v>0.27127127127127126</v>
      </c>
      <c r="H123" s="65">
        <v>0.15015015015015015</v>
      </c>
      <c r="I123" s="66">
        <v>8700</v>
      </c>
      <c r="J123" s="66">
        <v>-7056.666666666667</v>
      </c>
      <c r="K123" s="65">
        <v>0.125</v>
      </c>
      <c r="L123" s="65">
        <v>9.166666666666666E-2</v>
      </c>
      <c r="M123" s="65">
        <v>0.26226226226226224</v>
      </c>
      <c r="N123" s="65">
        <v>0.19119119119119118</v>
      </c>
      <c r="O123" s="65">
        <v>0.60687022900763354</v>
      </c>
      <c r="P123" s="65">
        <v>0.35602094240837695</v>
      </c>
      <c r="Q123" s="65">
        <v>0.44649446494464945</v>
      </c>
    </row>
    <row r="124" spans="1:17" x14ac:dyDescent="0.4">
      <c r="A124" s="67">
        <v>121</v>
      </c>
      <c r="B124" s="64">
        <v>57.399999999999935</v>
      </c>
      <c r="C124" s="64">
        <v>0.47438016528925564</v>
      </c>
      <c r="D124" s="69">
        <v>1.9834710743801653</v>
      </c>
      <c r="E124" s="65">
        <v>0.33057851239669422</v>
      </c>
      <c r="F124" s="65">
        <v>0.31404958677685951</v>
      </c>
      <c r="G124" s="65">
        <v>0.27209533267130087</v>
      </c>
      <c r="H124" s="65">
        <v>0.1499503475670308</v>
      </c>
      <c r="I124" s="66">
        <v>8750.7299270072999</v>
      </c>
      <c r="J124" s="66">
        <v>-7062.9139072847684</v>
      </c>
      <c r="K124" s="65">
        <v>0.12396694214876033</v>
      </c>
      <c r="L124" s="65">
        <v>9.0909090909090912E-2</v>
      </c>
      <c r="M124" s="65">
        <v>0.26315789473684209</v>
      </c>
      <c r="N124" s="65">
        <v>0.19265143992055611</v>
      </c>
      <c r="O124" s="65">
        <v>0.60754716981132073</v>
      </c>
      <c r="P124" s="65">
        <v>0.35567010309278352</v>
      </c>
      <c r="Q124" s="65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33378-59DF-49E0-AA90-621B8211AC9A}">
  <sheetPr codeName="Sheet18"/>
  <dimension ref="A1:Q64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173</v>
      </c>
      <c r="B1" s="68" t="s">
        <v>173</v>
      </c>
      <c r="C1" s="68" t="s">
        <v>173</v>
      </c>
      <c r="D1" s="69" t="s">
        <v>173</v>
      </c>
      <c r="E1" s="68" t="s">
        <v>173</v>
      </c>
      <c r="F1" s="68" t="s">
        <v>173</v>
      </c>
      <c r="G1" s="68" t="s">
        <v>173</v>
      </c>
      <c r="H1" s="68" t="s">
        <v>173</v>
      </c>
      <c r="I1" s="68" t="s">
        <v>173</v>
      </c>
      <c r="J1" s="68" t="s">
        <v>173</v>
      </c>
      <c r="K1" s="68" t="s">
        <v>173</v>
      </c>
      <c r="L1" s="68" t="s">
        <v>173</v>
      </c>
      <c r="M1" s="68" t="s">
        <v>173</v>
      </c>
      <c r="N1" s="68" t="s">
        <v>173</v>
      </c>
      <c r="O1" s="68" t="s">
        <v>173</v>
      </c>
      <c r="P1" s="68" t="s">
        <v>173</v>
      </c>
      <c r="Q1" s="68" t="s">
        <v>173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-82.6</v>
      </c>
      <c r="C4" s="64">
        <v>-82.6</v>
      </c>
      <c r="D4" s="69">
        <v>3</v>
      </c>
      <c r="E4" s="65">
        <v>0</v>
      </c>
      <c r="F4" s="65">
        <v>1</v>
      </c>
      <c r="G4" s="65">
        <v>0.14285714285714285</v>
      </c>
      <c r="H4" s="65">
        <v>0.2857142857142857</v>
      </c>
      <c r="I4" s="66">
        <v>4000</v>
      </c>
      <c r="J4" s="66">
        <v>-20800</v>
      </c>
      <c r="K4" s="65">
        <v>1</v>
      </c>
      <c r="L4" s="65">
        <v>0</v>
      </c>
      <c r="M4" s="65">
        <v>0.14285714285714285</v>
      </c>
      <c r="N4" s="65">
        <v>0.14285714285714285</v>
      </c>
      <c r="O4" s="65">
        <v>0</v>
      </c>
      <c r="P4" s="65">
        <v>0</v>
      </c>
      <c r="Q4" s="65">
        <v>1</v>
      </c>
    </row>
    <row r="5" spans="1:17" x14ac:dyDescent="0.4">
      <c r="A5" s="67">
        <v>2</v>
      </c>
      <c r="B5" s="64">
        <v>-122.3</v>
      </c>
      <c r="C5" s="64">
        <v>-61.15</v>
      </c>
      <c r="D5" s="69">
        <v>3</v>
      </c>
      <c r="E5" s="65">
        <v>0</v>
      </c>
      <c r="F5" s="65">
        <v>1</v>
      </c>
      <c r="G5" s="65">
        <v>0.26315789473684209</v>
      </c>
      <c r="H5" s="65">
        <v>0.26315789473684209</v>
      </c>
      <c r="I5" s="66">
        <v>4220</v>
      </c>
      <c r="J5" s="66">
        <v>-14080</v>
      </c>
      <c r="K5" s="65">
        <v>0.5</v>
      </c>
      <c r="L5" s="65">
        <v>0</v>
      </c>
      <c r="M5" s="65">
        <v>0.15789473684210525</v>
      </c>
      <c r="N5" s="65">
        <v>0.10526315789473684</v>
      </c>
      <c r="O5" s="65">
        <v>0.33333333333333331</v>
      </c>
      <c r="P5" s="65">
        <v>0.5</v>
      </c>
      <c r="Q5" s="65">
        <v>0.8</v>
      </c>
    </row>
    <row r="6" spans="1:17" x14ac:dyDescent="0.4">
      <c r="A6" s="67">
        <v>3</v>
      </c>
      <c r="B6" s="64">
        <v>-149</v>
      </c>
      <c r="C6" s="64">
        <v>-49.666666666666664</v>
      </c>
      <c r="D6" s="69">
        <v>2.6666666666666665</v>
      </c>
      <c r="E6" s="65">
        <v>0</v>
      </c>
      <c r="F6" s="65">
        <v>0.66666666666666663</v>
      </c>
      <c r="G6" s="65">
        <v>0.18518518518518517</v>
      </c>
      <c r="H6" s="65">
        <v>0.25925925925925924</v>
      </c>
      <c r="I6" s="66">
        <v>4220</v>
      </c>
      <c r="J6" s="66">
        <v>-12600</v>
      </c>
      <c r="K6" s="65">
        <v>0.33333333333333331</v>
      </c>
      <c r="L6" s="65">
        <v>0</v>
      </c>
      <c r="M6" s="65">
        <v>0.14814814814814814</v>
      </c>
      <c r="N6" s="65">
        <v>0.1111111111111111</v>
      </c>
      <c r="O6" s="65">
        <v>0.25</v>
      </c>
      <c r="P6" s="65">
        <v>0.33333333333333331</v>
      </c>
      <c r="Q6" s="65">
        <v>0.8</v>
      </c>
    </row>
    <row r="7" spans="1:17" x14ac:dyDescent="0.4">
      <c r="A7" s="67">
        <v>4</v>
      </c>
      <c r="B7" s="64">
        <v>-150.6</v>
      </c>
      <c r="C7" s="64">
        <v>-37.65</v>
      </c>
      <c r="D7" s="69">
        <v>2.5</v>
      </c>
      <c r="E7" s="65">
        <v>0</v>
      </c>
      <c r="F7" s="65">
        <v>0.5</v>
      </c>
      <c r="G7" s="65">
        <v>0.23076923076923078</v>
      </c>
      <c r="H7" s="65">
        <v>0.23076923076923078</v>
      </c>
      <c r="I7" s="66">
        <v>3633.3333333333335</v>
      </c>
      <c r="J7" s="66">
        <v>-11011.111111111111</v>
      </c>
      <c r="K7" s="65">
        <v>0.25</v>
      </c>
      <c r="L7" s="65">
        <v>0</v>
      </c>
      <c r="M7" s="65">
        <v>0.17948717948717949</v>
      </c>
      <c r="N7" s="65">
        <v>0.10256410256410256</v>
      </c>
      <c r="O7" s="65">
        <v>0.5714285714285714</v>
      </c>
      <c r="P7" s="65">
        <v>0.25</v>
      </c>
      <c r="Q7" s="65">
        <v>0.77777777777777779</v>
      </c>
    </row>
    <row r="8" spans="1:17" x14ac:dyDescent="0.4">
      <c r="A8" s="67">
        <v>5</v>
      </c>
      <c r="B8" s="64">
        <v>-184.89999999999998</v>
      </c>
      <c r="C8" s="64">
        <v>-36.979999999999997</v>
      </c>
      <c r="D8" s="69">
        <v>2.6</v>
      </c>
      <c r="E8" s="65">
        <v>0</v>
      </c>
      <c r="F8" s="65">
        <v>0.6</v>
      </c>
      <c r="G8" s="65">
        <v>0.19148936170212766</v>
      </c>
      <c r="H8" s="65">
        <v>0.23404255319148937</v>
      </c>
      <c r="I8" s="66">
        <v>3633.3333333333335</v>
      </c>
      <c r="J8" s="66">
        <v>-9836.363636363636</v>
      </c>
      <c r="K8" s="65">
        <v>0.2</v>
      </c>
      <c r="L8" s="65">
        <v>0</v>
      </c>
      <c r="M8" s="65">
        <v>0.19148936170212766</v>
      </c>
      <c r="N8" s="65">
        <v>0.1276595744680851</v>
      </c>
      <c r="O8" s="65">
        <v>0.44444444444444442</v>
      </c>
      <c r="P8" s="65">
        <v>0.16666666666666666</v>
      </c>
      <c r="Q8" s="65">
        <v>0.77777777777777779</v>
      </c>
    </row>
    <row r="9" spans="1:17" x14ac:dyDescent="0.4">
      <c r="A9" s="67">
        <v>6</v>
      </c>
      <c r="B9" s="64">
        <v>-187.59999999999997</v>
      </c>
      <c r="C9" s="64">
        <v>-31.266666666666662</v>
      </c>
      <c r="D9" s="69">
        <v>2.5</v>
      </c>
      <c r="E9" s="65">
        <v>0</v>
      </c>
      <c r="F9" s="65">
        <v>0.5</v>
      </c>
      <c r="G9" s="65">
        <v>0.18518518518518517</v>
      </c>
      <c r="H9" s="65">
        <v>0.22222222222222221</v>
      </c>
      <c r="I9" s="66">
        <v>3850</v>
      </c>
      <c r="J9" s="66">
        <v>-9183.3333333333339</v>
      </c>
      <c r="K9" s="65">
        <v>0.16666666666666666</v>
      </c>
      <c r="L9" s="65">
        <v>0</v>
      </c>
      <c r="M9" s="65">
        <v>0.16666666666666666</v>
      </c>
      <c r="N9" s="65">
        <v>0.14814814814814814</v>
      </c>
      <c r="O9" s="65">
        <v>0.44444444444444442</v>
      </c>
      <c r="P9" s="65">
        <v>0.25</v>
      </c>
      <c r="Q9" s="65">
        <v>0.7</v>
      </c>
    </row>
    <row r="10" spans="1:17" x14ac:dyDescent="0.4">
      <c r="A10" s="67">
        <v>7</v>
      </c>
      <c r="B10" s="64">
        <v>-216.09999999999997</v>
      </c>
      <c r="C10" s="64">
        <v>-30.871428571428567</v>
      </c>
      <c r="D10" s="69">
        <v>2.5714285714285716</v>
      </c>
      <c r="E10" s="65">
        <v>0</v>
      </c>
      <c r="F10" s="65">
        <v>0.5714285714285714</v>
      </c>
      <c r="G10" s="65">
        <v>0.203125</v>
      </c>
      <c r="H10" s="65">
        <v>0.203125</v>
      </c>
      <c r="I10" s="66">
        <v>4323.0769230769229</v>
      </c>
      <c r="J10" s="66">
        <v>-9069.2307692307695</v>
      </c>
      <c r="K10" s="65">
        <v>0.14285714285714285</v>
      </c>
      <c r="L10" s="65">
        <v>0</v>
      </c>
      <c r="M10" s="65">
        <v>0.140625</v>
      </c>
      <c r="N10" s="65">
        <v>0.1875</v>
      </c>
      <c r="O10" s="65">
        <v>0.44444444444444442</v>
      </c>
      <c r="P10" s="65">
        <v>0.33333333333333331</v>
      </c>
      <c r="Q10" s="65">
        <v>0.61538461538461542</v>
      </c>
    </row>
    <row r="11" spans="1:17" x14ac:dyDescent="0.4">
      <c r="A11" s="67">
        <v>8</v>
      </c>
      <c r="B11" s="64">
        <v>-219.59999999999997</v>
      </c>
      <c r="C11" s="64">
        <v>-27.449999999999996</v>
      </c>
      <c r="D11" s="69">
        <v>2.5</v>
      </c>
      <c r="E11" s="65">
        <v>0</v>
      </c>
      <c r="F11" s="65">
        <v>0.5</v>
      </c>
      <c r="G11" s="65">
        <v>0.24324324324324326</v>
      </c>
      <c r="H11" s="65">
        <v>0.1891891891891892</v>
      </c>
      <c r="I11" s="66">
        <v>4200</v>
      </c>
      <c r="J11" s="66">
        <v>-9250</v>
      </c>
      <c r="K11" s="65">
        <v>0.125</v>
      </c>
      <c r="L11" s="65">
        <v>0</v>
      </c>
      <c r="M11" s="65">
        <v>0.14864864864864866</v>
      </c>
      <c r="N11" s="65">
        <v>0.21621621621621623</v>
      </c>
      <c r="O11" s="65">
        <v>0.45454545454545453</v>
      </c>
      <c r="P11" s="65">
        <v>0.375</v>
      </c>
      <c r="Q11" s="65">
        <v>0.55555555555555558</v>
      </c>
    </row>
    <row r="12" spans="1:17" x14ac:dyDescent="0.4">
      <c r="A12" s="67">
        <v>9</v>
      </c>
      <c r="B12" s="64">
        <v>-260.59999999999997</v>
      </c>
      <c r="C12" s="64">
        <v>-28.955555555555552</v>
      </c>
      <c r="D12" s="69">
        <v>2.5555555555555554</v>
      </c>
      <c r="E12" s="65">
        <v>0</v>
      </c>
      <c r="F12" s="65">
        <v>0.55555555555555558</v>
      </c>
      <c r="G12" s="65">
        <v>0.23809523809523808</v>
      </c>
      <c r="H12" s="65">
        <v>0.21428571428571427</v>
      </c>
      <c r="I12" s="66">
        <v>4085</v>
      </c>
      <c r="J12" s="66">
        <v>-8144.4444444444443</v>
      </c>
      <c r="K12" s="65">
        <v>0.1111111111111111</v>
      </c>
      <c r="L12" s="65">
        <v>0</v>
      </c>
      <c r="M12" s="65">
        <v>0.14285714285714285</v>
      </c>
      <c r="N12" s="65">
        <v>0.23809523809523808</v>
      </c>
      <c r="O12" s="65">
        <v>0.41666666666666669</v>
      </c>
      <c r="P12" s="65">
        <v>0.3</v>
      </c>
      <c r="Q12" s="65">
        <v>0.6</v>
      </c>
    </row>
    <row r="13" spans="1:17" x14ac:dyDescent="0.4">
      <c r="A13" s="67">
        <v>10</v>
      </c>
      <c r="B13" s="64">
        <v>-318.39999999999998</v>
      </c>
      <c r="C13" s="64">
        <v>-31.839999999999996</v>
      </c>
      <c r="D13" s="69">
        <v>2.6</v>
      </c>
      <c r="E13" s="65">
        <v>0</v>
      </c>
      <c r="F13" s="65">
        <v>0.6</v>
      </c>
      <c r="G13" s="65">
        <v>0.25773195876288657</v>
      </c>
      <c r="H13" s="65">
        <v>0.23711340206185566</v>
      </c>
      <c r="I13" s="66">
        <v>4756</v>
      </c>
      <c r="J13" s="66">
        <v>-9313.04347826087</v>
      </c>
      <c r="K13" s="65">
        <v>0.2</v>
      </c>
      <c r="L13" s="65">
        <v>0</v>
      </c>
      <c r="M13" s="65">
        <v>0.14432989690721648</v>
      </c>
      <c r="N13" s="65">
        <v>0.25773195876288657</v>
      </c>
      <c r="O13" s="65">
        <v>0.42857142857142855</v>
      </c>
      <c r="P13" s="65">
        <v>0.36</v>
      </c>
      <c r="Q13" s="65">
        <v>0.52</v>
      </c>
    </row>
    <row r="14" spans="1:17" x14ac:dyDescent="0.4">
      <c r="A14" s="67">
        <v>11</v>
      </c>
      <c r="B14" s="64">
        <v>-325.39999999999998</v>
      </c>
      <c r="C14" s="64">
        <v>-29.581818181818178</v>
      </c>
      <c r="D14" s="69">
        <v>2.5454545454545454</v>
      </c>
      <c r="E14" s="65">
        <v>0</v>
      </c>
      <c r="F14" s="65">
        <v>0.54545454545454541</v>
      </c>
      <c r="G14" s="65">
        <v>0.27184466019417475</v>
      </c>
      <c r="H14" s="65">
        <v>0.24271844660194175</v>
      </c>
      <c r="I14" s="66">
        <v>4528.5714285714284</v>
      </c>
      <c r="J14" s="66">
        <v>-9204</v>
      </c>
      <c r="K14" s="65">
        <v>0.18181818181818182</v>
      </c>
      <c r="L14" s="65">
        <v>0</v>
      </c>
      <c r="M14" s="65">
        <v>0.13592233009708737</v>
      </c>
      <c r="N14" s="65">
        <v>0.25242718446601942</v>
      </c>
      <c r="O14" s="65">
        <v>0.42857142857142855</v>
      </c>
      <c r="P14" s="65">
        <v>0.38461538461538464</v>
      </c>
      <c r="Q14" s="65">
        <v>0.5</v>
      </c>
    </row>
    <row r="15" spans="1:17" x14ac:dyDescent="0.4">
      <c r="A15" s="67">
        <v>12</v>
      </c>
      <c r="B15" s="64">
        <v>-289.59999999999997</v>
      </c>
      <c r="C15" s="64">
        <v>-24.133333333333329</v>
      </c>
      <c r="D15" s="69">
        <v>2.4166666666666665</v>
      </c>
      <c r="E15" s="65">
        <v>8.3333333333333329E-2</v>
      </c>
      <c r="F15" s="65">
        <v>0.5</v>
      </c>
      <c r="G15" s="65">
        <v>0.2831858407079646</v>
      </c>
      <c r="H15" s="65">
        <v>0.24778761061946902</v>
      </c>
      <c r="I15" s="66">
        <v>5150</v>
      </c>
      <c r="J15" s="66">
        <v>-8521.4285714285706</v>
      </c>
      <c r="K15" s="65">
        <v>0.16666666666666666</v>
      </c>
      <c r="L15" s="65">
        <v>0</v>
      </c>
      <c r="M15" s="65">
        <v>0.15929203539823009</v>
      </c>
      <c r="N15" s="65">
        <v>0.23008849557522124</v>
      </c>
      <c r="O15" s="65">
        <v>0.5</v>
      </c>
      <c r="P15" s="65">
        <v>0.38461538461538464</v>
      </c>
      <c r="Q15" s="65">
        <v>0.53125</v>
      </c>
    </row>
    <row r="16" spans="1:17" x14ac:dyDescent="0.4">
      <c r="A16" s="67">
        <v>13</v>
      </c>
      <c r="B16" s="64">
        <v>-302.59999999999997</v>
      </c>
      <c r="C16" s="64">
        <v>-23.276923076923076</v>
      </c>
      <c r="D16" s="69">
        <v>2.3846153846153846</v>
      </c>
      <c r="E16" s="65">
        <v>7.6923076923076927E-2</v>
      </c>
      <c r="F16" s="65">
        <v>0.46153846153846156</v>
      </c>
      <c r="G16" s="65">
        <v>0.27350427350427353</v>
      </c>
      <c r="H16" s="65">
        <v>0.23931623931623933</v>
      </c>
      <c r="I16" s="66">
        <v>5150</v>
      </c>
      <c r="J16" s="66">
        <v>-8521.4285714285706</v>
      </c>
      <c r="K16" s="65">
        <v>0.15384615384615385</v>
      </c>
      <c r="L16" s="65">
        <v>0</v>
      </c>
      <c r="M16" s="65">
        <v>0.17094017094017094</v>
      </c>
      <c r="N16" s="65">
        <v>0.23076923076923078</v>
      </c>
      <c r="O16" s="65">
        <v>0.45</v>
      </c>
      <c r="P16" s="65">
        <v>0.37037037037037035</v>
      </c>
      <c r="Q16" s="65">
        <v>0.53125</v>
      </c>
    </row>
    <row r="17" spans="1:17" x14ac:dyDescent="0.4">
      <c r="A17" s="67">
        <v>14</v>
      </c>
      <c r="B17" s="64">
        <v>-269.99999999999994</v>
      </c>
      <c r="C17" s="64">
        <v>-19.285714285714281</v>
      </c>
      <c r="D17" s="69">
        <v>2.2857142857142856</v>
      </c>
      <c r="E17" s="65">
        <v>0.14285714285714285</v>
      </c>
      <c r="F17" s="65">
        <v>0.42857142857142855</v>
      </c>
      <c r="G17" s="65">
        <v>0.27777777777777779</v>
      </c>
      <c r="H17" s="65">
        <v>0.23809523809523808</v>
      </c>
      <c r="I17" s="66">
        <v>5451.4285714285716</v>
      </c>
      <c r="J17" s="66">
        <v>-8170</v>
      </c>
      <c r="K17" s="65">
        <v>0.14285714285714285</v>
      </c>
      <c r="L17" s="65">
        <v>0</v>
      </c>
      <c r="M17" s="65">
        <v>0.18253968253968253</v>
      </c>
      <c r="N17" s="65">
        <v>0.23809523809523808</v>
      </c>
      <c r="O17" s="65">
        <v>0.47826086956521741</v>
      </c>
      <c r="P17" s="65">
        <v>0.33333333333333331</v>
      </c>
      <c r="Q17" s="65">
        <v>0.51428571428571423</v>
      </c>
    </row>
    <row r="18" spans="1:17" x14ac:dyDescent="0.4">
      <c r="A18" s="67">
        <v>15</v>
      </c>
      <c r="B18" s="64">
        <v>-264.59999999999997</v>
      </c>
      <c r="C18" s="64">
        <v>-17.639999999999997</v>
      </c>
      <c r="D18" s="69">
        <v>2.2666666666666666</v>
      </c>
      <c r="E18" s="65">
        <v>0.13333333333333333</v>
      </c>
      <c r="F18" s="65">
        <v>0.4</v>
      </c>
      <c r="G18" s="65">
        <v>0.28358208955223879</v>
      </c>
      <c r="H18" s="65">
        <v>0.2462686567164179</v>
      </c>
      <c r="I18" s="66">
        <v>5676.3157894736842</v>
      </c>
      <c r="J18" s="66">
        <v>-7996.969696969697</v>
      </c>
      <c r="K18" s="65">
        <v>0.13333333333333333</v>
      </c>
      <c r="L18" s="65">
        <v>0</v>
      </c>
      <c r="M18" s="65">
        <v>0.19402985074626866</v>
      </c>
      <c r="N18" s="65">
        <v>0.23134328358208955</v>
      </c>
      <c r="O18" s="65">
        <v>0.53846153846153844</v>
      </c>
      <c r="P18" s="65">
        <v>0.32258064516129031</v>
      </c>
      <c r="Q18" s="65">
        <v>0.52631578947368418</v>
      </c>
    </row>
    <row r="19" spans="1:17" x14ac:dyDescent="0.4">
      <c r="A19" s="67">
        <v>16</v>
      </c>
      <c r="B19" s="64">
        <v>-292.79999999999995</v>
      </c>
      <c r="C19" s="64">
        <v>-18.299999999999997</v>
      </c>
      <c r="D19" s="69">
        <v>2.3125</v>
      </c>
      <c r="E19" s="65">
        <v>0.125</v>
      </c>
      <c r="F19" s="65">
        <v>0.4375</v>
      </c>
      <c r="G19" s="65">
        <v>0.2857142857142857</v>
      </c>
      <c r="H19" s="65">
        <v>0.24285714285714285</v>
      </c>
      <c r="I19" s="66">
        <v>5682.5</v>
      </c>
      <c r="J19" s="66">
        <v>-8114.7058823529414</v>
      </c>
      <c r="K19" s="65">
        <v>0.125</v>
      </c>
      <c r="L19" s="65">
        <v>0</v>
      </c>
      <c r="M19" s="65">
        <v>0.18571428571428572</v>
      </c>
      <c r="N19" s="65">
        <v>0.22857142857142856</v>
      </c>
      <c r="O19" s="65">
        <v>0.53846153846153844</v>
      </c>
      <c r="P19" s="65">
        <v>0.3125</v>
      </c>
      <c r="Q19" s="65">
        <v>0.5</v>
      </c>
    </row>
    <row r="20" spans="1:17" x14ac:dyDescent="0.4">
      <c r="A20" s="67">
        <v>17</v>
      </c>
      <c r="B20" s="64">
        <v>-248.89999999999995</v>
      </c>
      <c r="C20" s="64">
        <v>-14.641176470588233</v>
      </c>
      <c r="D20" s="69">
        <v>2.2352941176470589</v>
      </c>
      <c r="E20" s="65">
        <v>0.17647058823529413</v>
      </c>
      <c r="F20" s="65">
        <v>0.41176470588235292</v>
      </c>
      <c r="G20" s="65">
        <v>0.28387096774193549</v>
      </c>
      <c r="H20" s="65">
        <v>0.23870967741935484</v>
      </c>
      <c r="I20" s="66">
        <v>6311.363636363636</v>
      </c>
      <c r="J20" s="66">
        <v>-8067.5675675675675</v>
      </c>
      <c r="K20" s="65">
        <v>0.11764705882352941</v>
      </c>
      <c r="L20" s="65">
        <v>5.8823529411764705E-2</v>
      </c>
      <c r="M20" s="65">
        <v>0.18709677419354839</v>
      </c>
      <c r="N20" s="65">
        <v>0.22580645161290322</v>
      </c>
      <c r="O20" s="65">
        <v>0.55172413793103448</v>
      </c>
      <c r="P20" s="65">
        <v>0.31428571428571428</v>
      </c>
      <c r="Q20" s="65">
        <v>0.5</v>
      </c>
    </row>
    <row r="21" spans="1:17" x14ac:dyDescent="0.4">
      <c r="A21" s="67">
        <v>18</v>
      </c>
      <c r="B21" s="64">
        <v>-218.99999999999994</v>
      </c>
      <c r="C21" s="64">
        <v>-12.166666666666664</v>
      </c>
      <c r="D21" s="69">
        <v>2.1666666666666665</v>
      </c>
      <c r="E21" s="65">
        <v>0.22222222222222221</v>
      </c>
      <c r="F21" s="65">
        <v>0.3888888888888889</v>
      </c>
      <c r="G21" s="65">
        <v>0.29518072289156627</v>
      </c>
      <c r="H21" s="65">
        <v>0.2289156626506024</v>
      </c>
      <c r="I21" s="66">
        <v>6236.7346938775509</v>
      </c>
      <c r="J21" s="66">
        <v>-7992.105263157895</v>
      </c>
      <c r="K21" s="65">
        <v>0.1111111111111111</v>
      </c>
      <c r="L21" s="65">
        <v>5.5555555555555552E-2</v>
      </c>
      <c r="M21" s="65">
        <v>0.19277108433734941</v>
      </c>
      <c r="N21" s="65">
        <v>0.2289156626506024</v>
      </c>
      <c r="O21" s="65">
        <v>0.5625</v>
      </c>
      <c r="P21" s="65">
        <v>0.34210526315789475</v>
      </c>
      <c r="Q21" s="65">
        <v>0.48979591836734693</v>
      </c>
    </row>
    <row r="22" spans="1:17" x14ac:dyDescent="0.4">
      <c r="A22" s="67">
        <v>19</v>
      </c>
      <c r="B22" s="64">
        <v>-188.59999999999994</v>
      </c>
      <c r="C22" s="64">
        <v>-9.9263157894736818</v>
      </c>
      <c r="D22" s="69">
        <v>2.1052631578947367</v>
      </c>
      <c r="E22" s="65">
        <v>0.26315789473684209</v>
      </c>
      <c r="F22" s="65">
        <v>0.36842105263157893</v>
      </c>
      <c r="G22" s="65">
        <v>0.29142857142857143</v>
      </c>
      <c r="H22" s="65">
        <v>0.21714285714285714</v>
      </c>
      <c r="I22" s="66">
        <v>6084.3137254901958</v>
      </c>
      <c r="J22" s="66">
        <v>-7992.105263157895</v>
      </c>
      <c r="K22" s="65">
        <v>0.10526315789473684</v>
      </c>
      <c r="L22" s="65">
        <v>5.2631578947368418E-2</v>
      </c>
      <c r="M22" s="65">
        <v>0.2</v>
      </c>
      <c r="N22" s="65">
        <v>0.22857142857142856</v>
      </c>
      <c r="O22" s="65">
        <v>0.54285714285714282</v>
      </c>
      <c r="P22" s="65">
        <v>0.32500000000000001</v>
      </c>
      <c r="Q22" s="65">
        <v>0.49019607843137253</v>
      </c>
    </row>
    <row r="23" spans="1:17" x14ac:dyDescent="0.4">
      <c r="A23" s="67">
        <v>20</v>
      </c>
      <c r="B23" s="64">
        <v>-182.79999999999993</v>
      </c>
      <c r="C23" s="64">
        <v>-9.139999999999997</v>
      </c>
      <c r="D23" s="69">
        <v>2.1</v>
      </c>
      <c r="E23" s="65">
        <v>0.25</v>
      </c>
      <c r="F23" s="65">
        <v>0.35</v>
      </c>
      <c r="G23" s="65">
        <v>0.29411764705882354</v>
      </c>
      <c r="H23" s="65">
        <v>0.21390374331550802</v>
      </c>
      <c r="I23" s="66">
        <v>6392.727272727273</v>
      </c>
      <c r="J23" s="66">
        <v>-7957.5</v>
      </c>
      <c r="K23" s="65">
        <v>0.1</v>
      </c>
      <c r="L23" s="65">
        <v>0.05</v>
      </c>
      <c r="M23" s="65">
        <v>0.20855614973262032</v>
      </c>
      <c r="N23" s="65">
        <v>0.22994652406417113</v>
      </c>
      <c r="O23" s="65">
        <v>0.53846153846153844</v>
      </c>
      <c r="P23" s="65">
        <v>0.34883720930232559</v>
      </c>
      <c r="Q23" s="65">
        <v>0.49090909090909091</v>
      </c>
    </row>
    <row r="24" spans="1:17" x14ac:dyDescent="0.4">
      <c r="A24" s="67">
        <v>21</v>
      </c>
      <c r="B24" s="64">
        <v>-203.79999999999993</v>
      </c>
      <c r="C24" s="64">
        <v>-9.7047619047619005</v>
      </c>
      <c r="D24" s="69">
        <v>2.0952380952380953</v>
      </c>
      <c r="E24" s="65">
        <v>0.23809523809523808</v>
      </c>
      <c r="F24" s="65">
        <v>0.33333333333333331</v>
      </c>
      <c r="G24" s="65">
        <v>0.28865979381443296</v>
      </c>
      <c r="H24" s="65">
        <v>0.21134020618556701</v>
      </c>
      <c r="I24" s="66">
        <v>6416.0714285714284</v>
      </c>
      <c r="J24" s="66">
        <v>-7951.2195121951218</v>
      </c>
      <c r="K24" s="65">
        <v>9.5238095238095233E-2</v>
      </c>
      <c r="L24" s="65">
        <v>4.7619047619047616E-2</v>
      </c>
      <c r="M24" s="65">
        <v>0.21134020618556701</v>
      </c>
      <c r="N24" s="65">
        <v>0.22164948453608246</v>
      </c>
      <c r="O24" s="65">
        <v>0.53658536585365857</v>
      </c>
      <c r="P24" s="65">
        <v>0.34883720930232559</v>
      </c>
      <c r="Q24" s="65">
        <v>0.5</v>
      </c>
    </row>
    <row r="25" spans="1:17" x14ac:dyDescent="0.4">
      <c r="A25" s="67">
        <v>22</v>
      </c>
      <c r="B25" s="64">
        <v>-262.49999999999994</v>
      </c>
      <c r="C25" s="64">
        <v>-11.93181818181818</v>
      </c>
      <c r="D25" s="69">
        <v>2.1363636363636362</v>
      </c>
      <c r="E25" s="65">
        <v>0.22727272727272727</v>
      </c>
      <c r="F25" s="65">
        <v>0.36363636363636365</v>
      </c>
      <c r="G25" s="65">
        <v>0.28499999999999998</v>
      </c>
      <c r="H25" s="65">
        <v>0.215</v>
      </c>
      <c r="I25" s="66">
        <v>6438.5964912280706</v>
      </c>
      <c r="J25" s="66">
        <v>-8441.8604651162786</v>
      </c>
      <c r="K25" s="65">
        <v>0.13636363636363635</v>
      </c>
      <c r="L25" s="65">
        <v>4.5454545454545456E-2</v>
      </c>
      <c r="M25" s="65">
        <v>0.215</v>
      </c>
      <c r="N25" s="65">
        <v>0.22500000000000001</v>
      </c>
      <c r="O25" s="65">
        <v>0.53488372093023251</v>
      </c>
      <c r="P25" s="65">
        <v>0.33333333333333331</v>
      </c>
      <c r="Q25" s="65">
        <v>0.50877192982456143</v>
      </c>
    </row>
    <row r="26" spans="1:17" x14ac:dyDescent="0.4">
      <c r="A26" s="67">
        <v>23</v>
      </c>
      <c r="B26" s="64">
        <v>-259.09999999999997</v>
      </c>
      <c r="C26" s="64">
        <v>-11.265217391304347</v>
      </c>
      <c r="D26" s="69">
        <v>2.1304347826086958</v>
      </c>
      <c r="E26" s="65">
        <v>0.21739130434782608</v>
      </c>
      <c r="F26" s="65">
        <v>0.34782608695652173</v>
      </c>
      <c r="G26" s="65">
        <v>0.28640776699029125</v>
      </c>
      <c r="H26" s="65">
        <v>0.21359223300970873</v>
      </c>
      <c r="I26" s="66">
        <v>6422.0338983050851</v>
      </c>
      <c r="J26" s="66">
        <v>-8295.454545454546</v>
      </c>
      <c r="K26" s="65">
        <v>0.13043478260869565</v>
      </c>
      <c r="L26" s="65">
        <v>4.3478260869565216E-2</v>
      </c>
      <c r="M26" s="65">
        <v>0.20873786407766989</v>
      </c>
      <c r="N26" s="65">
        <v>0.23786407766990292</v>
      </c>
      <c r="O26" s="65">
        <v>0.53488372093023251</v>
      </c>
      <c r="P26" s="65">
        <v>0.32653061224489793</v>
      </c>
      <c r="Q26" s="65">
        <v>0.50847457627118642</v>
      </c>
    </row>
    <row r="27" spans="1:17" x14ac:dyDescent="0.4">
      <c r="A27" s="67">
        <v>24</v>
      </c>
      <c r="B27" s="64">
        <v>-287.89999999999998</v>
      </c>
      <c r="C27" s="64">
        <v>-11.995833333333332</v>
      </c>
      <c r="D27" s="69">
        <v>2.1666666666666665</v>
      </c>
      <c r="E27" s="65">
        <v>0.20833333333333334</v>
      </c>
      <c r="F27" s="65">
        <v>0.375</v>
      </c>
      <c r="G27" s="65">
        <v>0.28837209302325584</v>
      </c>
      <c r="H27" s="65">
        <v>0.21860465116279071</v>
      </c>
      <c r="I27" s="66">
        <v>6398.3870967741932</v>
      </c>
      <c r="J27" s="66">
        <v>-8182.9787234042551</v>
      </c>
      <c r="K27" s="65">
        <v>0.125</v>
      </c>
      <c r="L27" s="65">
        <v>4.1666666666666664E-2</v>
      </c>
      <c r="M27" s="65">
        <v>0.21860465116279071</v>
      </c>
      <c r="N27" s="65">
        <v>0.22790697674418606</v>
      </c>
      <c r="O27" s="65">
        <v>0.55319148936170215</v>
      </c>
      <c r="P27" s="65">
        <v>0.32653061224489793</v>
      </c>
      <c r="Q27" s="65">
        <v>0.5</v>
      </c>
    </row>
    <row r="28" spans="1:17" x14ac:dyDescent="0.4">
      <c r="A28" s="67">
        <v>25</v>
      </c>
      <c r="B28" s="64">
        <v>-344.29999999999995</v>
      </c>
      <c r="C28" s="64">
        <v>-13.771999999999998</v>
      </c>
      <c r="D28" s="69">
        <v>2.2000000000000002</v>
      </c>
      <c r="E28" s="65">
        <v>0.2</v>
      </c>
      <c r="F28" s="65">
        <v>0.4</v>
      </c>
      <c r="G28" s="65">
        <v>0.28378378378378377</v>
      </c>
      <c r="H28" s="65">
        <v>0.22072072072072071</v>
      </c>
      <c r="I28" s="66">
        <v>6344.4444444444443</v>
      </c>
      <c r="J28" s="66">
        <v>-8295.9183673469379</v>
      </c>
      <c r="K28" s="65">
        <v>0.16</v>
      </c>
      <c r="L28" s="65">
        <v>0.04</v>
      </c>
      <c r="M28" s="65">
        <v>0.21621621621621623</v>
      </c>
      <c r="N28" s="65">
        <v>0.22972972972972974</v>
      </c>
      <c r="O28" s="65">
        <v>0.54166666666666663</v>
      </c>
      <c r="P28" s="65">
        <v>0.33333333333333331</v>
      </c>
      <c r="Q28" s="65">
        <v>0.50793650793650791</v>
      </c>
    </row>
    <row r="29" spans="1:17" x14ac:dyDescent="0.4">
      <c r="A29" s="67">
        <v>26</v>
      </c>
      <c r="B29" s="64">
        <v>-285.09999999999997</v>
      </c>
      <c r="C29" s="64">
        <v>-10.965384615384615</v>
      </c>
      <c r="D29" s="69">
        <v>2.1538461538461537</v>
      </c>
      <c r="E29" s="65">
        <v>0.23076923076923078</v>
      </c>
      <c r="F29" s="65">
        <v>0.38461538461538464</v>
      </c>
      <c r="G29" s="65">
        <v>0.29310344827586204</v>
      </c>
      <c r="H29" s="65">
        <v>0.21120689655172414</v>
      </c>
      <c r="I29" s="66">
        <v>6410.2941176470586</v>
      </c>
      <c r="J29" s="66">
        <v>-8295.9183673469379</v>
      </c>
      <c r="K29" s="65">
        <v>0.15384615384615385</v>
      </c>
      <c r="L29" s="65">
        <v>7.6923076923076927E-2</v>
      </c>
      <c r="M29" s="65">
        <v>0.22413793103448276</v>
      </c>
      <c r="N29" s="65">
        <v>0.22413793103448276</v>
      </c>
      <c r="O29" s="65">
        <v>0.57692307692307687</v>
      </c>
      <c r="P29" s="65">
        <v>0.34615384615384615</v>
      </c>
      <c r="Q29" s="65">
        <v>0.51470588235294112</v>
      </c>
    </row>
    <row r="30" spans="1:17" x14ac:dyDescent="0.4">
      <c r="A30" s="67">
        <v>27</v>
      </c>
      <c r="B30" s="64">
        <v>-257.39999999999998</v>
      </c>
      <c r="C30" s="64">
        <v>-9.5333333333333332</v>
      </c>
      <c r="D30" s="69">
        <v>2.1111111111111112</v>
      </c>
      <c r="E30" s="65">
        <v>0.25925925925925924</v>
      </c>
      <c r="F30" s="65">
        <v>0.37037037037037035</v>
      </c>
      <c r="G30" s="65">
        <v>0.29875518672199169</v>
      </c>
      <c r="H30" s="65">
        <v>0.2074688796680498</v>
      </c>
      <c r="I30" s="66">
        <v>6411.1111111111113</v>
      </c>
      <c r="J30" s="66">
        <v>-8208</v>
      </c>
      <c r="K30" s="65">
        <v>0.14814814814814814</v>
      </c>
      <c r="L30" s="65">
        <v>7.407407407407407E-2</v>
      </c>
      <c r="M30" s="65">
        <v>0.23236514522821577</v>
      </c>
      <c r="N30" s="65">
        <v>0.21991701244813278</v>
      </c>
      <c r="O30" s="65">
        <v>0.5892857142857143</v>
      </c>
      <c r="P30" s="65">
        <v>0.33962264150943394</v>
      </c>
      <c r="Q30" s="65">
        <v>0.51388888888888884</v>
      </c>
    </row>
    <row r="31" spans="1:17" x14ac:dyDescent="0.4">
      <c r="A31" s="67">
        <v>28</v>
      </c>
      <c r="B31" s="64">
        <v>-248.2</v>
      </c>
      <c r="C31" s="64">
        <v>-8.8642857142857139</v>
      </c>
      <c r="D31" s="69">
        <v>2.1071428571428572</v>
      </c>
      <c r="E31" s="65">
        <v>0.25</v>
      </c>
      <c r="F31" s="65">
        <v>0.35714285714285715</v>
      </c>
      <c r="G31" s="65">
        <v>0.30399999999999999</v>
      </c>
      <c r="H31" s="65">
        <v>0.2</v>
      </c>
      <c r="I31" s="66">
        <v>6494.7368421052633</v>
      </c>
      <c r="J31" s="66">
        <v>-8208</v>
      </c>
      <c r="K31" s="65">
        <v>0.14285714285714285</v>
      </c>
      <c r="L31" s="65">
        <v>7.1428571428571425E-2</v>
      </c>
      <c r="M31" s="65">
        <v>0.24</v>
      </c>
      <c r="N31" s="65">
        <v>0.224</v>
      </c>
      <c r="O31" s="65">
        <v>0.58333333333333337</v>
      </c>
      <c r="P31" s="65">
        <v>0.35714285714285715</v>
      </c>
      <c r="Q31" s="65">
        <v>0.51315789473684215</v>
      </c>
    </row>
    <row r="32" spans="1:17" x14ac:dyDescent="0.4">
      <c r="A32" s="67">
        <v>29</v>
      </c>
      <c r="B32" s="64">
        <v>-177.29999999999998</v>
      </c>
      <c r="C32" s="64">
        <v>-6.1137931034482751</v>
      </c>
      <c r="D32" s="69">
        <v>2.0689655172413794</v>
      </c>
      <c r="E32" s="65">
        <v>0.27586206896551724</v>
      </c>
      <c r="F32" s="65">
        <v>0.34482758620689657</v>
      </c>
      <c r="G32" s="65">
        <v>0.31395348837209303</v>
      </c>
      <c r="H32" s="65">
        <v>0.19379844961240311</v>
      </c>
      <c r="I32" s="66">
        <v>6746.9135802469136</v>
      </c>
      <c r="J32" s="66">
        <v>-8208</v>
      </c>
      <c r="K32" s="65">
        <v>0.13793103448275862</v>
      </c>
      <c r="L32" s="65">
        <v>6.8965517241379309E-2</v>
      </c>
      <c r="M32" s="65">
        <v>0.24031007751937986</v>
      </c>
      <c r="N32" s="65">
        <v>0.22480620155038761</v>
      </c>
      <c r="O32" s="65">
        <v>0.59677419354838712</v>
      </c>
      <c r="P32" s="65">
        <v>0.34482758620689657</v>
      </c>
      <c r="Q32" s="65">
        <v>0.51851851851851849</v>
      </c>
    </row>
    <row r="33" spans="1:17" x14ac:dyDescent="0.4">
      <c r="A33" s="67">
        <v>30</v>
      </c>
      <c r="B33" s="64">
        <v>-202.79999999999998</v>
      </c>
      <c r="C33" s="64">
        <v>-6.76</v>
      </c>
      <c r="D33" s="69">
        <v>2.0666666666666669</v>
      </c>
      <c r="E33" s="65">
        <v>0.26666666666666666</v>
      </c>
      <c r="F33" s="65">
        <v>0.33333333333333331</v>
      </c>
      <c r="G33" s="65">
        <v>0.30566037735849055</v>
      </c>
      <c r="H33" s="65">
        <v>0.18867924528301888</v>
      </c>
      <c r="I33" s="66">
        <v>6746.9135802469136</v>
      </c>
      <c r="J33" s="66">
        <v>-8208</v>
      </c>
      <c r="K33" s="65">
        <v>0.13333333333333333</v>
      </c>
      <c r="L33" s="65">
        <v>6.6666666666666666E-2</v>
      </c>
      <c r="M33" s="65">
        <v>0.2339622641509434</v>
      </c>
      <c r="N33" s="65">
        <v>0.23018867924528302</v>
      </c>
      <c r="O33" s="65">
        <v>0.59677419354838712</v>
      </c>
      <c r="P33" s="65">
        <v>0.32786885245901637</v>
      </c>
      <c r="Q33" s="65">
        <v>0.51851851851851849</v>
      </c>
    </row>
    <row r="34" spans="1:17" x14ac:dyDescent="0.4">
      <c r="A34" s="67">
        <v>31</v>
      </c>
      <c r="B34" s="64">
        <v>-226.29999999999998</v>
      </c>
      <c r="C34" s="64">
        <v>-7.3</v>
      </c>
      <c r="D34" s="69">
        <v>2.096774193548387</v>
      </c>
      <c r="E34" s="65">
        <v>0.25806451612903225</v>
      </c>
      <c r="F34" s="65">
        <v>0.35483870967741937</v>
      </c>
      <c r="G34" s="65">
        <v>0.30656934306569344</v>
      </c>
      <c r="H34" s="65">
        <v>0.18978102189781021</v>
      </c>
      <c r="I34" s="66">
        <v>6801.1904761904761</v>
      </c>
      <c r="J34" s="66">
        <v>-8353.8461538461543</v>
      </c>
      <c r="K34" s="65">
        <v>0.12903225806451613</v>
      </c>
      <c r="L34" s="65">
        <v>6.4516129032258063E-2</v>
      </c>
      <c r="M34" s="65">
        <v>0.24087591240875914</v>
      </c>
      <c r="N34" s="65">
        <v>0.22992700729927007</v>
      </c>
      <c r="O34" s="65">
        <v>0.60606060606060608</v>
      </c>
      <c r="P34" s="65">
        <v>0.31746031746031744</v>
      </c>
      <c r="Q34" s="65">
        <v>0.51190476190476186</v>
      </c>
    </row>
    <row r="35" spans="1:17" x14ac:dyDescent="0.4">
      <c r="A35" s="67">
        <v>32</v>
      </c>
      <c r="B35" s="64">
        <v>-193.79999999999998</v>
      </c>
      <c r="C35" s="64">
        <v>-6.0562499999999995</v>
      </c>
      <c r="D35" s="69">
        <v>2.0625</v>
      </c>
      <c r="E35" s="65">
        <v>0.28125</v>
      </c>
      <c r="F35" s="65">
        <v>0.34375</v>
      </c>
      <c r="G35" s="65">
        <v>0.30960854092526691</v>
      </c>
      <c r="H35" s="65">
        <v>0.19217081850533807</v>
      </c>
      <c r="I35" s="66">
        <v>6758.6206896551721</v>
      </c>
      <c r="J35" s="66">
        <v>-8177.7777777777774</v>
      </c>
      <c r="K35" s="65">
        <v>0.125</v>
      </c>
      <c r="L35" s="65">
        <v>6.25E-2</v>
      </c>
      <c r="M35" s="65">
        <v>0.23843416370106763</v>
      </c>
      <c r="N35" s="65">
        <v>0.23487544483985764</v>
      </c>
      <c r="O35" s="65">
        <v>0.59701492537313428</v>
      </c>
      <c r="P35" s="65">
        <v>0.33333333333333331</v>
      </c>
      <c r="Q35" s="65">
        <v>0.51724137931034486</v>
      </c>
    </row>
    <row r="36" spans="1:17" x14ac:dyDescent="0.4">
      <c r="A36" s="67">
        <v>33</v>
      </c>
      <c r="B36" s="64">
        <v>-194.1</v>
      </c>
      <c r="C36" s="64">
        <v>-5.8818181818181818</v>
      </c>
      <c r="D36" s="69">
        <v>2.0606060606060606</v>
      </c>
      <c r="E36" s="65">
        <v>0.27272727272727271</v>
      </c>
      <c r="F36" s="65">
        <v>0.33333333333333331</v>
      </c>
      <c r="G36" s="65">
        <v>0.31506849315068491</v>
      </c>
      <c r="H36" s="65">
        <v>0.18493150684931506</v>
      </c>
      <c r="I36" s="66">
        <v>6772.826086956522</v>
      </c>
      <c r="J36" s="66">
        <v>-8177.7777777777774</v>
      </c>
      <c r="K36" s="65">
        <v>0.12121212121212122</v>
      </c>
      <c r="L36" s="65">
        <v>6.0606060606060608E-2</v>
      </c>
      <c r="M36" s="65">
        <v>0.23287671232876711</v>
      </c>
      <c r="N36" s="65">
        <v>0.25</v>
      </c>
      <c r="O36" s="65">
        <v>0.6029411764705882</v>
      </c>
      <c r="P36" s="65">
        <v>0.34246575342465752</v>
      </c>
      <c r="Q36" s="65">
        <v>0.53260869565217395</v>
      </c>
    </row>
    <row r="37" spans="1:17" x14ac:dyDescent="0.4">
      <c r="A37" s="67">
        <v>34</v>
      </c>
      <c r="B37" s="64">
        <v>-224.6</v>
      </c>
      <c r="C37" s="64">
        <v>-6.6058823529411761</v>
      </c>
      <c r="D37" s="69">
        <v>2.0882352941176472</v>
      </c>
      <c r="E37" s="65">
        <v>0.26470588235294118</v>
      </c>
      <c r="F37" s="65">
        <v>0.35294117647058826</v>
      </c>
      <c r="G37" s="65">
        <v>0.30592105263157893</v>
      </c>
      <c r="H37" s="65">
        <v>0.18421052631578946</v>
      </c>
      <c r="I37" s="66">
        <v>6829.0322580645161</v>
      </c>
      <c r="J37" s="66">
        <v>-7957.1428571428569</v>
      </c>
      <c r="K37" s="65">
        <v>0.11764705882352941</v>
      </c>
      <c r="L37" s="65">
        <v>5.8823529411764705E-2</v>
      </c>
      <c r="M37" s="65">
        <v>0.22697368421052633</v>
      </c>
      <c r="N37" s="65">
        <v>0.25</v>
      </c>
      <c r="O37" s="65">
        <v>0.59420289855072461</v>
      </c>
      <c r="P37" s="65">
        <v>0.34210526315789475</v>
      </c>
      <c r="Q37" s="65">
        <v>0.5268817204301075</v>
      </c>
    </row>
    <row r="38" spans="1:17" x14ac:dyDescent="0.4">
      <c r="A38" s="67">
        <v>35</v>
      </c>
      <c r="B38" s="64">
        <v>-224.9</v>
      </c>
      <c r="C38" s="64">
        <v>-6.4257142857142862</v>
      </c>
      <c r="D38" s="69">
        <v>2.0857142857142859</v>
      </c>
      <c r="E38" s="65">
        <v>0.25714285714285712</v>
      </c>
      <c r="F38" s="65">
        <v>0.34285714285714286</v>
      </c>
      <c r="G38" s="65">
        <v>0.30769230769230771</v>
      </c>
      <c r="H38" s="65">
        <v>0.1858974358974359</v>
      </c>
      <c r="I38" s="66">
        <v>6813.541666666667</v>
      </c>
      <c r="J38" s="66">
        <v>-7934.4827586206893</v>
      </c>
      <c r="K38" s="65">
        <v>0.11428571428571428</v>
      </c>
      <c r="L38" s="65">
        <v>5.7142857142857141E-2</v>
      </c>
      <c r="M38" s="65">
        <v>0.22756410256410256</v>
      </c>
      <c r="N38" s="65">
        <v>0.25320512820512819</v>
      </c>
      <c r="O38" s="65">
        <v>0.60563380281690138</v>
      </c>
      <c r="P38" s="65">
        <v>0.34177215189873417</v>
      </c>
      <c r="Q38" s="65">
        <v>0.52083333333333337</v>
      </c>
    </row>
    <row r="39" spans="1:17" x14ac:dyDescent="0.4">
      <c r="A39" s="67">
        <v>36</v>
      </c>
      <c r="B39" s="64">
        <v>-190.5</v>
      </c>
      <c r="C39" s="64">
        <v>-5.291666666666667</v>
      </c>
      <c r="D39" s="69">
        <v>2.0555555555555554</v>
      </c>
      <c r="E39" s="65">
        <v>0.27777777777777779</v>
      </c>
      <c r="F39" s="65">
        <v>0.33333333333333331</v>
      </c>
      <c r="G39" s="65">
        <v>0.30721003134796238</v>
      </c>
      <c r="H39" s="65">
        <v>0.18495297805642633</v>
      </c>
      <c r="I39" s="66">
        <v>6919.3877551020405</v>
      </c>
      <c r="J39" s="66">
        <v>-7866.1016949152545</v>
      </c>
      <c r="K39" s="65">
        <v>0.1111111111111111</v>
      </c>
      <c r="L39" s="65">
        <v>5.5555555555555552E-2</v>
      </c>
      <c r="M39" s="65">
        <v>0.23197492163009403</v>
      </c>
      <c r="N39" s="65">
        <v>0.25391849529780564</v>
      </c>
      <c r="O39" s="65">
        <v>0.60810810810810811</v>
      </c>
      <c r="P39" s="65">
        <v>0.33333333333333331</v>
      </c>
      <c r="Q39" s="65">
        <v>0.52040816326530615</v>
      </c>
    </row>
    <row r="40" spans="1:17" x14ac:dyDescent="0.4">
      <c r="A40" s="67">
        <v>37</v>
      </c>
      <c r="B40" s="64">
        <v>-234.4</v>
      </c>
      <c r="C40" s="64">
        <v>-6.3351351351351353</v>
      </c>
      <c r="D40" s="69">
        <v>2.0810810810810811</v>
      </c>
      <c r="E40" s="65">
        <v>0.27027027027027029</v>
      </c>
      <c r="F40" s="65">
        <v>0.35135135135135137</v>
      </c>
      <c r="G40" s="65">
        <v>0.30182926829268292</v>
      </c>
      <c r="H40" s="65">
        <v>0.18902439024390244</v>
      </c>
      <c r="I40" s="66">
        <v>6966.666666666667</v>
      </c>
      <c r="J40" s="66">
        <v>-7904.8387096774195</v>
      </c>
      <c r="K40" s="65">
        <v>0.10810810810810811</v>
      </c>
      <c r="L40" s="65">
        <v>5.4054054054054057E-2</v>
      </c>
      <c r="M40" s="65">
        <v>0.22865853658536586</v>
      </c>
      <c r="N40" s="65">
        <v>0.25</v>
      </c>
      <c r="O40" s="65">
        <v>0.61333333333333329</v>
      </c>
      <c r="P40" s="65">
        <v>0.32926829268292684</v>
      </c>
      <c r="Q40" s="65">
        <v>0.51515151515151514</v>
      </c>
    </row>
    <row r="41" spans="1:17" x14ac:dyDescent="0.4">
      <c r="A41" s="67">
        <v>38</v>
      </c>
      <c r="B41" s="64">
        <v>-211.5</v>
      </c>
      <c r="C41" s="64">
        <v>-5.5657894736842106</v>
      </c>
      <c r="D41" s="69">
        <v>2.0526315789473686</v>
      </c>
      <c r="E41" s="65">
        <v>0.28947368421052633</v>
      </c>
      <c r="F41" s="65">
        <v>0.34210526315789475</v>
      </c>
      <c r="G41" s="65">
        <v>0.30357142857142855</v>
      </c>
      <c r="H41" s="65">
        <v>0.19047619047619047</v>
      </c>
      <c r="I41" s="66">
        <v>6886.2745098039213</v>
      </c>
      <c r="J41" s="66">
        <v>-7779.6875</v>
      </c>
      <c r="K41" s="65">
        <v>0.10526315789473684</v>
      </c>
      <c r="L41" s="65">
        <v>5.2631578947368418E-2</v>
      </c>
      <c r="M41" s="65">
        <v>0.23511904761904762</v>
      </c>
      <c r="N41" s="65">
        <v>0.25</v>
      </c>
      <c r="O41" s="65">
        <v>0.60759493670886078</v>
      </c>
      <c r="P41" s="65">
        <v>0.33333333333333331</v>
      </c>
      <c r="Q41" s="65">
        <v>0.51960784313725494</v>
      </c>
    </row>
    <row r="42" spans="1:17" x14ac:dyDescent="0.4">
      <c r="A42" s="67">
        <v>39</v>
      </c>
      <c r="B42" s="64">
        <v>-223.9</v>
      </c>
      <c r="C42" s="64">
        <v>-5.7410256410256411</v>
      </c>
      <c r="D42" s="69">
        <v>2.0512820512820511</v>
      </c>
      <c r="E42" s="65">
        <v>0.28205128205128205</v>
      </c>
      <c r="F42" s="65">
        <v>0.33333333333333331</v>
      </c>
      <c r="G42" s="65">
        <v>0.30116959064327486</v>
      </c>
      <c r="H42" s="65">
        <v>0.19005847953216373</v>
      </c>
      <c r="I42" s="66">
        <v>6838.8349514563106</v>
      </c>
      <c r="J42" s="66">
        <v>-7690.7692307692305</v>
      </c>
      <c r="K42" s="65">
        <v>0.10256410256410256</v>
      </c>
      <c r="L42" s="65">
        <v>5.128205128205128E-2</v>
      </c>
      <c r="M42" s="65">
        <v>0.23391812865497075</v>
      </c>
      <c r="N42" s="65">
        <v>0.24853801169590642</v>
      </c>
      <c r="O42" s="65">
        <v>0.6</v>
      </c>
      <c r="P42" s="65">
        <v>0.3411764705882353</v>
      </c>
      <c r="Q42" s="65">
        <v>0.5145631067961165</v>
      </c>
    </row>
    <row r="43" spans="1:17" x14ac:dyDescent="0.4">
      <c r="A43" s="67">
        <v>40</v>
      </c>
      <c r="B43" s="64">
        <v>-279.89999999999998</v>
      </c>
      <c r="C43" s="64">
        <v>-6.9974999999999996</v>
      </c>
      <c r="D43" s="69">
        <v>2.0750000000000002</v>
      </c>
      <c r="E43" s="65">
        <v>0.27500000000000002</v>
      </c>
      <c r="F43" s="65">
        <v>0.35</v>
      </c>
      <c r="G43" s="65">
        <v>0.29682997118155618</v>
      </c>
      <c r="H43" s="65">
        <v>0.1930835734870317</v>
      </c>
      <c r="I43" s="66">
        <v>6838.8349514563106</v>
      </c>
      <c r="J43" s="66">
        <v>-7625.373134328358</v>
      </c>
      <c r="K43" s="65">
        <v>0.125</v>
      </c>
      <c r="L43" s="65">
        <v>0.05</v>
      </c>
      <c r="M43" s="65">
        <v>0.23054755043227665</v>
      </c>
      <c r="N43" s="65">
        <v>0.25360230547550433</v>
      </c>
      <c r="O43" s="65">
        <v>0.6</v>
      </c>
      <c r="P43" s="65">
        <v>0.32954545454545453</v>
      </c>
      <c r="Q43" s="65">
        <v>0.5145631067961165</v>
      </c>
    </row>
    <row r="44" spans="1:17" x14ac:dyDescent="0.4">
      <c r="A44" s="67">
        <v>41</v>
      </c>
      <c r="B44" s="64">
        <v>-303.59999999999997</v>
      </c>
      <c r="C44" s="64">
        <v>-7.4048780487804873</v>
      </c>
      <c r="D44" s="69">
        <v>2.0975609756097562</v>
      </c>
      <c r="E44" s="65">
        <v>0.26829268292682928</v>
      </c>
      <c r="F44" s="65">
        <v>0.36585365853658536</v>
      </c>
      <c r="G44" s="65">
        <v>0.29295774647887324</v>
      </c>
      <c r="H44" s="65">
        <v>0.19154929577464788</v>
      </c>
      <c r="I44" s="66">
        <v>7119.2307692307695</v>
      </c>
      <c r="J44" s="66">
        <v>-7689.7058823529414</v>
      </c>
      <c r="K44" s="65">
        <v>0.12195121951219512</v>
      </c>
      <c r="L44" s="65">
        <v>4.878048780487805E-2</v>
      </c>
      <c r="M44" s="65">
        <v>0.23098591549295774</v>
      </c>
      <c r="N44" s="65">
        <v>0.25352112676056338</v>
      </c>
      <c r="O44" s="65">
        <v>0.59756097560975607</v>
      </c>
      <c r="P44" s="65">
        <v>0.32222222222222224</v>
      </c>
      <c r="Q44" s="65">
        <v>0.51923076923076927</v>
      </c>
    </row>
    <row r="45" spans="1:17" x14ac:dyDescent="0.4">
      <c r="A45" s="67">
        <v>42</v>
      </c>
      <c r="B45" s="64">
        <v>-338.7</v>
      </c>
      <c r="C45" s="64">
        <v>-8.0642857142857132</v>
      </c>
      <c r="D45" s="69">
        <v>2.1190476190476191</v>
      </c>
      <c r="E45" s="65">
        <v>0.26190476190476192</v>
      </c>
      <c r="F45" s="65">
        <v>0.38095238095238093</v>
      </c>
      <c r="G45" s="65">
        <v>0.29201101928374656</v>
      </c>
      <c r="H45" s="65">
        <v>0.1928374655647383</v>
      </c>
      <c r="I45" s="66">
        <v>7135.8490566037735</v>
      </c>
      <c r="J45" s="66">
        <v>-7807.1428571428569</v>
      </c>
      <c r="K45" s="65">
        <v>0.11904761904761904</v>
      </c>
      <c r="L45" s="65">
        <v>4.7619047619047616E-2</v>
      </c>
      <c r="M45" s="65">
        <v>0.22865013774104684</v>
      </c>
      <c r="N45" s="65">
        <v>0.25344352617079891</v>
      </c>
      <c r="O45" s="65">
        <v>0.59036144578313254</v>
      </c>
      <c r="P45" s="65">
        <v>0.32608695652173914</v>
      </c>
      <c r="Q45" s="65">
        <v>0.51886792452830188</v>
      </c>
    </row>
    <row r="46" spans="1:17" x14ac:dyDescent="0.4">
      <c r="A46" s="67">
        <v>43</v>
      </c>
      <c r="B46" s="64">
        <v>-289.7</v>
      </c>
      <c r="C46" s="64">
        <v>-6.7372093023255815</v>
      </c>
      <c r="D46" s="69">
        <v>2.0930232558139537</v>
      </c>
      <c r="E46" s="65">
        <v>0.27906976744186046</v>
      </c>
      <c r="F46" s="65">
        <v>0.37209302325581395</v>
      </c>
      <c r="G46" s="65">
        <v>0.29599999999999999</v>
      </c>
      <c r="H46" s="65">
        <v>0.18666666666666668</v>
      </c>
      <c r="I46" s="66">
        <v>6976.5765765765764</v>
      </c>
      <c r="J46" s="66">
        <v>-7807.1428571428569</v>
      </c>
      <c r="K46" s="65">
        <v>0.11627906976744186</v>
      </c>
      <c r="L46" s="65">
        <v>6.9767441860465115E-2</v>
      </c>
      <c r="M46" s="65">
        <v>0.22933333333333333</v>
      </c>
      <c r="N46" s="65">
        <v>0.26133333333333331</v>
      </c>
      <c r="O46" s="65">
        <v>0.59302325581395354</v>
      </c>
      <c r="P46" s="65">
        <v>0.33673469387755101</v>
      </c>
      <c r="Q46" s="65">
        <v>0.50450450450450446</v>
      </c>
    </row>
    <row r="47" spans="1:17" x14ac:dyDescent="0.4">
      <c r="A47" s="67">
        <v>44</v>
      </c>
      <c r="B47" s="64">
        <v>-262.59999999999997</v>
      </c>
      <c r="C47" s="64">
        <v>-5.9681818181818178</v>
      </c>
      <c r="D47" s="69">
        <v>2.0681818181818183</v>
      </c>
      <c r="E47" s="65">
        <v>0.29545454545454547</v>
      </c>
      <c r="F47" s="65">
        <v>0.36363636363636365</v>
      </c>
      <c r="G47" s="65">
        <v>0.29842931937172773</v>
      </c>
      <c r="H47" s="65">
        <v>0.18586387434554974</v>
      </c>
      <c r="I47" s="66">
        <v>6998.2456140350878</v>
      </c>
      <c r="J47" s="66">
        <v>-7866.1971830985913</v>
      </c>
      <c r="K47" s="65">
        <v>0.11363636363636363</v>
      </c>
      <c r="L47" s="65">
        <v>6.8181818181818177E-2</v>
      </c>
      <c r="M47" s="65">
        <v>0.23036649214659685</v>
      </c>
      <c r="N47" s="65">
        <v>0.25654450261780104</v>
      </c>
      <c r="O47" s="65">
        <v>0.59090909090909094</v>
      </c>
      <c r="P47" s="65">
        <v>0.33673469387755101</v>
      </c>
      <c r="Q47" s="65">
        <v>0.50877192982456143</v>
      </c>
    </row>
    <row r="48" spans="1:17" x14ac:dyDescent="0.4">
      <c r="A48" s="67">
        <v>45</v>
      </c>
      <c r="B48" s="64">
        <v>-295.39999999999998</v>
      </c>
      <c r="C48" s="64">
        <v>-6.5644444444444439</v>
      </c>
      <c r="D48" s="69">
        <v>2.088888888888889</v>
      </c>
      <c r="E48" s="65">
        <v>0.28888888888888886</v>
      </c>
      <c r="F48" s="65">
        <v>0.37777777777777777</v>
      </c>
      <c r="G48" s="65">
        <v>0.29820051413881749</v>
      </c>
      <c r="H48" s="65">
        <v>0.18766066838046272</v>
      </c>
      <c r="I48" s="66">
        <v>6945.6896551724139</v>
      </c>
      <c r="J48" s="66">
        <v>-7787.6712328767126</v>
      </c>
      <c r="K48" s="65">
        <v>0.1111111111111111</v>
      </c>
      <c r="L48" s="65">
        <v>6.6666666666666666E-2</v>
      </c>
      <c r="M48" s="65">
        <v>0.22879177377892032</v>
      </c>
      <c r="N48" s="65">
        <v>0.25449871465295631</v>
      </c>
      <c r="O48" s="65">
        <v>0.5842696629213483</v>
      </c>
      <c r="P48" s="65">
        <v>0.33333333333333331</v>
      </c>
      <c r="Q48" s="65">
        <v>0.50862068965517238</v>
      </c>
    </row>
    <row r="49" spans="1:17" x14ac:dyDescent="0.4">
      <c r="A49" s="67">
        <v>46</v>
      </c>
      <c r="B49" s="64">
        <v>-377.4</v>
      </c>
      <c r="C49" s="64">
        <v>-8.2043478260869556</v>
      </c>
      <c r="D49" s="69">
        <v>2.1086956521739131</v>
      </c>
      <c r="E49" s="65">
        <v>0.28260869565217389</v>
      </c>
      <c r="F49" s="65">
        <v>0.39130434782608697</v>
      </c>
      <c r="G49" s="65">
        <v>0.29367088607594938</v>
      </c>
      <c r="H49" s="65">
        <v>0.189873417721519</v>
      </c>
      <c r="I49" s="66">
        <v>6945.6896551724139</v>
      </c>
      <c r="J49" s="66">
        <v>-8300</v>
      </c>
      <c r="K49" s="65">
        <v>0.13043478260869565</v>
      </c>
      <c r="L49" s="65">
        <v>6.5217391304347824E-2</v>
      </c>
      <c r="M49" s="65">
        <v>0.22531645569620254</v>
      </c>
      <c r="N49" s="65">
        <v>0.25569620253164554</v>
      </c>
      <c r="O49" s="65">
        <v>0.5842696629213483</v>
      </c>
      <c r="P49" s="65">
        <v>0.32673267326732675</v>
      </c>
      <c r="Q49" s="65">
        <v>0.50862068965517238</v>
      </c>
    </row>
    <row r="50" spans="1:17" x14ac:dyDescent="0.4">
      <c r="A50" s="67">
        <v>47</v>
      </c>
      <c r="B50" s="64">
        <v>-439.7</v>
      </c>
      <c r="C50" s="64">
        <v>-9.3553191489361698</v>
      </c>
      <c r="D50" s="69">
        <v>2.1276595744680851</v>
      </c>
      <c r="E50" s="65">
        <v>0.27659574468085107</v>
      </c>
      <c r="F50" s="65">
        <v>0.40425531914893614</v>
      </c>
      <c r="G50" s="65">
        <v>0.28888888888888886</v>
      </c>
      <c r="H50" s="65">
        <v>0.19012345679012346</v>
      </c>
      <c r="I50" s="66">
        <v>6904.2735042735039</v>
      </c>
      <c r="J50" s="66">
        <v>-8290.9090909090901</v>
      </c>
      <c r="K50" s="65">
        <v>0.14893617021276595</v>
      </c>
      <c r="L50" s="65">
        <v>6.3829787234042548E-2</v>
      </c>
      <c r="M50" s="65">
        <v>0.21975308641975308</v>
      </c>
      <c r="N50" s="65">
        <v>0.25185185185185183</v>
      </c>
      <c r="O50" s="65">
        <v>0.5842696629213483</v>
      </c>
      <c r="P50" s="65">
        <v>0.3235294117647059</v>
      </c>
      <c r="Q50" s="65">
        <v>0.51282051282051277</v>
      </c>
    </row>
    <row r="51" spans="1:17" x14ac:dyDescent="0.4">
      <c r="A51" s="67">
        <v>48</v>
      </c>
      <c r="B51" s="64">
        <v>-387.7</v>
      </c>
      <c r="C51" s="64">
        <v>-8.0770833333333325</v>
      </c>
      <c r="D51" s="69">
        <v>2.1041666666666665</v>
      </c>
      <c r="E51" s="65">
        <v>0.29166666666666669</v>
      </c>
      <c r="F51" s="65">
        <v>0.39583333333333331</v>
      </c>
      <c r="G51" s="65">
        <v>0.29397590361445786</v>
      </c>
      <c r="H51" s="65">
        <v>0.1855421686746988</v>
      </c>
      <c r="I51" s="66">
        <v>6954.0983606557375</v>
      </c>
      <c r="J51" s="66">
        <v>-8290.9090909090901</v>
      </c>
      <c r="K51" s="65">
        <v>0.14583333333333334</v>
      </c>
      <c r="L51" s="65">
        <v>6.25E-2</v>
      </c>
      <c r="M51" s="65">
        <v>0.22168674698795179</v>
      </c>
      <c r="N51" s="65">
        <v>0.25301204819277107</v>
      </c>
      <c r="O51" s="65">
        <v>0.59782608695652173</v>
      </c>
      <c r="P51" s="65">
        <v>0.33333333333333331</v>
      </c>
      <c r="Q51" s="65">
        <v>0.50819672131147542</v>
      </c>
    </row>
    <row r="52" spans="1:17" x14ac:dyDescent="0.4">
      <c r="A52" s="67">
        <v>49</v>
      </c>
      <c r="B52" s="64">
        <v>-433</v>
      </c>
      <c r="C52" s="64">
        <v>-8.8367346938775508</v>
      </c>
      <c r="D52" s="69">
        <v>2.1224489795918369</v>
      </c>
      <c r="E52" s="65">
        <v>0.2857142857142857</v>
      </c>
      <c r="F52" s="65">
        <v>0.40816326530612246</v>
      </c>
      <c r="G52" s="65">
        <v>0.29146919431279622</v>
      </c>
      <c r="H52" s="65">
        <v>0.1872037914691943</v>
      </c>
      <c r="I52" s="66">
        <v>6913.8211382113823</v>
      </c>
      <c r="J52" s="66">
        <v>-8300</v>
      </c>
      <c r="K52" s="65">
        <v>0.14285714285714285</v>
      </c>
      <c r="L52" s="65">
        <v>6.1224489795918366E-2</v>
      </c>
      <c r="M52" s="65">
        <v>0.22274881516587677</v>
      </c>
      <c r="N52" s="65">
        <v>0.24881516587677724</v>
      </c>
      <c r="O52" s="65">
        <v>0.58510638297872342</v>
      </c>
      <c r="P52" s="65">
        <v>0.33333333333333331</v>
      </c>
      <c r="Q52" s="65">
        <v>0.50406504065040647</v>
      </c>
    </row>
    <row r="53" spans="1:17" x14ac:dyDescent="0.4">
      <c r="A53" s="67">
        <v>50</v>
      </c>
      <c r="B53" s="64">
        <v>-437.3</v>
      </c>
      <c r="C53" s="64">
        <v>-8.7460000000000004</v>
      </c>
      <c r="D53" s="69">
        <v>2.12</v>
      </c>
      <c r="E53" s="65">
        <v>0.28000000000000003</v>
      </c>
      <c r="F53" s="65">
        <v>0.4</v>
      </c>
      <c r="G53" s="65">
        <v>0.28868360277136257</v>
      </c>
      <c r="H53" s="65">
        <v>0.18706697459584296</v>
      </c>
      <c r="I53" s="66">
        <v>6941.6</v>
      </c>
      <c r="J53" s="66">
        <v>-8225.9259259259252</v>
      </c>
      <c r="K53" s="65">
        <v>0.14000000000000001</v>
      </c>
      <c r="L53" s="65">
        <v>0.06</v>
      </c>
      <c r="M53" s="65">
        <v>0.22632794457274827</v>
      </c>
      <c r="N53" s="65">
        <v>0.24249422632794457</v>
      </c>
      <c r="O53" s="65">
        <v>0.5714285714285714</v>
      </c>
      <c r="P53" s="65">
        <v>0.33333333333333331</v>
      </c>
      <c r="Q53" s="65">
        <v>0.504</v>
      </c>
    </row>
    <row r="54" spans="1:17" x14ac:dyDescent="0.4">
      <c r="A54" s="67">
        <v>51</v>
      </c>
      <c r="B54" s="64">
        <v>-495.90000000000003</v>
      </c>
      <c r="C54" s="64">
        <v>-9.7235294117647069</v>
      </c>
      <c r="D54" s="69">
        <v>2.1372549019607843</v>
      </c>
      <c r="E54" s="65">
        <v>0.27450980392156865</v>
      </c>
      <c r="F54" s="65">
        <v>0.41176470588235292</v>
      </c>
      <c r="G54" s="65">
        <v>0.28636363636363638</v>
      </c>
      <c r="H54" s="65">
        <v>0.18409090909090908</v>
      </c>
      <c r="I54" s="66">
        <v>6917.4603174603171</v>
      </c>
      <c r="J54" s="66">
        <v>-8225.9259259259252</v>
      </c>
      <c r="K54" s="65">
        <v>0.15686274509803921</v>
      </c>
      <c r="L54" s="65">
        <v>5.8823529411764705E-2</v>
      </c>
      <c r="M54" s="65">
        <v>0.22272727272727272</v>
      </c>
      <c r="N54" s="65">
        <v>0.24318181818181819</v>
      </c>
      <c r="O54" s="65">
        <v>0.5714285714285714</v>
      </c>
      <c r="P54" s="65">
        <v>0.32710280373831774</v>
      </c>
      <c r="Q54" s="65">
        <v>0.5</v>
      </c>
    </row>
    <row r="55" spans="1:17" x14ac:dyDescent="0.4">
      <c r="A55" s="67">
        <v>52</v>
      </c>
      <c r="B55" s="64">
        <v>-397.6</v>
      </c>
      <c r="C55" s="64">
        <v>-7.6461538461538465</v>
      </c>
      <c r="D55" s="69">
        <v>2.1153846153846154</v>
      </c>
      <c r="E55" s="65">
        <v>0.28846153846153844</v>
      </c>
      <c r="F55" s="65">
        <v>0.40384615384615385</v>
      </c>
      <c r="G55" s="65">
        <v>0.28666666666666668</v>
      </c>
      <c r="H55" s="65">
        <v>0.18222222222222223</v>
      </c>
      <c r="I55" s="66">
        <v>7534.1085271317834</v>
      </c>
      <c r="J55" s="66">
        <v>-8271.9512195121952</v>
      </c>
      <c r="K55" s="65">
        <v>0.15384615384615385</v>
      </c>
      <c r="L55" s="65">
        <v>7.6923076923076927E-2</v>
      </c>
      <c r="M55" s="65">
        <v>0.22666666666666666</v>
      </c>
      <c r="N55" s="65">
        <v>0.24</v>
      </c>
      <c r="O55" s="65">
        <v>0.55882352941176472</v>
      </c>
      <c r="P55" s="65">
        <v>0.33333333333333331</v>
      </c>
      <c r="Q55" s="65">
        <v>0.50387596899224807</v>
      </c>
    </row>
    <row r="56" spans="1:17" x14ac:dyDescent="0.4">
      <c r="A56" s="67">
        <v>53</v>
      </c>
      <c r="B56" s="64">
        <v>-396.70000000000005</v>
      </c>
      <c r="C56" s="64">
        <v>-7.4849056603773594</v>
      </c>
      <c r="D56" s="69">
        <v>2.1132075471698113</v>
      </c>
      <c r="E56" s="65">
        <v>0.28301886792452829</v>
      </c>
      <c r="F56" s="65">
        <v>0.39622641509433965</v>
      </c>
      <c r="G56" s="65">
        <v>0.2841648590021692</v>
      </c>
      <c r="H56" s="65">
        <v>0.1822125813449024</v>
      </c>
      <c r="I56" s="66">
        <v>7648.0916030534354</v>
      </c>
      <c r="J56" s="66">
        <v>-8327.3809523809523</v>
      </c>
      <c r="K56" s="65">
        <v>0.15094339622641509</v>
      </c>
      <c r="L56" s="65">
        <v>7.5471698113207544E-2</v>
      </c>
      <c r="M56" s="65">
        <v>0.22342733188720174</v>
      </c>
      <c r="N56" s="65">
        <v>0.23644251626898047</v>
      </c>
      <c r="O56" s="65">
        <v>0.55339805825242716</v>
      </c>
      <c r="P56" s="65">
        <v>0.33944954128440369</v>
      </c>
      <c r="Q56" s="65">
        <v>0.50381679389312972</v>
      </c>
    </row>
    <row r="57" spans="1:17" x14ac:dyDescent="0.4">
      <c r="A57" s="67">
        <v>54</v>
      </c>
      <c r="B57" s="64">
        <v>-404.6</v>
      </c>
      <c r="C57" s="64">
        <v>-7.4925925925925929</v>
      </c>
      <c r="D57" s="69">
        <v>2.1111111111111112</v>
      </c>
      <c r="E57" s="65">
        <v>0.27777777777777779</v>
      </c>
      <c r="F57" s="65">
        <v>0.3888888888888889</v>
      </c>
      <c r="G57" s="65">
        <v>0.28358208955223879</v>
      </c>
      <c r="H57" s="65">
        <v>0.18336886993603413</v>
      </c>
      <c r="I57" s="66">
        <v>7569.1729323308273</v>
      </c>
      <c r="J57" s="66">
        <v>-8275.5813953488378</v>
      </c>
      <c r="K57" s="65">
        <v>0.14814814814814814</v>
      </c>
      <c r="L57" s="65">
        <v>7.407407407407407E-2</v>
      </c>
      <c r="M57" s="65">
        <v>0.21961620469083157</v>
      </c>
      <c r="N57" s="65">
        <v>0.23454157782515991</v>
      </c>
      <c r="O57" s="65">
        <v>0.55339805825242716</v>
      </c>
      <c r="P57" s="65">
        <v>0.34545454545454546</v>
      </c>
      <c r="Q57" s="65">
        <v>0.50375939849624063</v>
      </c>
    </row>
    <row r="58" spans="1:17" x14ac:dyDescent="0.4">
      <c r="A58" s="67">
        <v>55</v>
      </c>
      <c r="B58" s="64">
        <v>-349.5</v>
      </c>
      <c r="C58" s="64">
        <v>-6.3545454545454545</v>
      </c>
      <c r="D58" s="69">
        <v>2.0909090909090908</v>
      </c>
      <c r="E58" s="65">
        <v>0.29090909090909089</v>
      </c>
      <c r="F58" s="65">
        <v>0.38181818181818183</v>
      </c>
      <c r="G58" s="65">
        <v>0.2881002087682672</v>
      </c>
      <c r="H58" s="65">
        <v>0.17954070981210857</v>
      </c>
      <c r="I58" s="66">
        <v>7540.579710144928</v>
      </c>
      <c r="J58" s="66">
        <v>-8275.5813953488378</v>
      </c>
      <c r="K58" s="65">
        <v>0.14545454545454545</v>
      </c>
      <c r="L58" s="65">
        <v>7.2727272727272724E-2</v>
      </c>
      <c r="M58" s="65">
        <v>0.22129436325678498</v>
      </c>
      <c r="N58" s="65">
        <v>0.23173277661795408</v>
      </c>
      <c r="O58" s="65">
        <v>0.56603773584905659</v>
      </c>
      <c r="P58" s="65">
        <v>0.34234234234234234</v>
      </c>
      <c r="Q58" s="65">
        <v>0.5</v>
      </c>
    </row>
    <row r="59" spans="1:17" x14ac:dyDescent="0.4">
      <c r="A59" s="67">
        <v>56</v>
      </c>
      <c r="B59" s="64">
        <v>-397.1</v>
      </c>
      <c r="C59" s="64">
        <v>-7.0910714285714294</v>
      </c>
      <c r="D59" s="69">
        <v>2.1071428571428572</v>
      </c>
      <c r="E59" s="65">
        <v>0.2857142857142857</v>
      </c>
      <c r="F59" s="65">
        <v>0.39285714285714285</v>
      </c>
      <c r="G59" s="65">
        <v>0.2857142857142857</v>
      </c>
      <c r="H59" s="65">
        <v>0.18571428571428572</v>
      </c>
      <c r="I59" s="66">
        <v>7573.5714285714284</v>
      </c>
      <c r="J59" s="66">
        <v>-8203.2967032967026</v>
      </c>
      <c r="K59" s="65">
        <v>0.14285714285714285</v>
      </c>
      <c r="L59" s="65">
        <v>7.1428571428571425E-2</v>
      </c>
      <c r="M59" s="65">
        <v>0.22040816326530613</v>
      </c>
      <c r="N59" s="65">
        <v>0.22653061224489796</v>
      </c>
      <c r="O59" s="65">
        <v>0.57407407407407407</v>
      </c>
      <c r="P59" s="65">
        <v>0.34234234234234234</v>
      </c>
      <c r="Q59" s="65">
        <v>0.5</v>
      </c>
    </row>
    <row r="60" spans="1:17" x14ac:dyDescent="0.4">
      <c r="A60" s="67">
        <v>57</v>
      </c>
      <c r="B60" s="64">
        <v>-461.6</v>
      </c>
      <c r="C60" s="64">
        <v>-8.098245614035088</v>
      </c>
      <c r="D60" s="69">
        <v>2.1228070175438596</v>
      </c>
      <c r="E60" s="65">
        <v>0.2807017543859649</v>
      </c>
      <c r="F60" s="65">
        <v>0.40350877192982454</v>
      </c>
      <c r="G60" s="65">
        <v>0.28370221327967809</v>
      </c>
      <c r="H60" s="65">
        <v>0.1891348088531187</v>
      </c>
      <c r="I60" s="66">
        <v>7531.2056737588655</v>
      </c>
      <c r="J60" s="66">
        <v>-8229.7872340425529</v>
      </c>
      <c r="K60" s="65">
        <v>0.15789473684210525</v>
      </c>
      <c r="L60" s="65">
        <v>7.0175438596491224E-2</v>
      </c>
      <c r="M60" s="65">
        <v>0.22132796780684105</v>
      </c>
      <c r="N60" s="65">
        <v>0.22535211267605634</v>
      </c>
      <c r="O60" s="65">
        <v>0.5636363636363636</v>
      </c>
      <c r="P60" s="65">
        <v>0.3392857142857143</v>
      </c>
      <c r="Q60" s="65">
        <v>0.50354609929078009</v>
      </c>
    </row>
    <row r="61" spans="1:17" x14ac:dyDescent="0.4">
      <c r="A61" s="67">
        <v>58</v>
      </c>
      <c r="B61" s="64">
        <v>-521</v>
      </c>
      <c r="C61" s="64">
        <v>-8.9827586206896548</v>
      </c>
      <c r="D61" s="69">
        <v>2.1379310344827585</v>
      </c>
      <c r="E61" s="65">
        <v>0.27586206896551724</v>
      </c>
      <c r="F61" s="65">
        <v>0.41379310344827586</v>
      </c>
      <c r="G61" s="65">
        <v>0.28031809145129227</v>
      </c>
      <c r="H61" s="65">
        <v>0.19284294234592445</v>
      </c>
      <c r="I61" s="66">
        <v>7531.2056737588655</v>
      </c>
      <c r="J61" s="66">
        <v>-8221.649484536083</v>
      </c>
      <c r="K61" s="65">
        <v>0.17241379310344829</v>
      </c>
      <c r="L61" s="65">
        <v>6.8965517241379309E-2</v>
      </c>
      <c r="M61" s="65">
        <v>0.21868787276341947</v>
      </c>
      <c r="N61" s="65">
        <v>0.22465208747514911</v>
      </c>
      <c r="O61" s="65">
        <v>0.5636363636363636</v>
      </c>
      <c r="P61" s="65">
        <v>0.33628318584070799</v>
      </c>
      <c r="Q61" s="65">
        <v>0.50354609929078009</v>
      </c>
    </row>
    <row r="62" spans="1:17" x14ac:dyDescent="0.4">
      <c r="A62" s="67">
        <v>59</v>
      </c>
      <c r="B62" s="64">
        <v>-521</v>
      </c>
      <c r="C62" s="64">
        <v>-8.8305084745762716</v>
      </c>
      <c r="D62" s="69">
        <v>2.1355932203389831</v>
      </c>
      <c r="E62" s="65">
        <v>0.2711864406779661</v>
      </c>
      <c r="F62" s="65">
        <v>0.40677966101694918</v>
      </c>
      <c r="G62" s="65">
        <v>0.27920792079207923</v>
      </c>
      <c r="H62" s="65">
        <v>0.19207920792079208</v>
      </c>
      <c r="I62" s="66">
        <v>7531.2056737588655</v>
      </c>
      <c r="J62" s="66">
        <v>-8221.649484536083</v>
      </c>
      <c r="K62" s="65">
        <v>0.16949152542372881</v>
      </c>
      <c r="L62" s="65">
        <v>6.7796610169491525E-2</v>
      </c>
      <c r="M62" s="65">
        <v>0.21782178217821782</v>
      </c>
      <c r="N62" s="65">
        <v>0.22376237623762377</v>
      </c>
      <c r="O62" s="65">
        <v>0.5636363636363636</v>
      </c>
      <c r="P62" s="65">
        <v>0.33628318584070799</v>
      </c>
      <c r="Q62" s="65">
        <v>0.50354609929078009</v>
      </c>
    </row>
    <row r="63" spans="1:17" x14ac:dyDescent="0.4">
      <c r="A63" s="67">
        <v>60</v>
      </c>
      <c r="B63" s="64">
        <v>-511.8</v>
      </c>
      <c r="C63" s="64">
        <v>-8.5299999999999994</v>
      </c>
      <c r="D63" s="69">
        <v>2.1333333333333333</v>
      </c>
      <c r="E63" s="65">
        <v>0.26666666666666666</v>
      </c>
      <c r="F63" s="65">
        <v>0.4</v>
      </c>
      <c r="G63" s="65">
        <v>0.27799227799227799</v>
      </c>
      <c r="H63" s="65">
        <v>0.19498069498069498</v>
      </c>
      <c r="I63" s="66">
        <v>7632.6388888888887</v>
      </c>
      <c r="J63" s="66">
        <v>-8019.8019801980199</v>
      </c>
      <c r="K63" s="65">
        <v>0.16666666666666666</v>
      </c>
      <c r="L63" s="65">
        <v>6.6666666666666666E-2</v>
      </c>
      <c r="M63" s="65">
        <v>0.21814671814671815</v>
      </c>
      <c r="N63" s="65">
        <v>0.21814671814671815</v>
      </c>
      <c r="O63" s="65">
        <v>0.5752212389380531</v>
      </c>
      <c r="P63" s="65">
        <v>0.33628318584070799</v>
      </c>
      <c r="Q63" s="65">
        <v>0.51388888888888884</v>
      </c>
    </row>
    <row r="64" spans="1:17" x14ac:dyDescent="0.4">
      <c r="A64" s="67">
        <v>61</v>
      </c>
      <c r="B64" s="64">
        <v>-560.6</v>
      </c>
      <c r="C64" s="64">
        <v>-9.1901639344262307</v>
      </c>
      <c r="D64" s="69">
        <v>2.1475409836065573</v>
      </c>
      <c r="E64" s="65">
        <v>0.26229508196721313</v>
      </c>
      <c r="F64" s="65">
        <v>0.4098360655737705</v>
      </c>
      <c r="G64" s="65">
        <v>0.27788279773156899</v>
      </c>
      <c r="H64" s="65">
        <v>0.19470699432892249</v>
      </c>
      <c r="I64" s="66">
        <v>7610.2040816326535</v>
      </c>
      <c r="J64" s="66">
        <v>-8151.4563106796113</v>
      </c>
      <c r="K64" s="65">
        <v>0.16393442622950818</v>
      </c>
      <c r="L64" s="65">
        <v>6.5573770491803282E-2</v>
      </c>
      <c r="M64" s="65">
        <v>0.22306238185255198</v>
      </c>
      <c r="N64" s="65">
        <v>0.21550094517958412</v>
      </c>
      <c r="O64" s="65">
        <v>0.57627118644067798</v>
      </c>
      <c r="P64" s="65">
        <v>0.33333333333333331</v>
      </c>
      <c r="Q64" s="65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6546B-E325-422A-99C0-564CD00143DE}">
  <sheetPr codeName="Sheet16"/>
  <dimension ref="A1:Q108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172</v>
      </c>
      <c r="B1" s="68" t="s">
        <v>172</v>
      </c>
      <c r="C1" s="68" t="s">
        <v>172</v>
      </c>
      <c r="D1" s="69" t="s">
        <v>172</v>
      </c>
      <c r="E1" s="68" t="s">
        <v>172</v>
      </c>
      <c r="F1" s="68" t="s">
        <v>172</v>
      </c>
      <c r="G1" s="68" t="s">
        <v>172</v>
      </c>
      <c r="H1" s="68" t="s">
        <v>172</v>
      </c>
      <c r="I1" s="68" t="s">
        <v>172</v>
      </c>
      <c r="J1" s="68" t="s">
        <v>172</v>
      </c>
      <c r="K1" s="68" t="s">
        <v>172</v>
      </c>
      <c r="L1" s="68" t="s">
        <v>172</v>
      </c>
      <c r="M1" s="68" t="s">
        <v>172</v>
      </c>
      <c r="N1" s="68" t="s">
        <v>172</v>
      </c>
      <c r="O1" s="68" t="s">
        <v>172</v>
      </c>
      <c r="P1" s="68" t="s">
        <v>172</v>
      </c>
      <c r="Q1" s="68" t="s">
        <v>172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11.1</v>
      </c>
      <c r="C4" s="64">
        <v>11.1</v>
      </c>
      <c r="D4" s="69">
        <v>2</v>
      </c>
      <c r="E4" s="65">
        <v>0</v>
      </c>
      <c r="F4" s="65">
        <v>0</v>
      </c>
      <c r="G4" s="65">
        <v>0.14285714285714285</v>
      </c>
      <c r="H4" s="65">
        <v>0.14285714285714285</v>
      </c>
      <c r="I4" s="66">
        <v>8000</v>
      </c>
      <c r="J4" s="66">
        <v>-3900</v>
      </c>
      <c r="K4" s="65">
        <v>0</v>
      </c>
      <c r="L4" s="65">
        <v>0</v>
      </c>
      <c r="M4" s="65">
        <v>0</v>
      </c>
      <c r="N4" s="65">
        <v>0.42857142857142855</v>
      </c>
      <c r="O4" s="65">
        <v>0</v>
      </c>
      <c r="P4" s="65">
        <v>0</v>
      </c>
      <c r="Q4" s="65">
        <v>0</v>
      </c>
    </row>
    <row r="5" spans="1:17" x14ac:dyDescent="0.4">
      <c r="A5" s="67">
        <v>2</v>
      </c>
      <c r="B5" s="64">
        <v>-7.7000000000000011</v>
      </c>
      <c r="C5" s="64">
        <v>-3.8500000000000005</v>
      </c>
      <c r="D5" s="69">
        <v>2</v>
      </c>
      <c r="E5" s="65">
        <v>0</v>
      </c>
      <c r="F5" s="65">
        <v>0</v>
      </c>
      <c r="G5" s="65">
        <v>0.125</v>
      </c>
      <c r="H5" s="65">
        <v>0.125</v>
      </c>
      <c r="I5" s="66">
        <v>5050</v>
      </c>
      <c r="J5" s="66">
        <v>-6750</v>
      </c>
      <c r="K5" s="65">
        <v>0</v>
      </c>
      <c r="L5" s="65">
        <v>0</v>
      </c>
      <c r="M5" s="65">
        <v>0.125</v>
      </c>
      <c r="N5" s="65">
        <v>0.375</v>
      </c>
      <c r="O5" s="65">
        <v>0</v>
      </c>
      <c r="P5" s="65">
        <v>0.16666666666666666</v>
      </c>
      <c r="Q5" s="65">
        <v>0.5</v>
      </c>
    </row>
    <row r="6" spans="1:17" x14ac:dyDescent="0.4">
      <c r="A6" s="67">
        <v>3</v>
      </c>
      <c r="B6" s="64">
        <v>1.7999999999999989</v>
      </c>
      <c r="C6" s="64">
        <v>0.59999999999999964</v>
      </c>
      <c r="D6" s="69">
        <v>2</v>
      </c>
      <c r="E6" s="65">
        <v>0</v>
      </c>
      <c r="F6" s="65">
        <v>0</v>
      </c>
      <c r="G6" s="65">
        <v>0.25</v>
      </c>
      <c r="H6" s="65">
        <v>0.1</v>
      </c>
      <c r="I6" s="66">
        <v>3520</v>
      </c>
      <c r="J6" s="66">
        <v>-6750</v>
      </c>
      <c r="K6" s="65">
        <v>0</v>
      </c>
      <c r="L6" s="65">
        <v>0</v>
      </c>
      <c r="M6" s="65">
        <v>0.15</v>
      </c>
      <c r="N6" s="65">
        <v>0.4</v>
      </c>
      <c r="O6" s="65">
        <v>0.33333333333333331</v>
      </c>
      <c r="P6" s="65">
        <v>0.375</v>
      </c>
      <c r="Q6" s="65">
        <v>0.4</v>
      </c>
    </row>
    <row r="7" spans="1:17" x14ac:dyDescent="0.4">
      <c r="A7" s="67">
        <v>4</v>
      </c>
      <c r="B7" s="64">
        <v>34.9</v>
      </c>
      <c r="C7" s="64">
        <v>8.7249999999999996</v>
      </c>
      <c r="D7" s="69">
        <v>1.75</v>
      </c>
      <c r="E7" s="65">
        <v>0.25</v>
      </c>
      <c r="F7" s="65">
        <v>0</v>
      </c>
      <c r="G7" s="65">
        <v>0.2857142857142857</v>
      </c>
      <c r="H7" s="65">
        <v>0.10714285714285714</v>
      </c>
      <c r="I7" s="66">
        <v>4662.5</v>
      </c>
      <c r="J7" s="66">
        <v>-8366.6666666666661</v>
      </c>
      <c r="K7" s="65">
        <v>0</v>
      </c>
      <c r="L7" s="65">
        <v>0</v>
      </c>
      <c r="M7" s="65">
        <v>0.14285714285714285</v>
      </c>
      <c r="N7" s="65">
        <v>0.39285714285714285</v>
      </c>
      <c r="O7" s="65">
        <v>0.5</v>
      </c>
      <c r="P7" s="65">
        <v>0.45454545454545453</v>
      </c>
      <c r="Q7" s="65">
        <v>0.5</v>
      </c>
    </row>
    <row r="8" spans="1:17" x14ac:dyDescent="0.4">
      <c r="A8" s="67">
        <v>5</v>
      </c>
      <c r="B8" s="64">
        <v>29.4</v>
      </c>
      <c r="C8" s="64">
        <v>5.88</v>
      </c>
      <c r="D8" s="69">
        <v>1.8</v>
      </c>
      <c r="E8" s="65">
        <v>0.2</v>
      </c>
      <c r="F8" s="65">
        <v>0</v>
      </c>
      <c r="G8" s="65">
        <v>0.27500000000000002</v>
      </c>
      <c r="H8" s="65">
        <v>0.125</v>
      </c>
      <c r="I8" s="66">
        <v>5318.181818181818</v>
      </c>
      <c r="J8" s="66">
        <v>-7400</v>
      </c>
      <c r="K8" s="65">
        <v>0</v>
      </c>
      <c r="L8" s="65">
        <v>0</v>
      </c>
      <c r="M8" s="65">
        <v>0.15</v>
      </c>
      <c r="N8" s="65">
        <v>0.35</v>
      </c>
      <c r="O8" s="65">
        <v>0.5</v>
      </c>
      <c r="P8" s="65">
        <v>0.42857142857142855</v>
      </c>
      <c r="Q8" s="65">
        <v>0.45454545454545453</v>
      </c>
    </row>
    <row r="9" spans="1:17" x14ac:dyDescent="0.4">
      <c r="A9" s="67">
        <v>6</v>
      </c>
      <c r="B9" s="64">
        <v>4.2999999999999972</v>
      </c>
      <c r="C9" s="64">
        <v>0.71666666666666623</v>
      </c>
      <c r="D9" s="69">
        <v>2</v>
      </c>
      <c r="E9" s="65">
        <v>0.16666666666666666</v>
      </c>
      <c r="F9" s="65">
        <v>0.16666666666666666</v>
      </c>
      <c r="G9" s="65">
        <v>0.2978723404255319</v>
      </c>
      <c r="H9" s="65">
        <v>0.1702127659574468</v>
      </c>
      <c r="I9" s="66">
        <v>5121.4285714285716</v>
      </c>
      <c r="J9" s="66">
        <v>-6487.5</v>
      </c>
      <c r="K9" s="65">
        <v>0</v>
      </c>
      <c r="L9" s="65">
        <v>0</v>
      </c>
      <c r="M9" s="65">
        <v>0.14893617021276595</v>
      </c>
      <c r="N9" s="65">
        <v>0.36170212765957449</v>
      </c>
      <c r="O9" s="65">
        <v>0.5714285714285714</v>
      </c>
      <c r="P9" s="65">
        <v>0.41176470588235292</v>
      </c>
      <c r="Q9" s="65">
        <v>0.42857142857142855</v>
      </c>
    </row>
    <row r="10" spans="1:17" x14ac:dyDescent="0.4">
      <c r="A10" s="67">
        <v>7</v>
      </c>
      <c r="B10" s="64">
        <v>7.7999999999999972</v>
      </c>
      <c r="C10" s="64">
        <v>1.1142857142857139</v>
      </c>
      <c r="D10" s="69">
        <v>2</v>
      </c>
      <c r="E10" s="65">
        <v>0.14285714285714285</v>
      </c>
      <c r="F10" s="65">
        <v>0.14285714285714285</v>
      </c>
      <c r="G10" s="65">
        <v>0.30909090909090908</v>
      </c>
      <c r="H10" s="65">
        <v>0.16363636363636364</v>
      </c>
      <c r="I10" s="66">
        <v>5858.8235294117649</v>
      </c>
      <c r="J10" s="66">
        <v>-7100</v>
      </c>
      <c r="K10" s="65">
        <v>0</v>
      </c>
      <c r="L10" s="65">
        <v>0</v>
      </c>
      <c r="M10" s="65">
        <v>0.18181818181818182</v>
      </c>
      <c r="N10" s="65">
        <v>0.34545454545454546</v>
      </c>
      <c r="O10" s="65">
        <v>0.7</v>
      </c>
      <c r="P10" s="65">
        <v>0.36842105263157893</v>
      </c>
      <c r="Q10" s="65">
        <v>0.35294117647058826</v>
      </c>
    </row>
    <row r="11" spans="1:17" x14ac:dyDescent="0.4">
      <c r="A11" s="67">
        <v>8</v>
      </c>
      <c r="B11" s="64">
        <v>-29.5</v>
      </c>
      <c r="C11" s="64">
        <v>-3.6875</v>
      </c>
      <c r="D11" s="69">
        <v>2.125</v>
      </c>
      <c r="E11" s="65">
        <v>0.125</v>
      </c>
      <c r="F11" s="65">
        <v>0.25</v>
      </c>
      <c r="G11" s="65">
        <v>0.27868852459016391</v>
      </c>
      <c r="H11" s="65">
        <v>0.16393442622950818</v>
      </c>
      <c r="I11" s="66">
        <v>5858.8235294117649</v>
      </c>
      <c r="J11" s="66">
        <v>-7190</v>
      </c>
      <c r="K11" s="65">
        <v>0</v>
      </c>
      <c r="L11" s="65">
        <v>0</v>
      </c>
      <c r="M11" s="65">
        <v>0.18032786885245902</v>
      </c>
      <c r="N11" s="65">
        <v>0.34426229508196721</v>
      </c>
      <c r="O11" s="65">
        <v>0.63636363636363635</v>
      </c>
      <c r="P11" s="65">
        <v>0.33333333333333331</v>
      </c>
      <c r="Q11" s="65">
        <v>0.35294117647058826</v>
      </c>
    </row>
    <row r="12" spans="1:17" x14ac:dyDescent="0.4">
      <c r="A12" s="67">
        <v>9</v>
      </c>
      <c r="B12" s="64">
        <v>-56.5</v>
      </c>
      <c r="C12" s="64">
        <v>-6.2777777777777777</v>
      </c>
      <c r="D12" s="69">
        <v>2.2222222222222223</v>
      </c>
      <c r="E12" s="65">
        <v>0.1111111111111111</v>
      </c>
      <c r="F12" s="65">
        <v>0.33333333333333331</v>
      </c>
      <c r="G12" s="65">
        <v>0.29577464788732394</v>
      </c>
      <c r="H12" s="65">
        <v>0.18309859154929578</v>
      </c>
      <c r="I12" s="66">
        <v>6409.5238095238092</v>
      </c>
      <c r="J12" s="66">
        <v>-7530.7692307692305</v>
      </c>
      <c r="K12" s="65">
        <v>0</v>
      </c>
      <c r="L12" s="65">
        <v>0</v>
      </c>
      <c r="M12" s="65">
        <v>0.18309859154929578</v>
      </c>
      <c r="N12" s="65">
        <v>0.38028169014084506</v>
      </c>
      <c r="O12" s="65">
        <v>0.61538461538461542</v>
      </c>
      <c r="P12" s="65">
        <v>0.37037037037037035</v>
      </c>
      <c r="Q12" s="65">
        <v>0.38095238095238093</v>
      </c>
    </row>
    <row r="13" spans="1:17" x14ac:dyDescent="0.4">
      <c r="A13" s="67">
        <v>10</v>
      </c>
      <c r="B13" s="64">
        <v>24.200000000000003</v>
      </c>
      <c r="C13" s="64">
        <v>2.4200000000000004</v>
      </c>
      <c r="D13" s="69">
        <v>2.1</v>
      </c>
      <c r="E13" s="65">
        <v>0.2</v>
      </c>
      <c r="F13" s="65">
        <v>0.3</v>
      </c>
      <c r="G13" s="65">
        <v>0.35064935064935066</v>
      </c>
      <c r="H13" s="65">
        <v>0.16883116883116883</v>
      </c>
      <c r="I13" s="66">
        <v>6788.8888888888887</v>
      </c>
      <c r="J13" s="66">
        <v>-7530.7692307692305</v>
      </c>
      <c r="K13" s="65">
        <v>0</v>
      </c>
      <c r="L13" s="65">
        <v>0.1</v>
      </c>
      <c r="M13" s="65">
        <v>0.23376623376623376</v>
      </c>
      <c r="N13" s="65">
        <v>0.36363636363636365</v>
      </c>
      <c r="O13" s="65">
        <v>0.72222222222222221</v>
      </c>
      <c r="P13" s="65">
        <v>0.39285714285714285</v>
      </c>
      <c r="Q13" s="65">
        <v>0.40740740740740738</v>
      </c>
    </row>
    <row r="14" spans="1:17" x14ac:dyDescent="0.4">
      <c r="A14" s="67">
        <v>11</v>
      </c>
      <c r="B14" s="64">
        <v>74.2</v>
      </c>
      <c r="C14" s="64">
        <v>6.745454545454546</v>
      </c>
      <c r="D14" s="69">
        <v>2</v>
      </c>
      <c r="E14" s="65">
        <v>0.27272727272727271</v>
      </c>
      <c r="F14" s="65">
        <v>0.27272727272727271</v>
      </c>
      <c r="G14" s="65">
        <v>0.3707865168539326</v>
      </c>
      <c r="H14" s="65">
        <v>0.14606741573033707</v>
      </c>
      <c r="I14" s="66">
        <v>6690.909090909091</v>
      </c>
      <c r="J14" s="66">
        <v>-7530.7692307692305</v>
      </c>
      <c r="K14" s="65">
        <v>0</v>
      </c>
      <c r="L14" s="65">
        <v>9.0909090909090912E-2</v>
      </c>
      <c r="M14" s="65">
        <v>0.2247191011235955</v>
      </c>
      <c r="N14" s="65">
        <v>0.3707865168539326</v>
      </c>
      <c r="O14" s="65">
        <v>0.7</v>
      </c>
      <c r="P14" s="65">
        <v>0.42424242424242425</v>
      </c>
      <c r="Q14" s="65">
        <v>0.36363636363636365</v>
      </c>
    </row>
    <row r="15" spans="1:17" x14ac:dyDescent="0.4">
      <c r="A15" s="67">
        <v>12</v>
      </c>
      <c r="B15" s="64">
        <v>46.1</v>
      </c>
      <c r="C15" s="64">
        <v>3.8416666666666668</v>
      </c>
      <c r="D15" s="69">
        <v>2.0833333333333335</v>
      </c>
      <c r="E15" s="65">
        <v>0.25</v>
      </c>
      <c r="F15" s="65">
        <v>0.33333333333333331</v>
      </c>
      <c r="G15" s="65">
        <v>0.375</v>
      </c>
      <c r="H15" s="65">
        <v>0.15625</v>
      </c>
      <c r="I15" s="66">
        <v>6500</v>
      </c>
      <c r="J15" s="66">
        <v>-7213.333333333333</v>
      </c>
      <c r="K15" s="65">
        <v>0</v>
      </c>
      <c r="L15" s="65">
        <v>8.3333333333333329E-2</v>
      </c>
      <c r="M15" s="65">
        <v>0.20833333333333334</v>
      </c>
      <c r="N15" s="65">
        <v>0.375</v>
      </c>
      <c r="O15" s="65">
        <v>0.7</v>
      </c>
      <c r="P15" s="65">
        <v>0.44444444444444442</v>
      </c>
      <c r="Q15" s="65">
        <v>0.3611111111111111</v>
      </c>
    </row>
    <row r="16" spans="1:17" x14ac:dyDescent="0.4">
      <c r="A16" s="67">
        <v>13</v>
      </c>
      <c r="B16" s="64">
        <v>-3</v>
      </c>
      <c r="C16" s="64">
        <v>-0.23076923076923078</v>
      </c>
      <c r="D16" s="69">
        <v>2.1538461538461537</v>
      </c>
      <c r="E16" s="65">
        <v>0.23076923076923078</v>
      </c>
      <c r="F16" s="65">
        <v>0.38461538461538464</v>
      </c>
      <c r="G16" s="65">
        <v>0.3619047619047619</v>
      </c>
      <c r="H16" s="65">
        <v>0.16190476190476191</v>
      </c>
      <c r="I16" s="66">
        <v>6339.4736842105267</v>
      </c>
      <c r="J16" s="66">
        <v>-7376.4705882352937</v>
      </c>
      <c r="K16" s="65">
        <v>0</v>
      </c>
      <c r="L16" s="65">
        <v>7.6923076923076927E-2</v>
      </c>
      <c r="M16" s="65">
        <v>0.2</v>
      </c>
      <c r="N16" s="65">
        <v>0.38095238095238093</v>
      </c>
      <c r="O16" s="65">
        <v>0.66666666666666663</v>
      </c>
      <c r="P16" s="65">
        <v>0.45</v>
      </c>
      <c r="Q16" s="65">
        <v>0.36842105263157893</v>
      </c>
    </row>
    <row r="17" spans="1:17" x14ac:dyDescent="0.4">
      <c r="A17" s="67">
        <v>14</v>
      </c>
      <c r="B17" s="64">
        <v>-12.3</v>
      </c>
      <c r="C17" s="64">
        <v>-0.87857142857142867</v>
      </c>
      <c r="D17" s="69">
        <v>2.1428571428571428</v>
      </c>
      <c r="E17" s="65">
        <v>0.21428571428571427</v>
      </c>
      <c r="F17" s="65">
        <v>0.35714285714285715</v>
      </c>
      <c r="G17" s="65">
        <v>0.35135135135135137</v>
      </c>
      <c r="H17" s="65">
        <v>0.15315315315315314</v>
      </c>
      <c r="I17" s="66">
        <v>6382.0512820512822</v>
      </c>
      <c r="J17" s="66">
        <v>-7376.4705882352937</v>
      </c>
      <c r="K17" s="65">
        <v>0</v>
      </c>
      <c r="L17" s="65">
        <v>7.1428571428571425E-2</v>
      </c>
      <c r="M17" s="65">
        <v>0.2072072072072072</v>
      </c>
      <c r="N17" s="65">
        <v>0.3783783783783784</v>
      </c>
      <c r="O17" s="65">
        <v>0.65217391304347827</v>
      </c>
      <c r="P17" s="65">
        <v>0.42857142857142855</v>
      </c>
      <c r="Q17" s="65">
        <v>0.35897435897435898</v>
      </c>
    </row>
    <row r="18" spans="1:17" x14ac:dyDescent="0.4">
      <c r="A18" s="67">
        <v>15</v>
      </c>
      <c r="B18" s="64">
        <v>-80.3</v>
      </c>
      <c r="C18" s="64">
        <v>-5.3533333333333335</v>
      </c>
      <c r="D18" s="69">
        <v>2.2000000000000002</v>
      </c>
      <c r="E18" s="65">
        <v>0.2</v>
      </c>
      <c r="F18" s="65">
        <v>0.4</v>
      </c>
      <c r="G18" s="65">
        <v>0.32773109243697479</v>
      </c>
      <c r="H18" s="65">
        <v>0.15966386554621848</v>
      </c>
      <c r="I18" s="66">
        <v>6382.0512820512822</v>
      </c>
      <c r="J18" s="66">
        <v>-8494.7368421052633</v>
      </c>
      <c r="K18" s="65">
        <v>6.6666666666666666E-2</v>
      </c>
      <c r="L18" s="65">
        <v>6.6666666666666666E-2</v>
      </c>
      <c r="M18" s="65">
        <v>0.20168067226890757</v>
      </c>
      <c r="N18" s="65">
        <v>0.36974789915966388</v>
      </c>
      <c r="O18" s="65">
        <v>0.625</v>
      </c>
      <c r="P18" s="65">
        <v>0.40909090909090912</v>
      </c>
      <c r="Q18" s="65">
        <v>0.35897435897435898</v>
      </c>
    </row>
    <row r="19" spans="1:17" x14ac:dyDescent="0.4">
      <c r="A19" s="67">
        <v>16</v>
      </c>
      <c r="B19" s="64">
        <v>-87.6</v>
      </c>
      <c r="C19" s="64">
        <v>-5.4749999999999996</v>
      </c>
      <c r="D19" s="69">
        <v>2.1875</v>
      </c>
      <c r="E19" s="65">
        <v>0.1875</v>
      </c>
      <c r="F19" s="65">
        <v>0.375</v>
      </c>
      <c r="G19" s="65">
        <v>0.32258064516129031</v>
      </c>
      <c r="H19" s="65">
        <v>0.15322580645161291</v>
      </c>
      <c r="I19" s="66">
        <v>6422.5</v>
      </c>
      <c r="J19" s="66">
        <v>-8494.7368421052633</v>
      </c>
      <c r="K19" s="65">
        <v>6.25E-2</v>
      </c>
      <c r="L19" s="65">
        <v>6.25E-2</v>
      </c>
      <c r="M19" s="65">
        <v>0.20161290322580644</v>
      </c>
      <c r="N19" s="65">
        <v>0.35483870967741937</v>
      </c>
      <c r="O19" s="65">
        <v>0.64</v>
      </c>
      <c r="P19" s="65">
        <v>0.40909090909090912</v>
      </c>
      <c r="Q19" s="65">
        <v>0.35</v>
      </c>
    </row>
    <row r="20" spans="1:17" x14ac:dyDescent="0.4">
      <c r="A20" s="67">
        <v>17</v>
      </c>
      <c r="B20" s="64">
        <v>-55.099999999999994</v>
      </c>
      <c r="C20" s="64">
        <v>-3.2411764705882349</v>
      </c>
      <c r="D20" s="69">
        <v>2.1176470588235294</v>
      </c>
      <c r="E20" s="65">
        <v>0.23529411764705882</v>
      </c>
      <c r="F20" s="65">
        <v>0.35294117647058826</v>
      </c>
      <c r="G20" s="65">
        <v>0.32575757575757575</v>
      </c>
      <c r="H20" s="65">
        <v>0.14393939393939395</v>
      </c>
      <c r="I20" s="66">
        <v>6330.2325581395353</v>
      </c>
      <c r="J20" s="66">
        <v>-8494.7368421052633</v>
      </c>
      <c r="K20" s="65">
        <v>5.8823529411764705E-2</v>
      </c>
      <c r="L20" s="65">
        <v>5.8823529411764705E-2</v>
      </c>
      <c r="M20" s="65">
        <v>0.20454545454545456</v>
      </c>
      <c r="N20" s="65">
        <v>0.34090909090909088</v>
      </c>
      <c r="O20" s="65">
        <v>0.62962962962962965</v>
      </c>
      <c r="P20" s="65">
        <v>0.42222222222222222</v>
      </c>
      <c r="Q20" s="65">
        <v>0.34883720930232559</v>
      </c>
    </row>
    <row r="21" spans="1:17" x14ac:dyDescent="0.4">
      <c r="A21" s="67">
        <v>18</v>
      </c>
      <c r="B21" s="64">
        <v>-28.199999999999996</v>
      </c>
      <c r="C21" s="64">
        <v>-1.5666666666666664</v>
      </c>
      <c r="D21" s="69">
        <v>2.0555555555555554</v>
      </c>
      <c r="E21" s="65">
        <v>0.27777777777777779</v>
      </c>
      <c r="F21" s="65">
        <v>0.33333333333333331</v>
      </c>
      <c r="G21" s="65">
        <v>0.33571428571428569</v>
      </c>
      <c r="H21" s="65">
        <v>0.1357142857142857</v>
      </c>
      <c r="I21" s="66">
        <v>6131.9148936170213</v>
      </c>
      <c r="J21" s="66">
        <v>-8494.7368421052633</v>
      </c>
      <c r="K21" s="65">
        <v>5.5555555555555552E-2</v>
      </c>
      <c r="L21" s="65">
        <v>5.5555555555555552E-2</v>
      </c>
      <c r="M21" s="65">
        <v>0.2</v>
      </c>
      <c r="N21" s="65">
        <v>0.35714285714285715</v>
      </c>
      <c r="O21" s="65">
        <v>0.6071428571428571</v>
      </c>
      <c r="P21" s="65">
        <v>0.44</v>
      </c>
      <c r="Q21" s="65">
        <v>0.34042553191489361</v>
      </c>
    </row>
    <row r="22" spans="1:17" x14ac:dyDescent="0.4">
      <c r="A22" s="67">
        <v>19</v>
      </c>
      <c r="B22" s="64">
        <v>29.200000000000003</v>
      </c>
      <c r="C22" s="64">
        <v>1.536842105263158</v>
      </c>
      <c r="D22" s="69">
        <v>2</v>
      </c>
      <c r="E22" s="65">
        <v>0.31578947368421051</v>
      </c>
      <c r="F22" s="65">
        <v>0.31578947368421051</v>
      </c>
      <c r="G22" s="65">
        <v>0.34693877551020408</v>
      </c>
      <c r="H22" s="65">
        <v>0.1360544217687075</v>
      </c>
      <c r="I22" s="66">
        <v>6884.3137254901958</v>
      </c>
      <c r="J22" s="66">
        <v>-8670</v>
      </c>
      <c r="K22" s="65">
        <v>5.2631578947368418E-2</v>
      </c>
      <c r="L22" s="65">
        <v>0.10526315789473684</v>
      </c>
      <c r="M22" s="65">
        <v>0.21088435374149661</v>
      </c>
      <c r="N22" s="65">
        <v>0.35374149659863946</v>
      </c>
      <c r="O22" s="65">
        <v>0.64516129032258063</v>
      </c>
      <c r="P22" s="65">
        <v>0.44230769230769229</v>
      </c>
      <c r="Q22" s="65">
        <v>0.37254901960784315</v>
      </c>
    </row>
    <row r="23" spans="1:17" x14ac:dyDescent="0.4">
      <c r="A23" s="67">
        <v>20</v>
      </c>
      <c r="B23" s="64">
        <v>43</v>
      </c>
      <c r="C23" s="64">
        <v>2.15</v>
      </c>
      <c r="D23" s="69">
        <v>2</v>
      </c>
      <c r="E23" s="65">
        <v>0.3</v>
      </c>
      <c r="F23" s="65">
        <v>0.3</v>
      </c>
      <c r="G23" s="65">
        <v>0.35802469135802467</v>
      </c>
      <c r="H23" s="65">
        <v>0.13580246913580246</v>
      </c>
      <c r="I23" s="66">
        <v>6710.3448275862065</v>
      </c>
      <c r="J23" s="66">
        <v>-8440.9090909090901</v>
      </c>
      <c r="K23" s="65">
        <v>0.05</v>
      </c>
      <c r="L23" s="65">
        <v>0.1</v>
      </c>
      <c r="M23" s="65">
        <v>0.20987654320987653</v>
      </c>
      <c r="N23" s="65">
        <v>0.36419753086419754</v>
      </c>
      <c r="O23" s="65">
        <v>0.6470588235294118</v>
      </c>
      <c r="P23" s="65">
        <v>0.44067796610169491</v>
      </c>
      <c r="Q23" s="65">
        <v>0.37931034482758619</v>
      </c>
    </row>
    <row r="24" spans="1:17" x14ac:dyDescent="0.4">
      <c r="A24" s="67">
        <v>21</v>
      </c>
      <c r="B24" s="64">
        <v>89.9</v>
      </c>
      <c r="C24" s="64">
        <v>4.2809523809523808</v>
      </c>
      <c r="D24" s="69">
        <v>1.9523809523809523</v>
      </c>
      <c r="E24" s="65">
        <v>0.33333333333333331</v>
      </c>
      <c r="F24" s="65">
        <v>0.2857142857142857</v>
      </c>
      <c r="G24" s="65">
        <v>0.35260115606936415</v>
      </c>
      <c r="H24" s="65">
        <v>0.13294797687861271</v>
      </c>
      <c r="I24" s="66">
        <v>6804.9180327868853</v>
      </c>
      <c r="J24" s="66">
        <v>-8160.869565217391</v>
      </c>
      <c r="K24" s="65">
        <v>4.7619047619047616E-2</v>
      </c>
      <c r="L24" s="65">
        <v>9.5238095238095233E-2</v>
      </c>
      <c r="M24" s="65">
        <v>0.2138728323699422</v>
      </c>
      <c r="N24" s="65">
        <v>0.36416184971098264</v>
      </c>
      <c r="O24" s="65">
        <v>0.64864864864864868</v>
      </c>
      <c r="P24" s="65">
        <v>0.41269841269841268</v>
      </c>
      <c r="Q24" s="65">
        <v>0.39344262295081966</v>
      </c>
    </row>
    <row r="25" spans="1:17" x14ac:dyDescent="0.4">
      <c r="A25" s="67">
        <v>22</v>
      </c>
      <c r="B25" s="64">
        <v>54.7</v>
      </c>
      <c r="C25" s="64">
        <v>2.4863636363636363</v>
      </c>
      <c r="D25" s="69">
        <v>2</v>
      </c>
      <c r="E25" s="65">
        <v>0.31818181818181818</v>
      </c>
      <c r="F25" s="65">
        <v>0.31818181818181818</v>
      </c>
      <c r="G25" s="65">
        <v>0.34615384615384615</v>
      </c>
      <c r="H25" s="65">
        <v>0.13736263736263737</v>
      </c>
      <c r="I25" s="66">
        <v>6749.2063492063489</v>
      </c>
      <c r="J25" s="66">
        <v>-8384</v>
      </c>
      <c r="K25" s="65">
        <v>4.5454545454545456E-2</v>
      </c>
      <c r="L25" s="65">
        <v>9.0909090909090912E-2</v>
      </c>
      <c r="M25" s="65">
        <v>0.21978021978021978</v>
      </c>
      <c r="N25" s="65">
        <v>0.35164835164835168</v>
      </c>
      <c r="O25" s="65">
        <v>0.625</v>
      </c>
      <c r="P25" s="65">
        <v>0.421875</v>
      </c>
      <c r="Q25" s="65">
        <v>0.41269841269841268</v>
      </c>
    </row>
    <row r="26" spans="1:17" x14ac:dyDescent="0.4">
      <c r="A26" s="67">
        <v>23</v>
      </c>
      <c r="B26" s="64">
        <v>-5.3999999999999986</v>
      </c>
      <c r="C26" s="64">
        <v>-0.23478260869565212</v>
      </c>
      <c r="D26" s="69">
        <v>2.0434782608695654</v>
      </c>
      <c r="E26" s="65">
        <v>0.30434782608695654</v>
      </c>
      <c r="F26" s="65">
        <v>0.34782608695652173</v>
      </c>
      <c r="G26" s="65">
        <v>0.33333333333333331</v>
      </c>
      <c r="H26" s="65">
        <v>0.14285714285714285</v>
      </c>
      <c r="I26" s="66">
        <v>6749.2063492063489</v>
      </c>
      <c r="J26" s="66">
        <v>-8785.1851851851843</v>
      </c>
      <c r="K26" s="65">
        <v>8.6956521739130432E-2</v>
      </c>
      <c r="L26" s="65">
        <v>8.6956521739130432E-2</v>
      </c>
      <c r="M26" s="65">
        <v>0.2275132275132275</v>
      </c>
      <c r="N26" s="65">
        <v>0.3439153439153439</v>
      </c>
      <c r="O26" s="65">
        <v>0.58139534883720934</v>
      </c>
      <c r="P26" s="65">
        <v>0.41538461538461541</v>
      </c>
      <c r="Q26" s="65">
        <v>0.41269841269841268</v>
      </c>
    </row>
    <row r="27" spans="1:17" x14ac:dyDescent="0.4">
      <c r="A27" s="67">
        <v>24</v>
      </c>
      <c r="B27" s="64">
        <v>68.900000000000006</v>
      </c>
      <c r="C27" s="64">
        <v>2.8708333333333336</v>
      </c>
      <c r="D27" s="69">
        <v>2</v>
      </c>
      <c r="E27" s="65">
        <v>0.33333333333333331</v>
      </c>
      <c r="F27" s="65">
        <v>0.33333333333333331</v>
      </c>
      <c r="G27" s="65">
        <v>0.34358974358974359</v>
      </c>
      <c r="H27" s="65">
        <v>0.13846153846153847</v>
      </c>
      <c r="I27" s="66">
        <v>7256.7164179104475</v>
      </c>
      <c r="J27" s="66">
        <v>-8785.1851851851843</v>
      </c>
      <c r="K27" s="65">
        <v>8.3333333333333329E-2</v>
      </c>
      <c r="L27" s="65">
        <v>0.125</v>
      </c>
      <c r="M27" s="65">
        <v>0.23589743589743589</v>
      </c>
      <c r="N27" s="65">
        <v>0.33846153846153848</v>
      </c>
      <c r="O27" s="65">
        <v>0.58695652173913049</v>
      </c>
      <c r="P27" s="65">
        <v>0.42424242424242425</v>
      </c>
      <c r="Q27" s="65">
        <v>0.40298507462686567</v>
      </c>
    </row>
    <row r="28" spans="1:17" x14ac:dyDescent="0.4">
      <c r="A28" s="67">
        <v>25</v>
      </c>
      <c r="B28" s="64">
        <v>30.400000000000006</v>
      </c>
      <c r="C28" s="64">
        <v>1.2160000000000002</v>
      </c>
      <c r="D28" s="69">
        <v>2.04</v>
      </c>
      <c r="E28" s="65">
        <v>0.32</v>
      </c>
      <c r="F28" s="65">
        <v>0.36</v>
      </c>
      <c r="G28" s="65">
        <v>0.3446601941747573</v>
      </c>
      <c r="H28" s="65">
        <v>0.14563106796116504</v>
      </c>
      <c r="I28" s="66">
        <v>7145.070422535211</v>
      </c>
      <c r="J28" s="66">
        <v>-8900</v>
      </c>
      <c r="K28" s="65">
        <v>0.08</v>
      </c>
      <c r="L28" s="65">
        <v>0.12</v>
      </c>
      <c r="M28" s="65">
        <v>0.23300970873786409</v>
      </c>
      <c r="N28" s="65">
        <v>0.3300970873786408</v>
      </c>
      <c r="O28" s="65">
        <v>0.58333333333333337</v>
      </c>
      <c r="P28" s="65">
        <v>0.41176470588235292</v>
      </c>
      <c r="Q28" s="65">
        <v>0.40845070422535212</v>
      </c>
    </row>
    <row r="29" spans="1:17" x14ac:dyDescent="0.4">
      <c r="A29" s="67">
        <v>26</v>
      </c>
      <c r="B29" s="64">
        <v>32.900000000000006</v>
      </c>
      <c r="C29" s="64">
        <v>1.2653846153846156</v>
      </c>
      <c r="D29" s="69">
        <v>2.0384615384615383</v>
      </c>
      <c r="E29" s="65">
        <v>0.30769230769230771</v>
      </c>
      <c r="F29" s="65">
        <v>0.34615384615384615</v>
      </c>
      <c r="G29" s="65">
        <v>0.34579439252336447</v>
      </c>
      <c r="H29" s="65">
        <v>0.14018691588785046</v>
      </c>
      <c r="I29" s="66">
        <v>6987.8378378378375</v>
      </c>
      <c r="J29" s="66">
        <v>-8900</v>
      </c>
      <c r="K29" s="65">
        <v>7.6923076923076927E-2</v>
      </c>
      <c r="L29" s="65">
        <v>0.11538461538461539</v>
      </c>
      <c r="M29" s="65">
        <v>0.23364485981308411</v>
      </c>
      <c r="N29" s="65">
        <v>0.32710280373831774</v>
      </c>
      <c r="O29" s="65">
        <v>0.57999999999999996</v>
      </c>
      <c r="P29" s="65">
        <v>0.41428571428571431</v>
      </c>
      <c r="Q29" s="65">
        <v>0.41891891891891891</v>
      </c>
    </row>
    <row r="30" spans="1:17" x14ac:dyDescent="0.4">
      <c r="A30" s="67">
        <v>27</v>
      </c>
      <c r="B30" s="64">
        <v>40.400000000000006</v>
      </c>
      <c r="C30" s="64">
        <v>1.4962962962962965</v>
      </c>
      <c r="D30" s="69">
        <v>2.0370370370370372</v>
      </c>
      <c r="E30" s="65">
        <v>0.29629629629629628</v>
      </c>
      <c r="F30" s="65">
        <v>0.33333333333333331</v>
      </c>
      <c r="G30" s="65">
        <v>0.34080717488789236</v>
      </c>
      <c r="H30" s="65">
        <v>0.13452914798206278</v>
      </c>
      <c r="I30" s="66">
        <v>7038.1578947368425</v>
      </c>
      <c r="J30" s="66">
        <v>-8900</v>
      </c>
      <c r="K30" s="65">
        <v>7.407407407407407E-2</v>
      </c>
      <c r="L30" s="65">
        <v>0.1111111111111111</v>
      </c>
      <c r="M30" s="65">
        <v>0.22421524663677131</v>
      </c>
      <c r="N30" s="65">
        <v>0.3452914798206278</v>
      </c>
      <c r="O30" s="65">
        <v>0.57999999999999996</v>
      </c>
      <c r="P30" s="65">
        <v>0.40259740259740262</v>
      </c>
      <c r="Q30" s="65">
        <v>0.42105263157894735</v>
      </c>
    </row>
    <row r="31" spans="1:17" x14ac:dyDescent="0.4">
      <c r="A31" s="67">
        <v>28</v>
      </c>
      <c r="B31" s="64">
        <v>8.3000000000000043</v>
      </c>
      <c r="C31" s="64">
        <v>0.2964285714285716</v>
      </c>
      <c r="D31" s="69">
        <v>2.0714285714285716</v>
      </c>
      <c r="E31" s="65">
        <v>0.2857142857142857</v>
      </c>
      <c r="F31" s="65">
        <v>0.35714285714285715</v>
      </c>
      <c r="G31" s="65">
        <v>0.34334763948497854</v>
      </c>
      <c r="H31" s="65">
        <v>0.14592274678111589</v>
      </c>
      <c r="I31" s="66">
        <v>6993.75</v>
      </c>
      <c r="J31" s="66">
        <v>-8932.3529411764703</v>
      </c>
      <c r="K31" s="65">
        <v>7.1428571428571425E-2</v>
      </c>
      <c r="L31" s="65">
        <v>0.10714285714285714</v>
      </c>
      <c r="M31" s="65">
        <v>0.22317596566523606</v>
      </c>
      <c r="N31" s="65">
        <v>0.33476394849785407</v>
      </c>
      <c r="O31" s="65">
        <v>0.57692307692307687</v>
      </c>
      <c r="P31" s="65">
        <v>0.39743589743589741</v>
      </c>
      <c r="Q31" s="65">
        <v>0.41249999999999998</v>
      </c>
    </row>
    <row r="32" spans="1:17" x14ac:dyDescent="0.4">
      <c r="A32" s="67">
        <v>29</v>
      </c>
      <c r="B32" s="64">
        <v>90.800000000000011</v>
      </c>
      <c r="C32" s="64">
        <v>3.1310344827586212</v>
      </c>
      <c r="D32" s="69">
        <v>2.0344827586206895</v>
      </c>
      <c r="E32" s="65">
        <v>0.31034482758620691</v>
      </c>
      <c r="F32" s="65">
        <v>0.34482758620689657</v>
      </c>
      <c r="G32" s="65">
        <v>0.35390946502057613</v>
      </c>
      <c r="H32" s="65">
        <v>0.1440329218106996</v>
      </c>
      <c r="I32" s="66">
        <v>7065.1162790697672</v>
      </c>
      <c r="J32" s="66">
        <v>-8751.4285714285706</v>
      </c>
      <c r="K32" s="65">
        <v>6.8965517241379309E-2</v>
      </c>
      <c r="L32" s="65">
        <v>0.13793103448275862</v>
      </c>
      <c r="M32" s="65">
        <v>0.22633744855967078</v>
      </c>
      <c r="N32" s="65">
        <v>0.34156378600823045</v>
      </c>
      <c r="O32" s="65">
        <v>0.58181818181818179</v>
      </c>
      <c r="P32" s="65">
        <v>0.40963855421686746</v>
      </c>
      <c r="Q32" s="65">
        <v>0.40697674418604651</v>
      </c>
    </row>
    <row r="33" spans="1:17" x14ac:dyDescent="0.4">
      <c r="A33" s="67">
        <v>30</v>
      </c>
      <c r="B33" s="64">
        <v>63.300000000000011</v>
      </c>
      <c r="C33" s="64">
        <v>2.1100000000000003</v>
      </c>
      <c r="D33" s="69">
        <v>2.0666666666666669</v>
      </c>
      <c r="E33" s="65">
        <v>0.3</v>
      </c>
      <c r="F33" s="65">
        <v>0.36666666666666664</v>
      </c>
      <c r="G33" s="65">
        <v>0.34901960784313724</v>
      </c>
      <c r="H33" s="65">
        <v>0.14509803921568629</v>
      </c>
      <c r="I33" s="66">
        <v>7180.8988764044943</v>
      </c>
      <c r="J33" s="66">
        <v>-8851.3513513513517</v>
      </c>
      <c r="K33" s="65">
        <v>6.6666666666666666E-2</v>
      </c>
      <c r="L33" s="65">
        <v>0.13333333333333333</v>
      </c>
      <c r="M33" s="65">
        <v>0.21568627450980393</v>
      </c>
      <c r="N33" s="65">
        <v>0.34509803921568627</v>
      </c>
      <c r="O33" s="65">
        <v>0.58181818181818179</v>
      </c>
      <c r="P33" s="65">
        <v>0.42045454545454547</v>
      </c>
      <c r="Q33" s="65">
        <v>0.4044943820224719</v>
      </c>
    </row>
    <row r="34" spans="1:17" x14ac:dyDescent="0.4">
      <c r="A34" s="67">
        <v>31</v>
      </c>
      <c r="B34" s="64">
        <v>114.4</v>
      </c>
      <c r="C34" s="64">
        <v>3.6903225806451614</v>
      </c>
      <c r="D34" s="69">
        <v>2.032258064516129</v>
      </c>
      <c r="E34" s="65">
        <v>0.32258064516129031</v>
      </c>
      <c r="F34" s="65">
        <v>0.35483870967741937</v>
      </c>
      <c r="G34" s="65">
        <v>0.35114503816793891</v>
      </c>
      <c r="H34" s="65">
        <v>0.14503816793893129</v>
      </c>
      <c r="I34" s="66">
        <v>7370.652173913043</v>
      </c>
      <c r="J34" s="66">
        <v>-8686.8421052631584</v>
      </c>
      <c r="K34" s="65">
        <v>6.4516129032258063E-2</v>
      </c>
      <c r="L34" s="65">
        <v>0.16129032258064516</v>
      </c>
      <c r="M34" s="65">
        <v>0.22137404580152673</v>
      </c>
      <c r="N34" s="65">
        <v>0.33969465648854963</v>
      </c>
      <c r="O34" s="65">
        <v>0.58620689655172409</v>
      </c>
      <c r="P34" s="65">
        <v>0.4157303370786517</v>
      </c>
      <c r="Q34" s="65">
        <v>0.41304347826086957</v>
      </c>
    </row>
    <row r="35" spans="1:17" x14ac:dyDescent="0.4">
      <c r="A35" s="67">
        <v>32</v>
      </c>
      <c r="B35" s="64">
        <v>76.900000000000006</v>
      </c>
      <c r="C35" s="64">
        <v>2.4031250000000002</v>
      </c>
      <c r="D35" s="69">
        <v>2.0625</v>
      </c>
      <c r="E35" s="65">
        <v>0.3125</v>
      </c>
      <c r="F35" s="65">
        <v>0.375</v>
      </c>
      <c r="G35" s="65">
        <v>0.35164835164835168</v>
      </c>
      <c r="H35" s="65">
        <v>0.14285714285714285</v>
      </c>
      <c r="I35" s="66">
        <v>7340.625</v>
      </c>
      <c r="J35" s="66">
        <v>-8612.8205128205136</v>
      </c>
      <c r="K35" s="65">
        <v>6.25E-2</v>
      </c>
      <c r="L35" s="65">
        <v>0.15625</v>
      </c>
      <c r="M35" s="65">
        <v>0.21978021978021978</v>
      </c>
      <c r="N35" s="65">
        <v>0.32600732600732601</v>
      </c>
      <c r="O35" s="65">
        <v>0.58333333333333337</v>
      </c>
      <c r="P35" s="65">
        <v>0.4157303370786517</v>
      </c>
      <c r="Q35" s="65">
        <v>0.40625</v>
      </c>
    </row>
    <row r="36" spans="1:17" x14ac:dyDescent="0.4">
      <c r="A36" s="67">
        <v>33</v>
      </c>
      <c r="B36" s="64">
        <v>42.500000000000007</v>
      </c>
      <c r="C36" s="64">
        <v>1.2878787878787881</v>
      </c>
      <c r="D36" s="69">
        <v>2.0909090909090908</v>
      </c>
      <c r="E36" s="65">
        <v>0.30303030303030304</v>
      </c>
      <c r="F36" s="65">
        <v>0.39393939393939392</v>
      </c>
      <c r="G36" s="65">
        <v>0.3475177304964539</v>
      </c>
      <c r="H36" s="65">
        <v>0.14184397163120568</v>
      </c>
      <c r="I36" s="66">
        <v>7260.2040816326535</v>
      </c>
      <c r="J36" s="66">
        <v>-8495</v>
      </c>
      <c r="K36" s="65">
        <v>6.0606060606060608E-2</v>
      </c>
      <c r="L36" s="65">
        <v>0.15151515151515152</v>
      </c>
      <c r="M36" s="65">
        <v>0.22695035460992907</v>
      </c>
      <c r="N36" s="65">
        <v>0.31914893617021278</v>
      </c>
      <c r="O36" s="65">
        <v>0.578125</v>
      </c>
      <c r="P36" s="65">
        <v>0.41111111111111109</v>
      </c>
      <c r="Q36" s="65">
        <v>0.41836734693877553</v>
      </c>
    </row>
    <row r="37" spans="1:17" x14ac:dyDescent="0.4">
      <c r="A37" s="67">
        <v>34</v>
      </c>
      <c r="B37" s="64">
        <v>9.8000000000000043</v>
      </c>
      <c r="C37" s="64">
        <v>0.2882352941176472</v>
      </c>
      <c r="D37" s="69">
        <v>2.1176470588235294</v>
      </c>
      <c r="E37" s="65">
        <v>0.29411764705882354</v>
      </c>
      <c r="F37" s="65">
        <v>0.41176470588235292</v>
      </c>
      <c r="G37" s="65">
        <v>0.34602076124567471</v>
      </c>
      <c r="H37" s="65">
        <v>0.14878892733564014</v>
      </c>
      <c r="I37" s="66">
        <v>7256</v>
      </c>
      <c r="J37" s="66">
        <v>-8306.9767441860458</v>
      </c>
      <c r="K37" s="65">
        <v>5.8823529411764705E-2</v>
      </c>
      <c r="L37" s="65">
        <v>0.14705882352941177</v>
      </c>
      <c r="M37" s="65">
        <v>0.23183391003460208</v>
      </c>
      <c r="N37" s="65">
        <v>0.31833910034602075</v>
      </c>
      <c r="O37" s="65">
        <v>0.56716417910447758</v>
      </c>
      <c r="P37" s="65">
        <v>0.41304347826086957</v>
      </c>
      <c r="Q37" s="65">
        <v>0.43</v>
      </c>
    </row>
    <row r="38" spans="1:17" x14ac:dyDescent="0.4">
      <c r="A38" s="67">
        <v>35</v>
      </c>
      <c r="B38" s="64">
        <v>-8.2999999999999972</v>
      </c>
      <c r="C38" s="64">
        <v>-0.23714285714285707</v>
      </c>
      <c r="D38" s="69">
        <v>2.1142857142857143</v>
      </c>
      <c r="E38" s="65">
        <v>0.2857142857142857</v>
      </c>
      <c r="F38" s="65">
        <v>0.4</v>
      </c>
      <c r="G38" s="65">
        <v>0.35016835016835018</v>
      </c>
      <c r="H38" s="65">
        <v>0.14814814814814814</v>
      </c>
      <c r="I38" s="66">
        <v>7118.2692307692305</v>
      </c>
      <c r="J38" s="66">
        <v>-8481.818181818182</v>
      </c>
      <c r="K38" s="65">
        <v>5.7142857142857141E-2</v>
      </c>
      <c r="L38" s="65">
        <v>0.14285714285714285</v>
      </c>
      <c r="M38" s="65">
        <v>0.22895622895622897</v>
      </c>
      <c r="N38" s="65">
        <v>0.3164983164983165</v>
      </c>
      <c r="O38" s="65">
        <v>0.55882352941176472</v>
      </c>
      <c r="P38" s="65">
        <v>0.42553191489361702</v>
      </c>
      <c r="Q38" s="65">
        <v>0.44230769230769229</v>
      </c>
    </row>
    <row r="39" spans="1:17" x14ac:dyDescent="0.4">
      <c r="A39" s="67">
        <v>36</v>
      </c>
      <c r="B39" s="64">
        <v>-9.6999999999999975</v>
      </c>
      <c r="C39" s="64">
        <v>-0.26944444444444438</v>
      </c>
      <c r="D39" s="69">
        <v>2.1111111111111112</v>
      </c>
      <c r="E39" s="65">
        <v>0.27777777777777779</v>
      </c>
      <c r="F39" s="65">
        <v>0.3888888888888889</v>
      </c>
      <c r="G39" s="65">
        <v>0.35197368421052633</v>
      </c>
      <c r="H39" s="65">
        <v>0.14473684210526316</v>
      </c>
      <c r="I39" s="66">
        <v>7055.1401869158881</v>
      </c>
      <c r="J39" s="66">
        <v>-8481.818181818182</v>
      </c>
      <c r="K39" s="65">
        <v>5.5555555555555552E-2</v>
      </c>
      <c r="L39" s="65">
        <v>0.1388888888888889</v>
      </c>
      <c r="M39" s="65">
        <v>0.23026315789473684</v>
      </c>
      <c r="N39" s="65">
        <v>0.3125</v>
      </c>
      <c r="O39" s="65">
        <v>0.5714285714285714</v>
      </c>
      <c r="P39" s="65">
        <v>0.42105263157894735</v>
      </c>
      <c r="Q39" s="65">
        <v>0.43925233644859812</v>
      </c>
    </row>
    <row r="40" spans="1:17" x14ac:dyDescent="0.4">
      <c r="A40" s="67">
        <v>37</v>
      </c>
      <c r="B40" s="64">
        <v>30.000000000000007</v>
      </c>
      <c r="C40" s="64">
        <v>0.81081081081081097</v>
      </c>
      <c r="D40" s="69">
        <v>2.0810810810810811</v>
      </c>
      <c r="E40" s="65">
        <v>0.29729729729729731</v>
      </c>
      <c r="F40" s="65">
        <v>0.3783783783783784</v>
      </c>
      <c r="G40" s="65">
        <v>0.35576923076923078</v>
      </c>
      <c r="H40" s="65">
        <v>0.14102564102564102</v>
      </c>
      <c r="I40" s="66">
        <v>7009.9099099099103</v>
      </c>
      <c r="J40" s="66">
        <v>-8481.818181818182</v>
      </c>
      <c r="K40" s="65">
        <v>5.4054054054054057E-2</v>
      </c>
      <c r="L40" s="65">
        <v>0.13513513513513514</v>
      </c>
      <c r="M40" s="65">
        <v>0.23076923076923078</v>
      </c>
      <c r="N40" s="65">
        <v>0.30448717948717946</v>
      </c>
      <c r="O40" s="65">
        <v>0.58333333333333337</v>
      </c>
      <c r="P40" s="65">
        <v>0.42105263157894735</v>
      </c>
      <c r="Q40" s="65">
        <v>0.42342342342342343</v>
      </c>
    </row>
    <row r="41" spans="1:17" x14ac:dyDescent="0.4">
      <c r="A41" s="67">
        <v>38</v>
      </c>
      <c r="B41" s="64">
        <v>32.100000000000009</v>
      </c>
      <c r="C41" s="64">
        <v>0.84473684210526334</v>
      </c>
      <c r="D41" s="69">
        <v>2.0789473684210527</v>
      </c>
      <c r="E41" s="65">
        <v>0.28947368421052633</v>
      </c>
      <c r="F41" s="65">
        <v>0.36842105263157893</v>
      </c>
      <c r="G41" s="65">
        <v>0.3611111111111111</v>
      </c>
      <c r="H41" s="65">
        <v>0.14506172839506173</v>
      </c>
      <c r="I41" s="66">
        <v>6950.4273504273506</v>
      </c>
      <c r="J41" s="66">
        <v>-8706.3829787234044</v>
      </c>
      <c r="K41" s="65">
        <v>5.2631578947368418E-2</v>
      </c>
      <c r="L41" s="65">
        <v>0.13157894736842105</v>
      </c>
      <c r="M41" s="65">
        <v>0.23148148148148148</v>
      </c>
      <c r="N41" s="65">
        <v>0.30246913580246915</v>
      </c>
      <c r="O41" s="65">
        <v>0.58666666666666667</v>
      </c>
      <c r="P41" s="65">
        <v>0.41836734693877553</v>
      </c>
      <c r="Q41" s="65">
        <v>0.42735042735042733</v>
      </c>
    </row>
    <row r="42" spans="1:17" x14ac:dyDescent="0.4">
      <c r="A42" s="67">
        <v>39</v>
      </c>
      <c r="B42" s="64">
        <v>62.800000000000011</v>
      </c>
      <c r="C42" s="64">
        <v>1.6102564102564105</v>
      </c>
      <c r="D42" s="69">
        <v>2.0512820512820511</v>
      </c>
      <c r="E42" s="65">
        <v>0.30769230769230771</v>
      </c>
      <c r="F42" s="65">
        <v>0.35897435897435898</v>
      </c>
      <c r="G42" s="65">
        <v>0.36445783132530118</v>
      </c>
      <c r="H42" s="65">
        <v>0.14156626506024098</v>
      </c>
      <c r="I42" s="66">
        <v>6833.0578512396696</v>
      </c>
      <c r="J42" s="66">
        <v>-8706.3829787234044</v>
      </c>
      <c r="K42" s="65">
        <v>5.128205128205128E-2</v>
      </c>
      <c r="L42" s="65">
        <v>0.12820512820512819</v>
      </c>
      <c r="M42" s="65">
        <v>0.2289156626506024</v>
      </c>
      <c r="N42" s="65">
        <v>0.30120481927710846</v>
      </c>
      <c r="O42" s="65">
        <v>0.59210526315789469</v>
      </c>
      <c r="P42" s="65">
        <v>0.42</v>
      </c>
      <c r="Q42" s="65">
        <v>0.42148760330578511</v>
      </c>
    </row>
    <row r="43" spans="1:17" x14ac:dyDescent="0.4">
      <c r="A43" s="67">
        <v>40</v>
      </c>
      <c r="B43" s="64">
        <v>37.70000000000001</v>
      </c>
      <c r="C43" s="64">
        <v>0.94250000000000023</v>
      </c>
      <c r="D43" s="69">
        <v>2.0750000000000002</v>
      </c>
      <c r="E43" s="65">
        <v>0.3</v>
      </c>
      <c r="F43" s="65">
        <v>0.375</v>
      </c>
      <c r="G43" s="65">
        <v>0.36549707602339182</v>
      </c>
      <c r="H43" s="65">
        <v>0.14035087719298245</v>
      </c>
      <c r="I43" s="66">
        <v>6813.6</v>
      </c>
      <c r="J43" s="66">
        <v>-8858.3333333333339</v>
      </c>
      <c r="K43" s="65">
        <v>0.05</v>
      </c>
      <c r="L43" s="65">
        <v>0.125</v>
      </c>
      <c r="M43" s="65">
        <v>0.23391812865497075</v>
      </c>
      <c r="N43" s="65">
        <v>0.30116959064327486</v>
      </c>
      <c r="O43" s="65">
        <v>0.58750000000000002</v>
      </c>
      <c r="P43" s="65">
        <v>0.41747572815533979</v>
      </c>
      <c r="Q43" s="65">
        <v>0.41599999999999998</v>
      </c>
    </row>
    <row r="44" spans="1:17" x14ac:dyDescent="0.4">
      <c r="A44" s="67">
        <v>41</v>
      </c>
      <c r="B44" s="64">
        <v>46.900000000000006</v>
      </c>
      <c r="C44" s="64">
        <v>1.1439024390243904</v>
      </c>
      <c r="D44" s="69">
        <v>2.0731707317073171</v>
      </c>
      <c r="E44" s="65">
        <v>0.29268292682926828</v>
      </c>
      <c r="F44" s="65">
        <v>0.36585365853658536</v>
      </c>
      <c r="G44" s="65">
        <v>0.36752136752136755</v>
      </c>
      <c r="H44" s="65">
        <v>0.1396011396011396</v>
      </c>
      <c r="I44" s="66">
        <v>6808.5271317829456</v>
      </c>
      <c r="J44" s="66">
        <v>-8834.6938775510207</v>
      </c>
      <c r="K44" s="65">
        <v>4.878048780487805E-2</v>
      </c>
      <c r="L44" s="65">
        <v>0.12195121951219512</v>
      </c>
      <c r="M44" s="65">
        <v>0.23646723646723647</v>
      </c>
      <c r="N44" s="65">
        <v>0.29629629629629628</v>
      </c>
      <c r="O44" s="65">
        <v>0.60240963855421692</v>
      </c>
      <c r="P44" s="65">
        <v>0.41346153846153844</v>
      </c>
      <c r="Q44" s="65">
        <v>0.41860465116279072</v>
      </c>
    </row>
    <row r="45" spans="1:17" x14ac:dyDescent="0.4">
      <c r="A45" s="67">
        <v>42</v>
      </c>
      <c r="B45" s="64">
        <v>42.300000000000004</v>
      </c>
      <c r="C45" s="64">
        <v>1.0071428571428573</v>
      </c>
      <c r="D45" s="69">
        <v>2.0714285714285716</v>
      </c>
      <c r="E45" s="65">
        <v>0.2857142857142857</v>
      </c>
      <c r="F45" s="65">
        <v>0.35714285714285715</v>
      </c>
      <c r="G45" s="65">
        <v>0.36684782608695654</v>
      </c>
      <c r="H45" s="65">
        <v>0.1358695652173913</v>
      </c>
      <c r="I45" s="66">
        <v>6739.2592592592591</v>
      </c>
      <c r="J45" s="66">
        <v>-8898</v>
      </c>
      <c r="K45" s="65">
        <v>4.7619047619047616E-2</v>
      </c>
      <c r="L45" s="65">
        <v>0.11904761904761904</v>
      </c>
      <c r="M45" s="65">
        <v>0.23369565217391305</v>
      </c>
      <c r="N45" s="65">
        <v>0.29891304347826086</v>
      </c>
      <c r="O45" s="65">
        <v>0.59302325581395354</v>
      </c>
      <c r="P45" s="65">
        <v>0.41818181818181815</v>
      </c>
      <c r="Q45" s="65">
        <v>0.42962962962962964</v>
      </c>
    </row>
    <row r="46" spans="1:17" x14ac:dyDescent="0.4">
      <c r="A46" s="67">
        <v>43</v>
      </c>
      <c r="B46" s="64">
        <v>-32.999999999999993</v>
      </c>
      <c r="C46" s="64">
        <v>-0.76744186046511609</v>
      </c>
      <c r="D46" s="69">
        <v>2.0930232558139537</v>
      </c>
      <c r="E46" s="65">
        <v>0.27906976744186046</v>
      </c>
      <c r="F46" s="65">
        <v>0.37209302325581395</v>
      </c>
      <c r="G46" s="65">
        <v>0.36533333333333334</v>
      </c>
      <c r="H46" s="65">
        <v>0.14133333333333334</v>
      </c>
      <c r="I46" s="66">
        <v>6741.6058394160582</v>
      </c>
      <c r="J46" s="66">
        <v>-9500</v>
      </c>
      <c r="K46" s="65">
        <v>6.9767441860465115E-2</v>
      </c>
      <c r="L46" s="65">
        <v>0.11627906976744186</v>
      </c>
      <c r="M46" s="65">
        <v>0.23200000000000001</v>
      </c>
      <c r="N46" s="65">
        <v>0.29866666666666669</v>
      </c>
      <c r="O46" s="65">
        <v>0.5977011494252874</v>
      </c>
      <c r="P46" s="65">
        <v>0.4107142857142857</v>
      </c>
      <c r="Q46" s="65">
        <v>0.43795620437956206</v>
      </c>
    </row>
    <row r="47" spans="1:17" x14ac:dyDescent="0.4">
      <c r="A47" s="67">
        <v>44</v>
      </c>
      <c r="B47" s="64">
        <v>-27.999999999999993</v>
      </c>
      <c r="C47" s="64">
        <v>-0.63636363636363624</v>
      </c>
      <c r="D47" s="69">
        <v>2.0909090909090908</v>
      </c>
      <c r="E47" s="65">
        <v>0.27272727272727271</v>
      </c>
      <c r="F47" s="65">
        <v>0.36363636363636365</v>
      </c>
      <c r="G47" s="65">
        <v>0.36363636363636365</v>
      </c>
      <c r="H47" s="65">
        <v>0.13766233766233765</v>
      </c>
      <c r="I47" s="66">
        <v>6724.2857142857147</v>
      </c>
      <c r="J47" s="66">
        <v>-9500</v>
      </c>
      <c r="K47" s="65">
        <v>6.8181818181818177E-2</v>
      </c>
      <c r="L47" s="65">
        <v>0.11363636363636363</v>
      </c>
      <c r="M47" s="65">
        <v>0.23376623376623376</v>
      </c>
      <c r="N47" s="65">
        <v>0.29350649350649349</v>
      </c>
      <c r="O47" s="65">
        <v>0.6</v>
      </c>
      <c r="P47" s="65">
        <v>0.41592920353982299</v>
      </c>
      <c r="Q47" s="65">
        <v>0.43571428571428572</v>
      </c>
    </row>
    <row r="48" spans="1:17" x14ac:dyDescent="0.4">
      <c r="A48" s="67">
        <v>45</v>
      </c>
      <c r="B48" s="64">
        <v>-25.299999999999994</v>
      </c>
      <c r="C48" s="64">
        <v>-0.56222222222222207</v>
      </c>
      <c r="D48" s="69">
        <v>2.088888888888889</v>
      </c>
      <c r="E48" s="65">
        <v>0.26666666666666666</v>
      </c>
      <c r="F48" s="65">
        <v>0.35555555555555557</v>
      </c>
      <c r="G48" s="65">
        <v>0.36479591836734693</v>
      </c>
      <c r="H48" s="65">
        <v>0.13520408163265307</v>
      </c>
      <c r="I48" s="66">
        <v>6638.4615384615381</v>
      </c>
      <c r="J48" s="66">
        <v>-9500</v>
      </c>
      <c r="K48" s="65">
        <v>6.6666666666666666E-2</v>
      </c>
      <c r="L48" s="65">
        <v>0.1111111111111111</v>
      </c>
      <c r="M48" s="65">
        <v>0.22959183673469388</v>
      </c>
      <c r="N48" s="65">
        <v>0.29336734693877553</v>
      </c>
      <c r="O48" s="65">
        <v>0.6</v>
      </c>
      <c r="P48" s="65">
        <v>0.42608695652173911</v>
      </c>
      <c r="Q48" s="65">
        <v>0.43356643356643354</v>
      </c>
    </row>
    <row r="49" spans="1:17" x14ac:dyDescent="0.4">
      <c r="A49" s="67">
        <v>46</v>
      </c>
      <c r="B49" s="64">
        <v>12.900000000000009</v>
      </c>
      <c r="C49" s="64">
        <v>0.28043478260869587</v>
      </c>
      <c r="D49" s="69">
        <v>2.0652173913043477</v>
      </c>
      <c r="E49" s="65">
        <v>0.28260869565217389</v>
      </c>
      <c r="F49" s="65">
        <v>0.34782608695652173</v>
      </c>
      <c r="G49" s="65">
        <v>0.36724565756823824</v>
      </c>
      <c r="H49" s="65">
        <v>0.13399503722084366</v>
      </c>
      <c r="I49" s="66">
        <v>6645.27027027027</v>
      </c>
      <c r="J49" s="66">
        <v>-9546.2962962962956</v>
      </c>
      <c r="K49" s="65">
        <v>6.5217391304347824E-2</v>
      </c>
      <c r="L49" s="65">
        <v>0.10869565217391304</v>
      </c>
      <c r="M49" s="65">
        <v>0.22580645161290322</v>
      </c>
      <c r="N49" s="65">
        <v>0.29776674937965258</v>
      </c>
      <c r="O49" s="65">
        <v>0.60439560439560436</v>
      </c>
      <c r="P49" s="65">
        <v>0.42499999999999999</v>
      </c>
      <c r="Q49" s="65">
        <v>0.43243243243243246</v>
      </c>
    </row>
    <row r="50" spans="1:17" x14ac:dyDescent="0.4">
      <c r="A50" s="67">
        <v>47</v>
      </c>
      <c r="B50" s="64">
        <v>45.900000000000006</v>
      </c>
      <c r="C50" s="64">
        <v>0.9765957446808512</v>
      </c>
      <c r="D50" s="69">
        <v>2.0425531914893615</v>
      </c>
      <c r="E50" s="65">
        <v>0.2978723404255319</v>
      </c>
      <c r="F50" s="65">
        <v>0.34042553191489361</v>
      </c>
      <c r="G50" s="65">
        <v>0.36407766990291263</v>
      </c>
      <c r="H50" s="65">
        <v>0.13349514563106796</v>
      </c>
      <c r="I50" s="66">
        <v>6696</v>
      </c>
      <c r="J50" s="66">
        <v>-9443.636363636364</v>
      </c>
      <c r="K50" s="65">
        <v>6.3829787234042548E-2</v>
      </c>
      <c r="L50" s="65">
        <v>0.10638297872340426</v>
      </c>
      <c r="M50" s="65">
        <v>0.22330097087378642</v>
      </c>
      <c r="N50" s="65">
        <v>0.30339805825242716</v>
      </c>
      <c r="O50" s="65">
        <v>0.59782608695652173</v>
      </c>
      <c r="P50" s="65">
        <v>0.42399999999999999</v>
      </c>
      <c r="Q50" s="65">
        <v>0.42666666666666669</v>
      </c>
    </row>
    <row r="51" spans="1:17" x14ac:dyDescent="0.4">
      <c r="A51" s="67">
        <v>48</v>
      </c>
      <c r="B51" s="64">
        <v>111.4</v>
      </c>
      <c r="C51" s="64">
        <v>2.3208333333333333</v>
      </c>
      <c r="D51" s="69">
        <v>2.0208333333333335</v>
      </c>
      <c r="E51" s="65">
        <v>0.3125</v>
      </c>
      <c r="F51" s="65">
        <v>0.33333333333333331</v>
      </c>
      <c r="G51" s="65">
        <v>0.36966824644549762</v>
      </c>
      <c r="H51" s="65">
        <v>0.13033175355450238</v>
      </c>
      <c r="I51" s="66">
        <v>6666.0256410256407</v>
      </c>
      <c r="J51" s="66">
        <v>-9443.636363636364</v>
      </c>
      <c r="K51" s="65">
        <v>6.25E-2</v>
      </c>
      <c r="L51" s="65">
        <v>0.125</v>
      </c>
      <c r="M51" s="65">
        <v>0.22274881516587677</v>
      </c>
      <c r="N51" s="65">
        <v>0.30331753554502372</v>
      </c>
      <c r="O51" s="65">
        <v>0.6063829787234043</v>
      </c>
      <c r="P51" s="65">
        <v>0.4296875</v>
      </c>
      <c r="Q51" s="65">
        <v>0.42307692307692307</v>
      </c>
    </row>
    <row r="52" spans="1:17" x14ac:dyDescent="0.4">
      <c r="A52" s="67">
        <v>49</v>
      </c>
      <c r="B52" s="64">
        <v>113</v>
      </c>
      <c r="C52" s="64">
        <v>2.306122448979592</v>
      </c>
      <c r="D52" s="69">
        <v>2.0204081632653059</v>
      </c>
      <c r="E52" s="65">
        <v>0.30612244897959184</v>
      </c>
      <c r="F52" s="65">
        <v>0.32653061224489793</v>
      </c>
      <c r="G52" s="65">
        <v>0.37296037296037299</v>
      </c>
      <c r="H52" s="65">
        <v>0.13053613053613053</v>
      </c>
      <c r="I52" s="66">
        <v>6588.75</v>
      </c>
      <c r="J52" s="66">
        <v>-9412.5</v>
      </c>
      <c r="K52" s="65">
        <v>6.1224489795918366E-2</v>
      </c>
      <c r="L52" s="65">
        <v>0.12244897959183673</v>
      </c>
      <c r="M52" s="65">
        <v>0.21911421911421911</v>
      </c>
      <c r="N52" s="65">
        <v>0.30769230769230771</v>
      </c>
      <c r="O52" s="65">
        <v>0.6063829787234043</v>
      </c>
      <c r="P52" s="65">
        <v>0.43181818181818182</v>
      </c>
      <c r="Q52" s="65">
        <v>0.43125000000000002</v>
      </c>
    </row>
    <row r="53" spans="1:17" x14ac:dyDescent="0.4">
      <c r="A53" s="67">
        <v>50</v>
      </c>
      <c r="B53" s="64">
        <v>106.3</v>
      </c>
      <c r="C53" s="64">
        <v>2.1259999999999999</v>
      </c>
      <c r="D53" s="69">
        <v>2.02</v>
      </c>
      <c r="E53" s="65">
        <v>0.3</v>
      </c>
      <c r="F53" s="65">
        <v>0.32</v>
      </c>
      <c r="G53" s="65">
        <v>0.36842105263157893</v>
      </c>
      <c r="H53" s="65">
        <v>0.13043478260869565</v>
      </c>
      <c r="I53" s="66">
        <v>6597.5155279503106</v>
      </c>
      <c r="J53" s="66">
        <v>-9282.4561403508778</v>
      </c>
      <c r="K53" s="65">
        <v>0.06</v>
      </c>
      <c r="L53" s="65">
        <v>0.12</v>
      </c>
      <c r="M53" s="65">
        <v>0.2219679633867277</v>
      </c>
      <c r="N53" s="65">
        <v>0.30205949656750575</v>
      </c>
      <c r="O53" s="65">
        <v>0.58762886597938147</v>
      </c>
      <c r="P53" s="65">
        <v>0.43181818181818182</v>
      </c>
      <c r="Q53" s="65">
        <v>0.42857142857142855</v>
      </c>
    </row>
    <row r="54" spans="1:17" x14ac:dyDescent="0.4">
      <c r="A54" s="67">
        <v>51</v>
      </c>
      <c r="B54" s="64">
        <v>113.39999999999999</v>
      </c>
      <c r="C54" s="64">
        <v>2.2235294117647055</v>
      </c>
      <c r="D54" s="69">
        <v>2.0196078431372548</v>
      </c>
      <c r="E54" s="65">
        <v>0.29411764705882354</v>
      </c>
      <c r="F54" s="65">
        <v>0.31372549019607843</v>
      </c>
      <c r="G54" s="65">
        <v>0.3724604966139955</v>
      </c>
      <c r="H54" s="65">
        <v>0.12866817155756208</v>
      </c>
      <c r="I54" s="66">
        <v>6523.030303030303</v>
      </c>
      <c r="J54" s="66">
        <v>-9282.4561403508778</v>
      </c>
      <c r="K54" s="65">
        <v>5.8823529411764705E-2</v>
      </c>
      <c r="L54" s="65">
        <v>0.11764705882352941</v>
      </c>
      <c r="M54" s="65">
        <v>0.21896162528216703</v>
      </c>
      <c r="N54" s="65">
        <v>0.30474040632054178</v>
      </c>
      <c r="O54" s="65">
        <v>0.58762886597938147</v>
      </c>
      <c r="P54" s="65">
        <v>0.43703703703703706</v>
      </c>
      <c r="Q54" s="65">
        <v>0.42424242424242425</v>
      </c>
    </row>
    <row r="55" spans="1:17" x14ac:dyDescent="0.4">
      <c r="A55" s="67">
        <v>52</v>
      </c>
      <c r="B55" s="64">
        <v>98.8</v>
      </c>
      <c r="C55" s="64">
        <v>1.9</v>
      </c>
      <c r="D55" s="69">
        <v>2.0192307692307692</v>
      </c>
      <c r="E55" s="65">
        <v>0.28846153846153844</v>
      </c>
      <c r="F55" s="65">
        <v>0.30769230769230771</v>
      </c>
      <c r="G55" s="65">
        <v>0.37333333333333335</v>
      </c>
      <c r="H55" s="65">
        <v>0.13333333333333333</v>
      </c>
      <c r="I55" s="66">
        <v>6516.0714285714284</v>
      </c>
      <c r="J55" s="66">
        <v>-9285</v>
      </c>
      <c r="K55" s="65">
        <v>5.7692307692307696E-2</v>
      </c>
      <c r="L55" s="65">
        <v>0.11538461538461539</v>
      </c>
      <c r="M55" s="65">
        <v>0.22222222222222221</v>
      </c>
      <c r="N55" s="65">
        <v>0.30444444444444446</v>
      </c>
      <c r="O55" s="65">
        <v>0.6</v>
      </c>
      <c r="P55" s="65">
        <v>0.43065693430656932</v>
      </c>
      <c r="Q55" s="65">
        <v>0.42261904761904762</v>
      </c>
    </row>
    <row r="56" spans="1:17" x14ac:dyDescent="0.4">
      <c r="A56" s="67">
        <v>53</v>
      </c>
      <c r="B56" s="64">
        <v>65.199999999999989</v>
      </c>
      <c r="C56" s="64">
        <v>1.2301886792452827</v>
      </c>
      <c r="D56" s="69">
        <v>2.0377358490566038</v>
      </c>
      <c r="E56" s="65">
        <v>0.28301886792452829</v>
      </c>
      <c r="F56" s="65">
        <v>0.32075471698113206</v>
      </c>
      <c r="G56" s="65">
        <v>0.36899563318777295</v>
      </c>
      <c r="H56" s="65">
        <v>0.1331877729257642</v>
      </c>
      <c r="I56" s="66">
        <v>6523.0769230769229</v>
      </c>
      <c r="J56" s="66">
        <v>-9157.377049180328</v>
      </c>
      <c r="K56" s="65">
        <v>5.6603773584905662E-2</v>
      </c>
      <c r="L56" s="65">
        <v>0.11320754716981132</v>
      </c>
      <c r="M56" s="65">
        <v>0.2205240174672489</v>
      </c>
      <c r="N56" s="65">
        <v>0.29912663755458513</v>
      </c>
      <c r="O56" s="65">
        <v>0.59405940594059403</v>
      </c>
      <c r="P56" s="65">
        <v>0.43065693430656932</v>
      </c>
      <c r="Q56" s="65">
        <v>0.42011834319526625</v>
      </c>
    </row>
    <row r="57" spans="1:17" x14ac:dyDescent="0.4">
      <c r="A57" s="67">
        <v>54</v>
      </c>
      <c r="B57" s="64">
        <v>55.599999999999987</v>
      </c>
      <c r="C57" s="64">
        <v>1.0296296296296295</v>
      </c>
      <c r="D57" s="69">
        <v>2.0370370370370372</v>
      </c>
      <c r="E57" s="65">
        <v>0.27777777777777779</v>
      </c>
      <c r="F57" s="65">
        <v>0.31481481481481483</v>
      </c>
      <c r="G57" s="65">
        <v>0.37130801687763715</v>
      </c>
      <c r="H57" s="65">
        <v>0.13291139240506328</v>
      </c>
      <c r="I57" s="66">
        <v>6500.568181818182</v>
      </c>
      <c r="J57" s="66">
        <v>-9374.6031746031749</v>
      </c>
      <c r="K57" s="65">
        <v>5.5555555555555552E-2</v>
      </c>
      <c r="L57" s="65">
        <v>0.1111111111111111</v>
      </c>
      <c r="M57" s="65">
        <v>0.22151898734177214</v>
      </c>
      <c r="N57" s="65">
        <v>0.29535864978902954</v>
      </c>
      <c r="O57" s="65">
        <v>0.59047619047619049</v>
      </c>
      <c r="P57" s="65">
        <v>0.43571428571428572</v>
      </c>
      <c r="Q57" s="65">
        <v>0.42045454545454547</v>
      </c>
    </row>
    <row r="58" spans="1:17" x14ac:dyDescent="0.4">
      <c r="A58" s="67">
        <v>55</v>
      </c>
      <c r="B58" s="64">
        <v>34.699999999999989</v>
      </c>
      <c r="C58" s="64">
        <v>0.63090909090909075</v>
      </c>
      <c r="D58" s="69">
        <v>2.0363636363636362</v>
      </c>
      <c r="E58" s="65">
        <v>0.27272727272727271</v>
      </c>
      <c r="F58" s="65">
        <v>0.30909090909090908</v>
      </c>
      <c r="G58" s="65">
        <v>0.36776859504132231</v>
      </c>
      <c r="H58" s="65">
        <v>0.13016528925619836</v>
      </c>
      <c r="I58" s="66">
        <v>6504.4943820224717</v>
      </c>
      <c r="J58" s="66">
        <v>-9374.6031746031749</v>
      </c>
      <c r="K58" s="65">
        <v>5.4545454545454543E-2</v>
      </c>
      <c r="L58" s="65">
        <v>0.10909090909090909</v>
      </c>
      <c r="M58" s="65">
        <v>0.21694214876033058</v>
      </c>
      <c r="N58" s="65">
        <v>0.29545454545454547</v>
      </c>
      <c r="O58" s="65">
        <v>0.59047619047619049</v>
      </c>
      <c r="P58" s="65">
        <v>0.44055944055944057</v>
      </c>
      <c r="Q58" s="65">
        <v>0.42134831460674155</v>
      </c>
    </row>
    <row r="59" spans="1:17" x14ac:dyDescent="0.4">
      <c r="A59" s="67">
        <v>56</v>
      </c>
      <c r="B59" s="64">
        <v>-8.0000000000000142</v>
      </c>
      <c r="C59" s="64">
        <v>-0.1428571428571431</v>
      </c>
      <c r="D59" s="69">
        <v>2.0535714285714284</v>
      </c>
      <c r="E59" s="65">
        <v>0.26785714285714285</v>
      </c>
      <c r="F59" s="65">
        <v>0.32142857142857145</v>
      </c>
      <c r="G59" s="65">
        <v>0.36456211812627293</v>
      </c>
      <c r="H59" s="65">
        <v>0.13238289205702647</v>
      </c>
      <c r="I59" s="66">
        <v>6535.1955307262569</v>
      </c>
      <c r="J59" s="66">
        <v>-9289.2307692307695</v>
      </c>
      <c r="K59" s="65">
        <v>5.3571428571428568E-2</v>
      </c>
      <c r="L59" s="65">
        <v>0.10714285714285714</v>
      </c>
      <c r="M59" s="65">
        <v>0.21588594704684319</v>
      </c>
      <c r="N59" s="65">
        <v>0.29124236252545826</v>
      </c>
      <c r="O59" s="65">
        <v>0.59433962264150941</v>
      </c>
      <c r="P59" s="65">
        <v>0.44055944055944057</v>
      </c>
      <c r="Q59" s="65">
        <v>0.42458100558659218</v>
      </c>
    </row>
    <row r="60" spans="1:17" x14ac:dyDescent="0.4">
      <c r="A60" s="67">
        <v>57</v>
      </c>
      <c r="B60" s="64">
        <v>-6.0000000000000142</v>
      </c>
      <c r="C60" s="64">
        <v>-0.10526315789473709</v>
      </c>
      <c r="D60" s="69">
        <v>2.0526315789473686</v>
      </c>
      <c r="E60" s="65">
        <v>0.26315789473684209</v>
      </c>
      <c r="F60" s="65">
        <v>0.31578947368421051</v>
      </c>
      <c r="G60" s="65">
        <v>0.36363636363636365</v>
      </c>
      <c r="H60" s="65">
        <v>0.13131313131313133</v>
      </c>
      <c r="I60" s="66">
        <v>6510</v>
      </c>
      <c r="J60" s="66">
        <v>-9289.2307692307695</v>
      </c>
      <c r="K60" s="65">
        <v>5.2631578947368418E-2</v>
      </c>
      <c r="L60" s="65">
        <v>0.10526315789473684</v>
      </c>
      <c r="M60" s="65">
        <v>0.21414141414141413</v>
      </c>
      <c r="N60" s="65">
        <v>0.29090909090909089</v>
      </c>
      <c r="O60" s="65">
        <v>0.59433962264150941</v>
      </c>
      <c r="P60" s="65">
        <v>0.44444444444444442</v>
      </c>
      <c r="Q60" s="65">
        <v>0.42222222222222222</v>
      </c>
    </row>
    <row r="61" spans="1:17" x14ac:dyDescent="0.4">
      <c r="A61" s="67">
        <v>58</v>
      </c>
      <c r="B61" s="64">
        <v>-0.40000000000001457</v>
      </c>
      <c r="C61" s="64">
        <v>-6.8965517241381825E-3</v>
      </c>
      <c r="D61" s="69">
        <v>2.0517241379310347</v>
      </c>
      <c r="E61" s="65">
        <v>0.25862068965517243</v>
      </c>
      <c r="F61" s="65">
        <v>0.31034482758620691</v>
      </c>
      <c r="G61" s="65">
        <v>0.36220472440944884</v>
      </c>
      <c r="H61" s="65">
        <v>0.12992125984251968</v>
      </c>
      <c r="I61" s="66">
        <v>6528.260869565217</v>
      </c>
      <c r="J61" s="66">
        <v>-9269.69696969697</v>
      </c>
      <c r="K61" s="65">
        <v>5.1724137931034482E-2</v>
      </c>
      <c r="L61" s="65">
        <v>0.10344827586206896</v>
      </c>
      <c r="M61" s="65">
        <v>0.22244094488188976</v>
      </c>
      <c r="N61" s="65">
        <v>0.2874015748031496</v>
      </c>
      <c r="O61" s="65">
        <v>0.5752212389380531</v>
      </c>
      <c r="P61" s="65">
        <v>0.43835616438356162</v>
      </c>
      <c r="Q61" s="65">
        <v>0.41847826086956524</v>
      </c>
    </row>
    <row r="62" spans="1:17" x14ac:dyDescent="0.4">
      <c r="A62" s="67">
        <v>59</v>
      </c>
      <c r="B62" s="64">
        <v>21.999999999999986</v>
      </c>
      <c r="C62" s="64">
        <v>0.37288135593220317</v>
      </c>
      <c r="D62" s="69">
        <v>2.0338983050847457</v>
      </c>
      <c r="E62" s="65">
        <v>0.2711864406779661</v>
      </c>
      <c r="F62" s="65">
        <v>0.30508474576271188</v>
      </c>
      <c r="G62" s="65">
        <v>0.36434108527131781</v>
      </c>
      <c r="H62" s="65">
        <v>0.12790697674418605</v>
      </c>
      <c r="I62" s="66">
        <v>6579.255319148936</v>
      </c>
      <c r="J62" s="66">
        <v>-9269.69696969697</v>
      </c>
      <c r="K62" s="65">
        <v>5.0847457627118647E-2</v>
      </c>
      <c r="L62" s="65">
        <v>0.10169491525423729</v>
      </c>
      <c r="M62" s="65">
        <v>0.22093023255813954</v>
      </c>
      <c r="N62" s="65">
        <v>0.28875968992248063</v>
      </c>
      <c r="O62" s="65">
        <v>0.57894736842105265</v>
      </c>
      <c r="P62" s="65">
        <v>0.44295302013422821</v>
      </c>
      <c r="Q62" s="65">
        <v>0.42021276595744683</v>
      </c>
    </row>
    <row r="63" spans="1:17" x14ac:dyDescent="0.4">
      <c r="A63" s="67">
        <v>60</v>
      </c>
      <c r="B63" s="64">
        <v>66.999999999999986</v>
      </c>
      <c r="C63" s="64">
        <v>1.1166666666666665</v>
      </c>
      <c r="D63" s="69">
        <v>2.0166666666666666</v>
      </c>
      <c r="E63" s="65">
        <v>0.28333333333333333</v>
      </c>
      <c r="F63" s="65">
        <v>0.3</v>
      </c>
      <c r="G63" s="65">
        <v>0.36608863198458574</v>
      </c>
      <c r="H63" s="65">
        <v>0.12716763005780346</v>
      </c>
      <c r="I63" s="66">
        <v>6636.3157894736842</v>
      </c>
      <c r="J63" s="66">
        <v>-9269.69696969697</v>
      </c>
      <c r="K63" s="65">
        <v>0.05</v>
      </c>
      <c r="L63" s="65">
        <v>0.11666666666666667</v>
      </c>
      <c r="M63" s="65">
        <v>0.21965317919075145</v>
      </c>
      <c r="N63" s="65">
        <v>0.2928709055876686</v>
      </c>
      <c r="O63" s="65">
        <v>0.57894736842105265</v>
      </c>
      <c r="P63" s="65">
        <v>0.44736842105263158</v>
      </c>
      <c r="Q63" s="65">
        <v>0.42105263157894735</v>
      </c>
    </row>
    <row r="64" spans="1:17" x14ac:dyDescent="0.4">
      <c r="A64" s="67">
        <v>61</v>
      </c>
      <c r="B64" s="64">
        <v>39.799999999999983</v>
      </c>
      <c r="C64" s="64">
        <v>0.65245901639344239</v>
      </c>
      <c r="D64" s="69">
        <v>2.0163934426229506</v>
      </c>
      <c r="E64" s="65">
        <v>0.27868852459016391</v>
      </c>
      <c r="F64" s="65">
        <v>0.29508196721311475</v>
      </c>
      <c r="G64" s="65">
        <v>0.36174242424242425</v>
      </c>
      <c r="H64" s="65">
        <v>0.12878787878787878</v>
      </c>
      <c r="I64" s="66">
        <v>6628.7958115183246</v>
      </c>
      <c r="J64" s="66">
        <v>-9379.4117647058829</v>
      </c>
      <c r="K64" s="65">
        <v>4.9180327868852458E-2</v>
      </c>
      <c r="L64" s="65">
        <v>0.11475409836065574</v>
      </c>
      <c r="M64" s="65">
        <v>0.2178030303030303</v>
      </c>
      <c r="N64" s="65">
        <v>0.29545454545454547</v>
      </c>
      <c r="O64" s="65">
        <v>0.57391304347826089</v>
      </c>
      <c r="P64" s="65">
        <v>0.44230769230769229</v>
      </c>
      <c r="Q64" s="65">
        <v>0.41884816753926701</v>
      </c>
    </row>
    <row r="65" spans="1:17" x14ac:dyDescent="0.4">
      <c r="A65" s="67">
        <v>62</v>
      </c>
      <c r="B65" s="64">
        <v>7.9999999999999822</v>
      </c>
      <c r="C65" s="64">
        <v>0.12903225806451585</v>
      </c>
      <c r="D65" s="69">
        <v>2.032258064516129</v>
      </c>
      <c r="E65" s="65">
        <v>0.27419354838709675</v>
      </c>
      <c r="F65" s="65">
        <v>0.30645161290322581</v>
      </c>
      <c r="G65" s="65">
        <v>0.35887850467289717</v>
      </c>
      <c r="H65" s="65">
        <v>0.12897196261682242</v>
      </c>
      <c r="I65" s="66">
        <v>6635.9375</v>
      </c>
      <c r="J65" s="66">
        <v>-9417.391304347826</v>
      </c>
      <c r="K65" s="65">
        <v>4.8387096774193547E-2</v>
      </c>
      <c r="L65" s="65">
        <v>0.11290322580645161</v>
      </c>
      <c r="M65" s="65">
        <v>0.21869158878504674</v>
      </c>
      <c r="N65" s="65">
        <v>0.29532710280373831</v>
      </c>
      <c r="O65" s="65">
        <v>0.5641025641025641</v>
      </c>
      <c r="P65" s="65">
        <v>0.44303797468354428</v>
      </c>
      <c r="Q65" s="65">
        <v>0.421875</v>
      </c>
    </row>
    <row r="66" spans="1:17" x14ac:dyDescent="0.4">
      <c r="A66" s="67">
        <v>63</v>
      </c>
      <c r="B66" s="64">
        <v>45.09999999999998</v>
      </c>
      <c r="C66" s="64">
        <v>0.71587301587301555</v>
      </c>
      <c r="D66" s="69">
        <v>2.0158730158730158</v>
      </c>
      <c r="E66" s="65">
        <v>0.2857142857142857</v>
      </c>
      <c r="F66" s="65">
        <v>0.30158730158730157</v>
      </c>
      <c r="G66" s="65">
        <v>0.3596330275229358</v>
      </c>
      <c r="H66" s="65">
        <v>0.13027522935779817</v>
      </c>
      <c r="I66" s="66">
        <v>6662.2448979591836</v>
      </c>
      <c r="J66" s="66">
        <v>-9350.7042253521122</v>
      </c>
      <c r="K66" s="65">
        <v>4.7619047619047616E-2</v>
      </c>
      <c r="L66" s="65">
        <v>0.1111111111111111</v>
      </c>
      <c r="M66" s="65">
        <v>0.21834862385321102</v>
      </c>
      <c r="N66" s="65">
        <v>0.29541284403669726</v>
      </c>
      <c r="O66" s="65">
        <v>0.56302521008403361</v>
      </c>
      <c r="P66" s="65">
        <v>0.44099378881987578</v>
      </c>
      <c r="Q66" s="65">
        <v>0.42346938775510207</v>
      </c>
    </row>
    <row r="67" spans="1:17" x14ac:dyDescent="0.4">
      <c r="A67" s="67">
        <v>64</v>
      </c>
      <c r="B67" s="64">
        <v>45.899999999999977</v>
      </c>
      <c r="C67" s="64">
        <v>0.71718749999999964</v>
      </c>
      <c r="D67" s="69">
        <v>2.015625</v>
      </c>
      <c r="E67" s="65">
        <v>0.28125</v>
      </c>
      <c r="F67" s="65">
        <v>0.296875</v>
      </c>
      <c r="G67" s="65">
        <v>0.3579136690647482</v>
      </c>
      <c r="H67" s="65">
        <v>0.12949640287769784</v>
      </c>
      <c r="I67" s="66">
        <v>6665.8291457286432</v>
      </c>
      <c r="J67" s="66">
        <v>-9381.9444444444453</v>
      </c>
      <c r="K67" s="65">
        <v>4.6875E-2</v>
      </c>
      <c r="L67" s="65">
        <v>0.109375</v>
      </c>
      <c r="M67" s="65">
        <v>0.21942446043165467</v>
      </c>
      <c r="N67" s="65">
        <v>0.29136690647482016</v>
      </c>
      <c r="O67" s="65">
        <v>0.56557377049180324</v>
      </c>
      <c r="P67" s="65">
        <v>0.43827160493827161</v>
      </c>
      <c r="Q67" s="65">
        <v>0.42211055276381909</v>
      </c>
    </row>
    <row r="68" spans="1:17" x14ac:dyDescent="0.4">
      <c r="A68" s="67">
        <v>65</v>
      </c>
      <c r="B68" s="64">
        <v>38.199999999999974</v>
      </c>
      <c r="C68" s="64">
        <v>0.58769230769230729</v>
      </c>
      <c r="D68" s="69">
        <v>2.0153846153846153</v>
      </c>
      <c r="E68" s="65">
        <v>0.27692307692307694</v>
      </c>
      <c r="F68" s="65">
        <v>0.29230769230769232</v>
      </c>
      <c r="G68" s="65">
        <v>0.35879218472468916</v>
      </c>
      <c r="H68" s="65">
        <v>0.12966252220248667</v>
      </c>
      <c r="I68" s="66">
        <v>6670.7920792079212</v>
      </c>
      <c r="J68" s="66">
        <v>-9324.6575342465749</v>
      </c>
      <c r="K68" s="65">
        <v>4.6153846153846156E-2</v>
      </c>
      <c r="L68" s="65">
        <v>0.1076923076923077</v>
      </c>
      <c r="M68" s="65">
        <v>0.2202486678507993</v>
      </c>
      <c r="N68" s="65">
        <v>0.29129662522202487</v>
      </c>
      <c r="O68" s="65">
        <v>0.55645161290322576</v>
      </c>
      <c r="P68" s="65">
        <v>0.43902439024390244</v>
      </c>
      <c r="Q68" s="65">
        <v>0.43069306930693069</v>
      </c>
    </row>
    <row r="69" spans="1:17" x14ac:dyDescent="0.4">
      <c r="A69" s="67">
        <v>66</v>
      </c>
      <c r="B69" s="64">
        <v>-5.400000000000027</v>
      </c>
      <c r="C69" s="64">
        <v>-8.1818181818182234E-2</v>
      </c>
      <c r="D69" s="69">
        <v>2.0303030303030303</v>
      </c>
      <c r="E69" s="65">
        <v>0.27272727272727271</v>
      </c>
      <c r="F69" s="65">
        <v>0.30303030303030304</v>
      </c>
      <c r="G69" s="65">
        <v>0.35602094240837695</v>
      </c>
      <c r="H69" s="65">
        <v>0.13263525305410123</v>
      </c>
      <c r="I69" s="66">
        <v>6635.7843137254904</v>
      </c>
      <c r="J69" s="66">
        <v>-9127.6315789473683</v>
      </c>
      <c r="K69" s="65">
        <v>4.5454545454545456E-2</v>
      </c>
      <c r="L69" s="65">
        <v>0.10606060606060606</v>
      </c>
      <c r="M69" s="65">
        <v>0.21989528795811519</v>
      </c>
      <c r="N69" s="65">
        <v>0.29319371727748689</v>
      </c>
      <c r="O69" s="65">
        <v>0.54761904761904767</v>
      </c>
      <c r="P69" s="65">
        <v>0.43452380952380953</v>
      </c>
      <c r="Q69" s="65">
        <v>0.4264705882352941</v>
      </c>
    </row>
    <row r="70" spans="1:17" x14ac:dyDescent="0.4">
      <c r="A70" s="67">
        <v>67</v>
      </c>
      <c r="B70" s="64">
        <v>1.8999999999999728</v>
      </c>
      <c r="C70" s="64">
        <v>2.8358208955223476E-2</v>
      </c>
      <c r="D70" s="69">
        <v>2.0298507462686568</v>
      </c>
      <c r="E70" s="65">
        <v>0.26865671641791045</v>
      </c>
      <c r="F70" s="65">
        <v>0.29850746268656714</v>
      </c>
      <c r="G70" s="65">
        <v>0.35689655172413792</v>
      </c>
      <c r="H70" s="65">
        <v>0.13275862068965516</v>
      </c>
      <c r="I70" s="66">
        <v>6609.6618357487923</v>
      </c>
      <c r="J70" s="66">
        <v>-9035.0649350649346</v>
      </c>
      <c r="K70" s="65">
        <v>4.4776119402985072E-2</v>
      </c>
      <c r="L70" s="65">
        <v>0.1044776119402985</v>
      </c>
      <c r="M70" s="65">
        <v>0.2189655172413793</v>
      </c>
      <c r="N70" s="65">
        <v>0.2982758620689655</v>
      </c>
      <c r="O70" s="65">
        <v>0.55118110236220474</v>
      </c>
      <c r="P70" s="65">
        <v>0.43352601156069365</v>
      </c>
      <c r="Q70" s="65">
        <v>0.42028985507246375</v>
      </c>
    </row>
    <row r="71" spans="1:17" x14ac:dyDescent="0.4">
      <c r="A71" s="67">
        <v>68</v>
      </c>
      <c r="B71" s="64">
        <v>-39.500000000000028</v>
      </c>
      <c r="C71" s="64">
        <v>-0.58088235294117685</v>
      </c>
      <c r="D71" s="69">
        <v>2.0441176470588234</v>
      </c>
      <c r="E71" s="65">
        <v>0.26470588235294118</v>
      </c>
      <c r="F71" s="65">
        <v>0.30882352941176472</v>
      </c>
      <c r="G71" s="65">
        <v>0.35204081632653061</v>
      </c>
      <c r="H71" s="65">
        <v>0.1326530612244898</v>
      </c>
      <c r="I71" s="66">
        <v>6609.6618357487923</v>
      </c>
      <c r="J71" s="66">
        <v>-9073.0769230769238</v>
      </c>
      <c r="K71" s="65">
        <v>4.4117647058823532E-2</v>
      </c>
      <c r="L71" s="65">
        <v>0.10294117647058823</v>
      </c>
      <c r="M71" s="65">
        <v>0.21598639455782312</v>
      </c>
      <c r="N71" s="65">
        <v>0.29421768707482993</v>
      </c>
      <c r="O71" s="65">
        <v>0.55118110236220474</v>
      </c>
      <c r="P71" s="65">
        <v>0.43352601156069365</v>
      </c>
      <c r="Q71" s="65">
        <v>0.42028985507246375</v>
      </c>
    </row>
    <row r="72" spans="1:17" x14ac:dyDescent="0.4">
      <c r="A72" s="67">
        <v>69</v>
      </c>
      <c r="B72" s="64">
        <v>-7.6000000000000298</v>
      </c>
      <c r="C72" s="64">
        <v>-0.11014492753623231</v>
      </c>
      <c r="D72" s="69">
        <v>2.0289855072463769</v>
      </c>
      <c r="E72" s="65">
        <v>0.27536231884057971</v>
      </c>
      <c r="F72" s="65">
        <v>0.30434782608695654</v>
      </c>
      <c r="G72" s="65">
        <v>0.35175879396984927</v>
      </c>
      <c r="H72" s="65">
        <v>0.13400335008375208</v>
      </c>
      <c r="I72" s="66">
        <v>6635.7142857142853</v>
      </c>
      <c r="J72" s="66">
        <v>-8927.5</v>
      </c>
      <c r="K72" s="65">
        <v>4.3478260869565216E-2</v>
      </c>
      <c r="L72" s="65">
        <v>0.10144927536231885</v>
      </c>
      <c r="M72" s="65">
        <v>0.21608040201005024</v>
      </c>
      <c r="N72" s="65">
        <v>0.29145728643216079</v>
      </c>
      <c r="O72" s="65">
        <v>0.55813953488372092</v>
      </c>
      <c r="P72" s="65">
        <v>0.43103448275862066</v>
      </c>
      <c r="Q72" s="65">
        <v>0.41904761904761906</v>
      </c>
    </row>
    <row r="73" spans="1:17" x14ac:dyDescent="0.4">
      <c r="A73" s="67">
        <v>70</v>
      </c>
      <c r="B73" s="64">
        <v>-32.000000000000028</v>
      </c>
      <c r="C73" s="64">
        <v>-0.45714285714285757</v>
      </c>
      <c r="D73" s="69">
        <v>2.0428571428571427</v>
      </c>
      <c r="E73" s="65">
        <v>0.27142857142857141</v>
      </c>
      <c r="F73" s="65">
        <v>0.31428571428571428</v>
      </c>
      <c r="G73" s="65">
        <v>0.35041322314049589</v>
      </c>
      <c r="H73" s="65">
        <v>0.13388429752066117</v>
      </c>
      <c r="I73" s="66">
        <v>6620.7547169811323</v>
      </c>
      <c r="J73" s="66">
        <v>-8912.3456790123455</v>
      </c>
      <c r="K73" s="65">
        <v>4.2857142857142858E-2</v>
      </c>
      <c r="L73" s="65">
        <v>0.1</v>
      </c>
      <c r="M73" s="65">
        <v>0.21818181818181817</v>
      </c>
      <c r="N73" s="65">
        <v>0.28760330578512394</v>
      </c>
      <c r="O73" s="65">
        <v>0.55303030303030298</v>
      </c>
      <c r="P73" s="65">
        <v>0.43103448275862066</v>
      </c>
      <c r="Q73" s="65">
        <v>0.419811320754717</v>
      </c>
    </row>
    <row r="74" spans="1:17" x14ac:dyDescent="0.4">
      <c r="A74" s="67">
        <v>71</v>
      </c>
      <c r="B74" s="64">
        <v>-76.600000000000023</v>
      </c>
      <c r="C74" s="64">
        <v>-1.0788732394366201</v>
      </c>
      <c r="D74" s="69">
        <v>2.056338028169014</v>
      </c>
      <c r="E74" s="65">
        <v>0.26760563380281688</v>
      </c>
      <c r="F74" s="65">
        <v>0.323943661971831</v>
      </c>
      <c r="G74" s="65">
        <v>0.34584013050570961</v>
      </c>
      <c r="H74" s="65">
        <v>0.13703099510603589</v>
      </c>
      <c r="I74" s="66">
        <v>6620.7547169811323</v>
      </c>
      <c r="J74" s="66">
        <v>-8695.2380952380954</v>
      </c>
      <c r="K74" s="65">
        <v>4.2253521126760563E-2</v>
      </c>
      <c r="L74" s="65">
        <v>9.8591549295774641E-2</v>
      </c>
      <c r="M74" s="65">
        <v>0.21533442088091354</v>
      </c>
      <c r="N74" s="65">
        <v>0.28711256117455136</v>
      </c>
      <c r="O74" s="65">
        <v>0.55303030303030298</v>
      </c>
      <c r="P74" s="65">
        <v>0.42613636363636365</v>
      </c>
      <c r="Q74" s="65">
        <v>0.419811320754717</v>
      </c>
    </row>
    <row r="75" spans="1:17" x14ac:dyDescent="0.4">
      <c r="A75" s="67">
        <v>72</v>
      </c>
      <c r="B75" s="64">
        <v>-68.40000000000002</v>
      </c>
      <c r="C75" s="64">
        <v>-0.95000000000000029</v>
      </c>
      <c r="D75" s="69">
        <v>2.0555555555555554</v>
      </c>
      <c r="E75" s="65">
        <v>0.2638888888888889</v>
      </c>
      <c r="F75" s="65">
        <v>0.31944444444444442</v>
      </c>
      <c r="G75" s="65">
        <v>0.34460547504025762</v>
      </c>
      <c r="H75" s="65">
        <v>0.13687600644122383</v>
      </c>
      <c r="I75" s="66">
        <v>6643.4579439252338</v>
      </c>
      <c r="J75" s="66">
        <v>-8638.823529411764</v>
      </c>
      <c r="K75" s="65">
        <v>4.1666666666666664E-2</v>
      </c>
      <c r="L75" s="65">
        <v>9.7222222222222224E-2</v>
      </c>
      <c r="M75" s="65">
        <v>0.214170692431562</v>
      </c>
      <c r="N75" s="65">
        <v>0.28824476650563607</v>
      </c>
      <c r="O75" s="65">
        <v>0.55639097744360899</v>
      </c>
      <c r="P75" s="65">
        <v>0.42458100558659218</v>
      </c>
      <c r="Q75" s="65">
        <v>0.42523364485981308</v>
      </c>
    </row>
    <row r="76" spans="1:17" x14ac:dyDescent="0.4">
      <c r="A76" s="67">
        <v>73</v>
      </c>
      <c r="B76" s="64">
        <v>-129.30000000000001</v>
      </c>
      <c r="C76" s="64">
        <v>-1.7712328767123289</v>
      </c>
      <c r="D76" s="69">
        <v>2.0684931506849313</v>
      </c>
      <c r="E76" s="65">
        <v>0.26027397260273971</v>
      </c>
      <c r="F76" s="65">
        <v>0.32876712328767121</v>
      </c>
      <c r="G76" s="65">
        <v>0.34076433121019106</v>
      </c>
      <c r="H76" s="65">
        <v>0.13853503184713375</v>
      </c>
      <c r="I76" s="66">
        <v>6643.4579439252338</v>
      </c>
      <c r="J76" s="66">
        <v>-8577.0114942528744</v>
      </c>
      <c r="K76" s="65">
        <v>5.4794520547945202E-2</v>
      </c>
      <c r="L76" s="65">
        <v>9.5890410958904104E-2</v>
      </c>
      <c r="M76" s="65">
        <v>0.21178343949044587</v>
      </c>
      <c r="N76" s="65">
        <v>0.28980891719745222</v>
      </c>
      <c r="O76" s="65">
        <v>0.55639097744360899</v>
      </c>
      <c r="P76" s="65">
        <v>0.4175824175824176</v>
      </c>
      <c r="Q76" s="65">
        <v>0.42523364485981308</v>
      </c>
    </row>
    <row r="77" spans="1:17" x14ac:dyDescent="0.4">
      <c r="A77" s="67">
        <v>74</v>
      </c>
      <c r="B77" s="64">
        <v>-61.500000000000014</v>
      </c>
      <c r="C77" s="64">
        <v>-0.83108108108108125</v>
      </c>
      <c r="D77" s="69">
        <v>2.0540540540540539</v>
      </c>
      <c r="E77" s="65">
        <v>0.27027027027027029</v>
      </c>
      <c r="F77" s="65">
        <v>0.32432432432432434</v>
      </c>
      <c r="G77" s="65">
        <v>0.3449367088607595</v>
      </c>
      <c r="H77" s="65">
        <v>0.13765822784810128</v>
      </c>
      <c r="I77" s="66">
        <v>6722.4770642201838</v>
      </c>
      <c r="J77" s="66">
        <v>-8577.0114942528744</v>
      </c>
      <c r="K77" s="65">
        <v>5.4054054054054057E-2</v>
      </c>
      <c r="L77" s="65">
        <v>0.10810810810810811</v>
      </c>
      <c r="M77" s="65">
        <v>0.21202531645569619</v>
      </c>
      <c r="N77" s="65">
        <v>0.29113924050632911</v>
      </c>
      <c r="O77" s="65">
        <v>0.55970149253731338</v>
      </c>
      <c r="P77" s="65">
        <v>0.42391304347826086</v>
      </c>
      <c r="Q77" s="65">
        <v>0.42660550458715596</v>
      </c>
    </row>
    <row r="78" spans="1:17" x14ac:dyDescent="0.4">
      <c r="A78" s="67">
        <v>75</v>
      </c>
      <c r="B78" s="64">
        <v>-76.40000000000002</v>
      </c>
      <c r="C78" s="64">
        <v>-1.0186666666666668</v>
      </c>
      <c r="D78" s="69">
        <v>2.0533333333333332</v>
      </c>
      <c r="E78" s="65">
        <v>0.26666666666666666</v>
      </c>
      <c r="F78" s="65">
        <v>0.32</v>
      </c>
      <c r="G78" s="65">
        <v>0.34267912772585668</v>
      </c>
      <c r="H78" s="65">
        <v>0.13862928348909656</v>
      </c>
      <c r="I78" s="66">
        <v>6727.727272727273</v>
      </c>
      <c r="J78" s="66">
        <v>-8564.0449438202249</v>
      </c>
      <c r="K78" s="65">
        <v>5.3333333333333337E-2</v>
      </c>
      <c r="L78" s="65">
        <v>0.10666666666666667</v>
      </c>
      <c r="M78" s="65">
        <v>0.21339563862928349</v>
      </c>
      <c r="N78" s="65">
        <v>0.28971962616822428</v>
      </c>
      <c r="O78" s="65">
        <v>0.56204379562043794</v>
      </c>
      <c r="P78" s="65">
        <v>0.41935483870967744</v>
      </c>
      <c r="Q78" s="65">
        <v>0.42272727272727273</v>
      </c>
    </row>
    <row r="79" spans="1:17" x14ac:dyDescent="0.4">
      <c r="A79" s="67">
        <v>76</v>
      </c>
      <c r="B79" s="64">
        <v>-36.300000000000018</v>
      </c>
      <c r="C79" s="64">
        <v>-0.47763157894736868</v>
      </c>
      <c r="D79" s="69">
        <v>2.0394736842105261</v>
      </c>
      <c r="E79" s="65">
        <v>0.27631578947368424</v>
      </c>
      <c r="F79" s="65">
        <v>0.31578947368421051</v>
      </c>
      <c r="G79" s="65">
        <v>0.3446153846153846</v>
      </c>
      <c r="H79" s="65">
        <v>0.13846153846153847</v>
      </c>
      <c r="I79" s="66">
        <v>6741.5178571428569</v>
      </c>
      <c r="J79" s="66">
        <v>-8512.2222222222226</v>
      </c>
      <c r="K79" s="65">
        <v>5.2631578947368418E-2</v>
      </c>
      <c r="L79" s="65">
        <v>0.11842105263157894</v>
      </c>
      <c r="M79" s="65">
        <v>0.2153846153846154</v>
      </c>
      <c r="N79" s="65">
        <v>0.28769230769230769</v>
      </c>
      <c r="O79" s="65">
        <v>0.5714285714285714</v>
      </c>
      <c r="P79" s="65">
        <v>0.41711229946524064</v>
      </c>
      <c r="Q79" s="65">
        <v>0.42410714285714285</v>
      </c>
    </row>
    <row r="80" spans="1:17" x14ac:dyDescent="0.4">
      <c r="A80" s="67">
        <v>77</v>
      </c>
      <c r="B80" s="64">
        <v>-37.300000000000018</v>
      </c>
      <c r="C80" s="64">
        <v>-0.48441558441558463</v>
      </c>
      <c r="D80" s="69">
        <v>2.0389610389610389</v>
      </c>
      <c r="E80" s="65">
        <v>0.27272727272727271</v>
      </c>
      <c r="F80" s="65">
        <v>0.31168831168831168</v>
      </c>
      <c r="G80" s="65">
        <v>0.34446130500758726</v>
      </c>
      <c r="H80" s="65">
        <v>0.13960546282245828</v>
      </c>
      <c r="I80" s="66">
        <v>6792.070484581498</v>
      </c>
      <c r="J80" s="66">
        <v>-8579.347826086956</v>
      </c>
      <c r="K80" s="65">
        <v>5.1948051948051951E-2</v>
      </c>
      <c r="L80" s="65">
        <v>0.11688311688311688</v>
      </c>
      <c r="M80" s="65">
        <v>0.21396054628224584</v>
      </c>
      <c r="N80" s="65">
        <v>0.2883156297420334</v>
      </c>
      <c r="O80" s="65">
        <v>0.56737588652482274</v>
      </c>
      <c r="P80" s="65">
        <v>0.42105263157894735</v>
      </c>
      <c r="Q80" s="65">
        <v>0.42290748898678415</v>
      </c>
    </row>
    <row r="81" spans="1:17" x14ac:dyDescent="0.4">
      <c r="A81" s="67">
        <v>78</v>
      </c>
      <c r="B81" s="64">
        <v>-38.600000000000016</v>
      </c>
      <c r="C81" s="64">
        <v>-0.49487179487179506</v>
      </c>
      <c r="D81" s="69">
        <v>2.0384615384615383</v>
      </c>
      <c r="E81" s="65">
        <v>0.26923076923076922</v>
      </c>
      <c r="F81" s="65">
        <v>0.30769230769230771</v>
      </c>
      <c r="G81" s="65">
        <v>0.34384384384384387</v>
      </c>
      <c r="H81" s="65">
        <v>0.13813813813813813</v>
      </c>
      <c r="I81" s="66">
        <v>6775.1091703056773</v>
      </c>
      <c r="J81" s="66">
        <v>-8579.347826086956</v>
      </c>
      <c r="K81" s="65">
        <v>5.128205128205128E-2</v>
      </c>
      <c r="L81" s="65">
        <v>0.11538461538461539</v>
      </c>
      <c r="M81" s="65">
        <v>0.21321321321321321</v>
      </c>
      <c r="N81" s="65">
        <v>0.29129129129129128</v>
      </c>
      <c r="O81" s="65">
        <v>0.56338028169014087</v>
      </c>
      <c r="P81" s="65">
        <v>0.42268041237113402</v>
      </c>
      <c r="Q81" s="65">
        <v>0.42358078602620086</v>
      </c>
    </row>
    <row r="82" spans="1:17" x14ac:dyDescent="0.4">
      <c r="A82" s="67">
        <v>79</v>
      </c>
      <c r="B82" s="64">
        <v>-67.000000000000014</v>
      </c>
      <c r="C82" s="64">
        <v>-0.848101265822785</v>
      </c>
      <c r="D82" s="69">
        <v>2.037974683544304</v>
      </c>
      <c r="E82" s="65">
        <v>0.26582278481012656</v>
      </c>
      <c r="F82" s="65">
        <v>0.30379746835443039</v>
      </c>
      <c r="G82" s="65">
        <v>0.34328358208955223</v>
      </c>
      <c r="H82" s="65">
        <v>0.1373134328358209</v>
      </c>
      <c r="I82" s="66">
        <v>6787.391304347826</v>
      </c>
      <c r="J82" s="66">
        <v>-8579.347826086956</v>
      </c>
      <c r="K82" s="65">
        <v>5.0632911392405063E-2</v>
      </c>
      <c r="L82" s="65">
        <v>0.11392405063291139</v>
      </c>
      <c r="M82" s="65">
        <v>0.21343283582089553</v>
      </c>
      <c r="N82" s="65">
        <v>0.28955223880597014</v>
      </c>
      <c r="O82" s="65">
        <v>0.55944055944055948</v>
      </c>
      <c r="P82" s="65">
        <v>0.42268041237113402</v>
      </c>
      <c r="Q82" s="65">
        <v>0.42173913043478262</v>
      </c>
    </row>
    <row r="83" spans="1:17" x14ac:dyDescent="0.4">
      <c r="A83" s="67">
        <v>80</v>
      </c>
      <c r="B83" s="64">
        <v>-114.70000000000002</v>
      </c>
      <c r="C83" s="64">
        <v>-1.4337500000000003</v>
      </c>
      <c r="D83" s="69">
        <v>2.0499999999999998</v>
      </c>
      <c r="E83" s="65">
        <v>0.26250000000000001</v>
      </c>
      <c r="F83" s="65">
        <v>0.3125</v>
      </c>
      <c r="G83" s="65">
        <v>0.34264705882352942</v>
      </c>
      <c r="H83" s="65">
        <v>0.13970588235294118</v>
      </c>
      <c r="I83" s="66">
        <v>6754.0772532188839</v>
      </c>
      <c r="J83" s="66">
        <v>-8538.9473684210534</v>
      </c>
      <c r="K83" s="65">
        <v>0.05</v>
      </c>
      <c r="L83" s="65">
        <v>0.1125</v>
      </c>
      <c r="M83" s="65">
        <v>0.21029411764705883</v>
      </c>
      <c r="N83" s="65">
        <v>0.29264705882352943</v>
      </c>
      <c r="O83" s="65">
        <v>0.55944055944055948</v>
      </c>
      <c r="P83" s="65">
        <v>0.42713567839195982</v>
      </c>
      <c r="Q83" s="65">
        <v>0.41630901287553645</v>
      </c>
    </row>
    <row r="84" spans="1:17" x14ac:dyDescent="0.4">
      <c r="A84" s="67">
        <v>81</v>
      </c>
      <c r="B84" s="64">
        <v>-115.90000000000002</v>
      </c>
      <c r="C84" s="64">
        <v>-1.4308641975308645</v>
      </c>
      <c r="D84" s="69">
        <v>2.0493827160493829</v>
      </c>
      <c r="E84" s="65">
        <v>0.25925925925925924</v>
      </c>
      <c r="F84" s="65">
        <v>0.30864197530864196</v>
      </c>
      <c r="G84" s="65">
        <v>0.34438040345821325</v>
      </c>
      <c r="H84" s="65">
        <v>0.13832853025936601</v>
      </c>
      <c r="I84" s="66">
        <v>6772.3849372384939</v>
      </c>
      <c r="J84" s="66">
        <v>-8575</v>
      </c>
      <c r="K84" s="65">
        <v>4.9382716049382713E-2</v>
      </c>
      <c r="L84" s="65">
        <v>0.1111111111111111</v>
      </c>
      <c r="M84" s="65">
        <v>0.21037463976945245</v>
      </c>
      <c r="N84" s="65">
        <v>0.29394812680115273</v>
      </c>
      <c r="O84" s="65">
        <v>0.5547945205479452</v>
      </c>
      <c r="P84" s="65">
        <v>0.4264705882352941</v>
      </c>
      <c r="Q84" s="65">
        <v>0.41422594142259417</v>
      </c>
    </row>
    <row r="85" spans="1:17" x14ac:dyDescent="0.4">
      <c r="A85" s="67">
        <v>82</v>
      </c>
      <c r="B85" s="64">
        <v>-110.60000000000002</v>
      </c>
      <c r="C85" s="64">
        <v>-1.3487804878048784</v>
      </c>
      <c r="D85" s="69">
        <v>2.0487804878048781</v>
      </c>
      <c r="E85" s="65">
        <v>0.25609756097560976</v>
      </c>
      <c r="F85" s="65">
        <v>0.3048780487804878</v>
      </c>
      <c r="G85" s="65">
        <v>0.34566145092460882</v>
      </c>
      <c r="H85" s="65">
        <v>0.13940256045519203</v>
      </c>
      <c r="I85" s="66">
        <v>6810.2880658436216</v>
      </c>
      <c r="J85" s="66">
        <v>-8542.8571428571431</v>
      </c>
      <c r="K85" s="65">
        <v>4.878048780487805E-2</v>
      </c>
      <c r="L85" s="65">
        <v>0.10975609756097561</v>
      </c>
      <c r="M85" s="65">
        <v>0.21052631578947367</v>
      </c>
      <c r="N85" s="65">
        <v>0.29445234708392604</v>
      </c>
      <c r="O85" s="65">
        <v>0.55405405405405406</v>
      </c>
      <c r="P85" s="65">
        <v>0.4251207729468599</v>
      </c>
      <c r="Q85" s="65">
        <v>0.41152263374485598</v>
      </c>
    </row>
    <row r="86" spans="1:17" x14ac:dyDescent="0.4">
      <c r="A86" s="67">
        <v>83</v>
      </c>
      <c r="B86" s="64">
        <v>-101.20000000000002</v>
      </c>
      <c r="C86" s="64">
        <v>-1.219277108433735</v>
      </c>
      <c r="D86" s="69">
        <v>2.0481927710843375</v>
      </c>
      <c r="E86" s="65">
        <v>0.25301204819277107</v>
      </c>
      <c r="F86" s="65">
        <v>0.30120481927710846</v>
      </c>
      <c r="G86" s="65">
        <v>0.34696755994358253</v>
      </c>
      <c r="H86" s="65">
        <v>0.1382228490832158</v>
      </c>
      <c r="I86" s="66">
        <v>6806.9105691056911</v>
      </c>
      <c r="J86" s="66">
        <v>-8542.8571428571431</v>
      </c>
      <c r="K86" s="65">
        <v>4.8192771084337352E-2</v>
      </c>
      <c r="L86" s="65">
        <v>0.10843373493975904</v>
      </c>
      <c r="M86" s="65">
        <v>0.21015514809590974</v>
      </c>
      <c r="N86" s="65">
        <v>0.29478138222849082</v>
      </c>
      <c r="O86" s="65">
        <v>0.55704697986577179</v>
      </c>
      <c r="P86" s="65">
        <v>0.42583732057416268</v>
      </c>
      <c r="Q86" s="65">
        <v>0.41056910569105692</v>
      </c>
    </row>
    <row r="87" spans="1:17" x14ac:dyDescent="0.4">
      <c r="A87" s="67">
        <v>84</v>
      </c>
      <c r="B87" s="64">
        <v>-162.90000000000003</v>
      </c>
      <c r="C87" s="64">
        <v>-1.9392857142857147</v>
      </c>
      <c r="D87" s="69">
        <v>2.0595238095238093</v>
      </c>
      <c r="E87" s="65">
        <v>0.25</v>
      </c>
      <c r="F87" s="65">
        <v>0.30952380952380953</v>
      </c>
      <c r="G87" s="65">
        <v>0.34401114206128136</v>
      </c>
      <c r="H87" s="65">
        <v>0.13788300835654596</v>
      </c>
      <c r="I87" s="66">
        <v>6827.9352226720648</v>
      </c>
      <c r="J87" s="66">
        <v>-8638.3838383838392</v>
      </c>
      <c r="K87" s="65">
        <v>5.9523809523809521E-2</v>
      </c>
      <c r="L87" s="65">
        <v>0.10714285714285714</v>
      </c>
      <c r="M87" s="65">
        <v>0.2116991643454039</v>
      </c>
      <c r="N87" s="65">
        <v>0.29247910863509752</v>
      </c>
      <c r="O87" s="65">
        <v>0.55263157894736847</v>
      </c>
      <c r="P87" s="65">
        <v>0.4238095238095238</v>
      </c>
      <c r="Q87" s="65">
        <v>0.40890688259109309</v>
      </c>
    </row>
    <row r="88" spans="1:17" x14ac:dyDescent="0.4">
      <c r="A88" s="67">
        <v>85</v>
      </c>
      <c r="B88" s="64">
        <v>-121.30000000000004</v>
      </c>
      <c r="C88" s="64">
        <v>-1.4270588235294122</v>
      </c>
      <c r="D88" s="69">
        <v>2.0470588235294116</v>
      </c>
      <c r="E88" s="65">
        <v>0.25882352941176473</v>
      </c>
      <c r="F88" s="65">
        <v>0.30588235294117649</v>
      </c>
      <c r="G88" s="65">
        <v>0.34482758620689657</v>
      </c>
      <c r="H88" s="65">
        <v>0.13793103448275862</v>
      </c>
      <c r="I88" s="66">
        <v>6866.4</v>
      </c>
      <c r="J88" s="66">
        <v>-8632</v>
      </c>
      <c r="K88" s="65">
        <v>5.8823529411764705E-2</v>
      </c>
      <c r="L88" s="65">
        <v>0.10588235294117647</v>
      </c>
      <c r="M88" s="65">
        <v>0.21241379310344827</v>
      </c>
      <c r="N88" s="65">
        <v>0.29103448275862071</v>
      </c>
      <c r="O88" s="65">
        <v>0.55194805194805197</v>
      </c>
      <c r="P88" s="65">
        <v>0.42654028436018959</v>
      </c>
      <c r="Q88" s="65">
        <v>0.40400000000000003</v>
      </c>
    </row>
    <row r="89" spans="1:17" x14ac:dyDescent="0.4">
      <c r="A89" s="67">
        <v>86</v>
      </c>
      <c r="B89" s="64">
        <v>-133.30000000000004</v>
      </c>
      <c r="C89" s="64">
        <v>-1.5500000000000005</v>
      </c>
      <c r="D89" s="69">
        <v>2.0465116279069768</v>
      </c>
      <c r="E89" s="65">
        <v>0.2558139534883721</v>
      </c>
      <c r="F89" s="65">
        <v>0.30232558139534882</v>
      </c>
      <c r="G89" s="65">
        <v>0.34430727023319618</v>
      </c>
      <c r="H89" s="65">
        <v>0.13717421124828533</v>
      </c>
      <c r="I89" s="66">
        <v>6886.852589641434</v>
      </c>
      <c r="J89" s="66">
        <v>-8632</v>
      </c>
      <c r="K89" s="65">
        <v>5.8139534883720929E-2</v>
      </c>
      <c r="L89" s="65">
        <v>0.10465116279069768</v>
      </c>
      <c r="M89" s="65">
        <v>0.21262002743484226</v>
      </c>
      <c r="N89" s="65">
        <v>0.29218106995884774</v>
      </c>
      <c r="O89" s="65">
        <v>0.55483870967741933</v>
      </c>
      <c r="P89" s="65">
        <v>0.42253521126760563</v>
      </c>
      <c r="Q89" s="65">
        <v>0.40239043824701193</v>
      </c>
    </row>
    <row r="90" spans="1:17" x14ac:dyDescent="0.4">
      <c r="A90" s="67">
        <v>87</v>
      </c>
      <c r="B90" s="64">
        <v>-118.60000000000004</v>
      </c>
      <c r="C90" s="64">
        <v>-1.3632183908045981</v>
      </c>
      <c r="D90" s="69">
        <v>2.0459770114942528</v>
      </c>
      <c r="E90" s="65">
        <v>0.25287356321839083</v>
      </c>
      <c r="F90" s="65">
        <v>0.2988505747126437</v>
      </c>
      <c r="G90" s="65">
        <v>0.34515688949522511</v>
      </c>
      <c r="H90" s="65">
        <v>0.13642564802182811</v>
      </c>
      <c r="I90" s="66">
        <v>6910.276679841897</v>
      </c>
      <c r="J90" s="66">
        <v>-8632</v>
      </c>
      <c r="K90" s="65">
        <v>5.7471264367816091E-2</v>
      </c>
      <c r="L90" s="65">
        <v>0.10344827586206896</v>
      </c>
      <c r="M90" s="65">
        <v>0.21282401091405184</v>
      </c>
      <c r="N90" s="65">
        <v>0.29195088676671216</v>
      </c>
      <c r="O90" s="65">
        <v>0.55769230769230771</v>
      </c>
      <c r="P90" s="65">
        <v>0.42523364485981308</v>
      </c>
      <c r="Q90" s="65">
        <v>0.40316205533596838</v>
      </c>
    </row>
    <row r="91" spans="1:17" x14ac:dyDescent="0.4">
      <c r="A91" s="67">
        <v>88</v>
      </c>
      <c r="B91" s="64">
        <v>-163.20000000000005</v>
      </c>
      <c r="C91" s="64">
        <v>-1.8545454545454552</v>
      </c>
      <c r="D91" s="69">
        <v>2.0568181818181817</v>
      </c>
      <c r="E91" s="65">
        <v>0.25</v>
      </c>
      <c r="F91" s="65">
        <v>0.30681818181818182</v>
      </c>
      <c r="G91" s="65">
        <v>0.34454912516823688</v>
      </c>
      <c r="H91" s="65">
        <v>0.13728129205921938</v>
      </c>
      <c r="I91" s="66">
        <v>6866.015625</v>
      </c>
      <c r="J91" s="66">
        <v>-8717.6470588235297</v>
      </c>
      <c r="K91" s="65">
        <v>5.6818181818181816E-2</v>
      </c>
      <c r="L91" s="65">
        <v>0.10227272727272728</v>
      </c>
      <c r="M91" s="65">
        <v>0.20995962314939434</v>
      </c>
      <c r="N91" s="65">
        <v>0.29340511440107669</v>
      </c>
      <c r="O91" s="65">
        <v>0.55769230769230771</v>
      </c>
      <c r="P91" s="65">
        <v>0.42660550458715596</v>
      </c>
      <c r="Q91" s="65">
        <v>0.3984375</v>
      </c>
    </row>
    <row r="92" spans="1:17" x14ac:dyDescent="0.4">
      <c r="A92" s="67">
        <v>89</v>
      </c>
      <c r="B92" s="64">
        <v>-123.90000000000005</v>
      </c>
      <c r="C92" s="64">
        <v>-1.3921348314606747</v>
      </c>
      <c r="D92" s="69">
        <v>2.0449438202247192</v>
      </c>
      <c r="E92" s="65">
        <v>0.25842696629213485</v>
      </c>
      <c r="F92" s="65">
        <v>0.30337078651685395</v>
      </c>
      <c r="G92" s="65">
        <v>0.34487350199733691</v>
      </c>
      <c r="H92" s="65">
        <v>0.1384820239680426</v>
      </c>
      <c r="I92" s="66">
        <v>6886.1003861003865</v>
      </c>
      <c r="J92" s="66">
        <v>-8679.8076923076915</v>
      </c>
      <c r="K92" s="65">
        <v>5.6179775280898875E-2</v>
      </c>
      <c r="L92" s="65">
        <v>0.11235955056179775</v>
      </c>
      <c r="M92" s="65">
        <v>0.2103861517976032</v>
      </c>
      <c r="N92" s="65">
        <v>0.29294274300932088</v>
      </c>
      <c r="O92" s="65">
        <v>0.55696202531645567</v>
      </c>
      <c r="P92" s="65">
        <v>0.42727272727272725</v>
      </c>
      <c r="Q92" s="65">
        <v>0.39382239382239381</v>
      </c>
    </row>
    <row r="93" spans="1:17" x14ac:dyDescent="0.4">
      <c r="A93" s="67">
        <v>90</v>
      </c>
      <c r="B93" s="64">
        <v>-122.80000000000005</v>
      </c>
      <c r="C93" s="64">
        <v>-1.364444444444445</v>
      </c>
      <c r="D93" s="69">
        <v>2.0444444444444443</v>
      </c>
      <c r="E93" s="65">
        <v>0.25555555555555554</v>
      </c>
      <c r="F93" s="65">
        <v>0.3</v>
      </c>
      <c r="G93" s="65">
        <v>0.34473684210526317</v>
      </c>
      <c r="H93" s="65">
        <v>0.14210526315789473</v>
      </c>
      <c r="I93" s="66">
        <v>6890.0763358778622</v>
      </c>
      <c r="J93" s="66">
        <v>-8488.8888888888887</v>
      </c>
      <c r="K93" s="65">
        <v>5.5555555555555552E-2</v>
      </c>
      <c r="L93" s="65">
        <v>0.1111111111111111</v>
      </c>
      <c r="M93" s="65">
        <v>0.21447368421052632</v>
      </c>
      <c r="N93" s="65">
        <v>0.29078947368421054</v>
      </c>
      <c r="O93" s="65">
        <v>0.55828220858895705</v>
      </c>
      <c r="P93" s="65">
        <v>0.42533936651583709</v>
      </c>
      <c r="Q93" s="65">
        <v>0.3931297709923664</v>
      </c>
    </row>
    <row r="94" spans="1:17" x14ac:dyDescent="0.4">
      <c r="A94" s="67">
        <v>91</v>
      </c>
      <c r="B94" s="64">
        <v>-121.50000000000006</v>
      </c>
      <c r="C94" s="64">
        <v>-1.3351648351648358</v>
      </c>
      <c r="D94" s="69">
        <v>2.0439560439560438</v>
      </c>
      <c r="E94" s="65">
        <v>0.25274725274725274</v>
      </c>
      <c r="F94" s="65">
        <v>0.2967032967032967</v>
      </c>
      <c r="G94" s="65">
        <v>0.3433420365535248</v>
      </c>
      <c r="H94" s="65">
        <v>0.14229765013054829</v>
      </c>
      <c r="I94" s="66">
        <v>6894.2965779467677</v>
      </c>
      <c r="J94" s="66">
        <v>-8425.6880733944963</v>
      </c>
      <c r="K94" s="65">
        <v>5.4945054945054944E-2</v>
      </c>
      <c r="L94" s="65">
        <v>0.10989010989010989</v>
      </c>
      <c r="M94" s="65">
        <v>0.21279373368146215</v>
      </c>
      <c r="N94" s="65">
        <v>0.28851174934725848</v>
      </c>
      <c r="O94" s="65">
        <v>0.55828220858895705</v>
      </c>
      <c r="P94" s="65">
        <v>0.42533936651583709</v>
      </c>
      <c r="Q94" s="65">
        <v>0.39163498098859317</v>
      </c>
    </row>
    <row r="95" spans="1:17" x14ac:dyDescent="0.4">
      <c r="A95" s="67">
        <v>92</v>
      </c>
      <c r="B95" s="64">
        <v>-120.50000000000006</v>
      </c>
      <c r="C95" s="64">
        <v>-1.3097826086956528</v>
      </c>
      <c r="D95" s="69">
        <v>2.0434782608695654</v>
      </c>
      <c r="E95" s="65">
        <v>0.25</v>
      </c>
      <c r="F95" s="65">
        <v>0.29347826086956524</v>
      </c>
      <c r="G95" s="65">
        <v>0.34326424870466321</v>
      </c>
      <c r="H95" s="65">
        <v>0.14119170984455959</v>
      </c>
      <c r="I95" s="66">
        <v>6872.4528301886794</v>
      </c>
      <c r="J95" s="66">
        <v>-8425.6880733944963</v>
      </c>
      <c r="K95" s="65">
        <v>5.434782608695652E-2</v>
      </c>
      <c r="L95" s="65">
        <v>0.10869565217391304</v>
      </c>
      <c r="M95" s="65">
        <v>0.21243523316062177</v>
      </c>
      <c r="N95" s="65">
        <v>0.28756476683937826</v>
      </c>
      <c r="O95" s="65">
        <v>0.56097560975609762</v>
      </c>
      <c r="P95" s="65">
        <v>0.42792792792792794</v>
      </c>
      <c r="Q95" s="65">
        <v>0.39622641509433965</v>
      </c>
    </row>
    <row r="96" spans="1:17" x14ac:dyDescent="0.4">
      <c r="A96" s="67">
        <v>93</v>
      </c>
      <c r="B96" s="64">
        <v>-155.10000000000005</v>
      </c>
      <c r="C96" s="64">
        <v>-1.6677419354838716</v>
      </c>
      <c r="D96" s="69">
        <v>2.053763440860215</v>
      </c>
      <c r="E96" s="65">
        <v>0.24731182795698925</v>
      </c>
      <c r="F96" s="65">
        <v>0.30107526881720431</v>
      </c>
      <c r="G96" s="65">
        <v>0.34058898847631242</v>
      </c>
      <c r="H96" s="65">
        <v>0.14084507042253522</v>
      </c>
      <c r="I96" s="66">
        <v>6856.3909774436088</v>
      </c>
      <c r="J96" s="66">
        <v>-8396.363636363636</v>
      </c>
      <c r="K96" s="65">
        <v>5.3763440860215055E-2</v>
      </c>
      <c r="L96" s="65">
        <v>0.10752688172043011</v>
      </c>
      <c r="M96" s="65">
        <v>0.21510883482714468</v>
      </c>
      <c r="N96" s="65">
        <v>0.28681177976952626</v>
      </c>
      <c r="O96" s="65">
        <v>0.5535714285714286</v>
      </c>
      <c r="P96" s="65">
        <v>0.42410714285714285</v>
      </c>
      <c r="Q96" s="65">
        <v>0.39473684210526316</v>
      </c>
    </row>
    <row r="97" spans="1:17" x14ac:dyDescent="0.4">
      <c r="A97" s="67">
        <v>94</v>
      </c>
      <c r="B97" s="64">
        <v>-184.60000000000005</v>
      </c>
      <c r="C97" s="64">
        <v>-1.9638297872340431</v>
      </c>
      <c r="D97" s="69">
        <v>2.0638297872340425</v>
      </c>
      <c r="E97" s="65">
        <v>0.24468085106382978</v>
      </c>
      <c r="F97" s="65">
        <v>0.30851063829787234</v>
      </c>
      <c r="G97" s="65">
        <v>0.34007585335018964</v>
      </c>
      <c r="H97" s="65">
        <v>0.14412136536030343</v>
      </c>
      <c r="I97" s="66">
        <v>6815.613382899628</v>
      </c>
      <c r="J97" s="66">
        <v>-8238.5964912280706</v>
      </c>
      <c r="K97" s="65">
        <v>5.3191489361702128E-2</v>
      </c>
      <c r="L97" s="65">
        <v>0.10638297872340426</v>
      </c>
      <c r="M97" s="65">
        <v>0.21744627054361568</v>
      </c>
      <c r="N97" s="65">
        <v>0.28445006321112515</v>
      </c>
      <c r="O97" s="65">
        <v>0.54651162790697672</v>
      </c>
      <c r="P97" s="65">
        <v>0.42666666666666669</v>
      </c>
      <c r="Q97" s="65">
        <v>0.39405204460966542</v>
      </c>
    </row>
    <row r="98" spans="1:17" x14ac:dyDescent="0.4">
      <c r="A98" s="67">
        <v>95</v>
      </c>
      <c r="B98" s="64">
        <v>-161.50000000000006</v>
      </c>
      <c r="C98" s="64">
        <v>-1.7000000000000006</v>
      </c>
      <c r="D98" s="69">
        <v>2.0526315789473686</v>
      </c>
      <c r="E98" s="65">
        <v>0.25263157894736843</v>
      </c>
      <c r="F98" s="65">
        <v>0.30526315789473685</v>
      </c>
      <c r="G98" s="65">
        <v>0.34127979924717694</v>
      </c>
      <c r="H98" s="65">
        <v>0.14303638644918445</v>
      </c>
      <c r="I98" s="66">
        <v>6786.7647058823532</v>
      </c>
      <c r="J98" s="66">
        <v>-8238.5964912280706</v>
      </c>
      <c r="K98" s="65">
        <v>5.2631578947368418E-2</v>
      </c>
      <c r="L98" s="65">
        <v>0.10526315789473684</v>
      </c>
      <c r="M98" s="65">
        <v>0.21580928481806774</v>
      </c>
      <c r="N98" s="65">
        <v>0.28356336260978671</v>
      </c>
      <c r="O98" s="65">
        <v>0.54651162790697672</v>
      </c>
      <c r="P98" s="65">
        <v>0.42920353982300885</v>
      </c>
      <c r="Q98" s="65">
        <v>0.40073529411764708</v>
      </c>
    </row>
    <row r="99" spans="1:17" x14ac:dyDescent="0.4">
      <c r="A99" s="67">
        <v>96</v>
      </c>
      <c r="B99" s="64">
        <v>-202.00000000000006</v>
      </c>
      <c r="C99" s="64">
        <v>-2.1041666666666674</v>
      </c>
      <c r="D99" s="69">
        <v>2.0625</v>
      </c>
      <c r="E99" s="65">
        <v>0.25</v>
      </c>
      <c r="F99" s="65">
        <v>0.3125</v>
      </c>
      <c r="G99" s="65">
        <v>0.33995037220843671</v>
      </c>
      <c r="H99" s="65">
        <v>0.14392059553349876</v>
      </c>
      <c r="I99" s="66">
        <v>6774.8175182481755</v>
      </c>
      <c r="J99" s="66">
        <v>-8190.5172413793107</v>
      </c>
      <c r="K99" s="65">
        <v>5.2083333333333336E-2</v>
      </c>
      <c r="L99" s="65">
        <v>0.10416666666666667</v>
      </c>
      <c r="M99" s="65">
        <v>0.21588089330024815</v>
      </c>
      <c r="N99" s="65">
        <v>0.28411910669975188</v>
      </c>
      <c r="O99" s="65">
        <v>0.54597701149425293</v>
      </c>
      <c r="P99" s="65">
        <v>0.42794759825327511</v>
      </c>
      <c r="Q99" s="65">
        <v>0.3978102189781022</v>
      </c>
    </row>
    <row r="100" spans="1:17" x14ac:dyDescent="0.4">
      <c r="A100" s="67">
        <v>97</v>
      </c>
      <c r="B100" s="64">
        <v>-200.50000000000006</v>
      </c>
      <c r="C100" s="64">
        <v>-2.0670103092783512</v>
      </c>
      <c r="D100" s="69">
        <v>2.0618556701030926</v>
      </c>
      <c r="E100" s="65">
        <v>0.24742268041237114</v>
      </c>
      <c r="F100" s="65">
        <v>0.30927835051546393</v>
      </c>
      <c r="G100" s="65">
        <v>0.33740831295843521</v>
      </c>
      <c r="H100" s="65">
        <v>0.14180929095354522</v>
      </c>
      <c r="I100" s="66">
        <v>6819.927536231884</v>
      </c>
      <c r="J100" s="66">
        <v>-8190.5172413793107</v>
      </c>
      <c r="K100" s="65">
        <v>5.1546391752577317E-2</v>
      </c>
      <c r="L100" s="65">
        <v>0.10309278350515463</v>
      </c>
      <c r="M100" s="65">
        <v>0.2139364303178484</v>
      </c>
      <c r="N100" s="65">
        <v>0.2823960880195599</v>
      </c>
      <c r="O100" s="65">
        <v>0.5485714285714286</v>
      </c>
      <c r="P100" s="65">
        <v>0.42857142857142855</v>
      </c>
      <c r="Q100" s="65">
        <v>0.39855072463768115</v>
      </c>
    </row>
    <row r="101" spans="1:17" x14ac:dyDescent="0.4">
      <c r="A101" s="67">
        <v>98</v>
      </c>
      <c r="B101" s="64">
        <v>-164.70000000000005</v>
      </c>
      <c r="C101" s="64">
        <v>-1.6806122448979597</v>
      </c>
      <c r="D101" s="69">
        <v>2.0510204081632653</v>
      </c>
      <c r="E101" s="65">
        <v>0.25510204081632654</v>
      </c>
      <c r="F101" s="65">
        <v>0.30612244897959184</v>
      </c>
      <c r="G101" s="65">
        <v>0.3385731559854897</v>
      </c>
      <c r="H101" s="65">
        <v>0.14147521160822249</v>
      </c>
      <c r="I101" s="66">
        <v>6786.7857142857147</v>
      </c>
      <c r="J101" s="66">
        <v>-8153.8461538461543</v>
      </c>
      <c r="K101" s="65">
        <v>5.1020408163265307E-2</v>
      </c>
      <c r="L101" s="65">
        <v>0.10204081632653061</v>
      </c>
      <c r="M101" s="65">
        <v>0.21402660217654171</v>
      </c>
      <c r="N101" s="65">
        <v>0.2841596130592503</v>
      </c>
      <c r="O101" s="65">
        <v>0.5536723163841808</v>
      </c>
      <c r="P101" s="65">
        <v>0.42553191489361702</v>
      </c>
      <c r="Q101" s="65">
        <v>0.4</v>
      </c>
    </row>
    <row r="102" spans="1:17" x14ac:dyDescent="0.4">
      <c r="A102" s="67">
        <v>99</v>
      </c>
      <c r="B102" s="64">
        <v>-172.90000000000003</v>
      </c>
      <c r="C102" s="64">
        <v>-1.7464646464646467</v>
      </c>
      <c r="D102" s="69">
        <v>2.0505050505050506</v>
      </c>
      <c r="E102" s="65">
        <v>0.25252525252525254</v>
      </c>
      <c r="F102" s="65">
        <v>0.30303030303030304</v>
      </c>
      <c r="G102" s="65">
        <v>0.33693045563549162</v>
      </c>
      <c r="H102" s="65">
        <v>0.14028776978417265</v>
      </c>
      <c r="I102" s="66">
        <v>6766.9039145907473</v>
      </c>
      <c r="J102" s="66">
        <v>-8153.8461538461543</v>
      </c>
      <c r="K102" s="65">
        <v>5.0505050505050504E-2</v>
      </c>
      <c r="L102" s="65">
        <v>0.10101010101010101</v>
      </c>
      <c r="M102" s="65">
        <v>0.21223021582733814</v>
      </c>
      <c r="N102" s="65">
        <v>0.28776978417266186</v>
      </c>
      <c r="O102" s="65">
        <v>0.5536723163841808</v>
      </c>
      <c r="P102" s="65">
        <v>0.42083333333333334</v>
      </c>
      <c r="Q102" s="65">
        <v>0.40213523131672596</v>
      </c>
    </row>
    <row r="103" spans="1:17" x14ac:dyDescent="0.4">
      <c r="A103" s="67">
        <v>100</v>
      </c>
      <c r="B103" s="64">
        <v>-177.80000000000004</v>
      </c>
      <c r="C103" s="64">
        <v>-1.7780000000000005</v>
      </c>
      <c r="D103" s="69">
        <v>2.0499999999999998</v>
      </c>
      <c r="E103" s="65">
        <v>0.25</v>
      </c>
      <c r="F103" s="65">
        <v>0.3</v>
      </c>
      <c r="G103" s="65">
        <v>0.33847980997624705</v>
      </c>
      <c r="H103" s="65">
        <v>0.14133016627078385</v>
      </c>
      <c r="I103" s="66">
        <v>6753.333333333333</v>
      </c>
      <c r="J103" s="66">
        <v>-8181.5126050420167</v>
      </c>
      <c r="K103" s="65">
        <v>0.05</v>
      </c>
      <c r="L103" s="65">
        <v>0.1</v>
      </c>
      <c r="M103" s="65">
        <v>0.21377672209026127</v>
      </c>
      <c r="N103" s="65">
        <v>0.28978622327790976</v>
      </c>
      <c r="O103" s="65">
        <v>0.55555555555555558</v>
      </c>
      <c r="P103" s="65">
        <v>0.42213114754098363</v>
      </c>
      <c r="Q103" s="65">
        <v>0.4</v>
      </c>
    </row>
    <row r="104" spans="1:17" x14ac:dyDescent="0.4">
      <c r="A104" s="67">
        <v>101</v>
      </c>
      <c r="B104" s="64">
        <v>-212.40000000000003</v>
      </c>
      <c r="C104" s="64">
        <v>-2.1029702970297035</v>
      </c>
      <c r="D104" s="69">
        <v>2.0594059405940595</v>
      </c>
      <c r="E104" s="65">
        <v>0.24752475247524752</v>
      </c>
      <c r="F104" s="65">
        <v>0.30693069306930693</v>
      </c>
      <c r="G104" s="65">
        <v>0.33647058823529413</v>
      </c>
      <c r="H104" s="65">
        <v>0.14117647058823529</v>
      </c>
      <c r="I104" s="66">
        <v>6763.2867132867132</v>
      </c>
      <c r="J104" s="66">
        <v>-8246.6666666666661</v>
      </c>
      <c r="K104" s="65">
        <v>4.9504950495049507E-2</v>
      </c>
      <c r="L104" s="65">
        <v>9.9009900990099015E-2</v>
      </c>
      <c r="M104" s="65">
        <v>0.21294117647058824</v>
      </c>
      <c r="N104" s="65">
        <v>0.28705882352941176</v>
      </c>
      <c r="O104" s="65">
        <v>0.5524861878453039</v>
      </c>
      <c r="P104" s="65">
        <v>0.42213114754098363</v>
      </c>
      <c r="Q104" s="65">
        <v>0.39860139860139859</v>
      </c>
    </row>
    <row r="105" spans="1:17" x14ac:dyDescent="0.4">
      <c r="A105" s="67">
        <v>102</v>
      </c>
      <c r="B105" s="64">
        <v>-200.80000000000004</v>
      </c>
      <c r="C105" s="64">
        <v>-1.9686274509803925</v>
      </c>
      <c r="D105" s="69">
        <v>2.0588235294117645</v>
      </c>
      <c r="E105" s="65">
        <v>0.24509803921568626</v>
      </c>
      <c r="F105" s="65">
        <v>0.30392156862745096</v>
      </c>
      <c r="G105" s="65">
        <v>0.3368298368298368</v>
      </c>
      <c r="H105" s="65">
        <v>0.14102564102564102</v>
      </c>
      <c r="I105" s="66">
        <v>6779.2387543252598</v>
      </c>
      <c r="J105" s="66">
        <v>-8226.446280991735</v>
      </c>
      <c r="K105" s="65">
        <v>4.9019607843137254E-2</v>
      </c>
      <c r="L105" s="65">
        <v>9.8039215686274508E-2</v>
      </c>
      <c r="M105" s="65">
        <v>0.21212121212121213</v>
      </c>
      <c r="N105" s="65">
        <v>0.28904428904428903</v>
      </c>
      <c r="O105" s="65">
        <v>0.55494505494505497</v>
      </c>
      <c r="P105" s="65">
        <v>0.42338709677419356</v>
      </c>
      <c r="Q105" s="65">
        <v>0.39792387543252594</v>
      </c>
    </row>
    <row r="106" spans="1:17" x14ac:dyDescent="0.4">
      <c r="A106" s="67">
        <v>103</v>
      </c>
      <c r="B106" s="64">
        <v>-259.40000000000003</v>
      </c>
      <c r="C106" s="64">
        <v>-2.518446601941748</v>
      </c>
      <c r="D106" s="69">
        <v>2.0679611650485437</v>
      </c>
      <c r="E106" s="65">
        <v>0.24271844660194175</v>
      </c>
      <c r="F106" s="65">
        <v>0.31067961165048541</v>
      </c>
      <c r="G106" s="65">
        <v>0.33564814814814814</v>
      </c>
      <c r="H106" s="65">
        <v>0.14351851851851852</v>
      </c>
      <c r="I106" s="66">
        <v>6773.7931034482763</v>
      </c>
      <c r="J106" s="66">
        <v>-8308.0645161290322</v>
      </c>
      <c r="K106" s="65">
        <v>5.8252427184466021E-2</v>
      </c>
      <c r="L106" s="65">
        <v>9.7087378640776698E-2</v>
      </c>
      <c r="M106" s="65">
        <v>0.21180555555555555</v>
      </c>
      <c r="N106" s="65">
        <v>0.28703703703703703</v>
      </c>
      <c r="O106" s="65">
        <v>0.55737704918032782</v>
      </c>
      <c r="P106" s="65">
        <v>0.42338709677419356</v>
      </c>
      <c r="Q106" s="65">
        <v>0.39655172413793105</v>
      </c>
    </row>
    <row r="107" spans="1:17" x14ac:dyDescent="0.4">
      <c r="A107" s="67">
        <v>104</v>
      </c>
      <c r="B107" s="64">
        <v>-234.20000000000005</v>
      </c>
      <c r="C107" s="64">
        <v>-2.2519230769230774</v>
      </c>
      <c r="D107" s="69">
        <v>2.0576923076923075</v>
      </c>
      <c r="E107" s="65">
        <v>0.25</v>
      </c>
      <c r="F107" s="65">
        <v>0.30769230769230771</v>
      </c>
      <c r="G107" s="65">
        <v>0.3356242840778923</v>
      </c>
      <c r="H107" s="65">
        <v>0.14432989690721648</v>
      </c>
      <c r="I107" s="66">
        <v>6765.5290102389081</v>
      </c>
      <c r="J107" s="66">
        <v>-8262.6984126984134</v>
      </c>
      <c r="K107" s="65">
        <v>5.7692307692307696E-2</v>
      </c>
      <c r="L107" s="65">
        <v>9.6153846153846159E-2</v>
      </c>
      <c r="M107" s="65">
        <v>0.21191294387170675</v>
      </c>
      <c r="N107" s="65">
        <v>0.28751431844215347</v>
      </c>
      <c r="O107" s="65">
        <v>0.56216216216216219</v>
      </c>
      <c r="P107" s="65">
        <v>0.41832669322709165</v>
      </c>
      <c r="Q107" s="65">
        <v>0.39590443686006827</v>
      </c>
    </row>
    <row r="108" spans="1:17" x14ac:dyDescent="0.4">
      <c r="A108" s="67">
        <v>105</v>
      </c>
      <c r="B108" s="64">
        <v>-243.50000000000006</v>
      </c>
      <c r="C108" s="64">
        <v>-2.3190476190476197</v>
      </c>
      <c r="D108" s="69">
        <v>2.0571428571428569</v>
      </c>
      <c r="E108" s="65">
        <v>0.24761904761904763</v>
      </c>
      <c r="F108" s="65">
        <v>0.30476190476190479</v>
      </c>
      <c r="G108" s="65">
        <v>0.33258426966292137</v>
      </c>
      <c r="H108" s="65">
        <v>0.14606741573033707</v>
      </c>
      <c r="I108" s="66">
        <v>6762.5</v>
      </c>
      <c r="J108" s="66">
        <v>-8148.4615384615381</v>
      </c>
      <c r="K108" s="65">
        <v>5.7142857142857141E-2</v>
      </c>
      <c r="L108" s="65">
        <v>9.5238095238095233E-2</v>
      </c>
      <c r="M108" s="65">
        <v>0.21235955056179776</v>
      </c>
      <c r="N108" s="65">
        <v>0.28539325842696628</v>
      </c>
      <c r="O108" s="65">
        <v>0.55026455026455023</v>
      </c>
      <c r="P108" s="65">
        <v>0.42125984251968501</v>
      </c>
      <c r="Q108" s="65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25F3C-4689-4625-966E-5723D91DCA4A}">
  <sheetPr codeName="Sheet14"/>
  <dimension ref="A1:Q113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171</v>
      </c>
      <c r="B1" s="68" t="s">
        <v>171</v>
      </c>
      <c r="C1" s="68" t="s">
        <v>171</v>
      </c>
      <c r="D1" s="69" t="s">
        <v>171</v>
      </c>
      <c r="E1" s="68" t="s">
        <v>171</v>
      </c>
      <c r="F1" s="68" t="s">
        <v>171</v>
      </c>
      <c r="G1" s="68" t="s">
        <v>171</v>
      </c>
      <c r="H1" s="68" t="s">
        <v>171</v>
      </c>
      <c r="I1" s="68" t="s">
        <v>171</v>
      </c>
      <c r="J1" s="68" t="s">
        <v>171</v>
      </c>
      <c r="K1" s="68" t="s">
        <v>171</v>
      </c>
      <c r="L1" s="68" t="s">
        <v>171</v>
      </c>
      <c r="M1" s="68" t="s">
        <v>171</v>
      </c>
      <c r="N1" s="68" t="s">
        <v>171</v>
      </c>
      <c r="O1" s="68" t="s">
        <v>171</v>
      </c>
      <c r="P1" s="68" t="s">
        <v>171</v>
      </c>
      <c r="Q1" s="68" t="s">
        <v>171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-51.2</v>
      </c>
      <c r="C4" s="64">
        <v>-51.2</v>
      </c>
      <c r="D4" s="69">
        <v>3</v>
      </c>
      <c r="E4" s="65">
        <v>0</v>
      </c>
      <c r="F4" s="65">
        <v>1</v>
      </c>
      <c r="G4" s="65">
        <v>0.14285714285714285</v>
      </c>
      <c r="H4" s="65">
        <v>0.5714285714285714</v>
      </c>
      <c r="I4" s="66">
        <v>2000</v>
      </c>
      <c r="J4" s="66">
        <v>-5800</v>
      </c>
      <c r="K4" s="65">
        <v>0</v>
      </c>
      <c r="L4" s="65">
        <v>0</v>
      </c>
      <c r="M4" s="65">
        <v>0.2857142857142857</v>
      </c>
      <c r="N4" s="65">
        <v>0.14285714285714285</v>
      </c>
      <c r="O4" s="65">
        <v>0</v>
      </c>
      <c r="P4" s="65">
        <v>0</v>
      </c>
      <c r="Q4" s="65">
        <v>0</v>
      </c>
    </row>
    <row r="5" spans="1:17" x14ac:dyDescent="0.4">
      <c r="A5" s="67">
        <v>2</v>
      </c>
      <c r="B5" s="64">
        <v>-93.300000000000011</v>
      </c>
      <c r="C5" s="64">
        <v>-46.650000000000006</v>
      </c>
      <c r="D5" s="69">
        <v>3</v>
      </c>
      <c r="E5" s="65">
        <v>0</v>
      </c>
      <c r="F5" s="65">
        <v>1</v>
      </c>
      <c r="G5" s="65">
        <v>0.125</v>
      </c>
      <c r="H5" s="65">
        <v>0.4375</v>
      </c>
      <c r="I5" s="66">
        <v>2950</v>
      </c>
      <c r="J5" s="66">
        <v>-5014.2857142857147</v>
      </c>
      <c r="K5" s="65">
        <v>0</v>
      </c>
      <c r="L5" s="65">
        <v>0</v>
      </c>
      <c r="M5" s="65">
        <v>0.25</v>
      </c>
      <c r="N5" s="65">
        <v>6.25E-2</v>
      </c>
      <c r="O5" s="65">
        <v>0.25</v>
      </c>
      <c r="P5" s="65">
        <v>0</v>
      </c>
      <c r="Q5" s="65">
        <v>0</v>
      </c>
    </row>
    <row r="6" spans="1:17" x14ac:dyDescent="0.4">
      <c r="A6" s="67">
        <v>3</v>
      </c>
      <c r="B6" s="64">
        <v>-60.100000000000009</v>
      </c>
      <c r="C6" s="64">
        <v>-20.033333333333335</v>
      </c>
      <c r="D6" s="69">
        <v>2.3333333333333335</v>
      </c>
      <c r="E6" s="65">
        <v>0.33333333333333331</v>
      </c>
      <c r="F6" s="65">
        <v>0.66666666666666663</v>
      </c>
      <c r="G6" s="65">
        <v>0.21739130434782608</v>
      </c>
      <c r="H6" s="65">
        <v>0.34782608695652173</v>
      </c>
      <c r="I6" s="66">
        <v>7100</v>
      </c>
      <c r="J6" s="66">
        <v>-5887.5</v>
      </c>
      <c r="K6" s="65">
        <v>0</v>
      </c>
      <c r="L6" s="65">
        <v>0</v>
      </c>
      <c r="M6" s="65">
        <v>0.21739130434782608</v>
      </c>
      <c r="N6" s="65">
        <v>0.21739130434782608</v>
      </c>
      <c r="O6" s="65">
        <v>0.4</v>
      </c>
      <c r="P6" s="65">
        <v>0.4</v>
      </c>
      <c r="Q6" s="65">
        <v>0.2</v>
      </c>
    </row>
    <row r="7" spans="1:17" x14ac:dyDescent="0.4">
      <c r="A7" s="67">
        <v>4</v>
      </c>
      <c r="B7" s="64">
        <v>-11.300000000000011</v>
      </c>
      <c r="C7" s="64">
        <v>-2.8250000000000028</v>
      </c>
      <c r="D7" s="69">
        <v>2</v>
      </c>
      <c r="E7" s="65">
        <v>0.5</v>
      </c>
      <c r="F7" s="65">
        <v>0.5</v>
      </c>
      <c r="G7" s="65">
        <v>0.22222222222222221</v>
      </c>
      <c r="H7" s="65">
        <v>0.33333333333333331</v>
      </c>
      <c r="I7" s="66">
        <v>11250</v>
      </c>
      <c r="J7" s="66">
        <v>-5666.666666666667</v>
      </c>
      <c r="K7" s="65">
        <v>0</v>
      </c>
      <c r="L7" s="65">
        <v>0.25</v>
      </c>
      <c r="M7" s="65">
        <v>0.18518518518518517</v>
      </c>
      <c r="N7" s="65">
        <v>0.25925925925925924</v>
      </c>
      <c r="O7" s="65">
        <v>0.4</v>
      </c>
      <c r="P7" s="65">
        <v>0.2857142857142857</v>
      </c>
      <c r="Q7" s="65">
        <v>0.16666666666666666</v>
      </c>
    </row>
    <row r="8" spans="1:17" x14ac:dyDescent="0.4">
      <c r="A8" s="67">
        <v>5</v>
      </c>
      <c r="B8" s="64">
        <v>-36.100000000000009</v>
      </c>
      <c r="C8" s="64">
        <v>-7.2200000000000015</v>
      </c>
      <c r="D8" s="69">
        <v>2.2000000000000002</v>
      </c>
      <c r="E8" s="65">
        <v>0.4</v>
      </c>
      <c r="F8" s="65">
        <v>0.6</v>
      </c>
      <c r="G8" s="65">
        <v>0.24324324324324326</v>
      </c>
      <c r="H8" s="65">
        <v>0.32432432432432434</v>
      </c>
      <c r="I8" s="66">
        <v>9266.6666666666661</v>
      </c>
      <c r="J8" s="66">
        <v>-5333.333333333333</v>
      </c>
      <c r="K8" s="65">
        <v>0</v>
      </c>
      <c r="L8" s="65">
        <v>0.2</v>
      </c>
      <c r="M8" s="65">
        <v>0.1891891891891892</v>
      </c>
      <c r="N8" s="65">
        <v>0.21621621621621623</v>
      </c>
      <c r="O8" s="65">
        <v>0.5714285714285714</v>
      </c>
      <c r="P8" s="65">
        <v>0.375</v>
      </c>
      <c r="Q8" s="65">
        <v>0.22222222222222221</v>
      </c>
    </row>
    <row r="9" spans="1:17" x14ac:dyDescent="0.4">
      <c r="A9" s="67">
        <v>6</v>
      </c>
      <c r="B9" s="64">
        <v>9.0999999999999943</v>
      </c>
      <c r="C9" s="64">
        <v>1.5166666666666657</v>
      </c>
      <c r="D9" s="69">
        <v>2</v>
      </c>
      <c r="E9" s="65">
        <v>0.5</v>
      </c>
      <c r="F9" s="65">
        <v>0.5</v>
      </c>
      <c r="G9" s="65">
        <v>0.26530612244897961</v>
      </c>
      <c r="H9" s="65">
        <v>0.26530612244897961</v>
      </c>
      <c r="I9" s="66">
        <v>9392.3076923076915</v>
      </c>
      <c r="J9" s="66">
        <v>-5323.0769230769229</v>
      </c>
      <c r="K9" s="65">
        <v>0</v>
      </c>
      <c r="L9" s="65">
        <v>0.16666666666666666</v>
      </c>
      <c r="M9" s="65">
        <v>0.22448979591836735</v>
      </c>
      <c r="N9" s="65">
        <v>0.24489795918367346</v>
      </c>
      <c r="O9" s="65">
        <v>0.54545454545454541</v>
      </c>
      <c r="P9" s="65">
        <v>0.41666666666666669</v>
      </c>
      <c r="Q9" s="65">
        <v>0.23076923076923078</v>
      </c>
    </row>
    <row r="10" spans="1:17" x14ac:dyDescent="0.4">
      <c r="A10" s="67">
        <v>7</v>
      </c>
      <c r="B10" s="64">
        <v>-51.300000000000004</v>
      </c>
      <c r="C10" s="64">
        <v>-7.3285714285714292</v>
      </c>
      <c r="D10" s="69">
        <v>2.1428571428571428</v>
      </c>
      <c r="E10" s="65">
        <v>0.42857142857142855</v>
      </c>
      <c r="F10" s="65">
        <v>0.5714285714285714</v>
      </c>
      <c r="G10" s="65">
        <v>0.24561403508771928</v>
      </c>
      <c r="H10" s="65">
        <v>0.26315789473684209</v>
      </c>
      <c r="I10" s="66">
        <v>8921.4285714285706</v>
      </c>
      <c r="J10" s="66">
        <v>-6586.666666666667</v>
      </c>
      <c r="K10" s="65">
        <v>0.14285714285714285</v>
      </c>
      <c r="L10" s="65">
        <v>0.14285714285714285</v>
      </c>
      <c r="M10" s="65">
        <v>0.21052631578947367</v>
      </c>
      <c r="N10" s="65">
        <v>0.24561403508771928</v>
      </c>
      <c r="O10" s="65">
        <v>0.5</v>
      </c>
      <c r="P10" s="65">
        <v>0.35714285714285715</v>
      </c>
      <c r="Q10" s="65">
        <v>0.2857142857142857</v>
      </c>
    </row>
    <row r="11" spans="1:17" x14ac:dyDescent="0.4">
      <c r="A11" s="67">
        <v>8</v>
      </c>
      <c r="B11" s="64">
        <v>-1.7000000000000028</v>
      </c>
      <c r="C11" s="64">
        <v>-0.21250000000000036</v>
      </c>
      <c r="D11" s="69">
        <v>2</v>
      </c>
      <c r="E11" s="65">
        <v>0.5</v>
      </c>
      <c r="F11" s="65">
        <v>0.5</v>
      </c>
      <c r="G11" s="65">
        <v>0.27536231884057971</v>
      </c>
      <c r="H11" s="65">
        <v>0.21739130434782608</v>
      </c>
      <c r="I11" s="66">
        <v>8084.2105263157891</v>
      </c>
      <c r="J11" s="66">
        <v>-6586.666666666667</v>
      </c>
      <c r="K11" s="65">
        <v>0.125</v>
      </c>
      <c r="L11" s="65">
        <v>0.125</v>
      </c>
      <c r="M11" s="65">
        <v>0.24637681159420291</v>
      </c>
      <c r="N11" s="65">
        <v>0.2318840579710145</v>
      </c>
      <c r="O11" s="65">
        <v>0.47058823529411764</v>
      </c>
      <c r="P11" s="65">
        <v>0.375</v>
      </c>
      <c r="Q11" s="65">
        <v>0.36842105263157893</v>
      </c>
    </row>
    <row r="12" spans="1:17" x14ac:dyDescent="0.4">
      <c r="A12" s="67">
        <v>9</v>
      </c>
      <c r="B12" s="64">
        <v>-5.8000000000000025</v>
      </c>
      <c r="C12" s="64">
        <v>-0.64444444444444471</v>
      </c>
      <c r="D12" s="69">
        <v>2</v>
      </c>
      <c r="E12" s="65">
        <v>0.44444444444444442</v>
      </c>
      <c r="F12" s="65">
        <v>0.44444444444444442</v>
      </c>
      <c r="G12" s="65">
        <v>0.27272727272727271</v>
      </c>
      <c r="H12" s="65">
        <v>0.23376623376623376</v>
      </c>
      <c r="I12" s="66">
        <v>7695.2380952380954</v>
      </c>
      <c r="J12" s="66">
        <v>-6188.8888888888887</v>
      </c>
      <c r="K12" s="65">
        <v>0.1111111111111111</v>
      </c>
      <c r="L12" s="65">
        <v>0.1111111111111111</v>
      </c>
      <c r="M12" s="65">
        <v>0.24675324675324675</v>
      </c>
      <c r="N12" s="65">
        <v>0.23376623376623376</v>
      </c>
      <c r="O12" s="65">
        <v>0.52631578947368418</v>
      </c>
      <c r="P12" s="65">
        <v>0.33333333333333331</v>
      </c>
      <c r="Q12" s="65">
        <v>0.38095238095238093</v>
      </c>
    </row>
    <row r="13" spans="1:17" x14ac:dyDescent="0.4">
      <c r="A13" s="67">
        <v>10</v>
      </c>
      <c r="B13" s="64">
        <v>-56.500000000000007</v>
      </c>
      <c r="C13" s="64">
        <v>-5.65</v>
      </c>
      <c r="D13" s="69">
        <v>2.1</v>
      </c>
      <c r="E13" s="65">
        <v>0.4</v>
      </c>
      <c r="F13" s="65">
        <v>0.5</v>
      </c>
      <c r="G13" s="65">
        <v>0.25882352941176473</v>
      </c>
      <c r="H13" s="65">
        <v>0.24705882352941178</v>
      </c>
      <c r="I13" s="66">
        <v>7890.909090909091</v>
      </c>
      <c r="J13" s="66">
        <v>-6633.333333333333</v>
      </c>
      <c r="K13" s="65">
        <v>0.1</v>
      </c>
      <c r="L13" s="65">
        <v>0.1</v>
      </c>
      <c r="M13" s="65">
        <v>0.23529411764705882</v>
      </c>
      <c r="N13" s="65">
        <v>0.21176470588235294</v>
      </c>
      <c r="O13" s="65">
        <v>0.5</v>
      </c>
      <c r="P13" s="65">
        <v>0.33333333333333331</v>
      </c>
      <c r="Q13" s="65">
        <v>0.36363636363636365</v>
      </c>
    </row>
    <row r="14" spans="1:17" x14ac:dyDescent="0.4">
      <c r="A14" s="67">
        <v>11</v>
      </c>
      <c r="B14" s="64">
        <v>-27.600000000000009</v>
      </c>
      <c r="C14" s="64">
        <v>-2.5090909090909097</v>
      </c>
      <c r="D14" s="69">
        <v>2</v>
      </c>
      <c r="E14" s="65">
        <v>0.45454545454545453</v>
      </c>
      <c r="F14" s="65">
        <v>0.45454545454545453</v>
      </c>
      <c r="G14" s="65">
        <v>0.25263157894736843</v>
      </c>
      <c r="H14" s="65">
        <v>0.23157894736842105</v>
      </c>
      <c r="I14" s="66">
        <v>7883.333333333333</v>
      </c>
      <c r="J14" s="66">
        <v>-6450</v>
      </c>
      <c r="K14" s="65">
        <v>9.0909090909090912E-2</v>
      </c>
      <c r="L14" s="65">
        <v>9.0909090909090912E-2</v>
      </c>
      <c r="M14" s="65">
        <v>0.23157894736842105</v>
      </c>
      <c r="N14" s="65">
        <v>0.21052631578947367</v>
      </c>
      <c r="O14" s="65">
        <v>0.5</v>
      </c>
      <c r="P14" s="65">
        <v>0.35</v>
      </c>
      <c r="Q14" s="65">
        <v>0.375</v>
      </c>
    </row>
    <row r="15" spans="1:17" x14ac:dyDescent="0.4">
      <c r="A15" s="67">
        <v>12</v>
      </c>
      <c r="B15" s="64">
        <v>-42.900000000000006</v>
      </c>
      <c r="C15" s="64">
        <v>-3.5750000000000006</v>
      </c>
      <c r="D15" s="69">
        <v>2</v>
      </c>
      <c r="E15" s="65">
        <v>0.41666666666666669</v>
      </c>
      <c r="F15" s="65">
        <v>0.41666666666666669</v>
      </c>
      <c r="G15" s="65">
        <v>0.22857142857142856</v>
      </c>
      <c r="H15" s="65">
        <v>0.20952380952380953</v>
      </c>
      <c r="I15" s="66">
        <v>7883.333333333333</v>
      </c>
      <c r="J15" s="66">
        <v>-6450</v>
      </c>
      <c r="K15" s="65">
        <v>8.3333333333333329E-2</v>
      </c>
      <c r="L15" s="65">
        <v>8.3333333333333329E-2</v>
      </c>
      <c r="M15" s="65">
        <v>0.22857142857142856</v>
      </c>
      <c r="N15" s="65">
        <v>0.20952380952380953</v>
      </c>
      <c r="O15" s="65">
        <v>0.45833333333333331</v>
      </c>
      <c r="P15" s="65">
        <v>0.31818181818181818</v>
      </c>
      <c r="Q15" s="65">
        <v>0.375</v>
      </c>
    </row>
    <row r="16" spans="1:17" x14ac:dyDescent="0.4">
      <c r="A16" s="67">
        <v>13</v>
      </c>
      <c r="B16" s="64">
        <v>-58.7</v>
      </c>
      <c r="C16" s="64">
        <v>-4.5153846153846153</v>
      </c>
      <c r="D16" s="69">
        <v>2</v>
      </c>
      <c r="E16" s="65">
        <v>0.38461538461538464</v>
      </c>
      <c r="F16" s="65">
        <v>0.38461538461538464</v>
      </c>
      <c r="G16" s="65">
        <v>0.22033898305084745</v>
      </c>
      <c r="H16" s="65">
        <v>0.20338983050847459</v>
      </c>
      <c r="I16" s="66">
        <v>7880.7692307692305</v>
      </c>
      <c r="J16" s="66">
        <v>-6895.833333333333</v>
      </c>
      <c r="K16" s="65">
        <v>7.6923076923076927E-2</v>
      </c>
      <c r="L16" s="65">
        <v>7.6923076923076927E-2</v>
      </c>
      <c r="M16" s="65">
        <v>0.22033898305084745</v>
      </c>
      <c r="N16" s="65">
        <v>0.2288135593220339</v>
      </c>
      <c r="O16" s="65">
        <v>0.46153846153846156</v>
      </c>
      <c r="P16" s="65">
        <v>0.29629629629629628</v>
      </c>
      <c r="Q16" s="65">
        <v>0.34615384615384615</v>
      </c>
    </row>
    <row r="17" spans="1:17" x14ac:dyDescent="0.4">
      <c r="A17" s="67">
        <v>14</v>
      </c>
      <c r="B17" s="64">
        <v>-29.400000000000002</v>
      </c>
      <c r="C17" s="64">
        <v>-2.1</v>
      </c>
      <c r="D17" s="69">
        <v>1.9285714285714286</v>
      </c>
      <c r="E17" s="65">
        <v>0.42857142857142855</v>
      </c>
      <c r="F17" s="65">
        <v>0.35714285714285715</v>
      </c>
      <c r="G17" s="65">
        <v>0.23387096774193547</v>
      </c>
      <c r="H17" s="65">
        <v>0.19354838709677419</v>
      </c>
      <c r="I17" s="66">
        <v>7686.2068965517237</v>
      </c>
      <c r="J17" s="66">
        <v>-6895.833333333333</v>
      </c>
      <c r="K17" s="65">
        <v>7.1428571428571425E-2</v>
      </c>
      <c r="L17" s="65">
        <v>7.1428571428571425E-2</v>
      </c>
      <c r="M17" s="65">
        <v>0.22580645161290322</v>
      </c>
      <c r="N17" s="65">
        <v>0.23387096774193547</v>
      </c>
      <c r="O17" s="65">
        <v>0.4642857142857143</v>
      </c>
      <c r="P17" s="65">
        <v>0.34482758620689657</v>
      </c>
      <c r="Q17" s="65">
        <v>0.31034482758620691</v>
      </c>
    </row>
    <row r="18" spans="1:17" x14ac:dyDescent="0.4">
      <c r="A18" s="67">
        <v>15</v>
      </c>
      <c r="B18" s="64">
        <v>-26.3</v>
      </c>
      <c r="C18" s="64">
        <v>-1.7533333333333334</v>
      </c>
      <c r="D18" s="69">
        <v>1.9333333333333333</v>
      </c>
      <c r="E18" s="65">
        <v>0.4</v>
      </c>
      <c r="F18" s="65">
        <v>0.33333333333333331</v>
      </c>
      <c r="G18" s="65">
        <v>0.23255813953488372</v>
      </c>
      <c r="H18" s="65">
        <v>0.18604651162790697</v>
      </c>
      <c r="I18" s="66">
        <v>7696.666666666667</v>
      </c>
      <c r="J18" s="66">
        <v>-6895.833333333333</v>
      </c>
      <c r="K18" s="65">
        <v>6.6666666666666666E-2</v>
      </c>
      <c r="L18" s="65">
        <v>6.6666666666666666E-2</v>
      </c>
      <c r="M18" s="65">
        <v>0.22480620155038761</v>
      </c>
      <c r="N18" s="65">
        <v>0.23255813953488372</v>
      </c>
      <c r="O18" s="65">
        <v>0.48275862068965519</v>
      </c>
      <c r="P18" s="65">
        <v>0.33333333333333331</v>
      </c>
      <c r="Q18" s="65">
        <v>0.3</v>
      </c>
    </row>
    <row r="19" spans="1:17" x14ac:dyDescent="0.4">
      <c r="A19" s="67">
        <v>16</v>
      </c>
      <c r="B19" s="64">
        <v>-50.3</v>
      </c>
      <c r="C19" s="64">
        <v>-3.1437499999999998</v>
      </c>
      <c r="D19" s="69">
        <v>2</v>
      </c>
      <c r="E19" s="65">
        <v>0.375</v>
      </c>
      <c r="F19" s="65">
        <v>0.375</v>
      </c>
      <c r="G19" s="65">
        <v>0.22627737226277372</v>
      </c>
      <c r="H19" s="65">
        <v>0.18248175182481752</v>
      </c>
      <c r="I19" s="66">
        <v>7706.4516129032254</v>
      </c>
      <c r="J19" s="66">
        <v>-7100</v>
      </c>
      <c r="K19" s="65">
        <v>6.25E-2</v>
      </c>
      <c r="L19" s="65">
        <v>6.25E-2</v>
      </c>
      <c r="M19" s="65">
        <v>0.22627737226277372</v>
      </c>
      <c r="N19" s="65">
        <v>0.22627737226277372</v>
      </c>
      <c r="O19" s="65">
        <v>0.4838709677419355</v>
      </c>
      <c r="P19" s="65">
        <v>0.32258064516129031</v>
      </c>
      <c r="Q19" s="65">
        <v>0.32258064516129031</v>
      </c>
    </row>
    <row r="20" spans="1:17" x14ac:dyDescent="0.4">
      <c r="A20" s="67">
        <v>17</v>
      </c>
      <c r="B20" s="64">
        <v>-74.3</v>
      </c>
      <c r="C20" s="64">
        <v>-4.3705882352941172</v>
      </c>
      <c r="D20" s="69">
        <v>2.0588235294117645</v>
      </c>
      <c r="E20" s="65">
        <v>0.35294117647058826</v>
      </c>
      <c r="F20" s="65">
        <v>0.41176470588235292</v>
      </c>
      <c r="G20" s="65">
        <v>0.22068965517241379</v>
      </c>
      <c r="H20" s="65">
        <v>0.1793103448275862</v>
      </c>
      <c r="I20" s="66">
        <v>7715.625</v>
      </c>
      <c r="J20" s="66">
        <v>-7288.4615384615381</v>
      </c>
      <c r="K20" s="65">
        <v>5.8823529411764705E-2</v>
      </c>
      <c r="L20" s="65">
        <v>5.8823529411764705E-2</v>
      </c>
      <c r="M20" s="65">
        <v>0.22758620689655173</v>
      </c>
      <c r="N20" s="65">
        <v>0.22068965517241379</v>
      </c>
      <c r="O20" s="65">
        <v>0.48484848484848486</v>
      </c>
      <c r="P20" s="65">
        <v>0.3125</v>
      </c>
      <c r="Q20" s="65">
        <v>0.34375</v>
      </c>
    </row>
    <row r="21" spans="1:17" x14ac:dyDescent="0.4">
      <c r="A21" s="67">
        <v>18</v>
      </c>
      <c r="B21" s="64">
        <v>-76.099999999999994</v>
      </c>
      <c r="C21" s="64">
        <v>-4.2277777777777779</v>
      </c>
      <c r="D21" s="69">
        <v>2.0555555555555554</v>
      </c>
      <c r="E21" s="65">
        <v>0.33333333333333331</v>
      </c>
      <c r="F21" s="65">
        <v>0.3888888888888889</v>
      </c>
      <c r="G21" s="65">
        <v>0.23717948717948717</v>
      </c>
      <c r="H21" s="65">
        <v>0.17948717948717949</v>
      </c>
      <c r="I21" s="66">
        <v>7875.6756756756758</v>
      </c>
      <c r="J21" s="66">
        <v>-7839.2857142857147</v>
      </c>
      <c r="K21" s="65">
        <v>5.5555555555555552E-2</v>
      </c>
      <c r="L21" s="65">
        <v>5.5555555555555552E-2</v>
      </c>
      <c r="M21" s="65">
        <v>0.25641025641025639</v>
      </c>
      <c r="N21" s="65">
        <v>0.21794871794871795</v>
      </c>
      <c r="O21" s="65">
        <v>0.5</v>
      </c>
      <c r="P21" s="65">
        <v>0.3235294117647059</v>
      </c>
      <c r="Q21" s="65">
        <v>0.29729729729729731</v>
      </c>
    </row>
    <row r="22" spans="1:17" x14ac:dyDescent="0.4">
      <c r="A22" s="67">
        <v>19</v>
      </c>
      <c r="B22" s="64">
        <v>0.60000000000000853</v>
      </c>
      <c r="C22" s="64">
        <v>3.1578947368421505E-2</v>
      </c>
      <c r="D22" s="69">
        <v>2</v>
      </c>
      <c r="E22" s="65">
        <v>0.36842105263157893</v>
      </c>
      <c r="F22" s="65">
        <v>0.36842105263157893</v>
      </c>
      <c r="G22" s="65">
        <v>0.26035502958579881</v>
      </c>
      <c r="H22" s="65">
        <v>0.17751479289940827</v>
      </c>
      <c r="I22" s="66">
        <v>7934.090909090909</v>
      </c>
      <c r="J22" s="66">
        <v>-7616.666666666667</v>
      </c>
      <c r="K22" s="65">
        <v>5.2631578947368418E-2</v>
      </c>
      <c r="L22" s="65">
        <v>0.10526315789473684</v>
      </c>
      <c r="M22" s="65">
        <v>0.25443786982248523</v>
      </c>
      <c r="N22" s="65">
        <v>0.21893491124260356</v>
      </c>
      <c r="O22" s="65">
        <v>0.51162790697674421</v>
      </c>
      <c r="P22" s="65">
        <v>0.35135135135135137</v>
      </c>
      <c r="Q22" s="65">
        <v>0.31818181818181818</v>
      </c>
    </row>
    <row r="23" spans="1:17" x14ac:dyDescent="0.4">
      <c r="A23" s="67">
        <v>20</v>
      </c>
      <c r="B23" s="64">
        <v>-3.5999999999999917</v>
      </c>
      <c r="C23" s="64">
        <v>-0.17999999999999958</v>
      </c>
      <c r="D23" s="69">
        <v>2</v>
      </c>
      <c r="E23" s="65">
        <v>0.35</v>
      </c>
      <c r="F23" s="65">
        <v>0.35</v>
      </c>
      <c r="G23" s="65">
        <v>0.25698324022346369</v>
      </c>
      <c r="H23" s="65">
        <v>0.17318435754189945</v>
      </c>
      <c r="I23" s="66">
        <v>8008.695652173913</v>
      </c>
      <c r="J23" s="66">
        <v>-7629.0322580645161</v>
      </c>
      <c r="K23" s="65">
        <v>0.05</v>
      </c>
      <c r="L23" s="65">
        <v>0.1</v>
      </c>
      <c r="M23" s="65">
        <v>0.24581005586592178</v>
      </c>
      <c r="N23" s="65">
        <v>0.21229050279329609</v>
      </c>
      <c r="O23" s="65">
        <v>0.5</v>
      </c>
      <c r="P23" s="65">
        <v>0.36842105263157893</v>
      </c>
      <c r="Q23" s="65">
        <v>0.32608695652173914</v>
      </c>
    </row>
    <row r="24" spans="1:17" x14ac:dyDescent="0.4">
      <c r="A24" s="67">
        <v>21</v>
      </c>
      <c r="B24" s="64">
        <v>-3.0999999999999917</v>
      </c>
      <c r="C24" s="64">
        <v>-0.14761904761904723</v>
      </c>
      <c r="D24" s="69">
        <v>2</v>
      </c>
      <c r="E24" s="65">
        <v>0.33333333333333331</v>
      </c>
      <c r="F24" s="65">
        <v>0.33333333333333331</v>
      </c>
      <c r="G24" s="65">
        <v>0.26063829787234044</v>
      </c>
      <c r="H24" s="65">
        <v>0.16489361702127658</v>
      </c>
      <c r="I24" s="66">
        <v>7983.6734693877552</v>
      </c>
      <c r="J24" s="66">
        <v>-7629.0322580645161</v>
      </c>
      <c r="K24" s="65">
        <v>4.7619047619047616E-2</v>
      </c>
      <c r="L24" s="65">
        <v>9.5238095238095233E-2</v>
      </c>
      <c r="M24" s="65">
        <v>0.24468085106382978</v>
      </c>
      <c r="N24" s="65">
        <v>0.20744680851063829</v>
      </c>
      <c r="O24" s="65">
        <v>0.52173913043478259</v>
      </c>
      <c r="P24" s="65">
        <v>0.35897435897435898</v>
      </c>
      <c r="Q24" s="65">
        <v>0.32653061224489793</v>
      </c>
    </row>
    <row r="25" spans="1:17" x14ac:dyDescent="0.4">
      <c r="A25" s="67">
        <v>22</v>
      </c>
      <c r="B25" s="64">
        <v>-17.099999999999991</v>
      </c>
      <c r="C25" s="64">
        <v>-0.77727272727272689</v>
      </c>
      <c r="D25" s="69">
        <v>2</v>
      </c>
      <c r="E25" s="65">
        <v>0.31818181818181818</v>
      </c>
      <c r="F25" s="65">
        <v>0.31818181818181818</v>
      </c>
      <c r="G25" s="65">
        <v>0.25</v>
      </c>
      <c r="H25" s="65">
        <v>0.15816326530612246</v>
      </c>
      <c r="I25" s="66">
        <v>7983.6734693877552</v>
      </c>
      <c r="J25" s="66">
        <v>-7629.0322580645161</v>
      </c>
      <c r="K25" s="65">
        <v>4.5454545454545456E-2</v>
      </c>
      <c r="L25" s="65">
        <v>9.0909090909090912E-2</v>
      </c>
      <c r="M25" s="65">
        <v>0.24489795918367346</v>
      </c>
      <c r="N25" s="65">
        <v>0.19897959183673469</v>
      </c>
      <c r="O25" s="65">
        <v>0.5</v>
      </c>
      <c r="P25" s="65">
        <v>0.35897435897435898</v>
      </c>
      <c r="Q25" s="65">
        <v>0.32653061224489793</v>
      </c>
    </row>
    <row r="26" spans="1:17" x14ac:dyDescent="0.4">
      <c r="A26" s="67">
        <v>23</v>
      </c>
      <c r="B26" s="64">
        <v>-55.699999999999989</v>
      </c>
      <c r="C26" s="64">
        <v>-2.4217391304347822</v>
      </c>
      <c r="D26" s="69">
        <v>2.0434782608695654</v>
      </c>
      <c r="E26" s="65">
        <v>0.30434782608695654</v>
      </c>
      <c r="F26" s="65">
        <v>0.34782608695652173</v>
      </c>
      <c r="G26" s="65">
        <v>0.2413793103448276</v>
      </c>
      <c r="H26" s="65">
        <v>0.1625615763546798</v>
      </c>
      <c r="I26" s="66">
        <v>7983.6734693877552</v>
      </c>
      <c r="J26" s="66">
        <v>-7372.727272727273</v>
      </c>
      <c r="K26" s="65">
        <v>4.3478260869565216E-2</v>
      </c>
      <c r="L26" s="65">
        <v>8.6956521739130432E-2</v>
      </c>
      <c r="M26" s="65">
        <v>0.24630541871921183</v>
      </c>
      <c r="N26" s="65">
        <v>0.19704433497536947</v>
      </c>
      <c r="O26" s="65">
        <v>0.48</v>
      </c>
      <c r="P26" s="65">
        <v>0.35</v>
      </c>
      <c r="Q26" s="65">
        <v>0.32653061224489793</v>
      </c>
    </row>
    <row r="27" spans="1:17" x14ac:dyDescent="0.4">
      <c r="A27" s="67">
        <v>24</v>
      </c>
      <c r="B27" s="64">
        <v>-59.499999999999986</v>
      </c>
      <c r="C27" s="64">
        <v>-2.4791666666666661</v>
      </c>
      <c r="D27" s="69">
        <v>2.0416666666666665</v>
      </c>
      <c r="E27" s="65">
        <v>0.29166666666666669</v>
      </c>
      <c r="F27" s="65">
        <v>0.33333333333333331</v>
      </c>
      <c r="G27" s="65">
        <v>0.24285714285714285</v>
      </c>
      <c r="H27" s="65">
        <v>0.16666666666666666</v>
      </c>
      <c r="I27" s="66">
        <v>7982.3529411764703</v>
      </c>
      <c r="J27" s="66">
        <v>-7237.1428571428569</v>
      </c>
      <c r="K27" s="65">
        <v>4.1666666666666664E-2</v>
      </c>
      <c r="L27" s="65">
        <v>8.3333333333333329E-2</v>
      </c>
      <c r="M27" s="65">
        <v>0.23809523809523808</v>
      </c>
      <c r="N27" s="65">
        <v>0.2</v>
      </c>
      <c r="O27" s="65">
        <v>0.48</v>
      </c>
      <c r="P27" s="65">
        <v>0.35714285714285715</v>
      </c>
      <c r="Q27" s="65">
        <v>0.33333333333333331</v>
      </c>
    </row>
    <row r="28" spans="1:17" x14ac:dyDescent="0.4">
      <c r="A28" s="67">
        <v>25</v>
      </c>
      <c r="B28" s="64">
        <v>-39.999999999999986</v>
      </c>
      <c r="C28" s="64">
        <v>-1.5999999999999994</v>
      </c>
      <c r="D28" s="69">
        <v>2.04</v>
      </c>
      <c r="E28" s="65">
        <v>0.28000000000000003</v>
      </c>
      <c r="F28" s="65">
        <v>0.32</v>
      </c>
      <c r="G28" s="65">
        <v>0.24311926605504589</v>
      </c>
      <c r="H28" s="65">
        <v>0.16513761467889909</v>
      </c>
      <c r="I28" s="66">
        <v>8284.9056603773588</v>
      </c>
      <c r="J28" s="66">
        <v>-7536.1111111111113</v>
      </c>
      <c r="K28" s="65">
        <v>0.04</v>
      </c>
      <c r="L28" s="65">
        <v>0.08</v>
      </c>
      <c r="M28" s="65">
        <v>0.23853211009174313</v>
      </c>
      <c r="N28" s="65">
        <v>0.19724770642201836</v>
      </c>
      <c r="O28" s="65">
        <v>0.5</v>
      </c>
      <c r="P28" s="65">
        <v>0.34883720930232559</v>
      </c>
      <c r="Q28" s="65">
        <v>0.32075471698113206</v>
      </c>
    </row>
    <row r="29" spans="1:17" x14ac:dyDescent="0.4">
      <c r="A29" s="67">
        <v>26</v>
      </c>
      <c r="B29" s="64">
        <v>-71.099999999999994</v>
      </c>
      <c r="C29" s="64">
        <v>-2.7346153846153842</v>
      </c>
      <c r="D29" s="69">
        <v>2.0769230769230771</v>
      </c>
      <c r="E29" s="65">
        <v>0.26923076923076922</v>
      </c>
      <c r="F29" s="65">
        <v>0.34615384615384615</v>
      </c>
      <c r="G29" s="65">
        <v>0.24229074889867841</v>
      </c>
      <c r="H29" s="65">
        <v>0.16299559471365638</v>
      </c>
      <c r="I29" s="66">
        <v>8101.818181818182</v>
      </c>
      <c r="J29" s="66">
        <v>-7472.9729729729734</v>
      </c>
      <c r="K29" s="65">
        <v>3.8461538461538464E-2</v>
      </c>
      <c r="L29" s="65">
        <v>7.6923076923076927E-2</v>
      </c>
      <c r="M29" s="65">
        <v>0.23788546255506607</v>
      </c>
      <c r="N29" s="65">
        <v>0.1894273127753304</v>
      </c>
      <c r="O29" s="65">
        <v>0.5</v>
      </c>
      <c r="P29" s="65">
        <v>0.34883720930232559</v>
      </c>
      <c r="Q29" s="65">
        <v>0.30909090909090908</v>
      </c>
    </row>
    <row r="30" spans="1:17" x14ac:dyDescent="0.4">
      <c r="A30" s="67">
        <v>27</v>
      </c>
      <c r="B30" s="64">
        <v>-66.199999999999989</v>
      </c>
      <c r="C30" s="64">
        <v>-2.4518518518518513</v>
      </c>
      <c r="D30" s="69">
        <v>2.074074074074074</v>
      </c>
      <c r="E30" s="65">
        <v>0.25925925925925924</v>
      </c>
      <c r="F30" s="65">
        <v>0.33333333333333331</v>
      </c>
      <c r="G30" s="65">
        <v>0.24166666666666667</v>
      </c>
      <c r="H30" s="65">
        <v>0.16666666666666666</v>
      </c>
      <c r="I30" s="66">
        <v>8372.4137931034475</v>
      </c>
      <c r="J30" s="66">
        <v>-7187.5</v>
      </c>
      <c r="K30" s="65">
        <v>3.7037037037037035E-2</v>
      </c>
      <c r="L30" s="65">
        <v>7.407407407407407E-2</v>
      </c>
      <c r="M30" s="65">
        <v>0.24583333333333332</v>
      </c>
      <c r="N30" s="65">
        <v>0.18333333333333332</v>
      </c>
      <c r="O30" s="65">
        <v>0.50847457627118642</v>
      </c>
      <c r="P30" s="65">
        <v>0.34090909090909088</v>
      </c>
      <c r="Q30" s="65">
        <v>0.31034482758620691</v>
      </c>
    </row>
    <row r="31" spans="1:17" x14ac:dyDescent="0.4">
      <c r="A31" s="67">
        <v>28</v>
      </c>
      <c r="B31" s="64">
        <v>-116.49999999999999</v>
      </c>
      <c r="C31" s="64">
        <v>-4.1607142857142856</v>
      </c>
      <c r="D31" s="69">
        <v>2.1071428571428572</v>
      </c>
      <c r="E31" s="65">
        <v>0.25</v>
      </c>
      <c r="F31" s="65">
        <v>0.35714285714285715</v>
      </c>
      <c r="G31" s="65">
        <v>0.23577235772357724</v>
      </c>
      <c r="H31" s="65">
        <v>0.17073170731707318</v>
      </c>
      <c r="I31" s="66">
        <v>8372.4137931034475</v>
      </c>
      <c r="J31" s="66">
        <v>-7321.4285714285716</v>
      </c>
      <c r="K31" s="65">
        <v>3.5714285714285712E-2</v>
      </c>
      <c r="L31" s="65">
        <v>7.1428571428571425E-2</v>
      </c>
      <c r="M31" s="65">
        <v>0.24390243902439024</v>
      </c>
      <c r="N31" s="65">
        <v>0.17886178861788618</v>
      </c>
      <c r="O31" s="65">
        <v>0.5</v>
      </c>
      <c r="P31" s="65">
        <v>0.34090909090909088</v>
      </c>
      <c r="Q31" s="65">
        <v>0.31034482758620691</v>
      </c>
    </row>
    <row r="32" spans="1:17" x14ac:dyDescent="0.4">
      <c r="A32" s="67">
        <v>29</v>
      </c>
      <c r="B32" s="64">
        <v>-121.79999999999998</v>
      </c>
      <c r="C32" s="64">
        <v>-4.1999999999999993</v>
      </c>
      <c r="D32" s="69">
        <v>2.103448275862069</v>
      </c>
      <c r="E32" s="65">
        <v>0.2413793103448276</v>
      </c>
      <c r="F32" s="65">
        <v>0.34482758620689657</v>
      </c>
      <c r="G32" s="65">
        <v>0.23412698412698413</v>
      </c>
      <c r="H32" s="65">
        <v>0.17460317460317459</v>
      </c>
      <c r="I32" s="66">
        <v>8361.016949152543</v>
      </c>
      <c r="J32" s="66">
        <v>-7193.181818181818</v>
      </c>
      <c r="K32" s="65">
        <v>3.4482758620689655E-2</v>
      </c>
      <c r="L32" s="65">
        <v>6.8965517241379309E-2</v>
      </c>
      <c r="M32" s="65">
        <v>0.23809523809523808</v>
      </c>
      <c r="N32" s="65">
        <v>0.17460317460317459</v>
      </c>
      <c r="O32" s="65">
        <v>0.5</v>
      </c>
      <c r="P32" s="65">
        <v>0.34090909090909088</v>
      </c>
      <c r="Q32" s="65">
        <v>0.32203389830508472</v>
      </c>
    </row>
    <row r="33" spans="1:17" x14ac:dyDescent="0.4">
      <c r="A33" s="67">
        <v>30</v>
      </c>
      <c r="B33" s="64">
        <v>-156.19999999999999</v>
      </c>
      <c r="C33" s="64">
        <v>-5.2066666666666661</v>
      </c>
      <c r="D33" s="69">
        <v>2.1333333333333333</v>
      </c>
      <c r="E33" s="65">
        <v>0.23333333333333334</v>
      </c>
      <c r="F33" s="65">
        <v>0.36666666666666664</v>
      </c>
      <c r="G33" s="65">
        <v>0.23574144486692014</v>
      </c>
      <c r="H33" s="65">
        <v>0.17110266159695817</v>
      </c>
      <c r="I33" s="66">
        <v>8224.1935483870966</v>
      </c>
      <c r="J33" s="66">
        <v>-7300</v>
      </c>
      <c r="K33" s="65">
        <v>3.3333333333333333E-2</v>
      </c>
      <c r="L33" s="65">
        <v>6.6666666666666666E-2</v>
      </c>
      <c r="M33" s="65">
        <v>0.23574144486692014</v>
      </c>
      <c r="N33" s="65">
        <v>0.17490494296577946</v>
      </c>
      <c r="O33" s="65">
        <v>0.5161290322580645</v>
      </c>
      <c r="P33" s="65">
        <v>0.34782608695652173</v>
      </c>
      <c r="Q33" s="65">
        <v>0.32258064516129031</v>
      </c>
    </row>
    <row r="34" spans="1:17" x14ac:dyDescent="0.4">
      <c r="A34" s="67">
        <v>31</v>
      </c>
      <c r="B34" s="64">
        <v>-91.899999999999991</v>
      </c>
      <c r="C34" s="64">
        <v>-2.9645161290322579</v>
      </c>
      <c r="D34" s="69">
        <v>2.096774193548387</v>
      </c>
      <c r="E34" s="65">
        <v>0.25806451612903225</v>
      </c>
      <c r="F34" s="65">
        <v>0.35483870967741937</v>
      </c>
      <c r="G34" s="65">
        <v>0.23985239852398524</v>
      </c>
      <c r="H34" s="65">
        <v>0.16974169741697417</v>
      </c>
      <c r="I34" s="66">
        <v>8490.7692307692305</v>
      </c>
      <c r="J34" s="66">
        <v>-7226.086956521739</v>
      </c>
      <c r="K34" s="65">
        <v>3.2258064516129031E-2</v>
      </c>
      <c r="L34" s="65">
        <v>9.6774193548387094E-2</v>
      </c>
      <c r="M34" s="65">
        <v>0.23985239852398524</v>
      </c>
      <c r="N34" s="65">
        <v>0.17712177121771217</v>
      </c>
      <c r="O34" s="65">
        <v>0.53846153846153844</v>
      </c>
      <c r="P34" s="65">
        <v>0.33333333333333331</v>
      </c>
      <c r="Q34" s="65">
        <v>0.33846153846153848</v>
      </c>
    </row>
    <row r="35" spans="1:17" x14ac:dyDescent="0.4">
      <c r="A35" s="67">
        <v>32</v>
      </c>
      <c r="B35" s="64">
        <v>-119</v>
      </c>
      <c r="C35" s="64">
        <v>-3.71875</v>
      </c>
      <c r="D35" s="69">
        <v>2.125</v>
      </c>
      <c r="E35" s="65">
        <v>0.25</v>
      </c>
      <c r="F35" s="65">
        <v>0.375</v>
      </c>
      <c r="G35" s="65">
        <v>0.23843416370106763</v>
      </c>
      <c r="H35" s="65">
        <v>0.16725978647686832</v>
      </c>
      <c r="I35" s="66">
        <v>8447.7611940298502</v>
      </c>
      <c r="J35" s="66">
        <v>-7195.744680851064</v>
      </c>
      <c r="K35" s="65">
        <v>3.125E-2</v>
      </c>
      <c r="L35" s="65">
        <v>9.375E-2</v>
      </c>
      <c r="M35" s="65">
        <v>0.23843416370106763</v>
      </c>
      <c r="N35" s="65">
        <v>0.18149466192170818</v>
      </c>
      <c r="O35" s="65">
        <v>0.53731343283582089</v>
      </c>
      <c r="P35" s="65">
        <v>0.31372549019607843</v>
      </c>
      <c r="Q35" s="65">
        <v>0.34328358208955223</v>
      </c>
    </row>
    <row r="36" spans="1:17" x14ac:dyDescent="0.4">
      <c r="A36" s="67">
        <v>33</v>
      </c>
      <c r="B36" s="64">
        <v>-108.9</v>
      </c>
      <c r="C36" s="64">
        <v>-3.3000000000000003</v>
      </c>
      <c r="D36" s="69">
        <v>2.1212121212121211</v>
      </c>
      <c r="E36" s="65">
        <v>0.24242424242424243</v>
      </c>
      <c r="F36" s="65">
        <v>0.36363636363636365</v>
      </c>
      <c r="G36" s="65">
        <v>0.24305555555555555</v>
      </c>
      <c r="H36" s="65">
        <v>0.16666666666666666</v>
      </c>
      <c r="I36" s="66">
        <v>8422.8571428571431</v>
      </c>
      <c r="J36" s="66">
        <v>-7206.25</v>
      </c>
      <c r="K36" s="65">
        <v>3.0303030303030304E-2</v>
      </c>
      <c r="L36" s="65">
        <v>9.0909090909090912E-2</v>
      </c>
      <c r="M36" s="65">
        <v>0.24305555555555555</v>
      </c>
      <c r="N36" s="65">
        <v>0.17708333333333334</v>
      </c>
      <c r="O36" s="65">
        <v>0.55714285714285716</v>
      </c>
      <c r="P36" s="65">
        <v>0.31372549019607843</v>
      </c>
      <c r="Q36" s="65">
        <v>0.35714285714285715</v>
      </c>
    </row>
    <row r="37" spans="1:17" x14ac:dyDescent="0.4">
      <c r="A37" s="67">
        <v>34</v>
      </c>
      <c r="B37" s="64">
        <v>-56.7</v>
      </c>
      <c r="C37" s="64">
        <v>-1.6676470588235295</v>
      </c>
      <c r="D37" s="69">
        <v>2.0882352941176472</v>
      </c>
      <c r="E37" s="65">
        <v>0.26470588235294118</v>
      </c>
      <c r="F37" s="65">
        <v>0.35294117647058826</v>
      </c>
      <c r="G37" s="65">
        <v>0.24914675767918087</v>
      </c>
      <c r="H37" s="65">
        <v>0.16382252559726962</v>
      </c>
      <c r="I37" s="66">
        <v>8586.301369863013</v>
      </c>
      <c r="J37" s="66">
        <v>-7206.25</v>
      </c>
      <c r="K37" s="65">
        <v>2.9411764705882353E-2</v>
      </c>
      <c r="L37" s="65">
        <v>0.11764705882352941</v>
      </c>
      <c r="M37" s="65">
        <v>0.24914675767918087</v>
      </c>
      <c r="N37" s="65">
        <v>0.17406143344709898</v>
      </c>
      <c r="O37" s="65">
        <v>0.57534246575342463</v>
      </c>
      <c r="P37" s="65">
        <v>0.31372549019607843</v>
      </c>
      <c r="Q37" s="65">
        <v>0.35616438356164382</v>
      </c>
    </row>
    <row r="38" spans="1:17" x14ac:dyDescent="0.4">
      <c r="A38" s="67">
        <v>35</v>
      </c>
      <c r="B38" s="64">
        <v>-88.4</v>
      </c>
      <c r="C38" s="64">
        <v>-2.5257142857142858</v>
      </c>
      <c r="D38" s="69">
        <v>2.1142857142857143</v>
      </c>
      <c r="E38" s="65">
        <v>0.25714285714285712</v>
      </c>
      <c r="F38" s="65">
        <v>0.37142857142857144</v>
      </c>
      <c r="G38" s="65">
        <v>0.24749163879598662</v>
      </c>
      <c r="H38" s="65">
        <v>0.16053511705685619</v>
      </c>
      <c r="I38" s="66">
        <v>8487.8378378378384</v>
      </c>
      <c r="J38" s="66">
        <v>-7206.25</v>
      </c>
      <c r="K38" s="65">
        <v>2.8571428571428571E-2</v>
      </c>
      <c r="L38" s="65">
        <v>0.11428571428571428</v>
      </c>
      <c r="M38" s="65">
        <v>0.25083612040133779</v>
      </c>
      <c r="N38" s="65">
        <v>0.1705685618729097</v>
      </c>
      <c r="O38" s="65">
        <v>0.57333333333333336</v>
      </c>
      <c r="P38" s="65">
        <v>0.31372549019607843</v>
      </c>
      <c r="Q38" s="65">
        <v>0.35135135135135137</v>
      </c>
    </row>
    <row r="39" spans="1:17" x14ac:dyDescent="0.4">
      <c r="A39" s="67">
        <v>36</v>
      </c>
      <c r="B39" s="64">
        <v>-130.69999999999999</v>
      </c>
      <c r="C39" s="64">
        <v>-3.6305555555555551</v>
      </c>
      <c r="D39" s="69">
        <v>2.1388888888888888</v>
      </c>
      <c r="E39" s="65">
        <v>0.25</v>
      </c>
      <c r="F39" s="65">
        <v>0.3888888888888889</v>
      </c>
      <c r="G39" s="65">
        <v>0.24104234527687296</v>
      </c>
      <c r="H39" s="65">
        <v>0.15960912052117263</v>
      </c>
      <c r="I39" s="66">
        <v>8487.8378378378384</v>
      </c>
      <c r="J39" s="66">
        <v>-7222.4489795918371</v>
      </c>
      <c r="K39" s="65">
        <v>2.7777777777777776E-2</v>
      </c>
      <c r="L39" s="65">
        <v>0.1111111111111111</v>
      </c>
      <c r="M39" s="65">
        <v>0.24429967426710097</v>
      </c>
      <c r="N39" s="65">
        <v>0.16938110749185667</v>
      </c>
      <c r="O39" s="65">
        <v>0.57333333333333336</v>
      </c>
      <c r="P39" s="65">
        <v>0.30769230769230771</v>
      </c>
      <c r="Q39" s="65">
        <v>0.35135135135135137</v>
      </c>
    </row>
    <row r="40" spans="1:17" x14ac:dyDescent="0.4">
      <c r="A40" s="67">
        <v>37</v>
      </c>
      <c r="B40" s="64">
        <v>-64.099999999999994</v>
      </c>
      <c r="C40" s="64">
        <v>-1.7324324324324323</v>
      </c>
      <c r="D40" s="69">
        <v>2.1081081081081079</v>
      </c>
      <c r="E40" s="65">
        <v>0.27027027027027029</v>
      </c>
      <c r="F40" s="65">
        <v>0.3783783783783784</v>
      </c>
      <c r="G40" s="65">
        <v>0.24281150159744408</v>
      </c>
      <c r="H40" s="65">
        <v>0.15654952076677317</v>
      </c>
      <c r="I40" s="66">
        <v>9001.3157894736851</v>
      </c>
      <c r="J40" s="66">
        <v>-7222.4489795918371</v>
      </c>
      <c r="K40" s="65">
        <v>2.7027027027027029E-2</v>
      </c>
      <c r="L40" s="65">
        <v>0.13513513513513514</v>
      </c>
      <c r="M40" s="65">
        <v>0.24281150159744408</v>
      </c>
      <c r="N40" s="65">
        <v>0.16932907348242812</v>
      </c>
      <c r="O40" s="65">
        <v>0.56578947368421051</v>
      </c>
      <c r="P40" s="65">
        <v>0.32075471698113206</v>
      </c>
      <c r="Q40" s="65">
        <v>0.34210526315789475</v>
      </c>
    </row>
    <row r="41" spans="1:17" x14ac:dyDescent="0.4">
      <c r="A41" s="67">
        <v>38</v>
      </c>
      <c r="B41" s="64">
        <v>-76.599999999999994</v>
      </c>
      <c r="C41" s="64">
        <v>-2.0157894736842104</v>
      </c>
      <c r="D41" s="69">
        <v>2.1052631578947367</v>
      </c>
      <c r="E41" s="65">
        <v>0.26315789473684209</v>
      </c>
      <c r="F41" s="65">
        <v>0.36842105263157893</v>
      </c>
      <c r="G41" s="65">
        <v>0.24374999999999999</v>
      </c>
      <c r="H41" s="65">
        <v>0.15937499999999999</v>
      </c>
      <c r="I41" s="66">
        <v>8955.1282051282051</v>
      </c>
      <c r="J41" s="66">
        <v>-7225.4901960784309</v>
      </c>
      <c r="K41" s="65">
        <v>2.6315789473684209E-2</v>
      </c>
      <c r="L41" s="65">
        <v>0.13157894736842105</v>
      </c>
      <c r="M41" s="65">
        <v>0.24687500000000001</v>
      </c>
      <c r="N41" s="65">
        <v>0.16875000000000001</v>
      </c>
      <c r="O41" s="65">
        <v>0.55696202531645567</v>
      </c>
      <c r="P41" s="65">
        <v>0.31481481481481483</v>
      </c>
      <c r="Q41" s="65">
        <v>0.34615384615384615</v>
      </c>
    </row>
    <row r="42" spans="1:17" x14ac:dyDescent="0.4">
      <c r="A42" s="67">
        <v>39</v>
      </c>
      <c r="B42" s="64">
        <v>-71.3</v>
      </c>
      <c r="C42" s="64">
        <v>-1.8282051282051281</v>
      </c>
      <c r="D42" s="69">
        <v>2.1025641025641026</v>
      </c>
      <c r="E42" s="65">
        <v>0.25641025641025639</v>
      </c>
      <c r="F42" s="65">
        <v>0.35897435897435898</v>
      </c>
      <c r="G42" s="65">
        <v>0.24770642201834864</v>
      </c>
      <c r="H42" s="65">
        <v>0.15596330275229359</v>
      </c>
      <c r="I42" s="66">
        <v>8769.1358024691363</v>
      </c>
      <c r="J42" s="66">
        <v>-7225.4901960784309</v>
      </c>
      <c r="K42" s="65">
        <v>2.564102564102564E-2</v>
      </c>
      <c r="L42" s="65">
        <v>0.12820512820512819</v>
      </c>
      <c r="M42" s="65">
        <v>0.25076452599388377</v>
      </c>
      <c r="N42" s="65">
        <v>0.16819571865443425</v>
      </c>
      <c r="O42" s="65">
        <v>0.57317073170731703</v>
      </c>
      <c r="P42" s="65">
        <v>0.30909090909090908</v>
      </c>
      <c r="Q42" s="65">
        <v>0.34567901234567899</v>
      </c>
    </row>
    <row r="43" spans="1:17" x14ac:dyDescent="0.4">
      <c r="A43" s="67">
        <v>40</v>
      </c>
      <c r="B43" s="64">
        <v>-65.2</v>
      </c>
      <c r="C43" s="64">
        <v>-1.6300000000000001</v>
      </c>
      <c r="D43" s="69">
        <v>2.1</v>
      </c>
      <c r="E43" s="65">
        <v>0.25</v>
      </c>
      <c r="F43" s="65">
        <v>0.35</v>
      </c>
      <c r="G43" s="65">
        <v>0.24850299401197604</v>
      </c>
      <c r="H43" s="65">
        <v>0.15269461077844312</v>
      </c>
      <c r="I43" s="66">
        <v>8744.5783132530123</v>
      </c>
      <c r="J43" s="66">
        <v>-7225.4901960784309</v>
      </c>
      <c r="K43" s="65">
        <v>2.5000000000000001E-2</v>
      </c>
      <c r="L43" s="65">
        <v>0.125</v>
      </c>
      <c r="M43" s="65">
        <v>0.24850299401197604</v>
      </c>
      <c r="N43" s="65">
        <v>0.17065868263473055</v>
      </c>
      <c r="O43" s="65">
        <v>0.5662650602409639</v>
      </c>
      <c r="P43" s="65">
        <v>0.33333333333333331</v>
      </c>
      <c r="Q43" s="65">
        <v>0.33734939759036142</v>
      </c>
    </row>
    <row r="44" spans="1:17" x14ac:dyDescent="0.4">
      <c r="A44" s="67">
        <v>41</v>
      </c>
      <c r="B44" s="64">
        <v>-100</v>
      </c>
      <c r="C44" s="64">
        <v>-2.4390243902439024</v>
      </c>
      <c r="D44" s="69">
        <v>2.1219512195121952</v>
      </c>
      <c r="E44" s="65">
        <v>0.24390243902439024</v>
      </c>
      <c r="F44" s="65">
        <v>0.36585365853658536</v>
      </c>
      <c r="G44" s="65">
        <v>0.24561403508771928</v>
      </c>
      <c r="H44" s="65">
        <v>0.15497076023391812</v>
      </c>
      <c r="I44" s="66">
        <v>8783.3333333333339</v>
      </c>
      <c r="J44" s="66">
        <v>-7277.3584905660373</v>
      </c>
      <c r="K44" s="65">
        <v>2.4390243902439025E-2</v>
      </c>
      <c r="L44" s="65">
        <v>0.12195121951219512</v>
      </c>
      <c r="M44" s="65">
        <v>0.24853801169590642</v>
      </c>
      <c r="N44" s="65">
        <v>0.16959064327485379</v>
      </c>
      <c r="O44" s="65">
        <v>0.56470588235294117</v>
      </c>
      <c r="P44" s="65">
        <v>0.32758620689655171</v>
      </c>
      <c r="Q44" s="65">
        <v>0.34523809523809523</v>
      </c>
    </row>
    <row r="45" spans="1:17" x14ac:dyDescent="0.4">
      <c r="A45" s="67">
        <v>42</v>
      </c>
      <c r="B45" s="64">
        <v>-65.5</v>
      </c>
      <c r="C45" s="64">
        <v>-1.5595238095238095</v>
      </c>
      <c r="D45" s="69">
        <v>2.0952380952380953</v>
      </c>
      <c r="E45" s="65">
        <v>0.26190476190476192</v>
      </c>
      <c r="F45" s="65">
        <v>0.35714285714285715</v>
      </c>
      <c r="G45" s="65">
        <v>0.24645892351274787</v>
      </c>
      <c r="H45" s="65">
        <v>0.15297450424929179</v>
      </c>
      <c r="I45" s="66">
        <v>9121.8390804597693</v>
      </c>
      <c r="J45" s="66">
        <v>-7290.7407407407409</v>
      </c>
      <c r="K45" s="65">
        <v>2.3809523809523808E-2</v>
      </c>
      <c r="L45" s="65">
        <v>0.11904761904761904</v>
      </c>
      <c r="M45" s="65">
        <v>0.25495750708215298</v>
      </c>
      <c r="N45" s="65">
        <v>0.1643059490084986</v>
      </c>
      <c r="O45" s="65">
        <v>0.56666666666666665</v>
      </c>
      <c r="P45" s="65">
        <v>0.32758620689655171</v>
      </c>
      <c r="Q45" s="65">
        <v>0.35632183908045978</v>
      </c>
    </row>
    <row r="46" spans="1:17" x14ac:dyDescent="0.4">
      <c r="A46" s="67">
        <v>43</v>
      </c>
      <c r="B46" s="64">
        <v>-52</v>
      </c>
      <c r="C46" s="64">
        <v>-1.2093023255813953</v>
      </c>
      <c r="D46" s="69">
        <v>2.0930232558139537</v>
      </c>
      <c r="E46" s="65">
        <v>0.2558139534883721</v>
      </c>
      <c r="F46" s="65">
        <v>0.34883720930232559</v>
      </c>
      <c r="G46" s="65">
        <v>0.24929971988795518</v>
      </c>
      <c r="H46" s="65">
        <v>0.15126050420168066</v>
      </c>
      <c r="I46" s="66">
        <v>9119.1011235955048</v>
      </c>
      <c r="J46" s="66">
        <v>-7290.7407407407409</v>
      </c>
      <c r="K46" s="65">
        <v>2.3255813953488372E-2</v>
      </c>
      <c r="L46" s="65">
        <v>0.11627906976744186</v>
      </c>
      <c r="M46" s="65">
        <v>0.25490196078431371</v>
      </c>
      <c r="N46" s="65">
        <v>0.16806722689075632</v>
      </c>
      <c r="O46" s="65">
        <v>0.5714285714285714</v>
      </c>
      <c r="P46" s="65">
        <v>0.33333333333333331</v>
      </c>
      <c r="Q46" s="65">
        <v>0.3595505617977528</v>
      </c>
    </row>
    <row r="47" spans="1:17" x14ac:dyDescent="0.4">
      <c r="A47" s="67">
        <v>44</v>
      </c>
      <c r="B47" s="64">
        <v>8.3999999999999986</v>
      </c>
      <c r="C47" s="64">
        <v>0.19090909090909089</v>
      </c>
      <c r="D47" s="69">
        <v>2.0681818181818183</v>
      </c>
      <c r="E47" s="65">
        <v>0.27272727272727271</v>
      </c>
      <c r="F47" s="65">
        <v>0.34090909090909088</v>
      </c>
      <c r="G47" s="65">
        <v>0.2541436464088398</v>
      </c>
      <c r="H47" s="65">
        <v>0.15193370165745856</v>
      </c>
      <c r="I47" s="66">
        <v>9278.2608695652179</v>
      </c>
      <c r="J47" s="66">
        <v>-7205.454545454545</v>
      </c>
      <c r="K47" s="65">
        <v>2.2727272727272728E-2</v>
      </c>
      <c r="L47" s="65">
        <v>0.13636363636363635</v>
      </c>
      <c r="M47" s="65">
        <v>0.25966850828729282</v>
      </c>
      <c r="N47" s="65">
        <v>0.16574585635359115</v>
      </c>
      <c r="O47" s="65">
        <v>0.58510638297872342</v>
      </c>
      <c r="P47" s="65">
        <v>0.33333333333333331</v>
      </c>
      <c r="Q47" s="65">
        <v>0.34782608695652173</v>
      </c>
    </row>
    <row r="48" spans="1:17" x14ac:dyDescent="0.4">
      <c r="A48" s="67">
        <v>45</v>
      </c>
      <c r="B48" s="64">
        <v>-32.5</v>
      </c>
      <c r="C48" s="64">
        <v>-0.72222222222222221</v>
      </c>
      <c r="D48" s="69">
        <v>2.088888888888889</v>
      </c>
      <c r="E48" s="65">
        <v>0.26666666666666666</v>
      </c>
      <c r="F48" s="65">
        <v>0.35555555555555557</v>
      </c>
      <c r="G48" s="65">
        <v>0.25067385444743934</v>
      </c>
      <c r="H48" s="65">
        <v>0.15633423180592992</v>
      </c>
      <c r="I48" s="66">
        <v>9264.5161290322576</v>
      </c>
      <c r="J48" s="66">
        <v>-7098.2758620689656</v>
      </c>
      <c r="K48" s="65">
        <v>2.2222222222222223E-2</v>
      </c>
      <c r="L48" s="65">
        <v>0.13333333333333333</v>
      </c>
      <c r="M48" s="65">
        <v>0.26145552560646901</v>
      </c>
      <c r="N48" s="65">
        <v>0.16172506738544473</v>
      </c>
      <c r="O48" s="65">
        <v>0.57731958762886593</v>
      </c>
      <c r="P48" s="65">
        <v>0.33333333333333331</v>
      </c>
      <c r="Q48" s="65">
        <v>0.35483870967741937</v>
      </c>
    </row>
    <row r="49" spans="1:17" x14ac:dyDescent="0.4">
      <c r="A49" s="67">
        <v>46</v>
      </c>
      <c r="B49" s="64">
        <v>-6.1000000000000014</v>
      </c>
      <c r="C49" s="64">
        <v>-0.13260869565217395</v>
      </c>
      <c r="D49" s="69">
        <v>2.0652173913043477</v>
      </c>
      <c r="E49" s="65">
        <v>0.28260869565217389</v>
      </c>
      <c r="F49" s="65">
        <v>0.34782608695652173</v>
      </c>
      <c r="G49" s="65">
        <v>0.24934383202099739</v>
      </c>
      <c r="H49" s="65">
        <v>0.15748031496062992</v>
      </c>
      <c r="I49" s="66">
        <v>9300</v>
      </c>
      <c r="J49" s="66">
        <v>-7016.666666666667</v>
      </c>
      <c r="K49" s="65">
        <v>2.1739130434782608E-2</v>
      </c>
      <c r="L49" s="65">
        <v>0.13043478260869565</v>
      </c>
      <c r="M49" s="65">
        <v>0.2572178477690289</v>
      </c>
      <c r="N49" s="65">
        <v>0.16535433070866143</v>
      </c>
      <c r="O49" s="65">
        <v>0.58163265306122447</v>
      </c>
      <c r="P49" s="65">
        <v>0.33333333333333331</v>
      </c>
      <c r="Q49" s="65">
        <v>0.35789473684210527</v>
      </c>
    </row>
    <row r="50" spans="1:17" x14ac:dyDescent="0.4">
      <c r="A50" s="67">
        <v>47</v>
      </c>
      <c r="B50" s="64">
        <v>-33.1</v>
      </c>
      <c r="C50" s="64">
        <v>-0.70425531914893624</v>
      </c>
      <c r="D50" s="69">
        <v>2.0851063829787235</v>
      </c>
      <c r="E50" s="65">
        <v>0.27659574468085107</v>
      </c>
      <c r="F50" s="65">
        <v>0.36170212765957449</v>
      </c>
      <c r="G50" s="65">
        <v>0.25125628140703515</v>
      </c>
      <c r="H50" s="65">
        <v>0.15577889447236182</v>
      </c>
      <c r="I50" s="66">
        <v>9392</v>
      </c>
      <c r="J50" s="66">
        <v>-7070.9677419354839</v>
      </c>
      <c r="K50" s="65">
        <v>2.1276595744680851E-2</v>
      </c>
      <c r="L50" s="65">
        <v>0.1276595744680851</v>
      </c>
      <c r="M50" s="65">
        <v>0.25879396984924624</v>
      </c>
      <c r="N50" s="65">
        <v>0.17085427135678391</v>
      </c>
      <c r="O50" s="65">
        <v>0.57281553398058249</v>
      </c>
      <c r="P50" s="65">
        <v>0.35294117647058826</v>
      </c>
      <c r="Q50" s="65">
        <v>0.37</v>
      </c>
    </row>
    <row r="51" spans="1:17" x14ac:dyDescent="0.4">
      <c r="A51" s="67">
        <v>48</v>
      </c>
      <c r="B51" s="64">
        <v>-33.800000000000004</v>
      </c>
      <c r="C51" s="64">
        <v>-0.70416666666666672</v>
      </c>
      <c r="D51" s="69">
        <v>2.0833333333333335</v>
      </c>
      <c r="E51" s="65">
        <v>0.27083333333333331</v>
      </c>
      <c r="F51" s="65">
        <v>0.35416666666666669</v>
      </c>
      <c r="G51" s="65">
        <v>0.25247524752475248</v>
      </c>
      <c r="H51" s="65">
        <v>0.15346534653465346</v>
      </c>
      <c r="I51" s="66">
        <v>9400.9803921568619</v>
      </c>
      <c r="J51" s="66">
        <v>-7070.9677419354839</v>
      </c>
      <c r="K51" s="65">
        <v>2.0833333333333332E-2</v>
      </c>
      <c r="L51" s="65">
        <v>0.125</v>
      </c>
      <c r="M51" s="65">
        <v>0.26237623762376239</v>
      </c>
      <c r="N51" s="65">
        <v>0.16831683168316833</v>
      </c>
      <c r="O51" s="65">
        <v>0.57547169811320753</v>
      </c>
      <c r="P51" s="65">
        <v>0.35294117647058826</v>
      </c>
      <c r="Q51" s="65">
        <v>0.37254901960784315</v>
      </c>
    </row>
    <row r="52" spans="1:17" x14ac:dyDescent="0.4">
      <c r="A52" s="67">
        <v>49</v>
      </c>
      <c r="B52" s="64">
        <v>-23.100000000000005</v>
      </c>
      <c r="C52" s="64">
        <v>-0.47142857142857153</v>
      </c>
      <c r="D52" s="69">
        <v>2.0816326530612246</v>
      </c>
      <c r="E52" s="65">
        <v>0.26530612244897961</v>
      </c>
      <c r="F52" s="65">
        <v>0.34693877551020408</v>
      </c>
      <c r="G52" s="65">
        <v>0.25423728813559321</v>
      </c>
      <c r="H52" s="65">
        <v>0.15254237288135594</v>
      </c>
      <c r="I52" s="66">
        <v>9396.1904761904771</v>
      </c>
      <c r="J52" s="66">
        <v>-7085.7142857142853</v>
      </c>
      <c r="K52" s="65">
        <v>2.0408163265306121E-2</v>
      </c>
      <c r="L52" s="65">
        <v>0.12244897959183673</v>
      </c>
      <c r="M52" s="65">
        <v>0.25907990314769974</v>
      </c>
      <c r="N52" s="65">
        <v>0.16949152542372881</v>
      </c>
      <c r="O52" s="65">
        <v>0.57943925233644855</v>
      </c>
      <c r="P52" s="65">
        <v>0.35714285714285715</v>
      </c>
      <c r="Q52" s="65">
        <v>0.39047619047619048</v>
      </c>
    </row>
    <row r="53" spans="1:17" x14ac:dyDescent="0.4">
      <c r="A53" s="67">
        <v>50</v>
      </c>
      <c r="B53" s="64">
        <v>-79.300000000000011</v>
      </c>
      <c r="C53" s="64">
        <v>-1.5860000000000003</v>
      </c>
      <c r="D53" s="69">
        <v>2.1</v>
      </c>
      <c r="E53" s="65">
        <v>0.26</v>
      </c>
      <c r="F53" s="65">
        <v>0.36</v>
      </c>
      <c r="G53" s="65">
        <v>0.24882629107981222</v>
      </c>
      <c r="H53" s="65">
        <v>0.15258215962441316</v>
      </c>
      <c r="I53" s="66">
        <v>9334.9056603773588</v>
      </c>
      <c r="J53" s="66">
        <v>-7267.6923076923076</v>
      </c>
      <c r="K53" s="65">
        <v>0.04</v>
      </c>
      <c r="L53" s="65">
        <v>0.12</v>
      </c>
      <c r="M53" s="65">
        <v>0.25352112676056338</v>
      </c>
      <c r="N53" s="65">
        <v>0.17840375586854459</v>
      </c>
      <c r="O53" s="65">
        <v>0.57407407407407407</v>
      </c>
      <c r="P53" s="65">
        <v>0.34210526315789475</v>
      </c>
      <c r="Q53" s="65">
        <v>0.3867924528301887</v>
      </c>
    </row>
    <row r="54" spans="1:17" x14ac:dyDescent="0.4">
      <c r="A54" s="67">
        <v>51</v>
      </c>
      <c r="B54" s="64">
        <v>-16.600000000000009</v>
      </c>
      <c r="C54" s="64">
        <v>-0.32549019607843155</v>
      </c>
      <c r="D54" s="69">
        <v>2.0784313725490198</v>
      </c>
      <c r="E54" s="65">
        <v>0.27450980392156865</v>
      </c>
      <c r="F54" s="65">
        <v>0.35294117647058826</v>
      </c>
      <c r="G54" s="65">
        <v>0.25231481481481483</v>
      </c>
      <c r="H54" s="65">
        <v>0.15509259259259259</v>
      </c>
      <c r="I54" s="66">
        <v>9573.3944954128438</v>
      </c>
      <c r="J54" s="66">
        <v>-7189.5522388059699</v>
      </c>
      <c r="K54" s="65">
        <v>3.9215686274509803E-2</v>
      </c>
      <c r="L54" s="65">
        <v>0.13725490196078433</v>
      </c>
      <c r="M54" s="65">
        <v>0.25925925925925924</v>
      </c>
      <c r="N54" s="65">
        <v>0.17592592592592593</v>
      </c>
      <c r="O54" s="65">
        <v>0.5803571428571429</v>
      </c>
      <c r="P54" s="65">
        <v>0.34210526315789475</v>
      </c>
      <c r="Q54" s="65">
        <v>0.39449541284403672</v>
      </c>
    </row>
    <row r="55" spans="1:17" x14ac:dyDescent="0.4">
      <c r="A55" s="67">
        <v>52</v>
      </c>
      <c r="B55" s="64">
        <v>18.499999999999993</v>
      </c>
      <c r="C55" s="64">
        <v>0.35576923076923062</v>
      </c>
      <c r="D55" s="69">
        <v>2.0576923076923075</v>
      </c>
      <c r="E55" s="65">
        <v>0.28846153846153844</v>
      </c>
      <c r="F55" s="65">
        <v>0.34615384615384615</v>
      </c>
      <c r="G55" s="65">
        <v>0.25623582766439912</v>
      </c>
      <c r="H55" s="65">
        <v>0.15873015873015872</v>
      </c>
      <c r="I55" s="66">
        <v>9616.8141592920347</v>
      </c>
      <c r="J55" s="66">
        <v>-7332.8571428571431</v>
      </c>
      <c r="K55" s="65">
        <v>3.8461538461538464E-2</v>
      </c>
      <c r="L55" s="65">
        <v>0.13461538461538461</v>
      </c>
      <c r="M55" s="65">
        <v>0.26303854875283444</v>
      </c>
      <c r="N55" s="65">
        <v>0.17460317460317459</v>
      </c>
      <c r="O55" s="65">
        <v>0.57758620689655171</v>
      </c>
      <c r="P55" s="65">
        <v>0.35064935064935066</v>
      </c>
      <c r="Q55" s="65">
        <v>0.39823008849557523</v>
      </c>
    </row>
    <row r="56" spans="1:17" x14ac:dyDescent="0.4">
      <c r="A56" s="67">
        <v>53</v>
      </c>
      <c r="B56" s="64">
        <v>-4.1000000000000085</v>
      </c>
      <c r="C56" s="64">
        <v>-7.7358490566037899E-2</v>
      </c>
      <c r="D56" s="69">
        <v>2.0754716981132075</v>
      </c>
      <c r="E56" s="65">
        <v>0.28301886792452829</v>
      </c>
      <c r="F56" s="65">
        <v>0.35849056603773582</v>
      </c>
      <c r="G56" s="65">
        <v>0.25389755011135856</v>
      </c>
      <c r="H56" s="65">
        <v>0.15812917594654788</v>
      </c>
      <c r="I56" s="66">
        <v>9578.9473684210534</v>
      </c>
      <c r="J56" s="66">
        <v>-7243.6619718309857</v>
      </c>
      <c r="K56" s="65">
        <v>3.7735849056603772E-2</v>
      </c>
      <c r="L56" s="65">
        <v>0.13207547169811321</v>
      </c>
      <c r="M56" s="65">
        <v>0.26280623608017817</v>
      </c>
      <c r="N56" s="65">
        <v>0.17594654788418709</v>
      </c>
      <c r="O56" s="65">
        <v>0.57627118644067798</v>
      </c>
      <c r="P56" s="65">
        <v>0.34177215189873417</v>
      </c>
      <c r="Q56" s="65">
        <v>0.40350877192982454</v>
      </c>
    </row>
    <row r="57" spans="1:17" x14ac:dyDescent="0.4">
      <c r="A57" s="67">
        <v>54</v>
      </c>
      <c r="B57" s="64">
        <v>13.099999999999991</v>
      </c>
      <c r="C57" s="64">
        <v>0.24259259259259242</v>
      </c>
      <c r="D57" s="69">
        <v>2.074074074074074</v>
      </c>
      <c r="E57" s="65">
        <v>0.27777777777777779</v>
      </c>
      <c r="F57" s="65">
        <v>0.35185185185185186</v>
      </c>
      <c r="G57" s="65">
        <v>0.25934065934065936</v>
      </c>
      <c r="H57" s="65">
        <v>0.16043956043956045</v>
      </c>
      <c r="I57" s="66">
        <v>9636.4406779661022</v>
      </c>
      <c r="J57" s="66">
        <v>-7427.3972602739723</v>
      </c>
      <c r="K57" s="65">
        <v>3.7037037037037035E-2</v>
      </c>
      <c r="L57" s="65">
        <v>0.12962962962962962</v>
      </c>
      <c r="M57" s="65">
        <v>0.2725274725274725</v>
      </c>
      <c r="N57" s="65">
        <v>0.17362637362637362</v>
      </c>
      <c r="O57" s="65">
        <v>0.58064516129032262</v>
      </c>
      <c r="P57" s="65">
        <v>0.34177215189873417</v>
      </c>
      <c r="Q57" s="65">
        <v>0.4152542372881356</v>
      </c>
    </row>
    <row r="58" spans="1:17" x14ac:dyDescent="0.4">
      <c r="A58" s="67">
        <v>55</v>
      </c>
      <c r="B58" s="64">
        <v>26.999999999999993</v>
      </c>
      <c r="C58" s="64">
        <v>0.4909090909090908</v>
      </c>
      <c r="D58" s="69">
        <v>2.0727272727272728</v>
      </c>
      <c r="E58" s="65">
        <v>0.27272727272727271</v>
      </c>
      <c r="F58" s="65">
        <v>0.34545454545454546</v>
      </c>
      <c r="G58" s="65">
        <v>0.26236559139784948</v>
      </c>
      <c r="H58" s="65">
        <v>0.15698924731182795</v>
      </c>
      <c r="I58" s="66">
        <v>9560.6557377049176</v>
      </c>
      <c r="J58" s="66">
        <v>-7427.3972602739723</v>
      </c>
      <c r="K58" s="65">
        <v>3.6363636363636362E-2</v>
      </c>
      <c r="L58" s="65">
        <v>0.12727272727272726</v>
      </c>
      <c r="M58" s="65">
        <v>0.27526881720430108</v>
      </c>
      <c r="N58" s="65">
        <v>0.17204301075268819</v>
      </c>
      <c r="O58" s="65">
        <v>0.5859375</v>
      </c>
      <c r="P58" s="65">
        <v>0.33750000000000002</v>
      </c>
      <c r="Q58" s="65">
        <v>0.40163934426229508</v>
      </c>
    </row>
    <row r="59" spans="1:17" x14ac:dyDescent="0.4">
      <c r="A59" s="67">
        <v>56</v>
      </c>
      <c r="B59" s="64">
        <v>-46.500000000000007</v>
      </c>
      <c r="C59" s="64">
        <v>-0.83035714285714302</v>
      </c>
      <c r="D59" s="69">
        <v>2.0892857142857144</v>
      </c>
      <c r="E59" s="65">
        <v>0.26785714285714285</v>
      </c>
      <c r="F59" s="65">
        <v>0.35714285714285715</v>
      </c>
      <c r="G59" s="65">
        <v>0.26012793176972282</v>
      </c>
      <c r="H59" s="65">
        <v>0.15991471215351813</v>
      </c>
      <c r="I59" s="66">
        <v>9560.6557377049176</v>
      </c>
      <c r="J59" s="66">
        <v>-7709.333333333333</v>
      </c>
      <c r="K59" s="65">
        <v>5.3571428571428568E-2</v>
      </c>
      <c r="L59" s="65">
        <v>0.125</v>
      </c>
      <c r="M59" s="65">
        <v>0.27505330490405117</v>
      </c>
      <c r="N59" s="65">
        <v>0.17270788912579957</v>
      </c>
      <c r="O59" s="65">
        <v>0.58139534883720934</v>
      </c>
      <c r="P59" s="65">
        <v>0.33333333333333331</v>
      </c>
      <c r="Q59" s="65">
        <v>0.40163934426229508</v>
      </c>
    </row>
    <row r="60" spans="1:17" x14ac:dyDescent="0.4">
      <c r="A60" s="67">
        <v>57</v>
      </c>
      <c r="B60" s="64">
        <v>-35.100000000000009</v>
      </c>
      <c r="C60" s="64">
        <v>-0.61578947368421066</v>
      </c>
      <c r="D60" s="69">
        <v>2.0877192982456139</v>
      </c>
      <c r="E60" s="65">
        <v>0.26315789473684209</v>
      </c>
      <c r="F60" s="65">
        <v>0.35087719298245612</v>
      </c>
      <c r="G60" s="65">
        <v>0.26160337552742619</v>
      </c>
      <c r="H60" s="65">
        <v>0.16033755274261605</v>
      </c>
      <c r="I60" s="66">
        <v>9567.7419354838712</v>
      </c>
      <c r="J60" s="66">
        <v>-7760.5263157894733</v>
      </c>
      <c r="K60" s="65">
        <v>5.2631578947368418E-2</v>
      </c>
      <c r="L60" s="65">
        <v>0.12280701754385964</v>
      </c>
      <c r="M60" s="65">
        <v>0.27637130801687765</v>
      </c>
      <c r="N60" s="65">
        <v>0.17088607594936708</v>
      </c>
      <c r="O60" s="65">
        <v>0.58778625954198471</v>
      </c>
      <c r="P60" s="65">
        <v>0.33333333333333331</v>
      </c>
      <c r="Q60" s="65">
        <v>0.41129032258064518</v>
      </c>
    </row>
    <row r="61" spans="1:17" x14ac:dyDescent="0.4">
      <c r="A61" s="67">
        <v>58</v>
      </c>
      <c r="B61" s="64">
        <v>-67.300000000000011</v>
      </c>
      <c r="C61" s="64">
        <v>-1.1603448275862072</v>
      </c>
      <c r="D61" s="69">
        <v>2.103448275862069</v>
      </c>
      <c r="E61" s="65">
        <v>0.25862068965517243</v>
      </c>
      <c r="F61" s="65">
        <v>0.36206896551724138</v>
      </c>
      <c r="G61" s="65">
        <v>0.25933609958506226</v>
      </c>
      <c r="H61" s="65">
        <v>0.15767634854771784</v>
      </c>
      <c r="I61" s="66">
        <v>9512</v>
      </c>
      <c r="J61" s="66">
        <v>-7760.5263157894733</v>
      </c>
      <c r="K61" s="65">
        <v>5.1724137931034482E-2</v>
      </c>
      <c r="L61" s="65">
        <v>0.1206896551724138</v>
      </c>
      <c r="M61" s="65">
        <v>0.27385892116182575</v>
      </c>
      <c r="N61" s="65">
        <v>0.17012448132780084</v>
      </c>
      <c r="O61" s="65">
        <v>0.58333333333333337</v>
      </c>
      <c r="P61" s="65">
        <v>0.34146341463414637</v>
      </c>
      <c r="Q61" s="65">
        <v>0.40799999999999997</v>
      </c>
    </row>
    <row r="62" spans="1:17" x14ac:dyDescent="0.4">
      <c r="A62" s="67">
        <v>59</v>
      </c>
      <c r="B62" s="64">
        <v>-52.70000000000001</v>
      </c>
      <c r="C62" s="64">
        <v>-0.89322033898305098</v>
      </c>
      <c r="D62" s="69">
        <v>2.1016949152542375</v>
      </c>
      <c r="E62" s="65">
        <v>0.25423728813559321</v>
      </c>
      <c r="F62" s="65">
        <v>0.3559322033898305</v>
      </c>
      <c r="G62" s="65">
        <v>0.25971370143149286</v>
      </c>
      <c r="H62" s="65">
        <v>0.15746421267893659</v>
      </c>
      <c r="I62" s="66">
        <v>9598.4251968503941</v>
      </c>
      <c r="J62" s="66">
        <v>-7815.5844155844152</v>
      </c>
      <c r="K62" s="65">
        <v>5.0847457627118647E-2</v>
      </c>
      <c r="L62" s="65">
        <v>0.11864406779661017</v>
      </c>
      <c r="M62" s="65">
        <v>0.27198364008179959</v>
      </c>
      <c r="N62" s="65">
        <v>0.17177914110429449</v>
      </c>
      <c r="O62" s="65">
        <v>0.5864661654135338</v>
      </c>
      <c r="P62" s="65">
        <v>0.34523809523809523</v>
      </c>
      <c r="Q62" s="65">
        <v>0.40157480314960631</v>
      </c>
    </row>
    <row r="63" spans="1:17" x14ac:dyDescent="0.4">
      <c r="A63" s="67">
        <v>60</v>
      </c>
      <c r="B63" s="64">
        <v>13.599999999999987</v>
      </c>
      <c r="C63" s="64">
        <v>0.22666666666666646</v>
      </c>
      <c r="D63" s="69">
        <v>2.0833333333333335</v>
      </c>
      <c r="E63" s="65">
        <v>0.26666666666666666</v>
      </c>
      <c r="F63" s="65">
        <v>0.35</v>
      </c>
      <c r="G63" s="65">
        <v>0.26534653465346536</v>
      </c>
      <c r="H63" s="65">
        <v>0.15445544554455445</v>
      </c>
      <c r="I63" s="66">
        <v>9640.2985074626868</v>
      </c>
      <c r="J63" s="66">
        <v>-7814.1025641025644</v>
      </c>
      <c r="K63" s="65">
        <v>0.05</v>
      </c>
      <c r="L63" s="65">
        <v>0.11666666666666667</v>
      </c>
      <c r="M63" s="65">
        <v>0.26732673267326734</v>
      </c>
      <c r="N63" s="65">
        <v>0.17821782178217821</v>
      </c>
      <c r="O63" s="65">
        <v>0.58518518518518514</v>
      </c>
      <c r="P63" s="65">
        <v>0.36666666666666664</v>
      </c>
      <c r="Q63" s="65">
        <v>0.41791044776119401</v>
      </c>
    </row>
    <row r="64" spans="1:17" x14ac:dyDescent="0.4">
      <c r="A64" s="67">
        <v>61</v>
      </c>
      <c r="B64" s="64">
        <v>-25.100000000000016</v>
      </c>
      <c r="C64" s="64">
        <v>-0.41147540983606584</v>
      </c>
      <c r="D64" s="69">
        <v>2.098360655737705</v>
      </c>
      <c r="E64" s="65">
        <v>0.26229508196721313</v>
      </c>
      <c r="F64" s="65">
        <v>0.36065573770491804</v>
      </c>
      <c r="G64" s="65">
        <v>0.26848249027237353</v>
      </c>
      <c r="H64" s="65">
        <v>0.15953307392996108</v>
      </c>
      <c r="I64" s="66">
        <v>9544.927536231884</v>
      </c>
      <c r="J64" s="66">
        <v>-7900</v>
      </c>
      <c r="K64" s="65">
        <v>4.9180327868852458E-2</v>
      </c>
      <c r="L64" s="65">
        <v>0.11475409836065574</v>
      </c>
      <c r="M64" s="65">
        <v>0.2723735408560311</v>
      </c>
      <c r="N64" s="65">
        <v>0.18093385214007782</v>
      </c>
      <c r="O64" s="65">
        <v>0.59285714285714286</v>
      </c>
      <c r="P64" s="65">
        <v>0.35483870967741937</v>
      </c>
      <c r="Q64" s="65">
        <v>0.40579710144927539</v>
      </c>
    </row>
    <row r="65" spans="1:17" x14ac:dyDescent="0.4">
      <c r="A65" s="67">
        <v>62</v>
      </c>
      <c r="B65" s="64">
        <v>-27.600000000000016</v>
      </c>
      <c r="C65" s="64">
        <v>-0.44516129032258089</v>
      </c>
      <c r="D65" s="69">
        <v>2.096774193548387</v>
      </c>
      <c r="E65" s="65">
        <v>0.25806451612903225</v>
      </c>
      <c r="F65" s="65">
        <v>0.35483870967741937</v>
      </c>
      <c r="G65" s="65">
        <v>0.26782273603082851</v>
      </c>
      <c r="H65" s="65">
        <v>0.15799614643545279</v>
      </c>
      <c r="I65" s="66">
        <v>9533.8129496402871</v>
      </c>
      <c r="J65" s="66">
        <v>-7900</v>
      </c>
      <c r="K65" s="65">
        <v>4.8387096774193547E-2</v>
      </c>
      <c r="L65" s="65">
        <v>0.11290322580645161</v>
      </c>
      <c r="M65" s="65">
        <v>0.26974951830443161</v>
      </c>
      <c r="N65" s="65">
        <v>0.1811175337186898</v>
      </c>
      <c r="O65" s="65">
        <v>0.59285714285714286</v>
      </c>
      <c r="P65" s="65">
        <v>0.36170212765957449</v>
      </c>
      <c r="Q65" s="65">
        <v>0.40287769784172661</v>
      </c>
    </row>
    <row r="66" spans="1:17" x14ac:dyDescent="0.4">
      <c r="A66" s="67">
        <v>63</v>
      </c>
      <c r="B66" s="64">
        <v>19.999999999999986</v>
      </c>
      <c r="C66" s="64">
        <v>0.31746031746031722</v>
      </c>
      <c r="D66" s="69">
        <v>2.0793650793650795</v>
      </c>
      <c r="E66" s="65">
        <v>0.26984126984126983</v>
      </c>
      <c r="F66" s="65">
        <v>0.34920634920634919</v>
      </c>
      <c r="G66" s="65">
        <v>0.27221172022684309</v>
      </c>
      <c r="H66" s="65">
        <v>0.16068052930056712</v>
      </c>
      <c r="I66" s="66">
        <v>9534.0277777777774</v>
      </c>
      <c r="J66" s="66">
        <v>-7834.1176470588234</v>
      </c>
      <c r="K66" s="65">
        <v>4.7619047619047616E-2</v>
      </c>
      <c r="L66" s="65">
        <v>0.1111111111111111</v>
      </c>
      <c r="M66" s="65">
        <v>0.27221172022684309</v>
      </c>
      <c r="N66" s="65">
        <v>0.18147448015122875</v>
      </c>
      <c r="O66" s="65">
        <v>0.59027777777777779</v>
      </c>
      <c r="P66" s="65">
        <v>0.375</v>
      </c>
      <c r="Q66" s="65">
        <v>0.40972222222222221</v>
      </c>
    </row>
    <row r="67" spans="1:17" x14ac:dyDescent="0.4">
      <c r="A67" s="67">
        <v>64</v>
      </c>
      <c r="B67" s="64">
        <v>60.099999999999987</v>
      </c>
      <c r="C67" s="64">
        <v>0.9390624999999998</v>
      </c>
      <c r="D67" s="69">
        <v>2.0625</v>
      </c>
      <c r="E67" s="65">
        <v>0.28125</v>
      </c>
      <c r="F67" s="65">
        <v>0.34375</v>
      </c>
      <c r="G67" s="65">
        <v>0.27339449541284405</v>
      </c>
      <c r="H67" s="65">
        <v>0.16146788990825689</v>
      </c>
      <c r="I67" s="66">
        <v>9625.5033557046972</v>
      </c>
      <c r="J67" s="66">
        <v>-7707.954545454545</v>
      </c>
      <c r="K67" s="65">
        <v>4.6875E-2</v>
      </c>
      <c r="L67" s="65">
        <v>0.109375</v>
      </c>
      <c r="M67" s="65">
        <v>0.27339449541284405</v>
      </c>
      <c r="N67" s="65">
        <v>0.1853211009174312</v>
      </c>
      <c r="O67" s="65">
        <v>0.58389261744966447</v>
      </c>
      <c r="P67" s="65">
        <v>0.38613861386138615</v>
      </c>
      <c r="Q67" s="65">
        <v>0.41610738255033558</v>
      </c>
    </row>
    <row r="68" spans="1:17" x14ac:dyDescent="0.4">
      <c r="A68" s="67">
        <v>65</v>
      </c>
      <c r="B68" s="64">
        <v>131.6</v>
      </c>
      <c r="C68" s="64">
        <v>2.0246153846153847</v>
      </c>
      <c r="D68" s="69">
        <v>2.046153846153846</v>
      </c>
      <c r="E68" s="65">
        <v>0.29230769230769232</v>
      </c>
      <c r="F68" s="65">
        <v>0.33846153846153848</v>
      </c>
      <c r="G68" s="65">
        <v>0.27617328519855594</v>
      </c>
      <c r="H68" s="65">
        <v>0.16064981949458484</v>
      </c>
      <c r="I68" s="66">
        <v>9700.6535947712418</v>
      </c>
      <c r="J68" s="66">
        <v>-7643.8202247191011</v>
      </c>
      <c r="K68" s="65">
        <v>4.6153846153846156E-2</v>
      </c>
      <c r="L68" s="65">
        <v>0.12307692307692308</v>
      </c>
      <c r="M68" s="65">
        <v>0.27978339350180503</v>
      </c>
      <c r="N68" s="65">
        <v>0.18592057761732853</v>
      </c>
      <c r="O68" s="65">
        <v>0.58064516129032262</v>
      </c>
      <c r="P68" s="65">
        <v>0.38834951456310679</v>
      </c>
      <c r="Q68" s="65">
        <v>0.42483660130718953</v>
      </c>
    </row>
    <row r="69" spans="1:17" x14ac:dyDescent="0.4">
      <c r="A69" s="67">
        <v>66</v>
      </c>
      <c r="B69" s="64">
        <v>86.1</v>
      </c>
      <c r="C69" s="64">
        <v>1.3045454545454545</v>
      </c>
      <c r="D69" s="69">
        <v>2.0606060606060606</v>
      </c>
      <c r="E69" s="65">
        <v>0.2878787878787879</v>
      </c>
      <c r="F69" s="65">
        <v>0.34848484848484851</v>
      </c>
      <c r="G69" s="65">
        <v>0.27886323268206037</v>
      </c>
      <c r="H69" s="65">
        <v>0.16341030195381884</v>
      </c>
      <c r="I69" s="66">
        <v>9550.3184713375795</v>
      </c>
      <c r="J69" s="66">
        <v>-7795.652173913043</v>
      </c>
      <c r="K69" s="65">
        <v>4.5454545454545456E-2</v>
      </c>
      <c r="L69" s="65">
        <v>0.12121212121212122</v>
      </c>
      <c r="M69" s="65">
        <v>0.28063943161634103</v>
      </c>
      <c r="N69" s="65">
        <v>0.18650088809946713</v>
      </c>
      <c r="O69" s="65">
        <v>0.58227848101265822</v>
      </c>
      <c r="P69" s="65">
        <v>0.39047619047619048</v>
      </c>
      <c r="Q69" s="65">
        <v>0.42675159235668791</v>
      </c>
    </row>
    <row r="70" spans="1:17" x14ac:dyDescent="0.4">
      <c r="A70" s="67">
        <v>67</v>
      </c>
      <c r="B70" s="64">
        <v>154.1</v>
      </c>
      <c r="C70" s="64">
        <v>2.2999999999999998</v>
      </c>
      <c r="D70" s="69">
        <v>2.044776119402985</v>
      </c>
      <c r="E70" s="65">
        <v>0.29850746268656714</v>
      </c>
      <c r="F70" s="65">
        <v>0.34328358208955223</v>
      </c>
      <c r="G70" s="65">
        <v>0.28021015761821366</v>
      </c>
      <c r="H70" s="65">
        <v>0.16462346760070051</v>
      </c>
      <c r="I70" s="66">
        <v>9796.25</v>
      </c>
      <c r="J70" s="66">
        <v>-7773.4042553191493</v>
      </c>
      <c r="K70" s="65">
        <v>4.4776119402985072E-2</v>
      </c>
      <c r="L70" s="65">
        <v>0.13432835820895522</v>
      </c>
      <c r="M70" s="65">
        <v>0.28021015761821366</v>
      </c>
      <c r="N70" s="65">
        <v>0.18563922942206654</v>
      </c>
      <c r="O70" s="65">
        <v>0.58750000000000002</v>
      </c>
      <c r="P70" s="65">
        <v>0.39622641509433965</v>
      </c>
      <c r="Q70" s="65">
        <v>0.43125000000000002</v>
      </c>
    </row>
    <row r="71" spans="1:17" x14ac:dyDescent="0.4">
      <c r="A71" s="67">
        <v>68</v>
      </c>
      <c r="B71" s="64">
        <v>152.29999999999998</v>
      </c>
      <c r="C71" s="64">
        <v>2.2397058823529408</v>
      </c>
      <c r="D71" s="69">
        <v>2.0441176470588234</v>
      </c>
      <c r="E71" s="65">
        <v>0.29411764705882354</v>
      </c>
      <c r="F71" s="65">
        <v>0.33823529411764708</v>
      </c>
      <c r="G71" s="65">
        <v>0.2795138888888889</v>
      </c>
      <c r="H71" s="65">
        <v>0.16493055555555555</v>
      </c>
      <c r="I71" s="66">
        <v>9809.9378881987577</v>
      </c>
      <c r="J71" s="66">
        <v>-7775.7894736842109</v>
      </c>
      <c r="K71" s="65">
        <v>4.4117647058823532E-2</v>
      </c>
      <c r="L71" s="65">
        <v>0.13235294117647059</v>
      </c>
      <c r="M71" s="65">
        <v>0.2795138888888889</v>
      </c>
      <c r="N71" s="65">
        <v>0.1857638888888889</v>
      </c>
      <c r="O71" s="65">
        <v>0.59006211180124224</v>
      </c>
      <c r="P71" s="65">
        <v>0.3925233644859813</v>
      </c>
      <c r="Q71" s="65">
        <v>0.43478260869565216</v>
      </c>
    </row>
    <row r="72" spans="1:17" x14ac:dyDescent="0.4">
      <c r="A72" s="67">
        <v>69</v>
      </c>
      <c r="B72" s="64">
        <v>106.19999999999999</v>
      </c>
      <c r="C72" s="64">
        <v>1.5391304347826085</v>
      </c>
      <c r="D72" s="69">
        <v>2.0579710144927534</v>
      </c>
      <c r="E72" s="65">
        <v>0.28985507246376813</v>
      </c>
      <c r="F72" s="65">
        <v>0.34782608695652173</v>
      </c>
      <c r="G72" s="65">
        <v>0.27796610169491526</v>
      </c>
      <c r="H72" s="65">
        <v>0.16271186440677965</v>
      </c>
      <c r="I72" s="66">
        <v>9756.707317073171</v>
      </c>
      <c r="J72" s="66">
        <v>-7819.791666666667</v>
      </c>
      <c r="K72" s="65">
        <v>4.3478260869565216E-2</v>
      </c>
      <c r="L72" s="65">
        <v>0.13043478260869565</v>
      </c>
      <c r="M72" s="65">
        <v>0.27796610169491526</v>
      </c>
      <c r="N72" s="65">
        <v>0.1864406779661017</v>
      </c>
      <c r="O72" s="65">
        <v>0.58536585365853655</v>
      </c>
      <c r="P72" s="65">
        <v>0.4</v>
      </c>
      <c r="Q72" s="65">
        <v>0.43292682926829268</v>
      </c>
    </row>
    <row r="73" spans="1:17" x14ac:dyDescent="0.4">
      <c r="A73" s="67">
        <v>70</v>
      </c>
      <c r="B73" s="64">
        <v>146.79999999999998</v>
      </c>
      <c r="C73" s="64">
        <v>2.097142857142857</v>
      </c>
      <c r="D73" s="69">
        <v>2.0428571428571427</v>
      </c>
      <c r="E73" s="65">
        <v>0.3</v>
      </c>
      <c r="F73" s="65">
        <v>0.34285714285714286</v>
      </c>
      <c r="G73" s="65">
        <v>0.2797319932998325</v>
      </c>
      <c r="H73" s="65">
        <v>0.1624790619765494</v>
      </c>
      <c r="I73" s="66">
        <v>9797.0059880239514</v>
      </c>
      <c r="J73" s="66">
        <v>-7779.3814432989693</v>
      </c>
      <c r="K73" s="65">
        <v>4.2857142857142858E-2</v>
      </c>
      <c r="L73" s="65">
        <v>0.12857142857142856</v>
      </c>
      <c r="M73" s="65">
        <v>0.27805695142378561</v>
      </c>
      <c r="N73" s="65">
        <v>0.18592964824120603</v>
      </c>
      <c r="O73" s="65">
        <v>0.59036144578313254</v>
      </c>
      <c r="P73" s="65">
        <v>0.40540540540540543</v>
      </c>
      <c r="Q73" s="65">
        <v>0.43712574850299402</v>
      </c>
    </row>
    <row r="74" spans="1:17" x14ac:dyDescent="0.4">
      <c r="A74" s="67">
        <v>71</v>
      </c>
      <c r="B74" s="64">
        <v>88.799999999999983</v>
      </c>
      <c r="C74" s="64">
        <v>1.2507042253521123</v>
      </c>
      <c r="D74" s="69">
        <v>2.056338028169014</v>
      </c>
      <c r="E74" s="65">
        <v>0.29577464788732394</v>
      </c>
      <c r="F74" s="65">
        <v>0.352112676056338</v>
      </c>
      <c r="G74" s="65">
        <v>0.27787021630615638</v>
      </c>
      <c r="H74" s="65">
        <v>0.16638935108153077</v>
      </c>
      <c r="I74" s="66">
        <v>9797.0059880239514</v>
      </c>
      <c r="J74" s="66">
        <v>-7806</v>
      </c>
      <c r="K74" s="65">
        <v>5.6338028169014086E-2</v>
      </c>
      <c r="L74" s="65">
        <v>0.12676056338028169</v>
      </c>
      <c r="M74" s="65">
        <v>0.28286189683860236</v>
      </c>
      <c r="N74" s="65">
        <v>0.18469217970049917</v>
      </c>
      <c r="O74" s="65">
        <v>0.57647058823529407</v>
      </c>
      <c r="P74" s="65">
        <v>0.40540540540540543</v>
      </c>
      <c r="Q74" s="65">
        <v>0.43712574850299402</v>
      </c>
    </row>
    <row r="75" spans="1:17" x14ac:dyDescent="0.4">
      <c r="A75" s="67">
        <v>72</v>
      </c>
      <c r="B75" s="64">
        <v>98.299999999999983</v>
      </c>
      <c r="C75" s="64">
        <v>1.3652777777777776</v>
      </c>
      <c r="D75" s="69">
        <v>2.0555555555555554</v>
      </c>
      <c r="E75" s="65">
        <v>0.29166666666666669</v>
      </c>
      <c r="F75" s="65">
        <v>0.34722222222222221</v>
      </c>
      <c r="G75" s="65">
        <v>0.27941176470588236</v>
      </c>
      <c r="H75" s="65">
        <v>0.16666666666666666</v>
      </c>
      <c r="I75" s="66">
        <v>9761.9883040935674</v>
      </c>
      <c r="J75" s="66">
        <v>-7748.0392156862745</v>
      </c>
      <c r="K75" s="65">
        <v>5.5555555555555552E-2</v>
      </c>
      <c r="L75" s="65">
        <v>0.125</v>
      </c>
      <c r="M75" s="65">
        <v>0.28431372549019607</v>
      </c>
      <c r="N75" s="65">
        <v>0.184640522875817</v>
      </c>
      <c r="O75" s="65">
        <v>0.58045977011494254</v>
      </c>
      <c r="P75" s="65">
        <v>0.40707964601769914</v>
      </c>
      <c r="Q75" s="65">
        <v>0.43274853801169588</v>
      </c>
    </row>
    <row r="76" spans="1:17" x14ac:dyDescent="0.4">
      <c r="A76" s="67">
        <v>73</v>
      </c>
      <c r="B76" s="64">
        <v>156.29999999999998</v>
      </c>
      <c r="C76" s="64">
        <v>2.1410958904109587</v>
      </c>
      <c r="D76" s="69">
        <v>2.0410958904109591</v>
      </c>
      <c r="E76" s="65">
        <v>0.30136986301369861</v>
      </c>
      <c r="F76" s="65">
        <v>0.34246575342465752</v>
      </c>
      <c r="G76" s="65">
        <v>0.27993527508090615</v>
      </c>
      <c r="H76" s="65">
        <v>0.16828478964401294</v>
      </c>
      <c r="I76" s="66">
        <v>9926.5895953757226</v>
      </c>
      <c r="J76" s="66">
        <v>-7724.0384615384619</v>
      </c>
      <c r="K76" s="65">
        <v>5.4794520547945202E-2</v>
      </c>
      <c r="L76" s="65">
        <v>0.13698630136986301</v>
      </c>
      <c r="M76" s="65">
        <v>0.28478964401294499</v>
      </c>
      <c r="N76" s="65">
        <v>0.18608414239482202</v>
      </c>
      <c r="O76" s="65">
        <v>0.58522727272727271</v>
      </c>
      <c r="P76" s="65">
        <v>0.4</v>
      </c>
      <c r="Q76" s="65">
        <v>0.43352601156069365</v>
      </c>
    </row>
    <row r="77" spans="1:17" x14ac:dyDescent="0.4">
      <c r="A77" s="67">
        <v>74</v>
      </c>
      <c r="B77" s="64">
        <v>99.299999999999983</v>
      </c>
      <c r="C77" s="64">
        <v>1.3418918918918916</v>
      </c>
      <c r="D77" s="69">
        <v>2.0540540540540539</v>
      </c>
      <c r="E77" s="65">
        <v>0.29729729729729731</v>
      </c>
      <c r="F77" s="65">
        <v>0.35135135135135137</v>
      </c>
      <c r="G77" s="65">
        <v>0.27858293075684382</v>
      </c>
      <c r="H77" s="65">
        <v>0.17230273752012881</v>
      </c>
      <c r="I77" s="66">
        <v>9926.5895953757226</v>
      </c>
      <c r="J77" s="66">
        <v>-7843.9252336448599</v>
      </c>
      <c r="K77" s="65">
        <v>6.7567567567567571E-2</v>
      </c>
      <c r="L77" s="65">
        <v>0.13513513513513514</v>
      </c>
      <c r="M77" s="65">
        <v>0.28341384863123992</v>
      </c>
      <c r="N77" s="65">
        <v>0.18840579710144928</v>
      </c>
      <c r="O77" s="65">
        <v>0.58522727272727271</v>
      </c>
      <c r="P77" s="65">
        <v>0.39316239316239315</v>
      </c>
      <c r="Q77" s="65">
        <v>0.43352601156069365</v>
      </c>
    </row>
    <row r="78" spans="1:17" x14ac:dyDescent="0.4">
      <c r="A78" s="67">
        <v>75</v>
      </c>
      <c r="B78" s="64">
        <v>145.29999999999998</v>
      </c>
      <c r="C78" s="64">
        <v>1.9373333333333331</v>
      </c>
      <c r="D78" s="69">
        <v>2.04</v>
      </c>
      <c r="E78" s="65">
        <v>0.30666666666666664</v>
      </c>
      <c r="F78" s="65">
        <v>0.34666666666666668</v>
      </c>
      <c r="G78" s="65">
        <v>0.28298887122416533</v>
      </c>
      <c r="H78" s="65">
        <v>0.17170111287758347</v>
      </c>
      <c r="I78" s="66">
        <v>9939.8876404494385</v>
      </c>
      <c r="J78" s="66">
        <v>-7845.3703703703704</v>
      </c>
      <c r="K78" s="65">
        <v>6.6666666666666666E-2</v>
      </c>
      <c r="L78" s="65">
        <v>0.13333333333333333</v>
      </c>
      <c r="M78" s="65">
        <v>0.2861685214626391</v>
      </c>
      <c r="N78" s="65">
        <v>0.18759936406995231</v>
      </c>
      <c r="O78" s="65">
        <v>0.58888888888888891</v>
      </c>
      <c r="P78" s="65">
        <v>0.39830508474576271</v>
      </c>
      <c r="Q78" s="65">
        <v>0.42696629213483145</v>
      </c>
    </row>
    <row r="79" spans="1:17" x14ac:dyDescent="0.4">
      <c r="A79" s="67">
        <v>76</v>
      </c>
      <c r="B79" s="64">
        <v>163.29999999999998</v>
      </c>
      <c r="C79" s="64">
        <v>2.1486842105263158</v>
      </c>
      <c r="D79" s="69">
        <v>2.0394736842105261</v>
      </c>
      <c r="E79" s="65">
        <v>0.30263157894736842</v>
      </c>
      <c r="F79" s="65">
        <v>0.34210526315789475</v>
      </c>
      <c r="G79" s="65">
        <v>0.28322784810126583</v>
      </c>
      <c r="H79" s="65">
        <v>0.17088607594936708</v>
      </c>
      <c r="I79" s="66">
        <v>10018.435754189944</v>
      </c>
      <c r="J79" s="66">
        <v>-7845.3703703703704</v>
      </c>
      <c r="K79" s="65">
        <v>6.5789473684210523E-2</v>
      </c>
      <c r="L79" s="65">
        <v>0.13157894736842105</v>
      </c>
      <c r="M79" s="65">
        <v>0.2848101265822785</v>
      </c>
      <c r="N79" s="65">
        <v>0.18829113924050633</v>
      </c>
      <c r="O79" s="65">
        <v>0.58888888888888891</v>
      </c>
      <c r="P79" s="65">
        <v>0.40336134453781514</v>
      </c>
      <c r="Q79" s="65">
        <v>0.42458100558659218</v>
      </c>
    </row>
    <row r="80" spans="1:17" x14ac:dyDescent="0.4">
      <c r="A80" s="67">
        <v>77</v>
      </c>
      <c r="B80" s="64">
        <v>89.59999999999998</v>
      </c>
      <c r="C80" s="64">
        <v>1.1636363636363634</v>
      </c>
      <c r="D80" s="69">
        <v>2.051948051948052</v>
      </c>
      <c r="E80" s="65">
        <v>0.29870129870129869</v>
      </c>
      <c r="F80" s="65">
        <v>0.35064935064935066</v>
      </c>
      <c r="G80" s="65">
        <v>0.28081123244929795</v>
      </c>
      <c r="H80" s="65">
        <v>0.17628705148205928</v>
      </c>
      <c r="I80" s="66">
        <v>10062.777777777777</v>
      </c>
      <c r="J80" s="66">
        <v>-8037.1681415929206</v>
      </c>
      <c r="K80" s="65">
        <v>7.792207792207792E-2</v>
      </c>
      <c r="L80" s="65">
        <v>0.12987012987012986</v>
      </c>
      <c r="M80" s="65">
        <v>0.28549141965678626</v>
      </c>
      <c r="N80" s="65">
        <v>0.19188767550702029</v>
      </c>
      <c r="O80" s="65">
        <v>0.57923497267759561</v>
      </c>
      <c r="P80" s="65">
        <v>0.3983739837398374</v>
      </c>
      <c r="Q80" s="65">
        <v>0.42222222222222222</v>
      </c>
    </row>
    <row r="81" spans="1:17" x14ac:dyDescent="0.4">
      <c r="A81" s="67">
        <v>78</v>
      </c>
      <c r="B81" s="64">
        <v>94.299999999999983</v>
      </c>
      <c r="C81" s="64">
        <v>1.2089743589743587</v>
      </c>
      <c r="D81" s="69">
        <v>2.0512820512820511</v>
      </c>
      <c r="E81" s="65">
        <v>0.29487179487179488</v>
      </c>
      <c r="F81" s="65">
        <v>0.34615384615384615</v>
      </c>
      <c r="G81" s="65">
        <v>0.28240740740740738</v>
      </c>
      <c r="H81" s="65">
        <v>0.17592592592592593</v>
      </c>
      <c r="I81" s="66">
        <v>10057.92349726776</v>
      </c>
      <c r="J81" s="66">
        <v>-8107.0175438596489</v>
      </c>
      <c r="K81" s="65">
        <v>7.6923076923076927E-2</v>
      </c>
      <c r="L81" s="65">
        <v>0.12820512820512819</v>
      </c>
      <c r="M81" s="65">
        <v>0.28858024691358025</v>
      </c>
      <c r="N81" s="65">
        <v>0.19135802469135801</v>
      </c>
      <c r="O81" s="65">
        <v>0.58288770053475936</v>
      </c>
      <c r="P81" s="65">
        <v>0.39516129032258063</v>
      </c>
      <c r="Q81" s="65">
        <v>0.42076502732240439</v>
      </c>
    </row>
    <row r="82" spans="1:17" x14ac:dyDescent="0.4">
      <c r="A82" s="67">
        <v>79</v>
      </c>
      <c r="B82" s="64">
        <v>118.49999999999999</v>
      </c>
      <c r="C82" s="64">
        <v>1.4999999999999998</v>
      </c>
      <c r="D82" s="69">
        <v>2.037974683544304</v>
      </c>
      <c r="E82" s="65">
        <v>0.30379746835443039</v>
      </c>
      <c r="F82" s="65">
        <v>0.34177215189873417</v>
      </c>
      <c r="G82" s="65">
        <v>0.28376327769347498</v>
      </c>
      <c r="H82" s="65">
        <v>0.17754172989377845</v>
      </c>
      <c r="I82" s="66">
        <v>9977.5401069518721</v>
      </c>
      <c r="J82" s="66">
        <v>-8087.1794871794873</v>
      </c>
      <c r="K82" s="65">
        <v>7.5949367088607597E-2</v>
      </c>
      <c r="L82" s="65">
        <v>0.12658227848101267</v>
      </c>
      <c r="M82" s="65">
        <v>0.2898330804248862</v>
      </c>
      <c r="N82" s="65">
        <v>0.19423368740515934</v>
      </c>
      <c r="O82" s="65">
        <v>0.5759162303664922</v>
      </c>
      <c r="P82" s="65">
        <v>0.40625</v>
      </c>
      <c r="Q82" s="65">
        <v>0.42245989304812837</v>
      </c>
    </row>
    <row r="83" spans="1:17" x14ac:dyDescent="0.4">
      <c r="A83" s="67">
        <v>80</v>
      </c>
      <c r="B83" s="64">
        <v>109.69999999999999</v>
      </c>
      <c r="C83" s="64">
        <v>1.3712499999999999</v>
      </c>
      <c r="D83" s="69">
        <v>2.0375000000000001</v>
      </c>
      <c r="E83" s="65">
        <v>0.3</v>
      </c>
      <c r="F83" s="65">
        <v>0.33750000000000002</v>
      </c>
      <c r="G83" s="65">
        <v>0.28313253012048195</v>
      </c>
      <c r="H83" s="65">
        <v>0.17771084337349397</v>
      </c>
      <c r="I83" s="66">
        <v>9967.021276595744</v>
      </c>
      <c r="J83" s="66">
        <v>-8059.3220338983047</v>
      </c>
      <c r="K83" s="65">
        <v>7.4999999999999997E-2</v>
      </c>
      <c r="L83" s="65">
        <v>0.125</v>
      </c>
      <c r="M83" s="65">
        <v>0.29066265060240964</v>
      </c>
      <c r="N83" s="65">
        <v>0.19427710843373494</v>
      </c>
      <c r="O83" s="65">
        <v>0.57512953367875652</v>
      </c>
      <c r="P83" s="65">
        <v>0.40310077519379844</v>
      </c>
      <c r="Q83" s="65">
        <v>0.42021276595744683</v>
      </c>
    </row>
    <row r="84" spans="1:17" x14ac:dyDescent="0.4">
      <c r="A84" s="67">
        <v>81</v>
      </c>
      <c r="B84" s="64">
        <v>173.1</v>
      </c>
      <c r="C84" s="64">
        <v>2.1370370370370368</v>
      </c>
      <c r="D84" s="69">
        <v>2.0246913580246915</v>
      </c>
      <c r="E84" s="65">
        <v>0.30864197530864196</v>
      </c>
      <c r="F84" s="65">
        <v>0.33333333333333331</v>
      </c>
      <c r="G84" s="65">
        <v>0.28464977645305511</v>
      </c>
      <c r="H84" s="65">
        <v>0.17585692995529062</v>
      </c>
      <c r="I84" s="66">
        <v>10089.005235602095</v>
      </c>
      <c r="J84" s="66">
        <v>-8059.3220338983047</v>
      </c>
      <c r="K84" s="65">
        <v>7.407407407407407E-2</v>
      </c>
      <c r="L84" s="65">
        <v>0.13580246913580246</v>
      </c>
      <c r="M84" s="65">
        <v>0.29210134128166915</v>
      </c>
      <c r="N84" s="65">
        <v>0.19374068554396423</v>
      </c>
      <c r="O84" s="65">
        <v>0.57653061224489799</v>
      </c>
      <c r="P84" s="65">
        <v>0.40769230769230769</v>
      </c>
      <c r="Q84" s="65">
        <v>0.42408376963350786</v>
      </c>
    </row>
    <row r="85" spans="1:17" x14ac:dyDescent="0.4">
      <c r="A85" s="67">
        <v>82</v>
      </c>
      <c r="B85" s="64">
        <v>214.1</v>
      </c>
      <c r="C85" s="64">
        <v>2.6109756097560974</v>
      </c>
      <c r="D85" s="69">
        <v>2.0121951219512195</v>
      </c>
      <c r="E85" s="65">
        <v>0.31707317073170732</v>
      </c>
      <c r="F85" s="65">
        <v>0.32926829268292684</v>
      </c>
      <c r="G85" s="65">
        <v>0.28592375366568917</v>
      </c>
      <c r="H85" s="65">
        <v>0.1744868035190616</v>
      </c>
      <c r="I85" s="66">
        <v>10080</v>
      </c>
      <c r="J85" s="66">
        <v>-8092.4369747899163</v>
      </c>
      <c r="K85" s="65">
        <v>7.3170731707317069E-2</v>
      </c>
      <c r="L85" s="65">
        <v>0.13414634146341464</v>
      </c>
      <c r="M85" s="65">
        <v>0.29472140762463345</v>
      </c>
      <c r="N85" s="65">
        <v>0.1906158357771261</v>
      </c>
      <c r="O85" s="65">
        <v>0.57213930348258701</v>
      </c>
      <c r="P85" s="65">
        <v>0.40769230769230769</v>
      </c>
      <c r="Q85" s="65">
        <v>0.41538461538461541</v>
      </c>
    </row>
    <row r="86" spans="1:17" x14ac:dyDescent="0.4">
      <c r="A86" s="67">
        <v>83</v>
      </c>
      <c r="B86" s="64">
        <v>210.9</v>
      </c>
      <c r="C86" s="64">
        <v>2.5409638554216869</v>
      </c>
      <c r="D86" s="69">
        <v>2.0120481927710845</v>
      </c>
      <c r="E86" s="65">
        <v>0.31325301204819278</v>
      </c>
      <c r="F86" s="65">
        <v>0.3253012048192771</v>
      </c>
      <c r="G86" s="65">
        <v>0.28592162554426703</v>
      </c>
      <c r="H86" s="65">
        <v>0.17271407837445574</v>
      </c>
      <c r="I86" s="66">
        <v>10031.472081218275</v>
      </c>
      <c r="J86" s="66">
        <v>-8092.4369747899163</v>
      </c>
      <c r="K86" s="65">
        <v>7.2289156626506021E-2</v>
      </c>
      <c r="L86" s="65">
        <v>0.13253012048192772</v>
      </c>
      <c r="M86" s="65">
        <v>0.2960812772133527</v>
      </c>
      <c r="N86" s="65">
        <v>0.19013062409288825</v>
      </c>
      <c r="O86" s="65">
        <v>0.57352941176470584</v>
      </c>
      <c r="P86" s="65">
        <v>0.40458015267175573</v>
      </c>
      <c r="Q86" s="65">
        <v>0.41116751269035534</v>
      </c>
    </row>
    <row r="87" spans="1:17" x14ac:dyDescent="0.4">
      <c r="A87" s="67">
        <v>84</v>
      </c>
      <c r="B87" s="64">
        <v>275.10000000000002</v>
      </c>
      <c r="C87" s="64">
        <v>3.2750000000000004</v>
      </c>
      <c r="D87" s="69">
        <v>2</v>
      </c>
      <c r="E87" s="65">
        <v>0.32142857142857145</v>
      </c>
      <c r="F87" s="65">
        <v>0.32142857142857145</v>
      </c>
      <c r="G87" s="65">
        <v>0.28898426323319026</v>
      </c>
      <c r="H87" s="65">
        <v>0.17024320457796852</v>
      </c>
      <c r="I87" s="66">
        <v>10054.455445544554</v>
      </c>
      <c r="J87" s="66">
        <v>-8092.4369747899163</v>
      </c>
      <c r="K87" s="65">
        <v>7.1428571428571425E-2</v>
      </c>
      <c r="L87" s="65">
        <v>0.14285714285714285</v>
      </c>
      <c r="M87" s="65">
        <v>0.29327610872675253</v>
      </c>
      <c r="N87" s="65">
        <v>0.19170243204577969</v>
      </c>
      <c r="O87" s="65">
        <v>0.57560975609756093</v>
      </c>
      <c r="P87" s="65">
        <v>0.41791044776119401</v>
      </c>
      <c r="Q87" s="65">
        <v>0.40594059405940597</v>
      </c>
    </row>
    <row r="88" spans="1:17" x14ac:dyDescent="0.4">
      <c r="A88" s="67">
        <v>85</v>
      </c>
      <c r="B88" s="64">
        <v>213.10000000000002</v>
      </c>
      <c r="C88" s="64">
        <v>2.507058823529412</v>
      </c>
      <c r="D88" s="69">
        <v>2.0117647058823529</v>
      </c>
      <c r="E88" s="65">
        <v>0.31764705882352939</v>
      </c>
      <c r="F88" s="65">
        <v>0.32941176470588235</v>
      </c>
      <c r="G88" s="65">
        <v>0.2867231638418079</v>
      </c>
      <c r="H88" s="65">
        <v>0.16949152542372881</v>
      </c>
      <c r="I88" s="66">
        <v>10064.039408866995</v>
      </c>
      <c r="J88" s="66">
        <v>-8291.6666666666661</v>
      </c>
      <c r="K88" s="65">
        <v>8.2352941176470587E-2</v>
      </c>
      <c r="L88" s="65">
        <v>0.14117647058823529</v>
      </c>
      <c r="M88" s="65">
        <v>0.2923728813559322</v>
      </c>
      <c r="N88" s="65">
        <v>0.18926553672316385</v>
      </c>
      <c r="O88" s="65">
        <v>0.5748792270531401</v>
      </c>
      <c r="P88" s="65">
        <v>0.41791044776119401</v>
      </c>
      <c r="Q88" s="65">
        <v>0.40886699507389163</v>
      </c>
    </row>
    <row r="89" spans="1:17" x14ac:dyDescent="0.4">
      <c r="A89" s="67">
        <v>86</v>
      </c>
      <c r="B89" s="64">
        <v>158.50000000000003</v>
      </c>
      <c r="C89" s="64">
        <v>1.8430232558139539</v>
      </c>
      <c r="D89" s="69">
        <v>2.0232558139534884</v>
      </c>
      <c r="E89" s="65">
        <v>0.31395348837209303</v>
      </c>
      <c r="F89" s="65">
        <v>0.33720930232558138</v>
      </c>
      <c r="G89" s="65">
        <v>0.28491620111731841</v>
      </c>
      <c r="H89" s="65">
        <v>0.1717877094972067</v>
      </c>
      <c r="I89" s="66">
        <v>10033.823529411764</v>
      </c>
      <c r="J89" s="66">
        <v>-8311.3821138211388</v>
      </c>
      <c r="K89" s="65">
        <v>8.1395348837209308E-2</v>
      </c>
      <c r="L89" s="65">
        <v>0.13953488372093023</v>
      </c>
      <c r="M89" s="65">
        <v>0.29329608938547486</v>
      </c>
      <c r="N89" s="65">
        <v>0.18854748603351956</v>
      </c>
      <c r="O89" s="65">
        <v>0.56666666666666665</v>
      </c>
      <c r="P89" s="65">
        <v>0.42222222222222222</v>
      </c>
      <c r="Q89" s="65">
        <v>0.40686274509803921</v>
      </c>
    </row>
    <row r="90" spans="1:17" x14ac:dyDescent="0.4">
      <c r="A90" s="67">
        <v>87</v>
      </c>
      <c r="B90" s="64">
        <v>102.50000000000003</v>
      </c>
      <c r="C90" s="64">
        <v>1.1781609195402303</v>
      </c>
      <c r="D90" s="69">
        <v>2.0344827586206895</v>
      </c>
      <c r="E90" s="65">
        <v>0.31034482758620691</v>
      </c>
      <c r="F90" s="65">
        <v>0.34482758620689657</v>
      </c>
      <c r="G90" s="65">
        <v>0.28254847645429365</v>
      </c>
      <c r="H90" s="65">
        <v>0.17313019390581719</v>
      </c>
      <c r="I90" s="66">
        <v>10033.823529411764</v>
      </c>
      <c r="J90" s="66">
        <v>-8434.4</v>
      </c>
      <c r="K90" s="65">
        <v>9.1954022988505746E-2</v>
      </c>
      <c r="L90" s="65">
        <v>0.13793103448275862</v>
      </c>
      <c r="M90" s="65">
        <v>0.29224376731301938</v>
      </c>
      <c r="N90" s="65">
        <v>0.18975069252077562</v>
      </c>
      <c r="O90" s="65">
        <v>0.56398104265402849</v>
      </c>
      <c r="P90" s="65">
        <v>0.41605839416058393</v>
      </c>
      <c r="Q90" s="65">
        <v>0.40686274509803921</v>
      </c>
    </row>
    <row r="91" spans="1:17" x14ac:dyDescent="0.4">
      <c r="A91" s="67">
        <v>88</v>
      </c>
      <c r="B91" s="64">
        <v>46.300000000000026</v>
      </c>
      <c r="C91" s="64">
        <v>0.52613636363636396</v>
      </c>
      <c r="D91" s="69">
        <v>2.0454545454545454</v>
      </c>
      <c r="E91" s="65">
        <v>0.30681818181818182</v>
      </c>
      <c r="F91" s="65">
        <v>0.35227272727272729</v>
      </c>
      <c r="G91" s="65">
        <v>0.28159340659340659</v>
      </c>
      <c r="H91" s="65">
        <v>0.17445054945054944</v>
      </c>
      <c r="I91" s="66">
        <v>10010.731707317073</v>
      </c>
      <c r="J91" s="66">
        <v>-8534.645669291338</v>
      </c>
      <c r="K91" s="65">
        <v>0.10227272727272728</v>
      </c>
      <c r="L91" s="65">
        <v>0.13636363636363635</v>
      </c>
      <c r="M91" s="65">
        <v>0.29120879120879123</v>
      </c>
      <c r="N91" s="65">
        <v>0.18818681318681318</v>
      </c>
      <c r="O91" s="65">
        <v>0.56603773584905659</v>
      </c>
      <c r="P91" s="65">
        <v>0.41605839416058393</v>
      </c>
      <c r="Q91" s="65">
        <v>0.40975609756097559</v>
      </c>
    </row>
    <row r="92" spans="1:17" x14ac:dyDescent="0.4">
      <c r="A92" s="67">
        <v>89</v>
      </c>
      <c r="B92" s="64">
        <v>32.000000000000028</v>
      </c>
      <c r="C92" s="64">
        <v>0.35955056179775313</v>
      </c>
      <c r="D92" s="69">
        <v>2.0449438202247192</v>
      </c>
      <c r="E92" s="65">
        <v>0.30337078651685395</v>
      </c>
      <c r="F92" s="65">
        <v>0.34831460674157305</v>
      </c>
      <c r="G92" s="65">
        <v>0.28360215053763443</v>
      </c>
      <c r="H92" s="65">
        <v>0.17473118279569894</v>
      </c>
      <c r="I92" s="66">
        <v>9831.2796208530799</v>
      </c>
      <c r="J92" s="66">
        <v>-8504.6153846153848</v>
      </c>
      <c r="K92" s="65">
        <v>0.10112359550561797</v>
      </c>
      <c r="L92" s="65">
        <v>0.1348314606741573</v>
      </c>
      <c r="M92" s="65">
        <v>0.29166666666666669</v>
      </c>
      <c r="N92" s="65">
        <v>0.18817204301075269</v>
      </c>
      <c r="O92" s="65">
        <v>0.56221198156682028</v>
      </c>
      <c r="P92" s="65">
        <v>0.41428571428571431</v>
      </c>
      <c r="Q92" s="65">
        <v>0.41232227488151657</v>
      </c>
    </row>
    <row r="93" spans="1:17" x14ac:dyDescent="0.4">
      <c r="A93" s="67">
        <v>90</v>
      </c>
      <c r="B93" s="64">
        <v>1.7000000000000277</v>
      </c>
      <c r="C93" s="64">
        <v>1.8888888888889198E-2</v>
      </c>
      <c r="D93" s="69">
        <v>2.0444444444444443</v>
      </c>
      <c r="E93" s="65">
        <v>0.3</v>
      </c>
      <c r="F93" s="65">
        <v>0.34444444444444444</v>
      </c>
      <c r="G93" s="65">
        <v>0.28249336870026526</v>
      </c>
      <c r="H93" s="65">
        <v>0.17506631299734748</v>
      </c>
      <c r="I93" s="66">
        <v>9828.1690140845076</v>
      </c>
      <c r="J93" s="66">
        <v>-8572.7272727272721</v>
      </c>
      <c r="K93" s="65">
        <v>0.1</v>
      </c>
      <c r="L93" s="65">
        <v>0.13333333333333333</v>
      </c>
      <c r="M93" s="65">
        <v>0.29045092838196285</v>
      </c>
      <c r="N93" s="65">
        <v>0.18965517241379309</v>
      </c>
      <c r="O93" s="65">
        <v>0.56164383561643838</v>
      </c>
      <c r="P93" s="65">
        <v>0.41258741258741261</v>
      </c>
      <c r="Q93" s="65">
        <v>0.41314553990610331</v>
      </c>
    </row>
    <row r="94" spans="1:17" x14ac:dyDescent="0.4">
      <c r="A94" s="67">
        <v>91</v>
      </c>
      <c r="B94" s="64">
        <v>-9.1999999999999726</v>
      </c>
      <c r="C94" s="64">
        <v>-0.1010989010989008</v>
      </c>
      <c r="D94" s="69">
        <v>2.0439560439560438</v>
      </c>
      <c r="E94" s="65">
        <v>0.2967032967032967</v>
      </c>
      <c r="F94" s="65">
        <v>0.34065934065934067</v>
      </c>
      <c r="G94" s="65">
        <v>0.28252299605781866</v>
      </c>
      <c r="H94" s="65">
        <v>0.1773981603153745</v>
      </c>
      <c r="I94" s="66">
        <v>9848.3720930232557</v>
      </c>
      <c r="J94" s="66">
        <v>-8548.1481481481478</v>
      </c>
      <c r="K94" s="65">
        <v>9.8901098901098897E-2</v>
      </c>
      <c r="L94" s="65">
        <v>0.13186813186813187</v>
      </c>
      <c r="M94" s="65">
        <v>0.29040735873850199</v>
      </c>
      <c r="N94" s="65">
        <v>0.18922470433639949</v>
      </c>
      <c r="O94" s="65">
        <v>0.56561085972850678</v>
      </c>
      <c r="P94" s="65">
        <v>0.40972222222222221</v>
      </c>
      <c r="Q94" s="65">
        <v>0.413953488372093</v>
      </c>
    </row>
    <row r="95" spans="1:17" x14ac:dyDescent="0.4">
      <c r="A95" s="67">
        <v>92</v>
      </c>
      <c r="B95" s="64">
        <v>-69.199999999999974</v>
      </c>
      <c r="C95" s="64">
        <v>-0.75217391304347803</v>
      </c>
      <c r="D95" s="69">
        <v>2.0543478260869565</v>
      </c>
      <c r="E95" s="65">
        <v>0.29347826086956524</v>
      </c>
      <c r="F95" s="65">
        <v>0.34782608695652173</v>
      </c>
      <c r="G95" s="65">
        <v>0.28088426527958388</v>
      </c>
      <c r="H95" s="65">
        <v>0.17685305591677503</v>
      </c>
      <c r="I95" s="66">
        <v>9812.0370370370365</v>
      </c>
      <c r="J95" s="66">
        <v>-8544.1176470588234</v>
      </c>
      <c r="K95" s="65">
        <v>0.10869565217391304</v>
      </c>
      <c r="L95" s="65">
        <v>0.13043478260869565</v>
      </c>
      <c r="M95" s="65">
        <v>0.28998699609882966</v>
      </c>
      <c r="N95" s="65">
        <v>0.19115734720416125</v>
      </c>
      <c r="O95" s="65">
        <v>0.5605381165919282</v>
      </c>
      <c r="P95" s="65">
        <v>0.40816326530612246</v>
      </c>
      <c r="Q95" s="65">
        <v>0.41203703703703703</v>
      </c>
    </row>
    <row r="96" spans="1:17" x14ac:dyDescent="0.4">
      <c r="A96" s="67">
        <v>93</v>
      </c>
      <c r="B96" s="64">
        <v>-125.79999999999998</v>
      </c>
      <c r="C96" s="64">
        <v>-1.3526881720430106</v>
      </c>
      <c r="D96" s="69">
        <v>2.064516129032258</v>
      </c>
      <c r="E96" s="65">
        <v>0.29032258064516131</v>
      </c>
      <c r="F96" s="65">
        <v>0.35483870967741937</v>
      </c>
      <c r="G96" s="65">
        <v>0.27963917525773196</v>
      </c>
      <c r="H96" s="65">
        <v>0.17912371134020619</v>
      </c>
      <c r="I96" s="66">
        <v>9790.7834101382487</v>
      </c>
      <c r="J96" s="66">
        <v>-8467.625899280576</v>
      </c>
      <c r="K96" s="65">
        <v>0.11827956989247312</v>
      </c>
      <c r="L96" s="65">
        <v>0.12903225806451613</v>
      </c>
      <c r="M96" s="65">
        <v>0.29123711340206188</v>
      </c>
      <c r="N96" s="65">
        <v>0.19072164948453607</v>
      </c>
      <c r="O96" s="65">
        <v>0.55752212389380529</v>
      </c>
      <c r="P96" s="65">
        <v>0.40540540540540543</v>
      </c>
      <c r="Q96" s="65">
        <v>0.41013824884792627</v>
      </c>
    </row>
    <row r="97" spans="1:17" x14ac:dyDescent="0.4">
      <c r="A97" s="67">
        <v>94</v>
      </c>
      <c r="B97" s="64">
        <v>-44.799999999999983</v>
      </c>
      <c r="C97" s="64">
        <v>-0.47659574468085086</v>
      </c>
      <c r="D97" s="69">
        <v>2.0531914893617023</v>
      </c>
      <c r="E97" s="65">
        <v>0.2978723404255319</v>
      </c>
      <c r="F97" s="65">
        <v>0.35106382978723405</v>
      </c>
      <c r="G97" s="65">
        <v>0.28241335044929394</v>
      </c>
      <c r="H97" s="65">
        <v>0.17843388960205392</v>
      </c>
      <c r="I97" s="66">
        <v>9930</v>
      </c>
      <c r="J97" s="66">
        <v>-8467.625899280576</v>
      </c>
      <c r="K97" s="65">
        <v>0.11702127659574468</v>
      </c>
      <c r="L97" s="65">
        <v>0.13829787234042554</v>
      </c>
      <c r="M97" s="65">
        <v>0.29396662387676509</v>
      </c>
      <c r="N97" s="65">
        <v>0.18998716302952504</v>
      </c>
      <c r="O97" s="65">
        <v>0.5633187772925764</v>
      </c>
      <c r="P97" s="65">
        <v>0.40540540540540543</v>
      </c>
      <c r="Q97" s="65">
        <v>0.40909090909090912</v>
      </c>
    </row>
    <row r="98" spans="1:17" x14ac:dyDescent="0.4">
      <c r="A98" s="67">
        <v>95</v>
      </c>
      <c r="B98" s="64">
        <v>-1.8999999999999844</v>
      </c>
      <c r="C98" s="64">
        <v>-1.9999999999999834E-2</v>
      </c>
      <c r="D98" s="69">
        <v>2.0421052631578949</v>
      </c>
      <c r="E98" s="65">
        <v>0.30526315789473685</v>
      </c>
      <c r="F98" s="65">
        <v>0.3473684210526316</v>
      </c>
      <c r="G98" s="65">
        <v>0.28517110266159695</v>
      </c>
      <c r="H98" s="65">
        <v>0.17870722433460076</v>
      </c>
      <c r="I98" s="66">
        <v>9938.6666666666661</v>
      </c>
      <c r="J98" s="66">
        <v>-8431.9148936170204</v>
      </c>
      <c r="K98" s="65">
        <v>0.11578947368421053</v>
      </c>
      <c r="L98" s="65">
        <v>0.14736842105263157</v>
      </c>
      <c r="M98" s="65">
        <v>0.29404309252217997</v>
      </c>
      <c r="N98" s="65">
        <v>0.1926489226869455</v>
      </c>
      <c r="O98" s="65">
        <v>0.56465517241379315</v>
      </c>
      <c r="P98" s="65">
        <v>0.40789473684210525</v>
      </c>
      <c r="Q98" s="65">
        <v>0.40888888888888891</v>
      </c>
    </row>
    <row r="99" spans="1:17" x14ac:dyDescent="0.4">
      <c r="A99" s="67">
        <v>96</v>
      </c>
      <c r="B99" s="64">
        <v>-48.599999999999987</v>
      </c>
      <c r="C99" s="64">
        <v>-0.50624999999999987</v>
      </c>
      <c r="D99" s="69">
        <v>2.0520833333333335</v>
      </c>
      <c r="E99" s="65">
        <v>0.30208333333333331</v>
      </c>
      <c r="F99" s="65">
        <v>0.35416666666666669</v>
      </c>
      <c r="G99" s="65">
        <v>0.28339575530586769</v>
      </c>
      <c r="H99" s="65">
        <v>0.17852684144818975</v>
      </c>
      <c r="I99" s="66">
        <v>9990.7488986784138</v>
      </c>
      <c r="J99" s="66">
        <v>-8548.9510489510485</v>
      </c>
      <c r="K99" s="65">
        <v>0.11458333333333333</v>
      </c>
      <c r="L99" s="65">
        <v>0.14583333333333334</v>
      </c>
      <c r="M99" s="65">
        <v>0.2908863920099875</v>
      </c>
      <c r="N99" s="65">
        <v>0.19475655430711611</v>
      </c>
      <c r="O99" s="65">
        <v>0.5622317596566524</v>
      </c>
      <c r="P99" s="65">
        <v>0.41025641025641024</v>
      </c>
      <c r="Q99" s="65">
        <v>0.40528634361233479</v>
      </c>
    </row>
    <row r="100" spans="1:17" x14ac:dyDescent="0.4">
      <c r="A100" s="67">
        <v>97</v>
      </c>
      <c r="B100" s="64">
        <v>-49.399999999999984</v>
      </c>
      <c r="C100" s="64">
        <v>-0.50927835051546377</v>
      </c>
      <c r="D100" s="69">
        <v>2.0515463917525771</v>
      </c>
      <c r="E100" s="65">
        <v>0.29896907216494845</v>
      </c>
      <c r="F100" s="65">
        <v>0.35051546391752575</v>
      </c>
      <c r="G100" s="65">
        <v>0.28252788104089221</v>
      </c>
      <c r="H100" s="65">
        <v>0.17719950433705081</v>
      </c>
      <c r="I100" s="66">
        <v>9982.0175438596489</v>
      </c>
      <c r="J100" s="66">
        <v>-8548.9510489510485</v>
      </c>
      <c r="K100" s="65">
        <v>0.1134020618556701</v>
      </c>
      <c r="L100" s="65">
        <v>0.14432989690721648</v>
      </c>
      <c r="M100" s="65">
        <v>0.29120198265179675</v>
      </c>
      <c r="N100" s="65">
        <v>0.19454770755885997</v>
      </c>
      <c r="O100" s="65">
        <v>0.5617021276595745</v>
      </c>
      <c r="P100" s="65">
        <v>0.40764331210191085</v>
      </c>
      <c r="Q100" s="65">
        <v>0.40350877192982454</v>
      </c>
    </row>
    <row r="101" spans="1:17" x14ac:dyDescent="0.4">
      <c r="A101" s="67">
        <v>98</v>
      </c>
      <c r="B101" s="64">
        <v>22.600000000000016</v>
      </c>
      <c r="C101" s="64">
        <v>0.23061224489795934</v>
      </c>
      <c r="D101" s="69">
        <v>2.0408163265306123</v>
      </c>
      <c r="E101" s="65">
        <v>0.30612244897959184</v>
      </c>
      <c r="F101" s="65">
        <v>0.34693877551020408</v>
      </c>
      <c r="G101" s="65">
        <v>0.28518518518518521</v>
      </c>
      <c r="H101" s="65">
        <v>0.17654320987654321</v>
      </c>
      <c r="I101" s="66">
        <v>10060.173160173161</v>
      </c>
      <c r="J101" s="66">
        <v>-8548.9510489510485</v>
      </c>
      <c r="K101" s="65">
        <v>0.11224489795918367</v>
      </c>
      <c r="L101" s="65">
        <v>0.15306122448979592</v>
      </c>
      <c r="M101" s="65">
        <v>0.29259259259259257</v>
      </c>
      <c r="N101" s="65">
        <v>0.19382716049382717</v>
      </c>
      <c r="O101" s="65">
        <v>0.56540084388185652</v>
      </c>
      <c r="P101" s="65">
        <v>0.40764331210191085</v>
      </c>
      <c r="Q101" s="65">
        <v>0.40259740259740262</v>
      </c>
    </row>
    <row r="102" spans="1:17" x14ac:dyDescent="0.4">
      <c r="A102" s="67">
        <v>99</v>
      </c>
      <c r="B102" s="64">
        <v>-10.099999999999987</v>
      </c>
      <c r="C102" s="64">
        <v>-0.10202020202020189</v>
      </c>
      <c r="D102" s="69">
        <v>2.0505050505050506</v>
      </c>
      <c r="E102" s="65">
        <v>0.30303030303030304</v>
      </c>
      <c r="F102" s="65">
        <v>0.35353535353535354</v>
      </c>
      <c r="G102" s="65">
        <v>0.28414634146341461</v>
      </c>
      <c r="H102" s="65">
        <v>0.17682926829268292</v>
      </c>
      <c r="I102" s="66">
        <v>10025.321888412018</v>
      </c>
      <c r="J102" s="66">
        <v>-8497.9310344827591</v>
      </c>
      <c r="K102" s="65">
        <v>0.1111111111111111</v>
      </c>
      <c r="L102" s="65">
        <v>0.15151515151515152</v>
      </c>
      <c r="M102" s="65">
        <v>0.28902439024390242</v>
      </c>
      <c r="N102" s="65">
        <v>0.19390243902439025</v>
      </c>
      <c r="O102" s="65">
        <v>0.56540084388185652</v>
      </c>
      <c r="P102" s="65">
        <v>0.41509433962264153</v>
      </c>
      <c r="Q102" s="65">
        <v>0.40772532188841204</v>
      </c>
    </row>
    <row r="103" spans="1:17" x14ac:dyDescent="0.4">
      <c r="A103" s="67">
        <v>100</v>
      </c>
      <c r="B103" s="64">
        <v>-46.699999999999989</v>
      </c>
      <c r="C103" s="64">
        <v>-0.46699999999999986</v>
      </c>
      <c r="D103" s="69">
        <v>2.06</v>
      </c>
      <c r="E103" s="65">
        <v>0.3</v>
      </c>
      <c r="F103" s="65">
        <v>0.36</v>
      </c>
      <c r="G103" s="65">
        <v>0.28226779252110978</v>
      </c>
      <c r="H103" s="65">
        <v>0.1773220747889023</v>
      </c>
      <c r="I103" s="66">
        <v>9999.1452991452988</v>
      </c>
      <c r="J103" s="66">
        <v>-8448.299319727892</v>
      </c>
      <c r="K103" s="65">
        <v>0.11</v>
      </c>
      <c r="L103" s="65">
        <v>0.15</v>
      </c>
      <c r="M103" s="65">
        <v>0.28829915560916769</v>
      </c>
      <c r="N103" s="65">
        <v>0.19662243667068757</v>
      </c>
      <c r="O103" s="65">
        <v>0.56485355648535562</v>
      </c>
      <c r="P103" s="65">
        <v>0.40490797546012269</v>
      </c>
      <c r="Q103" s="65">
        <v>0.40598290598290598</v>
      </c>
    </row>
    <row r="104" spans="1:17" x14ac:dyDescent="0.4">
      <c r="A104" s="67">
        <v>101</v>
      </c>
      <c r="B104" s="64">
        <v>-17.099999999999987</v>
      </c>
      <c r="C104" s="64">
        <v>-0.16930693069306918</v>
      </c>
      <c r="D104" s="69">
        <v>2.0495049504950495</v>
      </c>
      <c r="E104" s="65">
        <v>0.30693069306930693</v>
      </c>
      <c r="F104" s="65">
        <v>0.35643564356435642</v>
      </c>
      <c r="G104" s="65">
        <v>0.28229665071770332</v>
      </c>
      <c r="H104" s="65">
        <v>0.17822966507177032</v>
      </c>
      <c r="I104" s="66">
        <v>10024.576271186441</v>
      </c>
      <c r="J104" s="66">
        <v>-8423.4899328859065</v>
      </c>
      <c r="K104" s="65">
        <v>0.10891089108910891</v>
      </c>
      <c r="L104" s="65">
        <v>0.14851485148514851</v>
      </c>
      <c r="M104" s="65">
        <v>0.28708133971291866</v>
      </c>
      <c r="N104" s="65">
        <v>0.19856459330143542</v>
      </c>
      <c r="O104" s="65">
        <v>0.5625</v>
      </c>
      <c r="P104" s="65">
        <v>0.40361445783132532</v>
      </c>
      <c r="Q104" s="65">
        <v>0.40677966101694918</v>
      </c>
    </row>
    <row r="105" spans="1:17" x14ac:dyDescent="0.4">
      <c r="A105" s="67">
        <v>102</v>
      </c>
      <c r="B105" s="64">
        <v>27.400000000000013</v>
      </c>
      <c r="C105" s="64">
        <v>0.26862745098039226</v>
      </c>
      <c r="D105" s="69">
        <v>2.0392156862745097</v>
      </c>
      <c r="E105" s="65">
        <v>0.31372549019607843</v>
      </c>
      <c r="F105" s="65">
        <v>0.35294117647058826</v>
      </c>
      <c r="G105" s="65">
        <v>0.28436018957345971</v>
      </c>
      <c r="H105" s="65">
        <v>0.17772511848341233</v>
      </c>
      <c r="I105" s="66">
        <v>10017.083333333334</v>
      </c>
      <c r="J105" s="66">
        <v>-8399.3333333333339</v>
      </c>
      <c r="K105" s="65">
        <v>0.10784313725490197</v>
      </c>
      <c r="L105" s="65">
        <v>0.14705882352941177</v>
      </c>
      <c r="M105" s="65">
        <v>0.28554502369668244</v>
      </c>
      <c r="N105" s="65">
        <v>0.1990521327014218</v>
      </c>
      <c r="O105" s="65">
        <v>0.56431535269709543</v>
      </c>
      <c r="P105" s="65">
        <v>0.40476190476190477</v>
      </c>
      <c r="Q105" s="65">
        <v>0.40416666666666667</v>
      </c>
    </row>
    <row r="106" spans="1:17" x14ac:dyDescent="0.4">
      <c r="A106" s="67">
        <v>103</v>
      </c>
      <c r="B106" s="64">
        <v>34.400000000000013</v>
      </c>
      <c r="C106" s="64">
        <v>0.33398058252427199</v>
      </c>
      <c r="D106" s="69">
        <v>2.0388349514563107</v>
      </c>
      <c r="E106" s="65">
        <v>0.31067961165048541</v>
      </c>
      <c r="F106" s="65">
        <v>0.34951456310679613</v>
      </c>
      <c r="G106" s="65">
        <v>0.2847058823529412</v>
      </c>
      <c r="H106" s="65">
        <v>0.17647058823529413</v>
      </c>
      <c r="I106" s="66">
        <v>10000.413223140496</v>
      </c>
      <c r="J106" s="66">
        <v>-8399.3333333333339</v>
      </c>
      <c r="K106" s="65">
        <v>0.10679611650485436</v>
      </c>
      <c r="L106" s="65">
        <v>0.14563106796116504</v>
      </c>
      <c r="M106" s="65">
        <v>0.28352941176470586</v>
      </c>
      <c r="N106" s="65">
        <v>0.1976470588235294</v>
      </c>
      <c r="O106" s="65">
        <v>0.56431535269709543</v>
      </c>
      <c r="P106" s="65">
        <v>0.40476190476190477</v>
      </c>
      <c r="Q106" s="65">
        <v>0.4049586776859504</v>
      </c>
    </row>
    <row r="107" spans="1:17" x14ac:dyDescent="0.4">
      <c r="A107" s="67">
        <v>104</v>
      </c>
      <c r="B107" s="64">
        <v>29.800000000000011</v>
      </c>
      <c r="C107" s="64">
        <v>0.28653846153846163</v>
      </c>
      <c r="D107" s="69">
        <v>2.0384615384615383</v>
      </c>
      <c r="E107" s="65">
        <v>0.30769230769230771</v>
      </c>
      <c r="F107" s="65">
        <v>0.34615384615384615</v>
      </c>
      <c r="G107" s="65">
        <v>0.28587962962962965</v>
      </c>
      <c r="H107" s="65">
        <v>0.17476851851851852</v>
      </c>
      <c r="I107" s="66">
        <v>9887.4493927125513</v>
      </c>
      <c r="J107" s="66">
        <v>-8369.5364238410602</v>
      </c>
      <c r="K107" s="65">
        <v>0.10576923076923077</v>
      </c>
      <c r="L107" s="65">
        <v>0.14423076923076922</v>
      </c>
      <c r="M107" s="65">
        <v>0.28356481481481483</v>
      </c>
      <c r="N107" s="65">
        <v>0.19675925925925927</v>
      </c>
      <c r="O107" s="65">
        <v>0.56326530612244896</v>
      </c>
      <c r="P107" s="65">
        <v>0.4</v>
      </c>
      <c r="Q107" s="65">
        <v>0.40485829959514169</v>
      </c>
    </row>
    <row r="108" spans="1:17" x14ac:dyDescent="0.4">
      <c r="A108" s="67">
        <v>105</v>
      </c>
      <c r="B108" s="64">
        <v>105.00000000000001</v>
      </c>
      <c r="C108" s="64">
        <v>1.0000000000000002</v>
      </c>
      <c r="D108" s="69">
        <v>2.0285714285714285</v>
      </c>
      <c r="E108" s="65">
        <v>0.31428571428571428</v>
      </c>
      <c r="F108" s="65">
        <v>0.34285714285714286</v>
      </c>
      <c r="G108" s="65">
        <v>0.28965517241379313</v>
      </c>
      <c r="H108" s="65">
        <v>0.17471264367816092</v>
      </c>
      <c r="I108" s="66">
        <v>9907.1428571428569</v>
      </c>
      <c r="J108" s="66">
        <v>-8348.6842105263149</v>
      </c>
      <c r="K108" s="65">
        <v>0.10476190476190476</v>
      </c>
      <c r="L108" s="65">
        <v>0.15238095238095239</v>
      </c>
      <c r="M108" s="65">
        <v>0.28620689655172415</v>
      </c>
      <c r="N108" s="65">
        <v>0.19770114942528735</v>
      </c>
      <c r="O108" s="65">
        <v>0.5662650602409639</v>
      </c>
      <c r="P108" s="65">
        <v>0.40697674418604651</v>
      </c>
      <c r="Q108" s="65">
        <v>0.40079365079365081</v>
      </c>
    </row>
    <row r="109" spans="1:17" x14ac:dyDescent="0.4">
      <c r="A109" s="67">
        <v>106</v>
      </c>
      <c r="B109" s="64">
        <v>140.5</v>
      </c>
      <c r="C109" s="64">
        <v>1.3254716981132075</v>
      </c>
      <c r="D109" s="69">
        <v>2.0188679245283021</v>
      </c>
      <c r="E109" s="65">
        <v>0.32075471698113206</v>
      </c>
      <c r="F109" s="65">
        <v>0.33962264150943394</v>
      </c>
      <c r="G109" s="65">
        <v>0.29090909090909089</v>
      </c>
      <c r="H109" s="65">
        <v>0.17613636363636365</v>
      </c>
      <c r="I109" s="66">
        <v>9913.671875</v>
      </c>
      <c r="J109" s="66">
        <v>-8313.5483870967746</v>
      </c>
      <c r="K109" s="65">
        <v>0.10377358490566038</v>
      </c>
      <c r="L109" s="65">
        <v>0.15094339622641509</v>
      </c>
      <c r="M109" s="65">
        <v>0.28409090909090912</v>
      </c>
      <c r="N109" s="65">
        <v>0.19886363636363635</v>
      </c>
      <c r="O109" s="65">
        <v>0.56799999999999995</v>
      </c>
      <c r="P109" s="65">
        <v>0.41714285714285715</v>
      </c>
      <c r="Q109" s="65">
        <v>0.40234375</v>
      </c>
    </row>
    <row r="110" spans="1:17" x14ac:dyDescent="0.4">
      <c r="A110" s="67">
        <v>107</v>
      </c>
      <c r="B110" s="64">
        <v>198.1</v>
      </c>
      <c r="C110" s="64">
        <v>1.8514018691588785</v>
      </c>
      <c r="D110" s="69">
        <v>2.0093457943925235</v>
      </c>
      <c r="E110" s="65">
        <v>0.32710280373831774</v>
      </c>
      <c r="F110" s="65">
        <v>0.3364485981308411</v>
      </c>
      <c r="G110" s="65">
        <v>0.29232505643340856</v>
      </c>
      <c r="H110" s="65">
        <v>0.17494356659142213</v>
      </c>
      <c r="I110" s="66">
        <v>9976.8339768339774</v>
      </c>
      <c r="J110" s="66">
        <v>-8313.5483870967746</v>
      </c>
      <c r="K110" s="65">
        <v>0.10280373831775701</v>
      </c>
      <c r="L110" s="65">
        <v>0.14953271028037382</v>
      </c>
      <c r="M110" s="65">
        <v>0.28329571106094809</v>
      </c>
      <c r="N110" s="65">
        <v>0.19864559819413091</v>
      </c>
      <c r="O110" s="65">
        <v>0.56573705179282874</v>
      </c>
      <c r="P110" s="65">
        <v>0.41477272727272729</v>
      </c>
      <c r="Q110" s="65">
        <v>0.40154440154440152</v>
      </c>
    </row>
    <row r="111" spans="1:17" x14ac:dyDescent="0.4">
      <c r="A111" s="67">
        <v>108</v>
      </c>
      <c r="B111" s="64">
        <v>181</v>
      </c>
      <c r="C111" s="64">
        <v>1.6759259259259258</v>
      </c>
      <c r="D111" s="69">
        <v>2.0092592592592591</v>
      </c>
      <c r="E111" s="65">
        <v>0.32407407407407407</v>
      </c>
      <c r="F111" s="65">
        <v>0.33333333333333331</v>
      </c>
      <c r="G111" s="65">
        <v>0.29208472686733555</v>
      </c>
      <c r="H111" s="65">
        <v>0.17725752508361203</v>
      </c>
      <c r="I111" s="66">
        <v>10000</v>
      </c>
      <c r="J111" s="66">
        <v>-8353.4591194968561</v>
      </c>
      <c r="K111" s="65">
        <v>0.10185185185185185</v>
      </c>
      <c r="L111" s="65">
        <v>0.14814814814814814</v>
      </c>
      <c r="M111" s="65">
        <v>0.28205128205128205</v>
      </c>
      <c r="N111" s="65">
        <v>0.1995540691192865</v>
      </c>
      <c r="O111" s="65">
        <v>0.56916996047430835</v>
      </c>
      <c r="P111" s="65">
        <v>0.40782122905027934</v>
      </c>
      <c r="Q111" s="65">
        <v>0.40458015267175573</v>
      </c>
    </row>
    <row r="112" spans="1:17" x14ac:dyDescent="0.4">
      <c r="A112" s="67">
        <v>109</v>
      </c>
      <c r="B112" s="64">
        <v>167.1</v>
      </c>
      <c r="C112" s="64">
        <v>1.5330275229357797</v>
      </c>
      <c r="D112" s="69">
        <v>2.0091743119266057</v>
      </c>
      <c r="E112" s="65">
        <v>0.32110091743119268</v>
      </c>
      <c r="F112" s="65">
        <v>0.33027522935779818</v>
      </c>
      <c r="G112" s="65">
        <v>0.29074889867841408</v>
      </c>
      <c r="H112" s="65">
        <v>0.17841409691629956</v>
      </c>
      <c r="I112" s="66">
        <v>10022.727272727272</v>
      </c>
      <c r="J112" s="66">
        <v>-8335.1851851851843</v>
      </c>
      <c r="K112" s="65">
        <v>0.10091743119266056</v>
      </c>
      <c r="L112" s="65">
        <v>0.14678899082568808</v>
      </c>
      <c r="M112" s="65">
        <v>0.28303964757709249</v>
      </c>
      <c r="N112" s="65">
        <v>0.19713656387665199</v>
      </c>
      <c r="O112" s="65">
        <v>0.56809338521400776</v>
      </c>
      <c r="P112" s="65">
        <v>0.40782122905027934</v>
      </c>
      <c r="Q112" s="65">
        <v>0.40530303030303028</v>
      </c>
    </row>
    <row r="113" spans="1:17" x14ac:dyDescent="0.4">
      <c r="A113" s="67">
        <v>110</v>
      </c>
      <c r="B113" s="64">
        <v>136.29999999999998</v>
      </c>
      <c r="C113" s="64">
        <v>1.239090909090909</v>
      </c>
      <c r="D113" s="69">
        <v>2.0181818181818181</v>
      </c>
      <c r="E113" s="65">
        <v>0.31818181818181818</v>
      </c>
      <c r="F113" s="65">
        <v>0.33636363636363636</v>
      </c>
      <c r="G113" s="65">
        <v>0.28993435448577681</v>
      </c>
      <c r="H113" s="65">
        <v>0.17833698030634573</v>
      </c>
      <c r="I113" s="66">
        <v>10015.094339622641</v>
      </c>
      <c r="J113" s="66">
        <v>-8357.6687116564426</v>
      </c>
      <c r="K113" s="65">
        <v>0.1</v>
      </c>
      <c r="L113" s="65">
        <v>0.14545454545454545</v>
      </c>
      <c r="M113" s="65">
        <v>0.28336980306345733</v>
      </c>
      <c r="N113" s="65">
        <v>0.19803063457330417</v>
      </c>
      <c r="O113" s="65">
        <v>0.56370656370656369</v>
      </c>
      <c r="P113" s="65">
        <v>0.40883977900552487</v>
      </c>
      <c r="Q113" s="65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02E08-6FDA-43DF-85A8-4C880A5BECE6}">
  <sheetPr codeName="Sheet12"/>
  <dimension ref="A1:Q182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129</v>
      </c>
      <c r="B1" s="68" t="s">
        <v>129</v>
      </c>
      <c r="C1" s="68" t="s">
        <v>129</v>
      </c>
      <c r="D1" s="69" t="s">
        <v>129</v>
      </c>
      <c r="E1" s="68" t="s">
        <v>129</v>
      </c>
      <c r="F1" s="68" t="s">
        <v>129</v>
      </c>
      <c r="G1" s="68" t="s">
        <v>129</v>
      </c>
      <c r="H1" s="68" t="s">
        <v>129</v>
      </c>
      <c r="I1" s="68" t="s">
        <v>129</v>
      </c>
      <c r="J1" s="68" t="s">
        <v>129</v>
      </c>
      <c r="K1" s="68" t="s">
        <v>129</v>
      </c>
      <c r="L1" s="68" t="s">
        <v>129</v>
      </c>
      <c r="M1" s="68" t="s">
        <v>129</v>
      </c>
      <c r="N1" s="68" t="s">
        <v>129</v>
      </c>
      <c r="O1" s="68" t="s">
        <v>129</v>
      </c>
      <c r="P1" s="68" t="s">
        <v>129</v>
      </c>
      <c r="Q1" s="68" t="s">
        <v>129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-40.4</v>
      </c>
      <c r="C4" s="64">
        <v>-40.4</v>
      </c>
      <c r="D4" s="69">
        <v>3</v>
      </c>
      <c r="E4" s="65">
        <v>0</v>
      </c>
      <c r="F4" s="65">
        <v>1</v>
      </c>
      <c r="G4" s="65">
        <v>0.16666666666666666</v>
      </c>
      <c r="H4" s="65">
        <v>0.33333333333333331</v>
      </c>
      <c r="I4" s="66">
        <v>2800</v>
      </c>
      <c r="J4" s="66">
        <v>-7850</v>
      </c>
      <c r="K4" s="65">
        <v>0</v>
      </c>
      <c r="L4" s="65">
        <v>0</v>
      </c>
      <c r="M4" s="65">
        <v>0.16666666666666666</v>
      </c>
      <c r="N4" s="65">
        <v>0.16666666666666666</v>
      </c>
      <c r="O4" s="65">
        <v>1</v>
      </c>
      <c r="P4" s="65">
        <v>0</v>
      </c>
      <c r="Q4" s="65">
        <v>1</v>
      </c>
    </row>
    <row r="5" spans="1:17" x14ac:dyDescent="0.4">
      <c r="A5" s="67">
        <v>2</v>
      </c>
      <c r="B5" s="64">
        <v>-3.3999999999999986</v>
      </c>
      <c r="C5" s="64">
        <v>-1.6999999999999993</v>
      </c>
      <c r="D5" s="69">
        <v>2</v>
      </c>
      <c r="E5" s="65">
        <v>0.5</v>
      </c>
      <c r="F5" s="65">
        <v>0.5</v>
      </c>
      <c r="G5" s="65">
        <v>0.375</v>
      </c>
      <c r="H5" s="65">
        <v>0.25</v>
      </c>
      <c r="I5" s="66">
        <v>7983.333333333333</v>
      </c>
      <c r="J5" s="66">
        <v>-9825</v>
      </c>
      <c r="K5" s="65">
        <v>0</v>
      </c>
      <c r="L5" s="65">
        <v>0</v>
      </c>
      <c r="M5" s="65">
        <v>0.25</v>
      </c>
      <c r="N5" s="65">
        <v>0.25</v>
      </c>
      <c r="O5" s="65">
        <v>1</v>
      </c>
      <c r="P5" s="65">
        <v>0.25</v>
      </c>
      <c r="Q5" s="65">
        <v>0.33333333333333331</v>
      </c>
    </row>
    <row r="6" spans="1:17" x14ac:dyDescent="0.4">
      <c r="A6" s="67">
        <v>3</v>
      </c>
      <c r="B6" s="64">
        <v>-23.099999999999998</v>
      </c>
      <c r="C6" s="64">
        <v>-7.6999999999999993</v>
      </c>
      <c r="D6" s="69">
        <v>2</v>
      </c>
      <c r="E6" s="65">
        <v>0.33333333333333331</v>
      </c>
      <c r="F6" s="65">
        <v>0.33333333333333331</v>
      </c>
      <c r="G6" s="65">
        <v>0.30769230769230771</v>
      </c>
      <c r="H6" s="65">
        <v>0.26923076923076922</v>
      </c>
      <c r="I6" s="66">
        <v>6837.5</v>
      </c>
      <c r="J6" s="66">
        <v>-8471.4285714285706</v>
      </c>
      <c r="K6" s="65">
        <v>0</v>
      </c>
      <c r="L6" s="65">
        <v>0</v>
      </c>
      <c r="M6" s="65">
        <v>0.23076923076923078</v>
      </c>
      <c r="N6" s="65">
        <v>0.30769230769230771</v>
      </c>
      <c r="O6" s="65">
        <v>0.66666666666666663</v>
      </c>
      <c r="P6" s="65">
        <v>0.375</v>
      </c>
      <c r="Q6" s="65">
        <v>0.25</v>
      </c>
    </row>
    <row r="7" spans="1:17" x14ac:dyDescent="0.4">
      <c r="A7" s="67">
        <v>4</v>
      </c>
      <c r="B7" s="64">
        <v>-31.4</v>
      </c>
      <c r="C7" s="64">
        <v>-7.85</v>
      </c>
      <c r="D7" s="69">
        <v>2</v>
      </c>
      <c r="E7" s="65">
        <v>0.25</v>
      </c>
      <c r="F7" s="65">
        <v>0.25</v>
      </c>
      <c r="G7" s="65">
        <v>0.27272727272727271</v>
      </c>
      <c r="H7" s="65">
        <v>0.24242424242424243</v>
      </c>
      <c r="I7" s="66">
        <v>7411.1111111111113</v>
      </c>
      <c r="J7" s="66">
        <v>-8137.5</v>
      </c>
      <c r="K7" s="65">
        <v>0</v>
      </c>
      <c r="L7" s="65">
        <v>0</v>
      </c>
      <c r="M7" s="65">
        <v>0.21212121212121213</v>
      </c>
      <c r="N7" s="65">
        <v>0.24242424242424243</v>
      </c>
      <c r="O7" s="65">
        <v>0.5714285714285714</v>
      </c>
      <c r="P7" s="65">
        <v>0.375</v>
      </c>
      <c r="Q7" s="65">
        <v>0.22222222222222221</v>
      </c>
    </row>
    <row r="8" spans="1:17" x14ac:dyDescent="0.4">
      <c r="A8" s="67">
        <v>5</v>
      </c>
      <c r="B8" s="64">
        <v>-32.199999999999996</v>
      </c>
      <c r="C8" s="64">
        <v>-6.4399999999999995</v>
      </c>
      <c r="D8" s="69">
        <v>2</v>
      </c>
      <c r="E8" s="65">
        <v>0.2</v>
      </c>
      <c r="F8" s="65">
        <v>0.2</v>
      </c>
      <c r="G8" s="65">
        <v>0.30232558139534882</v>
      </c>
      <c r="H8" s="65">
        <v>0.2558139534883721</v>
      </c>
      <c r="I8" s="66">
        <v>7515.3846153846152</v>
      </c>
      <c r="J8" s="66">
        <v>-8627.2727272727279</v>
      </c>
      <c r="K8" s="65">
        <v>0</v>
      </c>
      <c r="L8" s="65">
        <v>0</v>
      </c>
      <c r="M8" s="65">
        <v>0.18604651162790697</v>
      </c>
      <c r="N8" s="65">
        <v>0.18604651162790697</v>
      </c>
      <c r="O8" s="65">
        <v>0.625</v>
      </c>
      <c r="P8" s="65">
        <v>0.375</v>
      </c>
      <c r="Q8" s="65">
        <v>0.30769230769230771</v>
      </c>
    </row>
    <row r="9" spans="1:17" x14ac:dyDescent="0.4">
      <c r="A9" s="67">
        <v>6</v>
      </c>
      <c r="B9" s="64">
        <v>-58.5</v>
      </c>
      <c r="C9" s="64">
        <v>-9.75</v>
      </c>
      <c r="D9" s="69">
        <v>2.1666666666666665</v>
      </c>
      <c r="E9" s="65">
        <v>0.16666666666666666</v>
      </c>
      <c r="F9" s="65">
        <v>0.33333333333333331</v>
      </c>
      <c r="G9" s="65">
        <v>0.28846153846153844</v>
      </c>
      <c r="H9" s="65">
        <v>0.26923076923076922</v>
      </c>
      <c r="I9" s="66">
        <v>7973.333333333333</v>
      </c>
      <c r="J9" s="66">
        <v>-8350</v>
      </c>
      <c r="K9" s="65">
        <v>0</v>
      </c>
      <c r="L9" s="65">
        <v>0</v>
      </c>
      <c r="M9" s="65">
        <v>0.21153846153846154</v>
      </c>
      <c r="N9" s="65">
        <v>0.15384615384615385</v>
      </c>
      <c r="O9" s="65">
        <v>0.63636363636363635</v>
      </c>
      <c r="P9" s="65">
        <v>0.375</v>
      </c>
      <c r="Q9" s="65">
        <v>0.33333333333333331</v>
      </c>
    </row>
    <row r="10" spans="1:17" x14ac:dyDescent="0.4">
      <c r="A10" s="67">
        <v>7</v>
      </c>
      <c r="B10" s="64">
        <v>-116.8</v>
      </c>
      <c r="C10" s="64">
        <v>-16.685714285714287</v>
      </c>
      <c r="D10" s="69">
        <v>2.2857142857142856</v>
      </c>
      <c r="E10" s="65">
        <v>0.14285714285714285</v>
      </c>
      <c r="F10" s="65">
        <v>0.42857142857142855</v>
      </c>
      <c r="G10" s="65">
        <v>0.26785714285714285</v>
      </c>
      <c r="H10" s="65">
        <v>0.2857142857142857</v>
      </c>
      <c r="I10" s="66">
        <v>7973.333333333333</v>
      </c>
      <c r="J10" s="66">
        <v>-9431.25</v>
      </c>
      <c r="K10" s="65">
        <v>0.14285714285714285</v>
      </c>
      <c r="L10" s="65">
        <v>0</v>
      </c>
      <c r="M10" s="65">
        <v>0.21428571428571427</v>
      </c>
      <c r="N10" s="65">
        <v>0.14285714285714285</v>
      </c>
      <c r="O10" s="65">
        <v>0.58333333333333337</v>
      </c>
      <c r="P10" s="65">
        <v>0.375</v>
      </c>
      <c r="Q10" s="65">
        <v>0.33333333333333331</v>
      </c>
    </row>
    <row r="11" spans="1:17" x14ac:dyDescent="0.4">
      <c r="A11" s="67">
        <v>8</v>
      </c>
      <c r="B11" s="64">
        <v>-79.599999999999994</v>
      </c>
      <c r="C11" s="64">
        <v>-9.9499999999999993</v>
      </c>
      <c r="D11" s="69">
        <v>2.125</v>
      </c>
      <c r="E11" s="65">
        <v>0.25</v>
      </c>
      <c r="F11" s="65">
        <v>0.375</v>
      </c>
      <c r="G11" s="65">
        <v>0.2857142857142857</v>
      </c>
      <c r="H11" s="65">
        <v>0.25396825396825395</v>
      </c>
      <c r="I11" s="66">
        <v>7977.7777777777774</v>
      </c>
      <c r="J11" s="66">
        <v>-9431.25</v>
      </c>
      <c r="K11" s="65">
        <v>0.125</v>
      </c>
      <c r="L11" s="65">
        <v>0</v>
      </c>
      <c r="M11" s="65">
        <v>0.23809523809523808</v>
      </c>
      <c r="N11" s="65">
        <v>0.12698412698412698</v>
      </c>
      <c r="O11" s="65">
        <v>0.6</v>
      </c>
      <c r="P11" s="65">
        <v>0.375</v>
      </c>
      <c r="Q11" s="65">
        <v>0.33333333333333331</v>
      </c>
    </row>
    <row r="12" spans="1:17" x14ac:dyDescent="0.4">
      <c r="A12" s="67">
        <v>9</v>
      </c>
      <c r="B12" s="64">
        <v>-127.6</v>
      </c>
      <c r="C12" s="64">
        <v>-14.177777777777777</v>
      </c>
      <c r="D12" s="69">
        <v>2.2222222222222223</v>
      </c>
      <c r="E12" s="65">
        <v>0.22222222222222221</v>
      </c>
      <c r="F12" s="65">
        <v>0.44444444444444442</v>
      </c>
      <c r="G12" s="65">
        <v>0.25333333333333335</v>
      </c>
      <c r="H12" s="65">
        <v>0.24</v>
      </c>
      <c r="I12" s="66">
        <v>7710.5263157894733</v>
      </c>
      <c r="J12" s="66">
        <v>-9244.4444444444453</v>
      </c>
      <c r="K12" s="65">
        <v>0.1111111111111111</v>
      </c>
      <c r="L12" s="65">
        <v>0</v>
      </c>
      <c r="M12" s="65">
        <v>0.24</v>
      </c>
      <c r="N12" s="65">
        <v>0.10666666666666667</v>
      </c>
      <c r="O12" s="65">
        <v>0.55555555555555558</v>
      </c>
      <c r="P12" s="65">
        <v>0.375</v>
      </c>
      <c r="Q12" s="65">
        <v>0.31578947368421051</v>
      </c>
    </row>
    <row r="13" spans="1:17" x14ac:dyDescent="0.4">
      <c r="A13" s="67">
        <v>10</v>
      </c>
      <c r="B13" s="64">
        <v>-231.39999999999998</v>
      </c>
      <c r="C13" s="64">
        <v>-23.139999999999997</v>
      </c>
      <c r="D13" s="69">
        <v>2.2999999999999998</v>
      </c>
      <c r="E13" s="65">
        <v>0.2</v>
      </c>
      <c r="F13" s="65">
        <v>0.5</v>
      </c>
      <c r="G13" s="65">
        <v>0.23595505617977527</v>
      </c>
      <c r="H13" s="65">
        <v>0.25842696629213485</v>
      </c>
      <c r="I13" s="66">
        <v>7928.5714285714284</v>
      </c>
      <c r="J13" s="66">
        <v>-9595.652173913044</v>
      </c>
      <c r="K13" s="65">
        <v>0.2</v>
      </c>
      <c r="L13" s="65">
        <v>0</v>
      </c>
      <c r="M13" s="65">
        <v>0.24719101123595505</v>
      </c>
      <c r="N13" s="65">
        <v>0.10112359550561797</v>
      </c>
      <c r="O13" s="65">
        <v>0.5</v>
      </c>
      <c r="P13" s="65">
        <v>0.44444444444444442</v>
      </c>
      <c r="Q13" s="65">
        <v>0.38095238095238093</v>
      </c>
    </row>
    <row r="14" spans="1:17" x14ac:dyDescent="0.4">
      <c r="A14" s="67">
        <v>11</v>
      </c>
      <c r="B14" s="64">
        <v>-305.89999999999998</v>
      </c>
      <c r="C14" s="64">
        <v>-27.809090909090909</v>
      </c>
      <c r="D14" s="69">
        <v>2.3636363636363638</v>
      </c>
      <c r="E14" s="65">
        <v>0.18181818181818182</v>
      </c>
      <c r="F14" s="65">
        <v>0.54545454545454541</v>
      </c>
      <c r="G14" s="65">
        <v>0.20588235294117646</v>
      </c>
      <c r="H14" s="65">
        <v>0.24509803921568626</v>
      </c>
      <c r="I14" s="66">
        <v>7928.5714285714284</v>
      </c>
      <c r="J14" s="66">
        <v>-9708</v>
      </c>
      <c r="K14" s="65">
        <v>0.27272727272727271</v>
      </c>
      <c r="L14" s="65">
        <v>0</v>
      </c>
      <c r="M14" s="65">
        <v>0.22549019607843138</v>
      </c>
      <c r="N14" s="65">
        <v>9.8039215686274508E-2</v>
      </c>
      <c r="O14" s="65">
        <v>0.47826086956521741</v>
      </c>
      <c r="P14" s="65">
        <v>0.4</v>
      </c>
      <c r="Q14" s="65">
        <v>0.38095238095238093</v>
      </c>
    </row>
    <row r="15" spans="1:17" x14ac:dyDescent="0.4">
      <c r="A15" s="67">
        <v>12</v>
      </c>
      <c r="B15" s="64">
        <v>-337.5</v>
      </c>
      <c r="C15" s="64">
        <v>-28.125</v>
      </c>
      <c r="D15" s="69">
        <v>2.4166666666666665</v>
      </c>
      <c r="E15" s="65">
        <v>0.16666666666666666</v>
      </c>
      <c r="F15" s="65">
        <v>0.58333333333333337</v>
      </c>
      <c r="G15" s="65">
        <v>0.21428571428571427</v>
      </c>
      <c r="H15" s="65">
        <v>0.22321428571428573</v>
      </c>
      <c r="I15" s="66">
        <v>7287.5</v>
      </c>
      <c r="J15" s="66">
        <v>-9708</v>
      </c>
      <c r="K15" s="65">
        <v>0.25</v>
      </c>
      <c r="L15" s="65">
        <v>0</v>
      </c>
      <c r="M15" s="65">
        <v>0.22321428571428573</v>
      </c>
      <c r="N15" s="65">
        <v>8.9285714285714288E-2</v>
      </c>
      <c r="O15" s="65">
        <v>0.48</v>
      </c>
      <c r="P15" s="65">
        <v>0.4</v>
      </c>
      <c r="Q15" s="65">
        <v>0.375</v>
      </c>
    </row>
    <row r="16" spans="1:17" x14ac:dyDescent="0.4">
      <c r="A16" s="67">
        <v>13</v>
      </c>
      <c r="B16" s="64">
        <v>-369.1</v>
      </c>
      <c r="C16" s="64">
        <v>-28.392307692307693</v>
      </c>
      <c r="D16" s="69">
        <v>2.4615384615384617</v>
      </c>
      <c r="E16" s="65">
        <v>0.15384615384615385</v>
      </c>
      <c r="F16" s="65">
        <v>0.61538461538461542</v>
      </c>
      <c r="G16" s="65">
        <v>0.22131147540983606</v>
      </c>
      <c r="H16" s="65">
        <v>0.21311475409836064</v>
      </c>
      <c r="I16" s="66">
        <v>7314.8148148148148</v>
      </c>
      <c r="J16" s="66">
        <v>-9950</v>
      </c>
      <c r="K16" s="65">
        <v>0.23076923076923078</v>
      </c>
      <c r="L16" s="65">
        <v>0</v>
      </c>
      <c r="M16" s="65">
        <v>0.22950819672131148</v>
      </c>
      <c r="N16" s="65">
        <v>9.8360655737704916E-2</v>
      </c>
      <c r="O16" s="65">
        <v>0.5</v>
      </c>
      <c r="P16" s="65">
        <v>0.33333333333333331</v>
      </c>
      <c r="Q16" s="65">
        <v>0.40740740740740738</v>
      </c>
    </row>
    <row r="17" spans="1:17" x14ac:dyDescent="0.4">
      <c r="A17" s="67">
        <v>14</v>
      </c>
      <c r="B17" s="64">
        <v>-394.6</v>
      </c>
      <c r="C17" s="64">
        <v>-28.185714285714287</v>
      </c>
      <c r="D17" s="69">
        <v>2.4285714285714284</v>
      </c>
      <c r="E17" s="65">
        <v>0.14285714285714285</v>
      </c>
      <c r="F17" s="65">
        <v>0.5714285714285714</v>
      </c>
      <c r="G17" s="65">
        <v>0.2109375</v>
      </c>
      <c r="H17" s="65">
        <v>0.21875</v>
      </c>
      <c r="I17" s="66">
        <v>7314.8148148148148</v>
      </c>
      <c r="J17" s="66">
        <v>-9571.4285714285706</v>
      </c>
      <c r="K17" s="65">
        <v>0.21428571428571427</v>
      </c>
      <c r="L17" s="65">
        <v>0</v>
      </c>
      <c r="M17" s="65">
        <v>0.21875</v>
      </c>
      <c r="N17" s="65">
        <v>0.1015625</v>
      </c>
      <c r="O17" s="65">
        <v>0.5</v>
      </c>
      <c r="P17" s="65">
        <v>0.30769230769230771</v>
      </c>
      <c r="Q17" s="65">
        <v>0.40740740740740738</v>
      </c>
    </row>
    <row r="18" spans="1:17" x14ac:dyDescent="0.4">
      <c r="A18" s="67">
        <v>15</v>
      </c>
      <c r="B18" s="64">
        <v>-424.5</v>
      </c>
      <c r="C18" s="64">
        <v>-28.3</v>
      </c>
      <c r="D18" s="69">
        <v>2.4666666666666668</v>
      </c>
      <c r="E18" s="65">
        <v>0.13333333333333333</v>
      </c>
      <c r="F18" s="65">
        <v>0.6</v>
      </c>
      <c r="G18" s="65">
        <v>0.20588235294117646</v>
      </c>
      <c r="H18" s="65">
        <v>0.21323529411764705</v>
      </c>
      <c r="I18" s="66">
        <v>7339.2857142857147</v>
      </c>
      <c r="J18" s="66">
        <v>-9331.0344827586214</v>
      </c>
      <c r="K18" s="65">
        <v>0.2</v>
      </c>
      <c r="L18" s="65">
        <v>0</v>
      </c>
      <c r="M18" s="65">
        <v>0.21323529411764705</v>
      </c>
      <c r="N18" s="65">
        <v>0.11029411764705882</v>
      </c>
      <c r="O18" s="65">
        <v>0.51724137931034486</v>
      </c>
      <c r="P18" s="65">
        <v>0.26666666666666666</v>
      </c>
      <c r="Q18" s="65">
        <v>0.39285714285714285</v>
      </c>
    </row>
    <row r="19" spans="1:17" x14ac:dyDescent="0.4">
      <c r="A19" s="67">
        <v>16</v>
      </c>
      <c r="B19" s="64">
        <v>-472</v>
      </c>
      <c r="C19" s="64">
        <v>-29.5</v>
      </c>
      <c r="D19" s="69">
        <v>2.5</v>
      </c>
      <c r="E19" s="65">
        <v>0.125</v>
      </c>
      <c r="F19" s="65">
        <v>0.625</v>
      </c>
      <c r="G19" s="65">
        <v>0.19594594594594594</v>
      </c>
      <c r="H19" s="65">
        <v>0.20945945945945946</v>
      </c>
      <c r="I19" s="66">
        <v>7362.0689655172409</v>
      </c>
      <c r="J19" s="66">
        <v>-9374.1935483870966</v>
      </c>
      <c r="K19" s="65">
        <v>0.1875</v>
      </c>
      <c r="L19" s="65">
        <v>0</v>
      </c>
      <c r="M19" s="65">
        <v>0.22972972972972974</v>
      </c>
      <c r="N19" s="65">
        <v>0.10810810810810811</v>
      </c>
      <c r="O19" s="65">
        <v>0.47058823529411764</v>
      </c>
      <c r="P19" s="65">
        <v>0.25</v>
      </c>
      <c r="Q19" s="65">
        <v>0.41379310344827586</v>
      </c>
    </row>
    <row r="20" spans="1:17" x14ac:dyDescent="0.4">
      <c r="A20" s="67">
        <v>17</v>
      </c>
      <c r="B20" s="64">
        <v>-538.29999999999995</v>
      </c>
      <c r="C20" s="64">
        <v>-31.664705882352937</v>
      </c>
      <c r="D20" s="69">
        <v>2.5294117647058822</v>
      </c>
      <c r="E20" s="65">
        <v>0.11764705882352941</v>
      </c>
      <c r="F20" s="65">
        <v>0.6470588235294118</v>
      </c>
      <c r="G20" s="65">
        <v>0.18954248366013071</v>
      </c>
      <c r="H20" s="65">
        <v>0.21568627450980393</v>
      </c>
      <c r="I20" s="66">
        <v>7362.0689655172409</v>
      </c>
      <c r="J20" s="66">
        <v>-9654.545454545454</v>
      </c>
      <c r="K20" s="65">
        <v>0.23529411764705882</v>
      </c>
      <c r="L20" s="65">
        <v>0</v>
      </c>
      <c r="M20" s="65">
        <v>0.22875816993464052</v>
      </c>
      <c r="N20" s="65">
        <v>0.11764705882352941</v>
      </c>
      <c r="O20" s="65">
        <v>0.45714285714285713</v>
      </c>
      <c r="P20" s="65">
        <v>0.22222222222222221</v>
      </c>
      <c r="Q20" s="65">
        <v>0.41379310344827586</v>
      </c>
    </row>
    <row r="21" spans="1:17" x14ac:dyDescent="0.4">
      <c r="A21" s="67">
        <v>18</v>
      </c>
      <c r="B21" s="64">
        <v>-537.19999999999993</v>
      </c>
      <c r="C21" s="64">
        <v>-29.844444444444441</v>
      </c>
      <c r="D21" s="69">
        <v>2.5</v>
      </c>
      <c r="E21" s="65">
        <v>0.1111111111111111</v>
      </c>
      <c r="F21" s="65">
        <v>0.61111111111111116</v>
      </c>
      <c r="G21" s="65">
        <v>0.19875776397515527</v>
      </c>
      <c r="H21" s="65">
        <v>0.21739130434782608</v>
      </c>
      <c r="I21" s="66">
        <v>7112.5</v>
      </c>
      <c r="J21" s="66">
        <v>-9422.8571428571431</v>
      </c>
      <c r="K21" s="65">
        <v>0.22222222222222221</v>
      </c>
      <c r="L21" s="65">
        <v>0</v>
      </c>
      <c r="M21" s="65">
        <v>0.24223602484472051</v>
      </c>
      <c r="N21" s="65">
        <v>0.11180124223602485</v>
      </c>
      <c r="O21" s="65">
        <v>0.46153846153846156</v>
      </c>
      <c r="P21" s="65">
        <v>0.22222222222222221</v>
      </c>
      <c r="Q21" s="65">
        <v>0.46875</v>
      </c>
    </row>
    <row r="22" spans="1:17" x14ac:dyDescent="0.4">
      <c r="A22" s="67">
        <v>19</v>
      </c>
      <c r="B22" s="64">
        <v>-569.49999999999989</v>
      </c>
      <c r="C22" s="64">
        <v>-29.973684210526311</v>
      </c>
      <c r="D22" s="69">
        <v>2.5263157894736841</v>
      </c>
      <c r="E22" s="65">
        <v>0.10526315789473684</v>
      </c>
      <c r="F22" s="65">
        <v>0.63157894736842102</v>
      </c>
      <c r="G22" s="65">
        <v>0.19526627218934911</v>
      </c>
      <c r="H22" s="65">
        <v>0.21893491124260356</v>
      </c>
      <c r="I22" s="66">
        <v>7260.606060606061</v>
      </c>
      <c r="J22" s="66">
        <v>-9345.9459459459467</v>
      </c>
      <c r="K22" s="65">
        <v>0.21052631578947367</v>
      </c>
      <c r="L22" s="65">
        <v>0</v>
      </c>
      <c r="M22" s="65">
        <v>0.23668639053254437</v>
      </c>
      <c r="N22" s="65">
        <v>0.11242603550295859</v>
      </c>
      <c r="O22" s="65">
        <v>0.47499999999999998</v>
      </c>
      <c r="P22" s="65">
        <v>0.21052631578947367</v>
      </c>
      <c r="Q22" s="65">
        <v>0.45454545454545453</v>
      </c>
    </row>
    <row r="23" spans="1:17" x14ac:dyDescent="0.4">
      <c r="A23" s="67">
        <v>20</v>
      </c>
      <c r="B23" s="64">
        <v>-632.99999999999989</v>
      </c>
      <c r="C23" s="64">
        <v>-31.649999999999995</v>
      </c>
      <c r="D23" s="69">
        <v>2.5499999999999998</v>
      </c>
      <c r="E23" s="65">
        <v>0.1</v>
      </c>
      <c r="F23" s="65">
        <v>0.65</v>
      </c>
      <c r="G23" s="65">
        <v>0.19075144508670519</v>
      </c>
      <c r="H23" s="65">
        <v>0.22543352601156069</v>
      </c>
      <c r="I23" s="66">
        <v>7260.606060606061</v>
      </c>
      <c r="J23" s="66">
        <v>-9892.3076923076915</v>
      </c>
      <c r="K23" s="65">
        <v>0.25</v>
      </c>
      <c r="L23" s="65">
        <v>0</v>
      </c>
      <c r="M23" s="65">
        <v>0.23121387283236994</v>
      </c>
      <c r="N23" s="65">
        <v>0.11560693641618497</v>
      </c>
      <c r="O23" s="65">
        <v>0.47499999999999998</v>
      </c>
      <c r="P23" s="65">
        <v>0.2</v>
      </c>
      <c r="Q23" s="65">
        <v>0.45454545454545453</v>
      </c>
    </row>
    <row r="24" spans="1:17" x14ac:dyDescent="0.4">
      <c r="A24" s="67">
        <v>21</v>
      </c>
      <c r="B24" s="64">
        <v>-629.49999999999989</v>
      </c>
      <c r="C24" s="64">
        <v>-29.976190476190471</v>
      </c>
      <c r="D24" s="69">
        <v>2.5238095238095237</v>
      </c>
      <c r="E24" s="65">
        <v>9.5238095238095233E-2</v>
      </c>
      <c r="F24" s="65">
        <v>0.61904761904761907</v>
      </c>
      <c r="G24" s="65">
        <v>0.18994413407821228</v>
      </c>
      <c r="H24" s="65">
        <v>0.21787709497206703</v>
      </c>
      <c r="I24" s="66">
        <v>7282.3529411764703</v>
      </c>
      <c r="J24" s="66">
        <v>-9892.3076923076915</v>
      </c>
      <c r="K24" s="65">
        <v>0.23809523809523808</v>
      </c>
      <c r="L24" s="65">
        <v>0</v>
      </c>
      <c r="M24" s="65">
        <v>0.24022346368715083</v>
      </c>
      <c r="N24" s="65">
        <v>0.11731843575418995</v>
      </c>
      <c r="O24" s="65">
        <v>0.46511627906976744</v>
      </c>
      <c r="P24" s="65">
        <v>0.19047619047619047</v>
      </c>
      <c r="Q24" s="65">
        <v>0.47058823529411764</v>
      </c>
    </row>
    <row r="25" spans="1:17" x14ac:dyDescent="0.4">
      <c r="A25" s="67">
        <v>22</v>
      </c>
      <c r="B25" s="64">
        <v>-670.19999999999993</v>
      </c>
      <c r="C25" s="64">
        <v>-30.463636363636361</v>
      </c>
      <c r="D25" s="69">
        <v>2.5454545454545454</v>
      </c>
      <c r="E25" s="65">
        <v>9.0909090909090912E-2</v>
      </c>
      <c r="F25" s="65">
        <v>0.63636363636363635</v>
      </c>
      <c r="G25" s="65">
        <v>0.18817204301075269</v>
      </c>
      <c r="H25" s="65">
        <v>0.22043010752688172</v>
      </c>
      <c r="I25" s="66">
        <v>7302.8571428571431</v>
      </c>
      <c r="J25" s="66">
        <v>-9748.7804878048773</v>
      </c>
      <c r="K25" s="65">
        <v>0.22727272727272727</v>
      </c>
      <c r="L25" s="65">
        <v>0</v>
      </c>
      <c r="M25" s="65">
        <v>0.24193548387096775</v>
      </c>
      <c r="N25" s="65">
        <v>0.11827956989247312</v>
      </c>
      <c r="O25" s="65">
        <v>0.46666666666666667</v>
      </c>
      <c r="P25" s="65">
        <v>0.18181818181818182</v>
      </c>
      <c r="Q25" s="65">
        <v>0.48571428571428571</v>
      </c>
    </row>
    <row r="26" spans="1:17" x14ac:dyDescent="0.4">
      <c r="A26" s="67">
        <v>23</v>
      </c>
      <c r="B26" s="64">
        <v>-737.19999999999993</v>
      </c>
      <c r="C26" s="64">
        <v>-32.052173913043475</v>
      </c>
      <c r="D26" s="69">
        <v>2.5652173913043477</v>
      </c>
      <c r="E26" s="65">
        <v>8.6956521739130432E-2</v>
      </c>
      <c r="F26" s="65">
        <v>0.65217391304347827</v>
      </c>
      <c r="G26" s="65">
        <v>0.18324607329842932</v>
      </c>
      <c r="H26" s="65">
        <v>0.21989528795811519</v>
      </c>
      <c r="I26" s="66">
        <v>7302.8571428571431</v>
      </c>
      <c r="J26" s="66">
        <v>-9802.3809523809523</v>
      </c>
      <c r="K26" s="65">
        <v>0.2608695652173913</v>
      </c>
      <c r="L26" s="65">
        <v>0</v>
      </c>
      <c r="M26" s="65">
        <v>0.2356020942408377</v>
      </c>
      <c r="N26" s="65">
        <v>0.11518324607329843</v>
      </c>
      <c r="O26" s="65">
        <v>0.46666666666666667</v>
      </c>
      <c r="P26" s="65">
        <v>0.18181818181818182</v>
      </c>
      <c r="Q26" s="65">
        <v>0.48571428571428571</v>
      </c>
    </row>
    <row r="27" spans="1:17" x14ac:dyDescent="0.4">
      <c r="A27" s="67">
        <v>24</v>
      </c>
      <c r="B27" s="64">
        <v>-817.09999999999991</v>
      </c>
      <c r="C27" s="64">
        <v>-34.045833333333327</v>
      </c>
      <c r="D27" s="69">
        <v>2.5833333333333335</v>
      </c>
      <c r="E27" s="65">
        <v>8.3333333333333329E-2</v>
      </c>
      <c r="F27" s="65">
        <v>0.66666666666666663</v>
      </c>
      <c r="G27" s="65">
        <v>0.18181818181818182</v>
      </c>
      <c r="H27" s="65">
        <v>0.21717171717171718</v>
      </c>
      <c r="I27" s="66">
        <v>7600</v>
      </c>
      <c r="J27" s="66">
        <v>-10690.697674418605</v>
      </c>
      <c r="K27" s="65">
        <v>0.29166666666666669</v>
      </c>
      <c r="L27" s="65">
        <v>0</v>
      </c>
      <c r="M27" s="65">
        <v>0.23737373737373738</v>
      </c>
      <c r="N27" s="65">
        <v>0.11616161616161616</v>
      </c>
      <c r="O27" s="65">
        <v>0.46808510638297873</v>
      </c>
      <c r="P27" s="65">
        <v>0.17391304347826086</v>
      </c>
      <c r="Q27" s="65">
        <v>0.47222222222222221</v>
      </c>
    </row>
    <row r="28" spans="1:17" x14ac:dyDescent="0.4">
      <c r="A28" s="67">
        <v>25</v>
      </c>
      <c r="B28" s="64">
        <v>-783.69999999999993</v>
      </c>
      <c r="C28" s="64">
        <v>-31.347999999999999</v>
      </c>
      <c r="D28" s="69">
        <v>2.52</v>
      </c>
      <c r="E28" s="65">
        <v>0.12</v>
      </c>
      <c r="F28" s="65">
        <v>0.64</v>
      </c>
      <c r="G28" s="65">
        <v>0.1941747572815534</v>
      </c>
      <c r="H28" s="65">
        <v>0.21844660194174756</v>
      </c>
      <c r="I28" s="66">
        <v>7672.5</v>
      </c>
      <c r="J28" s="66">
        <v>-10695.555555555555</v>
      </c>
      <c r="K28" s="65">
        <v>0.28000000000000003</v>
      </c>
      <c r="L28" s="65">
        <v>0</v>
      </c>
      <c r="M28" s="65">
        <v>0.24757281553398058</v>
      </c>
      <c r="N28" s="65">
        <v>0.11165048543689321</v>
      </c>
      <c r="O28" s="65">
        <v>0.49019607843137253</v>
      </c>
      <c r="P28" s="65">
        <v>0.17391304347826086</v>
      </c>
      <c r="Q28" s="65">
        <v>0.5</v>
      </c>
    </row>
    <row r="29" spans="1:17" x14ac:dyDescent="0.4">
      <c r="A29" s="67">
        <v>26</v>
      </c>
      <c r="B29" s="64">
        <v>-818.49999999999989</v>
      </c>
      <c r="C29" s="64">
        <v>-31.480769230769226</v>
      </c>
      <c r="D29" s="69">
        <v>2.5384615384615383</v>
      </c>
      <c r="E29" s="65">
        <v>0.11538461538461539</v>
      </c>
      <c r="F29" s="65">
        <v>0.65384615384615385</v>
      </c>
      <c r="G29" s="65">
        <v>0.19339622641509435</v>
      </c>
      <c r="H29" s="65">
        <v>0.22641509433962265</v>
      </c>
      <c r="I29" s="66">
        <v>7680.4878048780483</v>
      </c>
      <c r="J29" s="66">
        <v>-10462.5</v>
      </c>
      <c r="K29" s="65">
        <v>0.26923076923076922</v>
      </c>
      <c r="L29" s="65">
        <v>0</v>
      </c>
      <c r="M29" s="65">
        <v>0.24528301886792453</v>
      </c>
      <c r="N29" s="65">
        <v>0.12264150943396226</v>
      </c>
      <c r="O29" s="65">
        <v>0.5</v>
      </c>
      <c r="P29" s="65">
        <v>0.15384615384615385</v>
      </c>
      <c r="Q29" s="65">
        <v>0.51219512195121952</v>
      </c>
    </row>
    <row r="30" spans="1:17" x14ac:dyDescent="0.4">
      <c r="A30" s="67">
        <v>27</v>
      </c>
      <c r="B30" s="64">
        <v>-876.19999999999993</v>
      </c>
      <c r="C30" s="64">
        <v>-32.451851851851849</v>
      </c>
      <c r="D30" s="69">
        <v>2.5555555555555554</v>
      </c>
      <c r="E30" s="65">
        <v>0.1111111111111111</v>
      </c>
      <c r="F30" s="65">
        <v>0.66666666666666663</v>
      </c>
      <c r="G30" s="65">
        <v>0.18468468468468469</v>
      </c>
      <c r="H30" s="65">
        <v>0.22972972972972974</v>
      </c>
      <c r="I30" s="66">
        <v>7680.4878048780483</v>
      </c>
      <c r="J30" s="66">
        <v>-10100</v>
      </c>
      <c r="K30" s="65">
        <v>0.29629629629629628</v>
      </c>
      <c r="L30" s="65">
        <v>0</v>
      </c>
      <c r="M30" s="65">
        <v>0.24324324324324326</v>
      </c>
      <c r="N30" s="65">
        <v>0.13513513513513514</v>
      </c>
      <c r="O30" s="65">
        <v>0.48148148148148145</v>
      </c>
      <c r="P30" s="65">
        <v>0.13333333333333333</v>
      </c>
      <c r="Q30" s="65">
        <v>0.51219512195121952</v>
      </c>
    </row>
    <row r="31" spans="1:17" x14ac:dyDescent="0.4">
      <c r="A31" s="67">
        <v>28</v>
      </c>
      <c r="B31" s="64">
        <v>-931.09999999999991</v>
      </c>
      <c r="C31" s="64">
        <v>-33.253571428571426</v>
      </c>
      <c r="D31" s="69">
        <v>2.5714285714285716</v>
      </c>
      <c r="E31" s="65">
        <v>0.10714285714285714</v>
      </c>
      <c r="F31" s="65">
        <v>0.6785714285714286</v>
      </c>
      <c r="G31" s="65">
        <v>0.1774891774891775</v>
      </c>
      <c r="H31" s="65">
        <v>0.22077922077922077</v>
      </c>
      <c r="I31" s="66">
        <v>7680.4878048780483</v>
      </c>
      <c r="J31" s="66">
        <v>-10100</v>
      </c>
      <c r="K31" s="65">
        <v>0.2857142857142857</v>
      </c>
      <c r="L31" s="65">
        <v>0</v>
      </c>
      <c r="M31" s="65">
        <v>0.23809523809523808</v>
      </c>
      <c r="N31" s="65">
        <v>0.12987012987012986</v>
      </c>
      <c r="O31" s="65">
        <v>0.47272727272727272</v>
      </c>
      <c r="P31" s="65">
        <v>0.13333333333333333</v>
      </c>
      <c r="Q31" s="65">
        <v>0.51219512195121952</v>
      </c>
    </row>
    <row r="32" spans="1:17" x14ac:dyDescent="0.4">
      <c r="A32" s="67">
        <v>29</v>
      </c>
      <c r="B32" s="64">
        <v>-908.69999999999993</v>
      </c>
      <c r="C32" s="64">
        <v>-31.334482758620688</v>
      </c>
      <c r="D32" s="69">
        <v>2.5172413793103448</v>
      </c>
      <c r="E32" s="65">
        <v>0.13793103448275862</v>
      </c>
      <c r="F32" s="65">
        <v>0.65517241379310343</v>
      </c>
      <c r="G32" s="65">
        <v>0.1875</v>
      </c>
      <c r="H32" s="65">
        <v>0.22083333333333333</v>
      </c>
      <c r="I32" s="66">
        <v>7648.8888888888887</v>
      </c>
      <c r="J32" s="66">
        <v>-9890.566037735849</v>
      </c>
      <c r="K32" s="65">
        <v>0.27586206896551724</v>
      </c>
      <c r="L32" s="65">
        <v>0</v>
      </c>
      <c r="M32" s="65">
        <v>0.24583333333333332</v>
      </c>
      <c r="N32" s="65">
        <v>0.125</v>
      </c>
      <c r="O32" s="65">
        <v>0.47457627118644069</v>
      </c>
      <c r="P32" s="65">
        <v>0.13333333333333333</v>
      </c>
      <c r="Q32" s="65">
        <v>0.55555555555555558</v>
      </c>
    </row>
    <row r="33" spans="1:17" x14ac:dyDescent="0.4">
      <c r="A33" s="67">
        <v>30</v>
      </c>
      <c r="B33" s="64">
        <v>-826.8</v>
      </c>
      <c r="C33" s="64">
        <v>-27.56</v>
      </c>
      <c r="D33" s="69">
        <v>2.4666666666666668</v>
      </c>
      <c r="E33" s="65">
        <v>0.16666666666666666</v>
      </c>
      <c r="F33" s="65">
        <v>0.6333333333333333</v>
      </c>
      <c r="G33" s="65">
        <v>0.19678714859437751</v>
      </c>
      <c r="H33" s="65">
        <v>0.21285140562248997</v>
      </c>
      <c r="I33" s="66">
        <v>8695.9183673469379</v>
      </c>
      <c r="J33" s="66">
        <v>-9890.566037735849</v>
      </c>
      <c r="K33" s="65">
        <v>0.26666666666666666</v>
      </c>
      <c r="L33" s="65">
        <v>3.3333333333333333E-2</v>
      </c>
      <c r="M33" s="65">
        <v>0.24899598393574296</v>
      </c>
      <c r="N33" s="65">
        <v>0.12449799196787148</v>
      </c>
      <c r="O33" s="65">
        <v>0.5</v>
      </c>
      <c r="P33" s="65">
        <v>0.12903225806451613</v>
      </c>
      <c r="Q33" s="65">
        <v>0.53061224489795922</v>
      </c>
    </row>
    <row r="34" spans="1:17" x14ac:dyDescent="0.4">
      <c r="A34" s="67">
        <v>31</v>
      </c>
      <c r="B34" s="64">
        <v>-835.69999999999993</v>
      </c>
      <c r="C34" s="64">
        <v>-26.958064516129031</v>
      </c>
      <c r="D34" s="69">
        <v>2.4516129032258065</v>
      </c>
      <c r="E34" s="65">
        <v>0.16129032258064516</v>
      </c>
      <c r="F34" s="65">
        <v>0.61290322580645162</v>
      </c>
      <c r="G34" s="65">
        <v>0.19607843137254902</v>
      </c>
      <c r="H34" s="65">
        <v>0.20784313725490197</v>
      </c>
      <c r="I34" s="66">
        <v>8564</v>
      </c>
      <c r="J34" s="66">
        <v>-9890.566037735849</v>
      </c>
      <c r="K34" s="65">
        <v>0.25806451612903225</v>
      </c>
      <c r="L34" s="65">
        <v>3.2258064516129031E-2</v>
      </c>
      <c r="M34" s="65">
        <v>0.24705882352941178</v>
      </c>
      <c r="N34" s="65">
        <v>0.12549019607843137</v>
      </c>
      <c r="O34" s="65">
        <v>0.49206349206349204</v>
      </c>
      <c r="P34" s="65">
        <v>0.15625</v>
      </c>
      <c r="Q34" s="65">
        <v>0.54</v>
      </c>
    </row>
    <row r="35" spans="1:17" x14ac:dyDescent="0.4">
      <c r="A35" s="67">
        <v>32</v>
      </c>
      <c r="B35" s="64">
        <v>-838.69999999999993</v>
      </c>
      <c r="C35" s="64">
        <v>-26.209374999999998</v>
      </c>
      <c r="D35" s="69">
        <v>2.4375</v>
      </c>
      <c r="E35" s="65">
        <v>0.15625</v>
      </c>
      <c r="F35" s="65">
        <v>0.59375</v>
      </c>
      <c r="G35" s="65">
        <v>0.19548872180451127</v>
      </c>
      <c r="H35" s="65">
        <v>0.19924812030075187</v>
      </c>
      <c r="I35" s="66">
        <v>8513.461538461539</v>
      </c>
      <c r="J35" s="66">
        <v>-9890.566037735849</v>
      </c>
      <c r="K35" s="65">
        <v>0.25</v>
      </c>
      <c r="L35" s="65">
        <v>3.125E-2</v>
      </c>
      <c r="M35" s="65">
        <v>0.24436090225563908</v>
      </c>
      <c r="N35" s="65">
        <v>0.13909774436090225</v>
      </c>
      <c r="O35" s="65">
        <v>0.47692307692307695</v>
      </c>
      <c r="P35" s="65">
        <v>0.1891891891891892</v>
      </c>
      <c r="Q35" s="65">
        <v>0.51923076923076927</v>
      </c>
    </row>
    <row r="36" spans="1:17" x14ac:dyDescent="0.4">
      <c r="A36" s="67">
        <v>33</v>
      </c>
      <c r="B36" s="64">
        <v>-878.19999999999993</v>
      </c>
      <c r="C36" s="64">
        <v>-26.61212121212121</v>
      </c>
      <c r="D36" s="69">
        <v>2.4545454545454546</v>
      </c>
      <c r="E36" s="65">
        <v>0.15151515151515152</v>
      </c>
      <c r="F36" s="65">
        <v>0.60606060606060608</v>
      </c>
      <c r="G36" s="65">
        <v>0.19708029197080293</v>
      </c>
      <c r="H36" s="65">
        <v>0.19708029197080293</v>
      </c>
      <c r="I36" s="66">
        <v>8348.1481481481478</v>
      </c>
      <c r="J36" s="66">
        <v>-9922.2222222222226</v>
      </c>
      <c r="K36" s="65">
        <v>0.24242424242424243</v>
      </c>
      <c r="L36" s="65">
        <v>3.0303030303030304E-2</v>
      </c>
      <c r="M36" s="65">
        <v>0.24087591240875914</v>
      </c>
      <c r="N36" s="65">
        <v>0.145985401459854</v>
      </c>
      <c r="O36" s="65">
        <v>0.46969696969696972</v>
      </c>
      <c r="P36" s="65">
        <v>0.17499999999999999</v>
      </c>
      <c r="Q36" s="65">
        <v>0.53703703703703709</v>
      </c>
    </row>
    <row r="37" spans="1:17" x14ac:dyDescent="0.4">
      <c r="A37" s="67">
        <v>34</v>
      </c>
      <c r="B37" s="64">
        <v>-833.19999999999993</v>
      </c>
      <c r="C37" s="64">
        <v>-24.505882352941175</v>
      </c>
      <c r="D37" s="69">
        <v>2.4117647058823528</v>
      </c>
      <c r="E37" s="65">
        <v>0.17647058823529413</v>
      </c>
      <c r="F37" s="65">
        <v>0.58823529411764708</v>
      </c>
      <c r="G37" s="65">
        <v>0.20143884892086331</v>
      </c>
      <c r="H37" s="65">
        <v>0.19424460431654678</v>
      </c>
      <c r="I37" s="66">
        <v>8514.2857142857138</v>
      </c>
      <c r="J37" s="66">
        <v>-9922.2222222222226</v>
      </c>
      <c r="K37" s="65">
        <v>0.23529411764705882</v>
      </c>
      <c r="L37" s="65">
        <v>5.8823529411764705E-2</v>
      </c>
      <c r="M37" s="65">
        <v>0.24820143884892087</v>
      </c>
      <c r="N37" s="65">
        <v>0.14388489208633093</v>
      </c>
      <c r="O37" s="65">
        <v>0.47826086956521741</v>
      </c>
      <c r="P37" s="65">
        <v>0.17499999999999999</v>
      </c>
      <c r="Q37" s="65">
        <v>0.5357142857142857</v>
      </c>
    </row>
    <row r="38" spans="1:17" x14ac:dyDescent="0.4">
      <c r="A38" s="67">
        <v>35</v>
      </c>
      <c r="B38" s="64">
        <v>-815.59999999999991</v>
      </c>
      <c r="C38" s="64">
        <v>-23.302857142857139</v>
      </c>
      <c r="D38" s="69">
        <v>2.4</v>
      </c>
      <c r="E38" s="65">
        <v>0.17142857142857143</v>
      </c>
      <c r="F38" s="65">
        <v>0.5714285714285714</v>
      </c>
      <c r="G38" s="65">
        <v>0.20494699646643111</v>
      </c>
      <c r="H38" s="65">
        <v>0.19434628975265017</v>
      </c>
      <c r="I38" s="66">
        <v>8679.310344827587</v>
      </c>
      <c r="J38" s="66">
        <v>-9960</v>
      </c>
      <c r="K38" s="65">
        <v>0.22857142857142856</v>
      </c>
      <c r="L38" s="65">
        <v>5.7142857142857141E-2</v>
      </c>
      <c r="M38" s="65">
        <v>0.25088339222614842</v>
      </c>
      <c r="N38" s="65">
        <v>0.14487632508833923</v>
      </c>
      <c r="O38" s="65">
        <v>0.49295774647887325</v>
      </c>
      <c r="P38" s="65">
        <v>0.17073170731707318</v>
      </c>
      <c r="Q38" s="65">
        <v>0.51724137931034486</v>
      </c>
    </row>
    <row r="39" spans="1:17" x14ac:dyDescent="0.4">
      <c r="A39" s="67">
        <v>36</v>
      </c>
      <c r="B39" s="64">
        <v>-783.49999999999989</v>
      </c>
      <c r="C39" s="64">
        <v>-21.763888888888886</v>
      </c>
      <c r="D39" s="69">
        <v>2.3611111111111112</v>
      </c>
      <c r="E39" s="65">
        <v>0.19444444444444445</v>
      </c>
      <c r="F39" s="65">
        <v>0.55555555555555558</v>
      </c>
      <c r="G39" s="65">
        <v>0.21232876712328766</v>
      </c>
      <c r="H39" s="65">
        <v>0.19178082191780821</v>
      </c>
      <c r="I39" s="66">
        <v>8551.6129032258068</v>
      </c>
      <c r="J39" s="66">
        <v>-9875</v>
      </c>
      <c r="K39" s="65">
        <v>0.22222222222222221</v>
      </c>
      <c r="L39" s="65">
        <v>5.5555555555555552E-2</v>
      </c>
      <c r="M39" s="65">
        <v>0.25342465753424659</v>
      </c>
      <c r="N39" s="65">
        <v>0.14726027397260275</v>
      </c>
      <c r="O39" s="65">
        <v>0.51351351351351349</v>
      </c>
      <c r="P39" s="65">
        <v>0.18604651162790697</v>
      </c>
      <c r="Q39" s="65">
        <v>0.5</v>
      </c>
    </row>
    <row r="40" spans="1:17" x14ac:dyDescent="0.4">
      <c r="A40" s="67">
        <v>37</v>
      </c>
      <c r="B40" s="64">
        <v>-826.89999999999986</v>
      </c>
      <c r="C40" s="64">
        <v>-22.348648648648645</v>
      </c>
      <c r="D40" s="69">
        <v>2.3783783783783785</v>
      </c>
      <c r="E40" s="65">
        <v>0.1891891891891892</v>
      </c>
      <c r="F40" s="65">
        <v>0.56756756756756754</v>
      </c>
      <c r="G40" s="65">
        <v>0.21</v>
      </c>
      <c r="H40" s="65">
        <v>0.19333333333333333</v>
      </c>
      <c r="I40" s="66">
        <v>8457.1428571428569</v>
      </c>
      <c r="J40" s="66">
        <v>-9810.3448275862065</v>
      </c>
      <c r="K40" s="65">
        <v>0.21621621621621623</v>
      </c>
      <c r="L40" s="65">
        <v>5.4054054054054057E-2</v>
      </c>
      <c r="M40" s="65">
        <v>0.24666666666666667</v>
      </c>
      <c r="N40" s="65">
        <v>0.14666666666666667</v>
      </c>
      <c r="O40" s="65">
        <v>0.51351351351351349</v>
      </c>
      <c r="P40" s="65">
        <v>0.18181818181818182</v>
      </c>
      <c r="Q40" s="65">
        <v>0.49206349206349204</v>
      </c>
    </row>
    <row r="41" spans="1:17" x14ac:dyDescent="0.4">
      <c r="A41" s="67">
        <v>38</v>
      </c>
      <c r="B41" s="64">
        <v>-829.99999999999989</v>
      </c>
      <c r="C41" s="64">
        <v>-21.84210526315789</v>
      </c>
      <c r="D41" s="69">
        <v>2.3684210526315788</v>
      </c>
      <c r="E41" s="65">
        <v>0.18421052631578946</v>
      </c>
      <c r="F41" s="65">
        <v>0.55263157894736847</v>
      </c>
      <c r="G41" s="65">
        <v>0.21035598705501618</v>
      </c>
      <c r="H41" s="65">
        <v>0.1941747572815534</v>
      </c>
      <c r="I41" s="66">
        <v>8566.1538461538457</v>
      </c>
      <c r="J41" s="66">
        <v>-9846.6666666666661</v>
      </c>
      <c r="K41" s="65">
        <v>0.21052631578947367</v>
      </c>
      <c r="L41" s="65">
        <v>5.2631578947368418E-2</v>
      </c>
      <c r="M41" s="65">
        <v>0.24919093851132687</v>
      </c>
      <c r="N41" s="65">
        <v>0.14563106796116504</v>
      </c>
      <c r="O41" s="65">
        <v>0.50649350649350644</v>
      </c>
      <c r="P41" s="65">
        <v>0.2</v>
      </c>
      <c r="Q41" s="65">
        <v>0.50769230769230766</v>
      </c>
    </row>
    <row r="42" spans="1:17" x14ac:dyDescent="0.4">
      <c r="A42" s="67">
        <v>39</v>
      </c>
      <c r="B42" s="64">
        <v>-786.29999999999984</v>
      </c>
      <c r="C42" s="64">
        <v>-20.161538461538459</v>
      </c>
      <c r="D42" s="69">
        <v>2.3333333333333335</v>
      </c>
      <c r="E42" s="65">
        <v>0.20512820512820512</v>
      </c>
      <c r="F42" s="65">
        <v>0.53846153846153844</v>
      </c>
      <c r="G42" s="65">
        <v>0.21766561514195584</v>
      </c>
      <c r="H42" s="65">
        <v>0.19242902208201892</v>
      </c>
      <c r="I42" s="66">
        <v>8724.63768115942</v>
      </c>
      <c r="J42" s="66">
        <v>-9816.3934426229516</v>
      </c>
      <c r="K42" s="65">
        <v>0.20512820512820512</v>
      </c>
      <c r="L42" s="65">
        <v>5.128205128205128E-2</v>
      </c>
      <c r="M42" s="65">
        <v>0.24921135646687698</v>
      </c>
      <c r="N42" s="65">
        <v>0.14826498422712933</v>
      </c>
      <c r="O42" s="65">
        <v>0.51898734177215189</v>
      </c>
      <c r="P42" s="65">
        <v>0.21276595744680851</v>
      </c>
      <c r="Q42" s="65">
        <v>0.49275362318840582</v>
      </c>
    </row>
    <row r="43" spans="1:17" x14ac:dyDescent="0.4">
      <c r="A43" s="67">
        <v>40</v>
      </c>
      <c r="B43" s="64">
        <v>-820.5999999999998</v>
      </c>
      <c r="C43" s="64">
        <v>-20.514999999999993</v>
      </c>
      <c r="D43" s="69">
        <v>2.35</v>
      </c>
      <c r="E43" s="65">
        <v>0.2</v>
      </c>
      <c r="F43" s="65">
        <v>0.55000000000000004</v>
      </c>
      <c r="G43" s="65">
        <v>0.21362229102167182</v>
      </c>
      <c r="H43" s="65">
        <v>0.19504643962848298</v>
      </c>
      <c r="I43" s="66">
        <v>8724.63768115942</v>
      </c>
      <c r="J43" s="66">
        <v>-9663.4920634920636</v>
      </c>
      <c r="K43" s="65">
        <v>0.2</v>
      </c>
      <c r="L43" s="65">
        <v>0.05</v>
      </c>
      <c r="M43" s="65">
        <v>0.25077399380804954</v>
      </c>
      <c r="N43" s="65">
        <v>0.15170278637770898</v>
      </c>
      <c r="O43" s="65">
        <v>0.50617283950617287</v>
      </c>
      <c r="P43" s="65">
        <v>0.20408163265306123</v>
      </c>
      <c r="Q43" s="65">
        <v>0.49275362318840582</v>
      </c>
    </row>
    <row r="44" spans="1:17" x14ac:dyDescent="0.4">
      <c r="A44" s="67">
        <v>41</v>
      </c>
      <c r="B44" s="64">
        <v>-859.49999999999977</v>
      </c>
      <c r="C44" s="64">
        <v>-20.963414634146336</v>
      </c>
      <c r="D44" s="69">
        <v>2.3658536585365852</v>
      </c>
      <c r="E44" s="65">
        <v>0.1951219512195122</v>
      </c>
      <c r="F44" s="65">
        <v>0.56097560975609762</v>
      </c>
      <c r="G44" s="65">
        <v>0.21212121212121213</v>
      </c>
      <c r="H44" s="65">
        <v>0.19696969696969696</v>
      </c>
      <c r="I44" s="66">
        <v>8714.2857142857138</v>
      </c>
      <c r="J44" s="66">
        <v>-9587.6923076923085</v>
      </c>
      <c r="K44" s="65">
        <v>0.1951219512195122</v>
      </c>
      <c r="L44" s="65">
        <v>4.878048780487805E-2</v>
      </c>
      <c r="M44" s="65">
        <v>0.24848484848484848</v>
      </c>
      <c r="N44" s="65">
        <v>0.15151515151515152</v>
      </c>
      <c r="O44" s="65">
        <v>0.51219512195121952</v>
      </c>
      <c r="P44" s="65">
        <v>0.2</v>
      </c>
      <c r="Q44" s="65">
        <v>0.48571428571428571</v>
      </c>
    </row>
    <row r="45" spans="1:17" x14ac:dyDescent="0.4">
      <c r="A45" s="67">
        <v>42</v>
      </c>
      <c r="B45" s="64">
        <v>-828.89999999999975</v>
      </c>
      <c r="C45" s="64">
        <v>-19.73571428571428</v>
      </c>
      <c r="D45" s="69">
        <v>2.3333333333333335</v>
      </c>
      <c r="E45" s="65">
        <v>0.21428571428571427</v>
      </c>
      <c r="F45" s="65">
        <v>0.54761904761904767</v>
      </c>
      <c r="G45" s="65">
        <v>0.21301775147928995</v>
      </c>
      <c r="H45" s="65">
        <v>0.19526627218934911</v>
      </c>
      <c r="I45" s="66">
        <v>8750</v>
      </c>
      <c r="J45" s="66">
        <v>-9530.30303030303</v>
      </c>
      <c r="K45" s="65">
        <v>0.19047619047619047</v>
      </c>
      <c r="L45" s="65">
        <v>4.7619047619047616E-2</v>
      </c>
      <c r="M45" s="65">
        <v>0.24852071005917159</v>
      </c>
      <c r="N45" s="65">
        <v>0.15384615384615385</v>
      </c>
      <c r="O45" s="65">
        <v>0.52380952380952384</v>
      </c>
      <c r="P45" s="65">
        <v>0.19230769230769232</v>
      </c>
      <c r="Q45" s="65">
        <v>0.5</v>
      </c>
    </row>
    <row r="46" spans="1:17" x14ac:dyDescent="0.4">
      <c r="A46" s="67">
        <v>43</v>
      </c>
      <c r="B46" s="64">
        <v>-787.1999999999997</v>
      </c>
      <c r="C46" s="64">
        <v>-18.306976744186041</v>
      </c>
      <c r="D46" s="69">
        <v>2.3023255813953489</v>
      </c>
      <c r="E46" s="65">
        <v>0.23255813953488372</v>
      </c>
      <c r="F46" s="65">
        <v>0.53488372093023251</v>
      </c>
      <c r="G46" s="65">
        <v>0.21511627906976744</v>
      </c>
      <c r="H46" s="65">
        <v>0.19186046511627908</v>
      </c>
      <c r="I46" s="66">
        <v>8890.54054054054</v>
      </c>
      <c r="J46" s="66">
        <v>-9530.30303030303</v>
      </c>
      <c r="K46" s="65">
        <v>0.18604651162790697</v>
      </c>
      <c r="L46" s="65">
        <v>6.9767441860465115E-2</v>
      </c>
      <c r="M46" s="65">
        <v>0.24709302325581395</v>
      </c>
      <c r="N46" s="65">
        <v>0.15697674418604651</v>
      </c>
      <c r="O46" s="65">
        <v>0.52941176470588236</v>
      </c>
      <c r="P46" s="65">
        <v>0.20370370370370369</v>
      </c>
      <c r="Q46" s="65">
        <v>0.48648648648648651</v>
      </c>
    </row>
    <row r="47" spans="1:17" x14ac:dyDescent="0.4">
      <c r="A47" s="67">
        <v>44</v>
      </c>
      <c r="B47" s="64">
        <v>-744.79999999999973</v>
      </c>
      <c r="C47" s="64">
        <v>-16.927272727272722</v>
      </c>
      <c r="D47" s="69">
        <v>2.2727272727272729</v>
      </c>
      <c r="E47" s="65">
        <v>0.25</v>
      </c>
      <c r="F47" s="65">
        <v>0.52272727272727271</v>
      </c>
      <c r="G47" s="65">
        <v>0.22033898305084745</v>
      </c>
      <c r="H47" s="65">
        <v>0.19491525423728814</v>
      </c>
      <c r="I47" s="66">
        <v>8953.8461538461543</v>
      </c>
      <c r="J47" s="66">
        <v>-9349.2753623188401</v>
      </c>
      <c r="K47" s="65">
        <v>0.18181818181818182</v>
      </c>
      <c r="L47" s="65">
        <v>9.0909090909090912E-2</v>
      </c>
      <c r="M47" s="65">
        <v>0.25423728813559321</v>
      </c>
      <c r="N47" s="65">
        <v>0.15819209039548024</v>
      </c>
      <c r="O47" s="65">
        <v>0.53333333333333333</v>
      </c>
      <c r="P47" s="65">
        <v>0.19642857142857142</v>
      </c>
      <c r="Q47" s="65">
        <v>0.5</v>
      </c>
    </row>
    <row r="48" spans="1:17" x14ac:dyDescent="0.4">
      <c r="A48" s="67">
        <v>45</v>
      </c>
      <c r="B48" s="64">
        <v>-784.89999999999975</v>
      </c>
      <c r="C48" s="64">
        <v>-17.442222222222217</v>
      </c>
      <c r="D48" s="69">
        <v>2.2888888888888888</v>
      </c>
      <c r="E48" s="65">
        <v>0.24444444444444444</v>
      </c>
      <c r="F48" s="65">
        <v>0.53333333333333333</v>
      </c>
      <c r="G48" s="65">
        <v>0.21944444444444444</v>
      </c>
      <c r="H48" s="65">
        <v>0.2</v>
      </c>
      <c r="I48" s="66">
        <v>8865.8227848101269</v>
      </c>
      <c r="J48" s="66">
        <v>-9261.1111111111113</v>
      </c>
      <c r="K48" s="65">
        <v>0.17777777777777778</v>
      </c>
      <c r="L48" s="65">
        <v>8.8888888888888892E-2</v>
      </c>
      <c r="M48" s="65">
        <v>0.25555555555555554</v>
      </c>
      <c r="N48" s="65">
        <v>0.15833333333333333</v>
      </c>
      <c r="O48" s="65">
        <v>0.53260869565217395</v>
      </c>
      <c r="P48" s="65">
        <v>0.19298245614035087</v>
      </c>
      <c r="Q48" s="65">
        <v>0.49367088607594939</v>
      </c>
    </row>
    <row r="49" spans="1:17" x14ac:dyDescent="0.4">
      <c r="A49" s="67">
        <v>46</v>
      </c>
      <c r="B49" s="64">
        <v>-738.89999999999975</v>
      </c>
      <c r="C49" s="64">
        <v>-16.063043478260862</v>
      </c>
      <c r="D49" s="69">
        <v>2.2608695652173911</v>
      </c>
      <c r="E49" s="65">
        <v>0.2608695652173913</v>
      </c>
      <c r="F49" s="65">
        <v>0.52173913043478259</v>
      </c>
      <c r="G49" s="65">
        <v>0.22191780821917809</v>
      </c>
      <c r="H49" s="65">
        <v>0.19726027397260273</v>
      </c>
      <c r="I49" s="66">
        <v>9091.3580246913589</v>
      </c>
      <c r="J49" s="66">
        <v>-9261.1111111111113</v>
      </c>
      <c r="K49" s="65">
        <v>0.17391304347826086</v>
      </c>
      <c r="L49" s="65">
        <v>0.10869565217391304</v>
      </c>
      <c r="M49" s="65">
        <v>0.25479452054794521</v>
      </c>
      <c r="N49" s="65">
        <v>0.15890410958904111</v>
      </c>
      <c r="O49" s="65">
        <v>0.5376344086021505</v>
      </c>
      <c r="P49" s="65">
        <v>0.20689655172413793</v>
      </c>
      <c r="Q49" s="65">
        <v>0.48148148148148145</v>
      </c>
    </row>
    <row r="50" spans="1:17" x14ac:dyDescent="0.4">
      <c r="A50" s="67">
        <v>47</v>
      </c>
      <c r="B50" s="64">
        <v>-740.99999999999977</v>
      </c>
      <c r="C50" s="64">
        <v>-15.765957446808505</v>
      </c>
      <c r="D50" s="69">
        <v>2.2553191489361701</v>
      </c>
      <c r="E50" s="65">
        <v>0.25531914893617019</v>
      </c>
      <c r="F50" s="65">
        <v>0.51063829787234039</v>
      </c>
      <c r="G50" s="65">
        <v>0.21983914209115282</v>
      </c>
      <c r="H50" s="65">
        <v>0.19839142091152814</v>
      </c>
      <c r="I50" s="66">
        <v>9126.8292682926822</v>
      </c>
      <c r="J50" s="66">
        <v>-9081.0810810810817</v>
      </c>
      <c r="K50" s="65">
        <v>0.1702127659574468</v>
      </c>
      <c r="L50" s="65">
        <v>0.10638297872340426</v>
      </c>
      <c r="M50" s="65">
        <v>0.26005361930294907</v>
      </c>
      <c r="N50" s="65">
        <v>0.15549597855227881</v>
      </c>
      <c r="O50" s="65">
        <v>0.52577319587628868</v>
      </c>
      <c r="P50" s="65">
        <v>0.20689655172413793</v>
      </c>
      <c r="Q50" s="65">
        <v>0.48780487804878048</v>
      </c>
    </row>
    <row r="51" spans="1:17" x14ac:dyDescent="0.4">
      <c r="A51" s="67">
        <v>48</v>
      </c>
      <c r="B51" s="64">
        <v>-699.39999999999975</v>
      </c>
      <c r="C51" s="64">
        <v>-14.570833333333328</v>
      </c>
      <c r="D51" s="69">
        <v>2.2291666666666665</v>
      </c>
      <c r="E51" s="65">
        <v>0.27083333333333331</v>
      </c>
      <c r="F51" s="65">
        <v>0.5</v>
      </c>
      <c r="G51" s="65">
        <v>0.22105263157894736</v>
      </c>
      <c r="H51" s="65">
        <v>0.19473684210526315</v>
      </c>
      <c r="I51" s="66">
        <v>9145.2380952380954</v>
      </c>
      <c r="J51" s="66">
        <v>-9081.0810810810817</v>
      </c>
      <c r="K51" s="65">
        <v>0.16666666666666666</v>
      </c>
      <c r="L51" s="65">
        <v>0.125</v>
      </c>
      <c r="M51" s="65">
        <v>0.25526315789473686</v>
      </c>
      <c r="N51" s="65">
        <v>0.15526315789473685</v>
      </c>
      <c r="O51" s="65">
        <v>0.52577319587628868</v>
      </c>
      <c r="P51" s="65">
        <v>0.22033898305084745</v>
      </c>
      <c r="Q51" s="65">
        <v>0.48809523809523808</v>
      </c>
    </row>
    <row r="52" spans="1:17" x14ac:dyDescent="0.4">
      <c r="A52" s="67">
        <v>49</v>
      </c>
      <c r="B52" s="64">
        <v>-715.0999999999998</v>
      </c>
      <c r="C52" s="64">
        <v>-14.593877551020404</v>
      </c>
      <c r="D52" s="69">
        <v>2.2244897959183674</v>
      </c>
      <c r="E52" s="65">
        <v>0.26530612244897961</v>
      </c>
      <c r="F52" s="65">
        <v>0.48979591836734693</v>
      </c>
      <c r="G52" s="65">
        <v>0.22474747474747475</v>
      </c>
      <c r="H52" s="65">
        <v>0.19191919191919191</v>
      </c>
      <c r="I52" s="66">
        <v>9132.5842696629206</v>
      </c>
      <c r="J52" s="66">
        <v>-9038.1578947368416</v>
      </c>
      <c r="K52" s="65">
        <v>0.16326530612244897</v>
      </c>
      <c r="L52" s="65">
        <v>0.12244897959183673</v>
      </c>
      <c r="M52" s="65">
        <v>0.26010101010101011</v>
      </c>
      <c r="N52" s="65">
        <v>0.15404040404040403</v>
      </c>
      <c r="O52" s="65">
        <v>0.52427184466019416</v>
      </c>
      <c r="P52" s="65">
        <v>0.22950819672131148</v>
      </c>
      <c r="Q52" s="65">
        <v>0.4943820224719101</v>
      </c>
    </row>
    <row r="53" spans="1:17" x14ac:dyDescent="0.4">
      <c r="A53" s="67">
        <v>50</v>
      </c>
      <c r="B53" s="64">
        <v>-774.29999999999984</v>
      </c>
      <c r="C53" s="64">
        <v>-15.485999999999997</v>
      </c>
      <c r="D53" s="69">
        <v>2.2400000000000002</v>
      </c>
      <c r="E53" s="65">
        <v>0.26</v>
      </c>
      <c r="F53" s="65">
        <v>0.5</v>
      </c>
      <c r="G53" s="65">
        <v>0.22167487684729065</v>
      </c>
      <c r="H53" s="65">
        <v>0.19458128078817735</v>
      </c>
      <c r="I53" s="66">
        <v>9074.4444444444453</v>
      </c>
      <c r="J53" s="66">
        <v>-8943.0379746835442</v>
      </c>
      <c r="K53" s="65">
        <v>0.18</v>
      </c>
      <c r="L53" s="65">
        <v>0.12</v>
      </c>
      <c r="M53" s="65">
        <v>0.2536945812807882</v>
      </c>
      <c r="N53" s="65">
        <v>0.15270935960591134</v>
      </c>
      <c r="O53" s="65">
        <v>0.52427184466019416</v>
      </c>
      <c r="P53" s="65">
        <v>0.24193548387096775</v>
      </c>
      <c r="Q53" s="65">
        <v>0.48888888888888887</v>
      </c>
    </row>
    <row r="54" spans="1:17" x14ac:dyDescent="0.4">
      <c r="A54" s="67">
        <v>51</v>
      </c>
      <c r="B54" s="64">
        <v>-830.79999999999984</v>
      </c>
      <c r="C54" s="64">
        <v>-16.290196078431368</v>
      </c>
      <c r="D54" s="69">
        <v>2.2549019607843137</v>
      </c>
      <c r="E54" s="65">
        <v>0.25490196078431371</v>
      </c>
      <c r="F54" s="65">
        <v>0.50980392156862742</v>
      </c>
      <c r="G54" s="65">
        <v>0.22168674698795179</v>
      </c>
      <c r="H54" s="65">
        <v>0.19759036144578312</v>
      </c>
      <c r="I54" s="66">
        <v>8998.9130434782601</v>
      </c>
      <c r="J54" s="66">
        <v>-8996.3414634146338</v>
      </c>
      <c r="K54" s="65">
        <v>0.19607843137254902</v>
      </c>
      <c r="L54" s="65">
        <v>0.11764705882352941</v>
      </c>
      <c r="M54" s="65">
        <v>0.25542168674698795</v>
      </c>
      <c r="N54" s="65">
        <v>0.15421686746987953</v>
      </c>
      <c r="O54" s="65">
        <v>0.51886792452830188</v>
      </c>
      <c r="P54" s="65">
        <v>0.234375</v>
      </c>
      <c r="Q54" s="65">
        <v>0.4891304347826087</v>
      </c>
    </row>
    <row r="55" spans="1:17" x14ac:dyDescent="0.4">
      <c r="A55" s="67">
        <v>52</v>
      </c>
      <c r="B55" s="64">
        <v>-837.5999999999998</v>
      </c>
      <c r="C55" s="64">
        <v>-16.107692307692304</v>
      </c>
      <c r="D55" s="69">
        <v>2.25</v>
      </c>
      <c r="E55" s="65">
        <v>0.25</v>
      </c>
      <c r="F55" s="65">
        <v>0.5</v>
      </c>
      <c r="G55" s="65">
        <v>0.22405660377358491</v>
      </c>
      <c r="H55" s="65">
        <v>0.19811320754716982</v>
      </c>
      <c r="I55" s="66">
        <v>9006.3157894736851</v>
      </c>
      <c r="J55" s="66">
        <v>-9016.6666666666661</v>
      </c>
      <c r="K55" s="65">
        <v>0.19230769230769232</v>
      </c>
      <c r="L55" s="65">
        <v>0.11538461538461539</v>
      </c>
      <c r="M55" s="65">
        <v>0.25471698113207547</v>
      </c>
      <c r="N55" s="65">
        <v>0.15566037735849056</v>
      </c>
      <c r="O55" s="65">
        <v>0.51851851851851849</v>
      </c>
      <c r="P55" s="65">
        <v>0.25757575757575757</v>
      </c>
      <c r="Q55" s="65">
        <v>0.48421052631578948</v>
      </c>
    </row>
    <row r="56" spans="1:17" x14ac:dyDescent="0.4">
      <c r="A56" s="67">
        <v>53</v>
      </c>
      <c r="B56" s="64">
        <v>-843.69999999999982</v>
      </c>
      <c r="C56" s="64">
        <v>-15.918867924528298</v>
      </c>
      <c r="D56" s="69">
        <v>2.2452830188679247</v>
      </c>
      <c r="E56" s="65">
        <v>0.24528301886792453</v>
      </c>
      <c r="F56" s="65">
        <v>0.49056603773584906</v>
      </c>
      <c r="G56" s="65">
        <v>0.22401847575057737</v>
      </c>
      <c r="H56" s="65">
        <v>0.19861431870669746</v>
      </c>
      <c r="I56" s="66">
        <v>8926.8041237113393</v>
      </c>
      <c r="J56" s="66">
        <v>-8963.9534883720935</v>
      </c>
      <c r="K56" s="65">
        <v>0.18867924528301888</v>
      </c>
      <c r="L56" s="65">
        <v>0.11320754716981132</v>
      </c>
      <c r="M56" s="65">
        <v>0.25173210161662818</v>
      </c>
      <c r="N56" s="65">
        <v>0.15704387990762125</v>
      </c>
      <c r="O56" s="65">
        <v>0.52293577981651373</v>
      </c>
      <c r="P56" s="65">
        <v>0.25</v>
      </c>
      <c r="Q56" s="65">
        <v>0.47422680412371132</v>
      </c>
    </row>
    <row r="57" spans="1:17" x14ac:dyDescent="0.4">
      <c r="A57" s="67">
        <v>54</v>
      </c>
      <c r="B57" s="64">
        <v>-902.89999999999986</v>
      </c>
      <c r="C57" s="64">
        <v>-16.720370370370368</v>
      </c>
      <c r="D57" s="69">
        <v>2.2592592592592591</v>
      </c>
      <c r="E57" s="65">
        <v>0.24074074074074073</v>
      </c>
      <c r="F57" s="65">
        <v>0.5</v>
      </c>
      <c r="G57" s="65">
        <v>0.22247706422018348</v>
      </c>
      <c r="H57" s="65">
        <v>0.20412844036697247</v>
      </c>
      <c r="I57" s="66">
        <v>8926.8041237113393</v>
      </c>
      <c r="J57" s="66">
        <v>-9068.5393258426975</v>
      </c>
      <c r="K57" s="65">
        <v>0.20370370370370369</v>
      </c>
      <c r="L57" s="65">
        <v>0.1111111111111111</v>
      </c>
      <c r="M57" s="65">
        <v>0.25</v>
      </c>
      <c r="N57" s="65">
        <v>0.15825688073394495</v>
      </c>
      <c r="O57" s="65">
        <v>0.52293577981651373</v>
      </c>
      <c r="P57" s="65">
        <v>0.24637681159420291</v>
      </c>
      <c r="Q57" s="65">
        <v>0.47422680412371132</v>
      </c>
    </row>
    <row r="58" spans="1:17" x14ac:dyDescent="0.4">
      <c r="A58" s="67">
        <v>55</v>
      </c>
      <c r="B58" s="64">
        <v>-835.19999999999982</v>
      </c>
      <c r="C58" s="64">
        <v>-15.185454545454542</v>
      </c>
      <c r="D58" s="69">
        <v>2.2363636363636363</v>
      </c>
      <c r="E58" s="65">
        <v>0.25454545454545452</v>
      </c>
      <c r="F58" s="65">
        <v>0.49090909090909091</v>
      </c>
      <c r="G58" s="65">
        <v>0.22902494331065759</v>
      </c>
      <c r="H58" s="65">
        <v>0.20181405895691609</v>
      </c>
      <c r="I58" s="66">
        <v>8911.8811881188121</v>
      </c>
      <c r="J58" s="66">
        <v>-9068.5393258426975</v>
      </c>
      <c r="K58" s="65">
        <v>0.2</v>
      </c>
      <c r="L58" s="65">
        <v>0.12727272727272726</v>
      </c>
      <c r="M58" s="65">
        <v>0.25396825396825395</v>
      </c>
      <c r="N58" s="65">
        <v>0.15646258503401361</v>
      </c>
      <c r="O58" s="65">
        <v>0.5267857142857143</v>
      </c>
      <c r="P58" s="65">
        <v>0.24637681159420291</v>
      </c>
      <c r="Q58" s="65">
        <v>0.46534653465346537</v>
      </c>
    </row>
    <row r="59" spans="1:17" x14ac:dyDescent="0.4">
      <c r="A59" s="67">
        <v>56</v>
      </c>
      <c r="B59" s="64">
        <v>-865.69999999999982</v>
      </c>
      <c r="C59" s="64">
        <v>-15.458928571428569</v>
      </c>
      <c r="D59" s="69">
        <v>2.25</v>
      </c>
      <c r="E59" s="65">
        <v>0.25</v>
      </c>
      <c r="F59" s="65">
        <v>0.5</v>
      </c>
      <c r="G59" s="65">
        <v>0.22538293216630198</v>
      </c>
      <c r="H59" s="65">
        <v>0.19693654266958424</v>
      </c>
      <c r="I59" s="66">
        <v>8971.8446601941741</v>
      </c>
      <c r="J59" s="66">
        <v>-8996.6666666666661</v>
      </c>
      <c r="K59" s="65">
        <v>0.19642857142857142</v>
      </c>
      <c r="L59" s="65">
        <v>0.125</v>
      </c>
      <c r="M59" s="65">
        <v>0.25601750547045954</v>
      </c>
      <c r="N59" s="65">
        <v>0.15536105032822758</v>
      </c>
      <c r="O59" s="65">
        <v>0.51282051282051277</v>
      </c>
      <c r="P59" s="65">
        <v>0.23943661971830985</v>
      </c>
      <c r="Q59" s="65">
        <v>0.47572815533980584</v>
      </c>
    </row>
    <row r="60" spans="1:17" x14ac:dyDescent="0.4">
      <c r="A60" s="67">
        <v>57</v>
      </c>
      <c r="B60" s="64">
        <v>-858.49999999999977</v>
      </c>
      <c r="C60" s="64">
        <v>-15.061403508771926</v>
      </c>
      <c r="D60" s="69">
        <v>2.2456140350877192</v>
      </c>
      <c r="E60" s="65">
        <v>0.24561403508771928</v>
      </c>
      <c r="F60" s="65">
        <v>0.49122807017543857</v>
      </c>
      <c r="G60" s="65">
        <v>0.22698072805139186</v>
      </c>
      <c r="H60" s="65">
        <v>0.19486081370449679</v>
      </c>
      <c r="I60" s="66">
        <v>9033.9622641509432</v>
      </c>
      <c r="J60" s="66">
        <v>-9095.6043956043959</v>
      </c>
      <c r="K60" s="65">
        <v>0.19298245614035087</v>
      </c>
      <c r="L60" s="65">
        <v>0.12280701754385964</v>
      </c>
      <c r="M60" s="65">
        <v>0.2569593147751606</v>
      </c>
      <c r="N60" s="65">
        <v>0.15631691648822268</v>
      </c>
      <c r="O60" s="65">
        <v>0.51666666666666672</v>
      </c>
      <c r="P60" s="65">
        <v>0.24657534246575341</v>
      </c>
      <c r="Q60" s="65">
        <v>0.48113207547169812</v>
      </c>
    </row>
    <row r="61" spans="1:17" x14ac:dyDescent="0.4">
      <c r="A61" s="67">
        <v>58</v>
      </c>
      <c r="B61" s="64">
        <v>-877.29999999999973</v>
      </c>
      <c r="C61" s="64">
        <v>-15.125862068965512</v>
      </c>
      <c r="D61" s="69">
        <v>2.2413793103448274</v>
      </c>
      <c r="E61" s="65">
        <v>0.2413793103448276</v>
      </c>
      <c r="F61" s="65">
        <v>0.48275862068965519</v>
      </c>
      <c r="G61" s="65">
        <v>0.22669491525423729</v>
      </c>
      <c r="H61" s="65">
        <v>0.19279661016949154</v>
      </c>
      <c r="I61" s="66">
        <v>8998.1308411214959</v>
      </c>
      <c r="J61" s="66">
        <v>-9095.6043956043959</v>
      </c>
      <c r="K61" s="65">
        <v>0.18965517241379309</v>
      </c>
      <c r="L61" s="65">
        <v>0.1206896551724138</v>
      </c>
      <c r="M61" s="65">
        <v>0.26059322033898308</v>
      </c>
      <c r="N61" s="65">
        <v>0.15466101694915255</v>
      </c>
      <c r="O61" s="65">
        <v>0.51219512195121952</v>
      </c>
      <c r="P61" s="65">
        <v>0.24657534246575341</v>
      </c>
      <c r="Q61" s="65">
        <v>0.47663551401869159</v>
      </c>
    </row>
    <row r="62" spans="1:17" x14ac:dyDescent="0.4">
      <c r="A62" s="67">
        <v>59</v>
      </c>
      <c r="B62" s="64">
        <v>-940.6999999999997</v>
      </c>
      <c r="C62" s="64">
        <v>-15.944067796610165</v>
      </c>
      <c r="D62" s="69">
        <v>2.2542372881355934</v>
      </c>
      <c r="E62" s="65">
        <v>0.23728813559322035</v>
      </c>
      <c r="F62" s="65">
        <v>0.49152542372881358</v>
      </c>
      <c r="G62" s="65">
        <v>0.22641509433962265</v>
      </c>
      <c r="H62" s="65">
        <v>0.19287211740041929</v>
      </c>
      <c r="I62" s="66">
        <v>9025.9259259259252</v>
      </c>
      <c r="J62" s="66">
        <v>-9518.4782608695659</v>
      </c>
      <c r="K62" s="65">
        <v>0.20338983050847459</v>
      </c>
      <c r="L62" s="65">
        <v>0.11864406779661017</v>
      </c>
      <c r="M62" s="65">
        <v>0.25995807127882598</v>
      </c>
      <c r="N62" s="65">
        <v>0.15513626834381553</v>
      </c>
      <c r="O62" s="65">
        <v>0.5161290322580645</v>
      </c>
      <c r="P62" s="65">
        <v>0.24324324324324326</v>
      </c>
      <c r="Q62" s="65">
        <v>0.47222222222222221</v>
      </c>
    </row>
    <row r="63" spans="1:17" x14ac:dyDescent="0.4">
      <c r="A63" s="67">
        <v>60</v>
      </c>
      <c r="B63" s="64">
        <v>-960.99999999999966</v>
      </c>
      <c r="C63" s="64">
        <v>-16.016666666666662</v>
      </c>
      <c r="D63" s="69">
        <v>2.25</v>
      </c>
      <c r="E63" s="65">
        <v>0.23333333333333334</v>
      </c>
      <c r="F63" s="65">
        <v>0.48333333333333334</v>
      </c>
      <c r="G63" s="65">
        <v>0.22810590631364563</v>
      </c>
      <c r="H63" s="65">
        <v>0.19144602851323828</v>
      </c>
      <c r="I63" s="66">
        <v>8980.3571428571431</v>
      </c>
      <c r="J63" s="66">
        <v>-9602.1276595744675</v>
      </c>
      <c r="K63" s="65">
        <v>0.2</v>
      </c>
      <c r="L63" s="65">
        <v>0.11666666666666667</v>
      </c>
      <c r="M63" s="65">
        <v>0.26069246435845211</v>
      </c>
      <c r="N63" s="65">
        <v>0.15885947046843177</v>
      </c>
      <c r="O63" s="65">
        <v>0.515625</v>
      </c>
      <c r="P63" s="65">
        <v>0.24358974358974358</v>
      </c>
      <c r="Q63" s="65">
        <v>0.49107142857142855</v>
      </c>
    </row>
    <row r="64" spans="1:17" x14ac:dyDescent="0.4">
      <c r="A64" s="67">
        <v>61</v>
      </c>
      <c r="B64" s="64">
        <v>-924.1999999999997</v>
      </c>
      <c r="C64" s="64">
        <v>-15.150819672131142</v>
      </c>
      <c r="D64" s="69">
        <v>2.2295081967213113</v>
      </c>
      <c r="E64" s="65">
        <v>0.24590163934426229</v>
      </c>
      <c r="F64" s="65">
        <v>0.47540983606557374</v>
      </c>
      <c r="G64" s="65">
        <v>0.2289156626506024</v>
      </c>
      <c r="H64" s="65">
        <v>0.19277108433734941</v>
      </c>
      <c r="I64" s="66">
        <v>9149.1228070175439</v>
      </c>
      <c r="J64" s="66">
        <v>-9593.75</v>
      </c>
      <c r="K64" s="65">
        <v>0.19672131147540983</v>
      </c>
      <c r="L64" s="65">
        <v>0.11475409836065574</v>
      </c>
      <c r="M64" s="65">
        <v>0.26506024096385544</v>
      </c>
      <c r="N64" s="65">
        <v>0.16265060240963855</v>
      </c>
      <c r="O64" s="65">
        <v>0.51515151515151514</v>
      </c>
      <c r="P64" s="65">
        <v>0.23456790123456789</v>
      </c>
      <c r="Q64" s="65">
        <v>0.49122807017543857</v>
      </c>
    </row>
    <row r="65" spans="1:17" x14ac:dyDescent="0.4">
      <c r="A65" s="67">
        <v>62</v>
      </c>
      <c r="B65" s="64">
        <v>-970.09999999999968</v>
      </c>
      <c r="C65" s="64">
        <v>-15.646774193548382</v>
      </c>
      <c r="D65" s="69">
        <v>2.2419354838709675</v>
      </c>
      <c r="E65" s="65">
        <v>0.24193548387096775</v>
      </c>
      <c r="F65" s="65">
        <v>0.4838709677419355</v>
      </c>
      <c r="G65" s="65">
        <v>0.22593320235756384</v>
      </c>
      <c r="H65" s="65">
        <v>0.19646365422396855</v>
      </c>
      <c r="I65" s="66">
        <v>9173.9130434782601</v>
      </c>
      <c r="J65" s="66">
        <v>-9394</v>
      </c>
      <c r="K65" s="65">
        <v>0.19354838709677419</v>
      </c>
      <c r="L65" s="65">
        <v>0.11290322580645161</v>
      </c>
      <c r="M65" s="65">
        <v>0.26719056974459726</v>
      </c>
      <c r="N65" s="65">
        <v>0.16502946954813361</v>
      </c>
      <c r="O65" s="65">
        <v>0.50735294117647056</v>
      </c>
      <c r="P65" s="65">
        <v>0.22619047619047619</v>
      </c>
      <c r="Q65" s="65">
        <v>0.4956521739130435</v>
      </c>
    </row>
    <row r="66" spans="1:17" x14ac:dyDescent="0.4">
      <c r="A66" s="67">
        <v>63</v>
      </c>
      <c r="B66" s="64">
        <v>-1013.0999999999997</v>
      </c>
      <c r="C66" s="64">
        <v>-16.080952380952375</v>
      </c>
      <c r="D66" s="69">
        <v>2.253968253968254</v>
      </c>
      <c r="E66" s="65">
        <v>0.23809523809523808</v>
      </c>
      <c r="F66" s="65">
        <v>0.49206349206349204</v>
      </c>
      <c r="G66" s="65">
        <v>0.22605363984674329</v>
      </c>
      <c r="H66" s="65">
        <v>0.19731800766283525</v>
      </c>
      <c r="I66" s="66">
        <v>9178.8135593220341</v>
      </c>
      <c r="J66" s="66">
        <v>-9572.8155339805817</v>
      </c>
      <c r="K66" s="65">
        <v>0.19047619047619047</v>
      </c>
      <c r="L66" s="65">
        <v>0.1111111111111111</v>
      </c>
      <c r="M66" s="65">
        <v>0.26819923371647508</v>
      </c>
      <c r="N66" s="65">
        <v>0.16475095785440613</v>
      </c>
      <c r="O66" s="65">
        <v>0.5</v>
      </c>
      <c r="P66" s="65">
        <v>0.23255813953488372</v>
      </c>
      <c r="Q66" s="65">
        <v>0.5</v>
      </c>
    </row>
    <row r="67" spans="1:17" x14ac:dyDescent="0.4">
      <c r="A67" s="67">
        <v>64</v>
      </c>
      <c r="B67" s="64">
        <v>-1056.0999999999997</v>
      </c>
      <c r="C67" s="64">
        <v>-16.501562499999995</v>
      </c>
      <c r="D67" s="69">
        <v>2.265625</v>
      </c>
      <c r="E67" s="65">
        <v>0.234375</v>
      </c>
      <c r="F67" s="65">
        <v>0.5</v>
      </c>
      <c r="G67" s="65">
        <v>0.22641509433962265</v>
      </c>
      <c r="H67" s="65">
        <v>0.19622641509433963</v>
      </c>
      <c r="I67" s="66">
        <v>9125.8333333333339</v>
      </c>
      <c r="J67" s="66">
        <v>-9557.6923076923085</v>
      </c>
      <c r="K67" s="65">
        <v>0.1875</v>
      </c>
      <c r="L67" s="65">
        <v>0.109375</v>
      </c>
      <c r="M67" s="65">
        <v>0.26981132075471698</v>
      </c>
      <c r="N67" s="65">
        <v>0.16226415094339622</v>
      </c>
      <c r="O67" s="65">
        <v>0.49650349650349651</v>
      </c>
      <c r="P67" s="65">
        <v>0.23255813953488372</v>
      </c>
      <c r="Q67" s="65">
        <v>0.5</v>
      </c>
    </row>
    <row r="68" spans="1:17" x14ac:dyDescent="0.4">
      <c r="A68" s="67">
        <v>65</v>
      </c>
      <c r="B68" s="64">
        <v>-1083.0999999999997</v>
      </c>
      <c r="C68" s="64">
        <v>-16.663076923076918</v>
      </c>
      <c r="D68" s="69">
        <v>2.2769230769230768</v>
      </c>
      <c r="E68" s="65">
        <v>0.23076923076923078</v>
      </c>
      <c r="F68" s="65">
        <v>0.50769230769230766</v>
      </c>
      <c r="G68" s="65">
        <v>0.22574626865671643</v>
      </c>
      <c r="H68" s="65">
        <v>0.19589552238805971</v>
      </c>
      <c r="I68" s="66">
        <v>9066.9421487603304</v>
      </c>
      <c r="J68" s="66">
        <v>-9580.9523809523816</v>
      </c>
      <c r="K68" s="65">
        <v>0.18461538461538463</v>
      </c>
      <c r="L68" s="65">
        <v>0.1076923076923077</v>
      </c>
      <c r="M68" s="65">
        <v>0.26865671641791045</v>
      </c>
      <c r="N68" s="65">
        <v>0.16604477611940299</v>
      </c>
      <c r="O68" s="65">
        <v>0.49305555555555558</v>
      </c>
      <c r="P68" s="65">
        <v>0.23595505617977527</v>
      </c>
      <c r="Q68" s="65">
        <v>0.49586776859504134</v>
      </c>
    </row>
    <row r="69" spans="1:17" x14ac:dyDescent="0.4">
      <c r="A69" s="67">
        <v>66</v>
      </c>
      <c r="B69" s="64">
        <v>-1122.9999999999998</v>
      </c>
      <c r="C69" s="64">
        <v>-17.015151515151512</v>
      </c>
      <c r="D69" s="69">
        <v>2.2878787878787881</v>
      </c>
      <c r="E69" s="65">
        <v>0.22727272727272727</v>
      </c>
      <c r="F69" s="65">
        <v>0.51515151515151514</v>
      </c>
      <c r="G69" s="65">
        <v>0.22324723247232472</v>
      </c>
      <c r="H69" s="65">
        <v>0.19557195571955718</v>
      </c>
      <c r="I69" s="66">
        <v>9066.9421487603304</v>
      </c>
      <c r="J69" s="66">
        <v>-9527.3584905660373</v>
      </c>
      <c r="K69" s="65">
        <v>0.18181818181818182</v>
      </c>
      <c r="L69" s="65">
        <v>0.10606060606060606</v>
      </c>
      <c r="M69" s="65">
        <v>0.26568265682656828</v>
      </c>
      <c r="N69" s="65">
        <v>0.16605166051660517</v>
      </c>
      <c r="O69" s="65">
        <v>0.49305555555555558</v>
      </c>
      <c r="P69" s="65">
        <v>0.23333333333333334</v>
      </c>
      <c r="Q69" s="65">
        <v>0.49586776859504134</v>
      </c>
    </row>
    <row r="70" spans="1:17" x14ac:dyDescent="0.4">
      <c r="A70" s="67">
        <v>67</v>
      </c>
      <c r="B70" s="64">
        <v>-1123.7999999999997</v>
      </c>
      <c r="C70" s="64">
        <v>-16.773134328358204</v>
      </c>
      <c r="D70" s="69">
        <v>2.283582089552239</v>
      </c>
      <c r="E70" s="65">
        <v>0.22388059701492538</v>
      </c>
      <c r="F70" s="65">
        <v>0.5074626865671642</v>
      </c>
      <c r="G70" s="65">
        <v>0.22603978300180833</v>
      </c>
      <c r="H70" s="65">
        <v>0.19349005424954793</v>
      </c>
      <c r="I70" s="66">
        <v>8896.7999999999993</v>
      </c>
      <c r="J70" s="66">
        <v>-9513.0841121495323</v>
      </c>
      <c r="K70" s="65">
        <v>0.17910447761194029</v>
      </c>
      <c r="L70" s="65">
        <v>0.1044776119402985</v>
      </c>
      <c r="M70" s="65">
        <v>0.26763110307414106</v>
      </c>
      <c r="N70" s="65">
        <v>0.16636528028933092</v>
      </c>
      <c r="O70" s="65">
        <v>0.5</v>
      </c>
      <c r="P70" s="65">
        <v>0.22826086956521738</v>
      </c>
      <c r="Q70" s="65">
        <v>0.48799999999999999</v>
      </c>
    </row>
    <row r="71" spans="1:17" x14ac:dyDescent="0.4">
      <c r="A71" s="67">
        <v>68</v>
      </c>
      <c r="B71" s="64">
        <v>-1066.5999999999997</v>
      </c>
      <c r="C71" s="64">
        <v>-15.685294117647054</v>
      </c>
      <c r="D71" s="69">
        <v>2.2647058823529411</v>
      </c>
      <c r="E71" s="65">
        <v>0.23529411764705882</v>
      </c>
      <c r="F71" s="65">
        <v>0.5</v>
      </c>
      <c r="G71" s="65">
        <v>0.23131672597864769</v>
      </c>
      <c r="H71" s="65">
        <v>0.19039145907473309</v>
      </c>
      <c r="I71" s="66">
        <v>8890.7692307692305</v>
      </c>
      <c r="J71" s="66">
        <v>-9513.0841121495323</v>
      </c>
      <c r="K71" s="65">
        <v>0.17647058823529413</v>
      </c>
      <c r="L71" s="65">
        <v>0.11764705882352941</v>
      </c>
      <c r="M71" s="65">
        <v>0.27224199288256229</v>
      </c>
      <c r="N71" s="65">
        <v>0.16370106761565836</v>
      </c>
      <c r="O71" s="65">
        <v>0.5163398692810458</v>
      </c>
      <c r="P71" s="65">
        <v>0.22826086956521738</v>
      </c>
      <c r="Q71" s="65">
        <v>0.47692307692307695</v>
      </c>
    </row>
    <row r="72" spans="1:17" x14ac:dyDescent="0.4">
      <c r="A72" s="67">
        <v>69</v>
      </c>
      <c r="B72" s="64">
        <v>-1115.2999999999997</v>
      </c>
      <c r="C72" s="64">
        <v>-16.163768115942027</v>
      </c>
      <c r="D72" s="69">
        <v>2.2753623188405796</v>
      </c>
      <c r="E72" s="65">
        <v>0.2318840579710145</v>
      </c>
      <c r="F72" s="65">
        <v>0.50724637681159424</v>
      </c>
      <c r="G72" s="65">
        <v>0.22902097902097901</v>
      </c>
      <c r="H72" s="65">
        <v>0.19230769230769232</v>
      </c>
      <c r="I72" s="66">
        <v>8883.9694656488555</v>
      </c>
      <c r="J72" s="66">
        <v>-9505.454545454546</v>
      </c>
      <c r="K72" s="65">
        <v>0.17391304347826086</v>
      </c>
      <c r="L72" s="65">
        <v>0.11594202898550725</v>
      </c>
      <c r="M72" s="65">
        <v>0.27272727272727271</v>
      </c>
      <c r="N72" s="65">
        <v>0.16433566433566432</v>
      </c>
      <c r="O72" s="65">
        <v>0.51282051282051277</v>
      </c>
      <c r="P72" s="65">
        <v>0.22340425531914893</v>
      </c>
      <c r="Q72" s="65">
        <v>0.47328244274809161</v>
      </c>
    </row>
    <row r="73" spans="1:17" x14ac:dyDescent="0.4">
      <c r="A73" s="67">
        <v>70</v>
      </c>
      <c r="B73" s="64">
        <v>-1170.9999999999998</v>
      </c>
      <c r="C73" s="64">
        <v>-16.728571428571424</v>
      </c>
      <c r="D73" s="69">
        <v>2.2857142857142856</v>
      </c>
      <c r="E73" s="65">
        <v>0.22857142857142856</v>
      </c>
      <c r="F73" s="65">
        <v>0.51428571428571423</v>
      </c>
      <c r="G73" s="65">
        <v>0.22797927461139897</v>
      </c>
      <c r="H73" s="65">
        <v>0.19170984455958548</v>
      </c>
      <c r="I73" s="66">
        <v>8856.060606060606</v>
      </c>
      <c r="J73" s="66">
        <v>-9466.6666666666661</v>
      </c>
      <c r="K73" s="65">
        <v>0.18571428571428572</v>
      </c>
      <c r="L73" s="65">
        <v>0.11428571428571428</v>
      </c>
      <c r="M73" s="65">
        <v>0.27461139896373055</v>
      </c>
      <c r="N73" s="65">
        <v>0.16407599309153714</v>
      </c>
      <c r="O73" s="65">
        <v>0.50943396226415094</v>
      </c>
      <c r="P73" s="65">
        <v>0.22105263157894736</v>
      </c>
      <c r="Q73" s="65">
        <v>0.46969696969696972</v>
      </c>
    </row>
    <row r="74" spans="1:17" x14ac:dyDescent="0.4">
      <c r="A74" s="67">
        <v>71</v>
      </c>
      <c r="B74" s="64">
        <v>-1130.3999999999999</v>
      </c>
      <c r="C74" s="64">
        <v>-15.921126760563379</v>
      </c>
      <c r="D74" s="69">
        <v>2.267605633802817</v>
      </c>
      <c r="E74" s="65">
        <v>0.23943661971830985</v>
      </c>
      <c r="F74" s="65">
        <v>0.50704225352112675</v>
      </c>
      <c r="G74" s="65">
        <v>0.22920203735144312</v>
      </c>
      <c r="H74" s="65">
        <v>0.19015280135823429</v>
      </c>
      <c r="I74" s="66">
        <v>8875.5555555555547</v>
      </c>
      <c r="J74" s="66">
        <v>-9428.5714285714294</v>
      </c>
      <c r="K74" s="65">
        <v>0.18309859154929578</v>
      </c>
      <c r="L74" s="65">
        <v>0.11267605633802817</v>
      </c>
      <c r="M74" s="65">
        <v>0.27843803056027167</v>
      </c>
      <c r="N74" s="65">
        <v>0.16298811544991512</v>
      </c>
      <c r="O74" s="65">
        <v>0.51219512195121952</v>
      </c>
      <c r="P74" s="65">
        <v>0.21875</v>
      </c>
      <c r="Q74" s="65">
        <v>0.46666666666666667</v>
      </c>
    </row>
    <row r="75" spans="1:17" x14ac:dyDescent="0.4">
      <c r="A75" s="67">
        <v>72</v>
      </c>
      <c r="B75" s="64">
        <v>-1129.6999999999998</v>
      </c>
      <c r="C75" s="64">
        <v>-15.690277777777775</v>
      </c>
      <c r="D75" s="69">
        <v>2.2638888888888888</v>
      </c>
      <c r="E75" s="65">
        <v>0.2361111111111111</v>
      </c>
      <c r="F75" s="65">
        <v>0.5</v>
      </c>
      <c r="G75" s="65">
        <v>0.23</v>
      </c>
      <c r="H75" s="65">
        <v>0.19</v>
      </c>
      <c r="I75" s="66">
        <v>8834.0579710144921</v>
      </c>
      <c r="J75" s="66">
        <v>-9398.2456140350878</v>
      </c>
      <c r="K75" s="65">
        <v>0.18055555555555555</v>
      </c>
      <c r="L75" s="65">
        <v>0.1111111111111111</v>
      </c>
      <c r="M75" s="65">
        <v>0.27666666666666667</v>
      </c>
      <c r="N75" s="65">
        <v>0.16333333333333333</v>
      </c>
      <c r="O75" s="65">
        <v>0.51807228915662651</v>
      </c>
      <c r="P75" s="65">
        <v>0.22448979591836735</v>
      </c>
      <c r="Q75" s="65">
        <v>0.46376811594202899</v>
      </c>
    </row>
    <row r="76" spans="1:17" x14ac:dyDescent="0.4">
      <c r="A76" s="67">
        <v>73</v>
      </c>
      <c r="B76" s="64">
        <v>-1091.5999999999999</v>
      </c>
      <c r="C76" s="64">
        <v>-14.953424657534246</v>
      </c>
      <c r="D76" s="69">
        <v>2.2465753424657535</v>
      </c>
      <c r="E76" s="65">
        <v>0.24657534246575341</v>
      </c>
      <c r="F76" s="65">
        <v>0.49315068493150682</v>
      </c>
      <c r="G76" s="65">
        <v>0.23393739703459637</v>
      </c>
      <c r="H76" s="65">
        <v>0.19110378912685339</v>
      </c>
      <c r="I76" s="66">
        <v>8873.9436619718308</v>
      </c>
      <c r="J76" s="66">
        <v>-9408.6206896551721</v>
      </c>
      <c r="K76" s="65">
        <v>0.17808219178082191</v>
      </c>
      <c r="L76" s="65">
        <v>0.1095890410958904</v>
      </c>
      <c r="M76" s="65">
        <v>0.28171334431630973</v>
      </c>
      <c r="N76" s="65">
        <v>0.16144975288303129</v>
      </c>
      <c r="O76" s="65">
        <v>0.52631578947368418</v>
      </c>
      <c r="P76" s="65">
        <v>0.22448979591836735</v>
      </c>
      <c r="Q76" s="65">
        <v>0.46478873239436619</v>
      </c>
    </row>
    <row r="77" spans="1:17" x14ac:dyDescent="0.4">
      <c r="A77" s="67">
        <v>74</v>
      </c>
      <c r="B77" s="64">
        <v>-1149.5999999999999</v>
      </c>
      <c r="C77" s="64">
        <v>-15.535135135135134</v>
      </c>
      <c r="D77" s="69">
        <v>2.2567567567567566</v>
      </c>
      <c r="E77" s="65">
        <v>0.24324324324324326</v>
      </c>
      <c r="F77" s="65">
        <v>0.5</v>
      </c>
      <c r="G77" s="65">
        <v>0.233387358184765</v>
      </c>
      <c r="H77" s="65">
        <v>0.19286871961102106</v>
      </c>
      <c r="I77" s="66">
        <v>8872.9166666666661</v>
      </c>
      <c r="J77" s="66">
        <v>-9433.6134453781506</v>
      </c>
      <c r="K77" s="65">
        <v>0.1891891891891892</v>
      </c>
      <c r="L77" s="65">
        <v>0.10810810810810811</v>
      </c>
      <c r="M77" s="65">
        <v>0.28200972447325767</v>
      </c>
      <c r="N77" s="65">
        <v>0.15883306320907617</v>
      </c>
      <c r="O77" s="65">
        <v>0.52298850574712641</v>
      </c>
      <c r="P77" s="65">
        <v>0.22448979591836735</v>
      </c>
      <c r="Q77" s="65">
        <v>0.46527777777777779</v>
      </c>
    </row>
    <row r="78" spans="1:17" x14ac:dyDescent="0.4">
      <c r="A78" s="67">
        <v>75</v>
      </c>
      <c r="B78" s="64">
        <v>-1147.8999999999999</v>
      </c>
      <c r="C78" s="64">
        <v>-15.305333333333332</v>
      </c>
      <c r="D78" s="69">
        <v>2.2533333333333334</v>
      </c>
      <c r="E78" s="65">
        <v>0.24</v>
      </c>
      <c r="F78" s="65">
        <v>0.49333333333333335</v>
      </c>
      <c r="G78" s="65">
        <v>0.23162939297124602</v>
      </c>
      <c r="H78" s="65">
        <v>0.19169329073482427</v>
      </c>
      <c r="I78" s="66">
        <v>9032.4137931034475</v>
      </c>
      <c r="J78" s="66">
        <v>-9365.8333333333339</v>
      </c>
      <c r="K78" s="65">
        <v>0.18666666666666668</v>
      </c>
      <c r="L78" s="65">
        <v>0.10666666666666667</v>
      </c>
      <c r="M78" s="65">
        <v>0.28434504792332266</v>
      </c>
      <c r="N78" s="65">
        <v>0.15654952076677317</v>
      </c>
      <c r="O78" s="65">
        <v>0.5112359550561798</v>
      </c>
      <c r="P78" s="65">
        <v>0.22448979591836735</v>
      </c>
      <c r="Q78" s="65">
        <v>0.46206896551724136</v>
      </c>
    </row>
    <row r="79" spans="1:17" x14ac:dyDescent="0.4">
      <c r="A79" s="67">
        <v>76</v>
      </c>
      <c r="B79" s="64">
        <v>-1183.9999999999998</v>
      </c>
      <c r="C79" s="64">
        <v>-15.57894736842105</v>
      </c>
      <c r="D79" s="69">
        <v>2.263157894736842</v>
      </c>
      <c r="E79" s="65">
        <v>0.23684210526315788</v>
      </c>
      <c r="F79" s="65">
        <v>0.5</v>
      </c>
      <c r="G79" s="65">
        <v>0.23064770932069512</v>
      </c>
      <c r="H79" s="65">
        <v>0.19273301737756715</v>
      </c>
      <c r="I79" s="66">
        <v>8984.2465753424658</v>
      </c>
      <c r="J79" s="66">
        <v>-9299.1803278688531</v>
      </c>
      <c r="K79" s="65">
        <v>0.18421052631578946</v>
      </c>
      <c r="L79" s="65">
        <v>0.10526315789473684</v>
      </c>
      <c r="M79" s="65">
        <v>0.28120063191153238</v>
      </c>
      <c r="N79" s="65">
        <v>0.15797788309636651</v>
      </c>
      <c r="O79" s="65">
        <v>0.5112359550561798</v>
      </c>
      <c r="P79" s="65">
        <v>0.23</v>
      </c>
      <c r="Q79" s="65">
        <v>0.4589041095890411</v>
      </c>
    </row>
    <row r="80" spans="1:17" x14ac:dyDescent="0.4">
      <c r="A80" s="67">
        <v>77</v>
      </c>
      <c r="B80" s="64">
        <v>-1135.9999999999998</v>
      </c>
      <c r="C80" s="64">
        <v>-14.753246753246751</v>
      </c>
      <c r="D80" s="69">
        <v>2.2467532467532467</v>
      </c>
      <c r="E80" s="65">
        <v>0.24675324675324675</v>
      </c>
      <c r="F80" s="65">
        <v>0.4935064935064935</v>
      </c>
      <c r="G80" s="65">
        <v>0.23556942277691106</v>
      </c>
      <c r="H80" s="65">
        <v>0.19188767550702029</v>
      </c>
      <c r="I80" s="66">
        <v>8934.4370860927156</v>
      </c>
      <c r="J80" s="66">
        <v>-9255.2845528455291</v>
      </c>
      <c r="K80" s="65">
        <v>0.18181818181818182</v>
      </c>
      <c r="L80" s="65">
        <v>0.1038961038961039</v>
      </c>
      <c r="M80" s="65">
        <v>0.28237129485179407</v>
      </c>
      <c r="N80" s="65">
        <v>0.15600624024960999</v>
      </c>
      <c r="O80" s="65">
        <v>0.51933701657458564</v>
      </c>
      <c r="P80" s="65">
        <v>0.23</v>
      </c>
      <c r="Q80" s="65">
        <v>0.45695364238410596</v>
      </c>
    </row>
    <row r="81" spans="1:17" x14ac:dyDescent="0.4">
      <c r="A81" s="67">
        <v>78</v>
      </c>
      <c r="B81" s="64">
        <v>-1169.8999999999999</v>
      </c>
      <c r="C81" s="64">
        <v>-14.998717948717948</v>
      </c>
      <c r="D81" s="69">
        <v>2.2564102564102564</v>
      </c>
      <c r="E81" s="65">
        <v>0.24358974358974358</v>
      </c>
      <c r="F81" s="65">
        <v>0.5</v>
      </c>
      <c r="G81" s="65">
        <v>0.23538461538461539</v>
      </c>
      <c r="H81" s="65">
        <v>0.19076923076923077</v>
      </c>
      <c r="I81" s="66">
        <v>8882.3529411764703</v>
      </c>
      <c r="J81" s="66">
        <v>-9277.4193548387102</v>
      </c>
      <c r="K81" s="65">
        <v>0.17948717948717949</v>
      </c>
      <c r="L81" s="65">
        <v>0.10256410256410256</v>
      </c>
      <c r="M81" s="65">
        <v>0.28153846153846152</v>
      </c>
      <c r="N81" s="65">
        <v>0.15538461538461537</v>
      </c>
      <c r="O81" s="65">
        <v>0.51912568306010931</v>
      </c>
      <c r="P81" s="65">
        <v>0.23762376237623761</v>
      </c>
      <c r="Q81" s="65">
        <v>0.45751633986928103</v>
      </c>
    </row>
    <row r="82" spans="1:17" x14ac:dyDescent="0.4">
      <c r="A82" s="67">
        <v>79</v>
      </c>
      <c r="B82" s="64">
        <v>-1226.5999999999999</v>
      </c>
      <c r="C82" s="64">
        <v>-15.526582278481012</v>
      </c>
      <c r="D82" s="69">
        <v>2.2658227848101267</v>
      </c>
      <c r="E82" s="65">
        <v>0.24050632911392406</v>
      </c>
      <c r="F82" s="65">
        <v>0.50632911392405067</v>
      </c>
      <c r="G82" s="65">
        <v>0.23404255319148937</v>
      </c>
      <c r="H82" s="65">
        <v>0.19300911854103345</v>
      </c>
      <c r="I82" s="66">
        <v>8833.1168831168834</v>
      </c>
      <c r="J82" s="66">
        <v>-9254.3307086614168</v>
      </c>
      <c r="K82" s="65">
        <v>0.189873417721519</v>
      </c>
      <c r="L82" s="65">
        <v>0.10126582278481013</v>
      </c>
      <c r="M82" s="65">
        <v>0.27811550151975684</v>
      </c>
      <c r="N82" s="65">
        <v>0.15501519756838905</v>
      </c>
      <c r="O82" s="65">
        <v>0.51912568306010931</v>
      </c>
      <c r="P82" s="65">
        <v>0.23529411764705882</v>
      </c>
      <c r="Q82" s="65">
        <v>0.45454545454545453</v>
      </c>
    </row>
    <row r="83" spans="1:17" x14ac:dyDescent="0.4">
      <c r="A83" s="67">
        <v>80</v>
      </c>
      <c r="B83" s="64">
        <v>-1201</v>
      </c>
      <c r="C83" s="64">
        <v>-15.012499999999999</v>
      </c>
      <c r="D83" s="69">
        <v>2.25</v>
      </c>
      <c r="E83" s="65">
        <v>0.25</v>
      </c>
      <c r="F83" s="65">
        <v>0.5</v>
      </c>
      <c r="G83" s="65">
        <v>0.23423423423423423</v>
      </c>
      <c r="H83" s="65">
        <v>0.19219219219219219</v>
      </c>
      <c r="I83" s="66">
        <v>8818.5897435897441</v>
      </c>
      <c r="J83" s="66">
        <v>-9244.53125</v>
      </c>
      <c r="K83" s="65">
        <v>0.1875</v>
      </c>
      <c r="L83" s="65">
        <v>0.1</v>
      </c>
      <c r="M83" s="65">
        <v>0.27777777777777779</v>
      </c>
      <c r="N83" s="65">
        <v>0.15915915915915915</v>
      </c>
      <c r="O83" s="65">
        <v>0.51891891891891895</v>
      </c>
      <c r="P83" s="65">
        <v>0.23584905660377359</v>
      </c>
      <c r="Q83" s="65">
        <v>0.45512820512820512</v>
      </c>
    </row>
    <row r="84" spans="1:17" x14ac:dyDescent="0.4">
      <c r="A84" s="67">
        <v>81</v>
      </c>
      <c r="B84" s="64">
        <v>-1265.7</v>
      </c>
      <c r="C84" s="64">
        <v>-15.625925925925927</v>
      </c>
      <c r="D84" s="69">
        <v>2.2592592592592591</v>
      </c>
      <c r="E84" s="65">
        <v>0.24691358024691357</v>
      </c>
      <c r="F84" s="65">
        <v>0.50617283950617287</v>
      </c>
      <c r="G84" s="65">
        <v>0.2314540059347181</v>
      </c>
      <c r="H84" s="65">
        <v>0.19287833827893175</v>
      </c>
      <c r="I84" s="66">
        <v>8818.5897435897441</v>
      </c>
      <c r="J84" s="66">
        <v>-9243.8461538461543</v>
      </c>
      <c r="K84" s="65">
        <v>0.19753086419753085</v>
      </c>
      <c r="L84" s="65">
        <v>9.8765432098765427E-2</v>
      </c>
      <c r="M84" s="65">
        <v>0.27448071216617209</v>
      </c>
      <c r="N84" s="65">
        <v>0.16172106824925817</v>
      </c>
      <c r="O84" s="65">
        <v>0.51891891891891895</v>
      </c>
      <c r="P84" s="65">
        <v>0.22935779816513763</v>
      </c>
      <c r="Q84" s="65">
        <v>0.45512820512820512</v>
      </c>
    </row>
    <row r="85" spans="1:17" x14ac:dyDescent="0.4">
      <c r="A85" s="67">
        <v>82</v>
      </c>
      <c r="B85" s="64">
        <v>-1267.2</v>
      </c>
      <c r="C85" s="64">
        <v>-15.453658536585367</v>
      </c>
      <c r="D85" s="69">
        <v>2.2560975609756095</v>
      </c>
      <c r="E85" s="65">
        <v>0.24390243902439024</v>
      </c>
      <c r="F85" s="65">
        <v>0.5</v>
      </c>
      <c r="G85" s="65">
        <v>0.23065693430656933</v>
      </c>
      <c r="H85" s="65">
        <v>0.19270072992700729</v>
      </c>
      <c r="I85" s="66">
        <v>8856.32911392405</v>
      </c>
      <c r="J85" s="66">
        <v>-9184.0909090909099</v>
      </c>
      <c r="K85" s="65">
        <v>0.1951219512195122</v>
      </c>
      <c r="L85" s="65">
        <v>9.7560975609756101E-2</v>
      </c>
      <c r="M85" s="65">
        <v>0.27299270072992698</v>
      </c>
      <c r="N85" s="65">
        <v>0.1635036496350365</v>
      </c>
      <c r="O85" s="65">
        <v>0.52406417112299464</v>
      </c>
      <c r="P85" s="65">
        <v>0.22321428571428573</v>
      </c>
      <c r="Q85" s="65">
        <v>0.45569620253164556</v>
      </c>
    </row>
    <row r="86" spans="1:17" x14ac:dyDescent="0.4">
      <c r="A86" s="67">
        <v>83</v>
      </c>
      <c r="B86" s="64">
        <v>-1270.6000000000001</v>
      </c>
      <c r="C86" s="64">
        <v>-15.308433734939761</v>
      </c>
      <c r="D86" s="69">
        <v>2.2530120481927711</v>
      </c>
      <c r="E86" s="65">
        <v>0.24096385542168675</v>
      </c>
      <c r="F86" s="65">
        <v>0.49397590361445781</v>
      </c>
      <c r="G86" s="65">
        <v>0.23088023088023088</v>
      </c>
      <c r="H86" s="65">
        <v>0.19336219336219337</v>
      </c>
      <c r="I86" s="66">
        <v>8826.25</v>
      </c>
      <c r="J86" s="66">
        <v>-9076.8656716417918</v>
      </c>
      <c r="K86" s="65">
        <v>0.19277108433734941</v>
      </c>
      <c r="L86" s="65">
        <v>9.6385542168674704E-2</v>
      </c>
      <c r="M86" s="65">
        <v>0.27272727272727271</v>
      </c>
      <c r="N86" s="65">
        <v>0.16450216450216451</v>
      </c>
      <c r="O86" s="65">
        <v>0.52380952380952384</v>
      </c>
      <c r="P86" s="65">
        <v>0.22807017543859648</v>
      </c>
      <c r="Q86" s="65">
        <v>0.45624999999999999</v>
      </c>
    </row>
    <row r="87" spans="1:17" x14ac:dyDescent="0.4">
      <c r="A87" s="67">
        <v>84</v>
      </c>
      <c r="B87" s="64">
        <v>-1264.8000000000002</v>
      </c>
      <c r="C87" s="64">
        <v>-15.057142857142859</v>
      </c>
      <c r="D87" s="69">
        <v>2.25</v>
      </c>
      <c r="E87" s="65">
        <v>0.23809523809523808</v>
      </c>
      <c r="F87" s="65">
        <v>0.48809523809523808</v>
      </c>
      <c r="G87" s="65">
        <v>0.23229461756373937</v>
      </c>
      <c r="H87" s="65">
        <v>0.19263456090651557</v>
      </c>
      <c r="I87" s="66">
        <v>8782.3170731707323</v>
      </c>
      <c r="J87" s="66">
        <v>-9042.6470588235297</v>
      </c>
      <c r="K87" s="65">
        <v>0.19047619047619047</v>
      </c>
      <c r="L87" s="65">
        <v>9.5238095238095233E-2</v>
      </c>
      <c r="M87" s="65">
        <v>0.27620396600566571</v>
      </c>
      <c r="N87" s="65">
        <v>0.1643059490084986</v>
      </c>
      <c r="O87" s="65">
        <v>0.52820512820512822</v>
      </c>
      <c r="P87" s="65">
        <v>0.22413793103448276</v>
      </c>
      <c r="Q87" s="65">
        <v>0.45731707317073172</v>
      </c>
    </row>
    <row r="88" spans="1:17" x14ac:dyDescent="0.4">
      <c r="A88" s="67">
        <v>85</v>
      </c>
      <c r="B88" s="64">
        <v>-1322.1000000000001</v>
      </c>
      <c r="C88" s="64">
        <v>-15.554117647058826</v>
      </c>
      <c r="D88" s="69">
        <v>2.2588235294117647</v>
      </c>
      <c r="E88" s="65">
        <v>0.23529411764705882</v>
      </c>
      <c r="F88" s="65">
        <v>0.49411764705882355</v>
      </c>
      <c r="G88" s="65">
        <v>0.23109243697478993</v>
      </c>
      <c r="H88" s="65">
        <v>0.19467787114845939</v>
      </c>
      <c r="I88" s="66">
        <v>8761.2121212121219</v>
      </c>
      <c r="J88" s="66">
        <v>-9028.0575539568345</v>
      </c>
      <c r="K88" s="65">
        <v>0.2</v>
      </c>
      <c r="L88" s="65">
        <v>9.4117647058823528E-2</v>
      </c>
      <c r="M88" s="65">
        <v>0.27591036414565828</v>
      </c>
      <c r="N88" s="65">
        <v>0.1638655462184874</v>
      </c>
      <c r="O88" s="65">
        <v>0.52284263959390864</v>
      </c>
      <c r="P88" s="65">
        <v>0.23076923076923078</v>
      </c>
      <c r="Q88" s="65">
        <v>0.46060606060606063</v>
      </c>
    </row>
    <row r="89" spans="1:17" x14ac:dyDescent="0.4">
      <c r="A89" s="67">
        <v>86</v>
      </c>
      <c r="B89" s="64">
        <v>-1272.1000000000001</v>
      </c>
      <c r="C89" s="64">
        <v>-14.791860465116281</v>
      </c>
      <c r="D89" s="69">
        <v>2.2441860465116279</v>
      </c>
      <c r="E89" s="65">
        <v>0.2441860465116279</v>
      </c>
      <c r="F89" s="65">
        <v>0.48837209302325579</v>
      </c>
      <c r="G89" s="65">
        <v>0.23472222222222222</v>
      </c>
      <c r="H89" s="65">
        <v>0.19583333333333333</v>
      </c>
      <c r="I89" s="66">
        <v>8861.538461538461</v>
      </c>
      <c r="J89" s="66">
        <v>-9070.2127659574471</v>
      </c>
      <c r="K89" s="65">
        <v>0.19767441860465115</v>
      </c>
      <c r="L89" s="65">
        <v>0.10465116279069768</v>
      </c>
      <c r="M89" s="65">
        <v>0.27638888888888891</v>
      </c>
      <c r="N89" s="65">
        <v>0.16666666666666666</v>
      </c>
      <c r="O89" s="65">
        <v>0.52763819095477382</v>
      </c>
      <c r="P89" s="65">
        <v>0.24166666666666667</v>
      </c>
      <c r="Q89" s="65">
        <v>0.44970414201183434</v>
      </c>
    </row>
    <row r="90" spans="1:17" x14ac:dyDescent="0.4">
      <c r="A90" s="67">
        <v>87</v>
      </c>
      <c r="B90" s="64">
        <v>-1283.8000000000002</v>
      </c>
      <c r="C90" s="64">
        <v>-14.756321839080462</v>
      </c>
      <c r="D90" s="69">
        <v>2.2413793103448274</v>
      </c>
      <c r="E90" s="65">
        <v>0.2413793103448276</v>
      </c>
      <c r="F90" s="65">
        <v>0.48275862068965519</v>
      </c>
      <c r="G90" s="65">
        <v>0.23415977961432508</v>
      </c>
      <c r="H90" s="65">
        <v>0.19421487603305784</v>
      </c>
      <c r="I90" s="66">
        <v>8877.6470588235297</v>
      </c>
      <c r="J90" s="66">
        <v>-9070.2127659574471</v>
      </c>
      <c r="K90" s="65">
        <v>0.19540229885057472</v>
      </c>
      <c r="L90" s="65">
        <v>0.10344827586206896</v>
      </c>
      <c r="M90" s="65">
        <v>0.27961432506887052</v>
      </c>
      <c r="N90" s="65">
        <v>0.16528925619834711</v>
      </c>
      <c r="O90" s="65">
        <v>0.52216748768472909</v>
      </c>
      <c r="P90" s="65">
        <v>0.24166666666666667</v>
      </c>
      <c r="Q90" s="65">
        <v>0.44705882352941179</v>
      </c>
    </row>
    <row r="91" spans="1:17" x14ac:dyDescent="0.4">
      <c r="A91" s="67">
        <v>88</v>
      </c>
      <c r="B91" s="64">
        <v>-1241.1000000000001</v>
      </c>
      <c r="C91" s="64">
        <v>-14.103409090909093</v>
      </c>
      <c r="D91" s="69">
        <v>2.2272727272727271</v>
      </c>
      <c r="E91" s="65">
        <v>0.25</v>
      </c>
      <c r="F91" s="65">
        <v>0.47727272727272729</v>
      </c>
      <c r="G91" s="65">
        <v>0.23777173913043478</v>
      </c>
      <c r="H91" s="65">
        <v>0.19429347826086957</v>
      </c>
      <c r="I91" s="66">
        <v>8818.2857142857138</v>
      </c>
      <c r="J91" s="66">
        <v>-9054.545454545454</v>
      </c>
      <c r="K91" s="65">
        <v>0.19318181818181818</v>
      </c>
      <c r="L91" s="65">
        <v>0.10227272727272728</v>
      </c>
      <c r="M91" s="65">
        <v>0.28396739130434784</v>
      </c>
      <c r="N91" s="65">
        <v>0.16440217391304349</v>
      </c>
      <c r="O91" s="65">
        <v>0.52153110047846885</v>
      </c>
      <c r="P91" s="65">
        <v>0.24793388429752067</v>
      </c>
      <c r="Q91" s="65">
        <v>0.43428571428571427</v>
      </c>
    </row>
    <row r="92" spans="1:17" x14ac:dyDescent="0.4">
      <c r="A92" s="67">
        <v>89</v>
      </c>
      <c r="B92" s="64">
        <v>-1288.1000000000001</v>
      </c>
      <c r="C92" s="64">
        <v>-14.47303370786517</v>
      </c>
      <c r="D92" s="69">
        <v>2.2359550561797752</v>
      </c>
      <c r="E92" s="65">
        <v>0.24719101123595505</v>
      </c>
      <c r="F92" s="65">
        <v>0.48314606741573035</v>
      </c>
      <c r="G92" s="65">
        <v>0.23790322580645162</v>
      </c>
      <c r="H92" s="65">
        <v>0.19489247311827956</v>
      </c>
      <c r="I92" s="66">
        <v>8809.0395480225998</v>
      </c>
      <c r="J92" s="66">
        <v>-9233.1034482758623</v>
      </c>
      <c r="K92" s="65">
        <v>0.19101123595505617</v>
      </c>
      <c r="L92" s="65">
        <v>0.10112359550561797</v>
      </c>
      <c r="M92" s="65">
        <v>0.28629032258064518</v>
      </c>
      <c r="N92" s="65">
        <v>0.16263440860215053</v>
      </c>
      <c r="O92" s="65">
        <v>0.52112676056338025</v>
      </c>
      <c r="P92" s="65">
        <v>0.24793388429752067</v>
      </c>
      <c r="Q92" s="65">
        <v>0.42937853107344631</v>
      </c>
    </row>
    <row r="93" spans="1:17" x14ac:dyDescent="0.4">
      <c r="A93" s="67">
        <v>90</v>
      </c>
      <c r="B93" s="64">
        <v>-1324.2</v>
      </c>
      <c r="C93" s="64">
        <v>-14.713333333333335</v>
      </c>
      <c r="D93" s="69">
        <v>2.2444444444444445</v>
      </c>
      <c r="E93" s="65">
        <v>0.24444444444444444</v>
      </c>
      <c r="F93" s="65">
        <v>0.48888888888888887</v>
      </c>
      <c r="G93" s="65">
        <v>0.2381578947368421</v>
      </c>
      <c r="H93" s="65">
        <v>0.19210526315789472</v>
      </c>
      <c r="I93" s="66">
        <v>8701.1049723756914</v>
      </c>
      <c r="J93" s="66">
        <v>-9189.7260273972606</v>
      </c>
      <c r="K93" s="65">
        <v>0.18888888888888888</v>
      </c>
      <c r="L93" s="65">
        <v>0.1</v>
      </c>
      <c r="M93" s="65">
        <v>0.28026315789473683</v>
      </c>
      <c r="N93" s="65">
        <v>0.16052631578947368</v>
      </c>
      <c r="O93" s="65">
        <v>0.52112676056338025</v>
      </c>
      <c r="P93" s="65">
        <v>0.25409836065573771</v>
      </c>
      <c r="Q93" s="65">
        <v>0.43093922651933703</v>
      </c>
    </row>
    <row r="94" spans="1:17" x14ac:dyDescent="0.4">
      <c r="A94" s="67">
        <v>91</v>
      </c>
      <c r="B94" s="64">
        <v>-1253.1000000000001</v>
      </c>
      <c r="C94" s="64">
        <v>-13.770329670329671</v>
      </c>
      <c r="D94" s="69">
        <v>2.2307692307692308</v>
      </c>
      <c r="E94" s="65">
        <v>0.25274725274725274</v>
      </c>
      <c r="F94" s="65">
        <v>0.48351648351648352</v>
      </c>
      <c r="G94" s="65">
        <v>0.24119947848761408</v>
      </c>
      <c r="H94" s="65">
        <v>0.19035202086049544</v>
      </c>
      <c r="I94" s="66">
        <v>8782.7027027027034</v>
      </c>
      <c r="J94" s="66">
        <v>-9189.7260273972606</v>
      </c>
      <c r="K94" s="65">
        <v>0.18681318681318682</v>
      </c>
      <c r="L94" s="65">
        <v>0.10989010989010989</v>
      </c>
      <c r="M94" s="65">
        <v>0.28031290743155152</v>
      </c>
      <c r="N94" s="65">
        <v>0.16166883963494133</v>
      </c>
      <c r="O94" s="65">
        <v>0.52093023255813953</v>
      </c>
      <c r="P94" s="65">
        <v>0.25</v>
      </c>
      <c r="Q94" s="65">
        <v>0.42702702702702705</v>
      </c>
    </row>
    <row r="95" spans="1:17" x14ac:dyDescent="0.4">
      <c r="A95" s="67">
        <v>92</v>
      </c>
      <c r="B95" s="64">
        <v>-1291.9000000000001</v>
      </c>
      <c r="C95" s="64">
        <v>-14.042391304347827</v>
      </c>
      <c r="D95" s="69">
        <v>2.2391304347826089</v>
      </c>
      <c r="E95" s="65">
        <v>0.25</v>
      </c>
      <c r="F95" s="65">
        <v>0.4891304347826087</v>
      </c>
      <c r="G95" s="65">
        <v>0.24289405684754523</v>
      </c>
      <c r="H95" s="65">
        <v>0.18992248062015504</v>
      </c>
      <c r="I95" s="66">
        <v>8755.3191489361707</v>
      </c>
      <c r="J95" s="66">
        <v>-9236.0544217687075</v>
      </c>
      <c r="K95" s="65">
        <v>0.18478260869565216</v>
      </c>
      <c r="L95" s="65">
        <v>0.10869565217391304</v>
      </c>
      <c r="M95" s="65">
        <v>0.27777777777777779</v>
      </c>
      <c r="N95" s="65">
        <v>0.16020671834625322</v>
      </c>
      <c r="O95" s="65">
        <v>0.52093023255813953</v>
      </c>
      <c r="P95" s="65">
        <v>0.25</v>
      </c>
      <c r="Q95" s="65">
        <v>0.42553191489361702</v>
      </c>
    </row>
    <row r="96" spans="1:17" x14ac:dyDescent="0.4">
      <c r="A96" s="67">
        <v>93</v>
      </c>
      <c r="B96" s="64">
        <v>-1348.9</v>
      </c>
      <c r="C96" s="64">
        <v>-14.504301075268819</v>
      </c>
      <c r="D96" s="69">
        <v>2.247311827956989</v>
      </c>
      <c r="E96" s="65">
        <v>0.24731182795698925</v>
      </c>
      <c r="F96" s="65">
        <v>0.4946236559139785</v>
      </c>
      <c r="G96" s="65">
        <v>0.2416452442159383</v>
      </c>
      <c r="H96" s="65">
        <v>0.18894601542416453</v>
      </c>
      <c r="I96" s="66">
        <v>8755.3191489361707</v>
      </c>
      <c r="J96" s="66">
        <v>-9236.0544217687075</v>
      </c>
      <c r="K96" s="65">
        <v>0.19354838709677419</v>
      </c>
      <c r="L96" s="65">
        <v>0.10752688172043011</v>
      </c>
      <c r="M96" s="65">
        <v>0.2763496143958869</v>
      </c>
      <c r="N96" s="65">
        <v>0.15938303341902313</v>
      </c>
      <c r="O96" s="65">
        <v>0.52093023255813953</v>
      </c>
      <c r="P96" s="65">
        <v>0.25</v>
      </c>
      <c r="Q96" s="65">
        <v>0.42553191489361702</v>
      </c>
    </row>
    <row r="97" spans="1:17" x14ac:dyDescent="0.4">
      <c r="A97" s="67">
        <v>94</v>
      </c>
      <c r="B97" s="64">
        <v>-1306.3000000000002</v>
      </c>
      <c r="C97" s="64">
        <v>-13.8968085106383</v>
      </c>
      <c r="D97" s="69">
        <v>2.2340425531914891</v>
      </c>
      <c r="E97" s="65">
        <v>0.25531914893617019</v>
      </c>
      <c r="F97" s="65">
        <v>0.48936170212765956</v>
      </c>
      <c r="G97" s="65">
        <v>0.24585987261146497</v>
      </c>
      <c r="H97" s="65">
        <v>0.18726114649681527</v>
      </c>
      <c r="I97" s="66">
        <v>8661.1398963730571</v>
      </c>
      <c r="J97" s="66">
        <v>-9236.0544217687075</v>
      </c>
      <c r="K97" s="65">
        <v>0.19148936170212766</v>
      </c>
      <c r="L97" s="65">
        <v>0.10638297872340426</v>
      </c>
      <c r="M97" s="65">
        <v>0.27643312101910827</v>
      </c>
      <c r="N97" s="65">
        <v>0.16305732484076432</v>
      </c>
      <c r="O97" s="65">
        <v>0.52073732718894006</v>
      </c>
      <c r="P97" s="65">
        <v>0.265625</v>
      </c>
      <c r="Q97" s="65">
        <v>0.42487046632124353</v>
      </c>
    </row>
    <row r="98" spans="1:17" x14ac:dyDescent="0.4">
      <c r="A98" s="67">
        <v>95</v>
      </c>
      <c r="B98" s="64">
        <v>-1362.6000000000001</v>
      </c>
      <c r="C98" s="64">
        <v>-14.343157894736844</v>
      </c>
      <c r="D98" s="69">
        <v>2.2421052631578946</v>
      </c>
      <c r="E98" s="65">
        <v>0.25263157894736843</v>
      </c>
      <c r="F98" s="65">
        <v>0.49473684210526314</v>
      </c>
      <c r="G98" s="65">
        <v>0.24464060529634299</v>
      </c>
      <c r="H98" s="65">
        <v>0.19167717528373265</v>
      </c>
      <c r="I98" s="66">
        <v>8643.2989690721643</v>
      </c>
      <c r="J98" s="66">
        <v>-9165.78947368421</v>
      </c>
      <c r="K98" s="65">
        <v>0.2</v>
      </c>
      <c r="L98" s="65">
        <v>0.10526315789473684</v>
      </c>
      <c r="M98" s="65">
        <v>0.27490542244640603</v>
      </c>
      <c r="N98" s="65">
        <v>0.16393442622950818</v>
      </c>
      <c r="O98" s="65">
        <v>0.52293577981651373</v>
      </c>
      <c r="P98" s="65">
        <v>0.26153846153846155</v>
      </c>
      <c r="Q98" s="65">
        <v>0.42268041237113402</v>
      </c>
    </row>
    <row r="99" spans="1:17" x14ac:dyDescent="0.4">
      <c r="A99" s="67">
        <v>96</v>
      </c>
      <c r="B99" s="64">
        <v>-1335.8000000000002</v>
      </c>
      <c r="C99" s="64">
        <v>-13.914583333333335</v>
      </c>
      <c r="D99" s="69">
        <v>2.2291666666666665</v>
      </c>
      <c r="E99" s="65">
        <v>0.26041666666666669</v>
      </c>
      <c r="F99" s="65">
        <v>0.48958333333333331</v>
      </c>
      <c r="G99" s="65">
        <v>0.2456359102244389</v>
      </c>
      <c r="H99" s="65">
        <v>0.19201995012468828</v>
      </c>
      <c r="I99" s="66">
        <v>8740.1015228426404</v>
      </c>
      <c r="J99" s="66">
        <v>-9226.6233766233763</v>
      </c>
      <c r="K99" s="65">
        <v>0.19791666666666666</v>
      </c>
      <c r="L99" s="65">
        <v>0.10416666666666667</v>
      </c>
      <c r="M99" s="65">
        <v>0.27306733167082292</v>
      </c>
      <c r="N99" s="65">
        <v>0.16583541147132169</v>
      </c>
      <c r="O99" s="65">
        <v>0.52511415525114158</v>
      </c>
      <c r="P99" s="65">
        <v>0.26315789473684209</v>
      </c>
      <c r="Q99" s="65">
        <v>0.42131979695431471</v>
      </c>
    </row>
    <row r="100" spans="1:17" x14ac:dyDescent="0.4">
      <c r="A100" s="67">
        <v>97</v>
      </c>
      <c r="B100" s="64">
        <v>-1299.4000000000001</v>
      </c>
      <c r="C100" s="64">
        <v>-13.395876288659794</v>
      </c>
      <c r="D100" s="69">
        <v>2.2164948453608249</v>
      </c>
      <c r="E100" s="65">
        <v>0.26804123711340205</v>
      </c>
      <c r="F100" s="65">
        <v>0.4845360824742268</v>
      </c>
      <c r="G100" s="65">
        <v>0.24752475247524752</v>
      </c>
      <c r="H100" s="65">
        <v>0.1905940594059406</v>
      </c>
      <c r="I100" s="66">
        <v>8715</v>
      </c>
      <c r="J100" s="66">
        <v>-9226.6233766233763</v>
      </c>
      <c r="K100" s="65">
        <v>0.19587628865979381</v>
      </c>
      <c r="L100" s="65">
        <v>0.10309278350515463</v>
      </c>
      <c r="M100" s="65">
        <v>0.27103960396039606</v>
      </c>
      <c r="N100" s="65">
        <v>0.16831683168316833</v>
      </c>
      <c r="O100" s="65">
        <v>0.52511415525114158</v>
      </c>
      <c r="P100" s="65">
        <v>0.27205882352941174</v>
      </c>
      <c r="Q100" s="65">
        <v>0.43</v>
      </c>
    </row>
    <row r="101" spans="1:17" x14ac:dyDescent="0.4">
      <c r="A101" s="67">
        <v>98</v>
      </c>
      <c r="B101" s="64">
        <v>-1305.7</v>
      </c>
      <c r="C101" s="64">
        <v>-13.323469387755102</v>
      </c>
      <c r="D101" s="69">
        <v>2.2142857142857144</v>
      </c>
      <c r="E101" s="65">
        <v>0.26530612244897961</v>
      </c>
      <c r="F101" s="65">
        <v>0.47959183673469385</v>
      </c>
      <c r="G101" s="65">
        <v>0.24725943970767356</v>
      </c>
      <c r="H101" s="65">
        <v>0.1900121802679659</v>
      </c>
      <c r="I101" s="66">
        <v>8733.9901477832518</v>
      </c>
      <c r="J101" s="66">
        <v>-9167.3076923076915</v>
      </c>
      <c r="K101" s="65">
        <v>0.19387755102040816</v>
      </c>
      <c r="L101" s="65">
        <v>0.10204081632653061</v>
      </c>
      <c r="M101" s="65">
        <v>0.27161997563946405</v>
      </c>
      <c r="N101" s="65">
        <v>0.17052375152253349</v>
      </c>
      <c r="O101" s="65">
        <v>0.52017937219730936</v>
      </c>
      <c r="P101" s="65">
        <v>0.27857142857142858</v>
      </c>
      <c r="Q101" s="65">
        <v>0.43842364532019706</v>
      </c>
    </row>
    <row r="102" spans="1:17" x14ac:dyDescent="0.4">
      <c r="A102" s="67">
        <v>99</v>
      </c>
      <c r="B102" s="64">
        <v>-1267.5</v>
      </c>
      <c r="C102" s="64">
        <v>-12.803030303030303</v>
      </c>
      <c r="D102" s="69">
        <v>2.202020202020202</v>
      </c>
      <c r="E102" s="65">
        <v>0.27272727272727271</v>
      </c>
      <c r="F102" s="65">
        <v>0.47474747474747475</v>
      </c>
      <c r="G102" s="65">
        <v>0.24849215922798554</v>
      </c>
      <c r="H102" s="65">
        <v>0.1881785283474065</v>
      </c>
      <c r="I102" s="66">
        <v>8741.2621359223303</v>
      </c>
      <c r="J102" s="66">
        <v>-9167.3076923076915</v>
      </c>
      <c r="K102" s="65">
        <v>0.19191919191919191</v>
      </c>
      <c r="L102" s="65">
        <v>0.10101010101010101</v>
      </c>
      <c r="M102" s="65">
        <v>0.27382388419782872</v>
      </c>
      <c r="N102" s="65">
        <v>0.17008443908323281</v>
      </c>
      <c r="O102" s="65">
        <v>0.51982378854625555</v>
      </c>
      <c r="P102" s="65">
        <v>0.27659574468085107</v>
      </c>
      <c r="Q102" s="65">
        <v>0.44660194174757284</v>
      </c>
    </row>
    <row r="103" spans="1:17" x14ac:dyDescent="0.4">
      <c r="A103" s="67">
        <v>100</v>
      </c>
      <c r="B103" s="64">
        <v>-1255.3</v>
      </c>
      <c r="C103" s="64">
        <v>-12.552999999999999</v>
      </c>
      <c r="D103" s="69">
        <v>2.2000000000000002</v>
      </c>
      <c r="E103" s="65">
        <v>0.27</v>
      </c>
      <c r="F103" s="65">
        <v>0.47</v>
      </c>
      <c r="G103" s="65">
        <v>0.24910607866507747</v>
      </c>
      <c r="H103" s="65">
        <v>0.18712753277711561</v>
      </c>
      <c r="I103" s="66">
        <v>8788.0382775119615</v>
      </c>
      <c r="J103" s="66">
        <v>-9115.2866242038217</v>
      </c>
      <c r="K103" s="65">
        <v>0.19</v>
      </c>
      <c r="L103" s="65">
        <v>0.1</v>
      </c>
      <c r="M103" s="65">
        <v>0.27413587604290823</v>
      </c>
      <c r="N103" s="65">
        <v>0.17401668653158522</v>
      </c>
      <c r="O103" s="65">
        <v>0.52173913043478259</v>
      </c>
      <c r="P103" s="65">
        <v>0.27397260273972601</v>
      </c>
      <c r="Q103" s="65">
        <v>0.44497607655502391</v>
      </c>
    </row>
    <row r="104" spans="1:17" x14ac:dyDescent="0.4">
      <c r="A104" s="67">
        <v>101</v>
      </c>
      <c r="B104" s="64">
        <v>-1246.3</v>
      </c>
      <c r="C104" s="64">
        <v>-12.339603960396039</v>
      </c>
      <c r="D104" s="69">
        <v>2.1980198019801982</v>
      </c>
      <c r="E104" s="65">
        <v>0.26732673267326734</v>
      </c>
      <c r="F104" s="65">
        <v>0.46534653465346537</v>
      </c>
      <c r="G104" s="65">
        <v>0.25146886016451236</v>
      </c>
      <c r="H104" s="65">
        <v>0.18683901292596944</v>
      </c>
      <c r="I104" s="66">
        <v>8814.0186915887843</v>
      </c>
      <c r="J104" s="66">
        <v>-9200</v>
      </c>
      <c r="K104" s="65">
        <v>0.18811881188118812</v>
      </c>
      <c r="L104" s="65">
        <v>9.9009900990099015E-2</v>
      </c>
      <c r="M104" s="65">
        <v>0.27262044653348999</v>
      </c>
      <c r="N104" s="65">
        <v>0.1762632197414806</v>
      </c>
      <c r="O104" s="65">
        <v>0.52586206896551724</v>
      </c>
      <c r="P104" s="65">
        <v>0.28000000000000003</v>
      </c>
      <c r="Q104" s="65">
        <v>0.44859813084112149</v>
      </c>
    </row>
    <row r="105" spans="1:17" x14ac:dyDescent="0.4">
      <c r="A105" s="67">
        <v>102</v>
      </c>
      <c r="B105" s="64">
        <v>-1206.5</v>
      </c>
      <c r="C105" s="64">
        <v>-11.828431372549019</v>
      </c>
      <c r="D105" s="69">
        <v>2.1862745098039214</v>
      </c>
      <c r="E105" s="65">
        <v>0.27450980392156865</v>
      </c>
      <c r="F105" s="65">
        <v>0.46078431372549017</v>
      </c>
      <c r="G105" s="65">
        <v>0.25407925407925408</v>
      </c>
      <c r="H105" s="65">
        <v>0.18648018648018649</v>
      </c>
      <c r="I105" s="66">
        <v>8779.3577981651379</v>
      </c>
      <c r="J105" s="66">
        <v>-9166.875</v>
      </c>
      <c r="K105" s="65">
        <v>0.18627450980392157</v>
      </c>
      <c r="L105" s="65">
        <v>9.8039215686274508E-2</v>
      </c>
      <c r="M105" s="65">
        <v>0.27272727272727271</v>
      </c>
      <c r="N105" s="65">
        <v>0.17482517482517482</v>
      </c>
      <c r="O105" s="65">
        <v>0.52991452991452992</v>
      </c>
      <c r="P105" s="65">
        <v>0.28000000000000003</v>
      </c>
      <c r="Q105" s="65">
        <v>0.45871559633027525</v>
      </c>
    </row>
    <row r="106" spans="1:17" x14ac:dyDescent="0.4">
      <c r="A106" s="67">
        <v>103</v>
      </c>
      <c r="B106" s="64">
        <v>-1144.9000000000001</v>
      </c>
      <c r="C106" s="64">
        <v>-11.115533980582525</v>
      </c>
      <c r="D106" s="69">
        <v>2.174757281553398</v>
      </c>
      <c r="E106" s="65">
        <v>0.28155339805825241</v>
      </c>
      <c r="F106" s="65">
        <v>0.4563106796116505</v>
      </c>
      <c r="G106" s="65">
        <v>0.25573394495412843</v>
      </c>
      <c r="H106" s="65">
        <v>0.18692660550458715</v>
      </c>
      <c r="I106" s="66">
        <v>8813.4529147982066</v>
      </c>
      <c r="J106" s="66">
        <v>-9095.0920245398775</v>
      </c>
      <c r="K106" s="65">
        <v>0.18446601941747573</v>
      </c>
      <c r="L106" s="65">
        <v>9.7087378640776698E-2</v>
      </c>
      <c r="M106" s="65">
        <v>0.26949541284403672</v>
      </c>
      <c r="N106" s="65">
        <v>0.17545871559633028</v>
      </c>
      <c r="O106" s="65">
        <v>0.53191489361702127</v>
      </c>
      <c r="P106" s="65">
        <v>0.28104575163398693</v>
      </c>
      <c r="Q106" s="65">
        <v>0.452914798206278</v>
      </c>
    </row>
    <row r="107" spans="1:17" x14ac:dyDescent="0.4">
      <c r="A107" s="67">
        <v>104</v>
      </c>
      <c r="B107" s="64">
        <v>-1134.8000000000002</v>
      </c>
      <c r="C107" s="64">
        <v>-10.911538461538463</v>
      </c>
      <c r="D107" s="69">
        <v>2.1730769230769229</v>
      </c>
      <c r="E107" s="65">
        <v>0.27884615384615385</v>
      </c>
      <c r="F107" s="65">
        <v>0.45192307692307693</v>
      </c>
      <c r="G107" s="65">
        <v>0.25539160045402953</v>
      </c>
      <c r="H107" s="65">
        <v>0.18501702610669693</v>
      </c>
      <c r="I107" s="66">
        <v>8806.2222222222226</v>
      </c>
      <c r="J107" s="66">
        <v>-9095.0920245398775</v>
      </c>
      <c r="K107" s="65">
        <v>0.18269230769230768</v>
      </c>
      <c r="L107" s="65">
        <v>9.6153846153846159E-2</v>
      </c>
      <c r="M107" s="65">
        <v>0.26787741203178206</v>
      </c>
      <c r="N107" s="65">
        <v>0.17593643586833144</v>
      </c>
      <c r="O107" s="65">
        <v>0.52966101694915257</v>
      </c>
      <c r="P107" s="65">
        <v>0.27741935483870966</v>
      </c>
      <c r="Q107" s="65">
        <v>0.45777777777777778</v>
      </c>
    </row>
    <row r="108" spans="1:17" x14ac:dyDescent="0.4">
      <c r="A108" s="67">
        <v>105</v>
      </c>
      <c r="B108" s="64">
        <v>-1138.7000000000003</v>
      </c>
      <c r="C108" s="64">
        <v>-10.844761904761908</v>
      </c>
      <c r="D108" s="69">
        <v>2.1714285714285713</v>
      </c>
      <c r="E108" s="65">
        <v>0.27619047619047621</v>
      </c>
      <c r="F108" s="65">
        <v>0.44761904761904764</v>
      </c>
      <c r="G108" s="65">
        <v>0.2556053811659193</v>
      </c>
      <c r="H108" s="65">
        <v>0.18497757847533633</v>
      </c>
      <c r="I108" s="66">
        <v>8817.105263157895</v>
      </c>
      <c r="J108" s="66">
        <v>-9147.878787878788</v>
      </c>
      <c r="K108" s="65">
        <v>0.18095238095238095</v>
      </c>
      <c r="L108" s="65">
        <v>9.5238095238095233E-2</v>
      </c>
      <c r="M108" s="65">
        <v>0.26905829596412556</v>
      </c>
      <c r="N108" s="65">
        <v>0.17713004484304934</v>
      </c>
      <c r="O108" s="65">
        <v>0.52916666666666667</v>
      </c>
      <c r="P108" s="65">
        <v>0.27848101265822783</v>
      </c>
      <c r="Q108" s="65">
        <v>0.45614035087719296</v>
      </c>
    </row>
    <row r="109" spans="1:17" x14ac:dyDescent="0.4">
      <c r="A109" s="67">
        <v>106</v>
      </c>
      <c r="B109" s="64">
        <v>-1119.7000000000003</v>
      </c>
      <c r="C109" s="64">
        <v>-10.563207547169814</v>
      </c>
      <c r="D109" s="69">
        <v>2.1698113207547172</v>
      </c>
      <c r="E109" s="65">
        <v>0.27358490566037735</v>
      </c>
      <c r="F109" s="65">
        <v>0.44339622641509435</v>
      </c>
      <c r="G109" s="65">
        <v>0.25777777777777777</v>
      </c>
      <c r="H109" s="65">
        <v>0.18555555555555556</v>
      </c>
      <c r="I109" s="66">
        <v>8818.1034482758623</v>
      </c>
      <c r="J109" s="66">
        <v>-9158.0838323353291</v>
      </c>
      <c r="K109" s="65">
        <v>0.17924528301886791</v>
      </c>
      <c r="L109" s="65">
        <v>9.4339622641509441E-2</v>
      </c>
      <c r="M109" s="65">
        <v>0.26777777777777778</v>
      </c>
      <c r="N109" s="65">
        <v>0.17888888888888888</v>
      </c>
      <c r="O109" s="65">
        <v>0.53112033195020747</v>
      </c>
      <c r="P109" s="65">
        <v>0.2857142857142857</v>
      </c>
      <c r="Q109" s="65">
        <v>0.45258620689655171</v>
      </c>
    </row>
    <row r="110" spans="1:17" x14ac:dyDescent="0.4">
      <c r="A110" s="67">
        <v>107</v>
      </c>
      <c r="B110" s="64">
        <v>-1085.0000000000002</v>
      </c>
      <c r="C110" s="64">
        <v>-10.140186915887853</v>
      </c>
      <c r="D110" s="69">
        <v>2.1588785046728973</v>
      </c>
      <c r="E110" s="65">
        <v>0.28037383177570091</v>
      </c>
      <c r="F110" s="65">
        <v>0.43925233644859812</v>
      </c>
      <c r="G110" s="65">
        <v>0.25962596259625964</v>
      </c>
      <c r="H110" s="65">
        <v>0.18371837183718373</v>
      </c>
      <c r="I110" s="66">
        <v>8735.1694915254229</v>
      </c>
      <c r="J110" s="66">
        <v>-9158.0838323353291</v>
      </c>
      <c r="K110" s="65">
        <v>0.17757009345794392</v>
      </c>
      <c r="L110" s="65">
        <v>9.3457943925233641E-2</v>
      </c>
      <c r="M110" s="65">
        <v>0.26622662266226621</v>
      </c>
      <c r="N110" s="65">
        <v>0.18041804180418042</v>
      </c>
      <c r="O110" s="65">
        <v>0.53305785123966942</v>
      </c>
      <c r="P110" s="65">
        <v>0.29268292682926828</v>
      </c>
      <c r="Q110" s="65">
        <v>0.44915254237288138</v>
      </c>
    </row>
    <row r="111" spans="1:17" x14ac:dyDescent="0.4">
      <c r="A111" s="67">
        <v>108</v>
      </c>
      <c r="B111" s="64">
        <v>-1048.6000000000001</v>
      </c>
      <c r="C111" s="64">
        <v>-9.7092592592592606</v>
      </c>
      <c r="D111" s="69">
        <v>2.1481481481481484</v>
      </c>
      <c r="E111" s="65">
        <v>0.28703703703703703</v>
      </c>
      <c r="F111" s="65">
        <v>0.43518518518518517</v>
      </c>
      <c r="G111" s="65">
        <v>0.26195652173913042</v>
      </c>
      <c r="H111" s="65">
        <v>0.18260869565217391</v>
      </c>
      <c r="I111" s="66">
        <v>8658.9211618257268</v>
      </c>
      <c r="J111" s="66">
        <v>-9126.7857142857138</v>
      </c>
      <c r="K111" s="65">
        <v>0.17592592592592593</v>
      </c>
      <c r="L111" s="65">
        <v>9.2592592592592587E-2</v>
      </c>
      <c r="M111" s="65">
        <v>0.26521739130434785</v>
      </c>
      <c r="N111" s="65">
        <v>0.18260869565217391</v>
      </c>
      <c r="O111" s="65">
        <v>0.53688524590163933</v>
      </c>
      <c r="P111" s="65">
        <v>0.29761904761904762</v>
      </c>
      <c r="Q111" s="65">
        <v>0.44398340248962653</v>
      </c>
    </row>
    <row r="112" spans="1:17" x14ac:dyDescent="0.4">
      <c r="A112" s="67">
        <v>109</v>
      </c>
      <c r="B112" s="64">
        <v>-982.60000000000014</v>
      </c>
      <c r="C112" s="64">
        <v>-9.0146788990825701</v>
      </c>
      <c r="D112" s="69">
        <v>2.1376146788990824</v>
      </c>
      <c r="E112" s="65">
        <v>0.29357798165137616</v>
      </c>
      <c r="F112" s="65">
        <v>0.43119266055045874</v>
      </c>
      <c r="G112" s="65">
        <v>0.26213592233009708</v>
      </c>
      <c r="H112" s="65">
        <v>0.18446601941747573</v>
      </c>
      <c r="I112" s="66">
        <v>8883.9506172839501</v>
      </c>
      <c r="J112" s="66">
        <v>-9054.3859649122805</v>
      </c>
      <c r="K112" s="65">
        <v>0.1743119266055046</v>
      </c>
      <c r="L112" s="65">
        <v>0.10091743119266056</v>
      </c>
      <c r="M112" s="65">
        <v>0.26429341963322545</v>
      </c>
      <c r="N112" s="65">
        <v>0.18230852211434737</v>
      </c>
      <c r="O112" s="65">
        <v>0.53877551020408165</v>
      </c>
      <c r="P112" s="65">
        <v>0.29585798816568049</v>
      </c>
      <c r="Q112" s="65">
        <v>0.44855967078189302</v>
      </c>
    </row>
    <row r="113" spans="1:17" x14ac:dyDescent="0.4">
      <c r="A113" s="67">
        <v>110</v>
      </c>
      <c r="B113" s="64">
        <v>-940.00000000000011</v>
      </c>
      <c r="C113" s="64">
        <v>-8.5454545454545467</v>
      </c>
      <c r="D113" s="69">
        <v>2.1272727272727274</v>
      </c>
      <c r="E113" s="65">
        <v>0.3</v>
      </c>
      <c r="F113" s="65">
        <v>0.42727272727272725</v>
      </c>
      <c r="G113" s="65">
        <v>0.26315789473684209</v>
      </c>
      <c r="H113" s="65">
        <v>0.18367346938775511</v>
      </c>
      <c r="I113" s="66">
        <v>8896.7346938775518</v>
      </c>
      <c r="J113" s="66">
        <v>-9054.3859649122805</v>
      </c>
      <c r="K113" s="65">
        <v>0.17272727272727273</v>
      </c>
      <c r="L113" s="65">
        <v>0.10909090909090909</v>
      </c>
      <c r="M113" s="65">
        <v>0.26423200859291085</v>
      </c>
      <c r="N113" s="65">
        <v>0.18259935553168635</v>
      </c>
      <c r="O113" s="65">
        <v>0.54065040650406504</v>
      </c>
      <c r="P113" s="65">
        <v>0.3</v>
      </c>
      <c r="Q113" s="65">
        <v>0.44897959183673469</v>
      </c>
    </row>
    <row r="114" spans="1:17" x14ac:dyDescent="0.4">
      <c r="A114" s="67">
        <v>111</v>
      </c>
      <c r="B114" s="64">
        <v>-890.80000000000007</v>
      </c>
      <c r="C114" s="64">
        <v>-8.0252252252252259</v>
      </c>
      <c r="D114" s="69">
        <v>2.1171171171171173</v>
      </c>
      <c r="E114" s="65">
        <v>0.30630630630630629</v>
      </c>
      <c r="F114" s="65">
        <v>0.42342342342342343</v>
      </c>
      <c r="G114" s="65">
        <v>0.26567481402763016</v>
      </c>
      <c r="H114" s="65">
        <v>0.18278427205100956</v>
      </c>
      <c r="I114" s="66">
        <v>8854</v>
      </c>
      <c r="J114" s="66">
        <v>-9071.5116279069771</v>
      </c>
      <c r="K114" s="65">
        <v>0.17117117117117117</v>
      </c>
      <c r="L114" s="65">
        <v>0.11711711711711711</v>
      </c>
      <c r="M114" s="65">
        <v>0.26673751328374068</v>
      </c>
      <c r="N114" s="65">
        <v>0.18172157279489903</v>
      </c>
      <c r="O114" s="65">
        <v>0.53784860557768921</v>
      </c>
      <c r="P114" s="65">
        <v>0.30409356725146197</v>
      </c>
      <c r="Q114" s="65">
        <v>0.44400000000000001</v>
      </c>
    </row>
    <row r="115" spans="1:17" x14ac:dyDescent="0.4">
      <c r="A115" s="67">
        <v>112</v>
      </c>
      <c r="B115" s="64">
        <v>-971.2</v>
      </c>
      <c r="C115" s="64">
        <v>-8.6714285714285726</v>
      </c>
      <c r="D115" s="69">
        <v>2.125</v>
      </c>
      <c r="E115" s="65">
        <v>0.30357142857142855</v>
      </c>
      <c r="F115" s="65">
        <v>0.42857142857142855</v>
      </c>
      <c r="G115" s="65">
        <v>0.26498422712933756</v>
      </c>
      <c r="H115" s="65">
        <v>0.18506834910620398</v>
      </c>
      <c r="I115" s="66">
        <v>8851.9841269841272</v>
      </c>
      <c r="J115" s="66">
        <v>-8952.8409090909099</v>
      </c>
      <c r="K115" s="65">
        <v>0.17857142857142858</v>
      </c>
      <c r="L115" s="65">
        <v>0.11607142857142858</v>
      </c>
      <c r="M115" s="65">
        <v>0.26498422712933756</v>
      </c>
      <c r="N115" s="65">
        <v>0.18191377497371189</v>
      </c>
      <c r="O115" s="65">
        <v>0.53968253968253965</v>
      </c>
      <c r="P115" s="65">
        <v>0.30635838150289019</v>
      </c>
      <c r="Q115" s="65">
        <v>0.44047619047619047</v>
      </c>
    </row>
    <row r="116" spans="1:17" x14ac:dyDescent="0.4">
      <c r="A116" s="67">
        <v>113</v>
      </c>
      <c r="B116" s="64">
        <v>-921.2</v>
      </c>
      <c r="C116" s="64">
        <v>-8.1522123893805318</v>
      </c>
      <c r="D116" s="69">
        <v>2.1150442477876106</v>
      </c>
      <c r="E116" s="65">
        <v>0.30973451327433627</v>
      </c>
      <c r="F116" s="65">
        <v>0.4247787610619469</v>
      </c>
      <c r="G116" s="65">
        <v>0.2664576802507837</v>
      </c>
      <c r="H116" s="65">
        <v>0.18390804597701149</v>
      </c>
      <c r="I116" s="66">
        <v>8873.3333333333339</v>
      </c>
      <c r="J116" s="66">
        <v>-8952.8409090909099</v>
      </c>
      <c r="K116" s="65">
        <v>0.17699115044247787</v>
      </c>
      <c r="L116" s="65">
        <v>0.12389380530973451</v>
      </c>
      <c r="M116" s="65">
        <v>0.26436781609195403</v>
      </c>
      <c r="N116" s="65">
        <v>0.18181818181818182</v>
      </c>
      <c r="O116" s="65">
        <v>0.54150197628458496</v>
      </c>
      <c r="P116" s="65">
        <v>0.3045977011494253</v>
      </c>
      <c r="Q116" s="65">
        <v>0.4392156862745098</v>
      </c>
    </row>
    <row r="117" spans="1:17" x14ac:dyDescent="0.4">
      <c r="A117" s="67">
        <v>114</v>
      </c>
      <c r="B117" s="64">
        <v>-924.7</v>
      </c>
      <c r="C117" s="64">
        <v>-8.1114035087719305</v>
      </c>
      <c r="D117" s="69">
        <v>2.1140350877192984</v>
      </c>
      <c r="E117" s="65">
        <v>0.30701754385964913</v>
      </c>
      <c r="F117" s="65">
        <v>0.42105263157894735</v>
      </c>
      <c r="G117" s="65">
        <v>0.265625</v>
      </c>
      <c r="H117" s="65">
        <v>0.18333333333333332</v>
      </c>
      <c r="I117" s="66">
        <v>8873.3333333333339</v>
      </c>
      <c r="J117" s="66">
        <v>-8952.8409090909099</v>
      </c>
      <c r="K117" s="65">
        <v>0.17543859649122806</v>
      </c>
      <c r="L117" s="65">
        <v>0.12280701754385964</v>
      </c>
      <c r="M117" s="65">
        <v>0.26354166666666667</v>
      </c>
      <c r="N117" s="65">
        <v>0.18124999999999999</v>
      </c>
      <c r="O117" s="65">
        <v>0.54150197628458496</v>
      </c>
      <c r="P117" s="65">
        <v>0.3045977011494253</v>
      </c>
      <c r="Q117" s="65">
        <v>0.4392156862745098</v>
      </c>
    </row>
    <row r="118" spans="1:17" x14ac:dyDescent="0.4">
      <c r="A118" s="67">
        <v>115</v>
      </c>
      <c r="B118" s="64">
        <v>-919.7</v>
      </c>
      <c r="C118" s="64">
        <v>-7.9973913043478264</v>
      </c>
      <c r="D118" s="69">
        <v>2.1130434782608694</v>
      </c>
      <c r="E118" s="65">
        <v>0.30434782608695654</v>
      </c>
      <c r="F118" s="65">
        <v>0.41739130434782606</v>
      </c>
      <c r="G118" s="65">
        <v>0.26646090534979422</v>
      </c>
      <c r="H118" s="65">
        <v>0.18415637860082304</v>
      </c>
      <c r="I118" s="66">
        <v>8866.0231660231657</v>
      </c>
      <c r="J118" s="66">
        <v>-8887.7094972067043</v>
      </c>
      <c r="K118" s="65">
        <v>0.17391304347826086</v>
      </c>
      <c r="L118" s="65">
        <v>0.12173913043478261</v>
      </c>
      <c r="M118" s="65">
        <v>0.26131687242798352</v>
      </c>
      <c r="N118" s="65">
        <v>0.18209876543209877</v>
      </c>
      <c r="O118" s="65">
        <v>0.54330708661417326</v>
      </c>
      <c r="P118" s="65">
        <v>0.30508474576271188</v>
      </c>
      <c r="Q118" s="65">
        <v>0.44015444015444016</v>
      </c>
    </row>
    <row r="119" spans="1:17" x14ac:dyDescent="0.4">
      <c r="A119" s="67">
        <v>116</v>
      </c>
      <c r="B119" s="64">
        <v>-880.80000000000007</v>
      </c>
      <c r="C119" s="64">
        <v>-7.5931034482758628</v>
      </c>
      <c r="D119" s="69">
        <v>2.103448275862069</v>
      </c>
      <c r="E119" s="65">
        <v>0.31034482758620691</v>
      </c>
      <c r="F119" s="65">
        <v>0.41379310344827586</v>
      </c>
      <c r="G119" s="65">
        <v>0.26653102746693796</v>
      </c>
      <c r="H119" s="65">
        <v>0.18413021363173956</v>
      </c>
      <c r="I119" s="66">
        <v>8908.0152671755732</v>
      </c>
      <c r="J119" s="66">
        <v>-8871.8232044198903</v>
      </c>
      <c r="K119" s="65">
        <v>0.17241379310344829</v>
      </c>
      <c r="L119" s="65">
        <v>0.1206896551724138</v>
      </c>
      <c r="M119" s="65">
        <v>0.26144455747711087</v>
      </c>
      <c r="N119" s="65">
        <v>0.18107833163784334</v>
      </c>
      <c r="O119" s="65">
        <v>0.54474708171206221</v>
      </c>
      <c r="P119" s="65">
        <v>0.3089887640449438</v>
      </c>
      <c r="Q119" s="65">
        <v>0.43893129770992367</v>
      </c>
    </row>
    <row r="120" spans="1:17" x14ac:dyDescent="0.4">
      <c r="A120" s="67">
        <v>117</v>
      </c>
      <c r="B120" s="64">
        <v>-932.80000000000007</v>
      </c>
      <c r="C120" s="64">
        <v>-7.9726495726495736</v>
      </c>
      <c r="D120" s="69">
        <v>2.1111111111111112</v>
      </c>
      <c r="E120" s="65">
        <v>0.30769230769230771</v>
      </c>
      <c r="F120" s="65">
        <v>0.41880341880341881</v>
      </c>
      <c r="G120" s="65">
        <v>0.2651209677419355</v>
      </c>
      <c r="H120" s="65">
        <v>0.18548387096774194</v>
      </c>
      <c r="I120" s="66">
        <v>8903.4220532319396</v>
      </c>
      <c r="J120" s="66">
        <v>-8885.8695652173919</v>
      </c>
      <c r="K120" s="65">
        <v>0.17094017094017094</v>
      </c>
      <c r="L120" s="65">
        <v>0.11965811965811966</v>
      </c>
      <c r="M120" s="65">
        <v>0.26008064516129031</v>
      </c>
      <c r="N120" s="65">
        <v>0.17943548387096775</v>
      </c>
      <c r="O120" s="65">
        <v>0.54263565891472865</v>
      </c>
      <c r="P120" s="65">
        <v>0.3089887640449438</v>
      </c>
      <c r="Q120" s="65">
        <v>0.43726235741444869</v>
      </c>
    </row>
    <row r="121" spans="1:17" x14ac:dyDescent="0.4">
      <c r="A121" s="67">
        <v>118</v>
      </c>
      <c r="B121" s="64">
        <v>-988.7</v>
      </c>
      <c r="C121" s="64">
        <v>-8.378813559322035</v>
      </c>
      <c r="D121" s="69">
        <v>2.1186440677966103</v>
      </c>
      <c r="E121" s="65">
        <v>0.30508474576271188</v>
      </c>
      <c r="F121" s="65">
        <v>0.42372881355932202</v>
      </c>
      <c r="G121" s="65">
        <v>0.26352705410821642</v>
      </c>
      <c r="H121" s="65">
        <v>0.18637274549098196</v>
      </c>
      <c r="I121" s="66">
        <v>8903.4220532319396</v>
      </c>
      <c r="J121" s="66">
        <v>-8930.1075268817203</v>
      </c>
      <c r="K121" s="65">
        <v>0.17796610169491525</v>
      </c>
      <c r="L121" s="65">
        <v>0.11864406779661017</v>
      </c>
      <c r="M121" s="65">
        <v>0.25851703406813625</v>
      </c>
      <c r="N121" s="65">
        <v>0.18136272545090179</v>
      </c>
      <c r="O121" s="65">
        <v>0.54263565891472865</v>
      </c>
      <c r="P121" s="65">
        <v>0.30386740331491713</v>
      </c>
      <c r="Q121" s="65">
        <v>0.43726235741444869</v>
      </c>
    </row>
    <row r="122" spans="1:17" x14ac:dyDescent="0.4">
      <c r="A122" s="67">
        <v>119</v>
      </c>
      <c r="B122" s="64">
        <v>-950.40000000000009</v>
      </c>
      <c r="C122" s="64">
        <v>-7.9865546218487404</v>
      </c>
      <c r="D122" s="69">
        <v>2.1092436974789917</v>
      </c>
      <c r="E122" s="65">
        <v>0.31092436974789917</v>
      </c>
      <c r="F122" s="65">
        <v>0.42016806722689076</v>
      </c>
      <c r="G122" s="65">
        <v>0.26467661691542288</v>
      </c>
      <c r="H122" s="65">
        <v>0.18507462686567164</v>
      </c>
      <c r="I122" s="66">
        <v>8885.7142857142862</v>
      </c>
      <c r="J122" s="66">
        <v>-8930.1075268817203</v>
      </c>
      <c r="K122" s="65">
        <v>0.17647058823529413</v>
      </c>
      <c r="L122" s="65">
        <v>0.11764705882352941</v>
      </c>
      <c r="M122" s="65">
        <v>0.25870646766169153</v>
      </c>
      <c r="N122" s="65">
        <v>0.18308457711442785</v>
      </c>
      <c r="O122" s="65">
        <v>0.5461538461538461</v>
      </c>
      <c r="P122" s="65">
        <v>0.30434782608695654</v>
      </c>
      <c r="Q122" s="65">
        <v>0.43233082706766918</v>
      </c>
    </row>
    <row r="123" spans="1:17" x14ac:dyDescent="0.4">
      <c r="A123" s="67">
        <v>120</v>
      </c>
      <c r="B123" s="64">
        <v>-902.50000000000011</v>
      </c>
      <c r="C123" s="64">
        <v>-7.5208333333333339</v>
      </c>
      <c r="D123" s="69">
        <v>2.1</v>
      </c>
      <c r="E123" s="65">
        <v>0.31666666666666665</v>
      </c>
      <c r="F123" s="65">
        <v>0.41666666666666669</v>
      </c>
      <c r="G123" s="65">
        <v>0.26554787759131293</v>
      </c>
      <c r="H123" s="65">
        <v>0.18361303060217177</v>
      </c>
      <c r="I123" s="66">
        <v>8920.4460966542756</v>
      </c>
      <c r="J123" s="66">
        <v>-8930.1075268817203</v>
      </c>
      <c r="K123" s="65">
        <v>0.17499999999999999</v>
      </c>
      <c r="L123" s="65">
        <v>0.125</v>
      </c>
      <c r="M123" s="65">
        <v>0.26061204343534056</v>
      </c>
      <c r="N123" s="65">
        <v>0.18262586377097728</v>
      </c>
      <c r="O123" s="65">
        <v>0.5492424242424242</v>
      </c>
      <c r="P123" s="65">
        <v>0.30270270270270272</v>
      </c>
      <c r="Q123" s="65">
        <v>0.43122676579925651</v>
      </c>
    </row>
    <row r="124" spans="1:17" x14ac:dyDescent="0.4">
      <c r="A124" s="67">
        <v>121</v>
      </c>
      <c r="B124" s="64">
        <v>-911.60000000000014</v>
      </c>
      <c r="C124" s="64">
        <v>-7.5338842975206619</v>
      </c>
      <c r="D124" s="69">
        <v>2.0991735537190084</v>
      </c>
      <c r="E124" s="65">
        <v>0.31404958677685951</v>
      </c>
      <c r="F124" s="65">
        <v>0.41322314049586778</v>
      </c>
      <c r="G124" s="65">
        <v>0.26516634050880628</v>
      </c>
      <c r="H124" s="65">
        <v>0.18493150684931506</v>
      </c>
      <c r="I124" s="66">
        <v>8898.8929889298888</v>
      </c>
      <c r="J124" s="66">
        <v>-8870.8994708994705</v>
      </c>
      <c r="K124" s="65">
        <v>0.17355371900826447</v>
      </c>
      <c r="L124" s="65">
        <v>0.12396694214876033</v>
      </c>
      <c r="M124" s="65">
        <v>0.26027397260273971</v>
      </c>
      <c r="N124" s="65">
        <v>0.18199608610567514</v>
      </c>
      <c r="O124" s="65">
        <v>0.54511278195488722</v>
      </c>
      <c r="P124" s="65">
        <v>0.30645161290322581</v>
      </c>
      <c r="Q124" s="65">
        <v>0.43542435424354242</v>
      </c>
    </row>
    <row r="125" spans="1:17" x14ac:dyDescent="0.4">
      <c r="A125" s="67">
        <v>122</v>
      </c>
      <c r="B125" s="64">
        <v>-881.60000000000014</v>
      </c>
      <c r="C125" s="64">
        <v>-7.2262295081967221</v>
      </c>
      <c r="D125" s="69">
        <v>2.0901639344262297</v>
      </c>
      <c r="E125" s="65">
        <v>0.31967213114754101</v>
      </c>
      <c r="F125" s="65">
        <v>0.4098360655737705</v>
      </c>
      <c r="G125" s="65">
        <v>0.26647286821705424</v>
      </c>
      <c r="H125" s="65">
        <v>0.18507751937984496</v>
      </c>
      <c r="I125" s="66">
        <v>8826.181818181818</v>
      </c>
      <c r="J125" s="66">
        <v>-8796.8586387434552</v>
      </c>
      <c r="K125" s="65">
        <v>0.1721311475409836</v>
      </c>
      <c r="L125" s="65">
        <v>0.12295081967213115</v>
      </c>
      <c r="M125" s="65">
        <v>0.25775193798449614</v>
      </c>
      <c r="N125" s="65">
        <v>0.18217054263565891</v>
      </c>
      <c r="O125" s="65">
        <v>0.54511278195488722</v>
      </c>
      <c r="P125" s="65">
        <v>0.31382978723404253</v>
      </c>
      <c r="Q125" s="65">
        <v>0.42909090909090908</v>
      </c>
    </row>
    <row r="126" spans="1:17" x14ac:dyDescent="0.4">
      <c r="A126" s="67">
        <v>123</v>
      </c>
      <c r="B126" s="64">
        <v>-881.00000000000011</v>
      </c>
      <c r="C126" s="64">
        <v>-7.1626016260162615</v>
      </c>
      <c r="D126" s="69">
        <v>2.089430894308943</v>
      </c>
      <c r="E126" s="65">
        <v>0.31707317073170732</v>
      </c>
      <c r="F126" s="65">
        <v>0.4065040650406504</v>
      </c>
      <c r="G126" s="65">
        <v>0.26685934489402696</v>
      </c>
      <c r="H126" s="65">
        <v>0.18400770712909442</v>
      </c>
      <c r="I126" s="66">
        <v>8805.7761732851977</v>
      </c>
      <c r="J126" s="66">
        <v>-8796.8586387434552</v>
      </c>
      <c r="K126" s="65">
        <v>0.17073170731707318</v>
      </c>
      <c r="L126" s="65">
        <v>0.12195121951219512</v>
      </c>
      <c r="M126" s="65">
        <v>0.25722543352601157</v>
      </c>
      <c r="N126" s="65">
        <v>0.1811175337186898</v>
      </c>
      <c r="O126" s="65">
        <v>0.54307116104868913</v>
      </c>
      <c r="P126" s="65">
        <v>0.31382978723404253</v>
      </c>
      <c r="Q126" s="65">
        <v>0.43321299638989169</v>
      </c>
    </row>
    <row r="127" spans="1:17" x14ac:dyDescent="0.4">
      <c r="A127" s="67">
        <v>124</v>
      </c>
      <c r="B127" s="64">
        <v>-849.50000000000011</v>
      </c>
      <c r="C127" s="64">
        <v>-6.8508064516129039</v>
      </c>
      <c r="D127" s="69">
        <v>2.0806451612903225</v>
      </c>
      <c r="E127" s="65">
        <v>0.32258064516129031</v>
      </c>
      <c r="F127" s="65">
        <v>0.40322580645161288</v>
      </c>
      <c r="G127" s="65">
        <v>0.26838586437440304</v>
      </c>
      <c r="H127" s="65">
        <v>0.18338108882521489</v>
      </c>
      <c r="I127" s="66">
        <v>8777.9359430604982</v>
      </c>
      <c r="J127" s="66">
        <v>-8771.3541666666661</v>
      </c>
      <c r="K127" s="65">
        <v>0.16935483870967741</v>
      </c>
      <c r="L127" s="65">
        <v>0.12096774193548387</v>
      </c>
      <c r="M127" s="65">
        <v>0.25692454632282713</v>
      </c>
      <c r="N127" s="65">
        <v>0.18051575931232092</v>
      </c>
      <c r="O127" s="65">
        <v>0.54275092936802971</v>
      </c>
      <c r="P127" s="65">
        <v>0.31746031746031744</v>
      </c>
      <c r="Q127" s="65">
        <v>0.43416370106761565</v>
      </c>
    </row>
    <row r="128" spans="1:17" x14ac:dyDescent="0.4">
      <c r="A128" s="67">
        <v>125</v>
      </c>
      <c r="B128" s="64">
        <v>-877.90000000000009</v>
      </c>
      <c r="C128" s="64">
        <v>-7.023200000000001</v>
      </c>
      <c r="D128" s="69">
        <v>2.0880000000000001</v>
      </c>
      <c r="E128" s="65">
        <v>0.32</v>
      </c>
      <c r="F128" s="65">
        <v>0.40799999999999997</v>
      </c>
      <c r="G128" s="65">
        <v>0.26817752596789424</v>
      </c>
      <c r="H128" s="65">
        <v>0.182247403210576</v>
      </c>
      <c r="I128" s="66">
        <v>8736.6197183098593</v>
      </c>
      <c r="J128" s="66">
        <v>-8732.6424870466326</v>
      </c>
      <c r="K128" s="65">
        <v>0.16800000000000001</v>
      </c>
      <c r="L128" s="65">
        <v>0.12</v>
      </c>
      <c r="M128" s="65">
        <v>0.25590179414542019</v>
      </c>
      <c r="N128" s="65">
        <v>0.17941454202077431</v>
      </c>
      <c r="O128" s="65">
        <v>0.54612546125461259</v>
      </c>
      <c r="P128" s="65">
        <v>0.31578947368421051</v>
      </c>
      <c r="Q128" s="65">
        <v>0.43309859154929575</v>
      </c>
    </row>
    <row r="129" spans="1:17" x14ac:dyDescent="0.4">
      <c r="A129" s="67">
        <v>126</v>
      </c>
      <c r="B129" s="64">
        <v>-883.00000000000011</v>
      </c>
      <c r="C129" s="64">
        <v>-7.0079365079365088</v>
      </c>
      <c r="D129" s="69">
        <v>2.0873015873015874</v>
      </c>
      <c r="E129" s="65">
        <v>0.31746031746031744</v>
      </c>
      <c r="F129" s="65">
        <v>0.40476190476190477</v>
      </c>
      <c r="G129" s="65">
        <v>0.26897844423617617</v>
      </c>
      <c r="H129" s="65">
        <v>0.18088097469540768</v>
      </c>
      <c r="I129" s="66">
        <v>8700</v>
      </c>
      <c r="J129" s="66">
        <v>-8732.6424870466326</v>
      </c>
      <c r="K129" s="65">
        <v>0.16666666666666666</v>
      </c>
      <c r="L129" s="65">
        <v>0.11904761904761904</v>
      </c>
      <c r="M129" s="65">
        <v>0.25585754451733833</v>
      </c>
      <c r="N129" s="65">
        <v>0.17900656044985941</v>
      </c>
      <c r="O129" s="65">
        <v>0.54578754578754574</v>
      </c>
      <c r="P129" s="65">
        <v>0.31413612565445026</v>
      </c>
      <c r="Q129" s="65">
        <v>0.43554006968641112</v>
      </c>
    </row>
    <row r="130" spans="1:17" x14ac:dyDescent="0.4">
      <c r="A130" s="67">
        <v>127</v>
      </c>
      <c r="B130" s="64">
        <v>-881.50000000000011</v>
      </c>
      <c r="C130" s="64">
        <v>-6.9409448818897648</v>
      </c>
      <c r="D130" s="69">
        <v>2.0866141732283463</v>
      </c>
      <c r="E130" s="65">
        <v>0.31496062992125984</v>
      </c>
      <c r="F130" s="65">
        <v>0.40157480314960631</v>
      </c>
      <c r="G130" s="65">
        <v>0.26976744186046514</v>
      </c>
      <c r="H130" s="65">
        <v>0.18046511627906978</v>
      </c>
      <c r="I130" s="66">
        <v>8663.4482758620688</v>
      </c>
      <c r="J130" s="66">
        <v>-8728.865979381444</v>
      </c>
      <c r="K130" s="65">
        <v>0.16535433070866143</v>
      </c>
      <c r="L130" s="65">
        <v>0.11811023622047244</v>
      </c>
      <c r="M130" s="65">
        <v>0.25674418604651161</v>
      </c>
      <c r="N130" s="65">
        <v>0.17767441860465116</v>
      </c>
      <c r="O130" s="65">
        <v>0.54710144927536231</v>
      </c>
      <c r="P130" s="65">
        <v>0.31413612565445026</v>
      </c>
      <c r="Q130" s="65">
        <v>0.43103448275862066</v>
      </c>
    </row>
    <row r="131" spans="1:17" x14ac:dyDescent="0.4">
      <c r="A131" s="67">
        <v>128</v>
      </c>
      <c r="B131" s="64">
        <v>-908.40000000000009</v>
      </c>
      <c r="C131" s="64">
        <v>-7.0968750000000007</v>
      </c>
      <c r="D131" s="69">
        <v>2.09375</v>
      </c>
      <c r="E131" s="65">
        <v>0.3125</v>
      </c>
      <c r="F131" s="65">
        <v>0.40625</v>
      </c>
      <c r="G131" s="65">
        <v>0.27012025901942643</v>
      </c>
      <c r="H131" s="65">
        <v>0.17946345975948197</v>
      </c>
      <c r="I131" s="66">
        <v>8627.3972602739723</v>
      </c>
      <c r="J131" s="66">
        <v>-8728.865979381444</v>
      </c>
      <c r="K131" s="65">
        <v>0.1640625</v>
      </c>
      <c r="L131" s="65">
        <v>0.1171875</v>
      </c>
      <c r="M131" s="65">
        <v>0.25531914893617019</v>
      </c>
      <c r="N131" s="65">
        <v>0.17853839037927843</v>
      </c>
      <c r="O131" s="65">
        <v>0.54710144927536231</v>
      </c>
      <c r="P131" s="65">
        <v>0.31606217616580312</v>
      </c>
      <c r="Q131" s="65">
        <v>0.43493150684931509</v>
      </c>
    </row>
    <row r="132" spans="1:17" x14ac:dyDescent="0.4">
      <c r="A132" s="67">
        <v>129</v>
      </c>
      <c r="B132" s="64">
        <v>-970.40000000000009</v>
      </c>
      <c r="C132" s="64">
        <v>-7.5224806201550392</v>
      </c>
      <c r="D132" s="69">
        <v>2.1007751937984498</v>
      </c>
      <c r="E132" s="65">
        <v>0.31007751937984496</v>
      </c>
      <c r="F132" s="65">
        <v>0.41085271317829458</v>
      </c>
      <c r="G132" s="65">
        <v>0.26937269372693728</v>
      </c>
      <c r="H132" s="65">
        <v>0.18081180811808117</v>
      </c>
      <c r="I132" s="66">
        <v>8627.3972602739723</v>
      </c>
      <c r="J132" s="66">
        <v>-8792.8571428571431</v>
      </c>
      <c r="K132" s="65">
        <v>0.17054263565891473</v>
      </c>
      <c r="L132" s="65">
        <v>0.11627906976744186</v>
      </c>
      <c r="M132" s="65">
        <v>0.25553505535055349</v>
      </c>
      <c r="N132" s="65">
        <v>0.17896678966789667</v>
      </c>
      <c r="O132" s="65">
        <v>0.54512635379061369</v>
      </c>
      <c r="P132" s="65">
        <v>0.31443298969072164</v>
      </c>
      <c r="Q132" s="65">
        <v>0.43493150684931509</v>
      </c>
    </row>
    <row r="133" spans="1:17" x14ac:dyDescent="0.4">
      <c r="A133" s="67">
        <v>130</v>
      </c>
      <c r="B133" s="64">
        <v>-939.30000000000007</v>
      </c>
      <c r="C133" s="64">
        <v>-7.2253846153846162</v>
      </c>
      <c r="D133" s="69">
        <v>2.0923076923076924</v>
      </c>
      <c r="E133" s="65">
        <v>0.31538461538461537</v>
      </c>
      <c r="F133" s="65">
        <v>0.40769230769230769</v>
      </c>
      <c r="G133" s="65">
        <v>0.27056672760511885</v>
      </c>
      <c r="H133" s="65">
        <v>0.17915904936014626</v>
      </c>
      <c r="I133" s="66">
        <v>8597.2972972972966</v>
      </c>
      <c r="J133" s="66">
        <v>-8792.8571428571431</v>
      </c>
      <c r="K133" s="65">
        <v>0.16923076923076924</v>
      </c>
      <c r="L133" s="65">
        <v>0.11538461538461539</v>
      </c>
      <c r="M133" s="65">
        <v>0.25959780621572209</v>
      </c>
      <c r="N133" s="65">
        <v>0.18007312614259599</v>
      </c>
      <c r="O133" s="65">
        <v>0.53873239436619713</v>
      </c>
      <c r="P133" s="65">
        <v>0.31979695431472083</v>
      </c>
      <c r="Q133" s="65">
        <v>0.43243243243243246</v>
      </c>
    </row>
    <row r="134" spans="1:17" x14ac:dyDescent="0.4">
      <c r="A134" s="67">
        <v>131</v>
      </c>
      <c r="B134" s="64">
        <v>-938.50000000000011</v>
      </c>
      <c r="C134" s="64">
        <v>-7.1641221374045809</v>
      </c>
      <c r="D134" s="69">
        <v>2.0916030534351147</v>
      </c>
      <c r="E134" s="65">
        <v>0.31297709923664124</v>
      </c>
      <c r="F134" s="65">
        <v>0.40458015267175573</v>
      </c>
      <c r="G134" s="65">
        <v>0.27017225747960111</v>
      </c>
      <c r="H134" s="65">
        <v>0.17769718948322757</v>
      </c>
      <c r="I134" s="66">
        <v>8558.3892617449656</v>
      </c>
      <c r="J134" s="66">
        <v>-8792.8571428571431</v>
      </c>
      <c r="K134" s="65">
        <v>0.16793893129770993</v>
      </c>
      <c r="L134" s="65">
        <v>0.11450381679389313</v>
      </c>
      <c r="M134" s="65">
        <v>0.25929283771532186</v>
      </c>
      <c r="N134" s="65">
        <v>0.18041704442429737</v>
      </c>
      <c r="O134" s="65">
        <v>0.534965034965035</v>
      </c>
      <c r="P134" s="65">
        <v>0.32160804020100503</v>
      </c>
      <c r="Q134" s="65">
        <v>0.43624161073825501</v>
      </c>
    </row>
    <row r="135" spans="1:17" x14ac:dyDescent="0.4">
      <c r="A135" s="67">
        <v>132</v>
      </c>
      <c r="B135" s="64">
        <v>-967.90000000000009</v>
      </c>
      <c r="C135" s="64">
        <v>-7.332575757575758</v>
      </c>
      <c r="D135" s="69">
        <v>2.0984848484848486</v>
      </c>
      <c r="E135" s="65">
        <v>0.31060606060606061</v>
      </c>
      <c r="F135" s="65">
        <v>0.40909090909090912</v>
      </c>
      <c r="G135" s="65">
        <v>0.26936936936936939</v>
      </c>
      <c r="H135" s="65">
        <v>0.17747747747747747</v>
      </c>
      <c r="I135" s="66">
        <v>8555.5183946488287</v>
      </c>
      <c r="J135" s="66">
        <v>-8787.3096446700511</v>
      </c>
      <c r="K135" s="65">
        <v>0.16666666666666666</v>
      </c>
      <c r="L135" s="65">
        <v>0.11363636363636363</v>
      </c>
      <c r="M135" s="65">
        <v>0.25765765765765763</v>
      </c>
      <c r="N135" s="65">
        <v>0.18378378378378379</v>
      </c>
      <c r="O135" s="65">
        <v>0.534965034965035</v>
      </c>
      <c r="P135" s="65">
        <v>0.31862745098039214</v>
      </c>
      <c r="Q135" s="65">
        <v>0.43812709030100333</v>
      </c>
    </row>
    <row r="136" spans="1:17" x14ac:dyDescent="0.4">
      <c r="A136" s="67">
        <v>133</v>
      </c>
      <c r="B136" s="64">
        <v>-1016.2</v>
      </c>
      <c r="C136" s="64">
        <v>-7.6406015037593988</v>
      </c>
      <c r="D136" s="69">
        <v>2.1052631578947367</v>
      </c>
      <c r="E136" s="65">
        <v>0.30827067669172931</v>
      </c>
      <c r="F136" s="65">
        <v>0.41353383458646614</v>
      </c>
      <c r="G136" s="65">
        <v>0.26744186046511625</v>
      </c>
      <c r="H136" s="65">
        <v>0.17889087656529518</v>
      </c>
      <c r="I136" s="66">
        <v>8555.5183946488287</v>
      </c>
      <c r="J136" s="66">
        <v>-8740.5</v>
      </c>
      <c r="K136" s="65">
        <v>0.16541353383458646</v>
      </c>
      <c r="L136" s="65">
        <v>0.11278195488721804</v>
      </c>
      <c r="M136" s="65">
        <v>0.2558139534883721</v>
      </c>
      <c r="N136" s="65">
        <v>0.18515205724508049</v>
      </c>
      <c r="O136" s="65">
        <v>0.534965034965035</v>
      </c>
      <c r="P136" s="65">
        <v>0.3140096618357488</v>
      </c>
      <c r="Q136" s="65">
        <v>0.43812709030100333</v>
      </c>
    </row>
    <row r="137" spans="1:17" x14ac:dyDescent="0.4">
      <c r="A137" s="67">
        <v>134</v>
      </c>
      <c r="B137" s="64">
        <v>-1019.5</v>
      </c>
      <c r="C137" s="64">
        <v>-7.6082089552238807</v>
      </c>
      <c r="D137" s="69">
        <v>2.1044776119402986</v>
      </c>
      <c r="E137" s="65">
        <v>0.30597014925373134</v>
      </c>
      <c r="F137" s="65">
        <v>0.41044776119402987</v>
      </c>
      <c r="G137" s="65">
        <v>0.26885536823425021</v>
      </c>
      <c r="H137" s="65">
        <v>0.17923691215616683</v>
      </c>
      <c r="I137" s="66">
        <v>8540.924092409241</v>
      </c>
      <c r="J137" s="66">
        <v>-8726.2376237623757</v>
      </c>
      <c r="K137" s="65">
        <v>0.16417910447761194</v>
      </c>
      <c r="L137" s="65">
        <v>0.11194029850746269</v>
      </c>
      <c r="M137" s="65">
        <v>0.25554569653948533</v>
      </c>
      <c r="N137" s="65">
        <v>0.18633540372670807</v>
      </c>
      <c r="O137" s="65">
        <v>0.53819444444444442</v>
      </c>
      <c r="P137" s="65">
        <v>0.31904761904761902</v>
      </c>
      <c r="Q137" s="65">
        <v>0.43564356435643564</v>
      </c>
    </row>
    <row r="138" spans="1:17" x14ac:dyDescent="0.4">
      <c r="A138" s="67">
        <v>135</v>
      </c>
      <c r="B138" s="64">
        <v>-991.3</v>
      </c>
      <c r="C138" s="64">
        <v>-7.3429629629629627</v>
      </c>
      <c r="D138" s="69">
        <v>2.0962962962962961</v>
      </c>
      <c r="E138" s="65">
        <v>0.31111111111111112</v>
      </c>
      <c r="F138" s="65">
        <v>0.40740740740740738</v>
      </c>
      <c r="G138" s="65">
        <v>0.26919682259488087</v>
      </c>
      <c r="H138" s="65">
        <v>0.18005295675198588</v>
      </c>
      <c r="I138" s="66">
        <v>8541.3114754098369</v>
      </c>
      <c r="J138" s="66">
        <v>-8684.8039215686276</v>
      </c>
      <c r="K138" s="65">
        <v>0.16296296296296298</v>
      </c>
      <c r="L138" s="65">
        <v>0.1111111111111111</v>
      </c>
      <c r="M138" s="65">
        <v>0.25595763459841131</v>
      </c>
      <c r="N138" s="65">
        <v>0.18534863195057369</v>
      </c>
      <c r="O138" s="65">
        <v>0.54137931034482756</v>
      </c>
      <c r="P138" s="65">
        <v>0.31904761904761902</v>
      </c>
      <c r="Q138" s="65">
        <v>0.43606557377049182</v>
      </c>
    </row>
    <row r="139" spans="1:17" x14ac:dyDescent="0.4">
      <c r="A139" s="67">
        <v>136</v>
      </c>
      <c r="B139" s="64">
        <v>-995.5</v>
      </c>
      <c r="C139" s="64">
        <v>-7.319852941176471</v>
      </c>
      <c r="D139" s="69">
        <v>2.0955882352941178</v>
      </c>
      <c r="E139" s="65">
        <v>0.30882352941176472</v>
      </c>
      <c r="F139" s="65">
        <v>0.40441176470588236</v>
      </c>
      <c r="G139" s="65">
        <v>0.27017543859649124</v>
      </c>
      <c r="H139" s="65">
        <v>0.17894736842105263</v>
      </c>
      <c r="I139" s="66">
        <v>8486.6883116883109</v>
      </c>
      <c r="J139" s="66">
        <v>-8684.8039215686276</v>
      </c>
      <c r="K139" s="65">
        <v>0.16176470588235295</v>
      </c>
      <c r="L139" s="65">
        <v>0.11029411764705882</v>
      </c>
      <c r="M139" s="65">
        <v>0.256140350877193</v>
      </c>
      <c r="N139" s="65">
        <v>0.18684210526315789</v>
      </c>
      <c r="O139" s="65">
        <v>0.54109589041095896</v>
      </c>
      <c r="P139" s="65">
        <v>0.323943661971831</v>
      </c>
      <c r="Q139" s="65">
        <v>0.43181818181818182</v>
      </c>
    </row>
    <row r="140" spans="1:17" x14ac:dyDescent="0.4">
      <c r="A140" s="67">
        <v>137</v>
      </c>
      <c r="B140" s="64">
        <v>-998.4</v>
      </c>
      <c r="C140" s="64">
        <v>-7.287591240875912</v>
      </c>
      <c r="D140" s="69">
        <v>2.0948905109489053</v>
      </c>
      <c r="E140" s="65">
        <v>0.30656934306569344</v>
      </c>
      <c r="F140" s="65">
        <v>0.40145985401459855</v>
      </c>
      <c r="G140" s="65">
        <v>0.27050610820244331</v>
      </c>
      <c r="H140" s="65">
        <v>0.17975567190226877</v>
      </c>
      <c r="I140" s="66">
        <v>8467.0967741935492</v>
      </c>
      <c r="J140" s="66">
        <v>-8638.3495145631059</v>
      </c>
      <c r="K140" s="65">
        <v>0.16058394160583941</v>
      </c>
      <c r="L140" s="65">
        <v>0.10948905109489052</v>
      </c>
      <c r="M140" s="65">
        <v>0.25654450261780104</v>
      </c>
      <c r="N140" s="65">
        <v>0.18673647469458987</v>
      </c>
      <c r="O140" s="65">
        <v>0.54081632653061229</v>
      </c>
      <c r="P140" s="65">
        <v>0.32710280373831774</v>
      </c>
      <c r="Q140" s="65">
        <v>0.42903225806451611</v>
      </c>
    </row>
    <row r="141" spans="1:17" x14ac:dyDescent="0.4">
      <c r="A141" s="67">
        <v>138</v>
      </c>
      <c r="B141" s="64">
        <v>-1041.2</v>
      </c>
      <c r="C141" s="64">
        <v>-7.5449275362318842</v>
      </c>
      <c r="D141" s="69">
        <v>2.1014492753623188</v>
      </c>
      <c r="E141" s="65">
        <v>0.30434782608695654</v>
      </c>
      <c r="F141" s="65">
        <v>0.40579710144927539</v>
      </c>
      <c r="G141" s="65">
        <v>0.26973113616652211</v>
      </c>
      <c r="H141" s="65">
        <v>0.1795316565481353</v>
      </c>
      <c r="I141" s="66">
        <v>8456.5916398713834</v>
      </c>
      <c r="J141" s="66">
        <v>-8635.2657004830926</v>
      </c>
      <c r="K141" s="65">
        <v>0.15942028985507245</v>
      </c>
      <c r="L141" s="65">
        <v>0.10869565217391304</v>
      </c>
      <c r="M141" s="65">
        <v>0.25498699045967044</v>
      </c>
      <c r="N141" s="65">
        <v>0.18647007805724197</v>
      </c>
      <c r="O141" s="65">
        <v>0.54081632653061229</v>
      </c>
      <c r="P141" s="65">
        <v>0.32558139534883723</v>
      </c>
      <c r="Q141" s="65">
        <v>0.42765273311897106</v>
      </c>
    </row>
    <row r="142" spans="1:17" x14ac:dyDescent="0.4">
      <c r="A142" s="67">
        <v>139</v>
      </c>
      <c r="B142" s="64">
        <v>-1031.4000000000001</v>
      </c>
      <c r="C142" s="64">
        <v>-7.4201438848920871</v>
      </c>
      <c r="D142" s="69">
        <v>2.1007194244604315</v>
      </c>
      <c r="E142" s="65">
        <v>0.30215827338129497</v>
      </c>
      <c r="F142" s="65">
        <v>0.40287769784172661</v>
      </c>
      <c r="G142" s="65">
        <v>0.27131782945736432</v>
      </c>
      <c r="H142" s="65">
        <v>0.17915590008613264</v>
      </c>
      <c r="I142" s="66">
        <v>8415.2380952380954</v>
      </c>
      <c r="J142" s="66">
        <v>-8651.4423076923085</v>
      </c>
      <c r="K142" s="65">
        <v>0.15827338129496402</v>
      </c>
      <c r="L142" s="65">
        <v>0.1079136690647482</v>
      </c>
      <c r="M142" s="65">
        <v>0.2558139534883721</v>
      </c>
      <c r="N142" s="65">
        <v>0.18518518518518517</v>
      </c>
      <c r="O142" s="65">
        <v>0.54208754208754206</v>
      </c>
      <c r="P142" s="65">
        <v>0.32558139534883723</v>
      </c>
      <c r="Q142" s="65">
        <v>0.42857142857142855</v>
      </c>
    </row>
    <row r="143" spans="1:17" x14ac:dyDescent="0.4">
      <c r="A143" s="67">
        <v>140</v>
      </c>
      <c r="B143" s="64">
        <v>-1031.1000000000001</v>
      </c>
      <c r="C143" s="64">
        <v>-7.3650000000000011</v>
      </c>
      <c r="D143" s="69">
        <v>2.1</v>
      </c>
      <c r="E143" s="65">
        <v>0.3</v>
      </c>
      <c r="F143" s="65">
        <v>0.4</v>
      </c>
      <c r="G143" s="65">
        <v>0.27241673783091375</v>
      </c>
      <c r="H143" s="65">
        <v>0.17847993168232279</v>
      </c>
      <c r="I143" s="66">
        <v>8410.9717868338557</v>
      </c>
      <c r="J143" s="66">
        <v>-8667.4641148325354</v>
      </c>
      <c r="K143" s="65">
        <v>0.15714285714285714</v>
      </c>
      <c r="L143" s="65">
        <v>0.10714285714285714</v>
      </c>
      <c r="M143" s="65">
        <v>0.25533731853116992</v>
      </c>
      <c r="N143" s="65">
        <v>0.18616567036720752</v>
      </c>
      <c r="O143" s="65">
        <v>0.54515050167224077</v>
      </c>
      <c r="P143" s="65">
        <v>0.3256880733944954</v>
      </c>
      <c r="Q143" s="65">
        <v>0.42946708463949845</v>
      </c>
    </row>
    <row r="144" spans="1:17" x14ac:dyDescent="0.4">
      <c r="A144" s="67">
        <v>141</v>
      </c>
      <c r="B144" s="64">
        <v>-1065.2</v>
      </c>
      <c r="C144" s="64">
        <v>-7.5546099290780147</v>
      </c>
      <c r="D144" s="69">
        <v>2.1063829787234041</v>
      </c>
      <c r="E144" s="65">
        <v>0.2978723404255319</v>
      </c>
      <c r="F144" s="65">
        <v>0.40425531914893614</v>
      </c>
      <c r="G144" s="65">
        <v>0.27241962774957701</v>
      </c>
      <c r="H144" s="65">
        <v>0.17851099830795261</v>
      </c>
      <c r="I144" s="66">
        <v>8377.6397515527951</v>
      </c>
      <c r="J144" s="66">
        <v>-8659.7156398104271</v>
      </c>
      <c r="K144" s="65">
        <v>0.15602836879432624</v>
      </c>
      <c r="L144" s="65">
        <v>0.10638297872340426</v>
      </c>
      <c r="M144" s="65">
        <v>0.25380710659898476</v>
      </c>
      <c r="N144" s="65">
        <v>0.18612521150592218</v>
      </c>
      <c r="O144" s="65">
        <v>0.54666666666666663</v>
      </c>
      <c r="P144" s="65">
        <v>0.33181818181818185</v>
      </c>
      <c r="Q144" s="65">
        <v>0.42857142857142855</v>
      </c>
    </row>
    <row r="145" spans="1:17" x14ac:dyDescent="0.4">
      <c r="A145" s="67">
        <v>142</v>
      </c>
      <c r="B145" s="64">
        <v>-1102.6000000000001</v>
      </c>
      <c r="C145" s="64">
        <v>-7.7647887323943667</v>
      </c>
      <c r="D145" s="69">
        <v>2.112676056338028</v>
      </c>
      <c r="E145" s="65">
        <v>0.29577464788732394</v>
      </c>
      <c r="F145" s="65">
        <v>0.40845070422535212</v>
      </c>
      <c r="G145" s="65">
        <v>0.27348993288590606</v>
      </c>
      <c r="H145" s="65">
        <v>0.17785234899328858</v>
      </c>
      <c r="I145" s="66">
        <v>8320.2453987730059</v>
      </c>
      <c r="J145" s="66">
        <v>-8656.6037735849059</v>
      </c>
      <c r="K145" s="65">
        <v>0.15492957746478872</v>
      </c>
      <c r="L145" s="65">
        <v>0.10563380281690141</v>
      </c>
      <c r="M145" s="65">
        <v>0.25419463087248323</v>
      </c>
      <c r="N145" s="65">
        <v>0.18624161073825504</v>
      </c>
      <c r="O145" s="65">
        <v>0.54785478547854782</v>
      </c>
      <c r="P145" s="65">
        <v>0.33333333333333331</v>
      </c>
      <c r="Q145" s="65">
        <v>0.42944785276073622</v>
      </c>
    </row>
    <row r="146" spans="1:17" x14ac:dyDescent="0.4">
      <c r="A146" s="67">
        <v>143</v>
      </c>
      <c r="B146" s="64">
        <v>-1103.4000000000001</v>
      </c>
      <c r="C146" s="64">
        <v>-7.7160839160839165</v>
      </c>
      <c r="D146" s="69">
        <v>2.1118881118881121</v>
      </c>
      <c r="E146" s="65">
        <v>0.2937062937062937</v>
      </c>
      <c r="F146" s="65">
        <v>0.40559440559440557</v>
      </c>
      <c r="G146" s="65">
        <v>0.27341137123745818</v>
      </c>
      <c r="H146" s="65">
        <v>0.17809364548494983</v>
      </c>
      <c r="I146" s="66">
        <v>8331.4984709480123</v>
      </c>
      <c r="J146" s="66">
        <v>-8638.4976525821603</v>
      </c>
      <c r="K146" s="65">
        <v>0.15384615384615385</v>
      </c>
      <c r="L146" s="65">
        <v>0.1048951048951049</v>
      </c>
      <c r="M146" s="65">
        <v>0.25501672240802675</v>
      </c>
      <c r="N146" s="65">
        <v>0.18561872909698995</v>
      </c>
      <c r="O146" s="65">
        <v>0.54754098360655734</v>
      </c>
      <c r="P146" s="65">
        <v>0.33333333333333331</v>
      </c>
      <c r="Q146" s="65">
        <v>0.42813455657492355</v>
      </c>
    </row>
    <row r="147" spans="1:17" x14ac:dyDescent="0.4">
      <c r="A147" s="67">
        <v>144</v>
      </c>
      <c r="B147" s="64">
        <v>-1159.5</v>
      </c>
      <c r="C147" s="64">
        <v>-8.0520833333333339</v>
      </c>
      <c r="D147" s="69">
        <v>2.1180555555555554</v>
      </c>
      <c r="E147" s="65">
        <v>0.29166666666666669</v>
      </c>
      <c r="F147" s="65">
        <v>0.40972222222222221</v>
      </c>
      <c r="G147" s="65">
        <v>0.27129859387923905</v>
      </c>
      <c r="H147" s="65">
        <v>0.17866004962779156</v>
      </c>
      <c r="I147" s="66">
        <v>8317.9878048780483</v>
      </c>
      <c r="J147" s="66">
        <v>-8584.7222222222226</v>
      </c>
      <c r="K147" s="65">
        <v>0.15972222222222221</v>
      </c>
      <c r="L147" s="65">
        <v>0.10416666666666667</v>
      </c>
      <c r="M147" s="65">
        <v>0.25392886683209265</v>
      </c>
      <c r="N147" s="65">
        <v>0.18610421836228289</v>
      </c>
      <c r="O147" s="65">
        <v>0.54723127035830621</v>
      </c>
      <c r="P147" s="65">
        <v>0.3288888888888889</v>
      </c>
      <c r="Q147" s="65">
        <v>0.42682926829268292</v>
      </c>
    </row>
    <row r="148" spans="1:17" x14ac:dyDescent="0.4">
      <c r="A148" s="67">
        <v>145</v>
      </c>
      <c r="B148" s="64">
        <v>-1121.9000000000001</v>
      </c>
      <c r="C148" s="64">
        <v>-7.7372413793103458</v>
      </c>
      <c r="D148" s="69">
        <v>2.1103448275862071</v>
      </c>
      <c r="E148" s="65">
        <v>0.29655172413793102</v>
      </c>
      <c r="F148" s="65">
        <v>0.40689655172413791</v>
      </c>
      <c r="G148" s="65">
        <v>0.27220394736842107</v>
      </c>
      <c r="H148" s="65">
        <v>0.17763157894736842</v>
      </c>
      <c r="I148" s="66">
        <v>8294.2598187311178</v>
      </c>
      <c r="J148" s="66">
        <v>-8584.7222222222226</v>
      </c>
      <c r="K148" s="65">
        <v>0.15862068965517243</v>
      </c>
      <c r="L148" s="65">
        <v>0.10344827586206896</v>
      </c>
      <c r="M148" s="65">
        <v>0.25657894736842107</v>
      </c>
      <c r="N148" s="65">
        <v>0.18667763157894737</v>
      </c>
      <c r="O148" s="65">
        <v>0.54487179487179482</v>
      </c>
      <c r="P148" s="65">
        <v>0.33039647577092512</v>
      </c>
      <c r="Q148" s="65">
        <v>0.42598187311178248</v>
      </c>
    </row>
    <row r="149" spans="1:17" x14ac:dyDescent="0.4">
      <c r="A149" s="67">
        <v>146</v>
      </c>
      <c r="B149" s="64">
        <v>-1181.5</v>
      </c>
      <c r="C149" s="64">
        <v>-8.0924657534246567</v>
      </c>
      <c r="D149" s="69">
        <v>2.1164383561643834</v>
      </c>
      <c r="E149" s="65">
        <v>0.29452054794520549</v>
      </c>
      <c r="F149" s="65">
        <v>0.41095890410958902</v>
      </c>
      <c r="G149" s="65">
        <v>0.27146361406377761</v>
      </c>
      <c r="H149" s="65">
        <v>0.17988552739165986</v>
      </c>
      <c r="I149" s="66">
        <v>8275.3012048192777</v>
      </c>
      <c r="J149" s="66">
        <v>-8580</v>
      </c>
      <c r="K149" s="65">
        <v>0.16438356164383561</v>
      </c>
      <c r="L149" s="65">
        <v>0.10273972602739725</v>
      </c>
      <c r="M149" s="65">
        <v>0.25592804578904332</v>
      </c>
      <c r="N149" s="65">
        <v>0.18642681929681112</v>
      </c>
      <c r="O149" s="65">
        <v>0.54313099041533541</v>
      </c>
      <c r="P149" s="65">
        <v>0.33333333333333331</v>
      </c>
      <c r="Q149" s="65">
        <v>0.4246987951807229</v>
      </c>
    </row>
    <row r="150" spans="1:17" x14ac:dyDescent="0.4">
      <c r="A150" s="67">
        <v>147</v>
      </c>
      <c r="B150" s="64">
        <v>-1213.9000000000001</v>
      </c>
      <c r="C150" s="64">
        <v>-8.257823129251701</v>
      </c>
      <c r="D150" s="69">
        <v>2.1224489795918369</v>
      </c>
      <c r="E150" s="65">
        <v>0.29251700680272108</v>
      </c>
      <c r="F150" s="65">
        <v>0.41496598639455784</v>
      </c>
      <c r="G150" s="65">
        <v>0.27154471544715447</v>
      </c>
      <c r="H150" s="65">
        <v>0.17967479674796749</v>
      </c>
      <c r="I150" s="66">
        <v>8265.2694610778435</v>
      </c>
      <c r="J150" s="66">
        <v>-8595.4751131221728</v>
      </c>
      <c r="K150" s="65">
        <v>0.16326530612244897</v>
      </c>
      <c r="L150" s="65">
        <v>0.10204081632653061</v>
      </c>
      <c r="M150" s="65">
        <v>0.25447154471544714</v>
      </c>
      <c r="N150" s="65">
        <v>0.1886178861788618</v>
      </c>
      <c r="O150" s="65">
        <v>0.54313099041533541</v>
      </c>
      <c r="P150" s="65">
        <v>0.33620689655172414</v>
      </c>
      <c r="Q150" s="65">
        <v>0.42215568862275449</v>
      </c>
    </row>
    <row r="151" spans="1:17" x14ac:dyDescent="0.4">
      <c r="A151" s="67">
        <v>148</v>
      </c>
      <c r="B151" s="64">
        <v>-1255.3000000000002</v>
      </c>
      <c r="C151" s="64">
        <v>-8.4817567567567576</v>
      </c>
      <c r="D151" s="69">
        <v>2.1283783783783785</v>
      </c>
      <c r="E151" s="65">
        <v>0.29054054054054052</v>
      </c>
      <c r="F151" s="65">
        <v>0.41891891891891891</v>
      </c>
      <c r="G151" s="65">
        <v>0.27059773828756056</v>
      </c>
      <c r="H151" s="65">
        <v>0.1801292407108239</v>
      </c>
      <c r="I151" s="66">
        <v>8264.4776119402977</v>
      </c>
      <c r="J151" s="66">
        <v>-8589.686098654709</v>
      </c>
      <c r="K151" s="65">
        <v>0.16216216216216217</v>
      </c>
      <c r="L151" s="65">
        <v>0.10135135135135136</v>
      </c>
      <c r="M151" s="65">
        <v>0.25282714054927302</v>
      </c>
      <c r="N151" s="65">
        <v>0.19063004846526657</v>
      </c>
      <c r="O151" s="65">
        <v>0.54313099041533541</v>
      </c>
      <c r="P151" s="65">
        <v>0.3347457627118644</v>
      </c>
      <c r="Q151" s="65">
        <v>0.42388059701492536</v>
      </c>
    </row>
    <row r="152" spans="1:17" x14ac:dyDescent="0.4">
      <c r="A152" s="67">
        <v>149</v>
      </c>
      <c r="B152" s="64">
        <v>-1227.8000000000002</v>
      </c>
      <c r="C152" s="64">
        <v>-8.2402684563758406</v>
      </c>
      <c r="D152" s="69">
        <v>2.1208053691275168</v>
      </c>
      <c r="E152" s="65">
        <v>0.29530201342281881</v>
      </c>
      <c r="F152" s="65">
        <v>0.41610738255033558</v>
      </c>
      <c r="G152" s="65">
        <v>0.27090032154340837</v>
      </c>
      <c r="H152" s="65">
        <v>0.17926045016077172</v>
      </c>
      <c r="I152" s="66">
        <v>8262.9080118694365</v>
      </c>
      <c r="J152" s="66">
        <v>-8589.686098654709</v>
      </c>
      <c r="K152" s="65">
        <v>0.16107382550335569</v>
      </c>
      <c r="L152" s="65">
        <v>0.10067114093959731</v>
      </c>
      <c r="M152" s="65">
        <v>0.25241157556270094</v>
      </c>
      <c r="N152" s="65">
        <v>0.19131832797427653</v>
      </c>
      <c r="O152" s="65">
        <v>0.54458598726114649</v>
      </c>
      <c r="P152" s="65">
        <v>0.33613445378151263</v>
      </c>
      <c r="Q152" s="65">
        <v>0.42433234421364985</v>
      </c>
    </row>
    <row r="153" spans="1:17" x14ac:dyDescent="0.4">
      <c r="A153" s="67">
        <v>150</v>
      </c>
      <c r="B153" s="64">
        <v>-1274.3000000000002</v>
      </c>
      <c r="C153" s="64">
        <v>-8.4953333333333347</v>
      </c>
      <c r="D153" s="69">
        <v>2.1266666666666665</v>
      </c>
      <c r="E153" s="65">
        <v>0.29333333333333333</v>
      </c>
      <c r="F153" s="65">
        <v>0.42</v>
      </c>
      <c r="G153" s="65">
        <v>0.27027027027027029</v>
      </c>
      <c r="H153" s="65">
        <v>0.17885532591414943</v>
      </c>
      <c r="I153" s="66">
        <v>8236.4705882352937</v>
      </c>
      <c r="J153" s="66">
        <v>-8550.6666666666661</v>
      </c>
      <c r="K153" s="65">
        <v>0.16</v>
      </c>
      <c r="L153" s="65">
        <v>0.1</v>
      </c>
      <c r="M153" s="65">
        <v>0.25437201907790141</v>
      </c>
      <c r="N153" s="65">
        <v>0.1915739268680445</v>
      </c>
      <c r="O153" s="65">
        <v>0.53749999999999998</v>
      </c>
      <c r="P153" s="65">
        <v>0.33609958506224069</v>
      </c>
      <c r="Q153" s="65">
        <v>0.42352941176470588</v>
      </c>
    </row>
    <row r="154" spans="1:17" x14ac:dyDescent="0.4">
      <c r="A154" s="67">
        <v>151</v>
      </c>
      <c r="B154" s="64">
        <v>-1320.4</v>
      </c>
      <c r="C154" s="64">
        <v>-8.7443708609271535</v>
      </c>
      <c r="D154" s="69">
        <v>2.1324503311258276</v>
      </c>
      <c r="E154" s="65">
        <v>0.29139072847682118</v>
      </c>
      <c r="F154" s="65">
        <v>0.42384105960264901</v>
      </c>
      <c r="G154" s="65">
        <v>0.26856240126382308</v>
      </c>
      <c r="H154" s="65">
        <v>0.18009478672985782</v>
      </c>
      <c r="I154" s="66">
        <v>8236.4705882352937</v>
      </c>
      <c r="J154" s="66">
        <v>-8504.8245614035095</v>
      </c>
      <c r="K154" s="65">
        <v>0.15894039735099338</v>
      </c>
      <c r="L154" s="65">
        <v>9.9337748344370855E-2</v>
      </c>
      <c r="M154" s="65">
        <v>0.25434439178515006</v>
      </c>
      <c r="N154" s="65">
        <v>0.19115323854660349</v>
      </c>
      <c r="O154" s="65">
        <v>0.53416149068322982</v>
      </c>
      <c r="P154" s="65">
        <v>0.33471074380165289</v>
      </c>
      <c r="Q154" s="65">
        <v>0.42352941176470588</v>
      </c>
    </row>
    <row r="155" spans="1:17" x14ac:dyDescent="0.4">
      <c r="A155" s="67">
        <v>152</v>
      </c>
      <c r="B155" s="64">
        <v>-1364.7</v>
      </c>
      <c r="C155" s="64">
        <v>-8.9782894736842103</v>
      </c>
      <c r="D155" s="69">
        <v>2.138157894736842</v>
      </c>
      <c r="E155" s="65">
        <v>0.28947368421052633</v>
      </c>
      <c r="F155" s="65">
        <v>0.42763157894736842</v>
      </c>
      <c r="G155" s="65">
        <v>0.26760563380281688</v>
      </c>
      <c r="H155" s="65">
        <v>0.17840375586854459</v>
      </c>
      <c r="I155" s="66">
        <v>8214.6198830409357</v>
      </c>
      <c r="J155" s="66">
        <v>-8504.8245614035095</v>
      </c>
      <c r="K155" s="65">
        <v>0.15789473684210525</v>
      </c>
      <c r="L155" s="65">
        <v>9.8684210526315791E-2</v>
      </c>
      <c r="M155" s="65">
        <v>0.25273865414710484</v>
      </c>
      <c r="N155" s="65">
        <v>0.19327073552425664</v>
      </c>
      <c r="O155" s="65">
        <v>0.5356037151702786</v>
      </c>
      <c r="P155" s="65">
        <v>0.33198380566801622</v>
      </c>
      <c r="Q155" s="65">
        <v>0.42105263157894735</v>
      </c>
    </row>
    <row r="156" spans="1:17" x14ac:dyDescent="0.4">
      <c r="A156" s="67">
        <v>153</v>
      </c>
      <c r="B156" s="64">
        <v>-1415.8</v>
      </c>
      <c r="C156" s="64">
        <v>-9.2535947712418292</v>
      </c>
      <c r="D156" s="69">
        <v>2.1437908496732025</v>
      </c>
      <c r="E156" s="65">
        <v>0.28758169934640521</v>
      </c>
      <c r="F156" s="65">
        <v>0.43137254901960786</v>
      </c>
      <c r="G156" s="65">
        <v>0.26552795031055898</v>
      </c>
      <c r="H156" s="65">
        <v>0.17857142857142858</v>
      </c>
      <c r="I156" s="66">
        <v>8214.6198830409357</v>
      </c>
      <c r="J156" s="66">
        <v>-8487.391304347826</v>
      </c>
      <c r="K156" s="65">
        <v>0.15686274509803921</v>
      </c>
      <c r="L156" s="65">
        <v>9.8039215686274508E-2</v>
      </c>
      <c r="M156" s="65">
        <v>0.25232919254658387</v>
      </c>
      <c r="N156" s="65">
        <v>0.19332298136645962</v>
      </c>
      <c r="O156" s="65">
        <v>0.53230769230769226</v>
      </c>
      <c r="P156" s="65">
        <v>0.32931726907630521</v>
      </c>
      <c r="Q156" s="65">
        <v>0.42105263157894735</v>
      </c>
    </row>
    <row r="157" spans="1:17" x14ac:dyDescent="0.4">
      <c r="A157" s="67">
        <v>154</v>
      </c>
      <c r="B157" s="64">
        <v>-1432.6</v>
      </c>
      <c r="C157" s="64">
        <v>-9.3025974025974012</v>
      </c>
      <c r="D157" s="69">
        <v>2.1428571428571428</v>
      </c>
      <c r="E157" s="65">
        <v>0.2857142857142857</v>
      </c>
      <c r="F157" s="65">
        <v>0.42857142857142855</v>
      </c>
      <c r="G157" s="65">
        <v>0.26445643793369311</v>
      </c>
      <c r="H157" s="65">
        <v>0.17810331534309945</v>
      </c>
      <c r="I157" s="66">
        <v>8198.8338192419833</v>
      </c>
      <c r="J157" s="66">
        <v>-8475.757575757576</v>
      </c>
      <c r="K157" s="65">
        <v>0.15584415584415584</v>
      </c>
      <c r="L157" s="65">
        <v>9.7402597402597407E-2</v>
      </c>
      <c r="M157" s="65">
        <v>0.25366229760986891</v>
      </c>
      <c r="N157" s="65">
        <v>0.19352351580570548</v>
      </c>
      <c r="O157" s="65">
        <v>0.52583586626139822</v>
      </c>
      <c r="P157" s="65">
        <v>0.33067729083665337</v>
      </c>
      <c r="Q157" s="65">
        <v>0.42274052478134111</v>
      </c>
    </row>
    <row r="158" spans="1:17" x14ac:dyDescent="0.4">
      <c r="A158" s="67">
        <v>155</v>
      </c>
      <c r="B158" s="64">
        <v>-1352.8</v>
      </c>
      <c r="C158" s="64">
        <v>-8.7277419354838699</v>
      </c>
      <c r="D158" s="69">
        <v>2.1354838709677417</v>
      </c>
      <c r="E158" s="65">
        <v>0.29032258064516131</v>
      </c>
      <c r="F158" s="65">
        <v>0.4258064516129032</v>
      </c>
      <c r="G158" s="65">
        <v>0.26610429447852763</v>
      </c>
      <c r="H158" s="65">
        <v>0.17714723926380369</v>
      </c>
      <c r="I158" s="66">
        <v>8299.1354466858793</v>
      </c>
      <c r="J158" s="66">
        <v>-8475.757575757576</v>
      </c>
      <c r="K158" s="65">
        <v>0.15483870967741936</v>
      </c>
      <c r="L158" s="65">
        <v>0.1032258064516129</v>
      </c>
      <c r="M158" s="65">
        <v>0.25383435582822084</v>
      </c>
      <c r="N158" s="65">
        <v>0.19325153374233128</v>
      </c>
      <c r="O158" s="65">
        <v>0.52870090634441091</v>
      </c>
      <c r="P158" s="65">
        <v>0.33333333333333331</v>
      </c>
      <c r="Q158" s="65">
        <v>0.42363112391930835</v>
      </c>
    </row>
    <row r="159" spans="1:17" x14ac:dyDescent="0.4">
      <c r="A159" s="67">
        <v>156</v>
      </c>
      <c r="B159" s="64">
        <v>-1344.3</v>
      </c>
      <c r="C159" s="64">
        <v>-8.6173076923076923</v>
      </c>
      <c r="D159" s="69">
        <v>2.1346153846153846</v>
      </c>
      <c r="E159" s="65">
        <v>0.28846153846153844</v>
      </c>
      <c r="F159" s="65">
        <v>0.42307692307692307</v>
      </c>
      <c r="G159" s="65">
        <v>0.26585179526355995</v>
      </c>
      <c r="H159" s="65">
        <v>0.17647058823529413</v>
      </c>
      <c r="I159" s="66">
        <v>8298.2758620689656</v>
      </c>
      <c r="J159" s="66">
        <v>-8475.757575757576</v>
      </c>
      <c r="K159" s="65">
        <v>0.15384615384615385</v>
      </c>
      <c r="L159" s="65">
        <v>0.10256410256410256</v>
      </c>
      <c r="M159" s="65">
        <v>0.25286478227654696</v>
      </c>
      <c r="N159" s="65">
        <v>0.19327731092436976</v>
      </c>
      <c r="O159" s="65">
        <v>0.52870090634441091</v>
      </c>
      <c r="P159" s="65">
        <v>0.33201581027667987</v>
      </c>
      <c r="Q159" s="65">
        <v>0.42241379310344829</v>
      </c>
    </row>
    <row r="160" spans="1:17" x14ac:dyDescent="0.4">
      <c r="A160" s="67">
        <v>157</v>
      </c>
      <c r="B160" s="64">
        <v>-1357.7</v>
      </c>
      <c r="C160" s="64">
        <v>-8.6477707006369435</v>
      </c>
      <c r="D160" s="69">
        <v>2.1337579617834397</v>
      </c>
      <c r="E160" s="65">
        <v>0.28662420382165604</v>
      </c>
      <c r="F160" s="65">
        <v>0.42038216560509556</v>
      </c>
      <c r="G160" s="65">
        <v>0.26590909090909093</v>
      </c>
      <c r="H160" s="65">
        <v>0.17651515151515151</v>
      </c>
      <c r="I160" s="66">
        <v>8256.9800569800573</v>
      </c>
      <c r="J160" s="66">
        <v>-8471.2446351931339</v>
      </c>
      <c r="K160" s="65">
        <v>0.15286624203821655</v>
      </c>
      <c r="L160" s="65">
        <v>0.10191082802547771</v>
      </c>
      <c r="M160" s="65">
        <v>0.25151515151515152</v>
      </c>
      <c r="N160" s="65">
        <v>0.19242424242424241</v>
      </c>
      <c r="O160" s="65">
        <v>0.53012048192771088</v>
      </c>
      <c r="P160" s="65">
        <v>0.3346456692913386</v>
      </c>
      <c r="Q160" s="65">
        <v>0.41880341880341881</v>
      </c>
    </row>
    <row r="161" spans="1:17" x14ac:dyDescent="0.4">
      <c r="A161" s="67">
        <v>158</v>
      </c>
      <c r="B161" s="64">
        <v>-1338.1000000000001</v>
      </c>
      <c r="C161" s="64">
        <v>-8.4689873417721522</v>
      </c>
      <c r="D161" s="69">
        <v>2.1329113924050631</v>
      </c>
      <c r="E161" s="65">
        <v>0.2848101265822785</v>
      </c>
      <c r="F161" s="65">
        <v>0.41772151898734178</v>
      </c>
      <c r="G161" s="65">
        <v>0.266767143933685</v>
      </c>
      <c r="H161" s="65">
        <v>0.17558402411454407</v>
      </c>
      <c r="I161" s="66">
        <v>8267.2316384180795</v>
      </c>
      <c r="J161" s="66">
        <v>-8471.2446351931339</v>
      </c>
      <c r="K161" s="65">
        <v>0.15189873417721519</v>
      </c>
      <c r="L161" s="65">
        <v>0.10126582278481013</v>
      </c>
      <c r="M161" s="65">
        <v>0.25320271288620949</v>
      </c>
      <c r="N161" s="65">
        <v>0.19140919366993217</v>
      </c>
      <c r="O161" s="65">
        <v>0.53273809523809523</v>
      </c>
      <c r="P161" s="65">
        <v>0.3346456692913386</v>
      </c>
      <c r="Q161" s="65">
        <v>0.4152542372881356</v>
      </c>
    </row>
    <row r="162" spans="1:17" x14ac:dyDescent="0.4">
      <c r="A162" s="67">
        <v>159</v>
      </c>
      <c r="B162" s="64">
        <v>-1330.7</v>
      </c>
      <c r="C162" s="64">
        <v>-8.3691823899371069</v>
      </c>
      <c r="D162" s="69">
        <v>2.1320754716981134</v>
      </c>
      <c r="E162" s="65">
        <v>0.28301886792452829</v>
      </c>
      <c r="F162" s="65">
        <v>0.41509433962264153</v>
      </c>
      <c r="G162" s="65">
        <v>0.2670667666916729</v>
      </c>
      <c r="H162" s="65">
        <v>0.17479369842460615</v>
      </c>
      <c r="I162" s="66">
        <v>8254.213483146068</v>
      </c>
      <c r="J162" s="66">
        <v>-8471.2446351931339</v>
      </c>
      <c r="K162" s="65">
        <v>0.15094339622641509</v>
      </c>
      <c r="L162" s="65">
        <v>0.10062893081761007</v>
      </c>
      <c r="M162" s="65">
        <v>0.25281320330082518</v>
      </c>
      <c r="N162" s="65">
        <v>0.19279819954988747</v>
      </c>
      <c r="O162" s="65">
        <v>0.53412462908011871</v>
      </c>
      <c r="P162" s="65">
        <v>0.33463035019455251</v>
      </c>
      <c r="Q162" s="65">
        <v>0.4157303370786517</v>
      </c>
    </row>
    <row r="163" spans="1:17" x14ac:dyDescent="0.4">
      <c r="A163" s="67">
        <v>160</v>
      </c>
      <c r="B163" s="64">
        <v>-1265.7</v>
      </c>
      <c r="C163" s="64">
        <v>-7.9106250000000005</v>
      </c>
      <c r="D163" s="69">
        <v>2.125</v>
      </c>
      <c r="E163" s="65">
        <v>0.28749999999999998</v>
      </c>
      <c r="F163" s="65">
        <v>0.41249999999999998</v>
      </c>
      <c r="G163" s="65">
        <v>0.26816479400749066</v>
      </c>
      <c r="H163" s="65">
        <v>0.1745318352059925</v>
      </c>
      <c r="I163" s="66">
        <v>8325.4189944134087</v>
      </c>
      <c r="J163" s="66">
        <v>-8471.2446351931339</v>
      </c>
      <c r="K163" s="65">
        <v>0.15</v>
      </c>
      <c r="L163" s="65">
        <v>0.10625</v>
      </c>
      <c r="M163" s="65">
        <v>0.25243445692883892</v>
      </c>
      <c r="N163" s="65">
        <v>0.19325842696629214</v>
      </c>
      <c r="O163" s="65">
        <v>0.53412462908011871</v>
      </c>
      <c r="P163" s="65">
        <v>0.33720930232558138</v>
      </c>
      <c r="Q163" s="65">
        <v>0.41340782122905029</v>
      </c>
    </row>
    <row r="164" spans="1:17" x14ac:dyDescent="0.4">
      <c r="A164" s="67">
        <v>161</v>
      </c>
      <c r="B164" s="64">
        <v>-1246.2</v>
      </c>
      <c r="C164" s="64">
        <v>-7.7403726708074538</v>
      </c>
      <c r="D164" s="69">
        <v>2.1242236024844718</v>
      </c>
      <c r="E164" s="65">
        <v>0.2857142857142857</v>
      </c>
      <c r="F164" s="65">
        <v>0.40993788819875776</v>
      </c>
      <c r="G164" s="65">
        <v>0.26865671641791045</v>
      </c>
      <c r="H164" s="65">
        <v>0.17388059701492536</v>
      </c>
      <c r="I164" s="66">
        <v>8334.7222222222226</v>
      </c>
      <c r="J164" s="66">
        <v>-8471.2446351931339</v>
      </c>
      <c r="K164" s="65">
        <v>0.14906832298136646</v>
      </c>
      <c r="L164" s="65">
        <v>0.10559006211180125</v>
      </c>
      <c r="M164" s="65">
        <v>0.25149253731343285</v>
      </c>
      <c r="N164" s="65">
        <v>0.19402985074626866</v>
      </c>
      <c r="O164" s="65">
        <v>0.53412462908011871</v>
      </c>
      <c r="P164" s="65">
        <v>0.34230769230769231</v>
      </c>
      <c r="Q164" s="65">
        <v>0.41388888888888886</v>
      </c>
    </row>
    <row r="165" spans="1:17" x14ac:dyDescent="0.4">
      <c r="A165" s="67">
        <v>162</v>
      </c>
      <c r="B165" s="64">
        <v>-1210.3</v>
      </c>
      <c r="C165" s="64">
        <v>-7.4709876543209877</v>
      </c>
      <c r="D165" s="69">
        <v>2.117283950617284</v>
      </c>
      <c r="E165" s="65">
        <v>0.29012345679012347</v>
      </c>
      <c r="F165" s="65">
        <v>0.40740740740740738</v>
      </c>
      <c r="G165" s="65">
        <v>0.27023014105419452</v>
      </c>
      <c r="H165" s="65">
        <v>0.17297698589458055</v>
      </c>
      <c r="I165" s="66">
        <v>8330.7692307692305</v>
      </c>
      <c r="J165" s="66">
        <v>-8471.2446351931339</v>
      </c>
      <c r="K165" s="65">
        <v>0.14814814814814814</v>
      </c>
      <c r="L165" s="65">
        <v>0.10493827160493827</v>
      </c>
      <c r="M165" s="65">
        <v>0.25092798812175204</v>
      </c>
      <c r="N165" s="65">
        <v>0.19376391982182628</v>
      </c>
      <c r="O165" s="65">
        <v>0.53550295857988162</v>
      </c>
      <c r="P165" s="65">
        <v>0.34482758620689657</v>
      </c>
      <c r="Q165" s="65">
        <v>0.41483516483516486</v>
      </c>
    </row>
    <row r="166" spans="1:17" x14ac:dyDescent="0.4">
      <c r="A166" s="67">
        <v>163</v>
      </c>
      <c r="B166" s="64">
        <v>-1183.8</v>
      </c>
      <c r="C166" s="64">
        <v>-7.2625766871165638</v>
      </c>
      <c r="D166" s="69">
        <v>2.1104294478527605</v>
      </c>
      <c r="E166" s="65">
        <v>0.29447852760736198</v>
      </c>
      <c r="F166" s="65">
        <v>0.40490797546012269</v>
      </c>
      <c r="G166" s="65">
        <v>0.27112417340191036</v>
      </c>
      <c r="H166" s="65">
        <v>0.17193240264511389</v>
      </c>
      <c r="I166" s="66">
        <v>8310.0271002710033</v>
      </c>
      <c r="J166" s="66">
        <v>-8469.2307692307695</v>
      </c>
      <c r="K166" s="65">
        <v>0.14723926380368099</v>
      </c>
      <c r="L166" s="65">
        <v>0.10429447852760736</v>
      </c>
      <c r="M166" s="65">
        <v>0.24981631153563555</v>
      </c>
      <c r="N166" s="65">
        <v>0.19397501836884642</v>
      </c>
      <c r="O166" s="65">
        <v>0.53529411764705881</v>
      </c>
      <c r="P166" s="65">
        <v>0.34469696969696972</v>
      </c>
      <c r="Q166" s="65">
        <v>0.41734417344173441</v>
      </c>
    </row>
    <row r="167" spans="1:17" x14ac:dyDescent="0.4">
      <c r="A167" s="67">
        <v>164</v>
      </c>
      <c r="B167" s="64">
        <v>-1234.3</v>
      </c>
      <c r="C167" s="64">
        <v>-7.5262195121951221</v>
      </c>
      <c r="D167" s="69">
        <v>2.1158536585365852</v>
      </c>
      <c r="E167" s="65">
        <v>0.29268292682926828</v>
      </c>
      <c r="F167" s="65">
        <v>0.40853658536585363</v>
      </c>
      <c r="G167" s="65">
        <v>0.27060539752005836</v>
      </c>
      <c r="H167" s="65">
        <v>0.17213712618526622</v>
      </c>
      <c r="I167" s="66">
        <v>8294.8787061994608</v>
      </c>
      <c r="J167" s="66">
        <v>-8499.1525423728817</v>
      </c>
      <c r="K167" s="65">
        <v>0.14634146341463414</v>
      </c>
      <c r="L167" s="65">
        <v>0.10365853658536585</v>
      </c>
      <c r="M167" s="65">
        <v>0.24945295404814005</v>
      </c>
      <c r="N167" s="65">
        <v>0.19620714806710429</v>
      </c>
      <c r="O167" s="65">
        <v>0.53508771929824561</v>
      </c>
      <c r="P167" s="65">
        <v>0.34200743494423791</v>
      </c>
      <c r="Q167" s="65">
        <v>0.41778975741239893</v>
      </c>
    </row>
    <row r="168" spans="1:17" x14ac:dyDescent="0.4">
      <c r="A168" s="67">
        <v>165</v>
      </c>
      <c r="B168" s="64">
        <v>-1258.7</v>
      </c>
      <c r="C168" s="64">
        <v>-7.6284848484848489</v>
      </c>
      <c r="D168" s="69">
        <v>2.1212121212121211</v>
      </c>
      <c r="E168" s="65">
        <v>0.29090909090909089</v>
      </c>
      <c r="F168" s="65">
        <v>0.41212121212121211</v>
      </c>
      <c r="G168" s="65">
        <v>0.27028985507246378</v>
      </c>
      <c r="H168" s="65">
        <v>0.17318840579710146</v>
      </c>
      <c r="I168" s="66">
        <v>8314.7453083109922</v>
      </c>
      <c r="J168" s="66">
        <v>-8471.5481171548108</v>
      </c>
      <c r="K168" s="65">
        <v>0.14545454545454545</v>
      </c>
      <c r="L168" s="65">
        <v>0.10303030303030303</v>
      </c>
      <c r="M168" s="65">
        <v>0.25</v>
      </c>
      <c r="N168" s="65">
        <v>0.19565217391304349</v>
      </c>
      <c r="O168" s="65">
        <v>0.53623188405797106</v>
      </c>
      <c r="P168" s="65">
        <v>0.34074074074074073</v>
      </c>
      <c r="Q168" s="65">
        <v>0.42091152815013405</v>
      </c>
    </row>
    <row r="169" spans="1:17" x14ac:dyDescent="0.4">
      <c r="A169" s="67">
        <v>166</v>
      </c>
      <c r="B169" s="64">
        <v>-1194.5</v>
      </c>
      <c r="C169" s="64">
        <v>-7.1957831325301207</v>
      </c>
      <c r="D169" s="69">
        <v>2.1144578313253013</v>
      </c>
      <c r="E169" s="65">
        <v>0.29518072289156627</v>
      </c>
      <c r="F169" s="65">
        <v>0.40963855421686746</v>
      </c>
      <c r="G169" s="65">
        <v>0.2717469446441409</v>
      </c>
      <c r="H169" s="65">
        <v>0.17181883537023723</v>
      </c>
      <c r="I169" s="66">
        <v>8317.7248677248681</v>
      </c>
      <c r="J169" s="66">
        <v>-8471.5481171548108</v>
      </c>
      <c r="K169" s="65">
        <v>0.14457831325301204</v>
      </c>
      <c r="L169" s="65">
        <v>0.10240963855421686</v>
      </c>
      <c r="M169" s="65">
        <v>0.24802300503235084</v>
      </c>
      <c r="N169" s="65">
        <v>0.19769949676491733</v>
      </c>
      <c r="O169" s="65">
        <v>0.53623188405797106</v>
      </c>
      <c r="P169" s="65">
        <v>0.35272727272727272</v>
      </c>
      <c r="Q169" s="65">
        <v>0.41798941798941797</v>
      </c>
    </row>
    <row r="170" spans="1:17" x14ac:dyDescent="0.4">
      <c r="A170" s="67">
        <v>167</v>
      </c>
      <c r="B170" s="64">
        <v>-1209.8</v>
      </c>
      <c r="C170" s="64">
        <v>-7.2443113772455083</v>
      </c>
      <c r="D170" s="69">
        <v>2.1137724550898205</v>
      </c>
      <c r="E170" s="65">
        <v>0.29341317365269459</v>
      </c>
      <c r="F170" s="65">
        <v>0.40718562874251496</v>
      </c>
      <c r="G170" s="65">
        <v>0.2720114531138153</v>
      </c>
      <c r="H170" s="65">
        <v>0.17108088761632068</v>
      </c>
      <c r="I170" s="66">
        <v>8285</v>
      </c>
      <c r="J170" s="66">
        <v>-8471.5481171548108</v>
      </c>
      <c r="K170" s="65">
        <v>0.1437125748502994</v>
      </c>
      <c r="L170" s="65">
        <v>0.10179640718562874</v>
      </c>
      <c r="M170" s="65">
        <v>0.24695776664280603</v>
      </c>
      <c r="N170" s="65">
        <v>0.19899785254115962</v>
      </c>
      <c r="O170" s="65">
        <v>0.53623188405797106</v>
      </c>
      <c r="P170" s="65">
        <v>0.35611510791366907</v>
      </c>
      <c r="Q170" s="65">
        <v>0.41842105263157897</v>
      </c>
    </row>
    <row r="171" spans="1:17" x14ac:dyDescent="0.4">
      <c r="A171" s="67">
        <v>168</v>
      </c>
      <c r="B171" s="64">
        <v>-1244.5999999999999</v>
      </c>
      <c r="C171" s="64">
        <v>-7.4083333333333332</v>
      </c>
      <c r="D171" s="69">
        <v>2.1190476190476191</v>
      </c>
      <c r="E171" s="65">
        <v>0.29166666666666669</v>
      </c>
      <c r="F171" s="65">
        <v>0.4107142857142857</v>
      </c>
      <c r="G171" s="65">
        <v>0.27065527065527067</v>
      </c>
      <c r="H171" s="65">
        <v>0.17165242165242164</v>
      </c>
      <c r="I171" s="66">
        <v>8285</v>
      </c>
      <c r="J171" s="66">
        <v>-8420.3319502074683</v>
      </c>
      <c r="K171" s="65">
        <v>0.14285714285714285</v>
      </c>
      <c r="L171" s="65">
        <v>0.10119047619047619</v>
      </c>
      <c r="M171" s="65">
        <v>0.24572649572649571</v>
      </c>
      <c r="N171" s="65">
        <v>0.19943019943019943</v>
      </c>
      <c r="O171" s="65">
        <v>0.53623188405797106</v>
      </c>
      <c r="P171" s="65">
        <v>0.35357142857142859</v>
      </c>
      <c r="Q171" s="65">
        <v>0.41842105263157897</v>
      </c>
    </row>
    <row r="172" spans="1:17" x14ac:dyDescent="0.4">
      <c r="A172" s="67">
        <v>169</v>
      </c>
      <c r="B172" s="64">
        <v>-1197.0999999999999</v>
      </c>
      <c r="C172" s="64">
        <v>-7.0834319526627212</v>
      </c>
      <c r="D172" s="69">
        <v>2.1124260355029585</v>
      </c>
      <c r="E172" s="65">
        <v>0.29585798816568049</v>
      </c>
      <c r="F172" s="65">
        <v>0.40828402366863903</v>
      </c>
      <c r="G172" s="65">
        <v>0.27349823321554773</v>
      </c>
      <c r="H172" s="65">
        <v>0.17173144876325089</v>
      </c>
      <c r="I172" s="66">
        <v>8264.8578811369516</v>
      </c>
      <c r="J172" s="66">
        <v>-8437.0370370370365</v>
      </c>
      <c r="K172" s="65">
        <v>0.14201183431952663</v>
      </c>
      <c r="L172" s="65">
        <v>0.10059171597633136</v>
      </c>
      <c r="M172" s="65">
        <v>0.24381625441696114</v>
      </c>
      <c r="N172" s="65">
        <v>0.20212014134275619</v>
      </c>
      <c r="O172" s="65">
        <v>0.53623188405797106</v>
      </c>
      <c r="P172" s="65">
        <v>0.36013986013986016</v>
      </c>
      <c r="Q172" s="65">
        <v>0.41860465116279072</v>
      </c>
    </row>
    <row r="173" spans="1:17" x14ac:dyDescent="0.4">
      <c r="A173" s="67">
        <v>170</v>
      </c>
      <c r="B173" s="64">
        <v>-1147.5999999999999</v>
      </c>
      <c r="C173" s="64">
        <v>-6.7505882352941171</v>
      </c>
      <c r="D173" s="69">
        <v>2.1058823529411765</v>
      </c>
      <c r="E173" s="65">
        <v>0.3</v>
      </c>
      <c r="F173" s="65">
        <v>0.40588235294117647</v>
      </c>
      <c r="G173" s="65">
        <v>0.27617709065354884</v>
      </c>
      <c r="H173" s="65">
        <v>0.17146872803935348</v>
      </c>
      <c r="I173" s="66">
        <v>8215.5216284987273</v>
      </c>
      <c r="J173" s="66">
        <v>-8415.5737704918029</v>
      </c>
      <c r="K173" s="65">
        <v>0.14117647058823529</v>
      </c>
      <c r="L173" s="65">
        <v>0.10588235294117647</v>
      </c>
      <c r="M173" s="65">
        <v>0.24244553759662685</v>
      </c>
      <c r="N173" s="65">
        <v>0.20309205903021785</v>
      </c>
      <c r="O173" s="65">
        <v>0.53623188405797106</v>
      </c>
      <c r="P173" s="65">
        <v>0.36332179930795849</v>
      </c>
      <c r="Q173" s="65">
        <v>0.41730279898218831</v>
      </c>
    </row>
    <row r="174" spans="1:17" x14ac:dyDescent="0.4">
      <c r="A174" s="67">
        <v>171</v>
      </c>
      <c r="B174" s="64">
        <v>-1112.8999999999999</v>
      </c>
      <c r="C174" s="64">
        <v>-6.508187134502923</v>
      </c>
      <c r="D174" s="69">
        <v>2.0994152046783627</v>
      </c>
      <c r="E174" s="65">
        <v>0.30409356725146197</v>
      </c>
      <c r="F174" s="65">
        <v>0.40350877192982454</v>
      </c>
      <c r="G174" s="65">
        <v>0.27646239554317548</v>
      </c>
      <c r="H174" s="65">
        <v>0.17061281337047354</v>
      </c>
      <c r="I174" s="66">
        <v>8197.7329974811091</v>
      </c>
      <c r="J174" s="66">
        <v>-8385.3061224489793</v>
      </c>
      <c r="K174" s="65">
        <v>0.14035087719298245</v>
      </c>
      <c r="L174" s="65">
        <v>0.10526315789473684</v>
      </c>
      <c r="M174" s="65">
        <v>0.24373259052924792</v>
      </c>
      <c r="N174" s="65">
        <v>0.20264623955431754</v>
      </c>
      <c r="O174" s="65">
        <v>0.53714285714285714</v>
      </c>
      <c r="P174" s="65">
        <v>0.36426116838487971</v>
      </c>
      <c r="Q174" s="65">
        <v>0.41561712846347609</v>
      </c>
    </row>
    <row r="175" spans="1:17" x14ac:dyDescent="0.4">
      <c r="A175" s="67">
        <v>172</v>
      </c>
      <c r="B175" s="64">
        <v>-1065.8999999999999</v>
      </c>
      <c r="C175" s="64">
        <v>-6.197093023255813</v>
      </c>
      <c r="D175" s="69">
        <v>2.0930232558139537</v>
      </c>
      <c r="E175" s="65">
        <v>0.30813953488372092</v>
      </c>
      <c r="F175" s="65">
        <v>0.40116279069767441</v>
      </c>
      <c r="G175" s="65">
        <v>0.27643400138217</v>
      </c>
      <c r="H175" s="65">
        <v>0.17000691085003455</v>
      </c>
      <c r="I175" s="66">
        <v>8211.25</v>
      </c>
      <c r="J175" s="66">
        <v>-8382.5203252032516</v>
      </c>
      <c r="K175" s="65">
        <v>0.13953488372093023</v>
      </c>
      <c r="L175" s="65">
        <v>0.11046511627906977</v>
      </c>
      <c r="M175" s="65">
        <v>0.24464409122322045</v>
      </c>
      <c r="N175" s="65">
        <v>0.20248790601243952</v>
      </c>
      <c r="O175" s="65">
        <v>0.53672316384180796</v>
      </c>
      <c r="P175" s="65">
        <v>0.36177474402730375</v>
      </c>
      <c r="Q175" s="65">
        <v>0.41499999999999998</v>
      </c>
    </row>
    <row r="176" spans="1:17" x14ac:dyDescent="0.4">
      <c r="A176" s="67">
        <v>173</v>
      </c>
      <c r="B176" s="64">
        <v>-1064.8</v>
      </c>
      <c r="C176" s="64">
        <v>-6.1549132947976872</v>
      </c>
      <c r="D176" s="69">
        <v>2.0924855491329479</v>
      </c>
      <c r="E176" s="65">
        <v>0.30635838150289019</v>
      </c>
      <c r="F176" s="65">
        <v>0.39884393063583817</v>
      </c>
      <c r="G176" s="65">
        <v>0.27666896077081898</v>
      </c>
      <c r="H176" s="65">
        <v>0.16999311768754302</v>
      </c>
      <c r="I176" s="66">
        <v>8210.1990049751239</v>
      </c>
      <c r="J176" s="66">
        <v>-8359.1093117408909</v>
      </c>
      <c r="K176" s="65">
        <v>0.13872832369942195</v>
      </c>
      <c r="L176" s="65">
        <v>0.10982658959537572</v>
      </c>
      <c r="M176" s="65">
        <v>0.24432209222298693</v>
      </c>
      <c r="N176" s="65">
        <v>0.20302821748107364</v>
      </c>
      <c r="O176" s="65">
        <v>0.53802816901408446</v>
      </c>
      <c r="P176" s="65">
        <v>0.35932203389830508</v>
      </c>
      <c r="Q176" s="65">
        <v>0.41791044776119401</v>
      </c>
    </row>
    <row r="177" spans="1:17" x14ac:dyDescent="0.4">
      <c r="A177" s="67">
        <v>174</v>
      </c>
      <c r="B177" s="64">
        <v>-1090.0999999999999</v>
      </c>
      <c r="C177" s="64">
        <v>-6.2649425287356317</v>
      </c>
      <c r="D177" s="69">
        <v>2.0977011494252875</v>
      </c>
      <c r="E177" s="65">
        <v>0.3045977011494253</v>
      </c>
      <c r="F177" s="65">
        <v>0.40229885057471265</v>
      </c>
      <c r="G177" s="65">
        <v>0.27583846680355922</v>
      </c>
      <c r="H177" s="65">
        <v>0.16974674880219029</v>
      </c>
      <c r="I177" s="66">
        <v>8208.9330024813898</v>
      </c>
      <c r="J177" s="66">
        <v>-8333.467741935483</v>
      </c>
      <c r="K177" s="65">
        <v>0.13793103448275862</v>
      </c>
      <c r="L177" s="65">
        <v>0.10919540229885058</v>
      </c>
      <c r="M177" s="65">
        <v>0.24366872005475701</v>
      </c>
      <c r="N177" s="65">
        <v>0.20328542094455851</v>
      </c>
      <c r="O177" s="65">
        <v>0.5393258426966292</v>
      </c>
      <c r="P177" s="65">
        <v>0.35690235690235689</v>
      </c>
      <c r="Q177" s="65">
        <v>0.41935483870967744</v>
      </c>
    </row>
    <row r="178" spans="1:17" x14ac:dyDescent="0.4">
      <c r="A178" s="67">
        <v>175</v>
      </c>
      <c r="B178" s="64">
        <v>-1146.0999999999999</v>
      </c>
      <c r="C178" s="64">
        <v>-6.5491428571428569</v>
      </c>
      <c r="D178" s="69">
        <v>2.1028571428571428</v>
      </c>
      <c r="E178" s="65">
        <v>0.30285714285714288</v>
      </c>
      <c r="F178" s="65">
        <v>0.40571428571428569</v>
      </c>
      <c r="G178" s="65">
        <v>0.27452316076294275</v>
      </c>
      <c r="H178" s="65">
        <v>0.17098092643051771</v>
      </c>
      <c r="I178" s="66">
        <v>8208.9330024813898</v>
      </c>
      <c r="J178" s="66">
        <v>-8341.035856573706</v>
      </c>
      <c r="K178" s="65">
        <v>0.14285714285714285</v>
      </c>
      <c r="L178" s="65">
        <v>0.10857142857142857</v>
      </c>
      <c r="M178" s="65">
        <v>0.2438692098092643</v>
      </c>
      <c r="N178" s="65">
        <v>0.20299727520435967</v>
      </c>
      <c r="O178" s="65">
        <v>0.53631284916201116</v>
      </c>
      <c r="P178" s="65">
        <v>0.35570469798657717</v>
      </c>
      <c r="Q178" s="65">
        <v>0.41935483870967744</v>
      </c>
    </row>
    <row r="179" spans="1:17" x14ac:dyDescent="0.4">
      <c r="A179" s="67">
        <v>176</v>
      </c>
      <c r="B179" s="64">
        <v>-1142.5</v>
      </c>
      <c r="C179" s="64">
        <v>-6.4914772727272725</v>
      </c>
      <c r="D179" s="69">
        <v>2.1022727272727271</v>
      </c>
      <c r="E179" s="65">
        <v>0.30113636363636365</v>
      </c>
      <c r="F179" s="65">
        <v>0.40340909090909088</v>
      </c>
      <c r="G179" s="65">
        <v>0.2755585646580907</v>
      </c>
      <c r="H179" s="65">
        <v>0.17061611374407584</v>
      </c>
      <c r="I179" s="66">
        <v>8167.8132678132679</v>
      </c>
      <c r="J179" s="66">
        <v>-8339.6825396825388</v>
      </c>
      <c r="K179" s="65">
        <v>0.14204545454545456</v>
      </c>
      <c r="L179" s="65">
        <v>0.10795454545454546</v>
      </c>
      <c r="M179" s="65">
        <v>0.24306025727826674</v>
      </c>
      <c r="N179" s="65">
        <v>0.2024373730534868</v>
      </c>
      <c r="O179" s="65">
        <v>0.53760445682451252</v>
      </c>
      <c r="P179" s="65">
        <v>0.35785953177257523</v>
      </c>
      <c r="Q179" s="65">
        <v>0.42014742014742013</v>
      </c>
    </row>
    <row r="180" spans="1:17" x14ac:dyDescent="0.4">
      <c r="A180" s="67">
        <v>177</v>
      </c>
      <c r="B180" s="64">
        <v>-1194.4000000000001</v>
      </c>
      <c r="C180" s="64">
        <v>-6.7480225988700573</v>
      </c>
      <c r="D180" s="69">
        <v>2.1073446327683616</v>
      </c>
      <c r="E180" s="65">
        <v>0.29943502824858759</v>
      </c>
      <c r="F180" s="65">
        <v>0.40677966101694918</v>
      </c>
      <c r="G180" s="65">
        <v>0.27510040160642568</v>
      </c>
      <c r="H180" s="65">
        <v>0.17135207496653279</v>
      </c>
      <c r="I180" s="66">
        <v>8127.9805352798057</v>
      </c>
      <c r="J180" s="66">
        <v>-8364.453125</v>
      </c>
      <c r="K180" s="65">
        <v>0.14124293785310735</v>
      </c>
      <c r="L180" s="65">
        <v>0.10734463276836158</v>
      </c>
      <c r="M180" s="65">
        <v>0.24364123159303883</v>
      </c>
      <c r="N180" s="65">
        <v>0.20281124497991967</v>
      </c>
      <c r="O180" s="65">
        <v>0.5357142857142857</v>
      </c>
      <c r="P180" s="65">
        <v>0.35643564356435642</v>
      </c>
      <c r="Q180" s="65">
        <v>0.41849148418491483</v>
      </c>
    </row>
    <row r="181" spans="1:17" x14ac:dyDescent="0.4">
      <c r="A181" s="67">
        <v>178</v>
      </c>
      <c r="B181" s="64">
        <v>-1166.8000000000002</v>
      </c>
      <c r="C181" s="64">
        <v>-6.5550561797752822</v>
      </c>
      <c r="D181" s="69">
        <v>2.101123595505618</v>
      </c>
      <c r="E181" s="65">
        <v>0.30337078651685395</v>
      </c>
      <c r="F181" s="65">
        <v>0.4044943820224719</v>
      </c>
      <c r="G181" s="65">
        <v>0.27600000000000002</v>
      </c>
      <c r="H181" s="65">
        <v>0.17133333333333334</v>
      </c>
      <c r="I181" s="66">
        <v>8112.5603864734303</v>
      </c>
      <c r="J181" s="66">
        <v>-8363.035019455252</v>
      </c>
      <c r="K181" s="65">
        <v>0.1404494382022472</v>
      </c>
      <c r="L181" s="65">
        <v>0.10674157303370786</v>
      </c>
      <c r="M181" s="65">
        <v>0.24399999999999999</v>
      </c>
      <c r="N181" s="65">
        <v>0.20333333333333334</v>
      </c>
      <c r="O181" s="65">
        <v>0.53825136612021862</v>
      </c>
      <c r="P181" s="65">
        <v>0.35737704918032787</v>
      </c>
      <c r="Q181" s="65">
        <v>0.41787439613526572</v>
      </c>
    </row>
    <row r="182" spans="1:17" x14ac:dyDescent="0.4">
      <c r="A182" s="67">
        <v>179</v>
      </c>
      <c r="B182" s="64">
        <v>-1205.5000000000002</v>
      </c>
      <c r="C182" s="64">
        <v>-6.7346368715083811</v>
      </c>
      <c r="D182" s="69">
        <v>2.1061452513966481</v>
      </c>
      <c r="E182" s="65">
        <v>0.3016759776536313</v>
      </c>
      <c r="F182" s="65">
        <v>0.40782122905027934</v>
      </c>
      <c r="G182" s="65">
        <v>0.27652519893899202</v>
      </c>
      <c r="H182" s="65">
        <v>0.17241379310344829</v>
      </c>
      <c r="I182" s="66">
        <v>8105.035971223022</v>
      </c>
      <c r="J182" s="66">
        <v>-8398.8461538461543</v>
      </c>
      <c r="K182" s="65">
        <v>0.13966480446927373</v>
      </c>
      <c r="L182" s="65">
        <v>0.10614525139664804</v>
      </c>
      <c r="M182" s="65">
        <v>0.24535809018567639</v>
      </c>
      <c r="N182" s="65">
        <v>0.20225464190981432</v>
      </c>
      <c r="O182" s="65">
        <v>0.54054054054054057</v>
      </c>
      <c r="P182" s="65">
        <v>0.35737704918032787</v>
      </c>
      <c r="Q182" s="65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EF20E-9FA6-41AC-ABEA-549BF3434A4D}">
  <sheetPr codeName="Sheet10"/>
  <dimension ref="A1:Q166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128</v>
      </c>
      <c r="B1" s="68" t="s">
        <v>128</v>
      </c>
      <c r="C1" s="68" t="s">
        <v>128</v>
      </c>
      <c r="D1" s="69" t="s">
        <v>128</v>
      </c>
      <c r="E1" s="68" t="s">
        <v>128</v>
      </c>
      <c r="F1" s="68" t="s">
        <v>128</v>
      </c>
      <c r="G1" s="68" t="s">
        <v>128</v>
      </c>
      <c r="H1" s="68" t="s">
        <v>128</v>
      </c>
      <c r="I1" s="68" t="s">
        <v>128</v>
      </c>
      <c r="J1" s="68" t="s">
        <v>128</v>
      </c>
      <c r="K1" s="68" t="s">
        <v>128</v>
      </c>
      <c r="L1" s="68" t="s">
        <v>128</v>
      </c>
      <c r="M1" s="68" t="s">
        <v>128</v>
      </c>
      <c r="N1" s="68" t="s">
        <v>128</v>
      </c>
      <c r="O1" s="68" t="s">
        <v>128</v>
      </c>
      <c r="P1" s="68" t="s">
        <v>128</v>
      </c>
      <c r="Q1" s="68" t="s">
        <v>128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45.5</v>
      </c>
      <c r="C4" s="64">
        <v>45.5</v>
      </c>
      <c r="D4" s="69">
        <v>1</v>
      </c>
      <c r="E4" s="65">
        <v>1</v>
      </c>
      <c r="F4" s="65">
        <v>0</v>
      </c>
      <c r="G4" s="65">
        <v>0.5</v>
      </c>
      <c r="H4" s="65">
        <v>0.16666666666666666</v>
      </c>
      <c r="I4" s="66">
        <v>13233.333333333334</v>
      </c>
      <c r="J4" s="66">
        <v>-8000</v>
      </c>
      <c r="K4" s="65">
        <v>0</v>
      </c>
      <c r="L4" s="65">
        <v>0</v>
      </c>
      <c r="M4" s="65">
        <v>0.5</v>
      </c>
      <c r="N4" s="65">
        <v>0.16666666666666666</v>
      </c>
      <c r="O4" s="65">
        <v>1</v>
      </c>
      <c r="P4" s="65">
        <v>0</v>
      </c>
      <c r="Q4" s="65">
        <v>0</v>
      </c>
    </row>
    <row r="5" spans="1:17" x14ac:dyDescent="0.4">
      <c r="A5" s="67">
        <v>2</v>
      </c>
      <c r="B5" s="64">
        <v>6.2999999999999972</v>
      </c>
      <c r="C5" s="64">
        <v>3.1499999999999986</v>
      </c>
      <c r="D5" s="69">
        <v>2</v>
      </c>
      <c r="E5" s="65">
        <v>0.5</v>
      </c>
      <c r="F5" s="65">
        <v>0.5</v>
      </c>
      <c r="G5" s="65">
        <v>0.3125</v>
      </c>
      <c r="H5" s="65">
        <v>0.25</v>
      </c>
      <c r="I5" s="66">
        <v>11860</v>
      </c>
      <c r="J5" s="66">
        <v>-6950</v>
      </c>
      <c r="K5" s="65">
        <v>0</v>
      </c>
      <c r="L5" s="65">
        <v>0</v>
      </c>
      <c r="M5" s="65">
        <v>0.375</v>
      </c>
      <c r="N5" s="65">
        <v>0.125</v>
      </c>
      <c r="O5" s="65">
        <v>0.66666666666666663</v>
      </c>
      <c r="P5" s="65">
        <v>0.5</v>
      </c>
      <c r="Q5" s="65">
        <v>0.2</v>
      </c>
    </row>
    <row r="6" spans="1:17" x14ac:dyDescent="0.4">
      <c r="A6" s="67">
        <v>3</v>
      </c>
      <c r="B6" s="64">
        <v>-47.300000000000004</v>
      </c>
      <c r="C6" s="64">
        <v>-15.766666666666667</v>
      </c>
      <c r="D6" s="69">
        <v>2.3333333333333335</v>
      </c>
      <c r="E6" s="65">
        <v>0.33333333333333331</v>
      </c>
      <c r="F6" s="65">
        <v>0.66666666666666663</v>
      </c>
      <c r="G6" s="65">
        <v>0.23076923076923078</v>
      </c>
      <c r="H6" s="65">
        <v>0.26923076923076922</v>
      </c>
      <c r="I6" s="66">
        <v>11483.333333333334</v>
      </c>
      <c r="J6" s="66">
        <v>-7785.7142857142853</v>
      </c>
      <c r="K6" s="65">
        <v>0</v>
      </c>
      <c r="L6" s="65">
        <v>0</v>
      </c>
      <c r="M6" s="65">
        <v>0.26923076923076922</v>
      </c>
      <c r="N6" s="65">
        <v>0.23076923076923078</v>
      </c>
      <c r="O6" s="65">
        <v>0.7142857142857143</v>
      </c>
      <c r="P6" s="65">
        <v>0.16666666666666666</v>
      </c>
      <c r="Q6" s="65">
        <v>0.16666666666666666</v>
      </c>
    </row>
    <row r="7" spans="1:17" x14ac:dyDescent="0.4">
      <c r="A7" s="67">
        <v>4</v>
      </c>
      <c r="B7" s="64">
        <v>13.599999999999994</v>
      </c>
      <c r="C7" s="64">
        <v>3.3999999999999986</v>
      </c>
      <c r="D7" s="69">
        <v>2</v>
      </c>
      <c r="E7" s="65">
        <v>0.5</v>
      </c>
      <c r="F7" s="65">
        <v>0.5</v>
      </c>
      <c r="G7" s="65">
        <v>0.34285714285714286</v>
      </c>
      <c r="H7" s="65">
        <v>0.22857142857142856</v>
      </c>
      <c r="I7" s="66">
        <v>9500</v>
      </c>
      <c r="J7" s="66">
        <v>-7300</v>
      </c>
      <c r="K7" s="65">
        <v>0</v>
      </c>
      <c r="L7" s="65">
        <v>0</v>
      </c>
      <c r="M7" s="65">
        <v>0.2857142857142857</v>
      </c>
      <c r="N7" s="65">
        <v>0.25714285714285712</v>
      </c>
      <c r="O7" s="65">
        <v>0.8</v>
      </c>
      <c r="P7" s="65">
        <v>0.33333333333333331</v>
      </c>
      <c r="Q7" s="65">
        <v>0.25</v>
      </c>
    </row>
    <row r="8" spans="1:17" x14ac:dyDescent="0.4">
      <c r="A8" s="67">
        <v>5</v>
      </c>
      <c r="B8" s="64">
        <v>-16.600000000000005</v>
      </c>
      <c r="C8" s="64">
        <v>-3.3200000000000012</v>
      </c>
      <c r="D8" s="69">
        <v>2.2000000000000002</v>
      </c>
      <c r="E8" s="65">
        <v>0.4</v>
      </c>
      <c r="F8" s="65">
        <v>0.6</v>
      </c>
      <c r="G8" s="65">
        <v>0.28888888888888886</v>
      </c>
      <c r="H8" s="65">
        <v>0.2</v>
      </c>
      <c r="I8" s="66">
        <v>8846.1538461538457</v>
      </c>
      <c r="J8" s="66">
        <v>-6755.5555555555557</v>
      </c>
      <c r="K8" s="65">
        <v>0</v>
      </c>
      <c r="L8" s="65">
        <v>0</v>
      </c>
      <c r="M8" s="65">
        <v>0.24444444444444444</v>
      </c>
      <c r="N8" s="65">
        <v>0.24444444444444444</v>
      </c>
      <c r="O8" s="65">
        <v>0.72727272727272729</v>
      </c>
      <c r="P8" s="65">
        <v>0.36363636363636365</v>
      </c>
      <c r="Q8" s="65">
        <v>0.23076923076923078</v>
      </c>
    </row>
    <row r="9" spans="1:17" x14ac:dyDescent="0.4">
      <c r="A9" s="67">
        <v>6</v>
      </c>
      <c r="B9" s="64">
        <v>-14.000000000000005</v>
      </c>
      <c r="C9" s="64">
        <v>-2.3333333333333344</v>
      </c>
      <c r="D9" s="69">
        <v>2.1666666666666665</v>
      </c>
      <c r="E9" s="65">
        <v>0.33333333333333331</v>
      </c>
      <c r="F9" s="65">
        <v>0.5</v>
      </c>
      <c r="G9" s="65">
        <v>0.29629629629629628</v>
      </c>
      <c r="H9" s="65">
        <v>0.16666666666666666</v>
      </c>
      <c r="I9" s="66">
        <v>8231.25</v>
      </c>
      <c r="J9" s="66">
        <v>-6755.5555555555557</v>
      </c>
      <c r="K9" s="65">
        <v>0</v>
      </c>
      <c r="L9" s="65">
        <v>0</v>
      </c>
      <c r="M9" s="65">
        <v>0.31481481481481483</v>
      </c>
      <c r="N9" s="65">
        <v>0.22222222222222221</v>
      </c>
      <c r="O9" s="65">
        <v>0.6470588235294118</v>
      </c>
      <c r="P9" s="65">
        <v>0.33333333333333331</v>
      </c>
      <c r="Q9" s="65">
        <v>0.25</v>
      </c>
    </row>
    <row r="10" spans="1:17" x14ac:dyDescent="0.4">
      <c r="A10" s="67">
        <v>7</v>
      </c>
      <c r="B10" s="64">
        <v>-45.300000000000004</v>
      </c>
      <c r="C10" s="64">
        <v>-6.4714285714285724</v>
      </c>
      <c r="D10" s="69">
        <v>2.2857142857142856</v>
      </c>
      <c r="E10" s="65">
        <v>0.2857142857142857</v>
      </c>
      <c r="F10" s="65">
        <v>0.5714285714285714</v>
      </c>
      <c r="G10" s="65">
        <v>0.29508196721311475</v>
      </c>
      <c r="H10" s="65">
        <v>0.16393442622950818</v>
      </c>
      <c r="I10" s="66">
        <v>8138.8888888888887</v>
      </c>
      <c r="J10" s="66">
        <v>-7880</v>
      </c>
      <c r="K10" s="65">
        <v>0</v>
      </c>
      <c r="L10" s="65">
        <v>0</v>
      </c>
      <c r="M10" s="65">
        <v>0.32786885245901637</v>
      </c>
      <c r="N10" s="65">
        <v>0.19672131147540983</v>
      </c>
      <c r="O10" s="65">
        <v>0.6</v>
      </c>
      <c r="P10" s="65">
        <v>0.33333333333333331</v>
      </c>
      <c r="Q10" s="65">
        <v>0.33333333333333331</v>
      </c>
    </row>
    <row r="11" spans="1:17" x14ac:dyDescent="0.4">
      <c r="A11" s="67">
        <v>8</v>
      </c>
      <c r="B11" s="64">
        <v>-49.6</v>
      </c>
      <c r="C11" s="64">
        <v>-6.2</v>
      </c>
      <c r="D11" s="69">
        <v>2.25</v>
      </c>
      <c r="E11" s="65">
        <v>0.25</v>
      </c>
      <c r="F11" s="65">
        <v>0.5</v>
      </c>
      <c r="G11" s="65">
        <v>0.26760563380281688</v>
      </c>
      <c r="H11" s="65">
        <v>0.14084507042253522</v>
      </c>
      <c r="I11" s="66">
        <v>8115.7894736842109</v>
      </c>
      <c r="J11" s="66">
        <v>-7880</v>
      </c>
      <c r="K11" s="65">
        <v>0</v>
      </c>
      <c r="L11" s="65">
        <v>0</v>
      </c>
      <c r="M11" s="65">
        <v>0.323943661971831</v>
      </c>
      <c r="N11" s="65">
        <v>0.21126760563380281</v>
      </c>
      <c r="O11" s="65">
        <v>0.56521739130434778</v>
      </c>
      <c r="P11" s="65">
        <v>0.26666666666666666</v>
      </c>
      <c r="Q11" s="65">
        <v>0.31578947368421051</v>
      </c>
    </row>
    <row r="12" spans="1:17" x14ac:dyDescent="0.4">
      <c r="A12" s="67">
        <v>9</v>
      </c>
      <c r="B12" s="64">
        <v>-79.5</v>
      </c>
      <c r="C12" s="64">
        <v>-8.8333333333333339</v>
      </c>
      <c r="D12" s="69">
        <v>2.3333333333333335</v>
      </c>
      <c r="E12" s="65">
        <v>0.22222222222222221</v>
      </c>
      <c r="F12" s="65">
        <v>0.55555555555555558</v>
      </c>
      <c r="G12" s="65">
        <v>0.26923076923076922</v>
      </c>
      <c r="H12" s="65">
        <v>0.16666666666666666</v>
      </c>
      <c r="I12" s="66">
        <v>7900</v>
      </c>
      <c r="J12" s="66">
        <v>-7569.2307692307695</v>
      </c>
      <c r="K12" s="65">
        <v>0</v>
      </c>
      <c r="L12" s="65">
        <v>0</v>
      </c>
      <c r="M12" s="65">
        <v>0.30769230769230771</v>
      </c>
      <c r="N12" s="65">
        <v>0.21794871794871795</v>
      </c>
      <c r="O12" s="65">
        <v>0.54166666666666663</v>
      </c>
      <c r="P12" s="65">
        <v>0.23529411764705882</v>
      </c>
      <c r="Q12" s="65">
        <v>0.38095238095238093</v>
      </c>
    </row>
    <row r="13" spans="1:17" x14ac:dyDescent="0.4">
      <c r="A13" s="67">
        <v>10</v>
      </c>
      <c r="B13" s="64">
        <v>-80.900000000000006</v>
      </c>
      <c r="C13" s="64">
        <v>-8.09</v>
      </c>
      <c r="D13" s="69">
        <v>2.2999999999999998</v>
      </c>
      <c r="E13" s="65">
        <v>0.2</v>
      </c>
      <c r="F13" s="65">
        <v>0.5</v>
      </c>
      <c r="G13" s="65">
        <v>0.27906976744186046</v>
      </c>
      <c r="H13" s="65">
        <v>0.16279069767441862</v>
      </c>
      <c r="I13" s="66">
        <v>7900</v>
      </c>
      <c r="J13" s="66">
        <v>-7578.5714285714284</v>
      </c>
      <c r="K13" s="65">
        <v>0</v>
      </c>
      <c r="L13" s="65">
        <v>0</v>
      </c>
      <c r="M13" s="65">
        <v>0.32558139534883723</v>
      </c>
      <c r="N13" s="65">
        <v>0.20930232558139536</v>
      </c>
      <c r="O13" s="65">
        <v>0.5357142857142857</v>
      </c>
      <c r="P13" s="65">
        <v>0.27777777777777779</v>
      </c>
      <c r="Q13" s="65">
        <v>0.375</v>
      </c>
    </row>
    <row r="14" spans="1:17" x14ac:dyDescent="0.4">
      <c r="A14" s="67">
        <v>11</v>
      </c>
      <c r="B14" s="64">
        <v>-53.100000000000009</v>
      </c>
      <c r="C14" s="64">
        <v>-4.827272727272728</v>
      </c>
      <c r="D14" s="69">
        <v>2.1818181818181817</v>
      </c>
      <c r="E14" s="65">
        <v>0.27272727272727271</v>
      </c>
      <c r="F14" s="65">
        <v>0.45454545454545453</v>
      </c>
      <c r="G14" s="65">
        <v>0.29032258064516131</v>
      </c>
      <c r="H14" s="65">
        <v>0.16129032258064516</v>
      </c>
      <c r="I14" s="66">
        <v>7644.4444444444443</v>
      </c>
      <c r="J14" s="66">
        <v>-7606.666666666667</v>
      </c>
      <c r="K14" s="65">
        <v>0</v>
      </c>
      <c r="L14" s="65">
        <v>0</v>
      </c>
      <c r="M14" s="65">
        <v>0.32258064516129031</v>
      </c>
      <c r="N14" s="65">
        <v>0.20430107526881722</v>
      </c>
      <c r="O14" s="65">
        <v>0.56666666666666665</v>
      </c>
      <c r="P14" s="65">
        <v>0.26315789473684209</v>
      </c>
      <c r="Q14" s="65">
        <v>0.37037037037037035</v>
      </c>
    </row>
    <row r="15" spans="1:17" x14ac:dyDescent="0.4">
      <c r="A15" s="67">
        <v>12</v>
      </c>
      <c r="B15" s="64">
        <v>-56.500000000000007</v>
      </c>
      <c r="C15" s="64">
        <v>-4.7083333333333339</v>
      </c>
      <c r="D15" s="69">
        <v>2.1666666666666665</v>
      </c>
      <c r="E15" s="65">
        <v>0.25</v>
      </c>
      <c r="F15" s="65">
        <v>0.41666666666666669</v>
      </c>
      <c r="G15" s="65">
        <v>0.30097087378640774</v>
      </c>
      <c r="H15" s="65">
        <v>0.17475728155339806</v>
      </c>
      <c r="I15" s="66">
        <v>7809.677419354839</v>
      </c>
      <c r="J15" s="66">
        <v>-8222.2222222222226</v>
      </c>
      <c r="K15" s="65">
        <v>0</v>
      </c>
      <c r="L15" s="65">
        <v>0</v>
      </c>
      <c r="M15" s="65">
        <v>0.31067961165048541</v>
      </c>
      <c r="N15" s="65">
        <v>0.22330097087378642</v>
      </c>
      <c r="O15" s="65">
        <v>0.59375</v>
      </c>
      <c r="P15" s="65">
        <v>0.2608695652173913</v>
      </c>
      <c r="Q15" s="65">
        <v>0.38709677419354838</v>
      </c>
    </row>
    <row r="16" spans="1:17" x14ac:dyDescent="0.4">
      <c r="A16" s="67">
        <v>13</v>
      </c>
      <c r="B16" s="64">
        <v>-81.900000000000006</v>
      </c>
      <c r="C16" s="64">
        <v>-6.3000000000000007</v>
      </c>
      <c r="D16" s="69">
        <v>2.2307692307692308</v>
      </c>
      <c r="E16" s="65">
        <v>0.23076923076923078</v>
      </c>
      <c r="F16" s="65">
        <v>0.46153846153846156</v>
      </c>
      <c r="G16" s="65">
        <v>0.29203539823008851</v>
      </c>
      <c r="H16" s="65">
        <v>0.17699115044247787</v>
      </c>
      <c r="I16" s="66">
        <v>7763.636363636364</v>
      </c>
      <c r="J16" s="66">
        <v>-8100</v>
      </c>
      <c r="K16" s="65">
        <v>0</v>
      </c>
      <c r="L16" s="65">
        <v>0</v>
      </c>
      <c r="M16" s="65">
        <v>0.2831858407079646</v>
      </c>
      <c r="N16" s="65">
        <v>0.24778761061946902</v>
      </c>
      <c r="O16" s="65">
        <v>0.59375</v>
      </c>
      <c r="P16" s="65">
        <v>0.25</v>
      </c>
      <c r="Q16" s="65">
        <v>0.42424242424242425</v>
      </c>
    </row>
    <row r="17" spans="1:17" x14ac:dyDescent="0.4">
      <c r="A17" s="67">
        <v>14</v>
      </c>
      <c r="B17" s="64">
        <v>-25.600000000000009</v>
      </c>
      <c r="C17" s="64">
        <v>-1.8285714285714292</v>
      </c>
      <c r="D17" s="69">
        <v>2.1428571428571428</v>
      </c>
      <c r="E17" s="65">
        <v>0.2857142857142857</v>
      </c>
      <c r="F17" s="65">
        <v>0.42857142857142855</v>
      </c>
      <c r="G17" s="65">
        <v>0.31707317073170732</v>
      </c>
      <c r="H17" s="65">
        <v>0.16260162601626016</v>
      </c>
      <c r="I17" s="66">
        <v>7392.3076923076924</v>
      </c>
      <c r="J17" s="66">
        <v>-8100</v>
      </c>
      <c r="K17" s="65">
        <v>0</v>
      </c>
      <c r="L17" s="65">
        <v>0</v>
      </c>
      <c r="M17" s="65">
        <v>0.32520325203252032</v>
      </c>
      <c r="N17" s="65">
        <v>0.22764227642276422</v>
      </c>
      <c r="O17" s="65">
        <v>0.625</v>
      </c>
      <c r="P17" s="65">
        <v>0.25</v>
      </c>
      <c r="Q17" s="65">
        <v>0.41025641025641024</v>
      </c>
    </row>
    <row r="18" spans="1:17" x14ac:dyDescent="0.4">
      <c r="A18" s="67">
        <v>15</v>
      </c>
      <c r="B18" s="64">
        <v>47.999999999999986</v>
      </c>
      <c r="C18" s="64">
        <v>3.1999999999999988</v>
      </c>
      <c r="D18" s="69">
        <v>2.0666666666666669</v>
      </c>
      <c r="E18" s="65">
        <v>0.33333333333333331</v>
      </c>
      <c r="F18" s="65">
        <v>0.4</v>
      </c>
      <c r="G18" s="65">
        <v>0.33088235294117646</v>
      </c>
      <c r="H18" s="65">
        <v>0.16911764705882354</v>
      </c>
      <c r="I18" s="66">
        <v>8133.333333333333</v>
      </c>
      <c r="J18" s="66">
        <v>-8026.086956521739</v>
      </c>
      <c r="K18" s="65">
        <v>0</v>
      </c>
      <c r="L18" s="65">
        <v>6.6666666666666666E-2</v>
      </c>
      <c r="M18" s="65">
        <v>0.33823529411764708</v>
      </c>
      <c r="N18" s="65">
        <v>0.21323529411764705</v>
      </c>
      <c r="O18" s="65">
        <v>0.63043478260869568</v>
      </c>
      <c r="P18" s="65">
        <v>0.27586206896551724</v>
      </c>
      <c r="Q18" s="65">
        <v>0.4</v>
      </c>
    </row>
    <row r="19" spans="1:17" x14ac:dyDescent="0.4">
      <c r="A19" s="67">
        <v>16</v>
      </c>
      <c r="B19" s="64">
        <v>41.699999999999989</v>
      </c>
      <c r="C19" s="64">
        <v>2.6062499999999993</v>
      </c>
      <c r="D19" s="69">
        <v>2.0625</v>
      </c>
      <c r="E19" s="65">
        <v>0.3125</v>
      </c>
      <c r="F19" s="65">
        <v>0.375</v>
      </c>
      <c r="G19" s="65">
        <v>0.32413793103448274</v>
      </c>
      <c r="H19" s="65">
        <v>0.1793103448275862</v>
      </c>
      <c r="I19" s="66">
        <v>8000</v>
      </c>
      <c r="J19" s="66">
        <v>-7476.9230769230771</v>
      </c>
      <c r="K19" s="65">
        <v>0</v>
      </c>
      <c r="L19" s="65">
        <v>6.25E-2</v>
      </c>
      <c r="M19" s="65">
        <v>0.32413793103448274</v>
      </c>
      <c r="N19" s="65">
        <v>0.21379310344827587</v>
      </c>
      <c r="O19" s="65">
        <v>0.63829787234042556</v>
      </c>
      <c r="P19" s="65">
        <v>0.29032258064516131</v>
      </c>
      <c r="Q19" s="65">
        <v>0.40425531914893614</v>
      </c>
    </row>
    <row r="20" spans="1:17" x14ac:dyDescent="0.4">
      <c r="A20" s="67">
        <v>17</v>
      </c>
      <c r="B20" s="64">
        <v>94.6</v>
      </c>
      <c r="C20" s="64">
        <v>5.5647058823529409</v>
      </c>
      <c r="D20" s="69">
        <v>2</v>
      </c>
      <c r="E20" s="65">
        <v>0.35294117647058826</v>
      </c>
      <c r="F20" s="65">
        <v>0.35294117647058826</v>
      </c>
      <c r="G20" s="65">
        <v>0.33333333333333331</v>
      </c>
      <c r="H20" s="65">
        <v>0.17333333333333334</v>
      </c>
      <c r="I20" s="66">
        <v>8258</v>
      </c>
      <c r="J20" s="66">
        <v>-7476.9230769230771</v>
      </c>
      <c r="K20" s="65">
        <v>0</v>
      </c>
      <c r="L20" s="65">
        <v>0.11764705882352941</v>
      </c>
      <c r="M20" s="65">
        <v>0.33333333333333331</v>
      </c>
      <c r="N20" s="65">
        <v>0.20666666666666667</v>
      </c>
      <c r="O20" s="65">
        <v>0.66</v>
      </c>
      <c r="P20" s="65">
        <v>0.29032258064516131</v>
      </c>
      <c r="Q20" s="65">
        <v>0.4</v>
      </c>
    </row>
    <row r="21" spans="1:17" x14ac:dyDescent="0.4">
      <c r="A21" s="67">
        <v>18</v>
      </c>
      <c r="B21" s="64">
        <v>116.69999999999999</v>
      </c>
      <c r="C21" s="64">
        <v>6.4833333333333325</v>
      </c>
      <c r="D21" s="69">
        <v>1.9444444444444444</v>
      </c>
      <c r="E21" s="65">
        <v>0.3888888888888889</v>
      </c>
      <c r="F21" s="65">
        <v>0.33333333333333331</v>
      </c>
      <c r="G21" s="65">
        <v>0.32911392405063289</v>
      </c>
      <c r="H21" s="65">
        <v>0.17088607594936708</v>
      </c>
      <c r="I21" s="66">
        <v>8196.1538461538457</v>
      </c>
      <c r="J21" s="66">
        <v>-7392.5925925925922</v>
      </c>
      <c r="K21" s="65">
        <v>0</v>
      </c>
      <c r="L21" s="65">
        <v>0.1111111111111111</v>
      </c>
      <c r="M21" s="65">
        <v>0.32911392405063289</v>
      </c>
      <c r="N21" s="65">
        <v>0.19620253164556961</v>
      </c>
      <c r="O21" s="65">
        <v>0.65384615384615385</v>
      </c>
      <c r="P21" s="65">
        <v>0.29032258064516131</v>
      </c>
      <c r="Q21" s="65">
        <v>0.38461538461538464</v>
      </c>
    </row>
    <row r="22" spans="1:17" x14ac:dyDescent="0.4">
      <c r="A22" s="67">
        <v>19</v>
      </c>
      <c r="B22" s="64">
        <v>138.79999999999998</v>
      </c>
      <c r="C22" s="64">
        <v>7.3052631578947356</v>
      </c>
      <c r="D22" s="69">
        <v>1.8947368421052631</v>
      </c>
      <c r="E22" s="65">
        <v>0.42105263157894735</v>
      </c>
      <c r="F22" s="65">
        <v>0.31578947368421051</v>
      </c>
      <c r="G22" s="65">
        <v>0.3253012048192771</v>
      </c>
      <c r="H22" s="65">
        <v>0.16867469879518071</v>
      </c>
      <c r="I22" s="66">
        <v>8138.8888888888887</v>
      </c>
      <c r="J22" s="66">
        <v>-7314.2857142857147</v>
      </c>
      <c r="K22" s="65">
        <v>0</v>
      </c>
      <c r="L22" s="65">
        <v>0.10526315789473684</v>
      </c>
      <c r="M22" s="65">
        <v>0.3253012048192771</v>
      </c>
      <c r="N22" s="65">
        <v>0.18674698795180722</v>
      </c>
      <c r="O22" s="65">
        <v>0.64814814814814814</v>
      </c>
      <c r="P22" s="65">
        <v>0.29032258064516131</v>
      </c>
      <c r="Q22" s="65">
        <v>0.37037037037037035</v>
      </c>
    </row>
    <row r="23" spans="1:17" x14ac:dyDescent="0.4">
      <c r="A23" s="67">
        <v>20</v>
      </c>
      <c r="B23" s="64">
        <v>164.49999999999997</v>
      </c>
      <c r="C23" s="64">
        <v>8.2249999999999979</v>
      </c>
      <c r="D23" s="69">
        <v>1.85</v>
      </c>
      <c r="E23" s="65">
        <v>0.45</v>
      </c>
      <c r="F23" s="65">
        <v>0.3</v>
      </c>
      <c r="G23" s="65">
        <v>0.31638418079096048</v>
      </c>
      <c r="H23" s="65">
        <v>0.16384180790960451</v>
      </c>
      <c r="I23" s="66">
        <v>8312.5</v>
      </c>
      <c r="J23" s="66">
        <v>-7475.8620689655172</v>
      </c>
      <c r="K23" s="65">
        <v>0</v>
      </c>
      <c r="L23" s="65">
        <v>0.1</v>
      </c>
      <c r="M23" s="65">
        <v>0.32203389830508472</v>
      </c>
      <c r="N23" s="65">
        <v>0.1807909604519774</v>
      </c>
      <c r="O23" s="65">
        <v>0.63157894736842102</v>
      </c>
      <c r="P23" s="65">
        <v>0.28125</v>
      </c>
      <c r="Q23" s="65">
        <v>0.375</v>
      </c>
    </row>
    <row r="24" spans="1:17" x14ac:dyDescent="0.4">
      <c r="A24" s="67">
        <v>21</v>
      </c>
      <c r="B24" s="64">
        <v>204.09999999999997</v>
      </c>
      <c r="C24" s="64">
        <v>9.7190476190476183</v>
      </c>
      <c r="D24" s="69">
        <v>1.8571428571428572</v>
      </c>
      <c r="E24" s="65">
        <v>0.42857142857142855</v>
      </c>
      <c r="F24" s="65">
        <v>0.2857142857142857</v>
      </c>
      <c r="G24" s="65">
        <v>0.31413612565445026</v>
      </c>
      <c r="H24" s="65">
        <v>0.15183246073298429</v>
      </c>
      <c r="I24" s="66">
        <v>9035</v>
      </c>
      <c r="J24" s="66">
        <v>-7475.8620689655172</v>
      </c>
      <c r="K24" s="65">
        <v>0</v>
      </c>
      <c r="L24" s="65">
        <v>9.5238095238095233E-2</v>
      </c>
      <c r="M24" s="65">
        <v>0.32460732984293195</v>
      </c>
      <c r="N24" s="65">
        <v>0.18848167539267016</v>
      </c>
      <c r="O24" s="65">
        <v>0.61290322580645162</v>
      </c>
      <c r="P24" s="65">
        <v>0.27777777777777779</v>
      </c>
      <c r="Q24" s="65">
        <v>0.36666666666666664</v>
      </c>
    </row>
    <row r="25" spans="1:17" x14ac:dyDescent="0.4">
      <c r="A25" s="67">
        <v>22</v>
      </c>
      <c r="B25" s="64">
        <v>239.39999999999998</v>
      </c>
      <c r="C25" s="64">
        <v>10.881818181818181</v>
      </c>
      <c r="D25" s="69">
        <v>1.8181818181818181</v>
      </c>
      <c r="E25" s="65">
        <v>0.45454545454545453</v>
      </c>
      <c r="F25" s="65">
        <v>0.27272727272727271</v>
      </c>
      <c r="G25" s="65">
        <v>0.32</v>
      </c>
      <c r="H25" s="65">
        <v>0.155</v>
      </c>
      <c r="I25" s="66">
        <v>9095.3125</v>
      </c>
      <c r="J25" s="66">
        <v>-7629.0322580645161</v>
      </c>
      <c r="K25" s="65">
        <v>0</v>
      </c>
      <c r="L25" s="65">
        <v>9.0909090909090912E-2</v>
      </c>
      <c r="M25" s="65">
        <v>0.33500000000000002</v>
      </c>
      <c r="N25" s="65">
        <v>0.185</v>
      </c>
      <c r="O25" s="65">
        <v>0.62686567164179108</v>
      </c>
      <c r="P25" s="65">
        <v>0.27027027027027029</v>
      </c>
      <c r="Q25" s="65">
        <v>0.34375</v>
      </c>
    </row>
    <row r="26" spans="1:17" x14ac:dyDescent="0.4">
      <c r="A26" s="67">
        <v>23</v>
      </c>
      <c r="B26" s="64">
        <v>245.49999999999997</v>
      </c>
      <c r="C26" s="64">
        <v>10.67391304347826</v>
      </c>
      <c r="D26" s="69">
        <v>1.826086956521739</v>
      </c>
      <c r="E26" s="65">
        <v>0.43478260869565216</v>
      </c>
      <c r="F26" s="65">
        <v>0.2608695652173913</v>
      </c>
      <c r="G26" s="65">
        <v>0.32524271844660196</v>
      </c>
      <c r="H26" s="65">
        <v>0.1553398058252427</v>
      </c>
      <c r="I26" s="66">
        <v>9338.805970149253</v>
      </c>
      <c r="J26" s="66">
        <v>-7765.625</v>
      </c>
      <c r="K26" s="65">
        <v>0</v>
      </c>
      <c r="L26" s="65">
        <v>8.6956521739130432E-2</v>
      </c>
      <c r="M26" s="65">
        <v>0.33495145631067963</v>
      </c>
      <c r="N26" s="65">
        <v>0.18446601941747573</v>
      </c>
      <c r="O26" s="65">
        <v>0.6376811594202898</v>
      </c>
      <c r="P26" s="65">
        <v>0.28947368421052633</v>
      </c>
      <c r="Q26" s="65">
        <v>0.34328358208955223</v>
      </c>
    </row>
    <row r="27" spans="1:17" x14ac:dyDescent="0.4">
      <c r="A27" s="67">
        <v>24</v>
      </c>
      <c r="B27" s="64">
        <v>240.39999999999998</v>
      </c>
      <c r="C27" s="64">
        <v>10.016666666666666</v>
      </c>
      <c r="D27" s="69">
        <v>1.8333333333333333</v>
      </c>
      <c r="E27" s="65">
        <v>0.41666666666666669</v>
      </c>
      <c r="F27" s="65">
        <v>0.25</v>
      </c>
      <c r="G27" s="65">
        <v>0.31944444444444442</v>
      </c>
      <c r="H27" s="65">
        <v>0.14814814814814814</v>
      </c>
      <c r="I27" s="66">
        <v>9260.8695652173919</v>
      </c>
      <c r="J27" s="66">
        <v>-7765.625</v>
      </c>
      <c r="K27" s="65">
        <v>0</v>
      </c>
      <c r="L27" s="65">
        <v>8.3333333333333329E-2</v>
      </c>
      <c r="M27" s="65">
        <v>0.32407407407407407</v>
      </c>
      <c r="N27" s="65">
        <v>0.18518518518518517</v>
      </c>
      <c r="O27" s="65">
        <v>0.6428571428571429</v>
      </c>
      <c r="P27" s="65">
        <v>0.3</v>
      </c>
      <c r="Q27" s="65">
        <v>0.36231884057971014</v>
      </c>
    </row>
    <row r="28" spans="1:17" x14ac:dyDescent="0.4">
      <c r="A28" s="67">
        <v>25</v>
      </c>
      <c r="B28" s="64">
        <v>245.59999999999997</v>
      </c>
      <c r="C28" s="64">
        <v>9.8239999999999981</v>
      </c>
      <c r="D28" s="69">
        <v>1.84</v>
      </c>
      <c r="E28" s="65">
        <v>0.4</v>
      </c>
      <c r="F28" s="65">
        <v>0.24</v>
      </c>
      <c r="G28" s="65">
        <v>0.31555555555555553</v>
      </c>
      <c r="H28" s="65">
        <v>0.14666666666666667</v>
      </c>
      <c r="I28" s="66">
        <v>9198.5915492957738</v>
      </c>
      <c r="J28" s="66">
        <v>-7648.484848484848</v>
      </c>
      <c r="K28" s="65">
        <v>0</v>
      </c>
      <c r="L28" s="65">
        <v>0.08</v>
      </c>
      <c r="M28" s="65">
        <v>0.32444444444444442</v>
      </c>
      <c r="N28" s="65">
        <v>0.18222222222222223</v>
      </c>
      <c r="O28" s="65">
        <v>0.63013698630136983</v>
      </c>
      <c r="P28" s="65">
        <v>0.29268292682926828</v>
      </c>
      <c r="Q28" s="65">
        <v>0.38028169014084506</v>
      </c>
    </row>
    <row r="29" spans="1:17" x14ac:dyDescent="0.4">
      <c r="A29" s="67">
        <v>26</v>
      </c>
      <c r="B29" s="64">
        <v>237.69999999999996</v>
      </c>
      <c r="C29" s="64">
        <v>9.1423076923076909</v>
      </c>
      <c r="D29" s="69">
        <v>1.8461538461538463</v>
      </c>
      <c r="E29" s="65">
        <v>0.38461538461538464</v>
      </c>
      <c r="F29" s="65">
        <v>0.23076923076923078</v>
      </c>
      <c r="G29" s="65">
        <v>0.31578947368421051</v>
      </c>
      <c r="H29" s="65">
        <v>0.14473684210526316</v>
      </c>
      <c r="I29" s="66">
        <v>9106.9444444444453</v>
      </c>
      <c r="J29" s="66">
        <v>-7648.484848484848</v>
      </c>
      <c r="K29" s="65">
        <v>0</v>
      </c>
      <c r="L29" s="65">
        <v>7.6923076923076927E-2</v>
      </c>
      <c r="M29" s="65">
        <v>0.32017543859649122</v>
      </c>
      <c r="N29" s="65">
        <v>0.17982456140350878</v>
      </c>
      <c r="O29" s="65">
        <v>0.63013698630136983</v>
      </c>
      <c r="P29" s="65">
        <v>0.29268292682926828</v>
      </c>
      <c r="Q29" s="65">
        <v>0.375</v>
      </c>
    </row>
    <row r="30" spans="1:17" x14ac:dyDescent="0.4">
      <c r="A30" s="67">
        <v>27</v>
      </c>
      <c r="B30" s="64">
        <v>236.69999999999996</v>
      </c>
      <c r="C30" s="64">
        <v>8.7666666666666657</v>
      </c>
      <c r="D30" s="69">
        <v>1.8518518518518519</v>
      </c>
      <c r="E30" s="65">
        <v>0.37037037037037035</v>
      </c>
      <c r="F30" s="65">
        <v>0.22222222222222221</v>
      </c>
      <c r="G30" s="65">
        <v>0.31223628691983124</v>
      </c>
      <c r="H30" s="65">
        <v>0.14345991561181434</v>
      </c>
      <c r="I30" s="66">
        <v>9139.1891891891901</v>
      </c>
      <c r="J30" s="66">
        <v>-7776.4705882352937</v>
      </c>
      <c r="K30" s="65">
        <v>0</v>
      </c>
      <c r="L30" s="65">
        <v>7.407407407407407E-2</v>
      </c>
      <c r="M30" s="65">
        <v>0.30801687763713081</v>
      </c>
      <c r="N30" s="65">
        <v>0.17721518987341772</v>
      </c>
      <c r="O30" s="65">
        <v>0.63013698630136983</v>
      </c>
      <c r="P30" s="65">
        <v>0.2857142857142857</v>
      </c>
      <c r="Q30" s="65">
        <v>0.36486486486486486</v>
      </c>
    </row>
    <row r="31" spans="1:17" x14ac:dyDescent="0.4">
      <c r="A31" s="67">
        <v>28</v>
      </c>
      <c r="B31" s="64">
        <v>191.39999999999998</v>
      </c>
      <c r="C31" s="64">
        <v>6.8357142857142845</v>
      </c>
      <c r="D31" s="69">
        <v>1.8928571428571428</v>
      </c>
      <c r="E31" s="65">
        <v>0.35714285714285715</v>
      </c>
      <c r="F31" s="65">
        <v>0.25</v>
      </c>
      <c r="G31" s="65">
        <v>0.30612244897959184</v>
      </c>
      <c r="H31" s="65">
        <v>0.15510204081632653</v>
      </c>
      <c r="I31" s="66">
        <v>9086.6666666666661</v>
      </c>
      <c r="J31" s="66">
        <v>-7563.1578947368425</v>
      </c>
      <c r="K31" s="65">
        <v>0</v>
      </c>
      <c r="L31" s="65">
        <v>7.1428571428571425E-2</v>
      </c>
      <c r="M31" s="65">
        <v>0.30612244897959184</v>
      </c>
      <c r="N31" s="65">
        <v>0.17959183673469387</v>
      </c>
      <c r="O31" s="65">
        <v>0.62666666666666671</v>
      </c>
      <c r="P31" s="65">
        <v>0.27272727272727271</v>
      </c>
      <c r="Q31" s="65">
        <v>0.36</v>
      </c>
    </row>
    <row r="32" spans="1:17" x14ac:dyDescent="0.4">
      <c r="A32" s="67">
        <v>29</v>
      </c>
      <c r="B32" s="64">
        <v>182.49999999999997</v>
      </c>
      <c r="C32" s="64">
        <v>6.2931034482758612</v>
      </c>
      <c r="D32" s="69">
        <v>1.896551724137931</v>
      </c>
      <c r="E32" s="65">
        <v>0.34482758620689657</v>
      </c>
      <c r="F32" s="65">
        <v>0.2413793103448276</v>
      </c>
      <c r="G32" s="65">
        <v>0.30555555555555558</v>
      </c>
      <c r="H32" s="65">
        <v>0.15476190476190477</v>
      </c>
      <c r="I32" s="66">
        <v>8922.0779220779223</v>
      </c>
      <c r="J32" s="66">
        <v>-7502.5641025641025</v>
      </c>
      <c r="K32" s="65">
        <v>0</v>
      </c>
      <c r="L32" s="65">
        <v>6.8965517241379309E-2</v>
      </c>
      <c r="M32" s="65">
        <v>0.30555555555555558</v>
      </c>
      <c r="N32" s="65">
        <v>0.17857142857142858</v>
      </c>
      <c r="O32" s="65">
        <v>0.62337662337662336</v>
      </c>
      <c r="P32" s="65">
        <v>0.26666666666666666</v>
      </c>
      <c r="Q32" s="65">
        <v>0.36363636363636365</v>
      </c>
    </row>
    <row r="33" spans="1:17" x14ac:dyDescent="0.4">
      <c r="A33" s="67">
        <v>30</v>
      </c>
      <c r="B33" s="64">
        <v>178.99999999999997</v>
      </c>
      <c r="C33" s="64">
        <v>5.9666666666666659</v>
      </c>
      <c r="D33" s="69">
        <v>1.9</v>
      </c>
      <c r="E33" s="65">
        <v>0.33333333333333331</v>
      </c>
      <c r="F33" s="65">
        <v>0.23333333333333334</v>
      </c>
      <c r="G33" s="65">
        <v>0.30152671755725191</v>
      </c>
      <c r="H33" s="65">
        <v>0.15648854961832062</v>
      </c>
      <c r="I33" s="66">
        <v>9025.316455696202</v>
      </c>
      <c r="J33" s="66">
        <v>-7478.0487804878048</v>
      </c>
      <c r="K33" s="65">
        <v>0</v>
      </c>
      <c r="L33" s="65">
        <v>6.6666666666666666E-2</v>
      </c>
      <c r="M33" s="65">
        <v>0.29770992366412213</v>
      </c>
      <c r="N33" s="65">
        <v>0.18702290076335878</v>
      </c>
      <c r="O33" s="65">
        <v>0.62820512820512819</v>
      </c>
      <c r="P33" s="65">
        <v>0.26530612244897961</v>
      </c>
      <c r="Q33" s="65">
        <v>0.36708860759493672</v>
      </c>
    </row>
    <row r="34" spans="1:17" x14ac:dyDescent="0.4">
      <c r="A34" s="67">
        <v>31</v>
      </c>
      <c r="B34" s="64">
        <v>186.99999999999997</v>
      </c>
      <c r="C34" s="64">
        <v>6.0322580645161281</v>
      </c>
      <c r="D34" s="69">
        <v>1.903225806451613</v>
      </c>
      <c r="E34" s="65">
        <v>0.32258064516129031</v>
      </c>
      <c r="F34" s="65">
        <v>0.22580645161290322</v>
      </c>
      <c r="G34" s="65">
        <v>0.29962546816479402</v>
      </c>
      <c r="H34" s="65">
        <v>0.15355805243445692</v>
      </c>
      <c r="I34" s="66">
        <v>9062.5</v>
      </c>
      <c r="J34" s="66">
        <v>-7478.0487804878048</v>
      </c>
      <c r="K34" s="65">
        <v>0</v>
      </c>
      <c r="L34" s="65">
        <v>6.4516129032258063E-2</v>
      </c>
      <c r="M34" s="65">
        <v>0.29962546816479402</v>
      </c>
      <c r="N34" s="65">
        <v>0.18726591760299627</v>
      </c>
      <c r="O34" s="65">
        <v>0.625</v>
      </c>
      <c r="P34" s="65">
        <v>0.26</v>
      </c>
      <c r="Q34" s="65">
        <v>0.36249999999999999</v>
      </c>
    </row>
    <row r="35" spans="1:17" x14ac:dyDescent="0.4">
      <c r="A35" s="67">
        <v>32</v>
      </c>
      <c r="B35" s="64">
        <v>241.49999999999997</v>
      </c>
      <c r="C35" s="64">
        <v>7.5468749999999991</v>
      </c>
      <c r="D35" s="69">
        <v>1.875</v>
      </c>
      <c r="E35" s="65">
        <v>0.34375</v>
      </c>
      <c r="F35" s="65">
        <v>0.21875</v>
      </c>
      <c r="G35" s="65">
        <v>0.304029304029304</v>
      </c>
      <c r="H35" s="65">
        <v>0.15018315018315018</v>
      </c>
      <c r="I35" s="66">
        <v>9150.6024096385536</v>
      </c>
      <c r="J35" s="66">
        <v>-7478.0487804878048</v>
      </c>
      <c r="K35" s="65">
        <v>0</v>
      </c>
      <c r="L35" s="65">
        <v>6.25E-2</v>
      </c>
      <c r="M35" s="65">
        <v>0.30036630036630035</v>
      </c>
      <c r="N35" s="65">
        <v>0.19413919413919414</v>
      </c>
      <c r="O35" s="65">
        <v>0.63414634146341464</v>
      </c>
      <c r="P35" s="65">
        <v>0.26415094339622641</v>
      </c>
      <c r="Q35" s="65">
        <v>0.37349397590361444</v>
      </c>
    </row>
    <row r="36" spans="1:17" x14ac:dyDescent="0.4">
      <c r="A36" s="67">
        <v>33</v>
      </c>
      <c r="B36" s="64">
        <v>230.89999999999998</v>
      </c>
      <c r="C36" s="64">
        <v>6.9969696969696962</v>
      </c>
      <c r="D36" s="69">
        <v>1.8787878787878789</v>
      </c>
      <c r="E36" s="65">
        <v>0.33333333333333331</v>
      </c>
      <c r="F36" s="65">
        <v>0.21212121212121213</v>
      </c>
      <c r="G36" s="65">
        <v>0.2978723404255319</v>
      </c>
      <c r="H36" s="65">
        <v>0.15602836879432624</v>
      </c>
      <c r="I36" s="66">
        <v>9184.5238095238092</v>
      </c>
      <c r="J36" s="66">
        <v>-7065.909090909091</v>
      </c>
      <c r="K36" s="65">
        <v>0</v>
      </c>
      <c r="L36" s="65">
        <v>6.0606060606060608E-2</v>
      </c>
      <c r="M36" s="65">
        <v>0.29078014184397161</v>
      </c>
      <c r="N36" s="65">
        <v>0.19503546099290781</v>
      </c>
      <c r="O36" s="65">
        <v>0.63414634146341464</v>
      </c>
      <c r="P36" s="65">
        <v>0.25454545454545452</v>
      </c>
      <c r="Q36" s="65">
        <v>0.36904761904761907</v>
      </c>
    </row>
    <row r="37" spans="1:17" x14ac:dyDescent="0.4">
      <c r="A37" s="67">
        <v>34</v>
      </c>
      <c r="B37" s="64">
        <v>235.49999999999997</v>
      </c>
      <c r="C37" s="64">
        <v>6.9264705882352935</v>
      </c>
      <c r="D37" s="69">
        <v>1.8823529411764706</v>
      </c>
      <c r="E37" s="65">
        <v>0.3235294117647059</v>
      </c>
      <c r="F37" s="65">
        <v>0.20588235294117646</v>
      </c>
      <c r="G37" s="65">
        <v>0.3</v>
      </c>
      <c r="H37" s="65">
        <v>0.16206896551724137</v>
      </c>
      <c r="I37" s="66">
        <v>9190.8045977011498</v>
      </c>
      <c r="J37" s="66">
        <v>-7072.3404255319147</v>
      </c>
      <c r="K37" s="65">
        <v>0</v>
      </c>
      <c r="L37" s="65">
        <v>5.8823529411764705E-2</v>
      </c>
      <c r="M37" s="65">
        <v>0.28965517241379313</v>
      </c>
      <c r="N37" s="65">
        <v>0.19655172413793104</v>
      </c>
      <c r="O37" s="65">
        <v>0.6428571428571429</v>
      </c>
      <c r="P37" s="65">
        <v>0.26315789473684209</v>
      </c>
      <c r="Q37" s="65">
        <v>0.37931034482758619</v>
      </c>
    </row>
    <row r="38" spans="1:17" x14ac:dyDescent="0.4">
      <c r="A38" s="67">
        <v>35</v>
      </c>
      <c r="B38" s="64">
        <v>232.99999999999997</v>
      </c>
      <c r="C38" s="64">
        <v>6.6571428571428566</v>
      </c>
      <c r="D38" s="69">
        <v>1.8857142857142857</v>
      </c>
      <c r="E38" s="65">
        <v>0.31428571428571428</v>
      </c>
      <c r="F38" s="65">
        <v>0.2</v>
      </c>
      <c r="G38" s="65">
        <v>0.29139072847682118</v>
      </c>
      <c r="H38" s="65">
        <v>0.16556291390728478</v>
      </c>
      <c r="I38" s="66">
        <v>9222.7272727272721</v>
      </c>
      <c r="J38" s="66">
        <v>-6758</v>
      </c>
      <c r="K38" s="65">
        <v>0</v>
      </c>
      <c r="L38" s="65">
        <v>5.7142857142857141E-2</v>
      </c>
      <c r="M38" s="65">
        <v>0.28476821192052981</v>
      </c>
      <c r="N38" s="65">
        <v>0.19536423841059603</v>
      </c>
      <c r="O38" s="65">
        <v>0.63953488372093026</v>
      </c>
      <c r="P38" s="65">
        <v>0.25423728813559321</v>
      </c>
      <c r="Q38" s="65">
        <v>0.38636363636363635</v>
      </c>
    </row>
    <row r="39" spans="1:17" x14ac:dyDescent="0.4">
      <c r="A39" s="67">
        <v>36</v>
      </c>
      <c r="B39" s="64">
        <v>176.99999999999997</v>
      </c>
      <c r="C39" s="64">
        <v>4.9166666666666661</v>
      </c>
      <c r="D39" s="69">
        <v>1.9166666666666667</v>
      </c>
      <c r="E39" s="65">
        <v>0.30555555555555558</v>
      </c>
      <c r="F39" s="65">
        <v>0.22222222222222221</v>
      </c>
      <c r="G39" s="65">
        <v>0.28758169934640521</v>
      </c>
      <c r="H39" s="65">
        <v>0.16993464052287582</v>
      </c>
      <c r="I39" s="66">
        <v>9222.7272727272721</v>
      </c>
      <c r="J39" s="66">
        <v>-6959.6153846153848</v>
      </c>
      <c r="K39" s="65">
        <v>2.7777777777777776E-2</v>
      </c>
      <c r="L39" s="65">
        <v>5.5555555555555552E-2</v>
      </c>
      <c r="M39" s="65">
        <v>0.28104575163398693</v>
      </c>
      <c r="N39" s="65">
        <v>0.19281045751633988</v>
      </c>
      <c r="O39" s="65">
        <v>0.63953488372093026</v>
      </c>
      <c r="P39" s="65">
        <v>0.25423728813559321</v>
      </c>
      <c r="Q39" s="65">
        <v>0.38636363636363635</v>
      </c>
    </row>
    <row r="40" spans="1:17" x14ac:dyDescent="0.4">
      <c r="A40" s="67">
        <v>37</v>
      </c>
      <c r="B40" s="64">
        <v>189.39999999999998</v>
      </c>
      <c r="C40" s="64">
        <v>5.1189189189189186</v>
      </c>
      <c r="D40" s="69">
        <v>1.9189189189189189</v>
      </c>
      <c r="E40" s="65">
        <v>0.29729729729729731</v>
      </c>
      <c r="F40" s="65">
        <v>0.21621621621621623</v>
      </c>
      <c r="G40" s="65">
        <v>0.29206349206349208</v>
      </c>
      <c r="H40" s="65">
        <v>0.16507936507936508</v>
      </c>
      <c r="I40" s="66">
        <v>9027.173913043478</v>
      </c>
      <c r="J40" s="66">
        <v>-6959.6153846153848</v>
      </c>
      <c r="K40" s="65">
        <v>2.7027027027027029E-2</v>
      </c>
      <c r="L40" s="65">
        <v>5.4054054054054057E-2</v>
      </c>
      <c r="M40" s="65">
        <v>0.27619047619047621</v>
      </c>
      <c r="N40" s="65">
        <v>0.1873015873015873</v>
      </c>
      <c r="O40" s="65">
        <v>0.64367816091954022</v>
      </c>
      <c r="P40" s="65">
        <v>0.25423728813559321</v>
      </c>
      <c r="Q40" s="65">
        <v>0.40217391304347827</v>
      </c>
    </row>
    <row r="41" spans="1:17" x14ac:dyDescent="0.4">
      <c r="A41" s="67">
        <v>38</v>
      </c>
      <c r="B41" s="64">
        <v>129.09999999999997</v>
      </c>
      <c r="C41" s="64">
        <v>3.3973684210526307</v>
      </c>
      <c r="D41" s="69">
        <v>1.9473684210526316</v>
      </c>
      <c r="E41" s="65">
        <v>0.28947368421052633</v>
      </c>
      <c r="F41" s="65">
        <v>0.23684210526315788</v>
      </c>
      <c r="G41" s="65">
        <v>0.28660436137071649</v>
      </c>
      <c r="H41" s="65">
        <v>0.16510903426791276</v>
      </c>
      <c r="I41" s="66">
        <v>9027.173913043478</v>
      </c>
      <c r="J41" s="66">
        <v>-6979.2452830188677</v>
      </c>
      <c r="K41" s="65">
        <v>5.2631578947368418E-2</v>
      </c>
      <c r="L41" s="65">
        <v>5.2631578947368418E-2</v>
      </c>
      <c r="M41" s="65">
        <v>0.27725856697819312</v>
      </c>
      <c r="N41" s="65">
        <v>0.18380062305295949</v>
      </c>
      <c r="O41" s="65">
        <v>0.6292134831460674</v>
      </c>
      <c r="P41" s="65">
        <v>0.25423728813559321</v>
      </c>
      <c r="Q41" s="65">
        <v>0.40217391304347827</v>
      </c>
    </row>
    <row r="42" spans="1:17" x14ac:dyDescent="0.4">
      <c r="A42" s="67">
        <v>39</v>
      </c>
      <c r="B42" s="64">
        <v>127.59999999999997</v>
      </c>
      <c r="C42" s="64">
        <v>3.2717948717948708</v>
      </c>
      <c r="D42" s="69">
        <v>1.9487179487179487</v>
      </c>
      <c r="E42" s="65">
        <v>0.28205128205128205</v>
      </c>
      <c r="F42" s="65">
        <v>0.23076923076923078</v>
      </c>
      <c r="G42" s="65">
        <v>0.2878787878787879</v>
      </c>
      <c r="H42" s="65">
        <v>0.16666666666666666</v>
      </c>
      <c r="I42" s="66">
        <v>8963.1578947368416</v>
      </c>
      <c r="J42" s="66">
        <v>-6980</v>
      </c>
      <c r="K42" s="65">
        <v>5.128205128205128E-2</v>
      </c>
      <c r="L42" s="65">
        <v>5.128205128205128E-2</v>
      </c>
      <c r="M42" s="65">
        <v>0.28484848484848485</v>
      </c>
      <c r="N42" s="65">
        <v>0.18484848484848485</v>
      </c>
      <c r="O42" s="65">
        <v>0.62765957446808507</v>
      </c>
      <c r="P42" s="65">
        <v>0.24590163934426229</v>
      </c>
      <c r="Q42" s="65">
        <v>0.41052631578947368</v>
      </c>
    </row>
    <row r="43" spans="1:17" x14ac:dyDescent="0.4">
      <c r="A43" s="67">
        <v>40</v>
      </c>
      <c r="B43" s="64">
        <v>174.99999999999997</v>
      </c>
      <c r="C43" s="64">
        <v>4.3749999999999991</v>
      </c>
      <c r="D43" s="69">
        <v>1.925</v>
      </c>
      <c r="E43" s="65">
        <v>0.3</v>
      </c>
      <c r="F43" s="65">
        <v>0.22500000000000001</v>
      </c>
      <c r="G43" s="65">
        <v>0.29737609329446063</v>
      </c>
      <c r="H43" s="65">
        <v>0.16326530612244897</v>
      </c>
      <c r="I43" s="66">
        <v>8913.7254901960787</v>
      </c>
      <c r="J43" s="66">
        <v>-7176.7857142857147</v>
      </c>
      <c r="K43" s="65">
        <v>0.05</v>
      </c>
      <c r="L43" s="65">
        <v>0.05</v>
      </c>
      <c r="M43" s="65">
        <v>0.29154518950437319</v>
      </c>
      <c r="N43" s="65">
        <v>0.18367346938775511</v>
      </c>
      <c r="O43" s="65">
        <v>0.64</v>
      </c>
      <c r="P43" s="65">
        <v>0.23809523809523808</v>
      </c>
      <c r="Q43" s="65">
        <v>0.40196078431372551</v>
      </c>
    </row>
    <row r="44" spans="1:17" x14ac:dyDescent="0.4">
      <c r="A44" s="67">
        <v>41</v>
      </c>
      <c r="B44" s="64">
        <v>248.59999999999997</v>
      </c>
      <c r="C44" s="64">
        <v>6.0634146341463406</v>
      </c>
      <c r="D44" s="69">
        <v>1.9024390243902438</v>
      </c>
      <c r="E44" s="65">
        <v>0.31707317073170732</v>
      </c>
      <c r="F44" s="65">
        <v>0.21951219512195122</v>
      </c>
      <c r="G44" s="65">
        <v>0.3045977011494253</v>
      </c>
      <c r="H44" s="65">
        <v>0.16379310344827586</v>
      </c>
      <c r="I44" s="66">
        <v>9120.7547169811314</v>
      </c>
      <c r="J44" s="66">
        <v>-7191.2280701754389</v>
      </c>
      <c r="K44" s="65">
        <v>4.878048780487805E-2</v>
      </c>
      <c r="L44" s="65">
        <v>7.3170731707317069E-2</v>
      </c>
      <c r="M44" s="65">
        <v>0.29597701149425287</v>
      </c>
      <c r="N44" s="65">
        <v>0.18103448275862069</v>
      </c>
      <c r="O44" s="65">
        <v>0.65048543689320393</v>
      </c>
      <c r="P44" s="65">
        <v>0.23809523809523808</v>
      </c>
      <c r="Q44" s="65">
        <v>0.40566037735849059</v>
      </c>
    </row>
    <row r="45" spans="1:17" x14ac:dyDescent="0.4">
      <c r="A45" s="67">
        <v>42</v>
      </c>
      <c r="B45" s="64">
        <v>214.99999999999997</v>
      </c>
      <c r="C45" s="64">
        <v>5.1190476190476186</v>
      </c>
      <c r="D45" s="69">
        <v>1.9285714285714286</v>
      </c>
      <c r="E45" s="65">
        <v>0.30952380952380953</v>
      </c>
      <c r="F45" s="65">
        <v>0.23809523809523808</v>
      </c>
      <c r="G45" s="65">
        <v>0.300561797752809</v>
      </c>
      <c r="H45" s="65">
        <v>0.16292134831460675</v>
      </c>
      <c r="I45" s="66">
        <v>9065.4205607476633</v>
      </c>
      <c r="J45" s="66">
        <v>-7101.7241379310344</v>
      </c>
      <c r="K45" s="65">
        <v>4.7619047619047616E-2</v>
      </c>
      <c r="L45" s="65">
        <v>7.1428571428571425E-2</v>
      </c>
      <c r="M45" s="65">
        <v>0.300561797752809</v>
      </c>
      <c r="N45" s="65">
        <v>0.17696629213483145</v>
      </c>
      <c r="O45" s="65">
        <v>0.63551401869158874</v>
      </c>
      <c r="P45" s="65">
        <v>0.23809523809523808</v>
      </c>
      <c r="Q45" s="65">
        <v>0.40186915887850466</v>
      </c>
    </row>
    <row r="46" spans="1:17" x14ac:dyDescent="0.4">
      <c r="A46" s="67">
        <v>43</v>
      </c>
      <c r="B46" s="64">
        <v>230.09999999999997</v>
      </c>
      <c r="C46" s="64">
        <v>5.351162790697674</v>
      </c>
      <c r="D46" s="69">
        <v>1.930232558139535</v>
      </c>
      <c r="E46" s="65">
        <v>0.30232558139534882</v>
      </c>
      <c r="F46" s="65">
        <v>0.23255813953488372</v>
      </c>
      <c r="G46" s="65">
        <v>0.30662983425414364</v>
      </c>
      <c r="H46" s="65">
        <v>0.16298342541436464</v>
      </c>
      <c r="I46" s="66">
        <v>8973.8738738738739</v>
      </c>
      <c r="J46" s="66">
        <v>-7184.7457627118647</v>
      </c>
      <c r="K46" s="65">
        <v>4.6511627906976744E-2</v>
      </c>
      <c r="L46" s="65">
        <v>6.9767441860465115E-2</v>
      </c>
      <c r="M46" s="65">
        <v>0.30110497237569062</v>
      </c>
      <c r="N46" s="65">
        <v>0.17679558011049723</v>
      </c>
      <c r="O46" s="65">
        <v>0.64220183486238536</v>
      </c>
      <c r="P46" s="65">
        <v>0.25</v>
      </c>
      <c r="Q46" s="65">
        <v>0.4144144144144144</v>
      </c>
    </row>
    <row r="47" spans="1:17" x14ac:dyDescent="0.4">
      <c r="A47" s="67">
        <v>44</v>
      </c>
      <c r="B47" s="64">
        <v>169.19999999999996</v>
      </c>
      <c r="C47" s="64">
        <v>3.8454545454545443</v>
      </c>
      <c r="D47" s="69">
        <v>1.9545454545454546</v>
      </c>
      <c r="E47" s="65">
        <v>0.29545454545454547</v>
      </c>
      <c r="F47" s="65">
        <v>0.25</v>
      </c>
      <c r="G47" s="65">
        <v>0.30352303523035229</v>
      </c>
      <c r="H47" s="65">
        <v>0.16260162601626016</v>
      </c>
      <c r="I47" s="66">
        <v>9000.8928571428569</v>
      </c>
      <c r="J47" s="66">
        <v>-7113.333333333333</v>
      </c>
      <c r="K47" s="65">
        <v>6.8181818181818177E-2</v>
      </c>
      <c r="L47" s="65">
        <v>6.8181818181818177E-2</v>
      </c>
      <c r="M47" s="65">
        <v>0.29539295392953929</v>
      </c>
      <c r="N47" s="65">
        <v>0.18157181571815717</v>
      </c>
      <c r="O47" s="65">
        <v>0.64220183486238536</v>
      </c>
      <c r="P47" s="65">
        <v>0.2537313432835821</v>
      </c>
      <c r="Q47" s="65">
        <v>0.4107142857142857</v>
      </c>
    </row>
    <row r="48" spans="1:17" x14ac:dyDescent="0.4">
      <c r="A48" s="67">
        <v>45</v>
      </c>
      <c r="B48" s="64">
        <v>111.49999999999996</v>
      </c>
      <c r="C48" s="64">
        <v>2.477777777777777</v>
      </c>
      <c r="D48" s="69">
        <v>1.9777777777777779</v>
      </c>
      <c r="E48" s="65">
        <v>0.28888888888888886</v>
      </c>
      <c r="F48" s="65">
        <v>0.26666666666666666</v>
      </c>
      <c r="G48" s="65">
        <v>0.296875</v>
      </c>
      <c r="H48" s="65">
        <v>0.16145833333333334</v>
      </c>
      <c r="I48" s="66">
        <v>8982.4561403508778</v>
      </c>
      <c r="J48" s="66">
        <v>-7075.8064516129034</v>
      </c>
      <c r="K48" s="65">
        <v>8.8888888888888892E-2</v>
      </c>
      <c r="L48" s="65">
        <v>6.6666666666666666E-2</v>
      </c>
      <c r="M48" s="65">
        <v>0.28645833333333331</v>
      </c>
      <c r="N48" s="65">
        <v>0.17708333333333334</v>
      </c>
      <c r="O48" s="65">
        <v>0.6454545454545455</v>
      </c>
      <c r="P48" s="65">
        <v>0.25</v>
      </c>
      <c r="Q48" s="65">
        <v>0.40350877192982454</v>
      </c>
    </row>
    <row r="49" spans="1:17" x14ac:dyDescent="0.4">
      <c r="A49" s="67">
        <v>46</v>
      </c>
      <c r="B49" s="64">
        <v>55.999999999999957</v>
      </c>
      <c r="C49" s="64">
        <v>1.2173913043478251</v>
      </c>
      <c r="D49" s="69">
        <v>2</v>
      </c>
      <c r="E49" s="65">
        <v>0.28260869565217389</v>
      </c>
      <c r="F49" s="65">
        <v>0.28260869565217389</v>
      </c>
      <c r="G49" s="65">
        <v>0.29411764705882354</v>
      </c>
      <c r="H49" s="65">
        <v>0.16624040920716113</v>
      </c>
      <c r="I49" s="66">
        <v>9008.6956521739139</v>
      </c>
      <c r="J49" s="66">
        <v>-7395.3846153846152</v>
      </c>
      <c r="K49" s="65">
        <v>0.10869565217391304</v>
      </c>
      <c r="L49" s="65">
        <v>6.5217391304347824E-2</v>
      </c>
      <c r="M49" s="65">
        <v>0.28644501278772377</v>
      </c>
      <c r="N49" s="65">
        <v>0.17391304347826086</v>
      </c>
      <c r="O49" s="65">
        <v>0.6428571428571429</v>
      </c>
      <c r="P49" s="65">
        <v>0.25</v>
      </c>
      <c r="Q49" s="65">
        <v>0.4</v>
      </c>
    </row>
    <row r="50" spans="1:17" x14ac:dyDescent="0.4">
      <c r="A50" s="67">
        <v>47</v>
      </c>
      <c r="B50" s="64">
        <v>-3.9000000000000412</v>
      </c>
      <c r="C50" s="64">
        <v>-8.2978723404256202E-2</v>
      </c>
      <c r="D50" s="69">
        <v>2.021276595744681</v>
      </c>
      <c r="E50" s="65">
        <v>0.27659574468085107</v>
      </c>
      <c r="F50" s="65">
        <v>0.2978723404255319</v>
      </c>
      <c r="G50" s="65">
        <v>0.2907268170426065</v>
      </c>
      <c r="H50" s="65">
        <v>0.16791979949874686</v>
      </c>
      <c r="I50" s="66">
        <v>8953.4482758620688</v>
      </c>
      <c r="J50" s="66">
        <v>-7468.6567164179105</v>
      </c>
      <c r="K50" s="65">
        <v>0.1276595744680851</v>
      </c>
      <c r="L50" s="65">
        <v>6.3829787234042548E-2</v>
      </c>
      <c r="M50" s="65">
        <v>0.2832080200501253</v>
      </c>
      <c r="N50" s="65">
        <v>0.17794486215538846</v>
      </c>
      <c r="O50" s="65">
        <v>0.64601769911504425</v>
      </c>
      <c r="P50" s="65">
        <v>0.23943661971830985</v>
      </c>
      <c r="Q50" s="65">
        <v>0.39655172413793105</v>
      </c>
    </row>
    <row r="51" spans="1:17" x14ac:dyDescent="0.4">
      <c r="A51" s="67">
        <v>48</v>
      </c>
      <c r="B51" s="64">
        <v>50.599999999999959</v>
      </c>
      <c r="C51" s="64">
        <v>1.0541666666666658</v>
      </c>
      <c r="D51" s="69">
        <v>2</v>
      </c>
      <c r="E51" s="65">
        <v>0.29166666666666669</v>
      </c>
      <c r="F51" s="65">
        <v>0.29166666666666669</v>
      </c>
      <c r="G51" s="65">
        <v>0.29280397022332505</v>
      </c>
      <c r="H51" s="65">
        <v>0.16625310173697269</v>
      </c>
      <c r="I51" s="66">
        <v>9089.8305084745771</v>
      </c>
      <c r="J51" s="66">
        <v>-7468.6567164179105</v>
      </c>
      <c r="K51" s="65">
        <v>0.125</v>
      </c>
      <c r="L51" s="65">
        <v>8.3333333333333329E-2</v>
      </c>
      <c r="M51" s="65">
        <v>0.28287841191066998</v>
      </c>
      <c r="N51" s="65">
        <v>0.17617866004962779</v>
      </c>
      <c r="O51" s="65">
        <v>0.64912280701754388</v>
      </c>
      <c r="P51" s="65">
        <v>0.23943661971830985</v>
      </c>
      <c r="Q51" s="65">
        <v>0.38983050847457629</v>
      </c>
    </row>
    <row r="52" spans="1:17" x14ac:dyDescent="0.4">
      <c r="A52" s="67">
        <v>49</v>
      </c>
      <c r="B52" s="64">
        <v>-4.8000000000000398</v>
      </c>
      <c r="C52" s="64">
        <v>-9.7959183673470202E-2</v>
      </c>
      <c r="D52" s="69">
        <v>2.0204081632653059</v>
      </c>
      <c r="E52" s="65">
        <v>0.2857142857142857</v>
      </c>
      <c r="F52" s="65">
        <v>0.30612244897959184</v>
      </c>
      <c r="G52" s="65">
        <v>0.28850855745721271</v>
      </c>
      <c r="H52" s="65">
        <v>0.1687041564792176</v>
      </c>
      <c r="I52" s="66">
        <v>9089.8305084745771</v>
      </c>
      <c r="J52" s="66">
        <v>-7600</v>
      </c>
      <c r="K52" s="65">
        <v>0.14285714285714285</v>
      </c>
      <c r="L52" s="65">
        <v>8.1632653061224483E-2</v>
      </c>
      <c r="M52" s="65">
        <v>0.27872860635696822</v>
      </c>
      <c r="N52" s="65">
        <v>0.17603911980440098</v>
      </c>
      <c r="O52" s="65">
        <v>0.64912280701754388</v>
      </c>
      <c r="P52" s="65">
        <v>0.2361111111111111</v>
      </c>
      <c r="Q52" s="65">
        <v>0.38983050847457629</v>
      </c>
    </row>
    <row r="53" spans="1:17" x14ac:dyDescent="0.4">
      <c r="A53" s="67">
        <v>50</v>
      </c>
      <c r="B53" s="64">
        <v>-0.70000000000004015</v>
      </c>
      <c r="C53" s="64">
        <v>-1.4000000000000803E-2</v>
      </c>
      <c r="D53" s="69">
        <v>2.02</v>
      </c>
      <c r="E53" s="65">
        <v>0.28000000000000003</v>
      </c>
      <c r="F53" s="65">
        <v>0.3</v>
      </c>
      <c r="G53" s="65">
        <v>0.28708133971291866</v>
      </c>
      <c r="H53" s="65">
        <v>0.16985645933014354</v>
      </c>
      <c r="I53" s="66">
        <v>9155</v>
      </c>
      <c r="J53" s="66">
        <v>-7530.9859154929582</v>
      </c>
      <c r="K53" s="65">
        <v>0.14000000000000001</v>
      </c>
      <c r="L53" s="65">
        <v>0.08</v>
      </c>
      <c r="M53" s="65">
        <v>0.28468899521531099</v>
      </c>
      <c r="N53" s="65">
        <v>0.17224880382775121</v>
      </c>
      <c r="O53" s="65">
        <v>0.6386554621848739</v>
      </c>
      <c r="P53" s="65">
        <v>0.2361111111111111</v>
      </c>
      <c r="Q53" s="65">
        <v>0.39166666666666666</v>
      </c>
    </row>
    <row r="54" spans="1:17" x14ac:dyDescent="0.4">
      <c r="A54" s="67">
        <v>51</v>
      </c>
      <c r="B54" s="64">
        <v>-29.30000000000004</v>
      </c>
      <c r="C54" s="64">
        <v>-0.57450980392156936</v>
      </c>
      <c r="D54" s="69">
        <v>2.0392156862745097</v>
      </c>
      <c r="E54" s="65">
        <v>0.27450980392156865</v>
      </c>
      <c r="F54" s="65">
        <v>0.31372549019607843</v>
      </c>
      <c r="G54" s="65">
        <v>0.28205128205128205</v>
      </c>
      <c r="H54" s="65">
        <v>0.16783216783216784</v>
      </c>
      <c r="I54" s="66">
        <v>9096.6942148760336</v>
      </c>
      <c r="J54" s="66">
        <v>-7466.666666666667</v>
      </c>
      <c r="K54" s="65">
        <v>0.13725490196078433</v>
      </c>
      <c r="L54" s="65">
        <v>7.8431372549019607E-2</v>
      </c>
      <c r="M54" s="65">
        <v>0.27738927738927738</v>
      </c>
      <c r="N54" s="65">
        <v>0.17249417249417248</v>
      </c>
      <c r="O54" s="65">
        <v>0.6386554621848739</v>
      </c>
      <c r="P54" s="65">
        <v>0.22972972972972974</v>
      </c>
      <c r="Q54" s="65">
        <v>0.39669421487603307</v>
      </c>
    </row>
    <row r="55" spans="1:17" x14ac:dyDescent="0.4">
      <c r="A55" s="67">
        <v>52</v>
      </c>
      <c r="B55" s="64">
        <v>-55.600000000000037</v>
      </c>
      <c r="C55" s="64">
        <v>-1.0692307692307699</v>
      </c>
      <c r="D55" s="69">
        <v>2.0576923076923075</v>
      </c>
      <c r="E55" s="65">
        <v>0.26923076923076922</v>
      </c>
      <c r="F55" s="65">
        <v>0.32692307692307693</v>
      </c>
      <c r="G55" s="65">
        <v>0.27853881278538811</v>
      </c>
      <c r="H55" s="65">
        <v>0.17351598173515981</v>
      </c>
      <c r="I55" s="66">
        <v>9120.4918032786882</v>
      </c>
      <c r="J55" s="66">
        <v>-7260.5263157894733</v>
      </c>
      <c r="K55" s="65">
        <v>0.13461538461538461</v>
      </c>
      <c r="L55" s="65">
        <v>7.6923076923076927E-2</v>
      </c>
      <c r="M55" s="65">
        <v>0.27397260273972601</v>
      </c>
      <c r="N55" s="65">
        <v>0.17123287671232876</v>
      </c>
      <c r="O55" s="65">
        <v>0.6333333333333333</v>
      </c>
      <c r="P55" s="65">
        <v>0.24</v>
      </c>
      <c r="Q55" s="65">
        <v>0.39344262295081966</v>
      </c>
    </row>
    <row r="56" spans="1:17" x14ac:dyDescent="0.4">
      <c r="A56" s="67">
        <v>53</v>
      </c>
      <c r="B56" s="64">
        <v>-95.100000000000037</v>
      </c>
      <c r="C56" s="64">
        <v>-1.79433962264151</v>
      </c>
      <c r="D56" s="69">
        <v>2.0754716981132075</v>
      </c>
      <c r="E56" s="65">
        <v>0.26415094339622641</v>
      </c>
      <c r="F56" s="65">
        <v>0.33962264150943394</v>
      </c>
      <c r="G56" s="65">
        <v>0.27777777777777779</v>
      </c>
      <c r="H56" s="65">
        <v>0.17333333333333334</v>
      </c>
      <c r="I56" s="66">
        <v>9042.4</v>
      </c>
      <c r="J56" s="66">
        <v>-7275.6410256410254</v>
      </c>
      <c r="K56" s="65">
        <v>0.13207547169811321</v>
      </c>
      <c r="L56" s="65">
        <v>7.5471698113207544E-2</v>
      </c>
      <c r="M56" s="65">
        <v>0.27111111111111114</v>
      </c>
      <c r="N56" s="65">
        <v>0.17333333333333334</v>
      </c>
      <c r="O56" s="65">
        <v>0.62295081967213117</v>
      </c>
      <c r="P56" s="65">
        <v>0.25641025641025639</v>
      </c>
      <c r="Q56" s="65">
        <v>0.4</v>
      </c>
    </row>
    <row r="57" spans="1:17" x14ac:dyDescent="0.4">
      <c r="A57" s="67">
        <v>54</v>
      </c>
      <c r="B57" s="64">
        <v>-91.000000000000043</v>
      </c>
      <c r="C57" s="64">
        <v>-1.685185185185186</v>
      </c>
      <c r="D57" s="69">
        <v>2.074074074074074</v>
      </c>
      <c r="E57" s="65">
        <v>0.25925925925925924</v>
      </c>
      <c r="F57" s="65">
        <v>0.33333333333333331</v>
      </c>
      <c r="G57" s="65">
        <v>0.27571115973741794</v>
      </c>
      <c r="H57" s="65">
        <v>0.17286652078774617</v>
      </c>
      <c r="I57" s="66">
        <v>9097.6190476190477</v>
      </c>
      <c r="J57" s="66">
        <v>-7232.9113924050635</v>
      </c>
      <c r="K57" s="65">
        <v>0.12962962962962962</v>
      </c>
      <c r="L57" s="65">
        <v>7.407407407407407E-2</v>
      </c>
      <c r="M57" s="65">
        <v>0.26695842450765866</v>
      </c>
      <c r="N57" s="65">
        <v>0.17505470459518599</v>
      </c>
      <c r="O57" s="65">
        <v>0.62295081967213117</v>
      </c>
      <c r="P57" s="65">
        <v>0.26250000000000001</v>
      </c>
      <c r="Q57" s="65">
        <v>0.40476190476190477</v>
      </c>
    </row>
    <row r="58" spans="1:17" x14ac:dyDescent="0.4">
      <c r="A58" s="67">
        <v>55</v>
      </c>
      <c r="B58" s="64">
        <v>-12.000000000000043</v>
      </c>
      <c r="C58" s="64">
        <v>-0.21818181818181895</v>
      </c>
      <c r="D58" s="69">
        <v>2.0545454545454547</v>
      </c>
      <c r="E58" s="65">
        <v>0.27272727272727271</v>
      </c>
      <c r="F58" s="65">
        <v>0.32727272727272727</v>
      </c>
      <c r="G58" s="65">
        <v>0.28448275862068967</v>
      </c>
      <c r="H58" s="65">
        <v>0.17025862068965517</v>
      </c>
      <c r="I58" s="66">
        <v>9156.060606060606</v>
      </c>
      <c r="J58" s="66">
        <v>-7232.9113924050635</v>
      </c>
      <c r="K58" s="65">
        <v>0.12727272727272726</v>
      </c>
      <c r="L58" s="65">
        <v>9.0909090909090912E-2</v>
      </c>
      <c r="M58" s="65">
        <v>0.27155172413793105</v>
      </c>
      <c r="N58" s="65">
        <v>0.1788793103448276</v>
      </c>
      <c r="O58" s="65">
        <v>0.63492063492063489</v>
      </c>
      <c r="P58" s="65">
        <v>0.27710843373493976</v>
      </c>
      <c r="Q58" s="65">
        <v>0.40909090909090912</v>
      </c>
    </row>
    <row r="59" spans="1:17" x14ac:dyDescent="0.4">
      <c r="A59" s="67">
        <v>56</v>
      </c>
      <c r="B59" s="64">
        <v>-46.000000000000043</v>
      </c>
      <c r="C59" s="64">
        <v>-0.82142857142857217</v>
      </c>
      <c r="D59" s="69">
        <v>2.0535714285714284</v>
      </c>
      <c r="E59" s="65">
        <v>0.26785714285714285</v>
      </c>
      <c r="F59" s="65">
        <v>0.32142857142857145</v>
      </c>
      <c r="G59" s="65">
        <v>0.28358208955223879</v>
      </c>
      <c r="H59" s="65">
        <v>0.17057569296375266</v>
      </c>
      <c r="I59" s="66">
        <v>9177.4436090225572</v>
      </c>
      <c r="J59" s="66">
        <v>-7292.5</v>
      </c>
      <c r="K59" s="65">
        <v>0.125</v>
      </c>
      <c r="L59" s="65">
        <v>8.9285714285714288E-2</v>
      </c>
      <c r="M59" s="65">
        <v>0.27078891257995735</v>
      </c>
      <c r="N59" s="65">
        <v>0.17697228144989338</v>
      </c>
      <c r="O59" s="65">
        <v>0.62992125984251968</v>
      </c>
      <c r="P59" s="65">
        <v>0.27710843373493976</v>
      </c>
      <c r="Q59" s="65">
        <v>0.41353383458646614</v>
      </c>
    </row>
    <row r="60" spans="1:17" x14ac:dyDescent="0.4">
      <c r="A60" s="67">
        <v>57</v>
      </c>
      <c r="B60" s="64">
        <v>-59.000000000000043</v>
      </c>
      <c r="C60" s="64">
        <v>-1.0350877192982464</v>
      </c>
      <c r="D60" s="69">
        <v>2.0526315789473686</v>
      </c>
      <c r="E60" s="65">
        <v>0.26315789473684209</v>
      </c>
      <c r="F60" s="65">
        <v>0.31578947368421051</v>
      </c>
      <c r="G60" s="65">
        <v>0.28361344537815125</v>
      </c>
      <c r="H60" s="65">
        <v>0.17016806722689076</v>
      </c>
      <c r="I60" s="66">
        <v>9160</v>
      </c>
      <c r="J60" s="66">
        <v>-7424.691358024691</v>
      </c>
      <c r="K60" s="65">
        <v>0.12280701754385964</v>
      </c>
      <c r="L60" s="65">
        <v>8.771929824561403E-2</v>
      </c>
      <c r="M60" s="65">
        <v>0.27100840336134452</v>
      </c>
      <c r="N60" s="65">
        <v>0.18067226890756302</v>
      </c>
      <c r="O60" s="65">
        <v>0.62790697674418605</v>
      </c>
      <c r="P60" s="65">
        <v>0.27906976744186046</v>
      </c>
      <c r="Q60" s="65">
        <v>0.4148148148148148</v>
      </c>
    </row>
    <row r="61" spans="1:17" x14ac:dyDescent="0.4">
      <c r="A61" s="67">
        <v>58</v>
      </c>
      <c r="B61" s="64">
        <v>-62.100000000000044</v>
      </c>
      <c r="C61" s="64">
        <v>-1.0706896551724145</v>
      </c>
      <c r="D61" s="69">
        <v>2.0517241379310347</v>
      </c>
      <c r="E61" s="65">
        <v>0.25862068965517243</v>
      </c>
      <c r="F61" s="65">
        <v>0.31034482758620691</v>
      </c>
      <c r="G61" s="65">
        <v>0.28099173553719009</v>
      </c>
      <c r="H61" s="65">
        <v>0.16735537190082644</v>
      </c>
      <c r="I61" s="66">
        <v>9180.8823529411766</v>
      </c>
      <c r="J61" s="66">
        <v>-7424.691358024691</v>
      </c>
      <c r="K61" s="65">
        <v>0.1206896551724138</v>
      </c>
      <c r="L61" s="65">
        <v>8.6206896551724144E-2</v>
      </c>
      <c r="M61" s="65">
        <v>0.26859504132231404</v>
      </c>
      <c r="N61" s="65">
        <v>0.17975206611570249</v>
      </c>
      <c r="O61" s="65">
        <v>0.63076923076923075</v>
      </c>
      <c r="P61" s="65">
        <v>0.27586206896551724</v>
      </c>
      <c r="Q61" s="65">
        <v>0.41176470588235292</v>
      </c>
    </row>
    <row r="62" spans="1:17" x14ac:dyDescent="0.4">
      <c r="A62" s="67">
        <v>59</v>
      </c>
      <c r="B62" s="64">
        <v>-56.700000000000045</v>
      </c>
      <c r="C62" s="64">
        <v>-0.9610169491525431</v>
      </c>
      <c r="D62" s="69">
        <v>2.0508474576271185</v>
      </c>
      <c r="E62" s="65">
        <v>0.25423728813559321</v>
      </c>
      <c r="F62" s="65">
        <v>0.30508474576271188</v>
      </c>
      <c r="G62" s="65">
        <v>0.28367346938775512</v>
      </c>
      <c r="H62" s="65">
        <v>0.1653061224489796</v>
      </c>
      <c r="I62" s="66">
        <v>9092.0863309352517</v>
      </c>
      <c r="J62" s="66">
        <v>-7424.691358024691</v>
      </c>
      <c r="K62" s="65">
        <v>0.11864406779661017</v>
      </c>
      <c r="L62" s="65">
        <v>8.4745762711864403E-2</v>
      </c>
      <c r="M62" s="65">
        <v>0.27551020408163263</v>
      </c>
      <c r="N62" s="65">
        <v>0.17959183673469387</v>
      </c>
      <c r="O62" s="65">
        <v>0.62962962962962965</v>
      </c>
      <c r="P62" s="65">
        <v>0.27272727272727271</v>
      </c>
      <c r="Q62" s="65">
        <v>0.40287769784172661</v>
      </c>
    </row>
    <row r="63" spans="1:17" x14ac:dyDescent="0.4">
      <c r="A63" s="67">
        <v>60</v>
      </c>
      <c r="B63" s="64">
        <v>-117.90000000000005</v>
      </c>
      <c r="C63" s="64">
        <v>-1.9650000000000007</v>
      </c>
      <c r="D63" s="69">
        <v>2.0666666666666669</v>
      </c>
      <c r="E63" s="65">
        <v>0.25</v>
      </c>
      <c r="F63" s="65">
        <v>0.31666666666666665</v>
      </c>
      <c r="G63" s="65">
        <v>0.28080808080808078</v>
      </c>
      <c r="H63" s="65">
        <v>0.16969696969696971</v>
      </c>
      <c r="I63" s="66">
        <v>9092.0863309352517</v>
      </c>
      <c r="J63" s="66">
        <v>-7411.9047619047615</v>
      </c>
      <c r="K63" s="65">
        <v>0.13333333333333333</v>
      </c>
      <c r="L63" s="65">
        <v>8.3333333333333329E-2</v>
      </c>
      <c r="M63" s="65">
        <v>0.27272727272727271</v>
      </c>
      <c r="N63" s="65">
        <v>0.18383838383838383</v>
      </c>
      <c r="O63" s="65">
        <v>0.62962962962962965</v>
      </c>
      <c r="P63" s="65">
        <v>0.26373626373626374</v>
      </c>
      <c r="Q63" s="65">
        <v>0.40287769784172661</v>
      </c>
    </row>
    <row r="64" spans="1:17" x14ac:dyDescent="0.4">
      <c r="A64" s="67">
        <v>61</v>
      </c>
      <c r="B64" s="64">
        <v>-89.600000000000051</v>
      </c>
      <c r="C64" s="64">
        <v>-1.4688524590163943</v>
      </c>
      <c r="D64" s="69">
        <v>2.0491803278688523</v>
      </c>
      <c r="E64" s="65">
        <v>0.26229508196721313</v>
      </c>
      <c r="F64" s="65">
        <v>0.31147540983606559</v>
      </c>
      <c r="G64" s="65">
        <v>0.28143712574850299</v>
      </c>
      <c r="H64" s="65">
        <v>0.17165668662674652</v>
      </c>
      <c r="I64" s="66">
        <v>9090.7801418439722</v>
      </c>
      <c r="J64" s="66">
        <v>-7300</v>
      </c>
      <c r="K64" s="65">
        <v>0.13114754098360656</v>
      </c>
      <c r="L64" s="65">
        <v>8.1967213114754092E-2</v>
      </c>
      <c r="M64" s="65">
        <v>0.27145708582834333</v>
      </c>
      <c r="N64" s="65">
        <v>0.18762475049900199</v>
      </c>
      <c r="O64" s="65">
        <v>0.625</v>
      </c>
      <c r="P64" s="65">
        <v>0.27659574468085107</v>
      </c>
      <c r="Q64" s="65">
        <v>0.40425531914893614</v>
      </c>
    </row>
    <row r="65" spans="1:17" x14ac:dyDescent="0.4">
      <c r="A65" s="67">
        <v>62</v>
      </c>
      <c r="B65" s="64">
        <v>-97.200000000000045</v>
      </c>
      <c r="C65" s="64">
        <v>-1.5677419354838718</v>
      </c>
      <c r="D65" s="69">
        <v>2.0483870967741935</v>
      </c>
      <c r="E65" s="65">
        <v>0.25806451612903225</v>
      </c>
      <c r="F65" s="65">
        <v>0.30645161290322581</v>
      </c>
      <c r="G65" s="65">
        <v>0.2803921568627451</v>
      </c>
      <c r="H65" s="65">
        <v>0.17450980392156862</v>
      </c>
      <c r="I65" s="66">
        <v>9083.9160839160832</v>
      </c>
      <c r="J65" s="66">
        <v>-7253.9325842696626</v>
      </c>
      <c r="K65" s="65">
        <v>0.12903225806451613</v>
      </c>
      <c r="L65" s="65">
        <v>8.0645161290322578E-2</v>
      </c>
      <c r="M65" s="65">
        <v>0.26862745098039215</v>
      </c>
      <c r="N65" s="65">
        <v>0.19607843137254902</v>
      </c>
      <c r="O65" s="65">
        <v>0.62773722627737227</v>
      </c>
      <c r="P65" s="65">
        <v>0.27</v>
      </c>
      <c r="Q65" s="65">
        <v>0.40559440559440557</v>
      </c>
    </row>
    <row r="66" spans="1:17" x14ac:dyDescent="0.4">
      <c r="A66" s="67">
        <v>63</v>
      </c>
      <c r="B66" s="64">
        <v>-144.20000000000005</v>
      </c>
      <c r="C66" s="64">
        <v>-2.2888888888888896</v>
      </c>
      <c r="D66" s="69">
        <v>2.0634920634920637</v>
      </c>
      <c r="E66" s="65">
        <v>0.25396825396825395</v>
      </c>
      <c r="F66" s="65">
        <v>0.31746031746031744</v>
      </c>
      <c r="G66" s="65">
        <v>0.2813102119460501</v>
      </c>
      <c r="H66" s="65">
        <v>0.17726396917148363</v>
      </c>
      <c r="I66" s="66">
        <v>9008.2191780821922</v>
      </c>
      <c r="J66" s="66">
        <v>-7291.304347826087</v>
      </c>
      <c r="K66" s="65">
        <v>0.12698412698412698</v>
      </c>
      <c r="L66" s="65">
        <v>7.9365079365079361E-2</v>
      </c>
      <c r="M66" s="65">
        <v>0.27360308285163776</v>
      </c>
      <c r="N66" s="65">
        <v>0.19845857418111754</v>
      </c>
      <c r="O66" s="65">
        <v>0.61971830985915488</v>
      </c>
      <c r="P66" s="65">
        <v>0.27184466019417475</v>
      </c>
      <c r="Q66" s="65">
        <v>0.41095890410958902</v>
      </c>
    </row>
    <row r="67" spans="1:17" x14ac:dyDescent="0.4">
      <c r="A67" s="67">
        <v>64</v>
      </c>
      <c r="B67" s="64">
        <v>-141.30000000000004</v>
      </c>
      <c r="C67" s="64">
        <v>-2.2078125000000006</v>
      </c>
      <c r="D67" s="69">
        <v>2.0625</v>
      </c>
      <c r="E67" s="65">
        <v>0.25</v>
      </c>
      <c r="F67" s="65">
        <v>0.3125</v>
      </c>
      <c r="G67" s="65">
        <v>0.28544423440453687</v>
      </c>
      <c r="H67" s="65">
        <v>0.17958412098298676</v>
      </c>
      <c r="I67" s="66">
        <v>8917.2185430463578</v>
      </c>
      <c r="J67" s="66">
        <v>-7351.5789473684208</v>
      </c>
      <c r="K67" s="65">
        <v>0.125</v>
      </c>
      <c r="L67" s="65">
        <v>7.8125E-2</v>
      </c>
      <c r="M67" s="65">
        <v>0.27599243856332706</v>
      </c>
      <c r="N67" s="65">
        <v>0.19848771266540643</v>
      </c>
      <c r="O67" s="65">
        <v>0.63013698630136983</v>
      </c>
      <c r="P67" s="65">
        <v>0.27619047619047621</v>
      </c>
      <c r="Q67" s="65">
        <v>0.39735099337748342</v>
      </c>
    </row>
    <row r="68" spans="1:17" x14ac:dyDescent="0.4">
      <c r="A68" s="67">
        <v>65</v>
      </c>
      <c r="B68" s="64">
        <v>-111.00000000000004</v>
      </c>
      <c r="C68" s="64">
        <v>-1.7076923076923083</v>
      </c>
      <c r="D68" s="69">
        <v>2.046153846153846</v>
      </c>
      <c r="E68" s="65">
        <v>0.26153846153846155</v>
      </c>
      <c r="F68" s="65">
        <v>0.30769230769230771</v>
      </c>
      <c r="G68" s="65">
        <v>0.28650646950092423</v>
      </c>
      <c r="H68" s="65">
        <v>0.17744916820702403</v>
      </c>
      <c r="I68" s="66">
        <v>8889.032258064517</v>
      </c>
      <c r="J68" s="66">
        <v>-7290.625</v>
      </c>
      <c r="K68" s="65">
        <v>0.12307692307692308</v>
      </c>
      <c r="L68" s="65">
        <v>7.6923076923076927E-2</v>
      </c>
      <c r="M68" s="65">
        <v>0.27726432532347506</v>
      </c>
      <c r="N68" s="65">
        <v>0.1977818853974122</v>
      </c>
      <c r="O68" s="65">
        <v>0.6333333333333333</v>
      </c>
      <c r="P68" s="65">
        <v>0.28037383177570091</v>
      </c>
      <c r="Q68" s="65">
        <v>0.3935483870967742</v>
      </c>
    </row>
    <row r="69" spans="1:17" x14ac:dyDescent="0.4">
      <c r="A69" s="67">
        <v>66</v>
      </c>
      <c r="B69" s="64">
        <v>-116.50000000000004</v>
      </c>
      <c r="C69" s="64">
        <v>-1.7651515151515158</v>
      </c>
      <c r="D69" s="69">
        <v>2.0454545454545454</v>
      </c>
      <c r="E69" s="65">
        <v>0.25757575757575757</v>
      </c>
      <c r="F69" s="65">
        <v>0.30303030303030304</v>
      </c>
      <c r="G69" s="65">
        <v>0.28519195612431442</v>
      </c>
      <c r="H69" s="65">
        <v>0.1773308957952468</v>
      </c>
      <c r="I69" s="66">
        <v>8883.3333333333339</v>
      </c>
      <c r="J69" s="66">
        <v>-7275.2577319587626</v>
      </c>
      <c r="K69" s="65">
        <v>0.12121212121212122</v>
      </c>
      <c r="L69" s="65">
        <v>7.575757575757576E-2</v>
      </c>
      <c r="M69" s="65">
        <v>0.27422303473491771</v>
      </c>
      <c r="N69" s="65">
        <v>0.19744058500914077</v>
      </c>
      <c r="O69" s="65">
        <v>0.6333333333333333</v>
      </c>
      <c r="P69" s="65">
        <v>0.27777777777777779</v>
      </c>
      <c r="Q69" s="65">
        <v>0.39743589743589741</v>
      </c>
    </row>
    <row r="70" spans="1:17" x14ac:dyDescent="0.4">
      <c r="A70" s="67">
        <v>67</v>
      </c>
      <c r="B70" s="64">
        <v>-149.40000000000003</v>
      </c>
      <c r="C70" s="64">
        <v>-2.2298507462686574</v>
      </c>
      <c r="D70" s="69">
        <v>2.0597014925373136</v>
      </c>
      <c r="E70" s="65">
        <v>0.2537313432835821</v>
      </c>
      <c r="F70" s="65">
        <v>0.31343283582089554</v>
      </c>
      <c r="G70" s="65">
        <v>0.2851985559566787</v>
      </c>
      <c r="H70" s="65">
        <v>0.17689530685920576</v>
      </c>
      <c r="I70" s="66">
        <v>8836.0759493670885</v>
      </c>
      <c r="J70" s="66">
        <v>-7266.3265306122448</v>
      </c>
      <c r="K70" s="65">
        <v>0.11940298507462686</v>
      </c>
      <c r="L70" s="65">
        <v>7.4626865671641784E-2</v>
      </c>
      <c r="M70" s="65">
        <v>0.27797833935018051</v>
      </c>
      <c r="N70" s="65">
        <v>0.1967509025270758</v>
      </c>
      <c r="O70" s="65">
        <v>0.62987012987012991</v>
      </c>
      <c r="P70" s="65">
        <v>0.27522935779816515</v>
      </c>
      <c r="Q70" s="65">
        <v>0.39873417721518989</v>
      </c>
    </row>
    <row r="71" spans="1:17" x14ac:dyDescent="0.4">
      <c r="A71" s="67">
        <v>68</v>
      </c>
      <c r="B71" s="64">
        <v>-104.30000000000004</v>
      </c>
      <c r="C71" s="64">
        <v>-1.5338235294117653</v>
      </c>
      <c r="D71" s="69">
        <v>2.0441176470588234</v>
      </c>
      <c r="E71" s="65">
        <v>0.26470588235294118</v>
      </c>
      <c r="F71" s="65">
        <v>0.30882352941176472</v>
      </c>
      <c r="G71" s="65">
        <v>0.28877005347593582</v>
      </c>
      <c r="H71" s="65">
        <v>0.17647058823529413</v>
      </c>
      <c r="I71" s="66">
        <v>8803.7037037037044</v>
      </c>
      <c r="J71" s="66">
        <v>-7273.7373737373737</v>
      </c>
      <c r="K71" s="65">
        <v>0.11764705882352941</v>
      </c>
      <c r="L71" s="65">
        <v>7.3529411764705885E-2</v>
      </c>
      <c r="M71" s="65">
        <v>0.28163992869875221</v>
      </c>
      <c r="N71" s="65">
        <v>0.19607843137254902</v>
      </c>
      <c r="O71" s="65">
        <v>0.63291139240506333</v>
      </c>
      <c r="P71" s="65">
        <v>0.27272727272727271</v>
      </c>
      <c r="Q71" s="65">
        <v>0.39506172839506171</v>
      </c>
    </row>
    <row r="72" spans="1:17" x14ac:dyDescent="0.4">
      <c r="A72" s="67">
        <v>69</v>
      </c>
      <c r="B72" s="64">
        <v>-58.900000000000041</v>
      </c>
      <c r="C72" s="64">
        <v>-0.85362318840579765</v>
      </c>
      <c r="D72" s="69">
        <v>2.0289855072463769</v>
      </c>
      <c r="E72" s="65">
        <v>0.27536231884057971</v>
      </c>
      <c r="F72" s="65">
        <v>0.30434782608695654</v>
      </c>
      <c r="G72" s="65">
        <v>0.29195804195804198</v>
      </c>
      <c r="H72" s="65">
        <v>0.17307692307692307</v>
      </c>
      <c r="I72" s="66">
        <v>8741.9161676646709</v>
      </c>
      <c r="J72" s="66">
        <v>-7273.7373737373737</v>
      </c>
      <c r="K72" s="65">
        <v>0.11594202898550725</v>
      </c>
      <c r="L72" s="65">
        <v>7.2463768115942032E-2</v>
      </c>
      <c r="M72" s="65">
        <v>0.28146853146853146</v>
      </c>
      <c r="N72" s="65">
        <v>0.19405594405594406</v>
      </c>
      <c r="O72" s="65">
        <v>0.63975155279503104</v>
      </c>
      <c r="P72" s="65">
        <v>0.27927927927927926</v>
      </c>
      <c r="Q72" s="65">
        <v>0.39520958083832336</v>
      </c>
    </row>
    <row r="73" spans="1:17" x14ac:dyDescent="0.4">
      <c r="A73" s="67">
        <v>70</v>
      </c>
      <c r="B73" s="64">
        <v>-117.60000000000005</v>
      </c>
      <c r="C73" s="64">
        <v>-1.6800000000000008</v>
      </c>
      <c r="D73" s="69">
        <v>2.0428571428571427</v>
      </c>
      <c r="E73" s="65">
        <v>0.27142857142857141</v>
      </c>
      <c r="F73" s="65">
        <v>0.31428571428571428</v>
      </c>
      <c r="G73" s="65">
        <v>0.29037800687285226</v>
      </c>
      <c r="H73" s="65">
        <v>0.17525773195876287</v>
      </c>
      <c r="I73" s="66">
        <v>8718.9349112426044</v>
      </c>
      <c r="J73" s="66">
        <v>-7451.9607843137255</v>
      </c>
      <c r="K73" s="65">
        <v>0.12857142857142856</v>
      </c>
      <c r="L73" s="65">
        <v>7.1428571428571425E-2</v>
      </c>
      <c r="M73" s="65">
        <v>0.27835051546391754</v>
      </c>
      <c r="N73" s="65">
        <v>0.19415807560137457</v>
      </c>
      <c r="O73" s="65">
        <v>0.64197530864197527</v>
      </c>
      <c r="P73" s="65">
        <v>0.2831858407079646</v>
      </c>
      <c r="Q73" s="65">
        <v>0.39053254437869822</v>
      </c>
    </row>
    <row r="74" spans="1:17" x14ac:dyDescent="0.4">
      <c r="A74" s="67">
        <v>71</v>
      </c>
      <c r="B74" s="64">
        <v>-110.90000000000005</v>
      </c>
      <c r="C74" s="64">
        <v>-1.5619718309859161</v>
      </c>
      <c r="D74" s="69">
        <v>2.0422535211267605</v>
      </c>
      <c r="E74" s="65">
        <v>0.26760563380281688</v>
      </c>
      <c r="F74" s="65">
        <v>0.30985915492957744</v>
      </c>
      <c r="G74" s="65">
        <v>0.28934010152284262</v>
      </c>
      <c r="H74" s="65">
        <v>0.17428087986463622</v>
      </c>
      <c r="I74" s="66">
        <v>8745.0292397660814</v>
      </c>
      <c r="J74" s="66">
        <v>-7454.3689320388348</v>
      </c>
      <c r="K74" s="65">
        <v>0.12676056338028169</v>
      </c>
      <c r="L74" s="65">
        <v>7.0422535211267609E-2</v>
      </c>
      <c r="M74" s="65">
        <v>0.27580372250423013</v>
      </c>
      <c r="N74" s="65">
        <v>0.19289340101522842</v>
      </c>
      <c r="O74" s="65">
        <v>0.64417177914110424</v>
      </c>
      <c r="P74" s="65">
        <v>0.2807017543859649</v>
      </c>
      <c r="Q74" s="65">
        <v>0.391812865497076</v>
      </c>
    </row>
    <row r="75" spans="1:17" x14ac:dyDescent="0.4">
      <c r="A75" s="67">
        <v>72</v>
      </c>
      <c r="B75" s="64">
        <v>-104.80000000000005</v>
      </c>
      <c r="C75" s="64">
        <v>-1.4555555555555564</v>
      </c>
      <c r="D75" s="69">
        <v>2.0416666666666665</v>
      </c>
      <c r="E75" s="65">
        <v>0.2638888888888889</v>
      </c>
      <c r="F75" s="65">
        <v>0.30555555555555558</v>
      </c>
      <c r="G75" s="65">
        <v>0.28929765886287623</v>
      </c>
      <c r="H75" s="65">
        <v>0.17224080267558528</v>
      </c>
      <c r="I75" s="66">
        <v>8750.2890173410397</v>
      </c>
      <c r="J75" s="66">
        <v>-7454.3689320388348</v>
      </c>
      <c r="K75" s="65">
        <v>0.125</v>
      </c>
      <c r="L75" s="65">
        <v>6.9444444444444448E-2</v>
      </c>
      <c r="M75" s="65">
        <v>0.27591973244147155</v>
      </c>
      <c r="N75" s="65">
        <v>0.19230769230769232</v>
      </c>
      <c r="O75" s="65">
        <v>0.64848484848484844</v>
      </c>
      <c r="P75" s="65">
        <v>0.27826086956521739</v>
      </c>
      <c r="Q75" s="65">
        <v>0.39306358381502893</v>
      </c>
    </row>
    <row r="76" spans="1:17" x14ac:dyDescent="0.4">
      <c r="A76" s="67">
        <v>73</v>
      </c>
      <c r="B76" s="64">
        <v>-157.60000000000005</v>
      </c>
      <c r="C76" s="64">
        <v>-2.158904109589042</v>
      </c>
      <c r="D76" s="69">
        <v>2.0547945205479454</v>
      </c>
      <c r="E76" s="65">
        <v>0.26027397260273971</v>
      </c>
      <c r="F76" s="65">
        <v>0.31506849315068491</v>
      </c>
      <c r="G76" s="65">
        <v>0.28547854785478549</v>
      </c>
      <c r="H76" s="65">
        <v>0.17161716171617161</v>
      </c>
      <c r="I76" s="66">
        <v>8750.2890173410397</v>
      </c>
      <c r="J76" s="66">
        <v>-7432.6923076923076</v>
      </c>
      <c r="K76" s="65">
        <v>0.12328767123287671</v>
      </c>
      <c r="L76" s="65">
        <v>6.8493150684931503E-2</v>
      </c>
      <c r="M76" s="65">
        <v>0.27722772277227725</v>
      </c>
      <c r="N76" s="65">
        <v>0.19141914191419143</v>
      </c>
      <c r="O76" s="65">
        <v>0.63690476190476186</v>
      </c>
      <c r="P76" s="65">
        <v>0.27586206896551724</v>
      </c>
      <c r="Q76" s="65">
        <v>0.39306358381502893</v>
      </c>
    </row>
    <row r="77" spans="1:17" x14ac:dyDescent="0.4">
      <c r="A77" s="67">
        <v>74</v>
      </c>
      <c r="B77" s="64">
        <v>-75.300000000000054</v>
      </c>
      <c r="C77" s="64">
        <v>-1.0175675675675684</v>
      </c>
      <c r="D77" s="69">
        <v>2.0405405405405403</v>
      </c>
      <c r="E77" s="65">
        <v>0.27027027027027029</v>
      </c>
      <c r="F77" s="65">
        <v>0.3108108108108108</v>
      </c>
      <c r="G77" s="65">
        <v>0.2903752039151713</v>
      </c>
      <c r="H77" s="65">
        <v>0.1729200652528548</v>
      </c>
      <c r="I77" s="66">
        <v>8886.5168539325841</v>
      </c>
      <c r="J77" s="66">
        <v>-7383.9622641509432</v>
      </c>
      <c r="K77" s="65">
        <v>0.12162162162162163</v>
      </c>
      <c r="L77" s="65">
        <v>8.1081081081081086E-2</v>
      </c>
      <c r="M77" s="65">
        <v>0.28221859706362151</v>
      </c>
      <c r="N77" s="65">
        <v>0.18923327895595432</v>
      </c>
      <c r="O77" s="65">
        <v>0.64739884393063585</v>
      </c>
      <c r="P77" s="65">
        <v>0.27586206896551724</v>
      </c>
      <c r="Q77" s="65">
        <v>0.398876404494382</v>
      </c>
    </row>
    <row r="78" spans="1:17" x14ac:dyDescent="0.4">
      <c r="A78" s="67">
        <v>75</v>
      </c>
      <c r="B78" s="64">
        <v>-52.900000000000055</v>
      </c>
      <c r="C78" s="64">
        <v>-0.70533333333333403</v>
      </c>
      <c r="D78" s="69">
        <v>2.0266666666666668</v>
      </c>
      <c r="E78" s="65">
        <v>0.28000000000000003</v>
      </c>
      <c r="F78" s="65">
        <v>0.30666666666666664</v>
      </c>
      <c r="G78" s="65">
        <v>0.29099678456591638</v>
      </c>
      <c r="H78" s="65">
        <v>0.17524115755627009</v>
      </c>
      <c r="I78" s="66">
        <v>8938.1215469613253</v>
      </c>
      <c r="J78" s="66">
        <v>-7408.2568807339449</v>
      </c>
      <c r="K78" s="65">
        <v>0.12</v>
      </c>
      <c r="L78" s="65">
        <v>0.08</v>
      </c>
      <c r="M78" s="65">
        <v>0.28295819935691319</v>
      </c>
      <c r="N78" s="65">
        <v>0.19292604501607716</v>
      </c>
      <c r="O78" s="65">
        <v>0.64204545454545459</v>
      </c>
      <c r="P78" s="65">
        <v>0.28333333333333333</v>
      </c>
      <c r="Q78" s="65">
        <v>0.39779005524861877</v>
      </c>
    </row>
    <row r="79" spans="1:17" x14ac:dyDescent="0.4">
      <c r="A79" s="67">
        <v>76</v>
      </c>
      <c r="B79" s="64">
        <v>-77.500000000000057</v>
      </c>
      <c r="C79" s="64">
        <v>-1.0197368421052639</v>
      </c>
      <c r="D79" s="69">
        <v>2.0394736842105261</v>
      </c>
      <c r="E79" s="65">
        <v>0.27631578947368424</v>
      </c>
      <c r="F79" s="65">
        <v>0.31578947368421051</v>
      </c>
      <c r="G79" s="65">
        <v>0.29318541996830427</v>
      </c>
      <c r="H79" s="65">
        <v>0.17274167987321712</v>
      </c>
      <c r="I79" s="66">
        <v>8856.7567567567567</v>
      </c>
      <c r="J79" s="66">
        <v>-7408.2568807339449</v>
      </c>
      <c r="K79" s="65">
        <v>0.11842105263157894</v>
      </c>
      <c r="L79" s="65">
        <v>7.8947368421052627E-2</v>
      </c>
      <c r="M79" s="65">
        <v>0.28367670364500791</v>
      </c>
      <c r="N79" s="65">
        <v>0.19334389857369255</v>
      </c>
      <c r="O79" s="65">
        <v>0.64245810055865926</v>
      </c>
      <c r="P79" s="65">
        <v>0.28688524590163933</v>
      </c>
      <c r="Q79" s="65">
        <v>0.39459459459459462</v>
      </c>
    </row>
    <row r="80" spans="1:17" x14ac:dyDescent="0.4">
      <c r="A80" s="67">
        <v>77</v>
      </c>
      <c r="B80" s="64">
        <v>-82.800000000000054</v>
      </c>
      <c r="C80" s="64">
        <v>-1.0753246753246761</v>
      </c>
      <c r="D80" s="69">
        <v>2.0389610389610389</v>
      </c>
      <c r="E80" s="65">
        <v>0.27272727272727271</v>
      </c>
      <c r="F80" s="65">
        <v>0.31168831168831168</v>
      </c>
      <c r="G80" s="65">
        <v>0.29218749999999999</v>
      </c>
      <c r="H80" s="65">
        <v>0.17499999999999999</v>
      </c>
      <c r="I80" s="66">
        <v>8997.3262032085568</v>
      </c>
      <c r="J80" s="66">
        <v>-7440.1785714285716</v>
      </c>
      <c r="K80" s="65">
        <v>0.11688311688311688</v>
      </c>
      <c r="L80" s="65">
        <v>7.792207792207792E-2</v>
      </c>
      <c r="M80" s="65">
        <v>0.28437499999999999</v>
      </c>
      <c r="N80" s="65">
        <v>0.19375000000000001</v>
      </c>
      <c r="O80" s="65">
        <v>0.6428571428571429</v>
      </c>
      <c r="P80" s="65">
        <v>0.28225806451612906</v>
      </c>
      <c r="Q80" s="65">
        <v>0.40106951871657753</v>
      </c>
    </row>
    <row r="81" spans="1:17" x14ac:dyDescent="0.4">
      <c r="A81" s="67">
        <v>78</v>
      </c>
      <c r="B81" s="64">
        <v>-95.400000000000048</v>
      </c>
      <c r="C81" s="64">
        <v>-1.2230769230769236</v>
      </c>
      <c r="D81" s="69">
        <v>2.0384615384615383</v>
      </c>
      <c r="E81" s="65">
        <v>0.26923076923076922</v>
      </c>
      <c r="F81" s="65">
        <v>0.30769230769230771</v>
      </c>
      <c r="G81" s="65">
        <v>0.29339477726574503</v>
      </c>
      <c r="H81" s="65">
        <v>0.17204301075268819</v>
      </c>
      <c r="I81" s="66">
        <v>8919.8952879581157</v>
      </c>
      <c r="J81" s="66">
        <v>-7440.1785714285716</v>
      </c>
      <c r="K81" s="65">
        <v>0.11538461538461539</v>
      </c>
      <c r="L81" s="65">
        <v>7.6923076923076927E-2</v>
      </c>
      <c r="M81" s="65">
        <v>0.2857142857142857</v>
      </c>
      <c r="N81" s="65">
        <v>0.19662058371735791</v>
      </c>
      <c r="O81" s="65">
        <v>0.64516129032258063</v>
      </c>
      <c r="P81" s="65">
        <v>0.28125</v>
      </c>
      <c r="Q81" s="65">
        <v>0.39790575916230364</v>
      </c>
    </row>
    <row r="82" spans="1:17" x14ac:dyDescent="0.4">
      <c r="A82" s="67">
        <v>79</v>
      </c>
      <c r="B82" s="64">
        <v>-29.200000000000045</v>
      </c>
      <c r="C82" s="64">
        <v>-0.36962025316455754</v>
      </c>
      <c r="D82" s="69">
        <v>2.0253164556962027</v>
      </c>
      <c r="E82" s="65">
        <v>0.27848101265822783</v>
      </c>
      <c r="F82" s="65">
        <v>0.30379746835443039</v>
      </c>
      <c r="G82" s="65">
        <v>0.29528158295281581</v>
      </c>
      <c r="H82" s="65">
        <v>0.17047184170471841</v>
      </c>
      <c r="I82" s="66">
        <v>8977.8350515463917</v>
      </c>
      <c r="J82" s="66">
        <v>-7440.1785714285716</v>
      </c>
      <c r="K82" s="65">
        <v>0.11392405063291139</v>
      </c>
      <c r="L82" s="65">
        <v>8.8607594936708861E-2</v>
      </c>
      <c r="M82" s="65">
        <v>0.28767123287671231</v>
      </c>
      <c r="N82" s="65">
        <v>0.19634703196347031</v>
      </c>
      <c r="O82" s="65">
        <v>0.64021164021164023</v>
      </c>
      <c r="P82" s="65">
        <v>0.2868217054263566</v>
      </c>
      <c r="Q82" s="65">
        <v>0.40206185567010311</v>
      </c>
    </row>
    <row r="83" spans="1:17" x14ac:dyDescent="0.4">
      <c r="A83" s="67">
        <v>80</v>
      </c>
      <c r="B83" s="64">
        <v>-64.80000000000004</v>
      </c>
      <c r="C83" s="64">
        <v>-0.8100000000000005</v>
      </c>
      <c r="D83" s="69">
        <v>2.0375000000000001</v>
      </c>
      <c r="E83" s="65">
        <v>0.27500000000000002</v>
      </c>
      <c r="F83" s="65">
        <v>0.3125</v>
      </c>
      <c r="G83" s="65">
        <v>0.29341317365269459</v>
      </c>
      <c r="H83" s="65">
        <v>0.17065868263473055</v>
      </c>
      <c r="I83" s="66">
        <v>9039.2857142857138</v>
      </c>
      <c r="J83" s="66">
        <v>-7464.0350877192986</v>
      </c>
      <c r="K83" s="65">
        <v>0.1125</v>
      </c>
      <c r="L83" s="65">
        <v>8.7499999999999994E-2</v>
      </c>
      <c r="M83" s="65">
        <v>0.28742514970059879</v>
      </c>
      <c r="N83" s="65">
        <v>0.19610778443113772</v>
      </c>
      <c r="O83" s="65">
        <v>0.640625</v>
      </c>
      <c r="P83" s="65">
        <v>0.28244274809160308</v>
      </c>
      <c r="Q83" s="65">
        <v>0.40306122448979592</v>
      </c>
    </row>
    <row r="84" spans="1:17" x14ac:dyDescent="0.4">
      <c r="A84" s="67">
        <v>81</v>
      </c>
      <c r="B84" s="64">
        <v>-101.60000000000004</v>
      </c>
      <c r="C84" s="64">
        <v>-1.2543209876543215</v>
      </c>
      <c r="D84" s="69">
        <v>2.0493827160493829</v>
      </c>
      <c r="E84" s="65">
        <v>0.27160493827160492</v>
      </c>
      <c r="F84" s="65">
        <v>0.32098765432098764</v>
      </c>
      <c r="G84" s="65">
        <v>0.29185185185185186</v>
      </c>
      <c r="H84" s="65">
        <v>0.17037037037037037</v>
      </c>
      <c r="I84" s="66">
        <v>8999.4923857868016</v>
      </c>
      <c r="J84" s="66">
        <v>-7416.521739130435</v>
      </c>
      <c r="K84" s="65">
        <v>0.1111111111111111</v>
      </c>
      <c r="L84" s="65">
        <v>8.6419753086419748E-2</v>
      </c>
      <c r="M84" s="65">
        <v>0.28444444444444444</v>
      </c>
      <c r="N84" s="65">
        <v>0.19555555555555557</v>
      </c>
      <c r="O84" s="65">
        <v>0.640625</v>
      </c>
      <c r="P84" s="65">
        <v>0.28030303030303028</v>
      </c>
      <c r="Q84" s="65">
        <v>0.40609137055837563</v>
      </c>
    </row>
    <row r="85" spans="1:17" x14ac:dyDescent="0.4">
      <c r="A85" s="67">
        <v>82</v>
      </c>
      <c r="B85" s="64">
        <v>-91.600000000000037</v>
      </c>
      <c r="C85" s="64">
        <v>-1.1170731707317079</v>
      </c>
      <c r="D85" s="69">
        <v>2.0487804878048781</v>
      </c>
      <c r="E85" s="65">
        <v>0.26829268292682928</v>
      </c>
      <c r="F85" s="65">
        <v>0.31707317073170732</v>
      </c>
      <c r="G85" s="65">
        <v>0.29136163982430452</v>
      </c>
      <c r="H85" s="65">
        <v>0.16837481698389459</v>
      </c>
      <c r="I85" s="66">
        <v>8974.3718592964833</v>
      </c>
      <c r="J85" s="66">
        <v>-7416.521739130435</v>
      </c>
      <c r="K85" s="65">
        <v>0.10975609756097561</v>
      </c>
      <c r="L85" s="65">
        <v>8.5365853658536592E-2</v>
      </c>
      <c r="M85" s="65">
        <v>0.28550512445095166</v>
      </c>
      <c r="N85" s="65">
        <v>0.19619326500732065</v>
      </c>
      <c r="O85" s="65">
        <v>0.64102564102564108</v>
      </c>
      <c r="P85" s="65">
        <v>0.27611940298507465</v>
      </c>
      <c r="Q85" s="65">
        <v>0.40703517587939697</v>
      </c>
    </row>
    <row r="86" spans="1:17" x14ac:dyDescent="0.4">
      <c r="A86" s="67">
        <v>83</v>
      </c>
      <c r="B86" s="64">
        <v>-49.100000000000037</v>
      </c>
      <c r="C86" s="64">
        <v>-0.59156626506024146</v>
      </c>
      <c r="D86" s="69">
        <v>2.036144578313253</v>
      </c>
      <c r="E86" s="65">
        <v>0.27710843373493976</v>
      </c>
      <c r="F86" s="65">
        <v>0.31325301204819278</v>
      </c>
      <c r="G86" s="65">
        <v>0.29088277858176553</v>
      </c>
      <c r="H86" s="65">
        <v>0.16642547033285093</v>
      </c>
      <c r="I86" s="66">
        <v>9062.1890547263683</v>
      </c>
      <c r="J86" s="66">
        <v>-7416.521739130435</v>
      </c>
      <c r="K86" s="65">
        <v>0.10843373493975904</v>
      </c>
      <c r="L86" s="65">
        <v>8.4337349397590355E-2</v>
      </c>
      <c r="M86" s="65">
        <v>0.28364688856729375</v>
      </c>
      <c r="N86" s="65">
        <v>0.19536903039073805</v>
      </c>
      <c r="O86" s="65">
        <v>0.6428571428571429</v>
      </c>
      <c r="P86" s="65">
        <v>0.27407407407407408</v>
      </c>
      <c r="Q86" s="65">
        <v>0.4079601990049751</v>
      </c>
    </row>
    <row r="87" spans="1:17" x14ac:dyDescent="0.4">
      <c r="A87" s="67">
        <v>84</v>
      </c>
      <c r="B87" s="64">
        <v>-56.100000000000037</v>
      </c>
      <c r="C87" s="64">
        <v>-0.66785714285714326</v>
      </c>
      <c r="D87" s="69">
        <v>2.0357142857142856</v>
      </c>
      <c r="E87" s="65">
        <v>0.27380952380952384</v>
      </c>
      <c r="F87" s="65">
        <v>0.30952380952380953</v>
      </c>
      <c r="G87" s="65">
        <v>0.29041487839771102</v>
      </c>
      <c r="H87" s="65">
        <v>0.16595135908440631</v>
      </c>
      <c r="I87" s="66">
        <v>9057.6354679802953</v>
      </c>
      <c r="J87" s="66">
        <v>-7375</v>
      </c>
      <c r="K87" s="65">
        <v>0.10714285714285714</v>
      </c>
      <c r="L87" s="65">
        <v>8.3333333333333329E-2</v>
      </c>
      <c r="M87" s="65">
        <v>0.2832618025751073</v>
      </c>
      <c r="N87" s="65">
        <v>0.19599427753934193</v>
      </c>
      <c r="O87" s="65">
        <v>0.64141414141414144</v>
      </c>
      <c r="P87" s="65">
        <v>0.27737226277372262</v>
      </c>
      <c r="Q87" s="65">
        <v>0.4039408866995074</v>
      </c>
    </row>
    <row r="88" spans="1:17" x14ac:dyDescent="0.4">
      <c r="A88" s="67">
        <v>85</v>
      </c>
      <c r="B88" s="64">
        <v>-90.30000000000004</v>
      </c>
      <c r="C88" s="64">
        <v>-1.0623529411764712</v>
      </c>
      <c r="D88" s="69">
        <v>2.0470588235294116</v>
      </c>
      <c r="E88" s="65">
        <v>0.27058823529411763</v>
      </c>
      <c r="F88" s="65">
        <v>0.31764705882352939</v>
      </c>
      <c r="G88" s="65">
        <v>0.29014084507042254</v>
      </c>
      <c r="H88" s="65">
        <v>0.1647887323943662</v>
      </c>
      <c r="I88" s="66">
        <v>9119.9029126213591</v>
      </c>
      <c r="J88" s="66">
        <v>-7517.0940170940175</v>
      </c>
      <c r="K88" s="65">
        <v>0.10588235294117647</v>
      </c>
      <c r="L88" s="65">
        <v>8.2352941176470587E-2</v>
      </c>
      <c r="M88" s="65">
        <v>0.28309859154929579</v>
      </c>
      <c r="N88" s="65">
        <v>0.19577464788732393</v>
      </c>
      <c r="O88" s="65">
        <v>0.63681592039800994</v>
      </c>
      <c r="P88" s="65">
        <v>0.28776978417266186</v>
      </c>
      <c r="Q88" s="65">
        <v>0.41262135922330095</v>
      </c>
    </row>
    <row r="89" spans="1:17" x14ac:dyDescent="0.4">
      <c r="A89" s="67">
        <v>86</v>
      </c>
      <c r="B89" s="64">
        <v>-148.80000000000004</v>
      </c>
      <c r="C89" s="64">
        <v>-1.7302325581395352</v>
      </c>
      <c r="D89" s="69">
        <v>2.058139534883721</v>
      </c>
      <c r="E89" s="65">
        <v>0.26744186046511625</v>
      </c>
      <c r="F89" s="65">
        <v>0.32558139534883723</v>
      </c>
      <c r="G89" s="65">
        <v>0.28851540616246496</v>
      </c>
      <c r="H89" s="65">
        <v>0.16666666666666666</v>
      </c>
      <c r="I89" s="66">
        <v>9119.9029126213591</v>
      </c>
      <c r="J89" s="66">
        <v>-7642.8571428571431</v>
      </c>
      <c r="K89" s="65">
        <v>0.11627906976744186</v>
      </c>
      <c r="L89" s="65">
        <v>8.1395348837209308E-2</v>
      </c>
      <c r="M89" s="65">
        <v>0.28431372549019607</v>
      </c>
      <c r="N89" s="65">
        <v>0.19467787114845939</v>
      </c>
      <c r="O89" s="65">
        <v>0.63054187192118227</v>
      </c>
      <c r="P89" s="65">
        <v>0.28776978417266186</v>
      </c>
      <c r="Q89" s="65">
        <v>0.41262135922330095</v>
      </c>
    </row>
    <row r="90" spans="1:17" x14ac:dyDescent="0.4">
      <c r="A90" s="67">
        <v>87</v>
      </c>
      <c r="B90" s="64">
        <v>-226.80000000000004</v>
      </c>
      <c r="C90" s="64">
        <v>-2.6068965517241383</v>
      </c>
      <c r="D90" s="69">
        <v>2.0689655172413794</v>
      </c>
      <c r="E90" s="65">
        <v>0.26436781609195403</v>
      </c>
      <c r="F90" s="65">
        <v>0.33333333333333331</v>
      </c>
      <c r="G90" s="65">
        <v>0.28650904033379693</v>
      </c>
      <c r="H90" s="65">
        <v>0.16968011126564672</v>
      </c>
      <c r="I90" s="66">
        <v>9119.9029126213591</v>
      </c>
      <c r="J90" s="66">
        <v>-7897.5409836065573</v>
      </c>
      <c r="K90" s="65">
        <v>0.12643678160919541</v>
      </c>
      <c r="L90" s="65">
        <v>8.0459770114942528E-2</v>
      </c>
      <c r="M90" s="65">
        <v>0.28650904033379693</v>
      </c>
      <c r="N90" s="65">
        <v>0.19471488178025034</v>
      </c>
      <c r="O90" s="65">
        <v>0.62135922330097082</v>
      </c>
      <c r="P90" s="65">
        <v>0.2857142857142857</v>
      </c>
      <c r="Q90" s="65">
        <v>0.41262135922330095</v>
      </c>
    </row>
    <row r="91" spans="1:17" x14ac:dyDescent="0.4">
      <c r="A91" s="67">
        <v>88</v>
      </c>
      <c r="B91" s="64">
        <v>-218.00000000000003</v>
      </c>
      <c r="C91" s="64">
        <v>-2.4772727272727275</v>
      </c>
      <c r="D91" s="69">
        <v>2.0681818181818183</v>
      </c>
      <c r="E91" s="65">
        <v>0.26136363636363635</v>
      </c>
      <c r="F91" s="65">
        <v>0.32954545454545453</v>
      </c>
      <c r="G91" s="65">
        <v>0.28708791208791207</v>
      </c>
      <c r="H91" s="65">
        <v>0.16895604395604397</v>
      </c>
      <c r="I91" s="66">
        <v>9083.7320574162677</v>
      </c>
      <c r="J91" s="66">
        <v>-7849.5934959349597</v>
      </c>
      <c r="K91" s="65">
        <v>0.125</v>
      </c>
      <c r="L91" s="65">
        <v>7.9545454545454544E-2</v>
      </c>
      <c r="M91" s="65">
        <v>0.28708791208791207</v>
      </c>
      <c r="N91" s="65">
        <v>0.19368131868131869</v>
      </c>
      <c r="O91" s="65">
        <v>0.61722488038277512</v>
      </c>
      <c r="P91" s="65">
        <v>0.29078014184397161</v>
      </c>
      <c r="Q91" s="65">
        <v>0.41148325358851673</v>
      </c>
    </row>
    <row r="92" spans="1:17" x14ac:dyDescent="0.4">
      <c r="A92" s="67">
        <v>89</v>
      </c>
      <c r="B92" s="64">
        <v>-208.40000000000003</v>
      </c>
      <c r="C92" s="64">
        <v>-2.3415730337078657</v>
      </c>
      <c r="D92" s="69">
        <v>2.0674157303370788</v>
      </c>
      <c r="E92" s="65">
        <v>0.25842696629213485</v>
      </c>
      <c r="F92" s="65">
        <v>0.3258426966292135</v>
      </c>
      <c r="G92" s="65">
        <v>0.28668478260869568</v>
      </c>
      <c r="H92" s="65">
        <v>0.16983695652173914</v>
      </c>
      <c r="I92" s="66">
        <v>9090.995260663507</v>
      </c>
      <c r="J92" s="66">
        <v>-7771.2</v>
      </c>
      <c r="K92" s="65">
        <v>0.12359550561797752</v>
      </c>
      <c r="L92" s="65">
        <v>7.8651685393258425E-2</v>
      </c>
      <c r="M92" s="65">
        <v>0.28940217391304346</v>
      </c>
      <c r="N92" s="65">
        <v>0.19429347826086957</v>
      </c>
      <c r="O92" s="65">
        <v>0.61502347417840375</v>
      </c>
      <c r="P92" s="65">
        <v>0.28671328671328672</v>
      </c>
      <c r="Q92" s="65">
        <v>0.41232227488151657</v>
      </c>
    </row>
    <row r="93" spans="1:17" x14ac:dyDescent="0.4">
      <c r="A93" s="67">
        <v>90</v>
      </c>
      <c r="B93" s="64">
        <v>-273.5</v>
      </c>
      <c r="C93" s="64">
        <v>-3.0388888888888888</v>
      </c>
      <c r="D93" s="69">
        <v>2.0777777777777779</v>
      </c>
      <c r="E93" s="65">
        <v>0.25555555555555554</v>
      </c>
      <c r="F93" s="65">
        <v>0.33333333333333331</v>
      </c>
      <c r="G93" s="65">
        <v>0.28322147651006713</v>
      </c>
      <c r="H93" s="65">
        <v>0.17046979865771811</v>
      </c>
      <c r="I93" s="66">
        <v>9090.995260663507</v>
      </c>
      <c r="J93" s="66">
        <v>-7837.7952755905508</v>
      </c>
      <c r="K93" s="65">
        <v>0.13333333333333333</v>
      </c>
      <c r="L93" s="65">
        <v>7.7777777777777779E-2</v>
      </c>
      <c r="M93" s="65">
        <v>0.28859060402684567</v>
      </c>
      <c r="N93" s="65">
        <v>0.19463087248322147</v>
      </c>
      <c r="O93" s="65">
        <v>0.6093023255813953</v>
      </c>
      <c r="P93" s="65">
        <v>0.28275862068965518</v>
      </c>
      <c r="Q93" s="65">
        <v>0.41232227488151657</v>
      </c>
    </row>
    <row r="94" spans="1:17" x14ac:dyDescent="0.4">
      <c r="A94" s="67">
        <v>91</v>
      </c>
      <c r="B94" s="64">
        <v>-241.9</v>
      </c>
      <c r="C94" s="64">
        <v>-2.6582417582417581</v>
      </c>
      <c r="D94" s="69">
        <v>2.0659340659340661</v>
      </c>
      <c r="E94" s="65">
        <v>0.26373626373626374</v>
      </c>
      <c r="F94" s="65">
        <v>0.32967032967032966</v>
      </c>
      <c r="G94" s="65">
        <v>0.28346456692913385</v>
      </c>
      <c r="H94" s="65">
        <v>0.16929133858267717</v>
      </c>
      <c r="I94" s="66">
        <v>9094.4444444444453</v>
      </c>
      <c r="J94" s="66">
        <v>-7871.3178294573645</v>
      </c>
      <c r="K94" s="65">
        <v>0.13186813186813187</v>
      </c>
      <c r="L94" s="65">
        <v>7.6923076923076927E-2</v>
      </c>
      <c r="M94" s="65">
        <v>0.28871391076115488</v>
      </c>
      <c r="N94" s="65">
        <v>0.19553805774278216</v>
      </c>
      <c r="O94" s="65">
        <v>0.61363636363636365</v>
      </c>
      <c r="P94" s="65">
        <v>0.27516778523489932</v>
      </c>
      <c r="Q94" s="65">
        <v>0.42129629629629628</v>
      </c>
    </row>
    <row r="95" spans="1:17" x14ac:dyDescent="0.4">
      <c r="A95" s="67">
        <v>92</v>
      </c>
      <c r="B95" s="64">
        <v>-273.60000000000002</v>
      </c>
      <c r="C95" s="64">
        <v>-2.973913043478261</v>
      </c>
      <c r="D95" s="69">
        <v>2.0760869565217392</v>
      </c>
      <c r="E95" s="65">
        <v>0.2608695652173913</v>
      </c>
      <c r="F95" s="65">
        <v>0.33695652173913043</v>
      </c>
      <c r="G95" s="65">
        <v>0.2814526588845655</v>
      </c>
      <c r="H95" s="65">
        <v>0.16861219195849547</v>
      </c>
      <c r="I95" s="66">
        <v>9089.4009216589857</v>
      </c>
      <c r="J95" s="66">
        <v>-7840.7692307692305</v>
      </c>
      <c r="K95" s="65">
        <v>0.13043478260869565</v>
      </c>
      <c r="L95" s="65">
        <v>7.6086956521739135E-2</v>
      </c>
      <c r="M95" s="65">
        <v>0.28793774319066145</v>
      </c>
      <c r="N95" s="65">
        <v>0.19455252918287938</v>
      </c>
      <c r="O95" s="65">
        <v>0.61261261261261257</v>
      </c>
      <c r="P95" s="65">
        <v>0.27333333333333332</v>
      </c>
      <c r="Q95" s="65">
        <v>0.42396313364055299</v>
      </c>
    </row>
    <row r="96" spans="1:17" x14ac:dyDescent="0.4">
      <c r="A96" s="67">
        <v>93</v>
      </c>
      <c r="B96" s="64">
        <v>-210.50000000000003</v>
      </c>
      <c r="C96" s="64">
        <v>-2.263440860215054</v>
      </c>
      <c r="D96" s="69">
        <v>2.064516129032258</v>
      </c>
      <c r="E96" s="65">
        <v>0.26881720430107525</v>
      </c>
      <c r="F96" s="65">
        <v>0.33333333333333331</v>
      </c>
      <c r="G96" s="65">
        <v>0.28149100257069409</v>
      </c>
      <c r="H96" s="65">
        <v>0.16709511568123395</v>
      </c>
      <c r="I96" s="66">
        <v>9262.1004566210049</v>
      </c>
      <c r="J96" s="66">
        <v>-7840.7692307692305</v>
      </c>
      <c r="K96" s="65">
        <v>0.12903225806451613</v>
      </c>
      <c r="L96" s="65">
        <v>8.6021505376344093E-2</v>
      </c>
      <c r="M96" s="65">
        <v>0.2879177377892031</v>
      </c>
      <c r="N96" s="65">
        <v>0.19280205655526991</v>
      </c>
      <c r="O96" s="65">
        <v>0.6116071428571429</v>
      </c>
      <c r="P96" s="65">
        <v>0.27333333333333332</v>
      </c>
      <c r="Q96" s="65">
        <v>0.42009132420091322</v>
      </c>
    </row>
    <row r="97" spans="1:17" x14ac:dyDescent="0.4">
      <c r="A97" s="67">
        <v>94</v>
      </c>
      <c r="B97" s="64">
        <v>-221.00000000000003</v>
      </c>
      <c r="C97" s="64">
        <v>-2.3510638297872344</v>
      </c>
      <c r="D97" s="69">
        <v>2.0638297872340425</v>
      </c>
      <c r="E97" s="65">
        <v>0.26595744680851063</v>
      </c>
      <c r="F97" s="65">
        <v>0.32978723404255317</v>
      </c>
      <c r="G97" s="65">
        <v>0.28030303030303028</v>
      </c>
      <c r="H97" s="65">
        <v>0.1691919191919192</v>
      </c>
      <c r="I97" s="66">
        <v>9233.7837837837833</v>
      </c>
      <c r="J97" s="66">
        <v>-7811.940298507463</v>
      </c>
      <c r="K97" s="65">
        <v>0.1276595744680851</v>
      </c>
      <c r="L97" s="65">
        <v>8.5106382978723402E-2</v>
      </c>
      <c r="M97" s="65">
        <v>0.2878787878787879</v>
      </c>
      <c r="N97" s="65">
        <v>0.19065656565656566</v>
      </c>
      <c r="O97" s="65">
        <v>0.60964912280701755</v>
      </c>
      <c r="P97" s="65">
        <v>0.27152317880794702</v>
      </c>
      <c r="Q97" s="65">
        <v>0.4144144144144144</v>
      </c>
    </row>
    <row r="98" spans="1:17" x14ac:dyDescent="0.4">
      <c r="A98" s="67">
        <v>95</v>
      </c>
      <c r="B98" s="64">
        <v>-254.3</v>
      </c>
      <c r="C98" s="64">
        <v>-2.6768421052631579</v>
      </c>
      <c r="D98" s="69">
        <v>2.0736842105263156</v>
      </c>
      <c r="E98" s="65">
        <v>0.26315789473684209</v>
      </c>
      <c r="F98" s="65">
        <v>0.33684210526315789</v>
      </c>
      <c r="G98" s="65">
        <v>0.28035043804755944</v>
      </c>
      <c r="H98" s="65">
        <v>0.16896120150187735</v>
      </c>
      <c r="I98" s="66">
        <v>9174.5535714285706</v>
      </c>
      <c r="J98" s="66">
        <v>-7842.9629629629626</v>
      </c>
      <c r="K98" s="65">
        <v>0.12631578947368421</v>
      </c>
      <c r="L98" s="65">
        <v>8.4210526315789472E-2</v>
      </c>
      <c r="M98" s="65">
        <v>0.28660826032540676</v>
      </c>
      <c r="N98" s="65">
        <v>0.19274092615769711</v>
      </c>
      <c r="O98" s="65">
        <v>0.611353711790393</v>
      </c>
      <c r="P98" s="65">
        <v>0.27272727272727271</v>
      </c>
      <c r="Q98" s="65">
        <v>0.41964285714285715</v>
      </c>
    </row>
    <row r="99" spans="1:17" x14ac:dyDescent="0.4">
      <c r="A99" s="67">
        <v>96</v>
      </c>
      <c r="B99" s="64">
        <v>-293.90000000000003</v>
      </c>
      <c r="C99" s="64">
        <v>-3.0614583333333338</v>
      </c>
      <c r="D99" s="69">
        <v>2.0833333333333335</v>
      </c>
      <c r="E99" s="65">
        <v>0.26041666666666669</v>
      </c>
      <c r="F99" s="65">
        <v>0.34375</v>
      </c>
      <c r="G99" s="65">
        <v>0.27901234567901234</v>
      </c>
      <c r="H99" s="65">
        <v>0.1728395061728395</v>
      </c>
      <c r="I99" s="66">
        <v>9164.1592920353978</v>
      </c>
      <c r="J99" s="66">
        <v>-7732.8571428571431</v>
      </c>
      <c r="K99" s="65">
        <v>0.125</v>
      </c>
      <c r="L99" s="65">
        <v>8.3333333333333329E-2</v>
      </c>
      <c r="M99" s="65">
        <v>0.29012345679012347</v>
      </c>
      <c r="N99" s="65">
        <v>0.19012345679012346</v>
      </c>
      <c r="O99" s="65">
        <v>0.60425531914893615</v>
      </c>
      <c r="P99" s="65">
        <v>0.27272727272727271</v>
      </c>
      <c r="Q99" s="65">
        <v>0.4247787610619469</v>
      </c>
    </row>
    <row r="100" spans="1:17" x14ac:dyDescent="0.4">
      <c r="A100" s="67">
        <v>97</v>
      </c>
      <c r="B100" s="64">
        <v>-323.70000000000005</v>
      </c>
      <c r="C100" s="64">
        <v>-3.3371134020618562</v>
      </c>
      <c r="D100" s="69">
        <v>2.0927835051546393</v>
      </c>
      <c r="E100" s="65">
        <v>0.25773195876288657</v>
      </c>
      <c r="F100" s="65">
        <v>0.35051546391752575</v>
      </c>
      <c r="G100" s="65">
        <v>0.2783882783882784</v>
      </c>
      <c r="H100" s="65">
        <v>0.17460317460317459</v>
      </c>
      <c r="I100" s="66">
        <v>9118.4210526315783</v>
      </c>
      <c r="J100" s="66">
        <v>-7655.9440559440563</v>
      </c>
      <c r="K100" s="65">
        <v>0.12371134020618557</v>
      </c>
      <c r="L100" s="65">
        <v>8.247422680412371E-2</v>
      </c>
      <c r="M100" s="65">
        <v>0.2893772893772894</v>
      </c>
      <c r="N100" s="65">
        <v>0.19047619047619047</v>
      </c>
      <c r="O100" s="65">
        <v>0.6033755274261603</v>
      </c>
      <c r="P100" s="65">
        <v>0.27564102564102566</v>
      </c>
      <c r="Q100" s="65">
        <v>0.42543859649122806</v>
      </c>
    </row>
    <row r="101" spans="1:17" x14ac:dyDescent="0.4">
      <c r="A101" s="67">
        <v>98</v>
      </c>
      <c r="B101" s="64">
        <v>-382.90000000000003</v>
      </c>
      <c r="C101" s="64">
        <v>-3.9071428571428575</v>
      </c>
      <c r="D101" s="69">
        <v>2.1020408163265305</v>
      </c>
      <c r="E101" s="65">
        <v>0.25510204081632654</v>
      </c>
      <c r="F101" s="65">
        <v>0.35714285714285715</v>
      </c>
      <c r="G101" s="65">
        <v>0.27636363636363637</v>
      </c>
      <c r="H101" s="65">
        <v>0.17454545454545456</v>
      </c>
      <c r="I101" s="66">
        <v>9118.4210526315783</v>
      </c>
      <c r="J101" s="66">
        <v>-7686.1111111111113</v>
      </c>
      <c r="K101" s="65">
        <v>0.1326530612244898</v>
      </c>
      <c r="L101" s="65">
        <v>8.1632653061224483E-2</v>
      </c>
      <c r="M101" s="65">
        <v>0.29090909090909089</v>
      </c>
      <c r="N101" s="65">
        <v>0.18909090909090909</v>
      </c>
      <c r="O101" s="65">
        <v>0.59583333333333333</v>
      </c>
      <c r="P101" s="65">
        <v>0.27564102564102566</v>
      </c>
      <c r="Q101" s="65">
        <v>0.42543859649122806</v>
      </c>
    </row>
    <row r="102" spans="1:17" x14ac:dyDescent="0.4">
      <c r="A102" s="67">
        <v>99</v>
      </c>
      <c r="B102" s="64">
        <v>-347.50000000000006</v>
      </c>
      <c r="C102" s="64">
        <v>-3.5101010101010108</v>
      </c>
      <c r="D102" s="69">
        <v>2.0909090909090908</v>
      </c>
      <c r="E102" s="65">
        <v>0.26262626262626265</v>
      </c>
      <c r="F102" s="65">
        <v>0.35353535353535354</v>
      </c>
      <c r="G102" s="65">
        <v>0.27697841726618705</v>
      </c>
      <c r="H102" s="65">
        <v>0.17386091127098321</v>
      </c>
      <c r="I102" s="66">
        <v>9155.8441558441555</v>
      </c>
      <c r="J102" s="66">
        <v>-7666.2068965517237</v>
      </c>
      <c r="K102" s="65">
        <v>0.13131313131313133</v>
      </c>
      <c r="L102" s="65">
        <v>8.0808080808080815E-2</v>
      </c>
      <c r="M102" s="65">
        <v>0.29136690647482016</v>
      </c>
      <c r="N102" s="65">
        <v>0.18705035971223022</v>
      </c>
      <c r="O102" s="65">
        <v>0.60082304526748975</v>
      </c>
      <c r="P102" s="65">
        <v>0.27564102564102566</v>
      </c>
      <c r="Q102" s="65">
        <v>0.42857142857142855</v>
      </c>
    </row>
    <row r="103" spans="1:17" x14ac:dyDescent="0.4">
      <c r="A103" s="67">
        <v>100</v>
      </c>
      <c r="B103" s="64">
        <v>-405.00000000000006</v>
      </c>
      <c r="C103" s="64">
        <v>-4.0500000000000007</v>
      </c>
      <c r="D103" s="69">
        <v>2.1</v>
      </c>
      <c r="E103" s="65">
        <v>0.26</v>
      </c>
      <c r="F103" s="65">
        <v>0.36</v>
      </c>
      <c r="G103" s="65">
        <v>0.27500000000000002</v>
      </c>
      <c r="H103" s="65">
        <v>0.1738095238095238</v>
      </c>
      <c r="I103" s="66">
        <v>9155.8441558441555</v>
      </c>
      <c r="J103" s="66">
        <v>-7736.9863013698632</v>
      </c>
      <c r="K103" s="65">
        <v>0.14000000000000001</v>
      </c>
      <c r="L103" s="65">
        <v>0.08</v>
      </c>
      <c r="M103" s="65">
        <v>0.29166666666666669</v>
      </c>
      <c r="N103" s="65">
        <v>0.18571428571428572</v>
      </c>
      <c r="O103" s="65">
        <v>0.59591836734693882</v>
      </c>
      <c r="P103" s="65">
        <v>0.27564102564102566</v>
      </c>
      <c r="Q103" s="65">
        <v>0.42857142857142855</v>
      </c>
    </row>
    <row r="104" spans="1:17" x14ac:dyDescent="0.4">
      <c r="A104" s="67">
        <v>101</v>
      </c>
      <c r="B104" s="64">
        <v>-377.80000000000007</v>
      </c>
      <c r="C104" s="64">
        <v>-3.7405940594059413</v>
      </c>
      <c r="D104" s="69">
        <v>2.0891089108910892</v>
      </c>
      <c r="E104" s="65">
        <v>0.26732673267326734</v>
      </c>
      <c r="F104" s="65">
        <v>0.35643564356435642</v>
      </c>
      <c r="G104" s="65">
        <v>0.27423167848699764</v>
      </c>
      <c r="H104" s="65">
        <v>0.17375886524822695</v>
      </c>
      <c r="I104" s="66">
        <v>9168.1034482758623</v>
      </c>
      <c r="J104" s="66">
        <v>-7697.9591836734689</v>
      </c>
      <c r="K104" s="65">
        <v>0.13861386138613863</v>
      </c>
      <c r="L104" s="65">
        <v>7.9207920792079209E-2</v>
      </c>
      <c r="M104" s="65">
        <v>0.29078014184397161</v>
      </c>
      <c r="N104" s="65">
        <v>0.18439716312056736</v>
      </c>
      <c r="O104" s="65">
        <v>0.59756097560975607</v>
      </c>
      <c r="P104" s="65">
        <v>0.27564102564102566</v>
      </c>
      <c r="Q104" s="65">
        <v>0.43103448275862066</v>
      </c>
    </row>
    <row r="105" spans="1:17" x14ac:dyDescent="0.4">
      <c r="A105" s="67">
        <v>102</v>
      </c>
      <c r="B105" s="64">
        <v>-414.00000000000006</v>
      </c>
      <c r="C105" s="64">
        <v>-4.0588235294117654</v>
      </c>
      <c r="D105" s="69">
        <v>2.0980392156862746</v>
      </c>
      <c r="E105" s="65">
        <v>0.26470588235294118</v>
      </c>
      <c r="F105" s="65">
        <v>0.36274509803921567</v>
      </c>
      <c r="G105" s="65">
        <v>0.27304550758459745</v>
      </c>
      <c r="H105" s="65">
        <v>0.1750291715285881</v>
      </c>
      <c r="I105" s="66">
        <v>9169.2307692307695</v>
      </c>
      <c r="J105" s="66">
        <v>-7688.666666666667</v>
      </c>
      <c r="K105" s="65">
        <v>0.13725490196078433</v>
      </c>
      <c r="L105" s="65">
        <v>7.8431372549019607E-2</v>
      </c>
      <c r="M105" s="65">
        <v>0.2893815635939323</v>
      </c>
      <c r="N105" s="65">
        <v>0.18319719953325556</v>
      </c>
      <c r="O105" s="65">
        <v>0.59677419354838712</v>
      </c>
      <c r="P105" s="65">
        <v>0.28025477707006369</v>
      </c>
      <c r="Q105" s="65">
        <v>0.43162393162393164</v>
      </c>
    </row>
    <row r="106" spans="1:17" x14ac:dyDescent="0.4">
      <c r="A106" s="67">
        <v>103</v>
      </c>
      <c r="B106" s="64">
        <v>-428.50000000000006</v>
      </c>
      <c r="C106" s="64">
        <v>-4.1601941747572821</v>
      </c>
      <c r="D106" s="69">
        <v>2.0970873786407767</v>
      </c>
      <c r="E106" s="65">
        <v>0.26213592233009708</v>
      </c>
      <c r="F106" s="65">
        <v>0.35922330097087379</v>
      </c>
      <c r="G106" s="65">
        <v>0.27177700348432055</v>
      </c>
      <c r="H106" s="65">
        <v>0.17421602787456447</v>
      </c>
      <c r="I106" s="66">
        <v>9169.2307692307695</v>
      </c>
      <c r="J106" s="66">
        <v>-7688.666666666667</v>
      </c>
      <c r="K106" s="65">
        <v>0.13592233009708737</v>
      </c>
      <c r="L106" s="65">
        <v>7.7669902912621352E-2</v>
      </c>
      <c r="M106" s="65">
        <v>0.28919860627177701</v>
      </c>
      <c r="N106" s="65">
        <v>0.18234610917537747</v>
      </c>
      <c r="O106" s="65">
        <v>0.59437751004016059</v>
      </c>
      <c r="P106" s="65">
        <v>0.28025477707006369</v>
      </c>
      <c r="Q106" s="65">
        <v>0.43162393162393164</v>
      </c>
    </row>
    <row r="107" spans="1:17" x14ac:dyDescent="0.4">
      <c r="A107" s="67">
        <v>104</v>
      </c>
      <c r="B107" s="64">
        <v>-438.90000000000003</v>
      </c>
      <c r="C107" s="64">
        <v>-4.220192307692308</v>
      </c>
      <c r="D107" s="69">
        <v>2.0961538461538463</v>
      </c>
      <c r="E107" s="65">
        <v>0.25961538461538464</v>
      </c>
      <c r="F107" s="65">
        <v>0.35576923076923078</v>
      </c>
      <c r="G107" s="65">
        <v>0.27095292766934559</v>
      </c>
      <c r="H107" s="65">
        <v>0.17451205510907003</v>
      </c>
      <c r="I107" s="66">
        <v>9158.0508474576272</v>
      </c>
      <c r="J107" s="66">
        <v>-7663.8157894736842</v>
      </c>
      <c r="K107" s="65">
        <v>0.13461538461538461</v>
      </c>
      <c r="L107" s="65">
        <v>7.6923076923076927E-2</v>
      </c>
      <c r="M107" s="65">
        <v>0.29161882893226176</v>
      </c>
      <c r="N107" s="65">
        <v>0.18025258323765786</v>
      </c>
      <c r="O107" s="65">
        <v>0.59055118110236215</v>
      </c>
      <c r="P107" s="65">
        <v>0.28025477707006369</v>
      </c>
      <c r="Q107" s="65">
        <v>0.42796610169491528</v>
      </c>
    </row>
    <row r="108" spans="1:17" x14ac:dyDescent="0.4">
      <c r="A108" s="67">
        <v>105</v>
      </c>
      <c r="B108" s="64">
        <v>-363.70000000000005</v>
      </c>
      <c r="C108" s="64">
        <v>-3.4638095238095241</v>
      </c>
      <c r="D108" s="69">
        <v>2.0857142857142859</v>
      </c>
      <c r="E108" s="65">
        <v>0.26666666666666666</v>
      </c>
      <c r="F108" s="65">
        <v>0.35238095238095241</v>
      </c>
      <c r="G108" s="65">
        <v>0.27386363636363636</v>
      </c>
      <c r="H108" s="65">
        <v>0.17272727272727273</v>
      </c>
      <c r="I108" s="66">
        <v>9197.0954356846469</v>
      </c>
      <c r="J108" s="66">
        <v>-7663.8157894736842</v>
      </c>
      <c r="K108" s="65">
        <v>0.13333333333333333</v>
      </c>
      <c r="L108" s="65">
        <v>8.5714285714285715E-2</v>
      </c>
      <c r="M108" s="65">
        <v>0.29659090909090907</v>
      </c>
      <c r="N108" s="65">
        <v>0.17840909090909091</v>
      </c>
      <c r="O108" s="65">
        <v>0.5938697318007663</v>
      </c>
      <c r="P108" s="65">
        <v>0.28025477707006369</v>
      </c>
      <c r="Q108" s="65">
        <v>0.42738589211618255</v>
      </c>
    </row>
    <row r="109" spans="1:17" x14ac:dyDescent="0.4">
      <c r="A109" s="67">
        <v>106</v>
      </c>
      <c r="B109" s="64">
        <v>-394.30000000000007</v>
      </c>
      <c r="C109" s="64">
        <v>-3.7198113207547174</v>
      </c>
      <c r="D109" s="69">
        <v>2.0943396226415096</v>
      </c>
      <c r="E109" s="65">
        <v>0.26415094339622641</v>
      </c>
      <c r="F109" s="65">
        <v>0.35849056603773582</v>
      </c>
      <c r="G109" s="65">
        <v>0.27221597300337458</v>
      </c>
      <c r="H109" s="65">
        <v>0.17210348706411699</v>
      </c>
      <c r="I109" s="66">
        <v>9208.6776859504134</v>
      </c>
      <c r="J109" s="66">
        <v>-7664.0522875816996</v>
      </c>
      <c r="K109" s="65">
        <v>0.13207547169811321</v>
      </c>
      <c r="L109" s="65">
        <v>8.4905660377358486E-2</v>
      </c>
      <c r="M109" s="65">
        <v>0.29471316085489313</v>
      </c>
      <c r="N109" s="65">
        <v>0.18110236220472442</v>
      </c>
      <c r="O109" s="65">
        <v>0.59160305343511455</v>
      </c>
      <c r="P109" s="65">
        <v>0.27950310559006208</v>
      </c>
      <c r="Q109" s="65">
        <v>0.42561983471074383</v>
      </c>
    </row>
    <row r="110" spans="1:17" x14ac:dyDescent="0.4">
      <c r="A110" s="67">
        <v>107</v>
      </c>
      <c r="B110" s="64">
        <v>-349.50000000000006</v>
      </c>
      <c r="C110" s="64">
        <v>-3.2663551401869166</v>
      </c>
      <c r="D110" s="69">
        <v>2.0841121495327104</v>
      </c>
      <c r="E110" s="65">
        <v>0.27102803738317754</v>
      </c>
      <c r="F110" s="65">
        <v>0.35514018691588783</v>
      </c>
      <c r="G110" s="65">
        <v>0.27282850779510021</v>
      </c>
      <c r="H110" s="65">
        <v>0.17260579064587972</v>
      </c>
      <c r="I110" s="66">
        <v>9241.6326530612241</v>
      </c>
      <c r="J110" s="66">
        <v>-7641.9354838709678</v>
      </c>
      <c r="K110" s="65">
        <v>0.13084112149532709</v>
      </c>
      <c r="L110" s="65">
        <v>8.4112149532710276E-2</v>
      </c>
      <c r="M110" s="65">
        <v>0.29398663697104677</v>
      </c>
      <c r="N110" s="65">
        <v>0.18262806236080179</v>
      </c>
      <c r="O110" s="65">
        <v>0.59090909090909094</v>
      </c>
      <c r="P110" s="65">
        <v>0.28658536585365851</v>
      </c>
      <c r="Q110" s="65">
        <v>0.42448979591836733</v>
      </c>
    </row>
    <row r="111" spans="1:17" x14ac:dyDescent="0.4">
      <c r="A111" s="67">
        <v>108</v>
      </c>
      <c r="B111" s="64">
        <v>-287.00000000000006</v>
      </c>
      <c r="C111" s="64">
        <v>-2.6574074074074079</v>
      </c>
      <c r="D111" s="69">
        <v>2.074074074074074</v>
      </c>
      <c r="E111" s="65">
        <v>0.27777777777777779</v>
      </c>
      <c r="F111" s="65">
        <v>0.35185185185185186</v>
      </c>
      <c r="G111" s="65">
        <v>0.27464008859357697</v>
      </c>
      <c r="H111" s="65">
        <v>0.1716500553709856</v>
      </c>
      <c r="I111" s="66">
        <v>9291.1290322580644</v>
      </c>
      <c r="J111" s="66">
        <v>-7641.9354838709678</v>
      </c>
      <c r="K111" s="65">
        <v>0.12962962962962962</v>
      </c>
      <c r="L111" s="65">
        <v>9.2592592592592587E-2</v>
      </c>
      <c r="M111" s="65">
        <v>0.29457364341085274</v>
      </c>
      <c r="N111" s="65">
        <v>0.18272425249169436</v>
      </c>
      <c r="O111" s="65">
        <v>0.59398496240601506</v>
      </c>
      <c r="P111" s="65">
        <v>0.29090909090909089</v>
      </c>
      <c r="Q111" s="65">
        <v>0.42741935483870969</v>
      </c>
    </row>
    <row r="112" spans="1:17" x14ac:dyDescent="0.4">
      <c r="A112" s="67">
        <v>109</v>
      </c>
      <c r="B112" s="64">
        <v>-324.70000000000005</v>
      </c>
      <c r="C112" s="64">
        <v>-2.978899082568808</v>
      </c>
      <c r="D112" s="69">
        <v>2.0825688073394497</v>
      </c>
      <c r="E112" s="65">
        <v>0.27522935779816515</v>
      </c>
      <c r="F112" s="65">
        <v>0.3577981651376147</v>
      </c>
      <c r="G112" s="65">
        <v>0.27491785323110624</v>
      </c>
      <c r="H112" s="65">
        <v>0.17305585980284777</v>
      </c>
      <c r="I112" s="66">
        <v>9252.1912350597613</v>
      </c>
      <c r="J112" s="66">
        <v>-7618.9873417721519</v>
      </c>
      <c r="K112" s="65">
        <v>0.12844036697247707</v>
      </c>
      <c r="L112" s="65">
        <v>9.1743119266055051E-2</v>
      </c>
      <c r="M112" s="65">
        <v>0.29463307776560788</v>
      </c>
      <c r="N112" s="65">
        <v>0.18400876232201532</v>
      </c>
      <c r="O112" s="65">
        <v>0.59107806691449816</v>
      </c>
      <c r="P112" s="65">
        <v>0.29761904761904762</v>
      </c>
      <c r="Q112" s="65">
        <v>0.42231075697211157</v>
      </c>
    </row>
    <row r="113" spans="1:17" x14ac:dyDescent="0.4">
      <c r="A113" s="67">
        <v>110</v>
      </c>
      <c r="B113" s="64">
        <v>-304.20000000000005</v>
      </c>
      <c r="C113" s="64">
        <v>-2.7654545454545461</v>
      </c>
      <c r="D113" s="69">
        <v>2.081818181818182</v>
      </c>
      <c r="E113" s="65">
        <v>0.27272727272727271</v>
      </c>
      <c r="F113" s="65">
        <v>0.35454545454545455</v>
      </c>
      <c r="G113" s="65">
        <v>0.27529923830250275</v>
      </c>
      <c r="H113" s="65">
        <v>0.17192600652883569</v>
      </c>
      <c r="I113" s="66">
        <v>9258.1027667984181</v>
      </c>
      <c r="J113" s="66">
        <v>-7618.9873417721519</v>
      </c>
      <c r="K113" s="65">
        <v>0.12727272727272726</v>
      </c>
      <c r="L113" s="65">
        <v>9.0909090909090912E-2</v>
      </c>
      <c r="M113" s="65">
        <v>0.29488574537540807</v>
      </c>
      <c r="N113" s="65">
        <v>0.18280739934711643</v>
      </c>
      <c r="O113" s="65">
        <v>0.59409594095940954</v>
      </c>
      <c r="P113" s="65">
        <v>0.29761904761904762</v>
      </c>
      <c r="Q113" s="65">
        <v>0.42292490118577075</v>
      </c>
    </row>
    <row r="114" spans="1:17" x14ac:dyDescent="0.4">
      <c r="A114" s="67">
        <v>111</v>
      </c>
      <c r="B114" s="64">
        <v>-296.80000000000007</v>
      </c>
      <c r="C114" s="64">
        <v>-2.6738738738738745</v>
      </c>
      <c r="D114" s="69">
        <v>2.0810810810810811</v>
      </c>
      <c r="E114" s="65">
        <v>0.27027027027027029</v>
      </c>
      <c r="F114" s="65">
        <v>0.35135135135135137</v>
      </c>
      <c r="G114" s="65">
        <v>0.27548806941431669</v>
      </c>
      <c r="H114" s="65">
        <v>0.17136659436008678</v>
      </c>
      <c r="I114" s="66">
        <v>9246.8503937007881</v>
      </c>
      <c r="J114" s="66">
        <v>-7618.9873417721519</v>
      </c>
      <c r="K114" s="65">
        <v>0.12612612612612611</v>
      </c>
      <c r="L114" s="65">
        <v>9.0090090090090086E-2</v>
      </c>
      <c r="M114" s="65">
        <v>0.29609544468546639</v>
      </c>
      <c r="N114" s="65">
        <v>0.1822125813449024</v>
      </c>
      <c r="O114" s="65">
        <v>0.59340659340659341</v>
      </c>
      <c r="P114" s="65">
        <v>0.29761904761904762</v>
      </c>
      <c r="Q114" s="65">
        <v>0.42125984251968501</v>
      </c>
    </row>
    <row r="115" spans="1:17" x14ac:dyDescent="0.4">
      <c r="A115" s="67">
        <v>112</v>
      </c>
      <c r="B115" s="64">
        <v>-307.60000000000008</v>
      </c>
      <c r="C115" s="64">
        <v>-2.7464285714285723</v>
      </c>
      <c r="D115" s="69">
        <v>2.0803571428571428</v>
      </c>
      <c r="E115" s="65">
        <v>0.26785714285714285</v>
      </c>
      <c r="F115" s="65">
        <v>0.3482142857142857</v>
      </c>
      <c r="G115" s="65">
        <v>0.27400215749730311</v>
      </c>
      <c r="H115" s="65">
        <v>0.17152103559870549</v>
      </c>
      <c r="I115" s="66">
        <v>9246.8503937007881</v>
      </c>
      <c r="J115" s="66">
        <v>-7586.1635220125791</v>
      </c>
      <c r="K115" s="65">
        <v>0.125</v>
      </c>
      <c r="L115" s="65">
        <v>8.9285714285714288E-2</v>
      </c>
      <c r="M115" s="65">
        <v>0.29557713052858686</v>
      </c>
      <c r="N115" s="65">
        <v>0.18122977346278318</v>
      </c>
      <c r="O115" s="65">
        <v>0.59124087591240881</v>
      </c>
      <c r="P115" s="65">
        <v>0.29761904761904762</v>
      </c>
      <c r="Q115" s="65">
        <v>0.42125984251968501</v>
      </c>
    </row>
    <row r="116" spans="1:17" x14ac:dyDescent="0.4">
      <c r="A116" s="67">
        <v>113</v>
      </c>
      <c r="B116" s="64">
        <v>-323.7000000000001</v>
      </c>
      <c r="C116" s="64">
        <v>-2.8646017699115052</v>
      </c>
      <c r="D116" s="69">
        <v>2.0796460176991149</v>
      </c>
      <c r="E116" s="65">
        <v>0.26548672566371684</v>
      </c>
      <c r="F116" s="65">
        <v>0.34513274336283184</v>
      </c>
      <c r="G116" s="65">
        <v>0.27136752136752135</v>
      </c>
      <c r="H116" s="65">
        <v>0.17094017094017094</v>
      </c>
      <c r="I116" s="66">
        <v>9246.8503937007881</v>
      </c>
      <c r="J116" s="66">
        <v>-7563.125</v>
      </c>
      <c r="K116" s="65">
        <v>0.12389380530973451</v>
      </c>
      <c r="L116" s="65">
        <v>8.8495575221238937E-2</v>
      </c>
      <c r="M116" s="65">
        <v>0.29594017094017094</v>
      </c>
      <c r="N116" s="65">
        <v>0.18162393162393162</v>
      </c>
      <c r="O116" s="65">
        <v>0.58483754512635377</v>
      </c>
      <c r="P116" s="65">
        <v>0.29411764705882354</v>
      </c>
      <c r="Q116" s="65">
        <v>0.42125984251968501</v>
      </c>
    </row>
    <row r="117" spans="1:17" x14ac:dyDescent="0.4">
      <c r="A117" s="67">
        <v>114</v>
      </c>
      <c r="B117" s="64">
        <v>-248.90000000000009</v>
      </c>
      <c r="C117" s="64">
        <v>-2.183333333333334</v>
      </c>
      <c r="D117" s="69">
        <v>2.0701754385964914</v>
      </c>
      <c r="E117" s="65">
        <v>0.27192982456140352</v>
      </c>
      <c r="F117" s="65">
        <v>0.34210526315789475</v>
      </c>
      <c r="G117" s="65">
        <v>0.27417640807651433</v>
      </c>
      <c r="H117" s="65">
        <v>0.17003188097768332</v>
      </c>
      <c r="I117" s="66">
        <v>9304.2635658914733</v>
      </c>
      <c r="J117" s="66">
        <v>-7563.125</v>
      </c>
      <c r="K117" s="65">
        <v>0.12280701754385964</v>
      </c>
      <c r="L117" s="65">
        <v>9.6491228070175433E-2</v>
      </c>
      <c r="M117" s="65">
        <v>0.29755579171094582</v>
      </c>
      <c r="N117" s="65">
        <v>0.18172157279489903</v>
      </c>
      <c r="O117" s="65">
        <v>0.5892857142857143</v>
      </c>
      <c r="P117" s="65">
        <v>0.2982456140350877</v>
      </c>
      <c r="Q117" s="65">
        <v>0.4263565891472868</v>
      </c>
    </row>
    <row r="118" spans="1:17" x14ac:dyDescent="0.4">
      <c r="A118" s="67">
        <v>115</v>
      </c>
      <c r="B118" s="64">
        <v>-327.60000000000008</v>
      </c>
      <c r="C118" s="64">
        <v>-2.8486956521739137</v>
      </c>
      <c r="D118" s="69">
        <v>2.0782608695652174</v>
      </c>
      <c r="E118" s="65">
        <v>0.26956521739130435</v>
      </c>
      <c r="F118" s="65">
        <v>0.34782608695652173</v>
      </c>
      <c r="G118" s="65">
        <v>0.27243928194297784</v>
      </c>
      <c r="H118" s="65">
        <v>0.17212249208025343</v>
      </c>
      <c r="I118" s="66">
        <v>9304.2635658914733</v>
      </c>
      <c r="J118" s="66">
        <v>-7741.1042944785277</v>
      </c>
      <c r="K118" s="65">
        <v>0.13043478260869565</v>
      </c>
      <c r="L118" s="65">
        <v>9.5652173913043481E-2</v>
      </c>
      <c r="M118" s="65">
        <v>0.29778247096092925</v>
      </c>
      <c r="N118" s="65">
        <v>0.18057022175290391</v>
      </c>
      <c r="O118" s="65">
        <v>0.58510638297872342</v>
      </c>
      <c r="P118" s="65">
        <v>0.2982456140350877</v>
      </c>
      <c r="Q118" s="65">
        <v>0.4263565891472868</v>
      </c>
    </row>
    <row r="119" spans="1:17" x14ac:dyDescent="0.4">
      <c r="A119" s="67">
        <v>116</v>
      </c>
      <c r="B119" s="64">
        <v>-316.00000000000006</v>
      </c>
      <c r="C119" s="64">
        <v>-2.7241379310344831</v>
      </c>
      <c r="D119" s="69">
        <v>2.0775862068965516</v>
      </c>
      <c r="E119" s="65">
        <v>0.26724137931034481</v>
      </c>
      <c r="F119" s="65">
        <v>0.34482758620689657</v>
      </c>
      <c r="G119" s="65">
        <v>0.27272727272727271</v>
      </c>
      <c r="H119" s="65">
        <v>0.17136886102403343</v>
      </c>
      <c r="I119" s="66">
        <v>9297.318007662836</v>
      </c>
      <c r="J119" s="66">
        <v>-7742.6829268292686</v>
      </c>
      <c r="K119" s="65">
        <v>0.12931034482758622</v>
      </c>
      <c r="L119" s="65">
        <v>9.4827586206896547E-2</v>
      </c>
      <c r="M119" s="65">
        <v>0.2988505747126437</v>
      </c>
      <c r="N119" s="65">
        <v>0.18077324973876699</v>
      </c>
      <c r="O119" s="65">
        <v>0.58391608391608396</v>
      </c>
      <c r="P119" s="65">
        <v>0.30057803468208094</v>
      </c>
      <c r="Q119" s="65">
        <v>0.42145593869731801</v>
      </c>
    </row>
    <row r="120" spans="1:17" x14ac:dyDescent="0.4">
      <c r="A120" s="67">
        <v>117</v>
      </c>
      <c r="B120" s="64">
        <v>-313.40000000000003</v>
      </c>
      <c r="C120" s="64">
        <v>-2.6786324786324789</v>
      </c>
      <c r="D120" s="69">
        <v>2.0769230769230771</v>
      </c>
      <c r="E120" s="65">
        <v>0.26495726495726496</v>
      </c>
      <c r="F120" s="65">
        <v>0.34188034188034189</v>
      </c>
      <c r="G120" s="65">
        <v>0.27253886010362693</v>
      </c>
      <c r="H120" s="65">
        <v>0.16994818652849741</v>
      </c>
      <c r="I120" s="66">
        <v>9302.6615969581744</v>
      </c>
      <c r="J120" s="66">
        <v>-7742.6829268292686</v>
      </c>
      <c r="K120" s="65">
        <v>0.12820512820512819</v>
      </c>
      <c r="L120" s="65">
        <v>9.4017094017094016E-2</v>
      </c>
      <c r="M120" s="65">
        <v>0.30051813471502592</v>
      </c>
      <c r="N120" s="65">
        <v>0.18031088082901556</v>
      </c>
      <c r="O120" s="65">
        <v>0.58275862068965523</v>
      </c>
      <c r="P120" s="65">
        <v>0.2988505747126437</v>
      </c>
      <c r="Q120" s="65">
        <v>0.4220532319391635</v>
      </c>
    </row>
    <row r="121" spans="1:17" x14ac:dyDescent="0.4">
      <c r="A121" s="67">
        <v>118</v>
      </c>
      <c r="B121" s="64">
        <v>-324.50000000000006</v>
      </c>
      <c r="C121" s="64">
        <v>-2.7500000000000004</v>
      </c>
      <c r="D121" s="69">
        <v>2.0762711864406778</v>
      </c>
      <c r="E121" s="65">
        <v>0.26271186440677968</v>
      </c>
      <c r="F121" s="65">
        <v>0.33898305084745761</v>
      </c>
      <c r="G121" s="65">
        <v>0.27132579650565264</v>
      </c>
      <c r="H121" s="65">
        <v>0.16957862281603289</v>
      </c>
      <c r="I121" s="66">
        <v>9312.878787878788</v>
      </c>
      <c r="J121" s="66">
        <v>-7744.242424242424</v>
      </c>
      <c r="K121" s="65">
        <v>0.1271186440677966</v>
      </c>
      <c r="L121" s="65">
        <v>9.3220338983050849E-2</v>
      </c>
      <c r="M121" s="65">
        <v>0.30010277492291881</v>
      </c>
      <c r="N121" s="65">
        <v>0.17985611510791366</v>
      </c>
      <c r="O121" s="65">
        <v>0.57876712328767121</v>
      </c>
      <c r="P121" s="65">
        <v>0.29714285714285715</v>
      </c>
      <c r="Q121" s="65">
        <v>0.42045454545454547</v>
      </c>
    </row>
    <row r="122" spans="1:17" x14ac:dyDescent="0.4">
      <c r="A122" s="67">
        <v>119</v>
      </c>
      <c r="B122" s="64">
        <v>-346.70000000000005</v>
      </c>
      <c r="C122" s="64">
        <v>-2.9134453781512608</v>
      </c>
      <c r="D122" s="69">
        <v>2.0840336134453783</v>
      </c>
      <c r="E122" s="65">
        <v>0.26050420168067229</v>
      </c>
      <c r="F122" s="65">
        <v>0.34453781512605042</v>
      </c>
      <c r="G122" s="65">
        <v>0.27235772357723576</v>
      </c>
      <c r="H122" s="65">
        <v>0.16971544715447154</v>
      </c>
      <c r="I122" s="66">
        <v>9262.686567164179</v>
      </c>
      <c r="J122" s="66">
        <v>-7754.4910179640719</v>
      </c>
      <c r="K122" s="65">
        <v>0.12605042016806722</v>
      </c>
      <c r="L122" s="65">
        <v>9.2436974789915971E-2</v>
      </c>
      <c r="M122" s="65">
        <v>0.30081300813008133</v>
      </c>
      <c r="N122" s="65">
        <v>0.18292682926829268</v>
      </c>
      <c r="O122" s="65">
        <v>0.58108108108108103</v>
      </c>
      <c r="P122" s="65">
        <v>0.28888888888888886</v>
      </c>
      <c r="Q122" s="65">
        <v>0.42164179104477612</v>
      </c>
    </row>
    <row r="123" spans="1:17" x14ac:dyDescent="0.4">
      <c r="A123" s="67">
        <v>120</v>
      </c>
      <c r="B123" s="64">
        <v>-371.00000000000006</v>
      </c>
      <c r="C123" s="64">
        <v>-3.0916666666666672</v>
      </c>
      <c r="D123" s="69">
        <v>2.0916666666666668</v>
      </c>
      <c r="E123" s="65">
        <v>0.25833333333333336</v>
      </c>
      <c r="F123" s="65">
        <v>0.35</v>
      </c>
      <c r="G123" s="65">
        <v>0.27116935483870969</v>
      </c>
      <c r="H123" s="65">
        <v>0.16935483870967741</v>
      </c>
      <c r="I123" s="66">
        <v>9272.8624535315994</v>
      </c>
      <c r="J123" s="66">
        <v>-7739.2857142857147</v>
      </c>
      <c r="K123" s="65">
        <v>0.125</v>
      </c>
      <c r="L123" s="65">
        <v>9.166666666666666E-2</v>
      </c>
      <c r="M123" s="65">
        <v>0.30141129032258063</v>
      </c>
      <c r="N123" s="65">
        <v>0.18245967741935484</v>
      </c>
      <c r="O123" s="65">
        <v>0.57859531772575246</v>
      </c>
      <c r="P123" s="65">
        <v>0.287292817679558</v>
      </c>
      <c r="Q123" s="65">
        <v>0.42379182156133827</v>
      </c>
    </row>
    <row r="124" spans="1:17" x14ac:dyDescent="0.4">
      <c r="A124" s="67">
        <v>121</v>
      </c>
      <c r="B124" s="64">
        <v>-422.10000000000008</v>
      </c>
      <c r="C124" s="64">
        <v>-3.4884297520661165</v>
      </c>
      <c r="D124" s="69">
        <v>2.0991735537190084</v>
      </c>
      <c r="E124" s="65">
        <v>0.256198347107438</v>
      </c>
      <c r="F124" s="65">
        <v>0.35537190082644626</v>
      </c>
      <c r="G124" s="65">
        <v>0.26965174129353237</v>
      </c>
      <c r="H124" s="65">
        <v>0.17014925373134329</v>
      </c>
      <c r="I124" s="66">
        <v>9253.1365313653132</v>
      </c>
      <c r="J124" s="66">
        <v>-7776.6081871345032</v>
      </c>
      <c r="K124" s="65">
        <v>0.12396694214876033</v>
      </c>
      <c r="L124" s="65">
        <v>9.0909090909090912E-2</v>
      </c>
      <c r="M124" s="65">
        <v>0.30149253731343284</v>
      </c>
      <c r="N124" s="65">
        <v>0.18009950248756218</v>
      </c>
      <c r="O124" s="65">
        <v>0.57755775577557755</v>
      </c>
      <c r="P124" s="65">
        <v>0.287292817679558</v>
      </c>
      <c r="Q124" s="65">
        <v>0.42435424354243545</v>
      </c>
    </row>
    <row r="125" spans="1:17" x14ac:dyDescent="0.4">
      <c r="A125" s="67">
        <v>122</v>
      </c>
      <c r="B125" s="64">
        <v>-478.00000000000006</v>
      </c>
      <c r="C125" s="64">
        <v>-3.9180327868852465</v>
      </c>
      <c r="D125" s="69">
        <v>2.1065573770491803</v>
      </c>
      <c r="E125" s="65">
        <v>0.25409836065573771</v>
      </c>
      <c r="F125" s="65">
        <v>0.36065573770491804</v>
      </c>
      <c r="G125" s="65">
        <v>0.26858275520317143</v>
      </c>
      <c r="H125" s="65">
        <v>0.17145688800792863</v>
      </c>
      <c r="I125" s="66">
        <v>9253.1365313653132</v>
      </c>
      <c r="J125" s="66">
        <v>-7825.4335260115604</v>
      </c>
      <c r="K125" s="65">
        <v>0.13114754098360656</v>
      </c>
      <c r="L125" s="65">
        <v>9.0163934426229511E-2</v>
      </c>
      <c r="M125" s="65">
        <v>0.30029732408325072</v>
      </c>
      <c r="N125" s="65">
        <v>0.17938553022794845</v>
      </c>
      <c r="O125" s="65">
        <v>0.57755775577557755</v>
      </c>
      <c r="P125" s="65">
        <v>0.287292817679558</v>
      </c>
      <c r="Q125" s="65">
        <v>0.42435424354243545</v>
      </c>
    </row>
    <row r="126" spans="1:17" x14ac:dyDescent="0.4">
      <c r="A126" s="67">
        <v>123</v>
      </c>
      <c r="B126" s="64">
        <v>-426.70000000000005</v>
      </c>
      <c r="C126" s="64">
        <v>-3.4691056910569111</v>
      </c>
      <c r="D126" s="69">
        <v>2.0975609756097562</v>
      </c>
      <c r="E126" s="65">
        <v>0.26016260162601629</v>
      </c>
      <c r="F126" s="65">
        <v>0.35772357723577236</v>
      </c>
      <c r="G126" s="65">
        <v>0.26987242394504418</v>
      </c>
      <c r="H126" s="65">
        <v>0.1717369970559372</v>
      </c>
      <c r="I126" s="66">
        <v>9285.454545454546</v>
      </c>
      <c r="J126" s="66">
        <v>-7819.4285714285716</v>
      </c>
      <c r="K126" s="65">
        <v>0.13008130081300814</v>
      </c>
      <c r="L126" s="65">
        <v>8.943089430894309E-2</v>
      </c>
      <c r="M126" s="65">
        <v>0.3012757605495584</v>
      </c>
      <c r="N126" s="65">
        <v>0.17958783120706576</v>
      </c>
      <c r="O126" s="65">
        <v>0.57654723127035834</v>
      </c>
      <c r="P126" s="65">
        <v>0.2896174863387978</v>
      </c>
      <c r="Q126" s="65">
        <v>0.42181818181818181</v>
      </c>
    </row>
    <row r="127" spans="1:17" x14ac:dyDescent="0.4">
      <c r="A127" s="67">
        <v>124</v>
      </c>
      <c r="B127" s="64">
        <v>-484.40000000000003</v>
      </c>
      <c r="C127" s="64">
        <v>-3.9064516129032261</v>
      </c>
      <c r="D127" s="69">
        <v>2.1048387096774195</v>
      </c>
      <c r="E127" s="65">
        <v>0.25806451612903225</v>
      </c>
      <c r="F127" s="65">
        <v>0.36290322580645162</v>
      </c>
      <c r="G127" s="65">
        <v>0.26777020447906524</v>
      </c>
      <c r="H127" s="65">
        <v>0.1733203505355404</v>
      </c>
      <c r="I127" s="66">
        <v>9285.454545454546</v>
      </c>
      <c r="J127" s="66">
        <v>-7806.7415730337079</v>
      </c>
      <c r="K127" s="65">
        <v>0.13709677419354838</v>
      </c>
      <c r="L127" s="65">
        <v>8.8709677419354843E-2</v>
      </c>
      <c r="M127" s="65">
        <v>0.29892891918208375</v>
      </c>
      <c r="N127" s="65">
        <v>0.17818889970788704</v>
      </c>
      <c r="O127" s="65">
        <v>0.57654723127035834</v>
      </c>
      <c r="P127" s="65">
        <v>0.2896174863387978</v>
      </c>
      <c r="Q127" s="65">
        <v>0.42181818181818181</v>
      </c>
    </row>
    <row r="128" spans="1:17" x14ac:dyDescent="0.4">
      <c r="A128" s="67">
        <v>125</v>
      </c>
      <c r="B128" s="64">
        <v>-449.70000000000005</v>
      </c>
      <c r="C128" s="64">
        <v>-3.5976000000000004</v>
      </c>
      <c r="D128" s="69">
        <v>2.0960000000000001</v>
      </c>
      <c r="E128" s="65">
        <v>0.26400000000000001</v>
      </c>
      <c r="F128" s="65">
        <v>0.36</v>
      </c>
      <c r="G128" s="65">
        <v>0.2688588007736944</v>
      </c>
      <c r="H128" s="65">
        <v>0.17214700193423599</v>
      </c>
      <c r="I128" s="66">
        <v>9251.7985611510794</v>
      </c>
      <c r="J128" s="66">
        <v>-7806.7415730337079</v>
      </c>
      <c r="K128" s="65">
        <v>0.13600000000000001</v>
      </c>
      <c r="L128" s="65">
        <v>8.7999999999999995E-2</v>
      </c>
      <c r="M128" s="65">
        <v>0.29980657640232106</v>
      </c>
      <c r="N128" s="65">
        <v>0.17794970986460348</v>
      </c>
      <c r="O128" s="65">
        <v>0.58064516129032262</v>
      </c>
      <c r="P128" s="65">
        <v>0.28804347826086957</v>
      </c>
      <c r="Q128" s="65">
        <v>0.42446043165467628</v>
      </c>
    </row>
    <row r="129" spans="1:17" x14ac:dyDescent="0.4">
      <c r="A129" s="67">
        <v>126</v>
      </c>
      <c r="B129" s="64">
        <v>-438.1</v>
      </c>
      <c r="C129" s="64">
        <v>-3.4769841269841271</v>
      </c>
      <c r="D129" s="69">
        <v>2.0952380952380953</v>
      </c>
      <c r="E129" s="65">
        <v>0.26190476190476192</v>
      </c>
      <c r="F129" s="65">
        <v>0.35714285714285715</v>
      </c>
      <c r="G129" s="65">
        <v>0.2687140115163148</v>
      </c>
      <c r="H129" s="65">
        <v>0.17082533589251439</v>
      </c>
      <c r="I129" s="66">
        <v>9241.7857142857138</v>
      </c>
      <c r="J129" s="66">
        <v>-7806.7415730337079</v>
      </c>
      <c r="K129" s="65">
        <v>0.13492063492063491</v>
      </c>
      <c r="L129" s="65">
        <v>8.7301587301587297E-2</v>
      </c>
      <c r="M129" s="65">
        <v>0.29942418426103645</v>
      </c>
      <c r="N129" s="65">
        <v>0.1765834932821497</v>
      </c>
      <c r="O129" s="65">
        <v>0.58333333333333337</v>
      </c>
      <c r="P129" s="65">
        <v>0.28804347826086957</v>
      </c>
      <c r="Q129" s="65">
        <v>0.42499999999999999</v>
      </c>
    </row>
    <row r="130" spans="1:17" x14ac:dyDescent="0.4">
      <c r="A130" s="67">
        <v>127</v>
      </c>
      <c r="B130" s="64">
        <v>-345.5</v>
      </c>
      <c r="C130" s="64">
        <v>-2.7204724409448819</v>
      </c>
      <c r="D130" s="69">
        <v>2.0866141732283463</v>
      </c>
      <c r="E130" s="65">
        <v>0.26771653543307089</v>
      </c>
      <c r="F130" s="65">
        <v>0.3543307086614173</v>
      </c>
      <c r="G130" s="65">
        <v>0.27186311787072243</v>
      </c>
      <c r="H130" s="65">
        <v>0.17015209125475286</v>
      </c>
      <c r="I130" s="66">
        <v>9320.279720279721</v>
      </c>
      <c r="J130" s="66">
        <v>-7768.7150837988829</v>
      </c>
      <c r="K130" s="65">
        <v>0.13385826771653545</v>
      </c>
      <c r="L130" s="65">
        <v>9.4488188976377951E-2</v>
      </c>
      <c r="M130" s="65">
        <v>0.30133079847908745</v>
      </c>
      <c r="N130" s="65">
        <v>0.17680608365019013</v>
      </c>
      <c r="O130" s="65">
        <v>0.58675078864353314</v>
      </c>
      <c r="P130" s="65">
        <v>0.29569892473118281</v>
      </c>
      <c r="Q130" s="65">
        <v>0.42307692307692307</v>
      </c>
    </row>
    <row r="131" spans="1:17" x14ac:dyDescent="0.4">
      <c r="A131" s="67">
        <v>128</v>
      </c>
      <c r="B131" s="64">
        <v>-355.2</v>
      </c>
      <c r="C131" s="64">
        <v>-2.7749999999999999</v>
      </c>
      <c r="D131" s="69">
        <v>2.0859375</v>
      </c>
      <c r="E131" s="65">
        <v>0.265625</v>
      </c>
      <c r="F131" s="65">
        <v>0.3515625</v>
      </c>
      <c r="G131" s="65">
        <v>0.27101038715769593</v>
      </c>
      <c r="H131" s="65">
        <v>0.16997167138810199</v>
      </c>
      <c r="I131" s="66">
        <v>9301.7421602787454</v>
      </c>
      <c r="J131" s="66">
        <v>-7768.333333333333</v>
      </c>
      <c r="K131" s="65">
        <v>0.1328125</v>
      </c>
      <c r="L131" s="65">
        <v>9.375E-2</v>
      </c>
      <c r="M131" s="65">
        <v>0.3002832861189802</v>
      </c>
      <c r="N131" s="65">
        <v>0.17658168083097261</v>
      </c>
      <c r="O131" s="65">
        <v>0.58805031446540879</v>
      </c>
      <c r="P131" s="65">
        <v>0.29411764705882354</v>
      </c>
      <c r="Q131" s="65">
        <v>0.42508710801393729</v>
      </c>
    </row>
    <row r="132" spans="1:17" x14ac:dyDescent="0.4">
      <c r="A132" s="67">
        <v>129</v>
      </c>
      <c r="B132" s="64">
        <v>-310.2</v>
      </c>
      <c r="C132" s="64">
        <v>-2.4046511627906977</v>
      </c>
      <c r="D132" s="69">
        <v>2.0775193798449614</v>
      </c>
      <c r="E132" s="65">
        <v>0.27131782945736432</v>
      </c>
      <c r="F132" s="65">
        <v>0.34883720930232559</v>
      </c>
      <c r="G132" s="65">
        <v>0.27272727272727271</v>
      </c>
      <c r="H132" s="65">
        <v>0.1696344892221181</v>
      </c>
      <c r="I132" s="66">
        <v>9275.94501718213</v>
      </c>
      <c r="J132" s="66">
        <v>-7754.1436464088401</v>
      </c>
      <c r="K132" s="65">
        <v>0.13178294573643412</v>
      </c>
      <c r="L132" s="65">
        <v>0.10077519379844961</v>
      </c>
      <c r="M132" s="65">
        <v>0.30178069353327086</v>
      </c>
      <c r="N132" s="65">
        <v>0.17619493908153702</v>
      </c>
      <c r="O132" s="65">
        <v>0.59316770186335399</v>
      </c>
      <c r="P132" s="65">
        <v>0.29255319148936171</v>
      </c>
      <c r="Q132" s="65">
        <v>0.42268041237113402</v>
      </c>
    </row>
    <row r="133" spans="1:17" x14ac:dyDescent="0.4">
      <c r="A133" s="67">
        <v>130</v>
      </c>
      <c r="B133" s="64">
        <v>-321</v>
      </c>
      <c r="C133" s="64">
        <v>-2.4692307692307693</v>
      </c>
      <c r="D133" s="69">
        <v>2.0769230769230771</v>
      </c>
      <c r="E133" s="65">
        <v>0.26923076923076922</v>
      </c>
      <c r="F133" s="65">
        <v>0.34615384615384615</v>
      </c>
      <c r="G133" s="65">
        <v>0.27298050139275765</v>
      </c>
      <c r="H133" s="65">
        <v>0.17270194986072424</v>
      </c>
      <c r="I133" s="66">
        <v>9268.7074829931971</v>
      </c>
      <c r="J133" s="66">
        <v>-7647.8494623655915</v>
      </c>
      <c r="K133" s="65">
        <v>0.13076923076923078</v>
      </c>
      <c r="L133" s="65">
        <v>0.1</v>
      </c>
      <c r="M133" s="65">
        <v>0.30083565459610029</v>
      </c>
      <c r="N133" s="65">
        <v>0.17548746518105848</v>
      </c>
      <c r="O133" s="65">
        <v>0.59567901234567899</v>
      </c>
      <c r="P133" s="65">
        <v>0.29629629629629628</v>
      </c>
      <c r="Q133" s="65">
        <v>0.42857142857142855</v>
      </c>
    </row>
    <row r="134" spans="1:17" x14ac:dyDescent="0.4">
      <c r="A134" s="67">
        <v>131</v>
      </c>
      <c r="B134" s="64">
        <v>-323.3</v>
      </c>
      <c r="C134" s="64">
        <v>-2.4679389312977098</v>
      </c>
      <c r="D134" s="69">
        <v>2.0763358778625953</v>
      </c>
      <c r="E134" s="65">
        <v>0.26717557251908397</v>
      </c>
      <c r="F134" s="65">
        <v>0.34351145038167941</v>
      </c>
      <c r="G134" s="65">
        <v>0.272140221402214</v>
      </c>
      <c r="H134" s="65">
        <v>0.17158671586715868</v>
      </c>
      <c r="I134" s="66">
        <v>9240.6779661016953</v>
      </c>
      <c r="J134" s="66">
        <v>-7647.8494623655915</v>
      </c>
      <c r="K134" s="65">
        <v>0.12977099236641221</v>
      </c>
      <c r="L134" s="65">
        <v>9.9236641221374045E-2</v>
      </c>
      <c r="M134" s="65">
        <v>0.2988929889298893</v>
      </c>
      <c r="N134" s="65">
        <v>0.17619926199261993</v>
      </c>
      <c r="O134" s="65">
        <v>0.59567901234567899</v>
      </c>
      <c r="P134" s="65">
        <v>0.29842931937172773</v>
      </c>
      <c r="Q134" s="65">
        <v>0.42711864406779659</v>
      </c>
    </row>
    <row r="135" spans="1:17" x14ac:dyDescent="0.4">
      <c r="A135" s="67">
        <v>132</v>
      </c>
      <c r="B135" s="64">
        <v>-347.8</v>
      </c>
      <c r="C135" s="64">
        <v>-2.6348484848484848</v>
      </c>
      <c r="D135" s="69">
        <v>2.0757575757575757</v>
      </c>
      <c r="E135" s="65">
        <v>0.26515151515151514</v>
      </c>
      <c r="F135" s="65">
        <v>0.34090909090909088</v>
      </c>
      <c r="G135" s="65">
        <v>0.27138914443422263</v>
      </c>
      <c r="H135" s="65">
        <v>0.17203311867525298</v>
      </c>
      <c r="I135" s="66">
        <v>9240.6779661016953</v>
      </c>
      <c r="J135" s="66">
        <v>-7671.1229946524063</v>
      </c>
      <c r="K135" s="65">
        <v>0.12878787878787878</v>
      </c>
      <c r="L135" s="65">
        <v>9.8484848484848481E-2</v>
      </c>
      <c r="M135" s="65">
        <v>0.29806807727690893</v>
      </c>
      <c r="N135" s="65">
        <v>0.17571297148114076</v>
      </c>
      <c r="O135" s="65">
        <v>0.59567901234567899</v>
      </c>
      <c r="P135" s="65">
        <v>0.29842931937172773</v>
      </c>
      <c r="Q135" s="65">
        <v>0.42711864406779659</v>
      </c>
    </row>
    <row r="136" spans="1:17" x14ac:dyDescent="0.4">
      <c r="A136" s="67">
        <v>133</v>
      </c>
      <c r="B136" s="64">
        <v>-403.7</v>
      </c>
      <c r="C136" s="64">
        <v>-3.0353383458646617</v>
      </c>
      <c r="D136" s="69">
        <v>2.0827067669172932</v>
      </c>
      <c r="E136" s="65">
        <v>0.26315789473684209</v>
      </c>
      <c r="F136" s="65">
        <v>0.34586466165413532</v>
      </c>
      <c r="G136" s="65">
        <v>0.26965265082266909</v>
      </c>
      <c r="H136" s="65">
        <v>0.17367458866544791</v>
      </c>
      <c r="I136" s="66">
        <v>9240.6779661016953</v>
      </c>
      <c r="J136" s="66">
        <v>-7700.5263157894733</v>
      </c>
      <c r="K136" s="65">
        <v>0.13533834586466165</v>
      </c>
      <c r="L136" s="65">
        <v>9.7744360902255634E-2</v>
      </c>
      <c r="M136" s="65">
        <v>0.29798903107861058</v>
      </c>
      <c r="N136" s="65">
        <v>0.17550274223034734</v>
      </c>
      <c r="O136" s="65">
        <v>0.59202453987730064</v>
      </c>
      <c r="P136" s="65">
        <v>0.296875</v>
      </c>
      <c r="Q136" s="65">
        <v>0.42711864406779659</v>
      </c>
    </row>
    <row r="137" spans="1:17" x14ac:dyDescent="0.4">
      <c r="A137" s="67">
        <v>134</v>
      </c>
      <c r="B137" s="64">
        <v>-341.2</v>
      </c>
      <c r="C137" s="64">
        <v>-2.5462686567164177</v>
      </c>
      <c r="D137" s="69">
        <v>2.0746268656716418</v>
      </c>
      <c r="E137" s="65">
        <v>0.26865671641791045</v>
      </c>
      <c r="F137" s="65">
        <v>0.34328358208955223</v>
      </c>
      <c r="G137" s="65">
        <v>0.27024567788899001</v>
      </c>
      <c r="H137" s="65">
        <v>0.17288444040036396</v>
      </c>
      <c r="I137" s="66">
        <v>9292.9292929292933</v>
      </c>
      <c r="J137" s="66">
        <v>-7700.5263157894733</v>
      </c>
      <c r="K137" s="65">
        <v>0.13432835820895522</v>
      </c>
      <c r="L137" s="65">
        <v>0.1044776119402985</v>
      </c>
      <c r="M137" s="65">
        <v>0.29936305732484075</v>
      </c>
      <c r="N137" s="65">
        <v>0.17561419472247497</v>
      </c>
      <c r="O137" s="65">
        <v>0.59270516717325228</v>
      </c>
      <c r="P137" s="65">
        <v>0.29533678756476683</v>
      </c>
      <c r="Q137" s="65">
        <v>0.42760942760942761</v>
      </c>
    </row>
    <row r="138" spans="1:17" x14ac:dyDescent="0.4">
      <c r="A138" s="67">
        <v>135</v>
      </c>
      <c r="B138" s="64">
        <v>-373.3</v>
      </c>
      <c r="C138" s="64">
        <v>-2.7651851851851852</v>
      </c>
      <c r="D138" s="69">
        <v>2.0814814814814815</v>
      </c>
      <c r="E138" s="65">
        <v>0.26666666666666666</v>
      </c>
      <c r="F138" s="65">
        <v>0.34814814814814815</v>
      </c>
      <c r="G138" s="65">
        <v>0.26936936936936939</v>
      </c>
      <c r="H138" s="65">
        <v>0.17387387387387387</v>
      </c>
      <c r="I138" s="66">
        <v>9270.5685618729094</v>
      </c>
      <c r="J138" s="66">
        <v>-7632.6424870466317</v>
      </c>
      <c r="K138" s="65">
        <v>0.13333333333333333</v>
      </c>
      <c r="L138" s="65">
        <v>0.1037037037037037</v>
      </c>
      <c r="M138" s="65">
        <v>0.3</v>
      </c>
      <c r="N138" s="65">
        <v>0.17657657657657658</v>
      </c>
      <c r="O138" s="65">
        <v>0.58858858858858853</v>
      </c>
      <c r="P138" s="65">
        <v>0.29591836734693877</v>
      </c>
      <c r="Q138" s="65">
        <v>0.42809364548494983</v>
      </c>
    </row>
    <row r="139" spans="1:17" x14ac:dyDescent="0.4">
      <c r="A139" s="67">
        <v>136</v>
      </c>
      <c r="B139" s="64">
        <v>-380.7</v>
      </c>
      <c r="C139" s="64">
        <v>-2.799264705882353</v>
      </c>
      <c r="D139" s="69">
        <v>2.0808823529411766</v>
      </c>
      <c r="E139" s="65">
        <v>0.26470588235294118</v>
      </c>
      <c r="F139" s="65">
        <v>0.34558823529411764</v>
      </c>
      <c r="G139" s="65">
        <v>0.27126230975828108</v>
      </c>
      <c r="H139" s="65">
        <v>0.17367949865711726</v>
      </c>
      <c r="I139" s="66">
        <v>9257.0957095709564</v>
      </c>
      <c r="J139" s="66">
        <v>-7613.4020618556697</v>
      </c>
      <c r="K139" s="65">
        <v>0.13235294117647059</v>
      </c>
      <c r="L139" s="65">
        <v>0.10294117647058823</v>
      </c>
      <c r="M139" s="65">
        <v>0.30080572963294538</v>
      </c>
      <c r="N139" s="65">
        <v>0.17726051924798567</v>
      </c>
      <c r="O139" s="65">
        <v>0.59226190476190477</v>
      </c>
      <c r="P139" s="65">
        <v>0.29797979797979796</v>
      </c>
      <c r="Q139" s="65">
        <v>0.42574257425742573</v>
      </c>
    </row>
    <row r="140" spans="1:17" x14ac:dyDescent="0.4">
      <c r="A140" s="67">
        <v>137</v>
      </c>
      <c r="B140" s="64">
        <v>-440.2</v>
      </c>
      <c r="C140" s="64">
        <v>-3.2131386861313866</v>
      </c>
      <c r="D140" s="69">
        <v>2.0875912408759123</v>
      </c>
      <c r="E140" s="65">
        <v>0.26277372262773724</v>
      </c>
      <c r="F140" s="65">
        <v>0.35036496350364965</v>
      </c>
      <c r="G140" s="65">
        <v>0.26981300089047194</v>
      </c>
      <c r="H140" s="65">
        <v>0.17542297417631345</v>
      </c>
      <c r="I140" s="66">
        <v>9257.0957095709564</v>
      </c>
      <c r="J140" s="66">
        <v>-7629.4416243654823</v>
      </c>
      <c r="K140" s="65">
        <v>0.13868613138686131</v>
      </c>
      <c r="L140" s="65">
        <v>0.10218978102189781</v>
      </c>
      <c r="M140" s="65">
        <v>0.30097951914514692</v>
      </c>
      <c r="N140" s="65">
        <v>0.17720391807658059</v>
      </c>
      <c r="O140" s="65">
        <v>0.58875739644970415</v>
      </c>
      <c r="P140" s="65">
        <v>0.29648241206030151</v>
      </c>
      <c r="Q140" s="65">
        <v>0.42574257425742573</v>
      </c>
    </row>
    <row r="141" spans="1:17" x14ac:dyDescent="0.4">
      <c r="A141" s="67">
        <v>138</v>
      </c>
      <c r="B141" s="64">
        <v>-381.4</v>
      </c>
      <c r="C141" s="64">
        <v>-2.7637681159420286</v>
      </c>
      <c r="D141" s="69">
        <v>2.0797101449275361</v>
      </c>
      <c r="E141" s="65">
        <v>0.26811594202898553</v>
      </c>
      <c r="F141" s="65">
        <v>0.34782608695652173</v>
      </c>
      <c r="G141" s="65">
        <v>0.27175843694493784</v>
      </c>
      <c r="H141" s="65">
        <v>0.17495559502664298</v>
      </c>
      <c r="I141" s="66">
        <v>9283.3333333333339</v>
      </c>
      <c r="J141" s="66">
        <v>-7629.4416243654823</v>
      </c>
      <c r="K141" s="65">
        <v>0.13768115942028986</v>
      </c>
      <c r="L141" s="65">
        <v>0.10869565217391304</v>
      </c>
      <c r="M141" s="65">
        <v>0.30195381882770872</v>
      </c>
      <c r="N141" s="65">
        <v>0.17761989342806395</v>
      </c>
      <c r="O141" s="65">
        <v>0.5911764705882353</v>
      </c>
      <c r="P141" s="65">
        <v>0.3</v>
      </c>
      <c r="Q141" s="65">
        <v>0.42483660130718953</v>
      </c>
    </row>
    <row r="142" spans="1:17" x14ac:dyDescent="0.4">
      <c r="A142" s="67">
        <v>139</v>
      </c>
      <c r="B142" s="64">
        <v>-417.4</v>
      </c>
      <c r="C142" s="64">
        <v>-3.0028776978417264</v>
      </c>
      <c r="D142" s="69">
        <v>2.0863309352517985</v>
      </c>
      <c r="E142" s="65">
        <v>0.26618705035971224</v>
      </c>
      <c r="F142" s="65">
        <v>0.35251798561151076</v>
      </c>
      <c r="G142" s="65">
        <v>0.27240773286467485</v>
      </c>
      <c r="H142" s="65">
        <v>0.17486818980667837</v>
      </c>
      <c r="I142" s="66">
        <v>9237.4193548387102</v>
      </c>
      <c r="J142" s="66">
        <v>-7686.43216080402</v>
      </c>
      <c r="K142" s="65">
        <v>0.1366906474820144</v>
      </c>
      <c r="L142" s="65">
        <v>0.1079136690647482</v>
      </c>
      <c r="M142" s="65">
        <v>0.30052724077328646</v>
      </c>
      <c r="N142" s="65">
        <v>0.17926186291739896</v>
      </c>
      <c r="O142" s="65">
        <v>0.59064327485380119</v>
      </c>
      <c r="P142" s="65">
        <v>0.30392156862745096</v>
      </c>
      <c r="Q142" s="65">
        <v>0.42258064516129035</v>
      </c>
    </row>
    <row r="143" spans="1:17" x14ac:dyDescent="0.4">
      <c r="A143" s="67">
        <v>140</v>
      </c>
      <c r="B143" s="64">
        <v>-421</v>
      </c>
      <c r="C143" s="64">
        <v>-3.0071428571428571</v>
      </c>
      <c r="D143" s="69">
        <v>2.0857142857142859</v>
      </c>
      <c r="E143" s="65">
        <v>0.26428571428571429</v>
      </c>
      <c r="F143" s="65">
        <v>0.35</v>
      </c>
      <c r="G143" s="65">
        <v>0.27328111401218452</v>
      </c>
      <c r="H143" s="65">
        <v>0.17493472584856398</v>
      </c>
      <c r="I143" s="66">
        <v>9200</v>
      </c>
      <c r="J143" s="66">
        <v>-7739.3034825870645</v>
      </c>
      <c r="K143" s="65">
        <v>0.1357142857142857</v>
      </c>
      <c r="L143" s="65">
        <v>0.10714285714285714</v>
      </c>
      <c r="M143" s="65">
        <v>0.29939077458659702</v>
      </c>
      <c r="N143" s="65">
        <v>0.1784160139251523</v>
      </c>
      <c r="O143" s="65">
        <v>0.59011627906976749</v>
      </c>
      <c r="P143" s="65">
        <v>0.30243902439024389</v>
      </c>
      <c r="Q143" s="65">
        <v>0.41719745222929938</v>
      </c>
    </row>
    <row r="144" spans="1:17" x14ac:dyDescent="0.4">
      <c r="A144" s="67">
        <v>141</v>
      </c>
      <c r="B144" s="64">
        <v>-393.5</v>
      </c>
      <c r="C144" s="64">
        <v>-2.7907801418439715</v>
      </c>
      <c r="D144" s="69">
        <v>2.0780141843971629</v>
      </c>
      <c r="E144" s="65">
        <v>0.26950354609929078</v>
      </c>
      <c r="F144" s="65">
        <v>0.3475177304964539</v>
      </c>
      <c r="G144" s="65">
        <v>0.27445887445887446</v>
      </c>
      <c r="H144" s="65">
        <v>0.1748917748917749</v>
      </c>
      <c r="I144" s="66">
        <v>9179.8107255520499</v>
      </c>
      <c r="J144" s="66">
        <v>-7739.1089108910892</v>
      </c>
      <c r="K144" s="65">
        <v>0.13475177304964539</v>
      </c>
      <c r="L144" s="65">
        <v>0.10638297872340426</v>
      </c>
      <c r="M144" s="65">
        <v>0.29956709956709959</v>
      </c>
      <c r="N144" s="65">
        <v>0.17835497835497835</v>
      </c>
      <c r="O144" s="65">
        <v>0.58959537572254339</v>
      </c>
      <c r="P144" s="65">
        <v>0.30582524271844658</v>
      </c>
      <c r="Q144" s="65">
        <v>0.4195583596214511</v>
      </c>
    </row>
    <row r="145" spans="1:17" x14ac:dyDescent="0.4">
      <c r="A145" s="67">
        <v>142</v>
      </c>
      <c r="B145" s="64">
        <v>-360.1</v>
      </c>
      <c r="C145" s="64">
        <v>-2.5359154929577468</v>
      </c>
      <c r="D145" s="69">
        <v>2.0704225352112675</v>
      </c>
      <c r="E145" s="65">
        <v>0.27464788732394368</v>
      </c>
      <c r="F145" s="65">
        <v>0.34507042253521125</v>
      </c>
      <c r="G145" s="65">
        <v>0.27639484978540774</v>
      </c>
      <c r="H145" s="65">
        <v>0.17510729613733905</v>
      </c>
      <c r="I145" s="66">
        <v>9171.4285714285706</v>
      </c>
      <c r="J145" s="66">
        <v>-7751.4705882352937</v>
      </c>
      <c r="K145" s="65">
        <v>0.13380281690140844</v>
      </c>
      <c r="L145" s="65">
        <v>0.10563380281690141</v>
      </c>
      <c r="M145" s="65">
        <v>0.29871244635193134</v>
      </c>
      <c r="N145" s="65">
        <v>0.17854077253218884</v>
      </c>
      <c r="O145" s="65">
        <v>0.59195402298850575</v>
      </c>
      <c r="P145" s="65">
        <v>0.3125</v>
      </c>
      <c r="Q145" s="65">
        <v>0.4254658385093168</v>
      </c>
    </row>
    <row r="146" spans="1:17" x14ac:dyDescent="0.4">
      <c r="A146" s="67">
        <v>143</v>
      </c>
      <c r="B146" s="64">
        <v>-367.70000000000005</v>
      </c>
      <c r="C146" s="64">
        <v>-2.5713286713286716</v>
      </c>
      <c r="D146" s="69">
        <v>2.06993006993007</v>
      </c>
      <c r="E146" s="65">
        <v>0.27272727272727271</v>
      </c>
      <c r="F146" s="65">
        <v>0.34265734265734266</v>
      </c>
      <c r="G146" s="65">
        <v>0.27730375426621162</v>
      </c>
      <c r="H146" s="65">
        <v>0.17491467576791808</v>
      </c>
      <c r="I146" s="66">
        <v>9123.3846153846152</v>
      </c>
      <c r="J146" s="66">
        <v>-7772.1951219512193</v>
      </c>
      <c r="K146" s="65">
        <v>0.13286713286713286</v>
      </c>
      <c r="L146" s="65">
        <v>0.1048951048951049</v>
      </c>
      <c r="M146" s="65">
        <v>0.29948805460750855</v>
      </c>
      <c r="N146" s="65">
        <v>0.17747440273037543</v>
      </c>
      <c r="O146" s="65">
        <v>0.58974358974358976</v>
      </c>
      <c r="P146" s="65">
        <v>0.3125</v>
      </c>
      <c r="Q146" s="65">
        <v>0.4276923076923077</v>
      </c>
    </row>
    <row r="147" spans="1:17" x14ac:dyDescent="0.4">
      <c r="A147" s="67">
        <v>144</v>
      </c>
      <c r="B147" s="64">
        <v>-324.00000000000006</v>
      </c>
      <c r="C147" s="64">
        <v>-2.2500000000000004</v>
      </c>
      <c r="D147" s="69">
        <v>2.0625</v>
      </c>
      <c r="E147" s="65">
        <v>0.27777777777777779</v>
      </c>
      <c r="F147" s="65">
        <v>0.34027777777777779</v>
      </c>
      <c r="G147" s="65">
        <v>0.27857747671464861</v>
      </c>
      <c r="H147" s="65">
        <v>0.17358171041490261</v>
      </c>
      <c r="I147" s="66">
        <v>9086.0182370820676</v>
      </c>
      <c r="J147" s="66">
        <v>-7772.1951219512193</v>
      </c>
      <c r="K147" s="65">
        <v>0.13194444444444445</v>
      </c>
      <c r="L147" s="65">
        <v>0.10416666666666667</v>
      </c>
      <c r="M147" s="65">
        <v>0.29974597798475866</v>
      </c>
      <c r="N147" s="65">
        <v>0.17781541066892464</v>
      </c>
      <c r="O147" s="65">
        <v>0.59322033898305082</v>
      </c>
      <c r="P147" s="65">
        <v>0.31428571428571428</v>
      </c>
      <c r="Q147" s="65">
        <v>0.42553191489361702</v>
      </c>
    </row>
    <row r="148" spans="1:17" x14ac:dyDescent="0.4">
      <c r="A148" s="67">
        <v>145</v>
      </c>
      <c r="B148" s="64">
        <v>-324.50000000000006</v>
      </c>
      <c r="C148" s="64">
        <v>-2.237931034482759</v>
      </c>
      <c r="D148" s="69">
        <v>2.0620689655172413</v>
      </c>
      <c r="E148" s="65">
        <v>0.27586206896551724</v>
      </c>
      <c r="F148" s="65">
        <v>0.33793103448275863</v>
      </c>
      <c r="G148" s="65">
        <v>0.2770780856423174</v>
      </c>
      <c r="H148" s="65">
        <v>0.17296389588581024</v>
      </c>
      <c r="I148" s="66">
        <v>9070.30303030303</v>
      </c>
      <c r="J148" s="66">
        <v>-7753.3980582524273</v>
      </c>
      <c r="K148" s="65">
        <v>0.1310344827586207</v>
      </c>
      <c r="L148" s="65">
        <v>0.10344827586206896</v>
      </c>
      <c r="M148" s="65">
        <v>0.29722921914357681</v>
      </c>
      <c r="N148" s="65">
        <v>0.17716204869857263</v>
      </c>
      <c r="O148" s="65">
        <v>0.59322033898305082</v>
      </c>
      <c r="P148" s="65">
        <v>0.31753554502369669</v>
      </c>
      <c r="Q148" s="65">
        <v>0.42424242424242425</v>
      </c>
    </row>
    <row r="149" spans="1:17" x14ac:dyDescent="0.4">
      <c r="A149" s="67">
        <v>146</v>
      </c>
      <c r="B149" s="64">
        <v>-357.30000000000007</v>
      </c>
      <c r="C149" s="64">
        <v>-2.4472602739726033</v>
      </c>
      <c r="D149" s="69">
        <v>2.0684931506849313</v>
      </c>
      <c r="E149" s="65">
        <v>0.27397260273972601</v>
      </c>
      <c r="F149" s="65">
        <v>0.34246575342465752</v>
      </c>
      <c r="G149" s="65">
        <v>0.27583333333333332</v>
      </c>
      <c r="H149" s="65">
        <v>0.17249999999999999</v>
      </c>
      <c r="I149" s="66">
        <v>9079.1540785498491</v>
      </c>
      <c r="J149" s="66">
        <v>-7743.9613526570047</v>
      </c>
      <c r="K149" s="65">
        <v>0.13013698630136986</v>
      </c>
      <c r="L149" s="65">
        <v>0.10273972602739725</v>
      </c>
      <c r="M149" s="65">
        <v>0.29833333333333334</v>
      </c>
      <c r="N149" s="65">
        <v>0.17666666666666667</v>
      </c>
      <c r="O149" s="65">
        <v>0.58938547486033521</v>
      </c>
      <c r="P149" s="65">
        <v>0.31603773584905659</v>
      </c>
      <c r="Q149" s="65">
        <v>0.42598187311178248</v>
      </c>
    </row>
    <row r="150" spans="1:17" x14ac:dyDescent="0.4">
      <c r="A150" s="67">
        <v>147</v>
      </c>
      <c r="B150" s="64">
        <v>-359.10000000000008</v>
      </c>
      <c r="C150" s="64">
        <v>-2.4428571428571435</v>
      </c>
      <c r="D150" s="69">
        <v>2.0680272108843538</v>
      </c>
      <c r="E150" s="65">
        <v>0.27210884353741499</v>
      </c>
      <c r="F150" s="65">
        <v>0.3401360544217687</v>
      </c>
      <c r="G150" s="65">
        <v>0.27694859038142622</v>
      </c>
      <c r="H150" s="65">
        <v>0.17247097844112769</v>
      </c>
      <c r="I150" s="66">
        <v>9047.6047904191619</v>
      </c>
      <c r="J150" s="66">
        <v>-7764.4230769230771</v>
      </c>
      <c r="K150" s="65">
        <v>0.12925170068027211</v>
      </c>
      <c r="L150" s="65">
        <v>0.10204081632653061</v>
      </c>
      <c r="M150" s="65">
        <v>0.29850746268656714</v>
      </c>
      <c r="N150" s="65">
        <v>0.17744610281923714</v>
      </c>
      <c r="O150" s="65">
        <v>0.59166666666666667</v>
      </c>
      <c r="P150" s="65">
        <v>0.31775700934579437</v>
      </c>
      <c r="Q150" s="65">
        <v>0.42215568862275449</v>
      </c>
    </row>
    <row r="151" spans="1:17" x14ac:dyDescent="0.4">
      <c r="A151" s="67">
        <v>148</v>
      </c>
      <c r="B151" s="64">
        <v>-415.90000000000009</v>
      </c>
      <c r="C151" s="64">
        <v>-2.8101351351351358</v>
      </c>
      <c r="D151" s="69">
        <v>2.0743243243243241</v>
      </c>
      <c r="E151" s="65">
        <v>0.27027027027027029</v>
      </c>
      <c r="F151" s="65">
        <v>0.34459459459459457</v>
      </c>
      <c r="G151" s="65">
        <v>0.27535037098103876</v>
      </c>
      <c r="H151" s="65">
        <v>0.1755976916735367</v>
      </c>
      <c r="I151" s="66">
        <v>9047.6047904191619</v>
      </c>
      <c r="J151" s="66">
        <v>-7689.2018779342725</v>
      </c>
      <c r="K151" s="65">
        <v>0.13513513513513514</v>
      </c>
      <c r="L151" s="65">
        <v>0.10135135135135136</v>
      </c>
      <c r="M151" s="65">
        <v>0.29843363561417974</v>
      </c>
      <c r="N151" s="65">
        <v>0.17642209398186315</v>
      </c>
      <c r="O151" s="65">
        <v>0.58839779005524862</v>
      </c>
      <c r="P151" s="65">
        <v>0.31775700934579437</v>
      </c>
      <c r="Q151" s="65">
        <v>0.42215568862275449</v>
      </c>
    </row>
    <row r="152" spans="1:17" x14ac:dyDescent="0.4">
      <c r="A152" s="67">
        <v>149</v>
      </c>
      <c r="B152" s="64">
        <v>-448.40000000000009</v>
      </c>
      <c r="C152" s="64">
        <v>-3.0093959731543629</v>
      </c>
      <c r="D152" s="69">
        <v>2.0805369127516777</v>
      </c>
      <c r="E152" s="65">
        <v>0.26845637583892618</v>
      </c>
      <c r="F152" s="65">
        <v>0.34899328859060402</v>
      </c>
      <c r="G152" s="65">
        <v>0.27481542247744051</v>
      </c>
      <c r="H152" s="65">
        <v>0.17719442165709598</v>
      </c>
      <c r="I152" s="66">
        <v>9044.4776119402977</v>
      </c>
      <c r="J152" s="66">
        <v>-7677.3148148148148</v>
      </c>
      <c r="K152" s="65">
        <v>0.13422818791946309</v>
      </c>
      <c r="L152" s="65">
        <v>0.10067114093959731</v>
      </c>
      <c r="M152" s="65">
        <v>0.2969647251845775</v>
      </c>
      <c r="N152" s="65">
        <v>0.1763740771123872</v>
      </c>
      <c r="O152" s="65">
        <v>0.58839779005524862</v>
      </c>
      <c r="P152" s="65">
        <v>0.31627906976744186</v>
      </c>
      <c r="Q152" s="65">
        <v>0.42388059701492536</v>
      </c>
    </row>
    <row r="153" spans="1:17" x14ac:dyDescent="0.4">
      <c r="A153" s="67">
        <v>150</v>
      </c>
      <c r="B153" s="64">
        <v>-461.10000000000008</v>
      </c>
      <c r="C153" s="64">
        <v>-3.0740000000000007</v>
      </c>
      <c r="D153" s="69">
        <v>2.08</v>
      </c>
      <c r="E153" s="65">
        <v>0.26666666666666666</v>
      </c>
      <c r="F153" s="65">
        <v>0.34666666666666668</v>
      </c>
      <c r="G153" s="65">
        <v>0.27487765089722677</v>
      </c>
      <c r="H153" s="65">
        <v>0.17781402936378465</v>
      </c>
      <c r="I153" s="66">
        <v>9030.2670623145405</v>
      </c>
      <c r="J153" s="66">
        <v>-7667.4311926605506</v>
      </c>
      <c r="K153" s="65">
        <v>0.13333333333333333</v>
      </c>
      <c r="L153" s="65">
        <v>0.1</v>
      </c>
      <c r="M153" s="65">
        <v>0.29853181076672103</v>
      </c>
      <c r="N153" s="65">
        <v>0.1769983686786297</v>
      </c>
      <c r="O153" s="65">
        <v>0.58469945355191255</v>
      </c>
      <c r="P153" s="65">
        <v>0.31797235023041476</v>
      </c>
      <c r="Q153" s="65">
        <v>0.42433234421364985</v>
      </c>
    </row>
    <row r="154" spans="1:17" x14ac:dyDescent="0.4">
      <c r="A154" s="67">
        <v>151</v>
      </c>
      <c r="B154" s="64">
        <v>-504.2000000000001</v>
      </c>
      <c r="C154" s="64">
        <v>-3.3390728476821199</v>
      </c>
      <c r="D154" s="69">
        <v>2.0860927152317883</v>
      </c>
      <c r="E154" s="65">
        <v>0.26490066225165565</v>
      </c>
      <c r="F154" s="65">
        <v>0.35099337748344372</v>
      </c>
      <c r="G154" s="65">
        <v>0.27390599675850891</v>
      </c>
      <c r="H154" s="65">
        <v>0.17990275526742303</v>
      </c>
      <c r="I154" s="66">
        <v>9018.9349112426044</v>
      </c>
      <c r="J154" s="66">
        <v>-7613.5135135135133</v>
      </c>
      <c r="K154" s="65">
        <v>0.13245033112582782</v>
      </c>
      <c r="L154" s="65">
        <v>9.9337748344370855E-2</v>
      </c>
      <c r="M154" s="65">
        <v>0.29821717990275526</v>
      </c>
      <c r="N154" s="65">
        <v>0.17585089141004862</v>
      </c>
      <c r="O154" s="65">
        <v>0.58423913043478259</v>
      </c>
      <c r="P154" s="65">
        <v>0.31797235023041476</v>
      </c>
      <c r="Q154" s="65">
        <v>0.42307692307692307</v>
      </c>
    </row>
    <row r="155" spans="1:17" x14ac:dyDescent="0.4">
      <c r="A155" s="67">
        <v>152</v>
      </c>
      <c r="B155" s="64">
        <v>-477.7000000000001</v>
      </c>
      <c r="C155" s="64">
        <v>-3.1427631578947377</v>
      </c>
      <c r="D155" s="69">
        <v>2.0789473684210527</v>
      </c>
      <c r="E155" s="65">
        <v>0.26973684210526316</v>
      </c>
      <c r="F155" s="65">
        <v>0.34868421052631576</v>
      </c>
      <c r="G155" s="65">
        <v>0.27491961414790994</v>
      </c>
      <c r="H155" s="65">
        <v>0.17926045016077172</v>
      </c>
      <c r="I155" s="66">
        <v>8982.4561403508778</v>
      </c>
      <c r="J155" s="66">
        <v>-7591.0313901345289</v>
      </c>
      <c r="K155" s="65">
        <v>0.13157894736842105</v>
      </c>
      <c r="L155" s="65">
        <v>9.8684210526315791E-2</v>
      </c>
      <c r="M155" s="65">
        <v>0.29823151125401931</v>
      </c>
      <c r="N155" s="65">
        <v>0.17604501607717041</v>
      </c>
      <c r="O155" s="65">
        <v>0.58490566037735847</v>
      </c>
      <c r="P155" s="65">
        <v>0.32420091324200911</v>
      </c>
      <c r="Q155" s="65">
        <v>0.42982456140350878</v>
      </c>
    </row>
    <row r="156" spans="1:17" x14ac:dyDescent="0.4">
      <c r="A156" s="67">
        <v>153</v>
      </c>
      <c r="B156" s="64">
        <v>-436.90000000000009</v>
      </c>
      <c r="C156" s="64">
        <v>-2.8555555555555561</v>
      </c>
      <c r="D156" s="69">
        <v>2.0718954248366015</v>
      </c>
      <c r="E156" s="65">
        <v>0.27450980392156865</v>
      </c>
      <c r="F156" s="65">
        <v>0.34640522875816993</v>
      </c>
      <c r="G156" s="65">
        <v>0.27569721115537849</v>
      </c>
      <c r="H156" s="65">
        <v>0.1800796812749004</v>
      </c>
      <c r="I156" s="66">
        <v>8992.7745664739887</v>
      </c>
      <c r="J156" s="66">
        <v>-7582.7433628318586</v>
      </c>
      <c r="K156" s="65">
        <v>0.13071895424836602</v>
      </c>
      <c r="L156" s="65">
        <v>9.8039215686274508E-2</v>
      </c>
      <c r="M156" s="65">
        <v>0.29960159362549799</v>
      </c>
      <c r="N156" s="65">
        <v>0.1752988047808765</v>
      </c>
      <c r="O156" s="65">
        <v>0.58776595744680848</v>
      </c>
      <c r="P156" s="65">
        <v>0.32272727272727275</v>
      </c>
      <c r="Q156" s="65">
        <v>0.430635838150289</v>
      </c>
    </row>
    <row r="157" spans="1:17" x14ac:dyDescent="0.4">
      <c r="A157" s="67">
        <v>154</v>
      </c>
      <c r="B157" s="64">
        <v>-439.90000000000009</v>
      </c>
      <c r="C157" s="64">
        <v>-2.8564935064935071</v>
      </c>
      <c r="D157" s="69">
        <v>2.0714285714285716</v>
      </c>
      <c r="E157" s="65">
        <v>0.27272727272727271</v>
      </c>
      <c r="F157" s="65">
        <v>0.34415584415584416</v>
      </c>
      <c r="G157" s="65">
        <v>0.27588932806324112</v>
      </c>
      <c r="H157" s="65">
        <v>0.18023715415019761</v>
      </c>
      <c r="I157" s="66">
        <v>8985.3868194842398</v>
      </c>
      <c r="J157" s="66">
        <v>-7536.8421052631575</v>
      </c>
      <c r="K157" s="65">
        <v>0.12987012987012986</v>
      </c>
      <c r="L157" s="65">
        <v>9.7402597402597407E-2</v>
      </c>
      <c r="M157" s="65">
        <v>0.29881422924901185</v>
      </c>
      <c r="N157" s="65">
        <v>0.17549407114624507</v>
      </c>
      <c r="O157" s="65">
        <v>0.58730158730158732</v>
      </c>
      <c r="P157" s="65">
        <v>0.32432432432432434</v>
      </c>
      <c r="Q157" s="65">
        <v>0.43266475644699143</v>
      </c>
    </row>
    <row r="158" spans="1:17" x14ac:dyDescent="0.4">
      <c r="A158" s="67">
        <v>155</v>
      </c>
      <c r="B158" s="64">
        <v>-381.10000000000008</v>
      </c>
      <c r="C158" s="64">
        <v>-2.4587096774193555</v>
      </c>
      <c r="D158" s="69">
        <v>2.064516129032258</v>
      </c>
      <c r="E158" s="65">
        <v>0.27741935483870966</v>
      </c>
      <c r="F158" s="65">
        <v>0.34193548387096773</v>
      </c>
      <c r="G158" s="65">
        <v>0.27738376674546888</v>
      </c>
      <c r="H158" s="65">
        <v>0.17966903073286053</v>
      </c>
      <c r="I158" s="66">
        <v>9007.670454545454</v>
      </c>
      <c r="J158" s="66">
        <v>-7536.8421052631575</v>
      </c>
      <c r="K158" s="65">
        <v>0.12903225806451613</v>
      </c>
      <c r="L158" s="65">
        <v>0.1032258064516129</v>
      </c>
      <c r="M158" s="65">
        <v>0.29866036249014971</v>
      </c>
      <c r="N158" s="65">
        <v>0.17494089834515367</v>
      </c>
      <c r="O158" s="65">
        <v>0.58839050131926118</v>
      </c>
      <c r="P158" s="65">
        <v>0.32432432432432434</v>
      </c>
      <c r="Q158" s="65">
        <v>0.43181818181818182</v>
      </c>
    </row>
    <row r="159" spans="1:17" x14ac:dyDescent="0.4">
      <c r="A159" s="67">
        <v>156</v>
      </c>
      <c r="B159" s="64">
        <v>-372.50000000000006</v>
      </c>
      <c r="C159" s="64">
        <v>-2.3878205128205132</v>
      </c>
      <c r="D159" s="69">
        <v>2.0641025641025643</v>
      </c>
      <c r="E159" s="65">
        <v>0.27564102564102566</v>
      </c>
      <c r="F159" s="65">
        <v>0.33974358974358976</v>
      </c>
      <c r="G159" s="65">
        <v>0.27769110764430577</v>
      </c>
      <c r="H159" s="65">
        <v>0.18096723868954759</v>
      </c>
      <c r="I159" s="66">
        <v>9005.0561797752816</v>
      </c>
      <c r="J159" s="66">
        <v>-7469.8275862068967</v>
      </c>
      <c r="K159" s="65">
        <v>0.12820512820512819</v>
      </c>
      <c r="L159" s="65">
        <v>0.10256410256410256</v>
      </c>
      <c r="M159" s="65">
        <v>0.29797191887675506</v>
      </c>
      <c r="N159" s="65">
        <v>0.17394695787831513</v>
      </c>
      <c r="O159" s="65">
        <v>0.58900523560209428</v>
      </c>
      <c r="P159" s="65">
        <v>0.32286995515695066</v>
      </c>
      <c r="Q159" s="65">
        <v>0.4353932584269663</v>
      </c>
    </row>
    <row r="160" spans="1:17" x14ac:dyDescent="0.4">
      <c r="A160" s="67">
        <v>157</v>
      </c>
      <c r="B160" s="64">
        <v>-408.20000000000005</v>
      </c>
      <c r="C160" s="64">
        <v>-2.6</v>
      </c>
      <c r="D160" s="69">
        <v>2.0700636942675161</v>
      </c>
      <c r="E160" s="65">
        <v>0.27388535031847133</v>
      </c>
      <c r="F160" s="65">
        <v>0.34394904458598724</v>
      </c>
      <c r="G160" s="65">
        <v>0.27695888285492631</v>
      </c>
      <c r="H160" s="65">
        <v>0.18153607447633824</v>
      </c>
      <c r="I160" s="66">
        <v>8991.0364145658259</v>
      </c>
      <c r="J160" s="66">
        <v>-7462.3931623931621</v>
      </c>
      <c r="K160" s="65">
        <v>0.12738853503184713</v>
      </c>
      <c r="L160" s="65">
        <v>0.10191082802547771</v>
      </c>
      <c r="M160" s="65">
        <v>0.29712955779674166</v>
      </c>
      <c r="N160" s="65">
        <v>0.1730023273855702</v>
      </c>
      <c r="O160" s="65">
        <v>0.58746736292428203</v>
      </c>
      <c r="P160" s="65">
        <v>0.32286995515695066</v>
      </c>
      <c r="Q160" s="65">
        <v>0.43697478991596639</v>
      </c>
    </row>
    <row r="161" spans="1:17" x14ac:dyDescent="0.4">
      <c r="A161" s="67">
        <v>158</v>
      </c>
      <c r="B161" s="64">
        <v>-403.00000000000006</v>
      </c>
      <c r="C161" s="64">
        <v>-2.5506329113924053</v>
      </c>
      <c r="D161" s="69">
        <v>2.0696202531645569</v>
      </c>
      <c r="E161" s="65">
        <v>0.27215189873417722</v>
      </c>
      <c r="F161" s="65">
        <v>0.34177215189873417</v>
      </c>
      <c r="G161" s="65">
        <v>0.27623456790123457</v>
      </c>
      <c r="H161" s="65">
        <v>0.18132716049382716</v>
      </c>
      <c r="I161" s="66">
        <v>8987.4301675977658</v>
      </c>
      <c r="J161" s="66">
        <v>-7439.1489361702124</v>
      </c>
      <c r="K161" s="65">
        <v>0.12658227848101267</v>
      </c>
      <c r="L161" s="65">
        <v>0.10126582278481013</v>
      </c>
      <c r="M161" s="65">
        <v>0.29706790123456789</v>
      </c>
      <c r="N161" s="65">
        <v>0.17206790123456789</v>
      </c>
      <c r="O161" s="65">
        <v>0.58701298701298699</v>
      </c>
      <c r="P161" s="65">
        <v>0.32286995515695066</v>
      </c>
      <c r="Q161" s="65">
        <v>0.43854748603351956</v>
      </c>
    </row>
    <row r="162" spans="1:17" x14ac:dyDescent="0.4">
      <c r="A162" s="67">
        <v>159</v>
      </c>
      <c r="B162" s="64">
        <v>-410.40000000000003</v>
      </c>
      <c r="C162" s="64">
        <v>-2.5811320754716984</v>
      </c>
      <c r="D162" s="69">
        <v>2.0691823899371071</v>
      </c>
      <c r="E162" s="65">
        <v>0.27044025157232704</v>
      </c>
      <c r="F162" s="65">
        <v>0.33962264150943394</v>
      </c>
      <c r="G162" s="65">
        <v>0.27718223583460949</v>
      </c>
      <c r="H162" s="65">
        <v>0.18147013782542112</v>
      </c>
      <c r="I162" s="66">
        <v>8941.9889502762435</v>
      </c>
      <c r="J162" s="66">
        <v>-7465.8227848101269</v>
      </c>
      <c r="K162" s="65">
        <v>0.12578616352201258</v>
      </c>
      <c r="L162" s="65">
        <v>0.10062893081761007</v>
      </c>
      <c r="M162" s="65">
        <v>0.29555895865237364</v>
      </c>
      <c r="N162" s="65">
        <v>0.17151607963246554</v>
      </c>
      <c r="O162" s="65">
        <v>0.58808290155440412</v>
      </c>
      <c r="P162" s="65">
        <v>0.32142857142857145</v>
      </c>
      <c r="Q162" s="65">
        <v>0.43922651933701656</v>
      </c>
    </row>
    <row r="163" spans="1:17" x14ac:dyDescent="0.4">
      <c r="A163" s="67">
        <v>160</v>
      </c>
      <c r="B163" s="64">
        <v>-362.40000000000003</v>
      </c>
      <c r="C163" s="64">
        <v>-2.2650000000000001</v>
      </c>
      <c r="D163" s="69">
        <v>2.0625</v>
      </c>
      <c r="E163" s="65">
        <v>0.27500000000000002</v>
      </c>
      <c r="F163" s="65">
        <v>0.33750000000000002</v>
      </c>
      <c r="G163" s="65">
        <v>0.27845220030349016</v>
      </c>
      <c r="H163" s="65">
        <v>0.18057663125948406</v>
      </c>
      <c r="I163" s="66">
        <v>8947.9564032697544</v>
      </c>
      <c r="J163" s="66">
        <v>-7447.8991596638652</v>
      </c>
      <c r="K163" s="65">
        <v>0.125</v>
      </c>
      <c r="L163" s="65">
        <v>0.1</v>
      </c>
      <c r="M163" s="65">
        <v>0.29590288315629742</v>
      </c>
      <c r="N163" s="65">
        <v>0.17223065250379363</v>
      </c>
      <c r="O163" s="65">
        <v>0.58974358974358976</v>
      </c>
      <c r="P163" s="65">
        <v>0.32158590308370044</v>
      </c>
      <c r="Q163" s="65">
        <v>0.44141689373297005</v>
      </c>
    </row>
    <row r="164" spans="1:17" x14ac:dyDescent="0.4">
      <c r="A164" s="67">
        <v>161</v>
      </c>
      <c r="B164" s="64">
        <v>-435</v>
      </c>
      <c r="C164" s="64">
        <v>-2.701863354037267</v>
      </c>
      <c r="D164" s="69">
        <v>2.0683229813664594</v>
      </c>
      <c r="E164" s="65">
        <v>0.27329192546583853</v>
      </c>
      <c r="F164" s="65">
        <v>0.34161490683229812</v>
      </c>
      <c r="G164" s="65">
        <v>0.27773584905660376</v>
      </c>
      <c r="H164" s="65">
        <v>0.1811320754716981</v>
      </c>
      <c r="I164" s="66">
        <v>8945.3804347826081</v>
      </c>
      <c r="J164" s="66">
        <v>-7569.166666666667</v>
      </c>
      <c r="K164" s="65">
        <v>0.13043478260869565</v>
      </c>
      <c r="L164" s="65">
        <v>9.9378881987577633E-2</v>
      </c>
      <c r="M164" s="65">
        <v>0.29584905660377359</v>
      </c>
      <c r="N164" s="65">
        <v>0.17283018867924529</v>
      </c>
      <c r="O164" s="65">
        <v>0.5892857142857143</v>
      </c>
      <c r="P164" s="65">
        <v>0.31877729257641924</v>
      </c>
      <c r="Q164" s="65">
        <v>0.44293478260869568</v>
      </c>
    </row>
    <row r="165" spans="1:17" x14ac:dyDescent="0.4">
      <c r="A165" s="67">
        <v>162</v>
      </c>
      <c r="B165" s="64">
        <v>-490.8</v>
      </c>
      <c r="C165" s="64">
        <v>-3.0296296296296297</v>
      </c>
      <c r="D165" s="69">
        <v>2.074074074074074</v>
      </c>
      <c r="E165" s="65">
        <v>0.27160493827160492</v>
      </c>
      <c r="F165" s="65">
        <v>0.34567901234567899</v>
      </c>
      <c r="G165" s="65">
        <v>0.27744360902255638</v>
      </c>
      <c r="H165" s="65">
        <v>0.18270676691729323</v>
      </c>
      <c r="I165" s="66">
        <v>8953.6585365853662</v>
      </c>
      <c r="J165" s="66">
        <v>-7664.1975308641977</v>
      </c>
      <c r="K165" s="65">
        <v>0.13580246913580246</v>
      </c>
      <c r="L165" s="65">
        <v>9.8765432098765427E-2</v>
      </c>
      <c r="M165" s="65">
        <v>0.29624060150375942</v>
      </c>
      <c r="N165" s="65">
        <v>0.17218045112781954</v>
      </c>
      <c r="O165" s="65">
        <v>0.58629441624365486</v>
      </c>
      <c r="P165" s="65">
        <v>0.31877729257641924</v>
      </c>
      <c r="Q165" s="65">
        <v>0.44173441734417346</v>
      </c>
    </row>
    <row r="166" spans="1:17" x14ac:dyDescent="0.4">
      <c r="A166" s="67">
        <v>163</v>
      </c>
      <c r="B166" s="64">
        <v>-539.20000000000005</v>
      </c>
      <c r="C166" s="64">
        <v>-3.3079754601226998</v>
      </c>
      <c r="D166" s="69">
        <v>2.0797546012269938</v>
      </c>
      <c r="E166" s="65">
        <v>0.26993865030674846</v>
      </c>
      <c r="F166" s="65">
        <v>0.34969325153374231</v>
      </c>
      <c r="G166" s="65">
        <v>0.27665920954511558</v>
      </c>
      <c r="H166" s="65">
        <v>0.18344519015659955</v>
      </c>
      <c r="I166" s="66">
        <v>8929.380053908355</v>
      </c>
      <c r="J166" s="66">
        <v>-7653.6585365853662</v>
      </c>
      <c r="K166" s="65">
        <v>0.13496932515337423</v>
      </c>
      <c r="L166" s="65">
        <v>9.815950920245399E-2</v>
      </c>
      <c r="M166" s="65">
        <v>0.29604772557792691</v>
      </c>
      <c r="N166" s="65">
        <v>0.17300521998508575</v>
      </c>
      <c r="O166" s="65">
        <v>0.58438287153652391</v>
      </c>
      <c r="P166" s="65">
        <v>0.31465517241379309</v>
      </c>
      <c r="Q166" s="65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DF52-6AA3-476D-8E4D-3D5A16030B91}">
  <sheetPr codeName="Sheet8"/>
  <dimension ref="A1:Q222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127</v>
      </c>
      <c r="B1" s="68" t="s">
        <v>127</v>
      </c>
      <c r="C1" s="68" t="s">
        <v>127</v>
      </c>
      <c r="D1" s="69" t="s">
        <v>127</v>
      </c>
      <c r="E1" s="68" t="s">
        <v>127</v>
      </c>
      <c r="F1" s="68" t="s">
        <v>127</v>
      </c>
      <c r="G1" s="68" t="s">
        <v>127</v>
      </c>
      <c r="H1" s="68" t="s">
        <v>127</v>
      </c>
      <c r="I1" s="68" t="s">
        <v>127</v>
      </c>
      <c r="J1" s="68" t="s">
        <v>127</v>
      </c>
      <c r="K1" s="68" t="s">
        <v>127</v>
      </c>
      <c r="L1" s="68" t="s">
        <v>127</v>
      </c>
      <c r="M1" s="68" t="s">
        <v>127</v>
      </c>
      <c r="N1" s="68" t="s">
        <v>127</v>
      </c>
      <c r="O1" s="68" t="s">
        <v>127</v>
      </c>
      <c r="P1" s="68" t="s">
        <v>127</v>
      </c>
      <c r="Q1" s="68" t="s">
        <v>127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-5.0999999999999996</v>
      </c>
      <c r="C4" s="64">
        <v>-5.0999999999999996</v>
      </c>
      <c r="D4" s="69">
        <v>2</v>
      </c>
      <c r="E4" s="65">
        <v>0</v>
      </c>
      <c r="F4" s="65">
        <v>0</v>
      </c>
      <c r="G4" s="65">
        <v>0.33333333333333331</v>
      </c>
      <c r="H4" s="65">
        <v>0.16666666666666666</v>
      </c>
      <c r="I4" s="66">
        <v>10000</v>
      </c>
      <c r="J4" s="66">
        <v>-24000</v>
      </c>
      <c r="K4" s="65">
        <v>0</v>
      </c>
      <c r="L4" s="65">
        <v>0</v>
      </c>
      <c r="M4" s="65">
        <v>0.33333333333333331</v>
      </c>
      <c r="N4" s="65">
        <v>0.33333333333333331</v>
      </c>
      <c r="O4" s="65">
        <v>1</v>
      </c>
      <c r="P4" s="65">
        <v>0</v>
      </c>
      <c r="Q4" s="65">
        <v>0.5</v>
      </c>
    </row>
    <row r="5" spans="1:17" x14ac:dyDescent="0.4">
      <c r="A5" s="67">
        <v>2</v>
      </c>
      <c r="B5" s="64">
        <v>-2.8999999999999995</v>
      </c>
      <c r="C5" s="64">
        <v>-1.4499999999999997</v>
      </c>
      <c r="D5" s="69">
        <v>2</v>
      </c>
      <c r="E5" s="65">
        <v>0</v>
      </c>
      <c r="F5" s="65">
        <v>0</v>
      </c>
      <c r="G5" s="65">
        <v>0.3125</v>
      </c>
      <c r="H5" s="65">
        <v>0.1875</v>
      </c>
      <c r="I5" s="66">
        <v>10780</v>
      </c>
      <c r="J5" s="66">
        <v>-13733.333333333334</v>
      </c>
      <c r="K5" s="65">
        <v>0</v>
      </c>
      <c r="L5" s="65">
        <v>0</v>
      </c>
      <c r="M5" s="65">
        <v>0.375</v>
      </c>
      <c r="N5" s="65">
        <v>0.375</v>
      </c>
      <c r="O5" s="65">
        <v>0.5</v>
      </c>
      <c r="P5" s="65">
        <v>0.33333333333333331</v>
      </c>
      <c r="Q5" s="65">
        <v>0.4</v>
      </c>
    </row>
    <row r="6" spans="1:17" x14ac:dyDescent="0.4">
      <c r="A6" s="67">
        <v>3</v>
      </c>
      <c r="B6" s="64">
        <v>70.399999999999991</v>
      </c>
      <c r="C6" s="64">
        <v>23.466666666666665</v>
      </c>
      <c r="D6" s="69">
        <v>1.6666666666666667</v>
      </c>
      <c r="E6" s="65">
        <v>0.33333333333333331</v>
      </c>
      <c r="F6" s="65">
        <v>0</v>
      </c>
      <c r="G6" s="65">
        <v>0.38461538461538464</v>
      </c>
      <c r="H6" s="65">
        <v>0.15384615384615385</v>
      </c>
      <c r="I6" s="66">
        <v>9910</v>
      </c>
      <c r="J6" s="66">
        <v>-11025</v>
      </c>
      <c r="K6" s="65">
        <v>0</v>
      </c>
      <c r="L6" s="65">
        <v>0</v>
      </c>
      <c r="M6" s="65">
        <v>0.46153846153846156</v>
      </c>
      <c r="N6" s="65">
        <v>0.26923076923076922</v>
      </c>
      <c r="O6" s="65">
        <v>0.41666666666666669</v>
      </c>
      <c r="P6" s="65">
        <v>0.42857142857142855</v>
      </c>
      <c r="Q6" s="65">
        <v>0.3</v>
      </c>
    </row>
    <row r="7" spans="1:17" x14ac:dyDescent="0.4">
      <c r="A7" s="67">
        <v>4</v>
      </c>
      <c r="B7" s="64">
        <v>110.5</v>
      </c>
      <c r="C7" s="64">
        <v>27.625</v>
      </c>
      <c r="D7" s="69">
        <v>1.5</v>
      </c>
      <c r="E7" s="65">
        <v>0.5</v>
      </c>
      <c r="F7" s="65">
        <v>0</v>
      </c>
      <c r="G7" s="65">
        <v>0.42424242424242425</v>
      </c>
      <c r="H7" s="65">
        <v>0.15151515151515152</v>
      </c>
      <c r="I7" s="66">
        <v>8442.8571428571431</v>
      </c>
      <c r="J7" s="66">
        <v>-9220</v>
      </c>
      <c r="K7" s="65">
        <v>0</v>
      </c>
      <c r="L7" s="65">
        <v>0</v>
      </c>
      <c r="M7" s="65">
        <v>0.45454545454545453</v>
      </c>
      <c r="N7" s="65">
        <v>0.24242424242424243</v>
      </c>
      <c r="O7" s="65">
        <v>0.46666666666666667</v>
      </c>
      <c r="P7" s="65">
        <v>0.5</v>
      </c>
      <c r="Q7" s="65">
        <v>0.21428571428571427</v>
      </c>
    </row>
    <row r="8" spans="1:17" x14ac:dyDescent="0.4">
      <c r="A8" s="67">
        <v>5</v>
      </c>
      <c r="B8" s="64">
        <v>201.4</v>
      </c>
      <c r="C8" s="64">
        <v>40.28</v>
      </c>
      <c r="D8" s="69">
        <v>1.4</v>
      </c>
      <c r="E8" s="65">
        <v>0.6</v>
      </c>
      <c r="F8" s="65">
        <v>0</v>
      </c>
      <c r="G8" s="65">
        <v>0.47499999999999998</v>
      </c>
      <c r="H8" s="65">
        <v>0.125</v>
      </c>
      <c r="I8" s="66">
        <v>9663.1578947368416</v>
      </c>
      <c r="J8" s="66">
        <v>-9220</v>
      </c>
      <c r="K8" s="65">
        <v>0</v>
      </c>
      <c r="L8" s="65">
        <v>0.2</v>
      </c>
      <c r="M8" s="65">
        <v>0.4</v>
      </c>
      <c r="N8" s="65">
        <v>0.25</v>
      </c>
      <c r="O8" s="65">
        <v>0.5</v>
      </c>
      <c r="P8" s="65">
        <v>0.6</v>
      </c>
      <c r="Q8" s="65">
        <v>0.26315789473684209</v>
      </c>
    </row>
    <row r="9" spans="1:17" x14ac:dyDescent="0.4">
      <c r="A9" s="67">
        <v>6</v>
      </c>
      <c r="B9" s="64">
        <v>232.4</v>
      </c>
      <c r="C9" s="64">
        <v>38.733333333333334</v>
      </c>
      <c r="D9" s="69">
        <v>1.3333333333333333</v>
      </c>
      <c r="E9" s="65">
        <v>0.66666666666666663</v>
      </c>
      <c r="F9" s="65">
        <v>0</v>
      </c>
      <c r="G9" s="65">
        <v>0.44</v>
      </c>
      <c r="H9" s="65">
        <v>0.14000000000000001</v>
      </c>
      <c r="I9" s="66">
        <v>9700</v>
      </c>
      <c r="J9" s="66">
        <v>-9014.2857142857138</v>
      </c>
      <c r="K9" s="65">
        <v>0</v>
      </c>
      <c r="L9" s="65">
        <v>0.16666666666666666</v>
      </c>
      <c r="M9" s="65">
        <v>0.42</v>
      </c>
      <c r="N9" s="65">
        <v>0.24</v>
      </c>
      <c r="O9" s="65">
        <v>0.42857142857142855</v>
      </c>
      <c r="P9" s="65">
        <v>0.66666666666666663</v>
      </c>
      <c r="Q9" s="65">
        <v>0.22727272727272727</v>
      </c>
    </row>
    <row r="10" spans="1:17" x14ac:dyDescent="0.4">
      <c r="A10" s="67">
        <v>7</v>
      </c>
      <c r="B10" s="64">
        <v>256.10000000000002</v>
      </c>
      <c r="C10" s="64">
        <v>36.585714285714289</v>
      </c>
      <c r="D10" s="69">
        <v>1.2857142857142858</v>
      </c>
      <c r="E10" s="65">
        <v>0.7142857142857143</v>
      </c>
      <c r="F10" s="65">
        <v>0</v>
      </c>
      <c r="G10" s="65">
        <v>0.44067796610169491</v>
      </c>
      <c r="H10" s="65">
        <v>0.15254237288135594</v>
      </c>
      <c r="I10" s="66">
        <v>8938.461538461539</v>
      </c>
      <c r="J10" s="66">
        <v>-7733.333333333333</v>
      </c>
      <c r="K10" s="65">
        <v>0</v>
      </c>
      <c r="L10" s="65">
        <v>0.14285714285714285</v>
      </c>
      <c r="M10" s="65">
        <v>0.3728813559322034</v>
      </c>
      <c r="N10" s="65">
        <v>0.2711864406779661</v>
      </c>
      <c r="O10" s="65">
        <v>0.45454545454545453</v>
      </c>
      <c r="P10" s="65">
        <v>0.625</v>
      </c>
      <c r="Q10" s="65">
        <v>0.26923076923076922</v>
      </c>
    </row>
    <row r="11" spans="1:17" x14ac:dyDescent="0.4">
      <c r="A11" s="67">
        <v>8</v>
      </c>
      <c r="B11" s="64">
        <v>285.20000000000005</v>
      </c>
      <c r="C11" s="64">
        <v>35.650000000000006</v>
      </c>
      <c r="D11" s="69">
        <v>1.25</v>
      </c>
      <c r="E11" s="65">
        <v>0.75</v>
      </c>
      <c r="F11" s="65">
        <v>0</v>
      </c>
      <c r="G11" s="65">
        <v>0.43478260869565216</v>
      </c>
      <c r="H11" s="65">
        <v>0.15942028985507245</v>
      </c>
      <c r="I11" s="66">
        <v>8296.6666666666661</v>
      </c>
      <c r="J11" s="66">
        <v>-7409.090909090909</v>
      </c>
      <c r="K11" s="65">
        <v>0</v>
      </c>
      <c r="L11" s="65">
        <v>0.125</v>
      </c>
      <c r="M11" s="65">
        <v>0.34782608695652173</v>
      </c>
      <c r="N11" s="65">
        <v>0.2608695652173913</v>
      </c>
      <c r="O11" s="65">
        <v>0.45833333333333331</v>
      </c>
      <c r="P11" s="65">
        <v>0.61111111111111116</v>
      </c>
      <c r="Q11" s="65">
        <v>0.3</v>
      </c>
    </row>
    <row r="12" spans="1:17" x14ac:dyDescent="0.4">
      <c r="A12" s="67">
        <v>9</v>
      </c>
      <c r="B12" s="64">
        <v>277.90000000000003</v>
      </c>
      <c r="C12" s="64">
        <v>30.87777777777778</v>
      </c>
      <c r="D12" s="69">
        <v>1.3333333333333333</v>
      </c>
      <c r="E12" s="65">
        <v>0.66666666666666663</v>
      </c>
      <c r="F12" s="65">
        <v>0</v>
      </c>
      <c r="G12" s="65">
        <v>0.42105263157894735</v>
      </c>
      <c r="H12" s="65">
        <v>0.15789473684210525</v>
      </c>
      <c r="I12" s="66">
        <v>8140.625</v>
      </c>
      <c r="J12" s="66">
        <v>-7458.333333333333</v>
      </c>
      <c r="K12" s="65">
        <v>0</v>
      </c>
      <c r="L12" s="65">
        <v>0.1111111111111111</v>
      </c>
      <c r="M12" s="65">
        <v>0.34210526315789475</v>
      </c>
      <c r="N12" s="65">
        <v>0.25</v>
      </c>
      <c r="O12" s="65">
        <v>0.5</v>
      </c>
      <c r="P12" s="65">
        <v>0.57894736842105265</v>
      </c>
      <c r="Q12" s="65">
        <v>0.28125</v>
      </c>
    </row>
    <row r="13" spans="1:17" x14ac:dyDescent="0.4">
      <c r="A13" s="67">
        <v>10</v>
      </c>
      <c r="B13" s="64">
        <v>246.20000000000005</v>
      </c>
      <c r="C13" s="64">
        <v>24.620000000000005</v>
      </c>
      <c r="D13" s="69">
        <v>1.5</v>
      </c>
      <c r="E13" s="65">
        <v>0.6</v>
      </c>
      <c r="F13" s="65">
        <v>0.1</v>
      </c>
      <c r="G13" s="65">
        <v>0.40476190476190477</v>
      </c>
      <c r="H13" s="65">
        <v>0.17857142857142858</v>
      </c>
      <c r="I13" s="66">
        <v>8229.4117647058829</v>
      </c>
      <c r="J13" s="66">
        <v>-7546.666666666667</v>
      </c>
      <c r="K13" s="65">
        <v>0</v>
      </c>
      <c r="L13" s="65">
        <v>0.1</v>
      </c>
      <c r="M13" s="65">
        <v>0.35714285714285715</v>
      </c>
      <c r="N13" s="65">
        <v>0.25</v>
      </c>
      <c r="O13" s="65">
        <v>0.46666666666666667</v>
      </c>
      <c r="P13" s="65">
        <v>0.5714285714285714</v>
      </c>
      <c r="Q13" s="65">
        <v>0.26470588235294118</v>
      </c>
    </row>
    <row r="14" spans="1:17" x14ac:dyDescent="0.4">
      <c r="A14" s="67">
        <v>11</v>
      </c>
      <c r="B14" s="64">
        <v>333.30000000000007</v>
      </c>
      <c r="C14" s="64">
        <v>30.300000000000008</v>
      </c>
      <c r="D14" s="69">
        <v>1.4545454545454546</v>
      </c>
      <c r="E14" s="65">
        <v>0.63636363636363635</v>
      </c>
      <c r="F14" s="65">
        <v>9.0909090909090912E-2</v>
      </c>
      <c r="G14" s="65">
        <v>0.44565217391304346</v>
      </c>
      <c r="H14" s="65">
        <v>0.16304347826086957</v>
      </c>
      <c r="I14" s="66">
        <v>8234.1463414634145</v>
      </c>
      <c r="J14" s="66">
        <v>-7546.666666666667</v>
      </c>
      <c r="K14" s="65">
        <v>0</v>
      </c>
      <c r="L14" s="65">
        <v>0.18181818181818182</v>
      </c>
      <c r="M14" s="65">
        <v>0.38043478260869568</v>
      </c>
      <c r="N14" s="65">
        <v>0.2391304347826087</v>
      </c>
      <c r="O14" s="65">
        <v>0.51428571428571423</v>
      </c>
      <c r="P14" s="65">
        <v>0.59090909090909094</v>
      </c>
      <c r="Q14" s="65">
        <v>0.29268292682926828</v>
      </c>
    </row>
    <row r="15" spans="1:17" x14ac:dyDescent="0.4">
      <c r="A15" s="67">
        <v>12</v>
      </c>
      <c r="B15" s="64">
        <v>371.70000000000005</v>
      </c>
      <c r="C15" s="64">
        <v>30.975000000000005</v>
      </c>
      <c r="D15" s="69">
        <v>1.4166666666666667</v>
      </c>
      <c r="E15" s="65">
        <v>0.66666666666666663</v>
      </c>
      <c r="F15" s="65">
        <v>8.3333333333333329E-2</v>
      </c>
      <c r="G15" s="65">
        <v>0.45</v>
      </c>
      <c r="H15" s="65">
        <v>0.15</v>
      </c>
      <c r="I15" s="66">
        <v>7868.8888888888887</v>
      </c>
      <c r="J15" s="66">
        <v>-7546.666666666667</v>
      </c>
      <c r="K15" s="65">
        <v>0</v>
      </c>
      <c r="L15" s="65">
        <v>0.16666666666666666</v>
      </c>
      <c r="M15" s="65">
        <v>0.38</v>
      </c>
      <c r="N15" s="65">
        <v>0.25</v>
      </c>
      <c r="O15" s="65">
        <v>0.52631578947368418</v>
      </c>
      <c r="P15" s="65">
        <v>0.6</v>
      </c>
      <c r="Q15" s="65">
        <v>0.26666666666666666</v>
      </c>
    </row>
    <row r="16" spans="1:17" x14ac:dyDescent="0.4">
      <c r="A16" s="67">
        <v>13</v>
      </c>
      <c r="B16" s="64">
        <v>418.90000000000003</v>
      </c>
      <c r="C16" s="64">
        <v>32.223076923076924</v>
      </c>
      <c r="D16" s="69">
        <v>1.3846153846153846</v>
      </c>
      <c r="E16" s="65">
        <v>0.69230769230769229</v>
      </c>
      <c r="F16" s="65">
        <v>7.6923076923076927E-2</v>
      </c>
      <c r="G16" s="65">
        <v>0.44444444444444442</v>
      </c>
      <c r="H16" s="65">
        <v>0.1388888888888889</v>
      </c>
      <c r="I16" s="66">
        <v>7870.833333333333</v>
      </c>
      <c r="J16" s="66">
        <v>-7546.666666666667</v>
      </c>
      <c r="K16" s="65">
        <v>0</v>
      </c>
      <c r="L16" s="65">
        <v>0.15384615384615385</v>
      </c>
      <c r="M16" s="65">
        <v>0.3611111111111111</v>
      </c>
      <c r="N16" s="65">
        <v>0.25925925925925924</v>
      </c>
      <c r="O16" s="65">
        <v>0.51282051282051277</v>
      </c>
      <c r="P16" s="65">
        <v>0.6428571428571429</v>
      </c>
      <c r="Q16" s="65">
        <v>0.3125</v>
      </c>
    </row>
    <row r="17" spans="1:17" x14ac:dyDescent="0.4">
      <c r="A17" s="67">
        <v>14</v>
      </c>
      <c r="B17" s="64">
        <v>473.50000000000006</v>
      </c>
      <c r="C17" s="64">
        <v>33.821428571428577</v>
      </c>
      <c r="D17" s="69">
        <v>1.3571428571428572</v>
      </c>
      <c r="E17" s="65">
        <v>0.7142857142857143</v>
      </c>
      <c r="F17" s="65">
        <v>7.1428571428571425E-2</v>
      </c>
      <c r="G17" s="65">
        <v>0.46086956521739131</v>
      </c>
      <c r="H17" s="65">
        <v>0.1391304347826087</v>
      </c>
      <c r="I17" s="66">
        <v>7815.0943396226412</v>
      </c>
      <c r="J17" s="66">
        <v>-7237.5</v>
      </c>
      <c r="K17" s="65">
        <v>0</v>
      </c>
      <c r="L17" s="65">
        <v>0.14285714285714285</v>
      </c>
      <c r="M17" s="65">
        <v>0.37391304347826088</v>
      </c>
      <c r="N17" s="65">
        <v>0.2608695652173913</v>
      </c>
      <c r="O17" s="65">
        <v>0.53488372093023251</v>
      </c>
      <c r="P17" s="65">
        <v>0.66666666666666663</v>
      </c>
      <c r="Q17" s="65">
        <v>0.30188679245283018</v>
      </c>
    </row>
    <row r="18" spans="1:17" x14ac:dyDescent="0.4">
      <c r="A18" s="67">
        <v>15</v>
      </c>
      <c r="B18" s="64">
        <v>481.50000000000006</v>
      </c>
      <c r="C18" s="64">
        <v>32.1</v>
      </c>
      <c r="D18" s="69">
        <v>1.4</v>
      </c>
      <c r="E18" s="65">
        <v>0.66666666666666663</v>
      </c>
      <c r="F18" s="65">
        <v>6.6666666666666666E-2</v>
      </c>
      <c r="G18" s="65">
        <v>0.46280991735537191</v>
      </c>
      <c r="H18" s="65">
        <v>0.1487603305785124</v>
      </c>
      <c r="I18" s="66">
        <v>7700</v>
      </c>
      <c r="J18" s="66">
        <v>-6988.8888888888887</v>
      </c>
      <c r="K18" s="65">
        <v>0</v>
      </c>
      <c r="L18" s="65">
        <v>0.13333333333333333</v>
      </c>
      <c r="M18" s="65">
        <v>0.36363636363636365</v>
      </c>
      <c r="N18" s="65">
        <v>0.26446280991735538</v>
      </c>
      <c r="O18" s="65">
        <v>0.54545454545454541</v>
      </c>
      <c r="P18" s="65">
        <v>0.6875</v>
      </c>
      <c r="Q18" s="65">
        <v>0.3392857142857143</v>
      </c>
    </row>
    <row r="19" spans="1:17" x14ac:dyDescent="0.4">
      <c r="A19" s="67">
        <v>16</v>
      </c>
      <c r="B19" s="64">
        <v>425.50000000000006</v>
      </c>
      <c r="C19" s="64">
        <v>26.593750000000004</v>
      </c>
      <c r="D19" s="69">
        <v>1.5</v>
      </c>
      <c r="E19" s="65">
        <v>0.625</v>
      </c>
      <c r="F19" s="65">
        <v>0.125</v>
      </c>
      <c r="G19" s="65">
        <v>0.45238095238095238</v>
      </c>
      <c r="H19" s="65">
        <v>0.16666666666666666</v>
      </c>
      <c r="I19" s="66">
        <v>7705.2631578947367</v>
      </c>
      <c r="J19" s="66">
        <v>-7761.9047619047615</v>
      </c>
      <c r="K19" s="65">
        <v>6.25E-2</v>
      </c>
      <c r="L19" s="65">
        <v>0.125</v>
      </c>
      <c r="M19" s="65">
        <v>0.35714285714285715</v>
      </c>
      <c r="N19" s="65">
        <v>0.27777777777777779</v>
      </c>
      <c r="O19" s="65">
        <v>0.53333333333333333</v>
      </c>
      <c r="P19" s="65">
        <v>0.65714285714285714</v>
      </c>
      <c r="Q19" s="65">
        <v>0.35087719298245612</v>
      </c>
    </row>
    <row r="20" spans="1:17" x14ac:dyDescent="0.4">
      <c r="A20" s="67">
        <v>17</v>
      </c>
      <c r="B20" s="64">
        <v>427.40000000000003</v>
      </c>
      <c r="C20" s="64">
        <v>25.141176470588238</v>
      </c>
      <c r="D20" s="69">
        <v>1.5294117647058822</v>
      </c>
      <c r="E20" s="65">
        <v>0.58823529411764708</v>
      </c>
      <c r="F20" s="65">
        <v>0.11764705882352941</v>
      </c>
      <c r="G20" s="65">
        <v>0.44029850746268656</v>
      </c>
      <c r="H20" s="65">
        <v>0.17164179104477612</v>
      </c>
      <c r="I20" s="66">
        <v>7735.593220338983</v>
      </c>
      <c r="J20" s="66">
        <v>-7665.217391304348</v>
      </c>
      <c r="K20" s="65">
        <v>5.8823529411764705E-2</v>
      </c>
      <c r="L20" s="65">
        <v>0.11764705882352941</v>
      </c>
      <c r="M20" s="65">
        <v>0.35820895522388058</v>
      </c>
      <c r="N20" s="65">
        <v>0.27611940298507465</v>
      </c>
      <c r="O20" s="65">
        <v>0.54166666666666663</v>
      </c>
      <c r="P20" s="65">
        <v>0.6216216216216216</v>
      </c>
      <c r="Q20" s="65">
        <v>0.33898305084745761</v>
      </c>
    </row>
    <row r="21" spans="1:17" x14ac:dyDescent="0.4">
      <c r="A21" s="67">
        <v>18</v>
      </c>
      <c r="B21" s="64">
        <v>429.3</v>
      </c>
      <c r="C21" s="64">
        <v>23.85</v>
      </c>
      <c r="D21" s="69">
        <v>1.5555555555555556</v>
      </c>
      <c r="E21" s="65">
        <v>0.55555555555555558</v>
      </c>
      <c r="F21" s="65">
        <v>0.1111111111111111</v>
      </c>
      <c r="G21" s="65">
        <v>0.42957746478873238</v>
      </c>
      <c r="H21" s="65">
        <v>0.176056338028169</v>
      </c>
      <c r="I21" s="66">
        <v>7763.9344262295081</v>
      </c>
      <c r="J21" s="66">
        <v>-7584</v>
      </c>
      <c r="K21" s="65">
        <v>5.5555555555555552E-2</v>
      </c>
      <c r="L21" s="65">
        <v>0.1111111111111111</v>
      </c>
      <c r="M21" s="65">
        <v>0.35915492957746481</v>
      </c>
      <c r="N21" s="65">
        <v>0.27464788732394368</v>
      </c>
      <c r="O21" s="65">
        <v>0.5490196078431373</v>
      </c>
      <c r="P21" s="65">
        <v>0.58974358974358976</v>
      </c>
      <c r="Q21" s="65">
        <v>0.32786885245901637</v>
      </c>
    </row>
    <row r="22" spans="1:17" x14ac:dyDescent="0.4">
      <c r="A22" s="67">
        <v>19</v>
      </c>
      <c r="B22" s="64">
        <v>405.40000000000003</v>
      </c>
      <c r="C22" s="64">
        <v>21.336842105263159</v>
      </c>
      <c r="D22" s="69">
        <v>1.631578947368421</v>
      </c>
      <c r="E22" s="65">
        <v>0.52631578947368418</v>
      </c>
      <c r="F22" s="65">
        <v>0.15789473684210525</v>
      </c>
      <c r="G22" s="65">
        <v>0.42483660130718953</v>
      </c>
      <c r="H22" s="65">
        <v>0.18954248366013071</v>
      </c>
      <c r="I22" s="66">
        <v>7787.6923076923076</v>
      </c>
      <c r="J22" s="66">
        <v>-7658.6206896551721</v>
      </c>
      <c r="K22" s="65">
        <v>5.2631578947368418E-2</v>
      </c>
      <c r="L22" s="65">
        <v>0.10526315789473684</v>
      </c>
      <c r="M22" s="65">
        <v>0.36601307189542481</v>
      </c>
      <c r="N22" s="65">
        <v>0.27450980392156865</v>
      </c>
      <c r="O22" s="65">
        <v>0.5357142857142857</v>
      </c>
      <c r="P22" s="65">
        <v>0.5714285714285714</v>
      </c>
      <c r="Q22" s="65">
        <v>0.35384615384615387</v>
      </c>
    </row>
    <row r="23" spans="1:17" x14ac:dyDescent="0.4">
      <c r="A23" s="67">
        <v>20</v>
      </c>
      <c r="B23" s="64">
        <v>469.6</v>
      </c>
      <c r="C23" s="64">
        <v>23.48</v>
      </c>
      <c r="D23" s="69">
        <v>1.6</v>
      </c>
      <c r="E23" s="65">
        <v>0.55000000000000004</v>
      </c>
      <c r="F23" s="65">
        <v>0.15</v>
      </c>
      <c r="G23" s="65">
        <v>0.42514970059880242</v>
      </c>
      <c r="H23" s="65">
        <v>0.17365269461077845</v>
      </c>
      <c r="I23" s="66">
        <v>8195.7746478873232</v>
      </c>
      <c r="J23" s="66">
        <v>-7658.6206896551721</v>
      </c>
      <c r="K23" s="65">
        <v>0.05</v>
      </c>
      <c r="L23" s="65">
        <v>0.15</v>
      </c>
      <c r="M23" s="65">
        <v>0.3592814371257485</v>
      </c>
      <c r="N23" s="65">
        <v>0.28143712574850299</v>
      </c>
      <c r="O23" s="65">
        <v>0.55000000000000004</v>
      </c>
      <c r="P23" s="65">
        <v>0.55319148936170215</v>
      </c>
      <c r="Q23" s="65">
        <v>0.38028169014084506</v>
      </c>
    </row>
    <row r="24" spans="1:17" x14ac:dyDescent="0.4">
      <c r="A24" s="67">
        <v>21</v>
      </c>
      <c r="B24" s="64">
        <v>468.3</v>
      </c>
      <c r="C24" s="64">
        <v>22.3</v>
      </c>
      <c r="D24" s="69">
        <v>1.6190476190476191</v>
      </c>
      <c r="E24" s="65">
        <v>0.52380952380952384</v>
      </c>
      <c r="F24" s="65">
        <v>0.14285714285714285</v>
      </c>
      <c r="G24" s="65">
        <v>0.42045454545454547</v>
      </c>
      <c r="H24" s="65">
        <v>0.18181818181818182</v>
      </c>
      <c r="I24" s="66">
        <v>8291.8918918918916</v>
      </c>
      <c r="J24" s="66">
        <v>-7815.625</v>
      </c>
      <c r="K24" s="65">
        <v>4.7619047619047616E-2</v>
      </c>
      <c r="L24" s="65">
        <v>0.14285714285714285</v>
      </c>
      <c r="M24" s="65">
        <v>0.36931818181818182</v>
      </c>
      <c r="N24" s="65">
        <v>0.26704545454545453</v>
      </c>
      <c r="O24" s="65">
        <v>0.55384615384615388</v>
      </c>
      <c r="P24" s="65">
        <v>0.55319148936170215</v>
      </c>
      <c r="Q24" s="65">
        <v>0.3783783783783784</v>
      </c>
    </row>
    <row r="25" spans="1:17" x14ac:dyDescent="0.4">
      <c r="A25" s="67">
        <v>22</v>
      </c>
      <c r="B25" s="64">
        <v>519.20000000000005</v>
      </c>
      <c r="C25" s="64">
        <v>23.6</v>
      </c>
      <c r="D25" s="69">
        <v>1.5909090909090908</v>
      </c>
      <c r="E25" s="65">
        <v>0.54545454545454541</v>
      </c>
      <c r="F25" s="65">
        <v>0.13636363636363635</v>
      </c>
      <c r="G25" s="65">
        <v>0.42307692307692307</v>
      </c>
      <c r="H25" s="65">
        <v>0.18131868131868131</v>
      </c>
      <c r="I25" s="66">
        <v>8696.1038961038957</v>
      </c>
      <c r="J25" s="66">
        <v>-7930.30303030303</v>
      </c>
      <c r="K25" s="65">
        <v>4.5454545454545456E-2</v>
      </c>
      <c r="L25" s="65">
        <v>0.18181818181818182</v>
      </c>
      <c r="M25" s="65">
        <v>0.36263736263736263</v>
      </c>
      <c r="N25" s="65">
        <v>0.27472527472527475</v>
      </c>
      <c r="O25" s="65">
        <v>0.56060606060606055</v>
      </c>
      <c r="P25" s="65">
        <v>0.56000000000000005</v>
      </c>
      <c r="Q25" s="65">
        <v>0.38961038961038963</v>
      </c>
    </row>
    <row r="26" spans="1:17" x14ac:dyDescent="0.4">
      <c r="A26" s="67">
        <v>23</v>
      </c>
      <c r="B26" s="64">
        <v>555.90000000000009</v>
      </c>
      <c r="C26" s="64">
        <v>24.169565217391309</v>
      </c>
      <c r="D26" s="69">
        <v>1.5652173913043479</v>
      </c>
      <c r="E26" s="65">
        <v>0.56521739130434778</v>
      </c>
      <c r="F26" s="65">
        <v>0.13043478260869565</v>
      </c>
      <c r="G26" s="65">
        <v>0.421875</v>
      </c>
      <c r="H26" s="65">
        <v>0.17708333333333334</v>
      </c>
      <c r="I26" s="66">
        <v>8733.3333333333339</v>
      </c>
      <c r="J26" s="66">
        <v>-7744.1176470588234</v>
      </c>
      <c r="K26" s="65">
        <v>4.3478260869565216E-2</v>
      </c>
      <c r="L26" s="65">
        <v>0.17391304347826086</v>
      </c>
      <c r="M26" s="65">
        <v>0.36979166666666669</v>
      </c>
      <c r="N26" s="65">
        <v>0.27083333333333331</v>
      </c>
      <c r="O26" s="65">
        <v>0.56338028169014087</v>
      </c>
      <c r="P26" s="65">
        <v>0.55769230769230771</v>
      </c>
      <c r="Q26" s="65">
        <v>0.40740740740740738</v>
      </c>
    </row>
    <row r="27" spans="1:17" x14ac:dyDescent="0.4">
      <c r="A27" s="67">
        <v>24</v>
      </c>
      <c r="B27" s="64">
        <v>592.20000000000005</v>
      </c>
      <c r="C27" s="64">
        <v>24.675000000000001</v>
      </c>
      <c r="D27" s="69">
        <v>1.5416666666666667</v>
      </c>
      <c r="E27" s="65">
        <v>0.58333333333333337</v>
      </c>
      <c r="F27" s="65">
        <v>0.125</v>
      </c>
      <c r="G27" s="65">
        <v>0.41791044776119401</v>
      </c>
      <c r="H27" s="65">
        <v>0.17910447761194029</v>
      </c>
      <c r="I27" s="66">
        <v>8773.8095238095229</v>
      </c>
      <c r="J27" s="66">
        <v>-7397.2222222222226</v>
      </c>
      <c r="K27" s="65">
        <v>4.1666666666666664E-2</v>
      </c>
      <c r="L27" s="65">
        <v>0.16666666666666666</v>
      </c>
      <c r="M27" s="65">
        <v>0.35820895522388058</v>
      </c>
      <c r="N27" s="65">
        <v>0.27860696517412936</v>
      </c>
      <c r="O27" s="65">
        <v>0.55555555555555558</v>
      </c>
      <c r="P27" s="65">
        <v>0.5714285714285714</v>
      </c>
      <c r="Q27" s="65">
        <v>0.40476190476190477</v>
      </c>
    </row>
    <row r="28" spans="1:17" x14ac:dyDescent="0.4">
      <c r="A28" s="67">
        <v>25</v>
      </c>
      <c r="B28" s="64">
        <v>655.20000000000005</v>
      </c>
      <c r="C28" s="64">
        <v>26.208000000000002</v>
      </c>
      <c r="D28" s="69">
        <v>1.52</v>
      </c>
      <c r="E28" s="65">
        <v>0.6</v>
      </c>
      <c r="F28" s="65">
        <v>0.12</v>
      </c>
      <c r="G28" s="65">
        <v>0.42156862745098039</v>
      </c>
      <c r="H28" s="65">
        <v>0.17647058823529413</v>
      </c>
      <c r="I28" s="66">
        <v>9058.1395348837214</v>
      </c>
      <c r="J28" s="66">
        <v>-7397.2222222222226</v>
      </c>
      <c r="K28" s="65">
        <v>0.04</v>
      </c>
      <c r="L28" s="65">
        <v>0.2</v>
      </c>
      <c r="M28" s="65">
        <v>0.35294117647058826</v>
      </c>
      <c r="N28" s="65">
        <v>0.27941176470588236</v>
      </c>
      <c r="O28" s="65">
        <v>0.55555555555555558</v>
      </c>
      <c r="P28" s="65">
        <v>0.57894736842105265</v>
      </c>
      <c r="Q28" s="65">
        <v>0.40697674418604651</v>
      </c>
    </row>
    <row r="29" spans="1:17" x14ac:dyDescent="0.4">
      <c r="A29" s="67">
        <v>26</v>
      </c>
      <c r="B29" s="64">
        <v>625.40000000000009</v>
      </c>
      <c r="C29" s="64">
        <v>24.053846153846159</v>
      </c>
      <c r="D29" s="69">
        <v>1.5769230769230769</v>
      </c>
      <c r="E29" s="65">
        <v>0.57692307692307687</v>
      </c>
      <c r="F29" s="65">
        <v>0.15384615384615385</v>
      </c>
      <c r="G29" s="65">
        <v>0.41314553990610331</v>
      </c>
      <c r="H29" s="65">
        <v>0.17370892018779344</v>
      </c>
      <c r="I29" s="66">
        <v>9032.954545454546</v>
      </c>
      <c r="J29" s="66">
        <v>-7683.7837837837842</v>
      </c>
      <c r="K29" s="65">
        <v>3.8461538461538464E-2</v>
      </c>
      <c r="L29" s="65">
        <v>0.19230769230769232</v>
      </c>
      <c r="M29" s="65">
        <v>0.34272300469483569</v>
      </c>
      <c r="N29" s="65">
        <v>0.28169014084507044</v>
      </c>
      <c r="O29" s="65">
        <v>0.56164383561643838</v>
      </c>
      <c r="P29" s="65">
        <v>0.55000000000000004</v>
      </c>
      <c r="Q29" s="65">
        <v>0.39772727272727271</v>
      </c>
    </row>
    <row r="30" spans="1:17" x14ac:dyDescent="0.4">
      <c r="A30" s="67">
        <v>27</v>
      </c>
      <c r="B30" s="64">
        <v>596.30000000000007</v>
      </c>
      <c r="C30" s="64">
        <v>22.085185185185189</v>
      </c>
      <c r="D30" s="69">
        <v>1.6296296296296295</v>
      </c>
      <c r="E30" s="65">
        <v>0.55555555555555558</v>
      </c>
      <c r="F30" s="65">
        <v>0.18518518518518517</v>
      </c>
      <c r="G30" s="65">
        <v>0.40090090090090091</v>
      </c>
      <c r="H30" s="65">
        <v>0.17117117117117117</v>
      </c>
      <c r="I30" s="66">
        <v>9133.7078651685388</v>
      </c>
      <c r="J30" s="66">
        <v>-7692.105263157895</v>
      </c>
      <c r="K30" s="65">
        <v>3.7037037037037035E-2</v>
      </c>
      <c r="L30" s="65">
        <v>0.18518518518518517</v>
      </c>
      <c r="M30" s="65">
        <v>0.34234234234234234</v>
      </c>
      <c r="N30" s="65">
        <v>0.27027027027027029</v>
      </c>
      <c r="O30" s="65">
        <v>0.55263157894736847</v>
      </c>
      <c r="P30" s="65">
        <v>0.55000000000000004</v>
      </c>
      <c r="Q30" s="65">
        <v>0.4044943820224719</v>
      </c>
    </row>
    <row r="31" spans="1:17" x14ac:dyDescent="0.4">
      <c r="A31" s="67">
        <v>28</v>
      </c>
      <c r="B31" s="64">
        <v>655.6</v>
      </c>
      <c r="C31" s="64">
        <v>23.414285714285715</v>
      </c>
      <c r="D31" s="69">
        <v>1.6071428571428572</v>
      </c>
      <c r="E31" s="65">
        <v>0.5714285714285714</v>
      </c>
      <c r="F31" s="65">
        <v>0.17857142857142858</v>
      </c>
      <c r="G31" s="65">
        <v>0.41304347826086957</v>
      </c>
      <c r="H31" s="65">
        <v>0.16956521739130434</v>
      </c>
      <c r="I31" s="66">
        <v>9030.5263157894733</v>
      </c>
      <c r="J31" s="66">
        <v>-7628.2051282051279</v>
      </c>
      <c r="K31" s="65">
        <v>3.5714285714285712E-2</v>
      </c>
      <c r="L31" s="65">
        <v>0.17857142857142858</v>
      </c>
      <c r="M31" s="65">
        <v>0.34782608695652173</v>
      </c>
      <c r="N31" s="65">
        <v>0.26956521739130435</v>
      </c>
      <c r="O31" s="65">
        <v>0.5625</v>
      </c>
      <c r="P31" s="65">
        <v>0.56451612903225812</v>
      </c>
      <c r="Q31" s="65">
        <v>0.4</v>
      </c>
    </row>
    <row r="32" spans="1:17" x14ac:dyDescent="0.4">
      <c r="A32" s="67">
        <v>29</v>
      </c>
      <c r="B32" s="64">
        <v>703.1</v>
      </c>
      <c r="C32" s="64">
        <v>24.244827586206899</v>
      </c>
      <c r="D32" s="69">
        <v>1.5862068965517242</v>
      </c>
      <c r="E32" s="65">
        <v>0.58620689655172409</v>
      </c>
      <c r="F32" s="65">
        <v>0.17241379310344829</v>
      </c>
      <c r="G32" s="65">
        <v>0.4219409282700422</v>
      </c>
      <c r="H32" s="65">
        <v>0.16455696202531644</v>
      </c>
      <c r="I32" s="66">
        <v>8832</v>
      </c>
      <c r="J32" s="66">
        <v>-7628.2051282051279</v>
      </c>
      <c r="K32" s="65">
        <v>3.4482758620689655E-2</v>
      </c>
      <c r="L32" s="65">
        <v>0.17241379310344829</v>
      </c>
      <c r="M32" s="65">
        <v>0.34599156118143459</v>
      </c>
      <c r="N32" s="65">
        <v>0.26582278481012656</v>
      </c>
      <c r="O32" s="65">
        <v>0.57317073170731703</v>
      </c>
      <c r="P32" s="65">
        <v>0.5714285714285714</v>
      </c>
      <c r="Q32" s="65">
        <v>0.41</v>
      </c>
    </row>
    <row r="33" spans="1:17" x14ac:dyDescent="0.4">
      <c r="A33" s="67">
        <v>30</v>
      </c>
      <c r="B33" s="64">
        <v>733.6</v>
      </c>
      <c r="C33" s="64">
        <v>24.453333333333333</v>
      </c>
      <c r="D33" s="69">
        <v>1.5666666666666667</v>
      </c>
      <c r="E33" s="65">
        <v>0.6</v>
      </c>
      <c r="F33" s="65">
        <v>0.16666666666666666</v>
      </c>
      <c r="G33" s="65">
        <v>0.41700404858299595</v>
      </c>
      <c r="H33" s="65">
        <v>0.15789473684210525</v>
      </c>
      <c r="I33" s="66">
        <v>8827.1844660194183</v>
      </c>
      <c r="J33" s="66">
        <v>-7628.2051282051279</v>
      </c>
      <c r="K33" s="65">
        <v>3.3333333333333333E-2</v>
      </c>
      <c r="L33" s="65">
        <v>0.16666666666666666</v>
      </c>
      <c r="M33" s="65">
        <v>0.33603238866396762</v>
      </c>
      <c r="N33" s="65">
        <v>0.27530364372469635</v>
      </c>
      <c r="O33" s="65">
        <v>0.57831325301204817</v>
      </c>
      <c r="P33" s="65">
        <v>0.55882352941176472</v>
      </c>
      <c r="Q33" s="65">
        <v>0.40776699029126212</v>
      </c>
    </row>
    <row r="34" spans="1:17" x14ac:dyDescent="0.4">
      <c r="A34" s="67">
        <v>31</v>
      </c>
      <c r="B34" s="64">
        <v>796.80000000000007</v>
      </c>
      <c r="C34" s="64">
        <v>25.703225806451616</v>
      </c>
      <c r="D34" s="69">
        <v>1.5483870967741935</v>
      </c>
      <c r="E34" s="65">
        <v>0.61290322580645162</v>
      </c>
      <c r="F34" s="65">
        <v>0.16129032258064516</v>
      </c>
      <c r="G34" s="65">
        <v>0.42063492063492064</v>
      </c>
      <c r="H34" s="65">
        <v>0.15476190476190477</v>
      </c>
      <c r="I34" s="66">
        <v>8970.7547169811314</v>
      </c>
      <c r="J34" s="66">
        <v>-7628.2051282051279</v>
      </c>
      <c r="K34" s="65">
        <v>3.2258064516129031E-2</v>
      </c>
      <c r="L34" s="65">
        <v>0.19354838709677419</v>
      </c>
      <c r="M34" s="65">
        <v>0.33730158730158732</v>
      </c>
      <c r="N34" s="65">
        <v>0.27380952380952384</v>
      </c>
      <c r="O34" s="65">
        <v>0.58823529411764708</v>
      </c>
      <c r="P34" s="65">
        <v>0.56521739130434778</v>
      </c>
      <c r="Q34" s="65">
        <v>0.40566037735849059</v>
      </c>
    </row>
    <row r="35" spans="1:17" x14ac:dyDescent="0.4">
      <c r="A35" s="67">
        <v>32</v>
      </c>
      <c r="B35" s="64">
        <v>788.30000000000007</v>
      </c>
      <c r="C35" s="64">
        <v>24.634375000000002</v>
      </c>
      <c r="D35" s="69">
        <v>1.5625</v>
      </c>
      <c r="E35" s="65">
        <v>0.59375</v>
      </c>
      <c r="F35" s="65">
        <v>0.15625</v>
      </c>
      <c r="G35" s="65">
        <v>0.41860465116279072</v>
      </c>
      <c r="H35" s="65">
        <v>0.15503875968992248</v>
      </c>
      <c r="I35" s="66">
        <v>9000.9259259259252</v>
      </c>
      <c r="J35" s="66">
        <v>-7837.5</v>
      </c>
      <c r="K35" s="65">
        <v>3.125E-2</v>
      </c>
      <c r="L35" s="65">
        <v>0.1875</v>
      </c>
      <c r="M35" s="65">
        <v>0.33720930232558138</v>
      </c>
      <c r="N35" s="65">
        <v>0.26744186046511625</v>
      </c>
      <c r="O35" s="65">
        <v>0.5977011494252874</v>
      </c>
      <c r="P35" s="65">
        <v>0.56521739130434778</v>
      </c>
      <c r="Q35" s="65">
        <v>0.39814814814814814</v>
      </c>
    </row>
    <row r="36" spans="1:17" x14ac:dyDescent="0.4">
      <c r="A36" s="67">
        <v>33</v>
      </c>
      <c r="B36" s="64">
        <v>850.1</v>
      </c>
      <c r="C36" s="64">
        <v>25.760606060606062</v>
      </c>
      <c r="D36" s="69">
        <v>1.5454545454545454</v>
      </c>
      <c r="E36" s="65">
        <v>0.60606060606060608</v>
      </c>
      <c r="F36" s="65">
        <v>0.15151515151515152</v>
      </c>
      <c r="G36" s="65">
        <v>0.42696629213483145</v>
      </c>
      <c r="H36" s="65">
        <v>0.15355805243445692</v>
      </c>
      <c r="I36" s="66">
        <v>8933.3333333333339</v>
      </c>
      <c r="J36" s="66">
        <v>-7939.0243902439024</v>
      </c>
      <c r="K36" s="65">
        <v>3.0303030303030304E-2</v>
      </c>
      <c r="L36" s="65">
        <v>0.18181818181818182</v>
      </c>
      <c r="M36" s="65">
        <v>0.34082397003745318</v>
      </c>
      <c r="N36" s="65">
        <v>0.26217228464419473</v>
      </c>
      <c r="O36" s="65">
        <v>0.60439560439560436</v>
      </c>
      <c r="P36" s="65">
        <v>0.5714285714285714</v>
      </c>
      <c r="Q36" s="65">
        <v>0.39473684210526316</v>
      </c>
    </row>
    <row r="37" spans="1:17" x14ac:dyDescent="0.4">
      <c r="A37" s="67">
        <v>34</v>
      </c>
      <c r="B37" s="64">
        <v>875.4</v>
      </c>
      <c r="C37" s="64">
        <v>25.747058823529411</v>
      </c>
      <c r="D37" s="69">
        <v>1.5294117647058822</v>
      </c>
      <c r="E37" s="65">
        <v>0.61764705882352944</v>
      </c>
      <c r="F37" s="65">
        <v>0.14705882352941177</v>
      </c>
      <c r="G37" s="65">
        <v>0.42909090909090908</v>
      </c>
      <c r="H37" s="65">
        <v>0.15272727272727274</v>
      </c>
      <c r="I37" s="66">
        <v>8800.8474576271183</v>
      </c>
      <c r="J37" s="66">
        <v>-7797.6190476190477</v>
      </c>
      <c r="K37" s="65">
        <v>2.9411764705882353E-2</v>
      </c>
      <c r="L37" s="65">
        <v>0.17647058823529413</v>
      </c>
      <c r="M37" s="65">
        <v>0.3418181818181818</v>
      </c>
      <c r="N37" s="65">
        <v>0.25818181818181818</v>
      </c>
      <c r="O37" s="65">
        <v>0.61702127659574468</v>
      </c>
      <c r="P37" s="65">
        <v>0.57746478873239437</v>
      </c>
      <c r="Q37" s="65">
        <v>0.38983050847457629</v>
      </c>
    </row>
    <row r="38" spans="1:17" x14ac:dyDescent="0.4">
      <c r="A38" s="67">
        <v>35</v>
      </c>
      <c r="B38" s="64">
        <v>907.3</v>
      </c>
      <c r="C38" s="64">
        <v>25.92285714285714</v>
      </c>
      <c r="D38" s="69">
        <v>1.5142857142857142</v>
      </c>
      <c r="E38" s="65">
        <v>0.62857142857142856</v>
      </c>
      <c r="F38" s="65">
        <v>0.14285714285714285</v>
      </c>
      <c r="G38" s="65">
        <v>0.42553191489361702</v>
      </c>
      <c r="H38" s="65">
        <v>0.14893617021276595</v>
      </c>
      <c r="I38" s="66">
        <v>8807.5</v>
      </c>
      <c r="J38" s="66">
        <v>-7797.6190476190477</v>
      </c>
      <c r="K38" s="65">
        <v>2.8571428571428571E-2</v>
      </c>
      <c r="L38" s="65">
        <v>0.17142857142857143</v>
      </c>
      <c r="M38" s="65">
        <v>0.33687943262411346</v>
      </c>
      <c r="N38" s="65">
        <v>0.25177304964539005</v>
      </c>
      <c r="O38" s="65">
        <v>0.62105263157894741</v>
      </c>
      <c r="P38" s="65">
        <v>0.57746478873239437</v>
      </c>
      <c r="Q38" s="65">
        <v>0.39166666666666666</v>
      </c>
    </row>
    <row r="39" spans="1:17" x14ac:dyDescent="0.4">
      <c r="A39" s="67">
        <v>36</v>
      </c>
      <c r="B39" s="64">
        <v>976.3</v>
      </c>
      <c r="C39" s="64">
        <v>27.119444444444444</v>
      </c>
      <c r="D39" s="69">
        <v>1.5</v>
      </c>
      <c r="E39" s="65">
        <v>0.63888888888888884</v>
      </c>
      <c r="F39" s="65">
        <v>0.1388888888888889</v>
      </c>
      <c r="G39" s="65">
        <v>0.43006993006993005</v>
      </c>
      <c r="H39" s="65">
        <v>0.14685314685314685</v>
      </c>
      <c r="I39" s="66">
        <v>8982.9268292682918</v>
      </c>
      <c r="J39" s="66">
        <v>-7797.6190476190477</v>
      </c>
      <c r="K39" s="65">
        <v>2.7777777777777776E-2</v>
      </c>
      <c r="L39" s="65">
        <v>0.19444444444444445</v>
      </c>
      <c r="M39" s="65">
        <v>0.33916083916083917</v>
      </c>
      <c r="N39" s="65">
        <v>0.25174825174825177</v>
      </c>
      <c r="O39" s="65">
        <v>0.62886597938144329</v>
      </c>
      <c r="P39" s="65">
        <v>0.58333333333333337</v>
      </c>
      <c r="Q39" s="65">
        <v>0.3902439024390244</v>
      </c>
    </row>
    <row r="40" spans="1:17" x14ac:dyDescent="0.4">
      <c r="A40" s="67">
        <v>37</v>
      </c>
      <c r="B40" s="64">
        <v>1013</v>
      </c>
      <c r="C40" s="64">
        <v>27.378378378378379</v>
      </c>
      <c r="D40" s="69">
        <v>1.4864864864864864</v>
      </c>
      <c r="E40" s="65">
        <v>0.64864864864864868</v>
      </c>
      <c r="F40" s="65">
        <v>0.13513513513513514</v>
      </c>
      <c r="G40" s="65">
        <v>0.42711864406779659</v>
      </c>
      <c r="H40" s="65">
        <v>0.14915254237288136</v>
      </c>
      <c r="I40" s="66">
        <v>9000.7936507936502</v>
      </c>
      <c r="J40" s="66">
        <v>-7561.363636363636</v>
      </c>
      <c r="K40" s="65">
        <v>2.7027027027027029E-2</v>
      </c>
      <c r="L40" s="65">
        <v>0.1891891891891892</v>
      </c>
      <c r="M40" s="65">
        <v>0.34237288135593219</v>
      </c>
      <c r="N40" s="65">
        <v>0.25423728813559321</v>
      </c>
      <c r="O40" s="65">
        <v>0.63366336633663367</v>
      </c>
      <c r="P40" s="65">
        <v>0.56000000000000005</v>
      </c>
      <c r="Q40" s="65">
        <v>0.3888888888888889</v>
      </c>
    </row>
    <row r="41" spans="1:17" x14ac:dyDescent="0.4">
      <c r="A41" s="67">
        <v>38</v>
      </c>
      <c r="B41" s="64">
        <v>1082.5999999999999</v>
      </c>
      <c r="C41" s="64">
        <v>28.489473684210523</v>
      </c>
      <c r="D41" s="69">
        <v>1.4736842105263157</v>
      </c>
      <c r="E41" s="65">
        <v>0.65789473684210531</v>
      </c>
      <c r="F41" s="65">
        <v>0.13157894736842105</v>
      </c>
      <c r="G41" s="65">
        <v>0.42857142857142855</v>
      </c>
      <c r="H41" s="65">
        <v>0.1461794019933555</v>
      </c>
      <c r="I41" s="66">
        <v>9160.4651162790706</v>
      </c>
      <c r="J41" s="66">
        <v>-7561.363636363636</v>
      </c>
      <c r="K41" s="65">
        <v>2.6315789473684209E-2</v>
      </c>
      <c r="L41" s="65">
        <v>0.21052631578947367</v>
      </c>
      <c r="M41" s="65">
        <v>0.34219269102990035</v>
      </c>
      <c r="N41" s="65">
        <v>0.25249169435215946</v>
      </c>
      <c r="O41" s="65">
        <v>0.64077669902912626</v>
      </c>
      <c r="P41" s="65">
        <v>0.55263157894736847</v>
      </c>
      <c r="Q41" s="65">
        <v>0.40310077519379844</v>
      </c>
    </row>
    <row r="42" spans="1:17" x14ac:dyDescent="0.4">
      <c r="A42" s="67">
        <v>39</v>
      </c>
      <c r="B42" s="64">
        <v>1131.0999999999999</v>
      </c>
      <c r="C42" s="64">
        <v>29.002564102564101</v>
      </c>
      <c r="D42" s="69">
        <v>1.4615384615384615</v>
      </c>
      <c r="E42" s="65">
        <v>0.66666666666666663</v>
      </c>
      <c r="F42" s="65">
        <v>0.12820512820512819</v>
      </c>
      <c r="G42" s="65">
        <v>0.42718446601941745</v>
      </c>
      <c r="H42" s="65">
        <v>0.14563106796116504</v>
      </c>
      <c r="I42" s="66">
        <v>9225</v>
      </c>
      <c r="J42" s="66">
        <v>-7571.1111111111113</v>
      </c>
      <c r="K42" s="65">
        <v>2.564102564102564E-2</v>
      </c>
      <c r="L42" s="65">
        <v>0.23076923076923078</v>
      </c>
      <c r="M42" s="65">
        <v>0.34627831715210355</v>
      </c>
      <c r="N42" s="65">
        <v>0.25242718446601942</v>
      </c>
      <c r="O42" s="65">
        <v>0.63551401869158874</v>
      </c>
      <c r="P42" s="65">
        <v>0.55128205128205132</v>
      </c>
      <c r="Q42" s="65">
        <v>0.40151515151515149</v>
      </c>
    </row>
    <row r="43" spans="1:17" x14ac:dyDescent="0.4">
      <c r="A43" s="67">
        <v>40</v>
      </c>
      <c r="B43" s="64">
        <v>1078.8</v>
      </c>
      <c r="C43" s="64">
        <v>26.97</v>
      </c>
      <c r="D43" s="69">
        <v>1.5</v>
      </c>
      <c r="E43" s="65">
        <v>0.65</v>
      </c>
      <c r="F43" s="65">
        <v>0.15</v>
      </c>
      <c r="G43" s="65">
        <v>0.42236024844720499</v>
      </c>
      <c r="H43" s="65">
        <v>0.15217391304347827</v>
      </c>
      <c r="I43" s="66">
        <v>9195.5882352941171</v>
      </c>
      <c r="J43" s="66">
        <v>-7897.9591836734689</v>
      </c>
      <c r="K43" s="65">
        <v>2.5000000000000001E-2</v>
      </c>
      <c r="L43" s="65">
        <v>0.22500000000000001</v>
      </c>
      <c r="M43" s="65">
        <v>0.34161490683229812</v>
      </c>
      <c r="N43" s="65">
        <v>0.24534161490683229</v>
      </c>
      <c r="O43" s="65">
        <v>0.63636363636363635</v>
      </c>
      <c r="P43" s="65">
        <v>0.55696202531645567</v>
      </c>
      <c r="Q43" s="65">
        <v>0.40441176470588236</v>
      </c>
    </row>
    <row r="44" spans="1:17" x14ac:dyDescent="0.4">
      <c r="A44" s="67">
        <v>41</v>
      </c>
      <c r="B44" s="64">
        <v>1114</v>
      </c>
      <c r="C44" s="64">
        <v>27.170731707317074</v>
      </c>
      <c r="D44" s="69">
        <v>1.4878048780487805</v>
      </c>
      <c r="E44" s="65">
        <v>0.65853658536585369</v>
      </c>
      <c r="F44" s="65">
        <v>0.14634146341463414</v>
      </c>
      <c r="G44" s="65">
        <v>0.42073170731707316</v>
      </c>
      <c r="H44" s="65">
        <v>0.14939024390243902</v>
      </c>
      <c r="I44" s="66">
        <v>9236.2318840579719</v>
      </c>
      <c r="J44" s="66">
        <v>-7897.9591836734689</v>
      </c>
      <c r="K44" s="65">
        <v>2.4390243902439025E-2</v>
      </c>
      <c r="L44" s="65">
        <v>0.21951219512195122</v>
      </c>
      <c r="M44" s="65">
        <v>0.33841463414634149</v>
      </c>
      <c r="N44" s="65">
        <v>0.24390243902439024</v>
      </c>
      <c r="O44" s="65">
        <v>0.63963963963963966</v>
      </c>
      <c r="P44" s="65">
        <v>0.5625</v>
      </c>
      <c r="Q44" s="65">
        <v>0.39855072463768115</v>
      </c>
    </row>
    <row r="45" spans="1:17" x14ac:dyDescent="0.4">
      <c r="A45" s="67">
        <v>42</v>
      </c>
      <c r="B45" s="64">
        <v>1147.5</v>
      </c>
      <c r="C45" s="64">
        <v>27.321428571428573</v>
      </c>
      <c r="D45" s="69">
        <v>1.4761904761904763</v>
      </c>
      <c r="E45" s="65">
        <v>0.66666666666666663</v>
      </c>
      <c r="F45" s="65">
        <v>0.14285714285714285</v>
      </c>
      <c r="G45" s="65">
        <v>0.42215568862275449</v>
      </c>
      <c r="H45" s="65">
        <v>0.1497005988023952</v>
      </c>
      <c r="I45" s="66">
        <v>9200</v>
      </c>
      <c r="J45" s="66">
        <v>-7844</v>
      </c>
      <c r="K45" s="65">
        <v>2.3809523809523808E-2</v>
      </c>
      <c r="L45" s="65">
        <v>0.21428571428571427</v>
      </c>
      <c r="M45" s="65">
        <v>0.33832335329341318</v>
      </c>
      <c r="N45" s="65">
        <v>0.23952095808383234</v>
      </c>
      <c r="O45" s="65">
        <v>0.63716814159292035</v>
      </c>
      <c r="P45" s="65">
        <v>0.5625</v>
      </c>
      <c r="Q45" s="65">
        <v>0.3971631205673759</v>
      </c>
    </row>
    <row r="46" spans="1:17" x14ac:dyDescent="0.4">
      <c r="A46" s="67">
        <v>43</v>
      </c>
      <c r="B46" s="64">
        <v>1151</v>
      </c>
      <c r="C46" s="64">
        <v>26.767441860465116</v>
      </c>
      <c r="D46" s="69">
        <v>1.4883720930232558</v>
      </c>
      <c r="E46" s="65">
        <v>0.65116279069767447</v>
      </c>
      <c r="F46" s="65">
        <v>0.13953488372093023</v>
      </c>
      <c r="G46" s="65">
        <v>0.41935483870967744</v>
      </c>
      <c r="H46" s="65">
        <v>0.1466275659824047</v>
      </c>
      <c r="I46" s="66">
        <v>9323.0769230769238</v>
      </c>
      <c r="J46" s="66">
        <v>-7844</v>
      </c>
      <c r="K46" s="65">
        <v>2.3255813953488372E-2</v>
      </c>
      <c r="L46" s="65">
        <v>0.20930232558139536</v>
      </c>
      <c r="M46" s="65">
        <v>0.33724340175953077</v>
      </c>
      <c r="N46" s="65">
        <v>0.2404692082111437</v>
      </c>
      <c r="O46" s="65">
        <v>0.63478260869565217</v>
      </c>
      <c r="P46" s="65">
        <v>0.56097560975609762</v>
      </c>
      <c r="Q46" s="65">
        <v>0.40559440559440557</v>
      </c>
    </row>
    <row r="47" spans="1:17" x14ac:dyDescent="0.4">
      <c r="A47" s="67">
        <v>44</v>
      </c>
      <c r="B47" s="64">
        <v>1208</v>
      </c>
      <c r="C47" s="64">
        <v>27.454545454545453</v>
      </c>
      <c r="D47" s="69">
        <v>1.4772727272727273</v>
      </c>
      <c r="E47" s="65">
        <v>0.65909090909090906</v>
      </c>
      <c r="F47" s="65">
        <v>0.13636363636363635</v>
      </c>
      <c r="G47" s="65">
        <v>0.42241379310344829</v>
      </c>
      <c r="H47" s="65">
        <v>0.14655172413793102</v>
      </c>
      <c r="I47" s="66">
        <v>9407.4829931972781</v>
      </c>
      <c r="J47" s="66">
        <v>-7925.4901960784309</v>
      </c>
      <c r="K47" s="65">
        <v>2.2727272727272728E-2</v>
      </c>
      <c r="L47" s="65">
        <v>0.22727272727272727</v>
      </c>
      <c r="M47" s="65">
        <v>0.33908045977011492</v>
      </c>
      <c r="N47" s="65">
        <v>0.2413793103448276</v>
      </c>
      <c r="O47" s="65">
        <v>0.64406779661016944</v>
      </c>
      <c r="P47" s="65">
        <v>0.55952380952380953</v>
      </c>
      <c r="Q47" s="65">
        <v>0.39455782312925169</v>
      </c>
    </row>
    <row r="48" spans="1:17" x14ac:dyDescent="0.4">
      <c r="A48" s="67">
        <v>45</v>
      </c>
      <c r="B48" s="64">
        <v>1203.5999999999999</v>
      </c>
      <c r="C48" s="64">
        <v>26.746666666666666</v>
      </c>
      <c r="D48" s="69">
        <v>1.4888888888888889</v>
      </c>
      <c r="E48" s="65">
        <v>0.64444444444444449</v>
      </c>
      <c r="F48" s="65">
        <v>0.13333333333333333</v>
      </c>
      <c r="G48" s="65">
        <v>0.42134831460674155</v>
      </c>
      <c r="H48" s="65">
        <v>0.14606741573033707</v>
      </c>
      <c r="I48" s="66">
        <v>9310.6666666666661</v>
      </c>
      <c r="J48" s="66">
        <v>-7823.0769230769229</v>
      </c>
      <c r="K48" s="65">
        <v>2.2222222222222223E-2</v>
      </c>
      <c r="L48" s="65">
        <v>0.22222222222222221</v>
      </c>
      <c r="M48" s="65">
        <v>0.3398876404494382</v>
      </c>
      <c r="N48" s="65">
        <v>0.2443820224719101</v>
      </c>
      <c r="O48" s="65">
        <v>0.64462809917355368</v>
      </c>
      <c r="P48" s="65">
        <v>0.55172413793103448</v>
      </c>
      <c r="Q48" s="65">
        <v>0.39333333333333331</v>
      </c>
    </row>
    <row r="49" spans="1:17" x14ac:dyDescent="0.4">
      <c r="A49" s="67">
        <v>46</v>
      </c>
      <c r="B49" s="64">
        <v>1212.5999999999999</v>
      </c>
      <c r="C49" s="64">
        <v>26.360869565217389</v>
      </c>
      <c r="D49" s="69">
        <v>1.5</v>
      </c>
      <c r="E49" s="65">
        <v>0.63043478260869568</v>
      </c>
      <c r="F49" s="65">
        <v>0.13043478260869565</v>
      </c>
      <c r="G49" s="65">
        <v>0.41944444444444445</v>
      </c>
      <c r="H49" s="65">
        <v>0.14722222222222223</v>
      </c>
      <c r="I49" s="66">
        <v>9407.9470198675499</v>
      </c>
      <c r="J49" s="66">
        <v>-8015.0943396226412</v>
      </c>
      <c r="K49" s="65">
        <v>2.1739130434782608E-2</v>
      </c>
      <c r="L49" s="65">
        <v>0.21739130434782608</v>
      </c>
      <c r="M49" s="65">
        <v>0.33888888888888891</v>
      </c>
      <c r="N49" s="65">
        <v>0.25</v>
      </c>
      <c r="O49" s="65">
        <v>0.64754098360655743</v>
      </c>
      <c r="P49" s="65">
        <v>0.53333333333333333</v>
      </c>
      <c r="Q49" s="65">
        <v>0.39072847682119205</v>
      </c>
    </row>
    <row r="50" spans="1:17" x14ac:dyDescent="0.4">
      <c r="A50" s="67">
        <v>47</v>
      </c>
      <c r="B50" s="64">
        <v>1264.5</v>
      </c>
      <c r="C50" s="64">
        <v>26.904255319148938</v>
      </c>
      <c r="D50" s="69">
        <v>1.4893617021276595</v>
      </c>
      <c r="E50" s="65">
        <v>0.63829787234042556</v>
      </c>
      <c r="F50" s="65">
        <v>0.1276595744680851</v>
      </c>
      <c r="G50" s="65">
        <v>0.42349726775956287</v>
      </c>
      <c r="H50" s="65">
        <v>0.1448087431693989</v>
      </c>
      <c r="I50" s="66">
        <v>9387.0967741935492</v>
      </c>
      <c r="J50" s="66">
        <v>-8015.0943396226412</v>
      </c>
      <c r="K50" s="65">
        <v>2.1276595744680851E-2</v>
      </c>
      <c r="L50" s="65">
        <v>0.23404255319148937</v>
      </c>
      <c r="M50" s="65">
        <v>0.33606557377049179</v>
      </c>
      <c r="N50" s="65">
        <v>0.25409836065573771</v>
      </c>
      <c r="O50" s="65">
        <v>0.65040650406504064</v>
      </c>
      <c r="P50" s="65">
        <v>0.54838709677419351</v>
      </c>
      <c r="Q50" s="65">
        <v>0.3935483870967742</v>
      </c>
    </row>
    <row r="51" spans="1:17" x14ac:dyDescent="0.4">
      <c r="A51" s="67">
        <v>48</v>
      </c>
      <c r="B51" s="64">
        <v>1259.3</v>
      </c>
      <c r="C51" s="64">
        <v>26.235416666666666</v>
      </c>
      <c r="D51" s="69">
        <v>1.5</v>
      </c>
      <c r="E51" s="65">
        <v>0.625</v>
      </c>
      <c r="F51" s="65">
        <v>0.125</v>
      </c>
      <c r="G51" s="65">
        <v>0.42021276595744683</v>
      </c>
      <c r="H51" s="65">
        <v>0.14627659574468085</v>
      </c>
      <c r="I51" s="66">
        <v>9332.9113924050635</v>
      </c>
      <c r="J51" s="66">
        <v>-8087.272727272727</v>
      </c>
      <c r="K51" s="65">
        <v>2.0833333333333332E-2</v>
      </c>
      <c r="L51" s="65">
        <v>0.22916666666666666</v>
      </c>
      <c r="M51" s="65">
        <v>0.33510638297872342</v>
      </c>
      <c r="N51" s="65">
        <v>0.25797872340425532</v>
      </c>
      <c r="O51" s="65">
        <v>0.65079365079365081</v>
      </c>
      <c r="P51" s="65">
        <v>0.53608247422680411</v>
      </c>
      <c r="Q51" s="65">
        <v>0.39873417721518989</v>
      </c>
    </row>
    <row r="52" spans="1:17" x14ac:dyDescent="0.4">
      <c r="A52" s="67">
        <v>49</v>
      </c>
      <c r="B52" s="64">
        <v>1289.8999999999999</v>
      </c>
      <c r="C52" s="64">
        <v>26.324489795918364</v>
      </c>
      <c r="D52" s="69">
        <v>1.489795918367347</v>
      </c>
      <c r="E52" s="65">
        <v>0.63265306122448983</v>
      </c>
      <c r="F52" s="65">
        <v>0.12244897959183673</v>
      </c>
      <c r="G52" s="65">
        <v>0.42297650130548303</v>
      </c>
      <c r="H52" s="65">
        <v>0.14360313315926893</v>
      </c>
      <c r="I52" s="66">
        <v>9259.2592592592591</v>
      </c>
      <c r="J52" s="66">
        <v>-8087.272727272727</v>
      </c>
      <c r="K52" s="65">
        <v>2.0408163265306121E-2</v>
      </c>
      <c r="L52" s="65">
        <v>0.22448979591836735</v>
      </c>
      <c r="M52" s="65">
        <v>0.33420365535248042</v>
      </c>
      <c r="N52" s="65">
        <v>0.25587467362924282</v>
      </c>
      <c r="O52" s="65">
        <v>0.65625</v>
      </c>
      <c r="P52" s="65">
        <v>0.54081632653061229</v>
      </c>
      <c r="Q52" s="65">
        <v>0.39506172839506171</v>
      </c>
    </row>
    <row r="53" spans="1:17" x14ac:dyDescent="0.4">
      <c r="A53" s="67">
        <v>50</v>
      </c>
      <c r="B53" s="64">
        <v>1288.5999999999999</v>
      </c>
      <c r="C53" s="64">
        <v>25.771999999999998</v>
      </c>
      <c r="D53" s="69">
        <v>1.5</v>
      </c>
      <c r="E53" s="65">
        <v>0.62</v>
      </c>
      <c r="F53" s="65">
        <v>0.12</v>
      </c>
      <c r="G53" s="65">
        <v>0.41624365482233505</v>
      </c>
      <c r="H53" s="65">
        <v>0.14467005076142131</v>
      </c>
      <c r="I53" s="66">
        <v>9251.2195121951227</v>
      </c>
      <c r="J53" s="66">
        <v>-7889.4736842105267</v>
      </c>
      <c r="K53" s="65">
        <v>0.02</v>
      </c>
      <c r="L53" s="65">
        <v>0.22</v>
      </c>
      <c r="M53" s="65">
        <v>0.33248730964467005</v>
      </c>
      <c r="N53" s="65">
        <v>0.2512690355329949</v>
      </c>
      <c r="O53" s="65">
        <v>0.64885496183206104</v>
      </c>
      <c r="P53" s="65">
        <v>0.54545454545454541</v>
      </c>
      <c r="Q53" s="65">
        <v>0.39634146341463417</v>
      </c>
    </row>
    <row r="54" spans="1:17" x14ac:dyDescent="0.4">
      <c r="A54" s="67">
        <v>51</v>
      </c>
      <c r="B54" s="64">
        <v>1284.5</v>
      </c>
      <c r="C54" s="64">
        <v>25.186274509803923</v>
      </c>
      <c r="D54" s="69">
        <v>1.5098039215686274</v>
      </c>
      <c r="E54" s="65">
        <v>0.60784313725490191</v>
      </c>
      <c r="F54" s="65">
        <v>0.11764705882352941</v>
      </c>
      <c r="G54" s="65">
        <v>0.41687344913151364</v>
      </c>
      <c r="H54" s="65">
        <v>0.14392059553349876</v>
      </c>
      <c r="I54" s="66">
        <v>9112.5</v>
      </c>
      <c r="J54" s="66">
        <v>-7960.3448275862065</v>
      </c>
      <c r="K54" s="65">
        <v>1.9607843137254902E-2</v>
      </c>
      <c r="L54" s="65">
        <v>0.21568627450980393</v>
      </c>
      <c r="M54" s="65">
        <v>0.33250620347394538</v>
      </c>
      <c r="N54" s="65">
        <v>0.25310173697270472</v>
      </c>
      <c r="O54" s="65">
        <v>0.64179104477611937</v>
      </c>
      <c r="P54" s="65">
        <v>0.55882352941176472</v>
      </c>
      <c r="Q54" s="65">
        <v>0.39285714285714285</v>
      </c>
    </row>
    <row r="55" spans="1:17" x14ac:dyDescent="0.4">
      <c r="A55" s="67">
        <v>52</v>
      </c>
      <c r="B55" s="64">
        <v>1318.2</v>
      </c>
      <c r="C55" s="64">
        <v>25.35</v>
      </c>
      <c r="D55" s="69">
        <v>1.5</v>
      </c>
      <c r="E55" s="65">
        <v>0.61538461538461542</v>
      </c>
      <c r="F55" s="65">
        <v>0.11538461538461539</v>
      </c>
      <c r="G55" s="65">
        <v>0.41445783132530123</v>
      </c>
      <c r="H55" s="65">
        <v>0.14216867469879518</v>
      </c>
      <c r="I55" s="66">
        <v>9091.2790697674427</v>
      </c>
      <c r="J55" s="66">
        <v>-7961.0169491525421</v>
      </c>
      <c r="K55" s="65">
        <v>1.9230769230769232E-2</v>
      </c>
      <c r="L55" s="65">
        <v>0.21153846153846154</v>
      </c>
      <c r="M55" s="65">
        <v>0.33493975903614459</v>
      </c>
      <c r="N55" s="65">
        <v>0.25060240963855424</v>
      </c>
      <c r="O55" s="65">
        <v>0.64028776978417268</v>
      </c>
      <c r="P55" s="65">
        <v>0.55769230769230771</v>
      </c>
      <c r="Q55" s="65">
        <v>0.39534883720930231</v>
      </c>
    </row>
    <row r="56" spans="1:17" x14ac:dyDescent="0.4">
      <c r="A56" s="67">
        <v>53</v>
      </c>
      <c r="B56" s="64">
        <v>1374.2</v>
      </c>
      <c r="C56" s="64">
        <v>25.928301886792454</v>
      </c>
      <c r="D56" s="69">
        <v>1.4905660377358489</v>
      </c>
      <c r="E56" s="65">
        <v>0.62264150943396224</v>
      </c>
      <c r="F56" s="65">
        <v>0.11320754716981132</v>
      </c>
      <c r="G56" s="65">
        <v>0.41706161137440756</v>
      </c>
      <c r="H56" s="65">
        <v>0.13981042654028436</v>
      </c>
      <c r="I56" s="66">
        <v>9131.818181818182</v>
      </c>
      <c r="J56" s="66">
        <v>-7961.0169491525421</v>
      </c>
      <c r="K56" s="65">
        <v>1.8867924528301886E-2</v>
      </c>
      <c r="L56" s="65">
        <v>0.22641509433962265</v>
      </c>
      <c r="M56" s="65">
        <v>0.33175355450236965</v>
      </c>
      <c r="N56" s="65">
        <v>0.24881516587677724</v>
      </c>
      <c r="O56" s="65">
        <v>0.6428571428571429</v>
      </c>
      <c r="P56" s="65">
        <v>0.56190476190476191</v>
      </c>
      <c r="Q56" s="65">
        <v>0.39204545454545453</v>
      </c>
    </row>
    <row r="57" spans="1:17" x14ac:dyDescent="0.4">
      <c r="A57" s="67">
        <v>54</v>
      </c>
      <c r="B57" s="64">
        <v>1316.2</v>
      </c>
      <c r="C57" s="64">
        <v>24.374074074074073</v>
      </c>
      <c r="D57" s="69">
        <v>1.5185185185185186</v>
      </c>
      <c r="E57" s="65">
        <v>0.61111111111111116</v>
      </c>
      <c r="F57" s="65">
        <v>0.12962962962962962</v>
      </c>
      <c r="G57" s="65">
        <v>0.41025641025641024</v>
      </c>
      <c r="H57" s="65">
        <v>0.14219114219114218</v>
      </c>
      <c r="I57" s="66">
        <v>9131.818181818182</v>
      </c>
      <c r="J57" s="66">
        <v>-7873.7704918032787</v>
      </c>
      <c r="K57" s="65">
        <v>3.7037037037037035E-2</v>
      </c>
      <c r="L57" s="65">
        <v>0.22222222222222221</v>
      </c>
      <c r="M57" s="65">
        <v>0.32867132867132864</v>
      </c>
      <c r="N57" s="65">
        <v>0.24475524475524477</v>
      </c>
      <c r="O57" s="65">
        <v>0.63829787234042556</v>
      </c>
      <c r="P57" s="65">
        <v>0.56190476190476191</v>
      </c>
      <c r="Q57" s="65">
        <v>0.39204545454545453</v>
      </c>
    </row>
    <row r="58" spans="1:17" x14ac:dyDescent="0.4">
      <c r="A58" s="67">
        <v>55</v>
      </c>
      <c r="B58" s="64">
        <v>1417.2</v>
      </c>
      <c r="C58" s="64">
        <v>25.767272727272729</v>
      </c>
      <c r="D58" s="69">
        <v>1.509090909090909</v>
      </c>
      <c r="E58" s="65">
        <v>0.61818181818181817</v>
      </c>
      <c r="F58" s="65">
        <v>0.12727272727272726</v>
      </c>
      <c r="G58" s="65">
        <v>0.41474654377880182</v>
      </c>
      <c r="H58" s="65">
        <v>0.14055299539170507</v>
      </c>
      <c r="I58" s="66">
        <v>9417.7777777777774</v>
      </c>
      <c r="J58" s="66">
        <v>-7873.7704918032787</v>
      </c>
      <c r="K58" s="65">
        <v>3.6363636363636362E-2</v>
      </c>
      <c r="L58" s="65">
        <v>0.23636363636363636</v>
      </c>
      <c r="M58" s="65">
        <v>0.33179723502304148</v>
      </c>
      <c r="N58" s="65">
        <v>0.24193548387096775</v>
      </c>
      <c r="O58" s="65">
        <v>0.64583333333333337</v>
      </c>
      <c r="P58" s="65">
        <v>0.56190476190476191</v>
      </c>
      <c r="Q58" s="65">
        <v>0.39444444444444443</v>
      </c>
    </row>
    <row r="59" spans="1:17" x14ac:dyDescent="0.4">
      <c r="A59" s="67">
        <v>56</v>
      </c>
      <c r="B59" s="64">
        <v>1510.1000000000001</v>
      </c>
      <c r="C59" s="64">
        <v>26.966071428571432</v>
      </c>
      <c r="D59" s="69">
        <v>1.5</v>
      </c>
      <c r="E59" s="65">
        <v>0.625</v>
      </c>
      <c r="F59" s="65">
        <v>0.125</v>
      </c>
      <c r="G59" s="65">
        <v>0.41723356009070295</v>
      </c>
      <c r="H59" s="65">
        <v>0.14058956916099774</v>
      </c>
      <c r="I59" s="66">
        <v>9617.391304347826</v>
      </c>
      <c r="J59" s="66">
        <v>-7875.8064516129034</v>
      </c>
      <c r="K59" s="65">
        <v>3.5714285714285712E-2</v>
      </c>
      <c r="L59" s="65">
        <v>0.25</v>
      </c>
      <c r="M59" s="65">
        <v>0.33333333333333331</v>
      </c>
      <c r="N59" s="65">
        <v>0.23809523809523808</v>
      </c>
      <c r="O59" s="65">
        <v>0.6462585034013606</v>
      </c>
      <c r="P59" s="65">
        <v>0.56190476190476191</v>
      </c>
      <c r="Q59" s="65">
        <v>0.40217391304347827</v>
      </c>
    </row>
    <row r="60" spans="1:17" x14ac:dyDescent="0.4">
      <c r="A60" s="67">
        <v>57</v>
      </c>
      <c r="B60" s="64">
        <v>1479.8000000000002</v>
      </c>
      <c r="C60" s="64">
        <v>25.961403508771934</v>
      </c>
      <c r="D60" s="69">
        <v>1.5263157894736843</v>
      </c>
      <c r="E60" s="65">
        <v>0.61403508771929827</v>
      </c>
      <c r="F60" s="65">
        <v>0.14035087719298245</v>
      </c>
      <c r="G60" s="65">
        <v>0.41425389755011138</v>
      </c>
      <c r="H60" s="65">
        <v>0.14031180400890869</v>
      </c>
      <c r="I60" s="66">
        <v>9576.8817204301067</v>
      </c>
      <c r="J60" s="66">
        <v>-7877.7777777777774</v>
      </c>
      <c r="K60" s="65">
        <v>3.5087719298245612E-2</v>
      </c>
      <c r="L60" s="65">
        <v>0.24561403508771928</v>
      </c>
      <c r="M60" s="65">
        <v>0.33407572383073497</v>
      </c>
      <c r="N60" s="65">
        <v>0.23830734966592429</v>
      </c>
      <c r="O60" s="65">
        <v>0.64</v>
      </c>
      <c r="P60" s="65">
        <v>0.56074766355140182</v>
      </c>
      <c r="Q60" s="65">
        <v>0.40322580645161288</v>
      </c>
    </row>
    <row r="61" spans="1:17" x14ac:dyDescent="0.4">
      <c r="A61" s="67">
        <v>58</v>
      </c>
      <c r="B61" s="64">
        <v>1509.2000000000003</v>
      </c>
      <c r="C61" s="64">
        <v>26.020689655172418</v>
      </c>
      <c r="D61" s="69">
        <v>1.5172413793103448</v>
      </c>
      <c r="E61" s="65">
        <v>0.62068965517241381</v>
      </c>
      <c r="F61" s="65">
        <v>0.13793103448275862</v>
      </c>
      <c r="G61" s="65">
        <v>0.41318681318681316</v>
      </c>
      <c r="H61" s="65">
        <v>0.14065934065934066</v>
      </c>
      <c r="I61" s="66">
        <v>9556.9148936170204</v>
      </c>
      <c r="J61" s="66">
        <v>-7785.9375</v>
      </c>
      <c r="K61" s="65">
        <v>3.4482758620689655E-2</v>
      </c>
      <c r="L61" s="65">
        <v>0.2413793103448276</v>
      </c>
      <c r="M61" s="65">
        <v>0.33186813186813185</v>
      </c>
      <c r="N61" s="65">
        <v>0.23956043956043957</v>
      </c>
      <c r="O61" s="65">
        <v>0.64238410596026485</v>
      </c>
      <c r="P61" s="65">
        <v>0.55963302752293576</v>
      </c>
      <c r="Q61" s="65">
        <v>0.40425531914893614</v>
      </c>
    </row>
    <row r="62" spans="1:17" x14ac:dyDescent="0.4">
      <c r="A62" s="67">
        <v>59</v>
      </c>
      <c r="B62" s="64">
        <v>1518.2000000000003</v>
      </c>
      <c r="C62" s="64">
        <v>25.732203389830513</v>
      </c>
      <c r="D62" s="69">
        <v>1.5254237288135593</v>
      </c>
      <c r="E62" s="65">
        <v>0.61016949152542377</v>
      </c>
      <c r="F62" s="65">
        <v>0.13559322033898305</v>
      </c>
      <c r="G62" s="65">
        <v>0.41304347826086957</v>
      </c>
      <c r="H62" s="65">
        <v>0.1391304347826087</v>
      </c>
      <c r="I62" s="66">
        <v>9561.5789473684217</v>
      </c>
      <c r="J62" s="66">
        <v>-7785.9375</v>
      </c>
      <c r="K62" s="65">
        <v>3.3898305084745763E-2</v>
      </c>
      <c r="L62" s="65">
        <v>0.23728813559322035</v>
      </c>
      <c r="M62" s="65">
        <v>0.32826086956521738</v>
      </c>
      <c r="N62" s="65">
        <v>0.2391304347826087</v>
      </c>
      <c r="O62" s="65">
        <v>0.64238410596026485</v>
      </c>
      <c r="P62" s="65">
        <v>0.5636363636363636</v>
      </c>
      <c r="Q62" s="65">
        <v>0.40526315789473683</v>
      </c>
    </row>
    <row r="63" spans="1:17" x14ac:dyDescent="0.4">
      <c r="A63" s="67">
        <v>60</v>
      </c>
      <c r="B63" s="64">
        <v>1549.0000000000002</v>
      </c>
      <c r="C63" s="64">
        <v>25.81666666666667</v>
      </c>
      <c r="D63" s="69">
        <v>1.5166666666666666</v>
      </c>
      <c r="E63" s="65">
        <v>0.6166666666666667</v>
      </c>
      <c r="F63" s="65">
        <v>0.13333333333333333</v>
      </c>
      <c r="G63" s="65">
        <v>0.41188959660297242</v>
      </c>
      <c r="H63" s="65">
        <v>0.13800424628450106</v>
      </c>
      <c r="I63" s="66">
        <v>9523.1958762886607</v>
      </c>
      <c r="J63" s="66">
        <v>-7740</v>
      </c>
      <c r="K63" s="65">
        <v>3.3333333333333333E-2</v>
      </c>
      <c r="L63" s="65">
        <v>0.23333333333333334</v>
      </c>
      <c r="M63" s="65">
        <v>0.32696390658174096</v>
      </c>
      <c r="N63" s="65">
        <v>0.24203821656050956</v>
      </c>
      <c r="O63" s="65">
        <v>0.63636363636363635</v>
      </c>
      <c r="P63" s="65">
        <v>0.57017543859649122</v>
      </c>
      <c r="Q63" s="65">
        <v>0.40206185567010311</v>
      </c>
    </row>
    <row r="64" spans="1:17" x14ac:dyDescent="0.4">
      <c r="A64" s="67">
        <v>61</v>
      </c>
      <c r="B64" s="64">
        <v>1585.4000000000003</v>
      </c>
      <c r="C64" s="64">
        <v>25.990163934426235</v>
      </c>
      <c r="D64" s="69">
        <v>1.5081967213114753</v>
      </c>
      <c r="E64" s="65">
        <v>0.62295081967213117</v>
      </c>
      <c r="F64" s="65">
        <v>0.13114754098360656</v>
      </c>
      <c r="G64" s="65">
        <v>0.41249999999999998</v>
      </c>
      <c r="H64" s="65">
        <v>0.13541666666666666</v>
      </c>
      <c r="I64" s="66">
        <v>9479.2929292929293</v>
      </c>
      <c r="J64" s="66">
        <v>-7740</v>
      </c>
      <c r="K64" s="65">
        <v>3.2786885245901641E-2</v>
      </c>
      <c r="L64" s="65">
        <v>0.22950819672131148</v>
      </c>
      <c r="M64" s="65">
        <v>0.33124999999999999</v>
      </c>
      <c r="N64" s="65">
        <v>0.23958333333333334</v>
      </c>
      <c r="O64" s="65">
        <v>0.62893081761006286</v>
      </c>
      <c r="P64" s="65">
        <v>0.57391304347826089</v>
      </c>
      <c r="Q64" s="65">
        <v>0.39898989898989901</v>
      </c>
    </row>
    <row r="65" spans="1:17" x14ac:dyDescent="0.4">
      <c r="A65" s="67">
        <v>62</v>
      </c>
      <c r="B65" s="64">
        <v>1624.9000000000003</v>
      </c>
      <c r="C65" s="64">
        <v>26.208064516129038</v>
      </c>
      <c r="D65" s="69">
        <v>1.5</v>
      </c>
      <c r="E65" s="65">
        <v>0.62903225806451613</v>
      </c>
      <c r="F65" s="65">
        <v>0.12903225806451613</v>
      </c>
      <c r="G65" s="65">
        <v>0.41308793456032722</v>
      </c>
      <c r="H65" s="65">
        <v>0.13701431492842536</v>
      </c>
      <c r="I65" s="66">
        <v>9495.5445544554459</v>
      </c>
      <c r="J65" s="66">
        <v>-7634.3283582089553</v>
      </c>
      <c r="K65" s="65">
        <v>3.2258064516129031E-2</v>
      </c>
      <c r="L65" s="65">
        <v>0.22580645161290322</v>
      </c>
      <c r="M65" s="65">
        <v>0.33537832310838445</v>
      </c>
      <c r="N65" s="65">
        <v>0.24130879345603273</v>
      </c>
      <c r="O65" s="65">
        <v>0.63414634146341464</v>
      </c>
      <c r="P65" s="65">
        <v>0.55932203389830504</v>
      </c>
      <c r="Q65" s="65">
        <v>0.39603960396039606</v>
      </c>
    </row>
    <row r="66" spans="1:17" x14ac:dyDescent="0.4">
      <c r="A66" s="67">
        <v>63</v>
      </c>
      <c r="B66" s="64">
        <v>1654.1000000000004</v>
      </c>
      <c r="C66" s="64">
        <v>26.25555555555556</v>
      </c>
      <c r="D66" s="69">
        <v>1.4920634920634921</v>
      </c>
      <c r="E66" s="65">
        <v>0.63492063492063489</v>
      </c>
      <c r="F66" s="65">
        <v>0.12698412698412698</v>
      </c>
      <c r="G66" s="65">
        <v>0.4088176352705411</v>
      </c>
      <c r="H66" s="65">
        <v>0.13827655310621242</v>
      </c>
      <c r="I66" s="66">
        <v>9479.4117647058829</v>
      </c>
      <c r="J66" s="66">
        <v>-7488.405797101449</v>
      </c>
      <c r="K66" s="65">
        <v>3.1746031746031744E-2</v>
      </c>
      <c r="L66" s="65">
        <v>0.22222222222222221</v>
      </c>
      <c r="M66" s="65">
        <v>0.33466933867735471</v>
      </c>
      <c r="N66" s="65">
        <v>0.24048096192384769</v>
      </c>
      <c r="O66" s="65">
        <v>0.6347305389221557</v>
      </c>
      <c r="P66" s="65">
        <v>0.55000000000000004</v>
      </c>
      <c r="Q66" s="65">
        <v>0.39215686274509803</v>
      </c>
    </row>
    <row r="67" spans="1:17" x14ac:dyDescent="0.4">
      <c r="A67" s="67">
        <v>64</v>
      </c>
      <c r="B67" s="64">
        <v>1629.3000000000004</v>
      </c>
      <c r="C67" s="64">
        <v>25.457812500000006</v>
      </c>
      <c r="D67" s="69">
        <v>1.5</v>
      </c>
      <c r="E67" s="65">
        <v>0.625</v>
      </c>
      <c r="F67" s="65">
        <v>0.125</v>
      </c>
      <c r="G67" s="65">
        <v>0.40471512770137524</v>
      </c>
      <c r="H67" s="65">
        <v>0.13948919449901767</v>
      </c>
      <c r="I67" s="66">
        <v>9418.9320388349515</v>
      </c>
      <c r="J67" s="66">
        <v>-7467.6056338028166</v>
      </c>
      <c r="K67" s="65">
        <v>3.125E-2</v>
      </c>
      <c r="L67" s="65">
        <v>0.21875</v>
      </c>
      <c r="M67" s="65">
        <v>0.33202357563850687</v>
      </c>
      <c r="N67" s="65">
        <v>0.24361493123772102</v>
      </c>
      <c r="O67" s="65">
        <v>0.62721893491124259</v>
      </c>
      <c r="P67" s="65">
        <v>0.54838709677419351</v>
      </c>
      <c r="Q67" s="65">
        <v>0.38834951456310679</v>
      </c>
    </row>
    <row r="68" spans="1:17" x14ac:dyDescent="0.4">
      <c r="A68" s="67">
        <v>65</v>
      </c>
      <c r="B68" s="64">
        <v>1626.5000000000005</v>
      </c>
      <c r="C68" s="64">
        <v>25.023076923076928</v>
      </c>
      <c r="D68" s="69">
        <v>1.5076923076923077</v>
      </c>
      <c r="E68" s="65">
        <v>0.61538461538461542</v>
      </c>
      <c r="F68" s="65">
        <v>0.12307692307692308</v>
      </c>
      <c r="G68" s="65">
        <v>0.40115163147792704</v>
      </c>
      <c r="H68" s="65">
        <v>0.14011516314779271</v>
      </c>
      <c r="I68" s="66">
        <v>9417.7033492822975</v>
      </c>
      <c r="J68" s="66">
        <v>-7619.178082191781</v>
      </c>
      <c r="K68" s="65">
        <v>3.0769230769230771E-2</v>
      </c>
      <c r="L68" s="65">
        <v>0.2153846153846154</v>
      </c>
      <c r="M68" s="65">
        <v>0.33013435700575816</v>
      </c>
      <c r="N68" s="65">
        <v>0.2456813819577735</v>
      </c>
      <c r="O68" s="65">
        <v>0.62209302325581395</v>
      </c>
      <c r="P68" s="65">
        <v>0.546875</v>
      </c>
      <c r="Q68" s="65">
        <v>0.39712918660287083</v>
      </c>
    </row>
    <row r="69" spans="1:17" x14ac:dyDescent="0.4">
      <c r="A69" s="67">
        <v>66</v>
      </c>
      <c r="B69" s="64">
        <v>1565.4000000000005</v>
      </c>
      <c r="C69" s="64">
        <v>23.718181818181826</v>
      </c>
      <c r="D69" s="69">
        <v>1.5303030303030303</v>
      </c>
      <c r="E69" s="65">
        <v>0.60606060606060608</v>
      </c>
      <c r="F69" s="65">
        <v>0.13636363636363635</v>
      </c>
      <c r="G69" s="65">
        <v>0.40227703984819735</v>
      </c>
      <c r="H69" s="65">
        <v>0.14231499051233396</v>
      </c>
      <c r="I69" s="66">
        <v>9373.5849056603765</v>
      </c>
      <c r="J69" s="66">
        <v>-8162.666666666667</v>
      </c>
      <c r="K69" s="65">
        <v>4.5454545454545456E-2</v>
      </c>
      <c r="L69" s="65">
        <v>0.21212121212121213</v>
      </c>
      <c r="M69" s="65">
        <v>0.33206831119544594</v>
      </c>
      <c r="N69" s="65">
        <v>0.24478178368121442</v>
      </c>
      <c r="O69" s="65">
        <v>0.62285714285714289</v>
      </c>
      <c r="P69" s="65">
        <v>0.54263565891472865</v>
      </c>
      <c r="Q69" s="65">
        <v>0.40094339622641512</v>
      </c>
    </row>
    <row r="70" spans="1:17" x14ac:dyDescent="0.4">
      <c r="A70" s="67">
        <v>67</v>
      </c>
      <c r="B70" s="64">
        <v>1610.8000000000006</v>
      </c>
      <c r="C70" s="64">
        <v>24.041791044776129</v>
      </c>
      <c r="D70" s="69">
        <v>1.5223880597014925</v>
      </c>
      <c r="E70" s="65">
        <v>0.61194029850746268</v>
      </c>
      <c r="F70" s="65">
        <v>0.13432835820895522</v>
      </c>
      <c r="G70" s="65">
        <v>0.40262172284644193</v>
      </c>
      <c r="H70" s="65">
        <v>0.1404494382022472</v>
      </c>
      <c r="I70" s="66">
        <v>9379.0697674418607</v>
      </c>
      <c r="J70" s="66">
        <v>-8162.666666666667</v>
      </c>
      <c r="K70" s="65">
        <v>4.4776119402985072E-2</v>
      </c>
      <c r="L70" s="65">
        <v>0.20895522388059701</v>
      </c>
      <c r="M70" s="65">
        <v>0.33146067415730335</v>
      </c>
      <c r="N70" s="65">
        <v>0.24531835205992508</v>
      </c>
      <c r="O70" s="65">
        <v>0.6271186440677966</v>
      </c>
      <c r="P70" s="65">
        <v>0.5419847328244275</v>
      </c>
      <c r="Q70" s="65">
        <v>0.40465116279069768</v>
      </c>
    </row>
    <row r="71" spans="1:17" x14ac:dyDescent="0.4">
      <c r="A71" s="67">
        <v>68</v>
      </c>
      <c r="B71" s="64">
        <v>1572.8000000000006</v>
      </c>
      <c r="C71" s="64">
        <v>23.129411764705893</v>
      </c>
      <c r="D71" s="69">
        <v>1.5441176470588236</v>
      </c>
      <c r="E71" s="65">
        <v>0.6029411764705882</v>
      </c>
      <c r="F71" s="65">
        <v>0.14705882352941177</v>
      </c>
      <c r="G71" s="65">
        <v>0.39926062846580407</v>
      </c>
      <c r="H71" s="65">
        <v>0.14417744916820702</v>
      </c>
      <c r="I71" s="66">
        <v>9372.6851851851843</v>
      </c>
      <c r="J71" s="66">
        <v>-8152.5641025641025</v>
      </c>
      <c r="K71" s="65">
        <v>4.4117647058823532E-2</v>
      </c>
      <c r="L71" s="65">
        <v>0.20588235294117646</v>
      </c>
      <c r="M71" s="65">
        <v>0.33086876155268025</v>
      </c>
      <c r="N71" s="65">
        <v>0.24399260628465805</v>
      </c>
      <c r="O71" s="65">
        <v>0.62011173184357538</v>
      </c>
      <c r="P71" s="65">
        <v>0.53787878787878785</v>
      </c>
      <c r="Q71" s="65">
        <v>0.40277777777777779</v>
      </c>
    </row>
    <row r="72" spans="1:17" x14ac:dyDescent="0.4">
      <c r="A72" s="67">
        <v>69</v>
      </c>
      <c r="B72" s="64">
        <v>1572.3000000000006</v>
      </c>
      <c r="C72" s="64">
        <v>22.786956521739139</v>
      </c>
      <c r="D72" s="69">
        <v>1.5507246376811594</v>
      </c>
      <c r="E72" s="65">
        <v>0.59420289855072461</v>
      </c>
      <c r="F72" s="65">
        <v>0.14492753623188406</v>
      </c>
      <c r="G72" s="65">
        <v>0.39745916515426499</v>
      </c>
      <c r="H72" s="65">
        <v>0.14700544464609799</v>
      </c>
      <c r="I72" s="66">
        <v>9390.4109589041091</v>
      </c>
      <c r="J72" s="66">
        <v>-8043.2098765432102</v>
      </c>
      <c r="K72" s="65">
        <v>4.3478260869565216E-2</v>
      </c>
      <c r="L72" s="65">
        <v>0.20289855072463769</v>
      </c>
      <c r="M72" s="65">
        <v>0.33030852994555354</v>
      </c>
      <c r="N72" s="65">
        <v>0.24319419237749546</v>
      </c>
      <c r="O72" s="65">
        <v>0.61538461538461542</v>
      </c>
      <c r="P72" s="65">
        <v>0.53731343283582089</v>
      </c>
      <c r="Q72" s="65">
        <v>0.40182648401826482</v>
      </c>
    </row>
    <row r="73" spans="1:17" x14ac:dyDescent="0.4">
      <c r="A73" s="67">
        <v>70</v>
      </c>
      <c r="B73" s="64">
        <v>1598.9000000000005</v>
      </c>
      <c r="C73" s="64">
        <v>22.84142857142858</v>
      </c>
      <c r="D73" s="69">
        <v>1.5428571428571429</v>
      </c>
      <c r="E73" s="65">
        <v>0.6</v>
      </c>
      <c r="F73" s="65">
        <v>0.14285714285714285</v>
      </c>
      <c r="G73" s="65">
        <v>0.39784946236559138</v>
      </c>
      <c r="H73" s="65">
        <v>0.14516129032258066</v>
      </c>
      <c r="I73" s="66">
        <v>9341.8918918918916</v>
      </c>
      <c r="J73" s="66">
        <v>-8043.2098765432102</v>
      </c>
      <c r="K73" s="65">
        <v>4.2857142857142858E-2</v>
      </c>
      <c r="L73" s="65">
        <v>0.2</v>
      </c>
      <c r="M73" s="65">
        <v>0.32974910394265233</v>
      </c>
      <c r="N73" s="65">
        <v>0.24731182795698925</v>
      </c>
      <c r="O73" s="65">
        <v>0.61956521739130432</v>
      </c>
      <c r="P73" s="65">
        <v>0.52898550724637683</v>
      </c>
      <c r="Q73" s="65">
        <v>0.40090090090090091</v>
      </c>
    </row>
    <row r="74" spans="1:17" x14ac:dyDescent="0.4">
      <c r="A74" s="67">
        <v>71</v>
      </c>
      <c r="B74" s="64">
        <v>1644.6000000000006</v>
      </c>
      <c r="C74" s="64">
        <v>23.163380281690149</v>
      </c>
      <c r="D74" s="69">
        <v>1.5352112676056338</v>
      </c>
      <c r="E74" s="65">
        <v>0.60563380281690138</v>
      </c>
      <c r="F74" s="65">
        <v>0.14084507042253522</v>
      </c>
      <c r="G74" s="65">
        <v>0.3985890652557319</v>
      </c>
      <c r="H74" s="65">
        <v>0.14638447971781304</v>
      </c>
      <c r="I74" s="66">
        <v>9378.7610619469033</v>
      </c>
      <c r="J74" s="66">
        <v>-7969.8795180722891</v>
      </c>
      <c r="K74" s="65">
        <v>4.2253521126760563E-2</v>
      </c>
      <c r="L74" s="65">
        <v>0.19718309859154928</v>
      </c>
      <c r="M74" s="65">
        <v>0.33156966490299822</v>
      </c>
      <c r="N74" s="65">
        <v>0.24514991181657847</v>
      </c>
      <c r="O74" s="65">
        <v>0.62234042553191493</v>
      </c>
      <c r="P74" s="65">
        <v>0.53237410071942448</v>
      </c>
      <c r="Q74" s="65">
        <v>0.41150442477876104</v>
      </c>
    </row>
    <row r="75" spans="1:17" x14ac:dyDescent="0.4">
      <c r="A75" s="67">
        <v>72</v>
      </c>
      <c r="B75" s="64">
        <v>1587.8000000000006</v>
      </c>
      <c r="C75" s="64">
        <v>22.052777777777788</v>
      </c>
      <c r="D75" s="69">
        <v>1.5555555555555556</v>
      </c>
      <c r="E75" s="65">
        <v>0.59722222222222221</v>
      </c>
      <c r="F75" s="65">
        <v>0.15277777777777779</v>
      </c>
      <c r="G75" s="65">
        <v>0.39721254355400698</v>
      </c>
      <c r="H75" s="65">
        <v>0.1480836236933798</v>
      </c>
      <c r="I75" s="66">
        <v>9339.0350877192977</v>
      </c>
      <c r="J75" s="66">
        <v>-8017.6470588235297</v>
      </c>
      <c r="K75" s="65">
        <v>5.5555555555555552E-2</v>
      </c>
      <c r="L75" s="65">
        <v>0.19444444444444445</v>
      </c>
      <c r="M75" s="65">
        <v>0.32752613240418116</v>
      </c>
      <c r="N75" s="65">
        <v>0.24738675958188153</v>
      </c>
      <c r="O75" s="65">
        <v>0.62234042553191493</v>
      </c>
      <c r="P75" s="65">
        <v>0.53521126760563376</v>
      </c>
      <c r="Q75" s="65">
        <v>0.40789473684210525</v>
      </c>
    </row>
    <row r="76" spans="1:17" x14ac:dyDescent="0.4">
      <c r="A76" s="67">
        <v>73</v>
      </c>
      <c r="B76" s="64">
        <v>1588.9000000000005</v>
      </c>
      <c r="C76" s="64">
        <v>21.765753424657543</v>
      </c>
      <c r="D76" s="69">
        <v>1.5616438356164384</v>
      </c>
      <c r="E76" s="65">
        <v>0.58904109589041098</v>
      </c>
      <c r="F76" s="65">
        <v>0.15068493150684931</v>
      </c>
      <c r="G76" s="65">
        <v>0.39451114922813035</v>
      </c>
      <c r="H76" s="65">
        <v>0.14579759862778729</v>
      </c>
      <c r="I76" s="66">
        <v>9301.7391304347821</v>
      </c>
      <c r="J76" s="66">
        <v>-8017.6470588235297</v>
      </c>
      <c r="K76" s="65">
        <v>5.4794520547945202E-2</v>
      </c>
      <c r="L76" s="65">
        <v>0.19178082191780821</v>
      </c>
      <c r="M76" s="65">
        <v>0.32590051457975988</v>
      </c>
      <c r="N76" s="65">
        <v>0.24699828473413379</v>
      </c>
      <c r="O76" s="65">
        <v>0.62105263157894741</v>
      </c>
      <c r="P76" s="65">
        <v>0.53472222222222221</v>
      </c>
      <c r="Q76" s="65">
        <v>0.40869565217391307</v>
      </c>
    </row>
    <row r="77" spans="1:17" x14ac:dyDescent="0.4">
      <c r="A77" s="67">
        <v>74</v>
      </c>
      <c r="B77" s="64">
        <v>1553.8000000000006</v>
      </c>
      <c r="C77" s="64">
        <v>20.997297297297305</v>
      </c>
      <c r="D77" s="69">
        <v>1.5810810810810811</v>
      </c>
      <c r="E77" s="65">
        <v>0.58108108108108103</v>
      </c>
      <c r="F77" s="65">
        <v>0.16216216216216217</v>
      </c>
      <c r="G77" s="65">
        <v>0.39225589225589225</v>
      </c>
      <c r="H77" s="65">
        <v>0.14814814814814814</v>
      </c>
      <c r="I77" s="66">
        <v>9315.8798283261804</v>
      </c>
      <c r="J77" s="66">
        <v>-8011.363636363636</v>
      </c>
      <c r="K77" s="65">
        <v>5.4054054054054057E-2</v>
      </c>
      <c r="L77" s="65">
        <v>0.1891891891891892</v>
      </c>
      <c r="M77" s="65">
        <v>0.32491582491582494</v>
      </c>
      <c r="N77" s="65">
        <v>0.24410774410774411</v>
      </c>
      <c r="O77" s="65">
        <v>0.62176165803108807</v>
      </c>
      <c r="P77" s="65">
        <v>0.53103448275862064</v>
      </c>
      <c r="Q77" s="65">
        <v>0.41630901287553645</v>
      </c>
    </row>
    <row r="78" spans="1:17" x14ac:dyDescent="0.4">
      <c r="A78" s="67">
        <v>75</v>
      </c>
      <c r="B78" s="64">
        <v>1496.5000000000007</v>
      </c>
      <c r="C78" s="64">
        <v>19.953333333333344</v>
      </c>
      <c r="D78" s="69">
        <v>1.6</v>
      </c>
      <c r="E78" s="65">
        <v>0.57333333333333336</v>
      </c>
      <c r="F78" s="65">
        <v>0.17333333333333334</v>
      </c>
      <c r="G78" s="65">
        <v>0.38833333333333331</v>
      </c>
      <c r="H78" s="65">
        <v>0.14833333333333334</v>
      </c>
      <c r="I78" s="66">
        <v>9315.8798283261804</v>
      </c>
      <c r="J78" s="66">
        <v>-8123.5955056179773</v>
      </c>
      <c r="K78" s="65">
        <v>6.6666666666666666E-2</v>
      </c>
      <c r="L78" s="65">
        <v>0.18666666666666668</v>
      </c>
      <c r="M78" s="65">
        <v>0.32666666666666666</v>
      </c>
      <c r="N78" s="65">
        <v>0.24166666666666667</v>
      </c>
      <c r="O78" s="65">
        <v>0.61224489795918369</v>
      </c>
      <c r="P78" s="65">
        <v>0.53103448275862064</v>
      </c>
      <c r="Q78" s="65">
        <v>0.41630901287553645</v>
      </c>
    </row>
    <row r="79" spans="1:17" x14ac:dyDescent="0.4">
      <c r="A79" s="67">
        <v>76</v>
      </c>
      <c r="B79" s="64">
        <v>1535.1000000000006</v>
      </c>
      <c r="C79" s="64">
        <v>20.198684210526324</v>
      </c>
      <c r="D79" s="69">
        <v>1.5921052631578947</v>
      </c>
      <c r="E79" s="65">
        <v>0.57894736842105265</v>
      </c>
      <c r="F79" s="65">
        <v>0.17105263157894737</v>
      </c>
      <c r="G79" s="65">
        <v>0.38952536824877249</v>
      </c>
      <c r="H79" s="65">
        <v>0.15057283142389524</v>
      </c>
      <c r="I79" s="66">
        <v>9328.5714285714294</v>
      </c>
      <c r="J79" s="66">
        <v>-8146.739130434783</v>
      </c>
      <c r="K79" s="65">
        <v>6.5789473684210523E-2</v>
      </c>
      <c r="L79" s="65">
        <v>0.18421052631578946</v>
      </c>
      <c r="M79" s="65">
        <v>0.32733224222585927</v>
      </c>
      <c r="N79" s="65">
        <v>0.24058919803600654</v>
      </c>
      <c r="O79" s="65">
        <v>0.61499999999999999</v>
      </c>
      <c r="P79" s="65">
        <v>0.5374149659863946</v>
      </c>
      <c r="Q79" s="65">
        <v>0.42016806722689076</v>
      </c>
    </row>
    <row r="80" spans="1:17" x14ac:dyDescent="0.4">
      <c r="A80" s="67">
        <v>77</v>
      </c>
      <c r="B80" s="64">
        <v>1496.5000000000007</v>
      </c>
      <c r="C80" s="64">
        <v>19.435064935064943</v>
      </c>
      <c r="D80" s="69">
        <v>1.6103896103896105</v>
      </c>
      <c r="E80" s="65">
        <v>0.5714285714285714</v>
      </c>
      <c r="F80" s="65">
        <v>0.18181818181818182</v>
      </c>
      <c r="G80" s="65">
        <v>0.38834951456310679</v>
      </c>
      <c r="H80" s="65">
        <v>0.15372168284789645</v>
      </c>
      <c r="I80" s="66">
        <v>9280.8333333333339</v>
      </c>
      <c r="J80" s="66">
        <v>-8063.1578947368425</v>
      </c>
      <c r="K80" s="65">
        <v>6.4935064935064929E-2</v>
      </c>
      <c r="L80" s="65">
        <v>0.18181818181818182</v>
      </c>
      <c r="M80" s="65">
        <v>0.32847896440129448</v>
      </c>
      <c r="N80" s="65">
        <v>0.24110032362459546</v>
      </c>
      <c r="O80" s="65">
        <v>0.61083743842364535</v>
      </c>
      <c r="P80" s="65">
        <v>0.53691275167785235</v>
      </c>
      <c r="Q80" s="65">
        <v>0.41666666666666669</v>
      </c>
    </row>
    <row r="81" spans="1:17" x14ac:dyDescent="0.4">
      <c r="A81" s="67">
        <v>78</v>
      </c>
      <c r="B81" s="64">
        <v>1534.7000000000007</v>
      </c>
      <c r="C81" s="64">
        <v>19.675641025641035</v>
      </c>
      <c r="D81" s="69">
        <v>1.6025641025641026</v>
      </c>
      <c r="E81" s="65">
        <v>0.57692307692307687</v>
      </c>
      <c r="F81" s="65">
        <v>0.17948717948717949</v>
      </c>
      <c r="G81" s="65">
        <v>0.38879999999999998</v>
      </c>
      <c r="H81" s="65">
        <v>0.1552</v>
      </c>
      <c r="I81" s="66">
        <v>9297.9423868312751</v>
      </c>
      <c r="J81" s="66">
        <v>-8006.1855670103096</v>
      </c>
      <c r="K81" s="65">
        <v>6.4102564102564097E-2</v>
      </c>
      <c r="L81" s="65">
        <v>0.17948717948717949</v>
      </c>
      <c r="M81" s="65">
        <v>0.32800000000000001</v>
      </c>
      <c r="N81" s="65">
        <v>0.24</v>
      </c>
      <c r="O81" s="65">
        <v>0.61463414634146341</v>
      </c>
      <c r="P81" s="65">
        <v>0.54</v>
      </c>
      <c r="Q81" s="65">
        <v>0.41975308641975306</v>
      </c>
    </row>
    <row r="82" spans="1:17" x14ac:dyDescent="0.4">
      <c r="A82" s="67">
        <v>79</v>
      </c>
      <c r="B82" s="64">
        <v>1485.0000000000007</v>
      </c>
      <c r="C82" s="64">
        <v>18.797468354430389</v>
      </c>
      <c r="D82" s="69">
        <v>1.620253164556962</v>
      </c>
      <c r="E82" s="65">
        <v>0.569620253164557</v>
      </c>
      <c r="F82" s="65">
        <v>0.189873417721519</v>
      </c>
      <c r="G82" s="65">
        <v>0.3854660347551343</v>
      </c>
      <c r="H82" s="65">
        <v>0.16113744075829384</v>
      </c>
      <c r="I82" s="66">
        <v>9309.0163934426237</v>
      </c>
      <c r="J82" s="66">
        <v>-7916.666666666667</v>
      </c>
      <c r="K82" s="65">
        <v>6.3291139240506333E-2</v>
      </c>
      <c r="L82" s="65">
        <v>0.17721518987341772</v>
      </c>
      <c r="M82" s="65">
        <v>0.33175355450236965</v>
      </c>
      <c r="N82" s="65">
        <v>0.23854660347551343</v>
      </c>
      <c r="O82" s="65">
        <v>0.60476190476190472</v>
      </c>
      <c r="P82" s="65">
        <v>0.53642384105960261</v>
      </c>
      <c r="Q82" s="65">
        <v>0.42213114754098363</v>
      </c>
    </row>
    <row r="83" spans="1:17" x14ac:dyDescent="0.4">
      <c r="A83" s="67">
        <v>80</v>
      </c>
      <c r="B83" s="64">
        <v>1482.0000000000007</v>
      </c>
      <c r="C83" s="64">
        <v>18.525000000000009</v>
      </c>
      <c r="D83" s="69">
        <v>1.625</v>
      </c>
      <c r="E83" s="65">
        <v>0.5625</v>
      </c>
      <c r="F83" s="65">
        <v>0.1875</v>
      </c>
      <c r="G83" s="65">
        <v>0.38377535101404059</v>
      </c>
      <c r="H83" s="65">
        <v>0.15912636505460218</v>
      </c>
      <c r="I83" s="66">
        <v>9298.3739837398371</v>
      </c>
      <c r="J83" s="66">
        <v>-7916.666666666667</v>
      </c>
      <c r="K83" s="65">
        <v>6.25E-2</v>
      </c>
      <c r="L83" s="65">
        <v>0.17499999999999999</v>
      </c>
      <c r="M83" s="65">
        <v>0.33073322932917315</v>
      </c>
      <c r="N83" s="65">
        <v>0.23712948517940718</v>
      </c>
      <c r="O83" s="65">
        <v>0.60377358490566035</v>
      </c>
      <c r="P83" s="65">
        <v>0.53289473684210531</v>
      </c>
      <c r="Q83" s="65">
        <v>0.42682926829268292</v>
      </c>
    </row>
    <row r="84" spans="1:17" x14ac:dyDescent="0.4">
      <c r="A84" s="67">
        <v>81</v>
      </c>
      <c r="B84" s="64">
        <v>1523.8000000000006</v>
      </c>
      <c r="C84" s="64">
        <v>18.812345679012353</v>
      </c>
      <c r="D84" s="69">
        <v>1.617283950617284</v>
      </c>
      <c r="E84" s="65">
        <v>0.5679012345679012</v>
      </c>
      <c r="F84" s="65">
        <v>0.18518518518518517</v>
      </c>
      <c r="G84" s="65">
        <v>0.38520801232665641</v>
      </c>
      <c r="H84" s="65">
        <v>0.15716486902927582</v>
      </c>
      <c r="I84" s="66">
        <v>9252.7999999999993</v>
      </c>
      <c r="J84" s="66">
        <v>-7916.666666666667</v>
      </c>
      <c r="K84" s="65">
        <v>6.1728395061728392E-2</v>
      </c>
      <c r="L84" s="65">
        <v>0.1728395061728395</v>
      </c>
      <c r="M84" s="65">
        <v>0.33127889060092452</v>
      </c>
      <c r="N84" s="65">
        <v>0.23728813559322035</v>
      </c>
      <c r="O84" s="65">
        <v>0.6093023255813953</v>
      </c>
      <c r="P84" s="65">
        <v>0.53246753246753242</v>
      </c>
      <c r="Q84" s="65">
        <v>0.432</v>
      </c>
    </row>
    <row r="85" spans="1:17" x14ac:dyDescent="0.4">
      <c r="A85" s="67">
        <v>82</v>
      </c>
      <c r="B85" s="64">
        <v>1552.2000000000007</v>
      </c>
      <c r="C85" s="64">
        <v>18.929268292682934</v>
      </c>
      <c r="D85" s="69">
        <v>1.6097560975609757</v>
      </c>
      <c r="E85" s="65">
        <v>0.57317073170731703</v>
      </c>
      <c r="F85" s="65">
        <v>0.18292682926829268</v>
      </c>
      <c r="G85" s="65">
        <v>0.38426626323751889</v>
      </c>
      <c r="H85" s="65">
        <v>0.15582450832072617</v>
      </c>
      <c r="I85" s="66">
        <v>9214.5669291338581</v>
      </c>
      <c r="J85" s="66">
        <v>-7877.6699029126212</v>
      </c>
      <c r="K85" s="65">
        <v>6.097560975609756E-2</v>
      </c>
      <c r="L85" s="65">
        <v>0.17073170731707318</v>
      </c>
      <c r="M85" s="65">
        <v>0.32980332829046899</v>
      </c>
      <c r="N85" s="65">
        <v>0.23449319213313161</v>
      </c>
      <c r="O85" s="65">
        <v>0.61009174311926606</v>
      </c>
      <c r="P85" s="65">
        <v>0.53548387096774197</v>
      </c>
      <c r="Q85" s="65">
        <v>0.43307086614173229</v>
      </c>
    </row>
    <row r="86" spans="1:17" x14ac:dyDescent="0.4">
      <c r="A86" s="67">
        <v>83</v>
      </c>
      <c r="B86" s="64">
        <v>1511.9000000000008</v>
      </c>
      <c r="C86" s="64">
        <v>18.215662650602418</v>
      </c>
      <c r="D86" s="69">
        <v>1.6265060240963856</v>
      </c>
      <c r="E86" s="65">
        <v>0.5662650602409639</v>
      </c>
      <c r="F86" s="65">
        <v>0.19277108433734941</v>
      </c>
      <c r="G86" s="65">
        <v>0.3811659192825112</v>
      </c>
      <c r="H86" s="65">
        <v>0.15844544095665172</v>
      </c>
      <c r="I86" s="66">
        <v>9193.7254901960787</v>
      </c>
      <c r="J86" s="66">
        <v>-7866.0377358490568</v>
      </c>
      <c r="K86" s="65">
        <v>6.0240963855421686E-2</v>
      </c>
      <c r="L86" s="65">
        <v>0.16867469879518071</v>
      </c>
      <c r="M86" s="65">
        <v>0.33183856502242154</v>
      </c>
      <c r="N86" s="65">
        <v>0.23168908819133036</v>
      </c>
      <c r="O86" s="65">
        <v>0.60360360360360366</v>
      </c>
      <c r="P86" s="65">
        <v>0.53548387096774197</v>
      </c>
      <c r="Q86" s="65">
        <v>0.43137254901960786</v>
      </c>
    </row>
    <row r="87" spans="1:17" x14ac:dyDescent="0.4">
      <c r="A87" s="67">
        <v>84</v>
      </c>
      <c r="B87" s="64">
        <v>1510.6000000000008</v>
      </c>
      <c r="C87" s="64">
        <v>17.983333333333341</v>
      </c>
      <c r="D87" s="69">
        <v>1.6309523809523809</v>
      </c>
      <c r="E87" s="65">
        <v>0.55952380952380953</v>
      </c>
      <c r="F87" s="65">
        <v>0.19047619047619047</v>
      </c>
      <c r="G87" s="65">
        <v>0.37997054491899851</v>
      </c>
      <c r="H87" s="65">
        <v>0.16053019145802652</v>
      </c>
      <c r="I87" s="66">
        <v>9200.3875968992252</v>
      </c>
      <c r="J87" s="66">
        <v>-7829.3577981651379</v>
      </c>
      <c r="K87" s="65">
        <v>5.9523809523809521E-2</v>
      </c>
      <c r="L87" s="65">
        <v>0.16666666666666666</v>
      </c>
      <c r="M87" s="65">
        <v>0.33431516936671574</v>
      </c>
      <c r="N87" s="65">
        <v>0.22827687776141384</v>
      </c>
      <c r="O87" s="65">
        <v>0.59471365638766516</v>
      </c>
      <c r="P87" s="65">
        <v>0.53548387096774197</v>
      </c>
      <c r="Q87" s="65">
        <v>0.43023255813953487</v>
      </c>
    </row>
    <row r="88" spans="1:17" x14ac:dyDescent="0.4">
      <c r="A88" s="67">
        <v>85</v>
      </c>
      <c r="B88" s="64">
        <v>1566.5000000000009</v>
      </c>
      <c r="C88" s="64">
        <v>18.429411764705893</v>
      </c>
      <c r="D88" s="69">
        <v>1.6235294117647059</v>
      </c>
      <c r="E88" s="65">
        <v>0.56470588235294117</v>
      </c>
      <c r="F88" s="65">
        <v>0.18823529411764706</v>
      </c>
      <c r="G88" s="65">
        <v>0.3808139534883721</v>
      </c>
      <c r="H88" s="65">
        <v>0.15988372093023256</v>
      </c>
      <c r="I88" s="66">
        <v>9214.5038167938928</v>
      </c>
      <c r="J88" s="66">
        <v>-7781.818181818182</v>
      </c>
      <c r="K88" s="65">
        <v>5.8823529411764705E-2</v>
      </c>
      <c r="L88" s="65">
        <v>0.17647058823529413</v>
      </c>
      <c r="M88" s="65">
        <v>0.33575581395348836</v>
      </c>
      <c r="N88" s="65">
        <v>0.23110465116279069</v>
      </c>
      <c r="O88" s="65">
        <v>0.59307359307359309</v>
      </c>
      <c r="P88" s="65">
        <v>0.53459119496855345</v>
      </c>
      <c r="Q88" s="65">
        <v>0.43129770992366412</v>
      </c>
    </row>
    <row r="89" spans="1:17" x14ac:dyDescent="0.4">
      <c r="A89" s="67">
        <v>86</v>
      </c>
      <c r="B89" s="64">
        <v>1610.200000000001</v>
      </c>
      <c r="C89" s="64">
        <v>18.7232558139535</v>
      </c>
      <c r="D89" s="69">
        <v>1.6162790697674418</v>
      </c>
      <c r="E89" s="65">
        <v>0.56976744186046513</v>
      </c>
      <c r="F89" s="65">
        <v>0.18604651162790697</v>
      </c>
      <c r="G89" s="65">
        <v>0.38218390804597702</v>
      </c>
      <c r="H89" s="65">
        <v>0.15948275862068967</v>
      </c>
      <c r="I89" s="66">
        <v>9200.7518796992481</v>
      </c>
      <c r="J89" s="66">
        <v>-7783.7837837837842</v>
      </c>
      <c r="K89" s="65">
        <v>5.8139534883720929E-2</v>
      </c>
      <c r="L89" s="65">
        <v>0.1744186046511628</v>
      </c>
      <c r="M89" s="65">
        <v>0.33333333333333331</v>
      </c>
      <c r="N89" s="65">
        <v>0.23275862068965517</v>
      </c>
      <c r="O89" s="65">
        <v>0.59482758620689657</v>
      </c>
      <c r="P89" s="65">
        <v>0.54320987654320985</v>
      </c>
      <c r="Q89" s="65">
        <v>0.43233082706766918</v>
      </c>
    </row>
    <row r="90" spans="1:17" x14ac:dyDescent="0.4">
      <c r="A90" s="67">
        <v>87</v>
      </c>
      <c r="B90" s="64">
        <v>1662.8000000000009</v>
      </c>
      <c r="C90" s="64">
        <v>19.112643678160929</v>
      </c>
      <c r="D90" s="69">
        <v>1.6091954022988506</v>
      </c>
      <c r="E90" s="65">
        <v>0.57471264367816088</v>
      </c>
      <c r="F90" s="65">
        <v>0.18390804597701149</v>
      </c>
      <c r="G90" s="65">
        <v>0.38243626062322944</v>
      </c>
      <c r="H90" s="65">
        <v>0.15722379603399433</v>
      </c>
      <c r="I90" s="66">
        <v>9196.6666666666661</v>
      </c>
      <c r="J90" s="66">
        <v>-7783.7837837837842</v>
      </c>
      <c r="K90" s="65">
        <v>5.7471264367816091E-2</v>
      </c>
      <c r="L90" s="65">
        <v>0.18390804597701149</v>
      </c>
      <c r="M90" s="65">
        <v>0.33286118980169971</v>
      </c>
      <c r="N90" s="65">
        <v>0.23371104815864022</v>
      </c>
      <c r="O90" s="65">
        <v>0.6</v>
      </c>
      <c r="P90" s="65">
        <v>0.53939393939393943</v>
      </c>
      <c r="Q90" s="65">
        <v>0.43333333333333335</v>
      </c>
    </row>
    <row r="91" spans="1:17" x14ac:dyDescent="0.4">
      <c r="A91" s="67">
        <v>88</v>
      </c>
      <c r="B91" s="64">
        <v>1664.200000000001</v>
      </c>
      <c r="C91" s="64">
        <v>18.911363636363646</v>
      </c>
      <c r="D91" s="69">
        <v>1.6136363636363635</v>
      </c>
      <c r="E91" s="65">
        <v>0.56818181818181823</v>
      </c>
      <c r="F91" s="65">
        <v>0.18181818181818182</v>
      </c>
      <c r="G91" s="65">
        <v>0.3807531380753138</v>
      </c>
      <c r="H91" s="65">
        <v>0.15481171548117154</v>
      </c>
      <c r="I91" s="66">
        <v>9165.9340659340651</v>
      </c>
      <c r="J91" s="66">
        <v>-7783.7837837837842</v>
      </c>
      <c r="K91" s="65">
        <v>5.6818181818181816E-2</v>
      </c>
      <c r="L91" s="65">
        <v>0.18181818181818182</v>
      </c>
      <c r="M91" s="65">
        <v>0.32914923291492332</v>
      </c>
      <c r="N91" s="65">
        <v>0.23430962343096234</v>
      </c>
      <c r="O91" s="65">
        <v>0.60169491525423724</v>
      </c>
      <c r="P91" s="65">
        <v>0.5357142857142857</v>
      </c>
      <c r="Q91" s="65">
        <v>0.42857142857142855</v>
      </c>
    </row>
    <row r="92" spans="1:17" x14ac:dyDescent="0.4">
      <c r="A92" s="67">
        <v>89</v>
      </c>
      <c r="B92" s="64">
        <v>1656.900000000001</v>
      </c>
      <c r="C92" s="64">
        <v>18.616853932584281</v>
      </c>
      <c r="D92" s="69">
        <v>1.6179775280898876</v>
      </c>
      <c r="E92" s="65">
        <v>0.5617977528089888</v>
      </c>
      <c r="F92" s="65">
        <v>0.1797752808988764</v>
      </c>
      <c r="G92" s="65">
        <v>0.37826685006877581</v>
      </c>
      <c r="H92" s="65">
        <v>0.15405777166437415</v>
      </c>
      <c r="I92" s="66">
        <v>9142.545454545454</v>
      </c>
      <c r="J92" s="66">
        <v>-7760.7142857142853</v>
      </c>
      <c r="K92" s="65">
        <v>5.6179775280898875E-2</v>
      </c>
      <c r="L92" s="65">
        <v>0.1797752808988764</v>
      </c>
      <c r="M92" s="65">
        <v>0.33012379642365886</v>
      </c>
      <c r="N92" s="65">
        <v>0.23246217331499311</v>
      </c>
      <c r="O92" s="65">
        <v>0.6</v>
      </c>
      <c r="P92" s="65">
        <v>0.53254437869822491</v>
      </c>
      <c r="Q92" s="65">
        <v>0.42545454545454547</v>
      </c>
    </row>
    <row r="93" spans="1:17" x14ac:dyDescent="0.4">
      <c r="A93" s="67">
        <v>90</v>
      </c>
      <c r="B93" s="64">
        <v>1620.900000000001</v>
      </c>
      <c r="C93" s="64">
        <v>18.010000000000012</v>
      </c>
      <c r="D93" s="69">
        <v>1.6333333333333333</v>
      </c>
      <c r="E93" s="65">
        <v>0.55555555555555558</v>
      </c>
      <c r="F93" s="65">
        <v>0.18888888888888888</v>
      </c>
      <c r="G93" s="65">
        <v>0.37602179836512262</v>
      </c>
      <c r="H93" s="65">
        <v>0.15395095367847411</v>
      </c>
      <c r="I93" s="66">
        <v>9137.31884057971</v>
      </c>
      <c r="J93" s="66">
        <v>-7798.2300884955748</v>
      </c>
      <c r="K93" s="65">
        <v>5.5555555555555552E-2</v>
      </c>
      <c r="L93" s="65">
        <v>0.17777777777777778</v>
      </c>
      <c r="M93" s="65">
        <v>0.32833787465940056</v>
      </c>
      <c r="N93" s="65">
        <v>0.2329700272479564</v>
      </c>
      <c r="O93" s="65">
        <v>0.60165975103734437</v>
      </c>
      <c r="P93" s="65">
        <v>0.52631578947368418</v>
      </c>
      <c r="Q93" s="65">
        <v>0.42391304347826086</v>
      </c>
    </row>
    <row r="94" spans="1:17" x14ac:dyDescent="0.4">
      <c r="A94" s="67">
        <v>91</v>
      </c>
      <c r="B94" s="64">
        <v>1680.8000000000011</v>
      </c>
      <c r="C94" s="64">
        <v>18.470329670329683</v>
      </c>
      <c r="D94" s="69">
        <v>1.6263736263736264</v>
      </c>
      <c r="E94" s="65">
        <v>0.56043956043956045</v>
      </c>
      <c r="F94" s="65">
        <v>0.18681318681318682</v>
      </c>
      <c r="G94" s="65">
        <v>0.3783783783783784</v>
      </c>
      <c r="H94" s="65">
        <v>0.1527027027027027</v>
      </c>
      <c r="I94" s="66">
        <v>9155.7142857142862</v>
      </c>
      <c r="J94" s="66">
        <v>-7798.2300884955748</v>
      </c>
      <c r="K94" s="65">
        <v>5.4945054945054944E-2</v>
      </c>
      <c r="L94" s="65">
        <v>0.18681318681318682</v>
      </c>
      <c r="M94" s="65">
        <v>0.33108108108108109</v>
      </c>
      <c r="N94" s="65">
        <v>0.23108108108108108</v>
      </c>
      <c r="O94" s="65">
        <v>0.60816326530612241</v>
      </c>
      <c r="P94" s="65">
        <v>0.52631578947368418</v>
      </c>
      <c r="Q94" s="65">
        <v>0.43214285714285716</v>
      </c>
    </row>
    <row r="95" spans="1:17" x14ac:dyDescent="0.4">
      <c r="A95" s="67">
        <v>92</v>
      </c>
      <c r="B95" s="64">
        <v>1634.7000000000012</v>
      </c>
      <c r="C95" s="64">
        <v>17.768478260869578</v>
      </c>
      <c r="D95" s="69">
        <v>1.6413043478260869</v>
      </c>
      <c r="E95" s="65">
        <v>0.55434782608695654</v>
      </c>
      <c r="F95" s="65">
        <v>0.19565217391304349</v>
      </c>
      <c r="G95" s="65">
        <v>0.37650200267022699</v>
      </c>
      <c r="H95" s="65">
        <v>0.15220293724966621</v>
      </c>
      <c r="I95" s="66">
        <v>9136.1702127659573</v>
      </c>
      <c r="J95" s="66">
        <v>-7835.0877192982452</v>
      </c>
      <c r="K95" s="65">
        <v>5.434782608695652E-2</v>
      </c>
      <c r="L95" s="65">
        <v>0.18478260869565216</v>
      </c>
      <c r="M95" s="65">
        <v>0.32843791722296395</v>
      </c>
      <c r="N95" s="65">
        <v>0.22963951935914553</v>
      </c>
      <c r="O95" s="65">
        <v>0.60569105691056913</v>
      </c>
      <c r="P95" s="65">
        <v>0.52906976744186052</v>
      </c>
      <c r="Q95" s="65">
        <v>0.42907801418439717</v>
      </c>
    </row>
    <row r="96" spans="1:17" x14ac:dyDescent="0.4">
      <c r="A96" s="67">
        <v>93</v>
      </c>
      <c r="B96" s="64">
        <v>1677.6000000000013</v>
      </c>
      <c r="C96" s="64">
        <v>18.038709677419369</v>
      </c>
      <c r="D96" s="69">
        <v>1.6344086021505377</v>
      </c>
      <c r="E96" s="65">
        <v>0.55913978494623651</v>
      </c>
      <c r="F96" s="65">
        <v>0.19354838709677419</v>
      </c>
      <c r="G96" s="65">
        <v>0.37664041994750658</v>
      </c>
      <c r="H96" s="65">
        <v>0.15223097112860892</v>
      </c>
      <c r="I96" s="66">
        <v>9144.5993031358885</v>
      </c>
      <c r="J96" s="66">
        <v>-7880.1724137931033</v>
      </c>
      <c r="K96" s="65">
        <v>5.3763440860215055E-2</v>
      </c>
      <c r="L96" s="65">
        <v>0.19354838709677419</v>
      </c>
      <c r="M96" s="65">
        <v>0.33070866141732286</v>
      </c>
      <c r="N96" s="65">
        <v>0.2283464566929134</v>
      </c>
      <c r="O96" s="65">
        <v>0.6071428571428571</v>
      </c>
      <c r="P96" s="65">
        <v>0.52298850574712641</v>
      </c>
      <c r="Q96" s="65">
        <v>0.42857142857142855</v>
      </c>
    </row>
    <row r="97" spans="1:17" x14ac:dyDescent="0.4">
      <c r="A97" s="67">
        <v>94</v>
      </c>
      <c r="B97" s="64">
        <v>1672.4000000000012</v>
      </c>
      <c r="C97" s="64">
        <v>17.791489361702141</v>
      </c>
      <c r="D97" s="69">
        <v>1.6382978723404256</v>
      </c>
      <c r="E97" s="65">
        <v>0.55319148936170215</v>
      </c>
      <c r="F97" s="65">
        <v>0.19148936170212766</v>
      </c>
      <c r="G97" s="65">
        <v>0.37630208333333331</v>
      </c>
      <c r="H97" s="65">
        <v>0.15104166666666666</v>
      </c>
      <c r="I97" s="66">
        <v>9113.4948096885819</v>
      </c>
      <c r="J97" s="66">
        <v>-7880.1724137931033</v>
      </c>
      <c r="K97" s="65">
        <v>5.3191489361702128E-2</v>
      </c>
      <c r="L97" s="65">
        <v>0.19148936170212766</v>
      </c>
      <c r="M97" s="65">
        <v>0.33072916666666669</v>
      </c>
      <c r="N97" s="65">
        <v>0.22786458333333334</v>
      </c>
      <c r="O97" s="65">
        <v>0.61023622047244097</v>
      </c>
      <c r="P97" s="65">
        <v>0.52</v>
      </c>
      <c r="Q97" s="65">
        <v>0.42560553633217996</v>
      </c>
    </row>
    <row r="98" spans="1:17" x14ac:dyDescent="0.4">
      <c r="A98" s="67">
        <v>95</v>
      </c>
      <c r="B98" s="64">
        <v>1681.2000000000012</v>
      </c>
      <c r="C98" s="64">
        <v>17.696842105263169</v>
      </c>
      <c r="D98" s="69">
        <v>1.6421052631578947</v>
      </c>
      <c r="E98" s="65">
        <v>0.54736842105263162</v>
      </c>
      <c r="F98" s="65">
        <v>0.18947368421052632</v>
      </c>
      <c r="G98" s="65">
        <v>0.37580437580437581</v>
      </c>
      <c r="H98" s="65">
        <v>0.14929214929214929</v>
      </c>
      <c r="I98" s="66">
        <v>9095.2054794520554</v>
      </c>
      <c r="J98" s="66">
        <v>-7880.1724137931033</v>
      </c>
      <c r="K98" s="65">
        <v>5.2631578947368418E-2</v>
      </c>
      <c r="L98" s="65">
        <v>0.18947368421052632</v>
      </c>
      <c r="M98" s="65">
        <v>0.32947232947232946</v>
      </c>
      <c r="N98" s="65">
        <v>0.22908622908622908</v>
      </c>
      <c r="O98" s="65">
        <v>0.609375</v>
      </c>
      <c r="P98" s="65">
        <v>0.52247191011235961</v>
      </c>
      <c r="Q98" s="65">
        <v>0.42123287671232879</v>
      </c>
    </row>
    <row r="99" spans="1:17" x14ac:dyDescent="0.4">
      <c r="A99" s="67">
        <v>96</v>
      </c>
      <c r="B99" s="64">
        <v>1680.9000000000012</v>
      </c>
      <c r="C99" s="64">
        <v>17.509375000000013</v>
      </c>
      <c r="D99" s="69">
        <v>1.6458333333333333</v>
      </c>
      <c r="E99" s="65">
        <v>0.54166666666666663</v>
      </c>
      <c r="F99" s="65">
        <v>0.1875</v>
      </c>
      <c r="G99" s="65">
        <v>0.37452229299363055</v>
      </c>
      <c r="H99" s="65">
        <v>0.14777070063694267</v>
      </c>
      <c r="I99" s="66">
        <v>9059.8639455782304</v>
      </c>
      <c r="J99" s="66">
        <v>-7880.1724137931033</v>
      </c>
      <c r="K99" s="65">
        <v>5.2083333333333336E-2</v>
      </c>
      <c r="L99" s="65">
        <v>0.1875</v>
      </c>
      <c r="M99" s="65">
        <v>0.32993630573248406</v>
      </c>
      <c r="N99" s="65">
        <v>0.2267515923566879</v>
      </c>
      <c r="O99" s="65">
        <v>0.61003861003861004</v>
      </c>
      <c r="P99" s="65">
        <v>0.52247191011235961</v>
      </c>
      <c r="Q99" s="65">
        <v>0.41836734693877553</v>
      </c>
    </row>
    <row r="100" spans="1:17" x14ac:dyDescent="0.4">
      <c r="A100" s="67">
        <v>97</v>
      </c>
      <c r="B100" s="64">
        <v>1734.4000000000012</v>
      </c>
      <c r="C100" s="64">
        <v>17.880412371134032</v>
      </c>
      <c r="D100" s="69">
        <v>1.6391752577319587</v>
      </c>
      <c r="E100" s="65">
        <v>0.54639175257731953</v>
      </c>
      <c r="F100" s="65">
        <v>0.18556701030927836</v>
      </c>
      <c r="G100" s="65">
        <v>0.375</v>
      </c>
      <c r="H100" s="65">
        <v>0.14646464646464646</v>
      </c>
      <c r="I100" s="66">
        <v>9089.5622895622892</v>
      </c>
      <c r="J100" s="66">
        <v>-7880.1724137931033</v>
      </c>
      <c r="K100" s="65">
        <v>5.1546391752577317E-2</v>
      </c>
      <c r="L100" s="65">
        <v>0.18556701030927836</v>
      </c>
      <c r="M100" s="65">
        <v>0.33080808080808083</v>
      </c>
      <c r="N100" s="65">
        <v>0.22601010101010102</v>
      </c>
      <c r="O100" s="65">
        <v>0.6145038167938931</v>
      </c>
      <c r="P100" s="65">
        <v>0.51955307262569828</v>
      </c>
      <c r="Q100" s="65">
        <v>0.4175084175084175</v>
      </c>
    </row>
    <row r="101" spans="1:17" x14ac:dyDescent="0.4">
      <c r="A101" s="67">
        <v>98</v>
      </c>
      <c r="B101" s="64">
        <v>1737.4000000000012</v>
      </c>
      <c r="C101" s="64">
        <v>17.728571428571442</v>
      </c>
      <c r="D101" s="69">
        <v>1.6428571428571428</v>
      </c>
      <c r="E101" s="65">
        <v>0.54081632653061229</v>
      </c>
      <c r="F101" s="65">
        <v>0.18367346938775511</v>
      </c>
      <c r="G101" s="65">
        <v>0.37624999999999997</v>
      </c>
      <c r="H101" s="65">
        <v>0.14624999999999999</v>
      </c>
      <c r="I101" s="66">
        <v>9017.6079734219275</v>
      </c>
      <c r="J101" s="66">
        <v>-7878.6324786324785</v>
      </c>
      <c r="K101" s="65">
        <v>5.1020408163265307E-2</v>
      </c>
      <c r="L101" s="65">
        <v>0.18367346938775511</v>
      </c>
      <c r="M101" s="65">
        <v>0.32874999999999999</v>
      </c>
      <c r="N101" s="65">
        <v>0.22875000000000001</v>
      </c>
      <c r="O101" s="65">
        <v>0.61596958174904948</v>
      </c>
      <c r="P101" s="65">
        <v>0.52459016393442626</v>
      </c>
      <c r="Q101" s="65">
        <v>0.41860465116279072</v>
      </c>
    </row>
    <row r="102" spans="1:17" x14ac:dyDescent="0.4">
      <c r="A102" s="67">
        <v>99</v>
      </c>
      <c r="B102" s="64">
        <v>1678.5000000000011</v>
      </c>
      <c r="C102" s="64">
        <v>16.954545454545467</v>
      </c>
      <c r="D102" s="69">
        <v>1.6565656565656566</v>
      </c>
      <c r="E102" s="65">
        <v>0.53535353535353536</v>
      </c>
      <c r="F102" s="65">
        <v>0.19191919191919191</v>
      </c>
      <c r="G102" s="65">
        <v>0.37344913151364767</v>
      </c>
      <c r="H102" s="65">
        <v>0.14640198511166252</v>
      </c>
      <c r="I102" s="66">
        <v>9017.6079734219275</v>
      </c>
      <c r="J102" s="66">
        <v>-8015.2542372881353</v>
      </c>
      <c r="K102" s="65">
        <v>6.0606060606060608E-2</v>
      </c>
      <c r="L102" s="65">
        <v>0.18181818181818182</v>
      </c>
      <c r="M102" s="65">
        <v>0.33002481389578164</v>
      </c>
      <c r="N102" s="65">
        <v>0.22704714640198512</v>
      </c>
      <c r="O102" s="65">
        <v>0.60902255639097747</v>
      </c>
      <c r="P102" s="65">
        <v>0.52459016393442626</v>
      </c>
      <c r="Q102" s="65">
        <v>0.41860465116279072</v>
      </c>
    </row>
    <row r="103" spans="1:17" x14ac:dyDescent="0.4">
      <c r="A103" s="67">
        <v>100</v>
      </c>
      <c r="B103" s="64">
        <v>1622.2000000000012</v>
      </c>
      <c r="C103" s="64">
        <v>16.222000000000012</v>
      </c>
      <c r="D103" s="69">
        <v>1.67</v>
      </c>
      <c r="E103" s="65">
        <v>0.53</v>
      </c>
      <c r="F103" s="65">
        <v>0.2</v>
      </c>
      <c r="G103" s="65">
        <v>0.37132352941176472</v>
      </c>
      <c r="H103" s="65">
        <v>0.14950980392156862</v>
      </c>
      <c r="I103" s="66">
        <v>9000.6600660066015</v>
      </c>
      <c r="J103" s="66">
        <v>-8029.5081967213118</v>
      </c>
      <c r="K103" s="65">
        <v>7.0000000000000007E-2</v>
      </c>
      <c r="L103" s="65">
        <v>0.18</v>
      </c>
      <c r="M103" s="65">
        <v>0.32965686274509803</v>
      </c>
      <c r="N103" s="65">
        <v>0.22549019607843138</v>
      </c>
      <c r="O103" s="65">
        <v>0.60966542750929364</v>
      </c>
      <c r="P103" s="65">
        <v>0.52173913043478259</v>
      </c>
      <c r="Q103" s="65">
        <v>0.41584158415841582</v>
      </c>
    </row>
    <row r="104" spans="1:17" x14ac:dyDescent="0.4">
      <c r="A104" s="67">
        <v>101</v>
      </c>
      <c r="B104" s="64">
        <v>1564.8000000000011</v>
      </c>
      <c r="C104" s="64">
        <v>15.493069306930703</v>
      </c>
      <c r="D104" s="69">
        <v>1.6831683168316831</v>
      </c>
      <c r="E104" s="65">
        <v>0.52475247524752477</v>
      </c>
      <c r="F104" s="65">
        <v>0.20792079207920791</v>
      </c>
      <c r="G104" s="65">
        <v>0.37028014616321558</v>
      </c>
      <c r="H104" s="65">
        <v>0.15103532277710111</v>
      </c>
      <c r="I104" s="66">
        <v>9009.21052631579</v>
      </c>
      <c r="J104" s="66">
        <v>-8190.322580645161</v>
      </c>
      <c r="K104" s="65">
        <v>7.9207920792079209E-2</v>
      </c>
      <c r="L104" s="65">
        <v>0.17821782178217821</v>
      </c>
      <c r="M104" s="65">
        <v>0.32886723507917176</v>
      </c>
      <c r="N104" s="65">
        <v>0.22655298416565164</v>
      </c>
      <c r="O104" s="65">
        <v>0.61111111111111116</v>
      </c>
      <c r="P104" s="65">
        <v>0.5161290322580645</v>
      </c>
      <c r="Q104" s="65">
        <v>0.41447368421052633</v>
      </c>
    </row>
    <row r="105" spans="1:17" x14ac:dyDescent="0.4">
      <c r="A105" s="67">
        <v>102</v>
      </c>
      <c r="B105" s="64">
        <v>1634.400000000001</v>
      </c>
      <c r="C105" s="64">
        <v>16.023529411764716</v>
      </c>
      <c r="D105" s="69">
        <v>1.6764705882352942</v>
      </c>
      <c r="E105" s="65">
        <v>0.52941176470588236</v>
      </c>
      <c r="F105" s="65">
        <v>0.20588235294117646</v>
      </c>
      <c r="G105" s="65">
        <v>0.37063778580024065</v>
      </c>
      <c r="H105" s="65">
        <v>0.14921780986762936</v>
      </c>
      <c r="I105" s="66">
        <v>9027.2727272727279</v>
      </c>
      <c r="J105" s="66">
        <v>-8190.322580645161</v>
      </c>
      <c r="K105" s="65">
        <v>7.8431372549019607E-2</v>
      </c>
      <c r="L105" s="65">
        <v>0.18627450980392157</v>
      </c>
      <c r="M105" s="65">
        <v>0.32972322503008422</v>
      </c>
      <c r="N105" s="65">
        <v>0.22743682310469315</v>
      </c>
      <c r="O105" s="65">
        <v>0.60948905109489049</v>
      </c>
      <c r="P105" s="65">
        <v>0.51851851851851849</v>
      </c>
      <c r="Q105" s="65">
        <v>0.41558441558441561</v>
      </c>
    </row>
    <row r="106" spans="1:17" x14ac:dyDescent="0.4">
      <c r="A106" s="67">
        <v>103</v>
      </c>
      <c r="B106" s="64">
        <v>1615.700000000001</v>
      </c>
      <c r="C106" s="64">
        <v>15.6864077669903</v>
      </c>
      <c r="D106" s="69">
        <v>1.6796116504854368</v>
      </c>
      <c r="E106" s="65">
        <v>0.52427184466019416</v>
      </c>
      <c r="F106" s="65">
        <v>0.20388349514563106</v>
      </c>
      <c r="G106" s="65">
        <v>0.36785714285714288</v>
      </c>
      <c r="H106" s="65">
        <v>0.14880952380952381</v>
      </c>
      <c r="I106" s="66">
        <v>9023.9482200647253</v>
      </c>
      <c r="J106" s="66">
        <v>-8150.4</v>
      </c>
      <c r="K106" s="65">
        <v>7.7669902912621352E-2</v>
      </c>
      <c r="L106" s="65">
        <v>0.18446601941747573</v>
      </c>
      <c r="M106" s="65">
        <v>0.33095238095238094</v>
      </c>
      <c r="N106" s="65">
        <v>0.22619047619047619</v>
      </c>
      <c r="O106" s="65">
        <v>0.60431654676258995</v>
      </c>
      <c r="P106" s="65">
        <v>0.51578947368421058</v>
      </c>
      <c r="Q106" s="65">
        <v>0.41747572815533979</v>
      </c>
    </row>
    <row r="107" spans="1:17" x14ac:dyDescent="0.4">
      <c r="A107" s="67">
        <v>104</v>
      </c>
      <c r="B107" s="64">
        <v>1653.100000000001</v>
      </c>
      <c r="C107" s="64">
        <v>15.895192307692318</v>
      </c>
      <c r="D107" s="69">
        <v>1.6730769230769231</v>
      </c>
      <c r="E107" s="65">
        <v>0.52884615384615385</v>
      </c>
      <c r="F107" s="65">
        <v>0.20192307692307693</v>
      </c>
      <c r="G107" s="65">
        <v>0.36866902237926974</v>
      </c>
      <c r="H107" s="65">
        <v>0.14958775029446408</v>
      </c>
      <c r="I107" s="66">
        <v>9033.5463258785949</v>
      </c>
      <c r="J107" s="66">
        <v>-8145.6692913385823</v>
      </c>
      <c r="K107" s="65">
        <v>7.6923076923076927E-2</v>
      </c>
      <c r="L107" s="65">
        <v>0.18269230769230768</v>
      </c>
      <c r="M107" s="65">
        <v>0.33215547703180209</v>
      </c>
      <c r="N107" s="65">
        <v>0.22614840989399293</v>
      </c>
      <c r="O107" s="65">
        <v>0.6028368794326241</v>
      </c>
      <c r="P107" s="65">
        <v>0.515625</v>
      </c>
      <c r="Q107" s="65">
        <v>0.41853035143769968</v>
      </c>
    </row>
    <row r="108" spans="1:17" x14ac:dyDescent="0.4">
      <c r="A108" s="67">
        <v>105</v>
      </c>
      <c r="B108" s="64">
        <v>1593.100000000001</v>
      </c>
      <c r="C108" s="64">
        <v>15.172380952380962</v>
      </c>
      <c r="D108" s="69">
        <v>1.6857142857142857</v>
      </c>
      <c r="E108" s="65">
        <v>0.52380952380952384</v>
      </c>
      <c r="F108" s="65">
        <v>0.20952380952380953</v>
      </c>
      <c r="G108" s="65">
        <v>0.3665105386416862</v>
      </c>
      <c r="H108" s="65">
        <v>0.15105386416861827</v>
      </c>
      <c r="I108" s="66">
        <v>9033.5463258785949</v>
      </c>
      <c r="J108" s="66">
        <v>-8267.4418604651164</v>
      </c>
      <c r="K108" s="65">
        <v>8.5714285714285715E-2</v>
      </c>
      <c r="L108" s="65">
        <v>0.18095238095238095</v>
      </c>
      <c r="M108" s="65">
        <v>0.33021077283372363</v>
      </c>
      <c r="N108" s="65">
        <v>0.22482435597189696</v>
      </c>
      <c r="O108" s="65">
        <v>0.6028368794326241</v>
      </c>
      <c r="P108" s="65">
        <v>0.515625</v>
      </c>
      <c r="Q108" s="65">
        <v>0.41853035143769968</v>
      </c>
    </row>
    <row r="109" spans="1:17" x14ac:dyDescent="0.4">
      <c r="A109" s="67">
        <v>106</v>
      </c>
      <c r="B109" s="64">
        <v>1583.200000000001</v>
      </c>
      <c r="C109" s="64">
        <v>14.935849056603782</v>
      </c>
      <c r="D109" s="69">
        <v>1.6886792452830188</v>
      </c>
      <c r="E109" s="65">
        <v>0.51886792452830188</v>
      </c>
      <c r="F109" s="65">
        <v>0.20754716981132076</v>
      </c>
      <c r="G109" s="65">
        <v>0.36342592592592593</v>
      </c>
      <c r="H109" s="65">
        <v>0.14930555555555555</v>
      </c>
      <c r="I109" s="66">
        <v>9041.7197452229302</v>
      </c>
      <c r="J109" s="66">
        <v>-8267.4418604651164</v>
      </c>
      <c r="K109" s="65">
        <v>8.4905660377358486E-2</v>
      </c>
      <c r="L109" s="65">
        <v>0.17924528301886791</v>
      </c>
      <c r="M109" s="65">
        <v>0.3298611111111111</v>
      </c>
      <c r="N109" s="65">
        <v>0.22453703703703703</v>
      </c>
      <c r="O109" s="65">
        <v>0.59649122807017541</v>
      </c>
      <c r="P109" s="65">
        <v>0.51546391752577314</v>
      </c>
      <c r="Q109" s="65">
        <v>0.41719745222929938</v>
      </c>
    </row>
    <row r="110" spans="1:17" x14ac:dyDescent="0.4">
      <c r="A110" s="67">
        <v>107</v>
      </c>
      <c r="B110" s="64">
        <v>1517.3000000000009</v>
      </c>
      <c r="C110" s="64">
        <v>14.180373831775709</v>
      </c>
      <c r="D110" s="69">
        <v>1.7009345794392523</v>
      </c>
      <c r="E110" s="65">
        <v>0.51401869158878499</v>
      </c>
      <c r="F110" s="65">
        <v>0.21495327102803738</v>
      </c>
      <c r="G110" s="65">
        <v>0.36091954022988504</v>
      </c>
      <c r="H110" s="65">
        <v>0.1528735632183908</v>
      </c>
      <c r="I110" s="66">
        <v>9041.7197452229302</v>
      </c>
      <c r="J110" s="66">
        <v>-8318.7969924812023</v>
      </c>
      <c r="K110" s="65">
        <v>9.3457943925233641E-2</v>
      </c>
      <c r="L110" s="65">
        <v>0.17757009345794392</v>
      </c>
      <c r="M110" s="65">
        <v>0.32758620689655171</v>
      </c>
      <c r="N110" s="65">
        <v>0.22413793103448276</v>
      </c>
      <c r="O110" s="65">
        <v>0.59649122807017541</v>
      </c>
      <c r="P110" s="65">
        <v>0.51282051282051277</v>
      </c>
      <c r="Q110" s="65">
        <v>0.41719745222929938</v>
      </c>
    </row>
    <row r="111" spans="1:17" x14ac:dyDescent="0.4">
      <c r="A111" s="67">
        <v>108</v>
      </c>
      <c r="B111" s="64">
        <v>1569.1000000000008</v>
      </c>
      <c r="C111" s="64">
        <v>14.528703703703711</v>
      </c>
      <c r="D111" s="69">
        <v>1.6944444444444444</v>
      </c>
      <c r="E111" s="65">
        <v>0.51851851851851849</v>
      </c>
      <c r="F111" s="65">
        <v>0.21296296296296297</v>
      </c>
      <c r="G111" s="65">
        <v>0.36197021764032072</v>
      </c>
      <c r="H111" s="65">
        <v>0.15234822451317298</v>
      </c>
      <c r="I111" s="66">
        <v>9078.7974683544307</v>
      </c>
      <c r="J111" s="66">
        <v>-8318.7969924812023</v>
      </c>
      <c r="K111" s="65">
        <v>9.2592592592592587E-2</v>
      </c>
      <c r="L111" s="65">
        <v>0.18518518518518517</v>
      </c>
      <c r="M111" s="65">
        <v>0.32760595647193586</v>
      </c>
      <c r="N111" s="65">
        <v>0.22451317296678122</v>
      </c>
      <c r="O111" s="65">
        <v>0.59790209790209792</v>
      </c>
      <c r="P111" s="65">
        <v>0.51530612244897955</v>
      </c>
      <c r="Q111" s="65">
        <v>0.41455696202531644</v>
      </c>
    </row>
    <row r="112" spans="1:17" x14ac:dyDescent="0.4">
      <c r="A112" s="67">
        <v>109</v>
      </c>
      <c r="B112" s="64">
        <v>1512.2000000000007</v>
      </c>
      <c r="C112" s="64">
        <v>13.873394495412851</v>
      </c>
      <c r="D112" s="69">
        <v>1.7064220183486238</v>
      </c>
      <c r="E112" s="65">
        <v>0.51376146788990829</v>
      </c>
      <c r="F112" s="65">
        <v>0.22018348623853212</v>
      </c>
      <c r="G112" s="65">
        <v>0.35990888382687924</v>
      </c>
      <c r="H112" s="65">
        <v>0.15375854214123008</v>
      </c>
      <c r="I112" s="66">
        <v>9078.7974683544307</v>
      </c>
      <c r="J112" s="66">
        <v>-8373.3333333333339</v>
      </c>
      <c r="K112" s="65">
        <v>0.10091743119266056</v>
      </c>
      <c r="L112" s="65">
        <v>0.1834862385321101</v>
      </c>
      <c r="M112" s="65">
        <v>0.32801822323462415</v>
      </c>
      <c r="N112" s="65">
        <v>0.22323462414578588</v>
      </c>
      <c r="O112" s="65">
        <v>0.59375</v>
      </c>
      <c r="P112" s="65">
        <v>0.51530612244897955</v>
      </c>
      <c r="Q112" s="65">
        <v>0.41455696202531644</v>
      </c>
    </row>
    <row r="113" spans="1:17" x14ac:dyDescent="0.4">
      <c r="A113" s="67">
        <v>110</v>
      </c>
      <c r="B113" s="64">
        <v>1513.7000000000007</v>
      </c>
      <c r="C113" s="64">
        <v>13.760909090909097</v>
      </c>
      <c r="D113" s="69">
        <v>1.709090909090909</v>
      </c>
      <c r="E113" s="65">
        <v>0.50909090909090904</v>
      </c>
      <c r="F113" s="65">
        <v>0.21818181818181817</v>
      </c>
      <c r="G113" s="65">
        <v>0.35851183765501693</v>
      </c>
      <c r="H113" s="65">
        <v>0.15445321307779031</v>
      </c>
      <c r="I113" s="66">
        <v>9084.5911949685542</v>
      </c>
      <c r="J113" s="66">
        <v>-8391.9708029197081</v>
      </c>
      <c r="K113" s="65">
        <v>0.1</v>
      </c>
      <c r="L113" s="65">
        <v>0.18181818181818182</v>
      </c>
      <c r="M113" s="65">
        <v>0.32807215332581735</v>
      </c>
      <c r="N113" s="65">
        <v>0.22322435174746336</v>
      </c>
      <c r="O113" s="65">
        <v>0.59106529209621994</v>
      </c>
      <c r="P113" s="65">
        <v>0.51515151515151514</v>
      </c>
      <c r="Q113" s="65">
        <v>0.41509433962264153</v>
      </c>
    </row>
    <row r="114" spans="1:17" x14ac:dyDescent="0.4">
      <c r="A114" s="67">
        <v>111</v>
      </c>
      <c r="B114" s="64">
        <v>1461.9000000000008</v>
      </c>
      <c r="C114" s="64">
        <v>13.170270270270278</v>
      </c>
      <c r="D114" s="69">
        <v>1.7207207207207207</v>
      </c>
      <c r="E114" s="65">
        <v>0.50450450450450446</v>
      </c>
      <c r="F114" s="65">
        <v>0.22522522522522523</v>
      </c>
      <c r="G114" s="65">
        <v>0.35451505016722407</v>
      </c>
      <c r="H114" s="65">
        <v>0.15384615384615385</v>
      </c>
      <c r="I114" s="66">
        <v>9084.5911949685542</v>
      </c>
      <c r="J114" s="66">
        <v>-8386.95652173913</v>
      </c>
      <c r="K114" s="65">
        <v>9.90990990990991E-2</v>
      </c>
      <c r="L114" s="65">
        <v>0.18018018018018017</v>
      </c>
      <c r="M114" s="65">
        <v>0.32664437012263098</v>
      </c>
      <c r="N114" s="65">
        <v>0.22073578595317725</v>
      </c>
      <c r="O114" s="65">
        <v>0.58703071672354945</v>
      </c>
      <c r="P114" s="65">
        <v>0.51515151515151514</v>
      </c>
      <c r="Q114" s="65">
        <v>0.41509433962264153</v>
      </c>
    </row>
    <row r="115" spans="1:17" x14ac:dyDescent="0.4">
      <c r="A115" s="67">
        <v>112</v>
      </c>
      <c r="B115" s="64">
        <v>1405.8000000000009</v>
      </c>
      <c r="C115" s="64">
        <v>12.551785714285723</v>
      </c>
      <c r="D115" s="69">
        <v>1.7321428571428572</v>
      </c>
      <c r="E115" s="65">
        <v>0.5</v>
      </c>
      <c r="F115" s="65">
        <v>0.23214285714285715</v>
      </c>
      <c r="G115" s="65">
        <v>0.35209713024282563</v>
      </c>
      <c r="H115" s="65">
        <v>0.15342163355408389</v>
      </c>
      <c r="I115" s="66">
        <v>9076.1755485893409</v>
      </c>
      <c r="J115" s="66">
        <v>-8412.9496402877703</v>
      </c>
      <c r="K115" s="65">
        <v>0.10714285714285714</v>
      </c>
      <c r="L115" s="65">
        <v>0.17857142857142858</v>
      </c>
      <c r="M115" s="65">
        <v>0.32671081677704195</v>
      </c>
      <c r="N115" s="65">
        <v>0.22075055187637968</v>
      </c>
      <c r="O115" s="65">
        <v>0.58445945945945943</v>
      </c>
      <c r="P115" s="65">
        <v>0.51</v>
      </c>
      <c r="Q115" s="65">
        <v>0.41692789968652039</v>
      </c>
    </row>
    <row r="116" spans="1:17" x14ac:dyDescent="0.4">
      <c r="A116" s="67">
        <v>113</v>
      </c>
      <c r="B116" s="64">
        <v>1346.8000000000009</v>
      </c>
      <c r="C116" s="64">
        <v>11.918584070796468</v>
      </c>
      <c r="D116" s="69">
        <v>1.7433628318584071</v>
      </c>
      <c r="E116" s="65">
        <v>0.49557522123893805</v>
      </c>
      <c r="F116" s="65">
        <v>0.23893805309734514</v>
      </c>
      <c r="G116" s="65">
        <v>0.34901531728665208</v>
      </c>
      <c r="H116" s="65">
        <v>0.15207877461706784</v>
      </c>
      <c r="I116" s="66">
        <v>9076.1755485893409</v>
      </c>
      <c r="J116" s="66">
        <v>-8412.9496402877703</v>
      </c>
      <c r="K116" s="65">
        <v>0.11504424778761062</v>
      </c>
      <c r="L116" s="65">
        <v>0.17699115044247787</v>
      </c>
      <c r="M116" s="65">
        <v>0.32713347921225383</v>
      </c>
      <c r="N116" s="65">
        <v>0.21881838074398249</v>
      </c>
      <c r="O116" s="65">
        <v>0.57859531772575246</v>
      </c>
      <c r="P116" s="65">
        <v>0.51</v>
      </c>
      <c r="Q116" s="65">
        <v>0.41692789968652039</v>
      </c>
    </row>
    <row r="117" spans="1:17" x14ac:dyDescent="0.4">
      <c r="A117" s="67">
        <v>114</v>
      </c>
      <c r="B117" s="64">
        <v>1351.1000000000008</v>
      </c>
      <c r="C117" s="64">
        <v>11.85175438596492</v>
      </c>
      <c r="D117" s="69">
        <v>1.7456140350877194</v>
      </c>
      <c r="E117" s="65">
        <v>0.49122807017543857</v>
      </c>
      <c r="F117" s="65">
        <v>0.23684210526315788</v>
      </c>
      <c r="G117" s="65">
        <v>0.34961997828447339</v>
      </c>
      <c r="H117" s="65">
        <v>0.15200868621064062</v>
      </c>
      <c r="I117" s="66">
        <v>9056.8322981366455</v>
      </c>
      <c r="J117" s="66">
        <v>-8390</v>
      </c>
      <c r="K117" s="65">
        <v>0.11403508771929824</v>
      </c>
      <c r="L117" s="65">
        <v>0.17543859649122806</v>
      </c>
      <c r="M117" s="65">
        <v>0.32573289902280128</v>
      </c>
      <c r="N117" s="65">
        <v>0.21932681867535286</v>
      </c>
      <c r="O117" s="65">
        <v>0.57999999999999996</v>
      </c>
      <c r="P117" s="65">
        <v>0.50990099009900991</v>
      </c>
      <c r="Q117" s="65">
        <v>0.41304347826086957</v>
      </c>
    </row>
    <row r="118" spans="1:17" x14ac:dyDescent="0.4">
      <c r="A118" s="67">
        <v>115</v>
      </c>
      <c r="B118" s="64">
        <v>1435.5000000000009</v>
      </c>
      <c r="C118" s="64">
        <v>12.482608695652182</v>
      </c>
      <c r="D118" s="69">
        <v>1.7391304347826086</v>
      </c>
      <c r="E118" s="65">
        <v>0.4956521739130435</v>
      </c>
      <c r="F118" s="65">
        <v>0.23478260869565218</v>
      </c>
      <c r="G118" s="65">
        <v>0.35230934479054782</v>
      </c>
      <c r="H118" s="65">
        <v>0.15037593984962405</v>
      </c>
      <c r="I118" s="66">
        <v>9069.8170731707323</v>
      </c>
      <c r="J118" s="66">
        <v>-8390</v>
      </c>
      <c r="K118" s="65">
        <v>0.11304347826086956</v>
      </c>
      <c r="L118" s="65">
        <v>0.18260869565217391</v>
      </c>
      <c r="M118" s="65">
        <v>0.32867883995703545</v>
      </c>
      <c r="N118" s="65">
        <v>0.21911922663802363</v>
      </c>
      <c r="O118" s="65">
        <v>0.5816993464052288</v>
      </c>
      <c r="P118" s="65">
        <v>0.51470588235294112</v>
      </c>
      <c r="Q118" s="65">
        <v>0.42073170731707316</v>
      </c>
    </row>
    <row r="119" spans="1:17" x14ac:dyDescent="0.4">
      <c r="A119" s="67">
        <v>116</v>
      </c>
      <c r="B119" s="64">
        <v>1471.900000000001</v>
      </c>
      <c r="C119" s="64">
        <v>12.688793103448285</v>
      </c>
      <c r="D119" s="69">
        <v>1.7327586206896552</v>
      </c>
      <c r="E119" s="65">
        <v>0.5</v>
      </c>
      <c r="F119" s="65">
        <v>0.23275862068965517</v>
      </c>
      <c r="G119" s="65">
        <v>0.35456475583864117</v>
      </c>
      <c r="H119" s="65">
        <v>0.14968152866242038</v>
      </c>
      <c r="I119" s="66">
        <v>9014.3712574850306</v>
      </c>
      <c r="J119" s="66">
        <v>-8415.6028368794323</v>
      </c>
      <c r="K119" s="65">
        <v>0.11206896551724138</v>
      </c>
      <c r="L119" s="65">
        <v>0.18103448275862069</v>
      </c>
      <c r="M119" s="65">
        <v>0.32908704883227174</v>
      </c>
      <c r="N119" s="65">
        <v>0.2208067940552017</v>
      </c>
      <c r="O119" s="65">
        <v>0.58387096774193548</v>
      </c>
      <c r="P119" s="65">
        <v>0.51923076923076927</v>
      </c>
      <c r="Q119" s="65">
        <v>0.41916167664670656</v>
      </c>
    </row>
    <row r="120" spans="1:17" x14ac:dyDescent="0.4">
      <c r="A120" s="67">
        <v>117</v>
      </c>
      <c r="B120" s="64">
        <v>1492.600000000001</v>
      </c>
      <c r="C120" s="64">
        <v>12.757264957264967</v>
      </c>
      <c r="D120" s="69">
        <v>1.7350427350427351</v>
      </c>
      <c r="E120" s="65">
        <v>0.49572649572649574</v>
      </c>
      <c r="F120" s="65">
        <v>0.23076923076923078</v>
      </c>
      <c r="G120" s="65">
        <v>0.35654008438818563</v>
      </c>
      <c r="H120" s="65">
        <v>0.14873417721518986</v>
      </c>
      <c r="I120" s="66">
        <v>8992.6035502958584</v>
      </c>
      <c r="J120" s="66">
        <v>-8415.6028368794323</v>
      </c>
      <c r="K120" s="65">
        <v>0.1111111111111111</v>
      </c>
      <c r="L120" s="65">
        <v>0.17948717948717949</v>
      </c>
      <c r="M120" s="65">
        <v>0.32911392405063289</v>
      </c>
      <c r="N120" s="65">
        <v>0.22151898734177214</v>
      </c>
      <c r="O120" s="65">
        <v>0.58653846153846156</v>
      </c>
      <c r="P120" s="65">
        <v>0.52380952380952384</v>
      </c>
      <c r="Q120" s="65">
        <v>0.41420118343195267</v>
      </c>
    </row>
    <row r="121" spans="1:17" x14ac:dyDescent="0.4">
      <c r="A121" s="67">
        <v>118</v>
      </c>
      <c r="B121" s="64">
        <v>1530.0000000000011</v>
      </c>
      <c r="C121" s="64">
        <v>12.966101694915263</v>
      </c>
      <c r="D121" s="69">
        <v>1.728813559322034</v>
      </c>
      <c r="E121" s="65">
        <v>0.5</v>
      </c>
      <c r="F121" s="65">
        <v>0.2288135593220339</v>
      </c>
      <c r="G121" s="65">
        <v>0.35379812695109258</v>
      </c>
      <c r="H121" s="65">
        <v>0.14880332986472425</v>
      </c>
      <c r="I121" s="66">
        <v>9041.4705882352937</v>
      </c>
      <c r="J121" s="66">
        <v>-8335.6643356643362</v>
      </c>
      <c r="K121" s="65">
        <v>0.11016949152542373</v>
      </c>
      <c r="L121" s="65">
        <v>0.17796610169491525</v>
      </c>
      <c r="M121" s="65">
        <v>0.32778355879292403</v>
      </c>
      <c r="N121" s="65">
        <v>0.22164412070759626</v>
      </c>
      <c r="O121" s="65">
        <v>0.58412698412698416</v>
      </c>
      <c r="P121" s="65">
        <v>0.51643192488262912</v>
      </c>
      <c r="Q121" s="65">
        <v>0.41176470588235292</v>
      </c>
    </row>
    <row r="122" spans="1:17" x14ac:dyDescent="0.4">
      <c r="A122" s="67">
        <v>119</v>
      </c>
      <c r="B122" s="64">
        <v>1530.0000000000011</v>
      </c>
      <c r="C122" s="64">
        <v>12.857142857142867</v>
      </c>
      <c r="D122" s="69">
        <v>1.73109243697479</v>
      </c>
      <c r="E122" s="65">
        <v>0.49579831932773111</v>
      </c>
      <c r="F122" s="65">
        <v>0.22689075630252101</v>
      </c>
      <c r="G122" s="65">
        <v>0.35269709543568467</v>
      </c>
      <c r="H122" s="65">
        <v>0.1483402489626556</v>
      </c>
      <c r="I122" s="66">
        <v>9041.4705882352937</v>
      </c>
      <c r="J122" s="66">
        <v>-8335.6643356643362</v>
      </c>
      <c r="K122" s="65">
        <v>0.1092436974789916</v>
      </c>
      <c r="L122" s="65">
        <v>0.17647058823529413</v>
      </c>
      <c r="M122" s="65">
        <v>0.32676348547717843</v>
      </c>
      <c r="N122" s="65">
        <v>0.22095435684647302</v>
      </c>
      <c r="O122" s="65">
        <v>0.58412698412698416</v>
      </c>
      <c r="P122" s="65">
        <v>0.51643192488262912</v>
      </c>
      <c r="Q122" s="65">
        <v>0.41176470588235292</v>
      </c>
    </row>
    <row r="123" spans="1:17" x14ac:dyDescent="0.4">
      <c r="A123" s="67">
        <v>120</v>
      </c>
      <c r="B123" s="64">
        <v>1527.0000000000011</v>
      </c>
      <c r="C123" s="64">
        <v>12.72500000000001</v>
      </c>
      <c r="D123" s="69">
        <v>1.7333333333333334</v>
      </c>
      <c r="E123" s="65">
        <v>0.49166666666666664</v>
      </c>
      <c r="F123" s="65">
        <v>0.22500000000000001</v>
      </c>
      <c r="G123" s="65">
        <v>0.3508230452674897</v>
      </c>
      <c r="H123" s="65">
        <v>0.15020576131687244</v>
      </c>
      <c r="I123" s="66">
        <v>9120.5278592375362</v>
      </c>
      <c r="J123" s="66">
        <v>-8356.1643835616433</v>
      </c>
      <c r="K123" s="65">
        <v>0.10833333333333334</v>
      </c>
      <c r="L123" s="65">
        <v>0.17499999999999999</v>
      </c>
      <c r="M123" s="65">
        <v>0.32818930041152261</v>
      </c>
      <c r="N123" s="65">
        <v>0.22119341563786007</v>
      </c>
      <c r="O123" s="65">
        <v>0.57993730407523514</v>
      </c>
      <c r="P123" s="65">
        <v>0.51162790697674421</v>
      </c>
      <c r="Q123" s="65">
        <v>0.41348973607038125</v>
      </c>
    </row>
    <row r="124" spans="1:17" x14ac:dyDescent="0.4">
      <c r="A124" s="67">
        <v>121</v>
      </c>
      <c r="B124" s="64">
        <v>1556.600000000001</v>
      </c>
      <c r="C124" s="64">
        <v>12.864462809917365</v>
      </c>
      <c r="D124" s="69">
        <v>1.7272727272727273</v>
      </c>
      <c r="E124" s="65">
        <v>0.49586776859504134</v>
      </c>
      <c r="F124" s="65">
        <v>0.2231404958677686</v>
      </c>
      <c r="G124" s="65">
        <v>0.3510204081632653</v>
      </c>
      <c r="H124" s="65">
        <v>0.15102040816326531</v>
      </c>
      <c r="I124" s="66">
        <v>9132.8488372093016</v>
      </c>
      <c r="J124" s="66">
        <v>-8351.3513513513517</v>
      </c>
      <c r="K124" s="65">
        <v>0.10743801652892562</v>
      </c>
      <c r="L124" s="65">
        <v>0.17355371900826447</v>
      </c>
      <c r="M124" s="65">
        <v>0.32857142857142857</v>
      </c>
      <c r="N124" s="65">
        <v>0.22244897959183674</v>
      </c>
      <c r="O124" s="65">
        <v>0.57763975155279501</v>
      </c>
      <c r="P124" s="65">
        <v>0.51376146788990829</v>
      </c>
      <c r="Q124" s="65">
        <v>0.41279069767441862</v>
      </c>
    </row>
    <row r="125" spans="1:17" x14ac:dyDescent="0.4">
      <c r="A125" s="67">
        <v>122</v>
      </c>
      <c r="B125" s="64">
        <v>1590.100000000001</v>
      </c>
      <c r="C125" s="64">
        <v>13.033606557377057</v>
      </c>
      <c r="D125" s="69">
        <v>1.721311475409836</v>
      </c>
      <c r="E125" s="65">
        <v>0.5</v>
      </c>
      <c r="F125" s="65">
        <v>0.22131147540983606</v>
      </c>
      <c r="G125" s="65">
        <v>0.35192697768762676</v>
      </c>
      <c r="H125" s="65">
        <v>0.15111561866125761</v>
      </c>
      <c r="I125" s="66">
        <v>9107.2046109510084</v>
      </c>
      <c r="J125" s="66">
        <v>-8308.7248322147643</v>
      </c>
      <c r="K125" s="65">
        <v>0.10655737704918032</v>
      </c>
      <c r="L125" s="65">
        <v>0.1721311475409836</v>
      </c>
      <c r="M125" s="65">
        <v>0.32860040567951321</v>
      </c>
      <c r="N125" s="65">
        <v>0.22109533468559839</v>
      </c>
      <c r="O125" s="65">
        <v>0.5771604938271605</v>
      </c>
      <c r="P125" s="65">
        <v>0.51376146788990829</v>
      </c>
      <c r="Q125" s="65">
        <v>0.40922190201729108</v>
      </c>
    </row>
    <row r="126" spans="1:17" x14ac:dyDescent="0.4">
      <c r="A126" s="67">
        <v>123</v>
      </c>
      <c r="B126" s="64">
        <v>1598.200000000001</v>
      </c>
      <c r="C126" s="64">
        <v>12.993495934959357</v>
      </c>
      <c r="D126" s="69">
        <v>1.7235772357723578</v>
      </c>
      <c r="E126" s="65">
        <v>0.49593495934959347</v>
      </c>
      <c r="F126" s="65">
        <v>0.21951219512195122</v>
      </c>
      <c r="G126" s="65">
        <v>0.35170340681362727</v>
      </c>
      <c r="H126" s="65">
        <v>0.15330661322645289</v>
      </c>
      <c r="I126" s="66">
        <v>9112.2507122507122</v>
      </c>
      <c r="J126" s="66">
        <v>-8224.1830065359482</v>
      </c>
      <c r="K126" s="65">
        <v>0.10569105691056911</v>
      </c>
      <c r="L126" s="65">
        <v>0.17073170731707318</v>
      </c>
      <c r="M126" s="65">
        <v>0.32865731462925851</v>
      </c>
      <c r="N126" s="65">
        <v>0.21943887775551102</v>
      </c>
      <c r="O126" s="65">
        <v>0.57621951219512191</v>
      </c>
      <c r="P126" s="65">
        <v>0.51598173515981738</v>
      </c>
      <c r="Q126" s="65">
        <v>0.40740740740740738</v>
      </c>
    </row>
    <row r="127" spans="1:17" x14ac:dyDescent="0.4">
      <c r="A127" s="67">
        <v>124</v>
      </c>
      <c r="B127" s="64">
        <v>1628.600000000001</v>
      </c>
      <c r="C127" s="64">
        <v>13.133870967741943</v>
      </c>
      <c r="D127" s="69">
        <v>1.717741935483871</v>
      </c>
      <c r="E127" s="65">
        <v>0.5</v>
      </c>
      <c r="F127" s="65">
        <v>0.21774193548387097</v>
      </c>
      <c r="G127" s="65">
        <v>0.35089463220675943</v>
      </c>
      <c r="H127" s="65">
        <v>0.15407554671968191</v>
      </c>
      <c r="I127" s="66">
        <v>9134.2776203966005</v>
      </c>
      <c r="J127" s="66">
        <v>-8178.0645161290322</v>
      </c>
      <c r="K127" s="65">
        <v>0.10483870967741936</v>
      </c>
      <c r="L127" s="65">
        <v>0.16935483870967741</v>
      </c>
      <c r="M127" s="65">
        <v>0.32703777335984097</v>
      </c>
      <c r="N127" s="65">
        <v>0.21968190854870775</v>
      </c>
      <c r="O127" s="65">
        <v>0.57750759878419455</v>
      </c>
      <c r="P127" s="65">
        <v>0.51583710407239824</v>
      </c>
      <c r="Q127" s="65">
        <v>0.40509915014164305</v>
      </c>
    </row>
    <row r="128" spans="1:17" x14ac:dyDescent="0.4">
      <c r="A128" s="67">
        <v>125</v>
      </c>
      <c r="B128" s="64">
        <v>1565.600000000001</v>
      </c>
      <c r="C128" s="64">
        <v>12.524800000000008</v>
      </c>
      <c r="D128" s="69">
        <v>1.728</v>
      </c>
      <c r="E128" s="65">
        <v>0.496</v>
      </c>
      <c r="F128" s="65">
        <v>0.224</v>
      </c>
      <c r="G128" s="65">
        <v>0.34985133795837464</v>
      </c>
      <c r="H128" s="65">
        <v>0.15559960356788899</v>
      </c>
      <c r="I128" s="66">
        <v>9134.2776203966005</v>
      </c>
      <c r="J128" s="66">
        <v>-8277.7070063694264</v>
      </c>
      <c r="K128" s="65">
        <v>0.112</v>
      </c>
      <c r="L128" s="65">
        <v>0.16800000000000001</v>
      </c>
      <c r="M128" s="65">
        <v>0.32606541129831518</v>
      </c>
      <c r="N128" s="65">
        <v>0.22101090188305253</v>
      </c>
      <c r="O128" s="65">
        <v>0.57750759878419455</v>
      </c>
      <c r="P128" s="65">
        <v>0.5112107623318386</v>
      </c>
      <c r="Q128" s="65">
        <v>0.40509915014164305</v>
      </c>
    </row>
    <row r="129" spans="1:17" x14ac:dyDescent="0.4">
      <c r="A129" s="67">
        <v>126</v>
      </c>
      <c r="B129" s="64">
        <v>1666.5000000000011</v>
      </c>
      <c r="C129" s="64">
        <v>13.226190476190485</v>
      </c>
      <c r="D129" s="69">
        <v>1.7222222222222223</v>
      </c>
      <c r="E129" s="65">
        <v>0.5</v>
      </c>
      <c r="F129" s="65">
        <v>0.22222222222222221</v>
      </c>
      <c r="G129" s="65">
        <v>0.3526522593320236</v>
      </c>
      <c r="H129" s="65">
        <v>0.15422396856581533</v>
      </c>
      <c r="I129" s="66">
        <v>9180.5013927576601</v>
      </c>
      <c r="J129" s="66">
        <v>-8277.7070063694264</v>
      </c>
      <c r="K129" s="65">
        <v>0.1111111111111111</v>
      </c>
      <c r="L129" s="65">
        <v>0.17460317460317459</v>
      </c>
      <c r="M129" s="65">
        <v>0.32612966601178783</v>
      </c>
      <c r="N129" s="65">
        <v>0.22298624754420432</v>
      </c>
      <c r="O129" s="65">
        <v>0.58132530120481929</v>
      </c>
      <c r="P129" s="65">
        <v>0.51541850220264318</v>
      </c>
      <c r="Q129" s="65">
        <v>0.4011142061281337</v>
      </c>
    </row>
    <row r="130" spans="1:17" x14ac:dyDescent="0.4">
      <c r="A130" s="67">
        <v>127</v>
      </c>
      <c r="B130" s="64">
        <v>1643.100000000001</v>
      </c>
      <c r="C130" s="64">
        <v>12.93779527559056</v>
      </c>
      <c r="D130" s="69">
        <v>1.7322834645669292</v>
      </c>
      <c r="E130" s="65">
        <v>0.49606299212598426</v>
      </c>
      <c r="F130" s="65">
        <v>0.2283464566929134</v>
      </c>
      <c r="G130" s="65">
        <v>0.3498542274052478</v>
      </c>
      <c r="H130" s="65">
        <v>0.15451895043731778</v>
      </c>
      <c r="I130" s="66">
        <v>9205</v>
      </c>
      <c r="J130" s="66">
        <v>-8233.3333333333339</v>
      </c>
      <c r="K130" s="65">
        <v>0.11023622047244094</v>
      </c>
      <c r="L130" s="65">
        <v>0.17322834645669291</v>
      </c>
      <c r="M130" s="65">
        <v>0.32847424684159376</v>
      </c>
      <c r="N130" s="65">
        <v>0.22157434402332363</v>
      </c>
      <c r="O130" s="65">
        <v>0.57396449704142016</v>
      </c>
      <c r="P130" s="65">
        <v>0.51315789473684215</v>
      </c>
      <c r="Q130" s="65">
        <v>0.4</v>
      </c>
    </row>
    <row r="131" spans="1:17" x14ac:dyDescent="0.4">
      <c r="A131" s="67">
        <v>128</v>
      </c>
      <c r="B131" s="64">
        <v>1573.600000000001</v>
      </c>
      <c r="C131" s="64">
        <v>12.293750000000008</v>
      </c>
      <c r="D131" s="69">
        <v>1.7421875</v>
      </c>
      <c r="E131" s="65">
        <v>0.4921875</v>
      </c>
      <c r="F131" s="65">
        <v>0.234375</v>
      </c>
      <c r="G131" s="65">
        <v>0.34778420038535646</v>
      </c>
      <c r="H131" s="65">
        <v>0.15703275529865124</v>
      </c>
      <c r="I131" s="66">
        <v>9223.8227146814406</v>
      </c>
      <c r="J131" s="66">
        <v>-8374.8466257668715</v>
      </c>
      <c r="K131" s="65">
        <v>0.1171875</v>
      </c>
      <c r="L131" s="65">
        <v>0.171875</v>
      </c>
      <c r="M131" s="65">
        <v>0.32562620423892102</v>
      </c>
      <c r="N131" s="65">
        <v>0.21965317919075145</v>
      </c>
      <c r="O131" s="65">
        <v>0.57396449704142016</v>
      </c>
      <c r="P131" s="65">
        <v>0.51315789473684215</v>
      </c>
      <c r="Q131" s="65">
        <v>0.40166204986149584</v>
      </c>
    </row>
    <row r="132" spans="1:17" x14ac:dyDescent="0.4">
      <c r="A132" s="67">
        <v>129</v>
      </c>
      <c r="B132" s="64">
        <v>1603.0000000000011</v>
      </c>
      <c r="C132" s="64">
        <v>12.426356589147296</v>
      </c>
      <c r="D132" s="69">
        <v>1.7364341085271318</v>
      </c>
      <c r="E132" s="65">
        <v>0.49612403100775193</v>
      </c>
      <c r="F132" s="65">
        <v>0.23255813953488372</v>
      </c>
      <c r="G132" s="65">
        <v>0.34699714013346045</v>
      </c>
      <c r="H132" s="65">
        <v>0.15824594852240229</v>
      </c>
      <c r="I132" s="66">
        <v>9240.1098901098903</v>
      </c>
      <c r="J132" s="66">
        <v>-8291.5662650602408</v>
      </c>
      <c r="K132" s="65">
        <v>0.11627906976744186</v>
      </c>
      <c r="L132" s="65">
        <v>0.17054263565891473</v>
      </c>
      <c r="M132" s="65">
        <v>0.32316491897044802</v>
      </c>
      <c r="N132" s="65">
        <v>0.2202097235462345</v>
      </c>
      <c r="O132" s="65">
        <v>0.57227138643067843</v>
      </c>
      <c r="P132" s="65">
        <v>0.51515151515151514</v>
      </c>
      <c r="Q132" s="65">
        <v>0.40109890109890112</v>
      </c>
    </row>
    <row r="133" spans="1:17" x14ac:dyDescent="0.4">
      <c r="A133" s="67">
        <v>130</v>
      </c>
      <c r="B133" s="64">
        <v>1682.600000000001</v>
      </c>
      <c r="C133" s="64">
        <v>12.943076923076932</v>
      </c>
      <c r="D133" s="69">
        <v>1.7307692307692308</v>
      </c>
      <c r="E133" s="65">
        <v>0.5</v>
      </c>
      <c r="F133" s="65">
        <v>0.23076923076923078</v>
      </c>
      <c r="G133" s="65">
        <v>0.35009487666034156</v>
      </c>
      <c r="H133" s="65">
        <v>0.15749525616698293</v>
      </c>
      <c r="I133" s="66">
        <v>9241.1924119241194</v>
      </c>
      <c r="J133" s="66">
        <v>-8291.5662650602408</v>
      </c>
      <c r="K133" s="65">
        <v>0.11538461538461539</v>
      </c>
      <c r="L133" s="65">
        <v>0.17692307692307693</v>
      </c>
      <c r="M133" s="65">
        <v>0.3235294117647059</v>
      </c>
      <c r="N133" s="65">
        <v>0.22011385199240988</v>
      </c>
      <c r="O133" s="65">
        <v>0.57478005865102644</v>
      </c>
      <c r="P133" s="65">
        <v>0.51724137931034486</v>
      </c>
      <c r="Q133" s="65">
        <v>0.40108401084010842</v>
      </c>
    </row>
    <row r="134" spans="1:17" x14ac:dyDescent="0.4">
      <c r="A134" s="67">
        <v>131</v>
      </c>
      <c r="B134" s="64">
        <v>1632.100000000001</v>
      </c>
      <c r="C134" s="64">
        <v>12.458778625954206</v>
      </c>
      <c r="D134" s="69">
        <v>1.7404580152671756</v>
      </c>
      <c r="E134" s="65">
        <v>0.49618320610687022</v>
      </c>
      <c r="F134" s="65">
        <v>0.23664122137404581</v>
      </c>
      <c r="G134" s="65">
        <v>0.34839924670433148</v>
      </c>
      <c r="H134" s="65">
        <v>0.15819209039548024</v>
      </c>
      <c r="I134" s="66">
        <v>9227.0270270270266</v>
      </c>
      <c r="J134" s="66">
        <v>-8288.0952380952385</v>
      </c>
      <c r="K134" s="65">
        <v>0.11450381679389313</v>
      </c>
      <c r="L134" s="65">
        <v>0.17557251908396945</v>
      </c>
      <c r="M134" s="65">
        <v>0.32297551789077211</v>
      </c>
      <c r="N134" s="65">
        <v>0.22033898305084745</v>
      </c>
      <c r="O134" s="65">
        <v>0.57434402332361512</v>
      </c>
      <c r="P134" s="65">
        <v>0.51282051282051277</v>
      </c>
      <c r="Q134" s="65">
        <v>0.4027027027027027</v>
      </c>
    </row>
    <row r="135" spans="1:17" x14ac:dyDescent="0.4">
      <c r="A135" s="67">
        <v>132</v>
      </c>
      <c r="B135" s="64">
        <v>1590.400000000001</v>
      </c>
      <c r="C135" s="64">
        <v>12.048484848484856</v>
      </c>
      <c r="D135" s="69">
        <v>1.75</v>
      </c>
      <c r="E135" s="65">
        <v>0.49242424242424243</v>
      </c>
      <c r="F135" s="65">
        <v>0.24242424242424243</v>
      </c>
      <c r="G135" s="65">
        <v>0.34669151910531221</v>
      </c>
      <c r="H135" s="65">
        <v>0.16029822926374651</v>
      </c>
      <c r="I135" s="66">
        <v>9215.322580645161</v>
      </c>
      <c r="J135" s="66">
        <v>-8284.3023255813951</v>
      </c>
      <c r="K135" s="65">
        <v>0.11363636363636363</v>
      </c>
      <c r="L135" s="65">
        <v>0.17424242424242425</v>
      </c>
      <c r="M135" s="65">
        <v>0.32152842497670087</v>
      </c>
      <c r="N135" s="65">
        <v>0.22087604846225536</v>
      </c>
      <c r="O135" s="65">
        <v>0.57101449275362315</v>
      </c>
      <c r="P135" s="65">
        <v>0.51476793248945152</v>
      </c>
      <c r="Q135" s="65">
        <v>0.40322580645161288</v>
      </c>
    </row>
    <row r="136" spans="1:17" x14ac:dyDescent="0.4">
      <c r="A136" s="67">
        <v>133</v>
      </c>
      <c r="B136" s="64">
        <v>1555.5000000000009</v>
      </c>
      <c r="C136" s="64">
        <v>11.695488721804518</v>
      </c>
      <c r="D136" s="69">
        <v>1.7593984962406015</v>
      </c>
      <c r="E136" s="65">
        <v>0.48872180451127817</v>
      </c>
      <c r="F136" s="65">
        <v>0.24812030075187969</v>
      </c>
      <c r="G136" s="65">
        <v>0.34629629629629627</v>
      </c>
      <c r="H136" s="65">
        <v>0.16111111111111112</v>
      </c>
      <c r="I136" s="66">
        <v>9218.7165775401063</v>
      </c>
      <c r="J136" s="66">
        <v>-8353.4482758620688</v>
      </c>
      <c r="K136" s="65">
        <v>0.11278195488721804</v>
      </c>
      <c r="L136" s="65">
        <v>0.17293233082706766</v>
      </c>
      <c r="M136" s="65">
        <v>0.32314814814814813</v>
      </c>
      <c r="N136" s="65">
        <v>0.21944444444444444</v>
      </c>
      <c r="O136" s="65">
        <v>0.56733524355300857</v>
      </c>
      <c r="P136" s="65">
        <v>0.51476793248945152</v>
      </c>
      <c r="Q136" s="65">
        <v>0.40374331550802139</v>
      </c>
    </row>
    <row r="137" spans="1:17" x14ac:dyDescent="0.4">
      <c r="A137" s="67">
        <v>134</v>
      </c>
      <c r="B137" s="64">
        <v>1549.3000000000009</v>
      </c>
      <c r="C137" s="64">
        <v>11.561940298507469</v>
      </c>
      <c r="D137" s="69">
        <v>1.7611940298507462</v>
      </c>
      <c r="E137" s="65">
        <v>0.48507462686567165</v>
      </c>
      <c r="F137" s="65">
        <v>0.2462686567164179</v>
      </c>
      <c r="G137" s="65">
        <v>0.34587155963302751</v>
      </c>
      <c r="H137" s="65">
        <v>0.16238532110091744</v>
      </c>
      <c r="I137" s="66">
        <v>9218.8328912466841</v>
      </c>
      <c r="J137" s="66">
        <v>-8345.1977401129952</v>
      </c>
      <c r="K137" s="65">
        <v>0.11194029850746269</v>
      </c>
      <c r="L137" s="65">
        <v>0.17164179104477612</v>
      </c>
      <c r="M137" s="65">
        <v>0.3220183486238532</v>
      </c>
      <c r="N137" s="65">
        <v>0.22110091743119267</v>
      </c>
      <c r="O137" s="65">
        <v>0.56980056980056981</v>
      </c>
      <c r="P137" s="65">
        <v>0.51037344398340245</v>
      </c>
      <c r="Q137" s="65">
        <v>0.40583554376657827</v>
      </c>
    </row>
    <row r="138" spans="1:17" x14ac:dyDescent="0.4">
      <c r="A138" s="67">
        <v>135</v>
      </c>
      <c r="B138" s="64">
        <v>1609.6000000000008</v>
      </c>
      <c r="C138" s="64">
        <v>11.92296296296297</v>
      </c>
      <c r="D138" s="69">
        <v>1.7555555555555555</v>
      </c>
      <c r="E138" s="65">
        <v>0.48888888888888887</v>
      </c>
      <c r="F138" s="65">
        <v>0.24444444444444444</v>
      </c>
      <c r="G138" s="65">
        <v>0.34667879890809827</v>
      </c>
      <c r="H138" s="65">
        <v>0.1610555050045496</v>
      </c>
      <c r="I138" s="66">
        <v>9225.1968503937005</v>
      </c>
      <c r="J138" s="66">
        <v>-8345.1977401129952</v>
      </c>
      <c r="K138" s="65">
        <v>0.1111111111111111</v>
      </c>
      <c r="L138" s="65">
        <v>0.17777777777777778</v>
      </c>
      <c r="M138" s="65">
        <v>0.32393084622383983</v>
      </c>
      <c r="N138" s="65">
        <v>0.21929026387625114</v>
      </c>
      <c r="O138" s="65">
        <v>0.5730337078651685</v>
      </c>
      <c r="P138" s="65">
        <v>0.51037344398340245</v>
      </c>
      <c r="Q138" s="65">
        <v>0.40944881889763779</v>
      </c>
    </row>
    <row r="139" spans="1:17" x14ac:dyDescent="0.4">
      <c r="A139" s="67">
        <v>136</v>
      </c>
      <c r="B139" s="64">
        <v>1638.4000000000008</v>
      </c>
      <c r="C139" s="64">
        <v>12.047058823529417</v>
      </c>
      <c r="D139" s="69">
        <v>1.75</v>
      </c>
      <c r="E139" s="65">
        <v>0.49264705882352944</v>
      </c>
      <c r="F139" s="65">
        <v>0.24264705882352941</v>
      </c>
      <c r="G139" s="65">
        <v>0.34629294755877033</v>
      </c>
      <c r="H139" s="65">
        <v>0.16094032549728751</v>
      </c>
      <c r="I139" s="66">
        <v>9211.488250652741</v>
      </c>
      <c r="J139" s="66">
        <v>-8320.2247191011229</v>
      </c>
      <c r="K139" s="65">
        <v>0.11029411764705882</v>
      </c>
      <c r="L139" s="65">
        <v>0.17647058823529413</v>
      </c>
      <c r="M139" s="65">
        <v>0.32368896925858953</v>
      </c>
      <c r="N139" s="65">
        <v>0.21971066907775769</v>
      </c>
      <c r="O139" s="65">
        <v>0.57262569832402233</v>
      </c>
      <c r="P139" s="65">
        <v>0.51028806584362141</v>
      </c>
      <c r="Q139" s="65">
        <v>0.41253263707571802</v>
      </c>
    </row>
    <row r="140" spans="1:17" x14ac:dyDescent="0.4">
      <c r="A140" s="67">
        <v>137</v>
      </c>
      <c r="B140" s="64">
        <v>1631.8000000000009</v>
      </c>
      <c r="C140" s="64">
        <v>11.910948905109496</v>
      </c>
      <c r="D140" s="69">
        <v>1.7518248175182483</v>
      </c>
      <c r="E140" s="65">
        <v>0.48905109489051096</v>
      </c>
      <c r="F140" s="65">
        <v>0.24087591240875914</v>
      </c>
      <c r="G140" s="65">
        <v>0.34560143626570916</v>
      </c>
      <c r="H140" s="65">
        <v>0.1615798922800718</v>
      </c>
      <c r="I140" s="66">
        <v>9190.3896103896095</v>
      </c>
      <c r="J140" s="66">
        <v>-8250.5555555555547</v>
      </c>
      <c r="K140" s="65">
        <v>0.10948905109489052</v>
      </c>
      <c r="L140" s="65">
        <v>0.17518248175182483</v>
      </c>
      <c r="M140" s="65">
        <v>0.32226211849192099</v>
      </c>
      <c r="N140" s="65">
        <v>0.2199281867145422</v>
      </c>
      <c r="O140" s="65">
        <v>0.57381615598885793</v>
      </c>
      <c r="P140" s="65">
        <v>0.51020408163265307</v>
      </c>
      <c r="Q140" s="65">
        <v>0.41298701298701301</v>
      </c>
    </row>
    <row r="141" spans="1:17" x14ac:dyDescent="0.4">
      <c r="A141" s="67">
        <v>138</v>
      </c>
      <c r="B141" s="64">
        <v>1633.8000000000009</v>
      </c>
      <c r="C141" s="64">
        <v>11.839130434782614</v>
      </c>
      <c r="D141" s="69">
        <v>1.7536231884057971</v>
      </c>
      <c r="E141" s="65">
        <v>0.48550724637681159</v>
      </c>
      <c r="F141" s="65">
        <v>0.2391304347826087</v>
      </c>
      <c r="G141" s="65">
        <v>0.34550311665182548</v>
      </c>
      <c r="H141" s="65">
        <v>0.16206589492430989</v>
      </c>
      <c r="I141" s="66">
        <v>9176.8041237113393</v>
      </c>
      <c r="J141" s="66">
        <v>-8232.9670329670334</v>
      </c>
      <c r="K141" s="65">
        <v>0.10869565217391304</v>
      </c>
      <c r="L141" s="65">
        <v>0.17391304347826086</v>
      </c>
      <c r="M141" s="65">
        <v>0.32146037399821903</v>
      </c>
      <c r="N141" s="65">
        <v>0.21905609973285842</v>
      </c>
      <c r="O141" s="65">
        <v>0.57617728531855961</v>
      </c>
      <c r="P141" s="65">
        <v>0.50813008130081305</v>
      </c>
      <c r="Q141" s="65">
        <v>0.41237113402061853</v>
      </c>
    </row>
    <row r="142" spans="1:17" x14ac:dyDescent="0.4">
      <c r="A142" s="67">
        <v>139</v>
      </c>
      <c r="B142" s="64">
        <v>1701.6000000000008</v>
      </c>
      <c r="C142" s="64">
        <v>12.241726618705043</v>
      </c>
      <c r="D142" s="69">
        <v>1.7482014388489209</v>
      </c>
      <c r="E142" s="65">
        <v>0.48920863309352519</v>
      </c>
      <c r="F142" s="65">
        <v>0.23741007194244604</v>
      </c>
      <c r="G142" s="65">
        <v>0.34836427939876213</v>
      </c>
      <c r="H142" s="65">
        <v>0.16180371352785147</v>
      </c>
      <c r="I142" s="66">
        <v>9148.9847715736032</v>
      </c>
      <c r="J142" s="66">
        <v>-8195.0819672131147</v>
      </c>
      <c r="K142" s="65">
        <v>0.1079136690647482</v>
      </c>
      <c r="L142" s="65">
        <v>0.17985611510791366</v>
      </c>
      <c r="M142" s="65">
        <v>0.32183908045977011</v>
      </c>
      <c r="N142" s="65">
        <v>0.21927497789566755</v>
      </c>
      <c r="O142" s="65">
        <v>0.57967032967032972</v>
      </c>
      <c r="P142" s="65">
        <v>0.51209677419354838</v>
      </c>
      <c r="Q142" s="65">
        <v>0.4137055837563452</v>
      </c>
    </row>
    <row r="143" spans="1:17" x14ac:dyDescent="0.4">
      <c r="A143" s="67">
        <v>140</v>
      </c>
      <c r="B143" s="64">
        <v>1700.4000000000008</v>
      </c>
      <c r="C143" s="64">
        <v>12.145714285714291</v>
      </c>
      <c r="D143" s="69">
        <v>1.75</v>
      </c>
      <c r="E143" s="65">
        <v>0.48571428571428571</v>
      </c>
      <c r="F143" s="65">
        <v>0.23571428571428571</v>
      </c>
      <c r="G143" s="65">
        <v>0.34679543459174716</v>
      </c>
      <c r="H143" s="65">
        <v>0.16066725197541704</v>
      </c>
      <c r="I143" s="66">
        <v>9146.0759493670885</v>
      </c>
      <c r="J143" s="66">
        <v>-8195.0819672131147</v>
      </c>
      <c r="K143" s="65">
        <v>0.10714285714285714</v>
      </c>
      <c r="L143" s="65">
        <v>0.17857142857142858</v>
      </c>
      <c r="M143" s="65">
        <v>0.31957857769973663</v>
      </c>
      <c r="N143" s="65">
        <v>0.21861281826163301</v>
      </c>
      <c r="O143" s="65">
        <v>0.57967032967032972</v>
      </c>
      <c r="P143" s="65">
        <v>0.51405622489959835</v>
      </c>
      <c r="Q143" s="65">
        <v>0.41518987341772151</v>
      </c>
    </row>
    <row r="144" spans="1:17" x14ac:dyDescent="0.4">
      <c r="A144" s="67">
        <v>141</v>
      </c>
      <c r="B144" s="64">
        <v>1724.1000000000008</v>
      </c>
      <c r="C144" s="64">
        <v>12.22765957446809</v>
      </c>
      <c r="D144" s="69">
        <v>1.7446808510638299</v>
      </c>
      <c r="E144" s="65">
        <v>0.48936170212765956</v>
      </c>
      <c r="F144" s="65">
        <v>0.23404255319148937</v>
      </c>
      <c r="G144" s="65">
        <v>0.34695652173913044</v>
      </c>
      <c r="H144" s="65">
        <v>0.16086956521739129</v>
      </c>
      <c r="I144" s="66">
        <v>9147.6190476190477</v>
      </c>
      <c r="J144" s="66">
        <v>-8199.45945945946</v>
      </c>
      <c r="K144" s="65">
        <v>0.10638297872340426</v>
      </c>
      <c r="L144" s="65">
        <v>0.1773049645390071</v>
      </c>
      <c r="M144" s="65">
        <v>0.31826086956521737</v>
      </c>
      <c r="N144" s="65">
        <v>0.22086956521739132</v>
      </c>
      <c r="O144" s="65">
        <v>0.57650273224043713</v>
      </c>
      <c r="P144" s="65">
        <v>0.51968503937007871</v>
      </c>
      <c r="Q144" s="65">
        <v>0.41353383458646614</v>
      </c>
    </row>
    <row r="145" spans="1:17" x14ac:dyDescent="0.4">
      <c r="A145" s="67">
        <v>142</v>
      </c>
      <c r="B145" s="64">
        <v>1751.8000000000009</v>
      </c>
      <c r="C145" s="64">
        <v>12.336619718309866</v>
      </c>
      <c r="D145" s="69">
        <v>1.7394366197183098</v>
      </c>
      <c r="E145" s="65">
        <v>0.49295774647887325</v>
      </c>
      <c r="F145" s="65">
        <v>0.23239436619718309</v>
      </c>
      <c r="G145" s="65">
        <v>0.34801381692573402</v>
      </c>
      <c r="H145" s="65">
        <v>0.15975820379965458</v>
      </c>
      <c r="I145" s="66">
        <v>9101.7369727047153</v>
      </c>
      <c r="J145" s="66">
        <v>-8199.45945945946</v>
      </c>
      <c r="K145" s="65">
        <v>0.10563380281690141</v>
      </c>
      <c r="L145" s="65">
        <v>0.176056338028169</v>
      </c>
      <c r="M145" s="65">
        <v>0.31692573402417962</v>
      </c>
      <c r="N145" s="65">
        <v>0.21934369602763384</v>
      </c>
      <c r="O145" s="65">
        <v>0.57765667574931878</v>
      </c>
      <c r="P145" s="65">
        <v>0.51968503937007871</v>
      </c>
      <c r="Q145" s="65">
        <v>0.4143920595533499</v>
      </c>
    </row>
    <row r="146" spans="1:17" x14ac:dyDescent="0.4">
      <c r="A146" s="67">
        <v>143</v>
      </c>
      <c r="B146" s="64">
        <v>1797.1000000000008</v>
      </c>
      <c r="C146" s="64">
        <v>12.567132867132873</v>
      </c>
      <c r="D146" s="69">
        <v>1.7342657342657342</v>
      </c>
      <c r="E146" s="65">
        <v>0.49650349650349651</v>
      </c>
      <c r="F146" s="65">
        <v>0.23076923076923078</v>
      </c>
      <c r="G146" s="65">
        <v>0.34842015371477369</v>
      </c>
      <c r="H146" s="65">
        <v>0.15883859948761742</v>
      </c>
      <c r="I146" s="66">
        <v>9089.9509803921574</v>
      </c>
      <c r="J146" s="66">
        <v>-8183.333333333333</v>
      </c>
      <c r="K146" s="65">
        <v>0.1048951048951049</v>
      </c>
      <c r="L146" s="65">
        <v>0.17482517482517482</v>
      </c>
      <c r="M146" s="65">
        <v>0.3142613151152861</v>
      </c>
      <c r="N146" s="65">
        <v>0.22117847993168233</v>
      </c>
      <c r="O146" s="65">
        <v>0.57880434782608692</v>
      </c>
      <c r="P146" s="65">
        <v>0.51737451737451734</v>
      </c>
      <c r="Q146" s="65">
        <v>0.41421568627450983</v>
      </c>
    </row>
    <row r="147" spans="1:17" x14ac:dyDescent="0.4">
      <c r="A147" s="67">
        <v>144</v>
      </c>
      <c r="B147" s="64">
        <v>1806.1000000000008</v>
      </c>
      <c r="C147" s="64">
        <v>12.542361111111116</v>
      </c>
      <c r="D147" s="69">
        <v>1.7361111111111112</v>
      </c>
      <c r="E147" s="65">
        <v>0.49305555555555558</v>
      </c>
      <c r="F147" s="65">
        <v>0.22916666666666666</v>
      </c>
      <c r="G147" s="65">
        <v>0.34860050890585242</v>
      </c>
      <c r="H147" s="65">
        <v>0.15860899067005937</v>
      </c>
      <c r="I147" s="66">
        <v>9114.3552311435524</v>
      </c>
      <c r="J147" s="66">
        <v>-8235.8288770053477</v>
      </c>
      <c r="K147" s="65">
        <v>0.10416666666666667</v>
      </c>
      <c r="L147" s="65">
        <v>0.1736111111111111</v>
      </c>
      <c r="M147" s="65">
        <v>0.31297709923664124</v>
      </c>
      <c r="N147" s="65">
        <v>0.22222222222222221</v>
      </c>
      <c r="O147" s="65">
        <v>0.57723577235772361</v>
      </c>
      <c r="P147" s="65">
        <v>0.51908396946564883</v>
      </c>
      <c r="Q147" s="65">
        <v>0.41362530413625304</v>
      </c>
    </row>
    <row r="148" spans="1:17" x14ac:dyDescent="0.4">
      <c r="A148" s="67">
        <v>145</v>
      </c>
      <c r="B148" s="64">
        <v>1774.3000000000009</v>
      </c>
      <c r="C148" s="64">
        <v>12.236551724137938</v>
      </c>
      <c r="D148" s="69">
        <v>1.7448275862068965</v>
      </c>
      <c r="E148" s="65">
        <v>0.48965517241379308</v>
      </c>
      <c r="F148" s="65">
        <v>0.23448275862068965</v>
      </c>
      <c r="G148" s="65">
        <v>0.34819175777964678</v>
      </c>
      <c r="H148" s="65">
        <v>0.159798149705635</v>
      </c>
      <c r="I148" s="66">
        <v>9094.4444444444453</v>
      </c>
      <c r="J148" s="66">
        <v>-8250.5263157894733</v>
      </c>
      <c r="K148" s="65">
        <v>0.10344827586206896</v>
      </c>
      <c r="L148" s="65">
        <v>0.17241379310344829</v>
      </c>
      <c r="M148" s="65">
        <v>0.31286795626576958</v>
      </c>
      <c r="N148" s="65">
        <v>0.22035323801513879</v>
      </c>
      <c r="O148" s="65">
        <v>0.57795698924731187</v>
      </c>
      <c r="P148" s="65">
        <v>0.51908396946564883</v>
      </c>
      <c r="Q148" s="65">
        <v>0.41062801932367149</v>
      </c>
    </row>
    <row r="149" spans="1:17" x14ac:dyDescent="0.4">
      <c r="A149" s="67">
        <v>146</v>
      </c>
      <c r="B149" s="64">
        <v>1767.0000000000009</v>
      </c>
      <c r="C149" s="64">
        <v>12.102739726027403</v>
      </c>
      <c r="D149" s="69">
        <v>1.7465753424657535</v>
      </c>
      <c r="E149" s="65">
        <v>0.4863013698630137</v>
      </c>
      <c r="F149" s="65">
        <v>0.23287671232876711</v>
      </c>
      <c r="G149" s="65">
        <v>0.34670008354218879</v>
      </c>
      <c r="H149" s="65">
        <v>0.16040100250626566</v>
      </c>
      <c r="I149" s="66">
        <v>9091.0843373493972</v>
      </c>
      <c r="J149" s="66">
        <v>-8247.9166666666661</v>
      </c>
      <c r="K149" s="65">
        <v>0.10273972602739725</v>
      </c>
      <c r="L149" s="65">
        <v>0.17123287671232876</v>
      </c>
      <c r="M149" s="65">
        <v>0.31244778613199664</v>
      </c>
      <c r="N149" s="65">
        <v>0.21888053467000834</v>
      </c>
      <c r="O149" s="65">
        <v>0.57486631016042777</v>
      </c>
      <c r="P149" s="65">
        <v>0.51908396946564883</v>
      </c>
      <c r="Q149" s="65">
        <v>0.40963855421686746</v>
      </c>
    </row>
    <row r="150" spans="1:17" x14ac:dyDescent="0.4">
      <c r="A150" s="67">
        <v>147</v>
      </c>
      <c r="B150" s="64">
        <v>1763.5000000000009</v>
      </c>
      <c r="C150" s="64">
        <v>11.996598639455788</v>
      </c>
      <c r="D150" s="69">
        <v>1.7482993197278911</v>
      </c>
      <c r="E150" s="65">
        <v>0.48299319727891155</v>
      </c>
      <c r="F150" s="65">
        <v>0.23129251700680273</v>
      </c>
      <c r="G150" s="65">
        <v>0.34551495016611294</v>
      </c>
      <c r="H150" s="65">
        <v>0.15946843853820597</v>
      </c>
      <c r="I150" s="66">
        <v>9088.461538461539</v>
      </c>
      <c r="J150" s="66">
        <v>-8247.9166666666661</v>
      </c>
      <c r="K150" s="65">
        <v>0.10204081632653061</v>
      </c>
      <c r="L150" s="65">
        <v>0.17006802721088435</v>
      </c>
      <c r="M150" s="65">
        <v>0.31146179401993357</v>
      </c>
      <c r="N150" s="65">
        <v>0.22009966777408638</v>
      </c>
      <c r="O150" s="65">
        <v>0.57333333333333336</v>
      </c>
      <c r="P150" s="65">
        <v>0.51698113207547169</v>
      </c>
      <c r="Q150" s="65">
        <v>0.40865384615384615</v>
      </c>
    </row>
    <row r="151" spans="1:17" x14ac:dyDescent="0.4">
      <c r="A151" s="67">
        <v>148</v>
      </c>
      <c r="B151" s="64">
        <v>1727.1000000000008</v>
      </c>
      <c r="C151" s="64">
        <v>11.669594594594599</v>
      </c>
      <c r="D151" s="69">
        <v>1.7567567567567568</v>
      </c>
      <c r="E151" s="65">
        <v>0.47972972972972971</v>
      </c>
      <c r="F151" s="65">
        <v>0.23648648648648649</v>
      </c>
      <c r="G151" s="65">
        <v>0.34349258649093906</v>
      </c>
      <c r="H151" s="65">
        <v>0.15980230642504117</v>
      </c>
      <c r="I151" s="66">
        <v>9085.851318944844</v>
      </c>
      <c r="J151" s="66">
        <v>-8265.4639175257726</v>
      </c>
      <c r="K151" s="65">
        <v>0.10135135135135136</v>
      </c>
      <c r="L151" s="65">
        <v>0.16891891891891891</v>
      </c>
      <c r="M151" s="65">
        <v>0.30971993410214166</v>
      </c>
      <c r="N151" s="65">
        <v>0.21993410214168038</v>
      </c>
      <c r="O151" s="65">
        <v>0.57180851063829785</v>
      </c>
      <c r="P151" s="65">
        <v>0.5168539325842697</v>
      </c>
      <c r="Q151" s="65">
        <v>0.407673860911271</v>
      </c>
    </row>
    <row r="152" spans="1:17" x14ac:dyDescent="0.4">
      <c r="A152" s="67">
        <v>149</v>
      </c>
      <c r="B152" s="64">
        <v>1744.7000000000007</v>
      </c>
      <c r="C152" s="64">
        <v>11.709395973154367</v>
      </c>
      <c r="D152" s="69">
        <v>1.7583892617449663</v>
      </c>
      <c r="E152" s="65">
        <v>0.47651006711409394</v>
      </c>
      <c r="F152" s="65">
        <v>0.2348993288590604</v>
      </c>
      <c r="G152" s="65">
        <v>0.34369885433715219</v>
      </c>
      <c r="H152" s="65">
        <v>0.15875613747954173</v>
      </c>
      <c r="I152" s="66">
        <v>9075.9523809523816</v>
      </c>
      <c r="J152" s="66">
        <v>-8265.4639175257726</v>
      </c>
      <c r="K152" s="65">
        <v>0.10067114093959731</v>
      </c>
      <c r="L152" s="65">
        <v>0.16778523489932887</v>
      </c>
      <c r="M152" s="65">
        <v>0.31014729950900166</v>
      </c>
      <c r="N152" s="65">
        <v>0.21931260229132571</v>
      </c>
      <c r="O152" s="65">
        <v>0.57519788918205805</v>
      </c>
      <c r="P152" s="65">
        <v>0.5149253731343284</v>
      </c>
      <c r="Q152" s="65">
        <v>0.40714285714285714</v>
      </c>
    </row>
    <row r="153" spans="1:17" x14ac:dyDescent="0.4">
      <c r="A153" s="67">
        <v>150</v>
      </c>
      <c r="B153" s="64">
        <v>1788.5000000000007</v>
      </c>
      <c r="C153" s="64">
        <v>11.923333333333337</v>
      </c>
      <c r="D153" s="69">
        <v>1.7533333333333334</v>
      </c>
      <c r="E153" s="65">
        <v>0.48</v>
      </c>
      <c r="F153" s="65">
        <v>0.23333333333333334</v>
      </c>
      <c r="G153" s="65">
        <v>0.34471544715447155</v>
      </c>
      <c r="H153" s="65">
        <v>0.15772357723577235</v>
      </c>
      <c r="I153" s="66">
        <v>9064.3867924528295</v>
      </c>
      <c r="J153" s="66">
        <v>-8265.4639175257726</v>
      </c>
      <c r="K153" s="65">
        <v>0.1</v>
      </c>
      <c r="L153" s="65">
        <v>0.17333333333333334</v>
      </c>
      <c r="M153" s="65">
        <v>0.31056910569105689</v>
      </c>
      <c r="N153" s="65">
        <v>0.21951219512195122</v>
      </c>
      <c r="O153" s="65">
        <v>0.5759162303664922</v>
      </c>
      <c r="P153" s="65">
        <v>0.51851851851851849</v>
      </c>
      <c r="Q153" s="65">
        <v>0.40801886792452829</v>
      </c>
    </row>
    <row r="154" spans="1:17" x14ac:dyDescent="0.4">
      <c r="A154" s="67">
        <v>151</v>
      </c>
      <c r="B154" s="64">
        <v>1847.5000000000007</v>
      </c>
      <c r="C154" s="64">
        <v>12.235099337748348</v>
      </c>
      <c r="D154" s="69">
        <v>1.7483443708609272</v>
      </c>
      <c r="E154" s="65">
        <v>0.48344370860927155</v>
      </c>
      <c r="F154" s="65">
        <v>0.23178807947019867</v>
      </c>
      <c r="G154" s="65">
        <v>0.34543987086359967</v>
      </c>
      <c r="H154" s="65">
        <v>0.15738498789346247</v>
      </c>
      <c r="I154" s="66">
        <v>9089.9532710280382</v>
      </c>
      <c r="J154" s="66">
        <v>-8262.5641025641035</v>
      </c>
      <c r="K154" s="65">
        <v>9.9337748344370855E-2</v>
      </c>
      <c r="L154" s="65">
        <v>0.17880794701986755</v>
      </c>
      <c r="M154" s="65">
        <v>0.31234866828087166</v>
      </c>
      <c r="N154" s="65">
        <v>0.21791767554479419</v>
      </c>
      <c r="O154" s="65">
        <v>0.57622739018087854</v>
      </c>
      <c r="P154" s="65">
        <v>0.51851851851851849</v>
      </c>
      <c r="Q154" s="65">
        <v>0.40887850467289721</v>
      </c>
    </row>
    <row r="155" spans="1:17" x14ac:dyDescent="0.4">
      <c r="A155" s="67">
        <v>152</v>
      </c>
      <c r="B155" s="64">
        <v>1812.8000000000006</v>
      </c>
      <c r="C155" s="64">
        <v>11.926315789473689</v>
      </c>
      <c r="D155" s="69">
        <v>1.756578947368421</v>
      </c>
      <c r="E155" s="65">
        <v>0.48026315789473684</v>
      </c>
      <c r="F155" s="65">
        <v>0.23684210526315788</v>
      </c>
      <c r="G155" s="65">
        <v>0.34430176565008025</v>
      </c>
      <c r="H155" s="65">
        <v>0.15730337078651685</v>
      </c>
      <c r="I155" s="66">
        <v>9096.7365967365968</v>
      </c>
      <c r="J155" s="66">
        <v>-8253.0612244897966</v>
      </c>
      <c r="K155" s="65">
        <v>9.8684210526315791E-2</v>
      </c>
      <c r="L155" s="65">
        <v>0.17763157894736842</v>
      </c>
      <c r="M155" s="65">
        <v>0.3130016051364366</v>
      </c>
      <c r="N155" s="65">
        <v>0.21669341894060995</v>
      </c>
      <c r="O155" s="65">
        <v>0.57435897435897432</v>
      </c>
      <c r="P155" s="65">
        <v>0.51851851851851849</v>
      </c>
      <c r="Q155" s="65">
        <v>0.41025641025641024</v>
      </c>
    </row>
    <row r="156" spans="1:17" x14ac:dyDescent="0.4">
      <c r="A156" s="67">
        <v>153</v>
      </c>
      <c r="B156" s="64">
        <v>1805.4000000000005</v>
      </c>
      <c r="C156" s="64">
        <v>11.800000000000004</v>
      </c>
      <c r="D156" s="69">
        <v>1.7581699346405228</v>
      </c>
      <c r="E156" s="65">
        <v>0.47712418300653597</v>
      </c>
      <c r="F156" s="65">
        <v>0.23529411764705882</v>
      </c>
      <c r="G156" s="65">
        <v>0.34397446129289705</v>
      </c>
      <c r="H156" s="65">
        <v>0.15722266560255388</v>
      </c>
      <c r="I156" s="66">
        <v>9078.8863109048725</v>
      </c>
      <c r="J156" s="66">
        <v>-8230.9644670050766</v>
      </c>
      <c r="K156" s="65">
        <v>9.8039215686274508E-2</v>
      </c>
      <c r="L156" s="65">
        <v>0.17647058823529413</v>
      </c>
      <c r="M156" s="65">
        <v>0.31364724660814047</v>
      </c>
      <c r="N156" s="65">
        <v>0.2154828411811652</v>
      </c>
      <c r="O156" s="65">
        <v>0.5750636132315522</v>
      </c>
      <c r="P156" s="65">
        <v>0.51851851851851849</v>
      </c>
      <c r="Q156" s="65">
        <v>0.41067285382830626</v>
      </c>
    </row>
    <row r="157" spans="1:17" x14ac:dyDescent="0.4">
      <c r="A157" s="67">
        <v>154</v>
      </c>
      <c r="B157" s="64">
        <v>1855.1000000000006</v>
      </c>
      <c r="C157" s="64">
        <v>12.046103896103899</v>
      </c>
      <c r="D157" s="69">
        <v>1.7532467532467533</v>
      </c>
      <c r="E157" s="65">
        <v>0.48051948051948051</v>
      </c>
      <c r="F157" s="65">
        <v>0.23376623376623376</v>
      </c>
      <c r="G157" s="65">
        <v>0.34365079365079365</v>
      </c>
      <c r="H157" s="65">
        <v>0.15634920634920635</v>
      </c>
      <c r="I157" s="66">
        <v>9122.8637413394918</v>
      </c>
      <c r="J157" s="66">
        <v>-8230.9644670050766</v>
      </c>
      <c r="K157" s="65">
        <v>9.7402597402597407E-2</v>
      </c>
      <c r="L157" s="65">
        <v>0.17532467532467533</v>
      </c>
      <c r="M157" s="65">
        <v>0.31349206349206349</v>
      </c>
      <c r="N157" s="65">
        <v>0.21587301587301588</v>
      </c>
      <c r="O157" s="65">
        <v>0.57721518987341769</v>
      </c>
      <c r="P157" s="65">
        <v>0.51470588235294112</v>
      </c>
      <c r="Q157" s="65">
        <v>0.4110854503464203</v>
      </c>
    </row>
    <row r="158" spans="1:17" x14ac:dyDescent="0.4">
      <c r="A158" s="67">
        <v>155</v>
      </c>
      <c r="B158" s="64">
        <v>1940.5000000000007</v>
      </c>
      <c r="C158" s="64">
        <v>12.519354838709681</v>
      </c>
      <c r="D158" s="69">
        <v>1.7483870967741935</v>
      </c>
      <c r="E158" s="65">
        <v>0.4838709677419355</v>
      </c>
      <c r="F158" s="65">
        <v>0.23225806451612904</v>
      </c>
      <c r="G158" s="65">
        <v>0.34414556962025317</v>
      </c>
      <c r="H158" s="65">
        <v>0.15664556962025317</v>
      </c>
      <c r="I158" s="66">
        <v>9232.6436781609191</v>
      </c>
      <c r="J158" s="66">
        <v>-8237.878787878788</v>
      </c>
      <c r="K158" s="65">
        <v>9.6774193548387094E-2</v>
      </c>
      <c r="L158" s="65">
        <v>0.18064516129032257</v>
      </c>
      <c r="M158" s="65">
        <v>0.31329113924050633</v>
      </c>
      <c r="N158" s="65">
        <v>0.21677215189873417</v>
      </c>
      <c r="O158" s="65">
        <v>0.5757575757575758</v>
      </c>
      <c r="P158" s="65">
        <v>0.51459854014598538</v>
      </c>
      <c r="Q158" s="65">
        <v>0.41379310344827586</v>
      </c>
    </row>
    <row r="159" spans="1:17" x14ac:dyDescent="0.4">
      <c r="A159" s="67">
        <v>156</v>
      </c>
      <c r="B159" s="64">
        <v>2009.8000000000006</v>
      </c>
      <c r="C159" s="64">
        <v>12.883333333333338</v>
      </c>
      <c r="D159" s="69">
        <v>1.7435897435897436</v>
      </c>
      <c r="E159" s="65">
        <v>0.48717948717948717</v>
      </c>
      <c r="F159" s="65">
        <v>0.23076923076923078</v>
      </c>
      <c r="G159" s="65">
        <v>0.34536891679748821</v>
      </c>
      <c r="H159" s="65">
        <v>0.15620094191522763</v>
      </c>
      <c r="I159" s="66">
        <v>9240.681818181818</v>
      </c>
      <c r="J159" s="66">
        <v>-8216.0804020100495</v>
      </c>
      <c r="K159" s="65">
        <v>9.6153846153846159E-2</v>
      </c>
      <c r="L159" s="65">
        <v>0.17948717948717949</v>
      </c>
      <c r="M159" s="65">
        <v>0.31240188383045525</v>
      </c>
      <c r="N159" s="65">
        <v>0.21742543171114601</v>
      </c>
      <c r="O159" s="65">
        <v>0.57788944723618085</v>
      </c>
      <c r="P159" s="65">
        <v>0.51624548736462095</v>
      </c>
      <c r="Q159" s="65">
        <v>0.41590909090909089</v>
      </c>
    </row>
    <row r="160" spans="1:17" x14ac:dyDescent="0.4">
      <c r="A160" s="67">
        <v>157</v>
      </c>
      <c r="B160" s="64">
        <v>2024.8000000000006</v>
      </c>
      <c r="C160" s="64">
        <v>12.896815286624207</v>
      </c>
      <c r="D160" s="69">
        <v>1.7452229299363058</v>
      </c>
      <c r="E160" s="65">
        <v>0.48407643312101911</v>
      </c>
      <c r="F160" s="65">
        <v>0.22929936305732485</v>
      </c>
      <c r="G160" s="65">
        <v>0.34399375975039004</v>
      </c>
      <c r="H160" s="65">
        <v>0.15678627145085802</v>
      </c>
      <c r="I160" s="66">
        <v>9328.5714285714294</v>
      </c>
      <c r="J160" s="66">
        <v>-8203.9800995024871</v>
      </c>
      <c r="K160" s="65">
        <v>9.5541401273885357E-2</v>
      </c>
      <c r="L160" s="65">
        <v>0.17834394904458598</v>
      </c>
      <c r="M160" s="65">
        <v>0.31279251170046801</v>
      </c>
      <c r="N160" s="65">
        <v>0.21684867394695787</v>
      </c>
      <c r="O160" s="65">
        <v>0.57605985037406482</v>
      </c>
      <c r="P160" s="65">
        <v>0.51438848920863312</v>
      </c>
      <c r="Q160" s="65">
        <v>0.41723356009070295</v>
      </c>
    </row>
    <row r="161" spans="1:17" x14ac:dyDescent="0.4">
      <c r="A161" s="67">
        <v>158</v>
      </c>
      <c r="B161" s="64">
        <v>1973.9000000000005</v>
      </c>
      <c r="C161" s="64">
        <v>12.493037974683547</v>
      </c>
      <c r="D161" s="69">
        <v>1.7531645569620253</v>
      </c>
      <c r="E161" s="65">
        <v>0.48101265822784811</v>
      </c>
      <c r="F161" s="65">
        <v>0.23417721518987342</v>
      </c>
      <c r="G161" s="65">
        <v>0.34259259259259262</v>
      </c>
      <c r="H161" s="65">
        <v>0.15740740740740741</v>
      </c>
      <c r="I161" s="66">
        <v>9332.2072072072078</v>
      </c>
      <c r="J161" s="66">
        <v>-8229.4117647058829</v>
      </c>
      <c r="K161" s="65">
        <v>9.49367088607595E-2</v>
      </c>
      <c r="L161" s="65">
        <v>0.17721518987341772</v>
      </c>
      <c r="M161" s="65">
        <v>0.31095679012345678</v>
      </c>
      <c r="N161" s="65">
        <v>0.21527777777777779</v>
      </c>
      <c r="O161" s="65">
        <v>0.57816377171215882</v>
      </c>
      <c r="P161" s="65">
        <v>0.5161290322580645</v>
      </c>
      <c r="Q161" s="65">
        <v>0.42117117117117114</v>
      </c>
    </row>
    <row r="162" spans="1:17" x14ac:dyDescent="0.4">
      <c r="A162" s="67">
        <v>159</v>
      </c>
      <c r="B162" s="64">
        <v>1932.7000000000005</v>
      </c>
      <c r="C162" s="64">
        <v>12.155345911949688</v>
      </c>
      <c r="D162" s="69">
        <v>1.7610062893081762</v>
      </c>
      <c r="E162" s="65">
        <v>0.4779874213836478</v>
      </c>
      <c r="F162" s="65">
        <v>0.2389937106918239</v>
      </c>
      <c r="G162" s="65">
        <v>0.34150076569678406</v>
      </c>
      <c r="H162" s="65">
        <v>0.15620214395099541</v>
      </c>
      <c r="I162" s="66">
        <v>9309.192825112108</v>
      </c>
      <c r="J162" s="66">
        <v>-8229.4117647058829</v>
      </c>
      <c r="K162" s="65">
        <v>9.4339622641509441E-2</v>
      </c>
      <c r="L162" s="65">
        <v>0.1761006289308176</v>
      </c>
      <c r="M162" s="65">
        <v>0.31240428790199082</v>
      </c>
      <c r="N162" s="65">
        <v>0.21362940275650844</v>
      </c>
      <c r="O162" s="65">
        <v>0.5759803921568627</v>
      </c>
      <c r="P162" s="65">
        <v>0.5161290322580645</v>
      </c>
      <c r="Q162" s="65">
        <v>0.41928251121076232</v>
      </c>
    </row>
    <row r="163" spans="1:17" x14ac:dyDescent="0.4">
      <c r="A163" s="67">
        <v>160</v>
      </c>
      <c r="B163" s="64">
        <v>1899.8000000000004</v>
      </c>
      <c r="C163" s="64">
        <v>11.873750000000003</v>
      </c>
      <c r="D163" s="69">
        <v>1.76875</v>
      </c>
      <c r="E163" s="65">
        <v>0.47499999999999998</v>
      </c>
      <c r="F163" s="65">
        <v>0.24374999999999999</v>
      </c>
      <c r="G163" s="65">
        <v>0.34040940106141016</v>
      </c>
      <c r="H163" s="65">
        <v>0.15466262319939347</v>
      </c>
      <c r="I163" s="66">
        <v>9295.3229398663698</v>
      </c>
      <c r="J163" s="66">
        <v>-8229.4117647058829</v>
      </c>
      <c r="K163" s="65">
        <v>9.375E-2</v>
      </c>
      <c r="L163" s="65">
        <v>0.17499999999999999</v>
      </c>
      <c r="M163" s="65">
        <v>0.31235784685367701</v>
      </c>
      <c r="N163" s="65">
        <v>0.21228203184230476</v>
      </c>
      <c r="O163" s="65">
        <v>0.57524271844660191</v>
      </c>
      <c r="P163" s="65">
        <v>0.5178571428571429</v>
      </c>
      <c r="Q163" s="65">
        <v>0.41870824053452116</v>
      </c>
    </row>
    <row r="164" spans="1:17" x14ac:dyDescent="0.4">
      <c r="A164" s="67">
        <v>161</v>
      </c>
      <c r="B164" s="64">
        <v>1913.3000000000004</v>
      </c>
      <c r="C164" s="64">
        <v>11.883850931677021</v>
      </c>
      <c r="D164" s="69">
        <v>1.7701863354037266</v>
      </c>
      <c r="E164" s="65">
        <v>0.47204968944099379</v>
      </c>
      <c r="F164" s="65">
        <v>0.24223602484472051</v>
      </c>
      <c r="G164" s="65">
        <v>0.34061793519216277</v>
      </c>
      <c r="H164" s="65">
        <v>0.15373021853805577</v>
      </c>
      <c r="I164" s="66">
        <v>9299.5575221238942</v>
      </c>
      <c r="J164" s="66">
        <v>-8229.4117647058829</v>
      </c>
      <c r="K164" s="65">
        <v>9.3167701863354033E-2</v>
      </c>
      <c r="L164" s="65">
        <v>0.17391304347826086</v>
      </c>
      <c r="M164" s="65">
        <v>0.31424265259984929</v>
      </c>
      <c r="N164" s="65">
        <v>0.21175584024114544</v>
      </c>
      <c r="O164" s="65">
        <v>0.57314148681055155</v>
      </c>
      <c r="P164" s="65">
        <v>0.5195729537366548</v>
      </c>
      <c r="Q164" s="65">
        <v>0.42035398230088494</v>
      </c>
    </row>
    <row r="165" spans="1:17" x14ac:dyDescent="0.4">
      <c r="A165" s="67">
        <v>162</v>
      </c>
      <c r="B165" s="64">
        <v>1955.5000000000005</v>
      </c>
      <c r="C165" s="64">
        <v>12.070987654320991</v>
      </c>
      <c r="D165" s="69">
        <v>1.7654320987654322</v>
      </c>
      <c r="E165" s="65">
        <v>0.47530864197530864</v>
      </c>
      <c r="F165" s="65">
        <v>0.24074074074074073</v>
      </c>
      <c r="G165" s="65">
        <v>0.34107946026986508</v>
      </c>
      <c r="H165" s="65">
        <v>0.15367316341829085</v>
      </c>
      <c r="I165" s="66">
        <v>9312.3076923076915</v>
      </c>
      <c r="J165" s="66">
        <v>-8267.3170731707323</v>
      </c>
      <c r="K165" s="65">
        <v>9.2592592592592587E-2</v>
      </c>
      <c r="L165" s="65">
        <v>0.17901234567901234</v>
      </c>
      <c r="M165" s="65">
        <v>0.31409295352323841</v>
      </c>
      <c r="N165" s="65">
        <v>0.21139430284857572</v>
      </c>
      <c r="O165" s="65">
        <v>0.57279236276849643</v>
      </c>
      <c r="P165" s="65">
        <v>0.52127659574468088</v>
      </c>
      <c r="Q165" s="65">
        <v>0.41978021978021979</v>
      </c>
    </row>
    <row r="166" spans="1:17" x14ac:dyDescent="0.4">
      <c r="A166" s="67">
        <v>163</v>
      </c>
      <c r="B166" s="64">
        <v>1950.5000000000005</v>
      </c>
      <c r="C166" s="64">
        <v>11.966257668711659</v>
      </c>
      <c r="D166" s="69">
        <v>1.7668711656441718</v>
      </c>
      <c r="E166" s="65">
        <v>0.47239263803680981</v>
      </c>
      <c r="F166" s="65">
        <v>0.2392638036809816</v>
      </c>
      <c r="G166" s="65">
        <v>0.34055265123226286</v>
      </c>
      <c r="H166" s="65">
        <v>0.1530993278566094</v>
      </c>
      <c r="I166" s="66">
        <v>9309.4298245614027</v>
      </c>
      <c r="J166" s="66">
        <v>-8267.3170731707323</v>
      </c>
      <c r="K166" s="65">
        <v>9.202453987730061E-2</v>
      </c>
      <c r="L166" s="65">
        <v>0.17791411042944785</v>
      </c>
      <c r="M166" s="65">
        <v>0.31292008961911877</v>
      </c>
      <c r="N166" s="65">
        <v>0.210604929051531</v>
      </c>
      <c r="O166" s="65">
        <v>0.57279236276849643</v>
      </c>
      <c r="P166" s="65">
        <v>0.52127659574468088</v>
      </c>
      <c r="Q166" s="65">
        <v>0.41885964912280704</v>
      </c>
    </row>
    <row r="167" spans="1:17" x14ac:dyDescent="0.4">
      <c r="A167" s="67">
        <v>164</v>
      </c>
      <c r="B167" s="64">
        <v>1985.5000000000005</v>
      </c>
      <c r="C167" s="64">
        <v>12.106707317073173</v>
      </c>
      <c r="D167" s="69">
        <v>1.7621951219512195</v>
      </c>
      <c r="E167" s="65">
        <v>0.47560975609756095</v>
      </c>
      <c r="F167" s="65">
        <v>0.23780487804878048</v>
      </c>
      <c r="G167" s="65">
        <v>0.34025203854707192</v>
      </c>
      <c r="H167" s="65">
        <v>0.15418828762045961</v>
      </c>
      <c r="I167" s="66">
        <v>9294.3355119825701</v>
      </c>
      <c r="J167" s="66">
        <v>-8188.9423076923076</v>
      </c>
      <c r="K167" s="65">
        <v>9.1463414634146339E-2</v>
      </c>
      <c r="L167" s="65">
        <v>0.17682926829268292</v>
      </c>
      <c r="M167" s="65">
        <v>0.31356560415122314</v>
      </c>
      <c r="N167" s="65">
        <v>0.21052631578947367</v>
      </c>
      <c r="O167" s="65">
        <v>0.5721040189125296</v>
      </c>
      <c r="P167" s="65">
        <v>0.52112676056338025</v>
      </c>
      <c r="Q167" s="65">
        <v>0.41830065359477125</v>
      </c>
    </row>
    <row r="168" spans="1:17" x14ac:dyDescent="0.4">
      <c r="A168" s="67">
        <v>165</v>
      </c>
      <c r="B168" s="64">
        <v>1995.0000000000005</v>
      </c>
      <c r="C168" s="64">
        <v>12.090909090909093</v>
      </c>
      <c r="D168" s="69">
        <v>1.7636363636363637</v>
      </c>
      <c r="E168" s="65">
        <v>0.47272727272727272</v>
      </c>
      <c r="F168" s="65">
        <v>0.23636363636363636</v>
      </c>
      <c r="G168" s="65">
        <v>0.34022140221402214</v>
      </c>
      <c r="H168" s="65">
        <v>0.15350553505535056</v>
      </c>
      <c r="I168" s="66">
        <v>9275.7049891540137</v>
      </c>
      <c r="J168" s="66">
        <v>-8188.9423076923076</v>
      </c>
      <c r="K168" s="65">
        <v>9.0909090909090912E-2</v>
      </c>
      <c r="L168" s="65">
        <v>0.17575757575757575</v>
      </c>
      <c r="M168" s="65">
        <v>0.31291512915129149</v>
      </c>
      <c r="N168" s="65">
        <v>0.2095940959409594</v>
      </c>
      <c r="O168" s="65">
        <v>0.57311320754716977</v>
      </c>
      <c r="P168" s="65">
        <v>0.52112676056338025</v>
      </c>
      <c r="Q168" s="65">
        <v>0.41865509761388287</v>
      </c>
    </row>
    <row r="169" spans="1:17" x14ac:dyDescent="0.4">
      <c r="A169" s="67">
        <v>166</v>
      </c>
      <c r="B169" s="64">
        <v>1939.7000000000005</v>
      </c>
      <c r="C169" s="64">
        <v>11.684939759036148</v>
      </c>
      <c r="D169" s="69">
        <v>1.7710843373493976</v>
      </c>
      <c r="E169" s="65">
        <v>0.46987951807228917</v>
      </c>
      <c r="F169" s="65">
        <v>0.24096385542168675</v>
      </c>
      <c r="G169" s="65">
        <v>0.33946980854197351</v>
      </c>
      <c r="H169" s="65">
        <v>0.15463917525773196</v>
      </c>
      <c r="I169" s="66">
        <v>9275.7049891540137</v>
      </c>
      <c r="J169" s="66">
        <v>-8252.8571428571431</v>
      </c>
      <c r="K169" s="65">
        <v>9.6385542168674704E-2</v>
      </c>
      <c r="L169" s="65">
        <v>0.1746987951807229</v>
      </c>
      <c r="M169" s="65">
        <v>0.31222385861561119</v>
      </c>
      <c r="N169" s="65">
        <v>0.20913107511045656</v>
      </c>
      <c r="O169" s="65">
        <v>0.57311320754716977</v>
      </c>
      <c r="P169" s="65">
        <v>0.52112676056338025</v>
      </c>
      <c r="Q169" s="65">
        <v>0.41865509761388287</v>
      </c>
    </row>
    <row r="170" spans="1:17" x14ac:dyDescent="0.4">
      <c r="A170" s="67">
        <v>167</v>
      </c>
      <c r="B170" s="64">
        <v>1970.7000000000005</v>
      </c>
      <c r="C170" s="64">
        <v>11.800598802395212</v>
      </c>
      <c r="D170" s="69">
        <v>1.7664670658682635</v>
      </c>
      <c r="E170" s="65">
        <v>0.47305389221556887</v>
      </c>
      <c r="F170" s="65">
        <v>0.23952095808383234</v>
      </c>
      <c r="G170" s="65">
        <v>0.33868613138686132</v>
      </c>
      <c r="H170" s="65">
        <v>0.15401459854014599</v>
      </c>
      <c r="I170" s="66">
        <v>9264.439655172413</v>
      </c>
      <c r="J170" s="66">
        <v>-8220.8530805687205</v>
      </c>
      <c r="K170" s="65">
        <v>9.580838323353294E-2</v>
      </c>
      <c r="L170" s="65">
        <v>0.17365269461077845</v>
      </c>
      <c r="M170" s="65">
        <v>0.31459854014598543</v>
      </c>
      <c r="N170" s="65">
        <v>0.2072992700729927</v>
      </c>
      <c r="O170" s="65">
        <v>0.57076566125290018</v>
      </c>
      <c r="P170" s="65">
        <v>0.52112676056338025</v>
      </c>
      <c r="Q170" s="65">
        <v>0.42025862068965519</v>
      </c>
    </row>
    <row r="171" spans="1:17" x14ac:dyDescent="0.4">
      <c r="A171" s="67">
        <v>168</v>
      </c>
      <c r="B171" s="64">
        <v>1935.4000000000005</v>
      </c>
      <c r="C171" s="64">
        <v>11.520238095238099</v>
      </c>
      <c r="D171" s="69">
        <v>1.7738095238095237</v>
      </c>
      <c r="E171" s="65">
        <v>0.47023809523809523</v>
      </c>
      <c r="F171" s="65">
        <v>0.24404761904761904</v>
      </c>
      <c r="G171" s="65">
        <v>0.33816075307748011</v>
      </c>
      <c r="H171" s="65">
        <v>0.1556842867487328</v>
      </c>
      <c r="I171" s="66">
        <v>9254.1755888650969</v>
      </c>
      <c r="J171" s="66">
        <v>-8183.2558139534885</v>
      </c>
      <c r="K171" s="65">
        <v>9.5238095238095233E-2</v>
      </c>
      <c r="L171" s="65">
        <v>0.17261904761904762</v>
      </c>
      <c r="M171" s="65">
        <v>0.31426502534395367</v>
      </c>
      <c r="N171" s="65">
        <v>0.20854453294713976</v>
      </c>
      <c r="O171" s="65">
        <v>0.56912442396313367</v>
      </c>
      <c r="P171" s="65">
        <v>0.52083333333333337</v>
      </c>
      <c r="Q171" s="65">
        <v>0.41970021413276232</v>
      </c>
    </row>
    <row r="172" spans="1:17" x14ac:dyDescent="0.4">
      <c r="A172" s="67">
        <v>169</v>
      </c>
      <c r="B172" s="64">
        <v>1976.5000000000005</v>
      </c>
      <c r="C172" s="64">
        <v>11.695266272189352</v>
      </c>
      <c r="D172" s="69">
        <v>1.7692307692307692</v>
      </c>
      <c r="E172" s="65">
        <v>0.47337278106508873</v>
      </c>
      <c r="F172" s="65">
        <v>0.24260355029585798</v>
      </c>
      <c r="G172" s="65">
        <v>0.33741007194244604</v>
      </c>
      <c r="H172" s="65">
        <v>0.1553956834532374</v>
      </c>
      <c r="I172" s="66">
        <v>9265.8848614072504</v>
      </c>
      <c r="J172" s="66">
        <v>-8163.4259259259261</v>
      </c>
      <c r="K172" s="65">
        <v>9.4674556213017749E-2</v>
      </c>
      <c r="L172" s="65">
        <v>0.17159763313609466</v>
      </c>
      <c r="M172" s="65">
        <v>0.3143884892086331</v>
      </c>
      <c r="N172" s="65">
        <v>0.2079136690647482</v>
      </c>
      <c r="O172" s="65">
        <v>0.56979405034324948</v>
      </c>
      <c r="P172" s="65">
        <v>0.51903114186851207</v>
      </c>
      <c r="Q172" s="65">
        <v>0.41791044776119401</v>
      </c>
    </row>
    <row r="173" spans="1:17" x14ac:dyDescent="0.4">
      <c r="A173" s="67">
        <v>170</v>
      </c>
      <c r="B173" s="64">
        <v>2031.1000000000004</v>
      </c>
      <c r="C173" s="64">
        <v>11.947647058823531</v>
      </c>
      <c r="D173" s="69">
        <v>1.7647058823529411</v>
      </c>
      <c r="E173" s="65">
        <v>0.47647058823529409</v>
      </c>
      <c r="F173" s="65">
        <v>0.2411764705882353</v>
      </c>
      <c r="G173" s="65">
        <v>0.33882521489971346</v>
      </c>
      <c r="H173" s="65">
        <v>0.15472779369627507</v>
      </c>
      <c r="I173" s="66">
        <v>9252.2198731501048</v>
      </c>
      <c r="J173" s="66">
        <v>-8163.4259259259261</v>
      </c>
      <c r="K173" s="65">
        <v>9.4117647058823528E-2</v>
      </c>
      <c r="L173" s="65">
        <v>0.17647058823529413</v>
      </c>
      <c r="M173" s="65">
        <v>0.3144699140401146</v>
      </c>
      <c r="N173" s="65">
        <v>0.20845272206303725</v>
      </c>
      <c r="O173" s="65">
        <v>0.56947608200455579</v>
      </c>
      <c r="P173" s="65">
        <v>0.5223367697594502</v>
      </c>
      <c r="Q173" s="65">
        <v>0.41860465116279072</v>
      </c>
    </row>
    <row r="174" spans="1:17" x14ac:dyDescent="0.4">
      <c r="A174" s="67">
        <v>171</v>
      </c>
      <c r="B174" s="64">
        <v>2031.0000000000005</v>
      </c>
      <c r="C174" s="64">
        <v>11.877192982456142</v>
      </c>
      <c r="D174" s="69">
        <v>1.7660818713450293</v>
      </c>
      <c r="E174" s="65">
        <v>0.47368421052631576</v>
      </c>
      <c r="F174" s="65">
        <v>0.23976608187134502</v>
      </c>
      <c r="G174" s="65">
        <v>0.33854907539118068</v>
      </c>
      <c r="H174" s="65">
        <v>0.15433854907539118</v>
      </c>
      <c r="I174" s="66">
        <v>9247.6890756302528</v>
      </c>
      <c r="J174" s="66">
        <v>-8162.6728110599079</v>
      </c>
      <c r="K174" s="65">
        <v>9.3567251461988299E-2</v>
      </c>
      <c r="L174" s="65">
        <v>0.17543859649122806</v>
      </c>
      <c r="M174" s="65">
        <v>0.31436699857752487</v>
      </c>
      <c r="N174" s="65">
        <v>0.20768136557610242</v>
      </c>
      <c r="O174" s="65">
        <v>0.57239819004524883</v>
      </c>
      <c r="P174" s="65">
        <v>0.52054794520547942</v>
      </c>
      <c r="Q174" s="65">
        <v>0.42016806722689076</v>
      </c>
    </row>
    <row r="175" spans="1:17" x14ac:dyDescent="0.4">
      <c r="A175" s="67">
        <v>172</v>
      </c>
      <c r="B175" s="64">
        <v>2043.9000000000005</v>
      </c>
      <c r="C175" s="64">
        <v>11.883139534883725</v>
      </c>
      <c r="D175" s="69">
        <v>1.7674418604651163</v>
      </c>
      <c r="E175" s="65">
        <v>0.47093023255813954</v>
      </c>
      <c r="F175" s="65">
        <v>0.23837209302325582</v>
      </c>
      <c r="G175" s="65">
        <v>0.33828733191790517</v>
      </c>
      <c r="H175" s="65">
        <v>0.15428167020523709</v>
      </c>
      <c r="I175" s="66">
        <v>9259.2050209205026</v>
      </c>
      <c r="J175" s="66">
        <v>-8161.9266055045873</v>
      </c>
      <c r="K175" s="65">
        <v>9.3023255813953487E-2</v>
      </c>
      <c r="L175" s="65">
        <v>0.1744186046511628</v>
      </c>
      <c r="M175" s="65">
        <v>0.31422505307855625</v>
      </c>
      <c r="N175" s="65">
        <v>0.20736022646850671</v>
      </c>
      <c r="O175" s="65">
        <v>0.57432432432432434</v>
      </c>
      <c r="P175" s="65">
        <v>0.51877133105802042</v>
      </c>
      <c r="Q175" s="65">
        <v>0.42050209205020922</v>
      </c>
    </row>
    <row r="176" spans="1:17" x14ac:dyDescent="0.4">
      <c r="A176" s="67">
        <v>173</v>
      </c>
      <c r="B176" s="64">
        <v>2066.5000000000005</v>
      </c>
      <c r="C176" s="64">
        <v>11.945086705202314</v>
      </c>
      <c r="D176" s="69">
        <v>1.76878612716763</v>
      </c>
      <c r="E176" s="65">
        <v>0.46820809248554912</v>
      </c>
      <c r="F176" s="65">
        <v>0.23699421965317918</v>
      </c>
      <c r="G176" s="65">
        <v>0.33919774806474312</v>
      </c>
      <c r="H176" s="65">
        <v>0.15411681914144967</v>
      </c>
      <c r="I176" s="66">
        <v>9243.3609958506222</v>
      </c>
      <c r="J176" s="66">
        <v>-8151.1415525114153</v>
      </c>
      <c r="K176" s="65">
        <v>9.2485549132947972E-2</v>
      </c>
      <c r="L176" s="65">
        <v>0.17341040462427745</v>
      </c>
      <c r="M176" s="65">
        <v>0.3138634764250528</v>
      </c>
      <c r="N176" s="65">
        <v>0.20830401125967629</v>
      </c>
      <c r="O176" s="65">
        <v>0.57623318385650224</v>
      </c>
      <c r="P176" s="65">
        <v>0.52027027027027029</v>
      </c>
      <c r="Q176" s="65">
        <v>0.42323651452282157</v>
      </c>
    </row>
    <row r="177" spans="1:17" x14ac:dyDescent="0.4">
      <c r="A177" s="67">
        <v>174</v>
      </c>
      <c r="B177" s="64">
        <v>2121.1000000000004</v>
      </c>
      <c r="C177" s="64">
        <v>12.190229885057473</v>
      </c>
      <c r="D177" s="69">
        <v>1.764367816091954</v>
      </c>
      <c r="E177" s="65">
        <v>0.47126436781609193</v>
      </c>
      <c r="F177" s="65">
        <v>0.23563218390804597</v>
      </c>
      <c r="G177" s="65">
        <v>0.33963585434173671</v>
      </c>
      <c r="H177" s="65">
        <v>0.15406162464985995</v>
      </c>
      <c r="I177" s="66">
        <v>9272.783505154639</v>
      </c>
      <c r="J177" s="66">
        <v>-8125.909090909091</v>
      </c>
      <c r="K177" s="65">
        <v>9.1954022988505746E-2</v>
      </c>
      <c r="L177" s="65">
        <v>0.17241379310344829</v>
      </c>
      <c r="M177" s="65">
        <v>0.31512605042016806</v>
      </c>
      <c r="N177" s="65">
        <v>0.20728291316526612</v>
      </c>
      <c r="O177" s="65">
        <v>0.57777777777777772</v>
      </c>
      <c r="P177" s="65">
        <v>0.52027027027027029</v>
      </c>
      <c r="Q177" s="65">
        <v>0.42268041237113402</v>
      </c>
    </row>
    <row r="178" spans="1:17" x14ac:dyDescent="0.4">
      <c r="A178" s="67">
        <v>175</v>
      </c>
      <c r="B178" s="64">
        <v>2087.3000000000002</v>
      </c>
      <c r="C178" s="64">
        <v>11.927428571428573</v>
      </c>
      <c r="D178" s="69">
        <v>1.7714285714285714</v>
      </c>
      <c r="E178" s="65">
        <v>0.46857142857142858</v>
      </c>
      <c r="F178" s="65">
        <v>0.24</v>
      </c>
      <c r="G178" s="65">
        <v>0.33844011142061281</v>
      </c>
      <c r="H178" s="65">
        <v>0.15389972144846797</v>
      </c>
      <c r="I178" s="66">
        <v>9278.3950617283954</v>
      </c>
      <c r="J178" s="66">
        <v>-8132.5791855203624</v>
      </c>
      <c r="K178" s="65">
        <v>9.1428571428571428E-2</v>
      </c>
      <c r="L178" s="65">
        <v>0.17142857142857143</v>
      </c>
      <c r="M178" s="65">
        <v>0.314066852367688</v>
      </c>
      <c r="N178" s="65">
        <v>0.20891364902506965</v>
      </c>
      <c r="O178" s="65">
        <v>0.57649667405764971</v>
      </c>
      <c r="P178" s="65">
        <v>0.51666666666666672</v>
      </c>
      <c r="Q178" s="65">
        <v>0.42386831275720166</v>
      </c>
    </row>
    <row r="179" spans="1:17" x14ac:dyDescent="0.4">
      <c r="A179" s="67">
        <v>176</v>
      </c>
      <c r="B179" s="64">
        <v>2055.5</v>
      </c>
      <c r="C179" s="64">
        <v>11.678977272727273</v>
      </c>
      <c r="D179" s="69">
        <v>1.7784090909090908</v>
      </c>
      <c r="E179" s="65">
        <v>0.46590909090909088</v>
      </c>
      <c r="F179" s="65">
        <v>0.24431818181818182</v>
      </c>
      <c r="G179" s="65">
        <v>0.33795013850415512</v>
      </c>
      <c r="H179" s="65">
        <v>0.15512465373961218</v>
      </c>
      <c r="I179" s="66">
        <v>9281.3524590163943</v>
      </c>
      <c r="J179" s="66">
        <v>-8129.9107142857147</v>
      </c>
      <c r="K179" s="65">
        <v>9.0909090909090912E-2</v>
      </c>
      <c r="L179" s="65">
        <v>0.17045454545454544</v>
      </c>
      <c r="M179" s="65">
        <v>0.31440443213296398</v>
      </c>
      <c r="N179" s="65">
        <v>0.20914127423822715</v>
      </c>
      <c r="O179" s="65">
        <v>0.5770925110132159</v>
      </c>
      <c r="P179" s="65">
        <v>0.51324503311258274</v>
      </c>
      <c r="Q179" s="65">
        <v>0.42418032786885246</v>
      </c>
    </row>
    <row r="180" spans="1:17" x14ac:dyDescent="0.4">
      <c r="A180" s="67">
        <v>177</v>
      </c>
      <c r="B180" s="64">
        <v>2093.1</v>
      </c>
      <c r="C180" s="64">
        <v>11.82542372881356</v>
      </c>
      <c r="D180" s="69">
        <v>1.7740112994350283</v>
      </c>
      <c r="E180" s="65">
        <v>0.46892655367231639</v>
      </c>
      <c r="F180" s="65">
        <v>0.24293785310734464</v>
      </c>
      <c r="G180" s="65">
        <v>0.33907649896623021</v>
      </c>
      <c r="H180" s="65">
        <v>0.1543762922122674</v>
      </c>
      <c r="I180" s="66">
        <v>9255.8943089430886</v>
      </c>
      <c r="J180" s="66">
        <v>-8129.9107142857147</v>
      </c>
      <c r="K180" s="65">
        <v>9.03954802259887E-2</v>
      </c>
      <c r="L180" s="65">
        <v>0.16949152542372881</v>
      </c>
      <c r="M180" s="65">
        <v>0.31495520330806343</v>
      </c>
      <c r="N180" s="65">
        <v>0.20951068228807718</v>
      </c>
      <c r="O180" s="65">
        <v>0.57768052516411383</v>
      </c>
      <c r="P180" s="65">
        <v>0.51315789473684215</v>
      </c>
      <c r="Q180" s="65">
        <v>0.42682926829268292</v>
      </c>
    </row>
    <row r="181" spans="1:17" x14ac:dyDescent="0.4">
      <c r="A181" s="67">
        <v>178</v>
      </c>
      <c r="B181" s="64">
        <v>2146.2999999999997</v>
      </c>
      <c r="C181" s="64">
        <v>12.057865168539324</v>
      </c>
      <c r="D181" s="69">
        <v>1.7696629213483146</v>
      </c>
      <c r="E181" s="65">
        <v>0.47191011235955055</v>
      </c>
      <c r="F181" s="65">
        <v>0.24157303370786518</v>
      </c>
      <c r="G181" s="65">
        <v>0.3399588759424263</v>
      </c>
      <c r="H181" s="65">
        <v>0.15421521590130227</v>
      </c>
      <c r="I181" s="66">
        <v>9261.0887096774186</v>
      </c>
      <c r="J181" s="66">
        <v>-8105.333333333333</v>
      </c>
      <c r="K181" s="65">
        <v>8.98876404494382E-2</v>
      </c>
      <c r="L181" s="65">
        <v>0.16853932584269662</v>
      </c>
      <c r="M181" s="65">
        <v>0.31459904043865661</v>
      </c>
      <c r="N181" s="65">
        <v>0.21041809458533242</v>
      </c>
      <c r="O181" s="65">
        <v>0.579520697167756</v>
      </c>
      <c r="P181" s="65">
        <v>0.51465798045602607</v>
      </c>
      <c r="Q181" s="65">
        <v>0.42540322580645162</v>
      </c>
    </row>
    <row r="182" spans="1:17" x14ac:dyDescent="0.4">
      <c r="A182" s="67">
        <v>179</v>
      </c>
      <c r="B182" s="64">
        <v>2182.3999999999996</v>
      </c>
      <c r="C182" s="64">
        <v>12.192178770949718</v>
      </c>
      <c r="D182" s="69">
        <v>1.76536312849162</v>
      </c>
      <c r="E182" s="65">
        <v>0.47486033519553073</v>
      </c>
      <c r="F182" s="65">
        <v>0.24022346368715083</v>
      </c>
      <c r="G182" s="65">
        <v>0.34059945504087191</v>
      </c>
      <c r="H182" s="65">
        <v>0.15463215258855587</v>
      </c>
      <c r="I182" s="66">
        <v>9272.2000000000007</v>
      </c>
      <c r="J182" s="66">
        <v>-8122.0264317180618</v>
      </c>
      <c r="K182" s="65">
        <v>8.9385474860335198E-2</v>
      </c>
      <c r="L182" s="65">
        <v>0.16759776536312848</v>
      </c>
      <c r="M182" s="65">
        <v>0.3133514986376022</v>
      </c>
      <c r="N182" s="65">
        <v>0.2098092643051771</v>
      </c>
      <c r="O182" s="65">
        <v>0.58043478260869563</v>
      </c>
      <c r="P182" s="65">
        <v>0.51623376623376627</v>
      </c>
      <c r="Q182" s="65">
        <v>0.42599999999999999</v>
      </c>
    </row>
    <row r="183" spans="1:17" x14ac:dyDescent="0.4">
      <c r="A183" s="67">
        <v>180</v>
      </c>
      <c r="B183" s="64">
        <v>2155.9999999999995</v>
      </c>
      <c r="C183" s="64">
        <v>11.977777777777776</v>
      </c>
      <c r="D183" s="69">
        <v>1.7722222222222221</v>
      </c>
      <c r="E183" s="65">
        <v>0.47222222222222221</v>
      </c>
      <c r="F183" s="65">
        <v>0.24444444444444444</v>
      </c>
      <c r="G183" s="65">
        <v>0.33989145183175035</v>
      </c>
      <c r="H183" s="65">
        <v>0.15535956580732699</v>
      </c>
      <c r="I183" s="66">
        <v>9277.6447105788429</v>
      </c>
      <c r="J183" s="66">
        <v>-8107.4235807860259</v>
      </c>
      <c r="K183" s="65">
        <v>8.8888888888888892E-2</v>
      </c>
      <c r="L183" s="65">
        <v>0.16666666666666666</v>
      </c>
      <c r="M183" s="65">
        <v>0.31275440976933516</v>
      </c>
      <c r="N183" s="65">
        <v>0.21031207598371776</v>
      </c>
      <c r="O183" s="65">
        <v>0.57917570498915405</v>
      </c>
      <c r="P183" s="65">
        <v>0.5161290322580645</v>
      </c>
      <c r="Q183" s="65">
        <v>0.42514970059880242</v>
      </c>
    </row>
    <row r="184" spans="1:17" x14ac:dyDescent="0.4">
      <c r="A184" s="67">
        <v>181</v>
      </c>
      <c r="B184" s="64">
        <v>2216.9999999999995</v>
      </c>
      <c r="C184" s="64">
        <v>12.248618784530384</v>
      </c>
      <c r="D184" s="69">
        <v>1.7679558011049723</v>
      </c>
      <c r="E184" s="65">
        <v>0.47513812154696133</v>
      </c>
      <c r="F184" s="65">
        <v>0.24309392265193369</v>
      </c>
      <c r="G184" s="65">
        <v>0.34098582039162728</v>
      </c>
      <c r="H184" s="65">
        <v>0.15462525320729237</v>
      </c>
      <c r="I184" s="66">
        <v>9279.4059405940588</v>
      </c>
      <c r="J184" s="66">
        <v>-8107.4235807860259</v>
      </c>
      <c r="K184" s="65">
        <v>8.8397790055248615E-2</v>
      </c>
      <c r="L184" s="65">
        <v>0.17127071823204421</v>
      </c>
      <c r="M184" s="65">
        <v>0.31127616475354491</v>
      </c>
      <c r="N184" s="65">
        <v>0.21134368669817691</v>
      </c>
      <c r="O184" s="65">
        <v>0.57917570498915405</v>
      </c>
      <c r="P184" s="65">
        <v>0.52076677316293929</v>
      </c>
      <c r="Q184" s="65">
        <v>0.42574257425742573</v>
      </c>
    </row>
    <row r="185" spans="1:17" x14ac:dyDescent="0.4">
      <c r="A185" s="67">
        <v>182</v>
      </c>
      <c r="B185" s="64">
        <v>2252.3999999999996</v>
      </c>
      <c r="C185" s="64">
        <v>12.375824175824174</v>
      </c>
      <c r="D185" s="69">
        <v>1.7637362637362637</v>
      </c>
      <c r="E185" s="65">
        <v>0.47802197802197804</v>
      </c>
      <c r="F185" s="65">
        <v>0.24175824175824176</v>
      </c>
      <c r="G185" s="65">
        <v>0.34162743779421656</v>
      </c>
      <c r="H185" s="65">
        <v>0.15400134498991258</v>
      </c>
      <c r="I185" s="66">
        <v>9258.8582677165359</v>
      </c>
      <c r="J185" s="66">
        <v>-8107.4235807860259</v>
      </c>
      <c r="K185" s="65">
        <v>8.7912087912087919E-2</v>
      </c>
      <c r="L185" s="65">
        <v>0.17032967032967034</v>
      </c>
      <c r="M185" s="65">
        <v>0.31069266980497645</v>
      </c>
      <c r="N185" s="65">
        <v>0.2125084061869536</v>
      </c>
      <c r="O185" s="65">
        <v>0.58008658008658009</v>
      </c>
      <c r="P185" s="65">
        <v>0.51898734177215189</v>
      </c>
      <c r="Q185" s="65">
        <v>0.42322834645669294</v>
      </c>
    </row>
    <row r="186" spans="1:17" x14ac:dyDescent="0.4">
      <c r="A186" s="67">
        <v>183</v>
      </c>
      <c r="B186" s="64">
        <v>2307.8999999999996</v>
      </c>
      <c r="C186" s="64">
        <v>12.611475409836064</v>
      </c>
      <c r="D186" s="69">
        <v>1.7595628415300546</v>
      </c>
      <c r="E186" s="65">
        <v>0.48087431693989069</v>
      </c>
      <c r="F186" s="65">
        <v>0.24043715846994534</v>
      </c>
      <c r="G186" s="65">
        <v>0.34203480589022756</v>
      </c>
      <c r="H186" s="65">
        <v>0.15327978580990628</v>
      </c>
      <c r="I186" s="66">
        <v>9277.495107632094</v>
      </c>
      <c r="J186" s="66">
        <v>-8107.4235807860259</v>
      </c>
      <c r="K186" s="65">
        <v>8.7431693989071038E-2</v>
      </c>
      <c r="L186" s="65">
        <v>0.16939890710382513</v>
      </c>
      <c r="M186" s="65">
        <v>0.3112449799196787</v>
      </c>
      <c r="N186" s="65">
        <v>0.21218206157965194</v>
      </c>
      <c r="O186" s="65">
        <v>0.58279569892473115</v>
      </c>
      <c r="P186" s="65">
        <v>0.51735015772870663</v>
      </c>
      <c r="Q186" s="65">
        <v>0.42465753424657532</v>
      </c>
    </row>
    <row r="187" spans="1:17" x14ac:dyDescent="0.4">
      <c r="A187" s="67">
        <v>184</v>
      </c>
      <c r="B187" s="64">
        <v>2341.1999999999998</v>
      </c>
      <c r="C187" s="64">
        <v>12.723913043478261</v>
      </c>
      <c r="D187" s="69">
        <v>1.7554347826086956</v>
      </c>
      <c r="E187" s="65">
        <v>0.48369565217391303</v>
      </c>
      <c r="F187" s="65">
        <v>0.2391304347826087</v>
      </c>
      <c r="G187" s="65">
        <v>0.34221038615179761</v>
      </c>
      <c r="H187" s="65">
        <v>0.15312916111850866</v>
      </c>
      <c r="I187" s="66">
        <v>9269.2607003891044</v>
      </c>
      <c r="J187" s="66">
        <v>-8094.782608695652</v>
      </c>
      <c r="K187" s="65">
        <v>8.6956521739130432E-2</v>
      </c>
      <c r="L187" s="65">
        <v>0.16847826086956522</v>
      </c>
      <c r="M187" s="65">
        <v>0.30958721704394143</v>
      </c>
      <c r="N187" s="65">
        <v>0.21371504660452731</v>
      </c>
      <c r="O187" s="65">
        <v>0.58279569892473115</v>
      </c>
      <c r="P187" s="65">
        <v>0.52024922118380057</v>
      </c>
      <c r="Q187" s="65">
        <v>0.42217898832684825</v>
      </c>
    </row>
    <row r="188" spans="1:17" x14ac:dyDescent="0.4">
      <c r="A188" s="67">
        <v>185</v>
      </c>
      <c r="B188" s="64">
        <v>2314.3999999999996</v>
      </c>
      <c r="C188" s="64">
        <v>12.510270270270269</v>
      </c>
      <c r="D188" s="69">
        <v>1.7621621621621621</v>
      </c>
      <c r="E188" s="65">
        <v>0.48108108108108111</v>
      </c>
      <c r="F188" s="65">
        <v>0.24324324324324326</v>
      </c>
      <c r="G188" s="65">
        <v>0.34126984126984128</v>
      </c>
      <c r="H188" s="65">
        <v>0.15277777777777779</v>
      </c>
      <c r="I188" s="66">
        <v>9279.8449612403092</v>
      </c>
      <c r="J188" s="66">
        <v>-8093.0735930735927</v>
      </c>
      <c r="K188" s="65">
        <v>8.6486486486486491E-2</v>
      </c>
      <c r="L188" s="65">
        <v>0.16756756756756758</v>
      </c>
      <c r="M188" s="65">
        <v>0.3082010582010582</v>
      </c>
      <c r="N188" s="65">
        <v>0.21362433862433863</v>
      </c>
      <c r="O188" s="65">
        <v>0.58154506437768239</v>
      </c>
      <c r="P188" s="65">
        <v>0.52012383900928794</v>
      </c>
      <c r="Q188" s="65">
        <v>0.42248062015503873</v>
      </c>
    </row>
    <row r="189" spans="1:17" x14ac:dyDescent="0.4">
      <c r="A189" s="67">
        <v>186</v>
      </c>
      <c r="B189" s="64">
        <v>2307.6999999999998</v>
      </c>
      <c r="C189" s="64">
        <v>12.406989247311827</v>
      </c>
      <c r="D189" s="69">
        <v>1.7634408602150538</v>
      </c>
      <c r="E189" s="65">
        <v>0.478494623655914</v>
      </c>
      <c r="F189" s="65">
        <v>0.24193548387096775</v>
      </c>
      <c r="G189" s="65">
        <v>0.33946158896913986</v>
      </c>
      <c r="H189" s="65">
        <v>0.15167432698621142</v>
      </c>
      <c r="I189" s="66">
        <v>9277.3694390715664</v>
      </c>
      <c r="J189" s="66">
        <v>-8093.0735930735927</v>
      </c>
      <c r="K189" s="65">
        <v>8.6021505376344093E-2</v>
      </c>
      <c r="L189" s="65">
        <v>0.16666666666666666</v>
      </c>
      <c r="M189" s="65">
        <v>0.30728824688115564</v>
      </c>
      <c r="N189" s="65">
        <v>0.21339461588969139</v>
      </c>
      <c r="O189" s="65">
        <v>0.58119658119658124</v>
      </c>
      <c r="P189" s="65">
        <v>0.51692307692307693</v>
      </c>
      <c r="Q189" s="65">
        <v>0.42166344294003866</v>
      </c>
    </row>
    <row r="190" spans="1:17" x14ac:dyDescent="0.4">
      <c r="A190" s="67">
        <v>187</v>
      </c>
      <c r="B190" s="64">
        <v>2348.1</v>
      </c>
      <c r="C190" s="64">
        <v>12.55668449197861</v>
      </c>
      <c r="D190" s="69">
        <v>1.7593582887700534</v>
      </c>
      <c r="E190" s="65">
        <v>0.48128342245989303</v>
      </c>
      <c r="F190" s="65">
        <v>0.24064171122994651</v>
      </c>
      <c r="G190" s="65">
        <v>0.33920417482061316</v>
      </c>
      <c r="H190" s="65">
        <v>0.15068493150684931</v>
      </c>
      <c r="I190" s="66">
        <v>9293.8461538461543</v>
      </c>
      <c r="J190" s="66">
        <v>-8093.0735930735927</v>
      </c>
      <c r="K190" s="65">
        <v>8.5561497326203204E-2</v>
      </c>
      <c r="L190" s="65">
        <v>0.16577540106951871</v>
      </c>
      <c r="M190" s="65">
        <v>0.30789302022178733</v>
      </c>
      <c r="N190" s="65">
        <v>0.21200260926288322</v>
      </c>
      <c r="O190" s="65">
        <v>0.58050847457627119</v>
      </c>
      <c r="P190" s="65">
        <v>0.51692307692307693</v>
      </c>
      <c r="Q190" s="65">
        <v>0.42499999999999999</v>
      </c>
    </row>
    <row r="191" spans="1:17" x14ac:dyDescent="0.4">
      <c r="A191" s="67">
        <v>188</v>
      </c>
      <c r="B191" s="64">
        <v>2290.1</v>
      </c>
      <c r="C191" s="64">
        <v>12.181382978723404</v>
      </c>
      <c r="D191" s="69">
        <v>1.7659574468085106</v>
      </c>
      <c r="E191" s="65">
        <v>0.47872340425531917</v>
      </c>
      <c r="F191" s="65">
        <v>0.24468085106382978</v>
      </c>
      <c r="G191" s="65">
        <v>0.33832140533506833</v>
      </c>
      <c r="H191" s="65">
        <v>0.15159401431359792</v>
      </c>
      <c r="I191" s="66">
        <v>9293.8461538461543</v>
      </c>
      <c r="J191" s="66">
        <v>-8152.3605150214589</v>
      </c>
      <c r="K191" s="65">
        <v>9.0425531914893623E-2</v>
      </c>
      <c r="L191" s="65">
        <v>0.16489361702127658</v>
      </c>
      <c r="M191" s="65">
        <v>0.30839297332465843</v>
      </c>
      <c r="N191" s="65">
        <v>0.2114508783344177</v>
      </c>
      <c r="O191" s="65">
        <v>0.57805907172995785</v>
      </c>
      <c r="P191" s="65">
        <v>0.51692307692307693</v>
      </c>
      <c r="Q191" s="65">
        <v>0.42499999999999999</v>
      </c>
    </row>
    <row r="192" spans="1:17" x14ac:dyDescent="0.4">
      <c r="A192" s="67">
        <v>189</v>
      </c>
      <c r="B192" s="64">
        <v>2337.6</v>
      </c>
      <c r="C192" s="64">
        <v>12.368253968253967</v>
      </c>
      <c r="D192" s="69">
        <v>1.7619047619047619</v>
      </c>
      <c r="E192" s="65">
        <v>0.48148148148148145</v>
      </c>
      <c r="F192" s="65">
        <v>0.24338624338624337</v>
      </c>
      <c r="G192" s="65">
        <v>0.34</v>
      </c>
      <c r="H192" s="65">
        <v>0.15096774193548387</v>
      </c>
      <c r="I192" s="66">
        <v>9226.944971537001</v>
      </c>
      <c r="J192" s="66">
        <v>-8168.8034188034189</v>
      </c>
      <c r="K192" s="65">
        <v>8.9947089947089942E-2</v>
      </c>
      <c r="L192" s="65">
        <v>0.1693121693121693</v>
      </c>
      <c r="M192" s="65">
        <v>0.30774193548387097</v>
      </c>
      <c r="N192" s="65">
        <v>0.21225806451612902</v>
      </c>
      <c r="O192" s="65">
        <v>0.5765199161425576</v>
      </c>
      <c r="P192" s="65">
        <v>0.52279635258358659</v>
      </c>
      <c r="Q192" s="65">
        <v>0.42125237191650855</v>
      </c>
    </row>
    <row r="193" spans="1:17" x14ac:dyDescent="0.4">
      <c r="A193" s="67">
        <v>190</v>
      </c>
      <c r="B193" s="64">
        <v>2335.6999999999998</v>
      </c>
      <c r="C193" s="64">
        <v>12.293157894736842</v>
      </c>
      <c r="D193" s="69">
        <v>1.763157894736842</v>
      </c>
      <c r="E193" s="65">
        <v>0.47894736842105262</v>
      </c>
      <c r="F193" s="65">
        <v>0.24210526315789474</v>
      </c>
      <c r="G193" s="65">
        <v>0.33911368015414256</v>
      </c>
      <c r="H193" s="65">
        <v>0.15093127809890816</v>
      </c>
      <c r="I193" s="66">
        <v>9224.621212121212</v>
      </c>
      <c r="J193" s="66">
        <v>-8150.6382978723404</v>
      </c>
      <c r="K193" s="65">
        <v>8.9473684210526316E-2</v>
      </c>
      <c r="L193" s="65">
        <v>0.16842105263157894</v>
      </c>
      <c r="M193" s="65">
        <v>0.30700064226075785</v>
      </c>
      <c r="N193" s="65">
        <v>0.21323057161207451</v>
      </c>
      <c r="O193" s="65">
        <v>0.57740585774058573</v>
      </c>
      <c r="P193" s="65">
        <v>0.51807228915662651</v>
      </c>
      <c r="Q193" s="65">
        <v>0.42045454545454547</v>
      </c>
    </row>
    <row r="194" spans="1:17" x14ac:dyDescent="0.4">
      <c r="A194" s="67">
        <v>191</v>
      </c>
      <c r="B194" s="64">
        <v>2390.1</v>
      </c>
      <c r="C194" s="64">
        <v>12.513612565445026</v>
      </c>
      <c r="D194" s="69">
        <v>1.7591623036649215</v>
      </c>
      <c r="E194" s="65">
        <v>0.48167539267015708</v>
      </c>
      <c r="F194" s="65">
        <v>0.24083769633507854</v>
      </c>
      <c r="G194" s="65">
        <v>0.34015345268542202</v>
      </c>
      <c r="H194" s="65">
        <v>0.15025575447570333</v>
      </c>
      <c r="I194" s="66">
        <v>9217.8571428571431</v>
      </c>
      <c r="J194" s="66">
        <v>-8150.6382978723404</v>
      </c>
      <c r="K194" s="65">
        <v>8.9005235602094238E-2</v>
      </c>
      <c r="L194" s="65">
        <v>0.17277486910994763</v>
      </c>
      <c r="M194" s="65">
        <v>0.30754475703324807</v>
      </c>
      <c r="N194" s="65">
        <v>0.21355498721227623</v>
      </c>
      <c r="O194" s="65">
        <v>0.57796257796257799</v>
      </c>
      <c r="P194" s="65">
        <v>0.52095808383233533</v>
      </c>
      <c r="Q194" s="65">
        <v>0.41729323308270677</v>
      </c>
    </row>
    <row r="195" spans="1:17" x14ac:dyDescent="0.4">
      <c r="A195" s="67">
        <v>192</v>
      </c>
      <c r="B195" s="64">
        <v>2392.9</v>
      </c>
      <c r="C195" s="64">
        <v>12.463020833333333</v>
      </c>
      <c r="D195" s="69">
        <v>1.7604166666666667</v>
      </c>
      <c r="E195" s="65">
        <v>0.47916666666666669</v>
      </c>
      <c r="F195" s="65">
        <v>0.23958333333333334</v>
      </c>
      <c r="G195" s="65">
        <v>0.33991088478676001</v>
      </c>
      <c r="H195" s="65">
        <v>0.15022278803309994</v>
      </c>
      <c r="I195" s="66">
        <v>9211.0486891385772</v>
      </c>
      <c r="J195" s="66">
        <v>-8124.5762711864409</v>
      </c>
      <c r="K195" s="65">
        <v>8.8541666666666671E-2</v>
      </c>
      <c r="L195" s="65">
        <v>0.171875</v>
      </c>
      <c r="M195" s="65">
        <v>0.30808402291534054</v>
      </c>
      <c r="N195" s="65">
        <v>0.21323997453851051</v>
      </c>
      <c r="O195" s="65">
        <v>0.57851239669421484</v>
      </c>
      <c r="P195" s="65">
        <v>0.5194029850746269</v>
      </c>
      <c r="Q195" s="65">
        <v>0.41760299625468167</v>
      </c>
    </row>
    <row r="196" spans="1:17" x14ac:dyDescent="0.4">
      <c r="A196" s="67">
        <v>193</v>
      </c>
      <c r="B196" s="64">
        <v>2389.8000000000002</v>
      </c>
      <c r="C196" s="64">
        <v>12.38238341968912</v>
      </c>
      <c r="D196" s="69">
        <v>1.7616580310880829</v>
      </c>
      <c r="E196" s="65">
        <v>0.47668393782383417</v>
      </c>
      <c r="F196" s="65">
        <v>0.23834196891191708</v>
      </c>
      <c r="G196" s="65">
        <v>0.33945535148828371</v>
      </c>
      <c r="H196" s="65">
        <v>0.15009499683343888</v>
      </c>
      <c r="I196" s="66">
        <v>9208.0223880597023</v>
      </c>
      <c r="J196" s="66">
        <v>-8117.2995780590718</v>
      </c>
      <c r="K196" s="65">
        <v>8.8082901554404139E-2</v>
      </c>
      <c r="L196" s="65">
        <v>0.17098445595854922</v>
      </c>
      <c r="M196" s="65">
        <v>0.30715642811906269</v>
      </c>
      <c r="N196" s="65">
        <v>0.21279290690310323</v>
      </c>
      <c r="O196" s="65">
        <v>0.57938144329896912</v>
      </c>
      <c r="P196" s="65">
        <v>0.52083333333333337</v>
      </c>
      <c r="Q196" s="65">
        <v>0.41791044776119401</v>
      </c>
    </row>
    <row r="197" spans="1:17" x14ac:dyDescent="0.4">
      <c r="A197" s="67">
        <v>194</v>
      </c>
      <c r="B197" s="64">
        <v>2355.3000000000002</v>
      </c>
      <c r="C197" s="64">
        <v>12.140721649484536</v>
      </c>
      <c r="D197" s="69">
        <v>1.768041237113402</v>
      </c>
      <c r="E197" s="65">
        <v>0.47422680412371132</v>
      </c>
      <c r="F197" s="65">
        <v>0.2422680412371134</v>
      </c>
      <c r="G197" s="65">
        <v>0.33880126182965298</v>
      </c>
      <c r="H197" s="65">
        <v>0.15078864353312302</v>
      </c>
      <c r="I197" s="66">
        <v>9213.2216014897585</v>
      </c>
      <c r="J197" s="66">
        <v>-8133.0543933054396</v>
      </c>
      <c r="K197" s="65">
        <v>8.7628865979381437E-2</v>
      </c>
      <c r="L197" s="65">
        <v>0.17010309278350516</v>
      </c>
      <c r="M197" s="65">
        <v>0.305993690851735</v>
      </c>
      <c r="N197" s="65">
        <v>0.21324921135646688</v>
      </c>
      <c r="O197" s="65">
        <v>0.57938144329896912</v>
      </c>
      <c r="P197" s="65">
        <v>0.52071005917159763</v>
      </c>
      <c r="Q197" s="65">
        <v>0.41899441340782123</v>
      </c>
    </row>
    <row r="198" spans="1:17" x14ac:dyDescent="0.4">
      <c r="A198" s="67">
        <v>195</v>
      </c>
      <c r="B198" s="64">
        <v>2406.4</v>
      </c>
      <c r="C198" s="64">
        <v>12.340512820512821</v>
      </c>
      <c r="D198" s="69">
        <v>1.7641025641025641</v>
      </c>
      <c r="E198" s="65">
        <v>0.47692307692307695</v>
      </c>
      <c r="F198" s="65">
        <v>0.24102564102564103</v>
      </c>
      <c r="G198" s="65">
        <v>0.33896185115697308</v>
      </c>
      <c r="H198" s="65">
        <v>0.15134459036898062</v>
      </c>
      <c r="I198" s="66">
        <v>9223.9852398523981</v>
      </c>
      <c r="J198" s="66">
        <v>-8085.9504132231405</v>
      </c>
      <c r="K198" s="65">
        <v>8.7179487179487175E-2</v>
      </c>
      <c r="L198" s="65">
        <v>0.16923076923076924</v>
      </c>
      <c r="M198" s="65">
        <v>0.30456535334584117</v>
      </c>
      <c r="N198" s="65">
        <v>0.21513445903689807</v>
      </c>
      <c r="O198" s="65">
        <v>0.58110882956878851</v>
      </c>
      <c r="P198" s="65">
        <v>0.51453488372093026</v>
      </c>
      <c r="Q198" s="65">
        <v>0.42066420664206644</v>
      </c>
    </row>
    <row r="199" spans="1:17" x14ac:dyDescent="0.4">
      <c r="A199" s="67">
        <v>196</v>
      </c>
      <c r="B199" s="64">
        <v>2442.9</v>
      </c>
      <c r="C199" s="64">
        <v>12.463775510204082</v>
      </c>
      <c r="D199" s="69">
        <v>1.760204081632653</v>
      </c>
      <c r="E199" s="65">
        <v>0.47959183673469385</v>
      </c>
      <c r="F199" s="65">
        <v>0.23979591836734693</v>
      </c>
      <c r="G199" s="65">
        <v>0.33871970167806092</v>
      </c>
      <c r="H199" s="65">
        <v>0.15102548166563082</v>
      </c>
      <c r="I199" s="66">
        <v>9226.0550458715588</v>
      </c>
      <c r="J199" s="66">
        <v>-8085.5967078189296</v>
      </c>
      <c r="K199" s="65">
        <v>8.673469387755102E-2</v>
      </c>
      <c r="L199" s="65">
        <v>0.1683673469387755</v>
      </c>
      <c r="M199" s="65">
        <v>0.30267246737103792</v>
      </c>
      <c r="N199" s="65">
        <v>0.21628340584213798</v>
      </c>
      <c r="O199" s="65">
        <v>0.58110882956878851</v>
      </c>
      <c r="P199" s="65">
        <v>0.51436781609195403</v>
      </c>
      <c r="Q199" s="65">
        <v>0.42018348623853213</v>
      </c>
    </row>
    <row r="200" spans="1:17" x14ac:dyDescent="0.4">
      <c r="A200" s="67">
        <v>197</v>
      </c>
      <c r="B200" s="64">
        <v>2485.4</v>
      </c>
      <c r="C200" s="64">
        <v>12.616243654822336</v>
      </c>
      <c r="D200" s="69">
        <v>1.7563451776649746</v>
      </c>
      <c r="E200" s="65">
        <v>0.48223350253807107</v>
      </c>
      <c r="F200" s="65">
        <v>0.23857868020304568</v>
      </c>
      <c r="G200" s="65">
        <v>0.33889919604205321</v>
      </c>
      <c r="H200" s="65">
        <v>0.15089672232529375</v>
      </c>
      <c r="I200" s="66">
        <v>9216.7883211678836</v>
      </c>
      <c r="J200" s="66">
        <v>-8060.6557377049185</v>
      </c>
      <c r="K200" s="65">
        <v>8.6294416243654817E-2</v>
      </c>
      <c r="L200" s="65">
        <v>0.16751269035532995</v>
      </c>
      <c r="M200" s="65">
        <v>0.30117501546072972</v>
      </c>
      <c r="N200" s="65">
        <v>0.21830550401978974</v>
      </c>
      <c r="O200" s="65">
        <v>0.58110882956878851</v>
      </c>
      <c r="P200" s="65">
        <v>0.5127478753541076</v>
      </c>
      <c r="Q200" s="65">
        <v>0.41970802919708028</v>
      </c>
    </row>
    <row r="201" spans="1:17" x14ac:dyDescent="0.4">
      <c r="A201" s="67">
        <v>198</v>
      </c>
      <c r="B201" s="64">
        <v>2519.9</v>
      </c>
      <c r="C201" s="64">
        <v>12.726767676767677</v>
      </c>
      <c r="D201" s="69">
        <v>1.7525252525252526</v>
      </c>
      <c r="E201" s="65">
        <v>0.48484848484848486</v>
      </c>
      <c r="F201" s="65">
        <v>0.23737373737373738</v>
      </c>
      <c r="G201" s="65">
        <v>0.33969230769230768</v>
      </c>
      <c r="H201" s="65">
        <v>0.15076923076923077</v>
      </c>
      <c r="I201" s="66">
        <v>9200.36231884058</v>
      </c>
      <c r="J201" s="66">
        <v>-8076.7346938775509</v>
      </c>
      <c r="K201" s="65">
        <v>8.5858585858585856E-2</v>
      </c>
      <c r="L201" s="65">
        <v>0.16666666666666666</v>
      </c>
      <c r="M201" s="65">
        <v>0.3009230769230769</v>
      </c>
      <c r="N201" s="65">
        <v>0.21907692307692309</v>
      </c>
      <c r="O201" s="65">
        <v>0.58077709611451944</v>
      </c>
      <c r="P201" s="65">
        <v>0.5168539325842697</v>
      </c>
      <c r="Q201" s="65">
        <v>0.41847826086956524</v>
      </c>
    </row>
    <row r="202" spans="1:17" x14ac:dyDescent="0.4">
      <c r="A202" s="67">
        <v>199</v>
      </c>
      <c r="B202" s="64">
        <v>2503.3000000000002</v>
      </c>
      <c r="C202" s="64">
        <v>12.579396984924625</v>
      </c>
      <c r="D202" s="69">
        <v>1.7537688442211055</v>
      </c>
      <c r="E202" s="65">
        <v>0.48241206030150752</v>
      </c>
      <c r="F202" s="65">
        <v>0.23618090452261306</v>
      </c>
      <c r="G202" s="65">
        <v>0.33844267320662169</v>
      </c>
      <c r="H202" s="65">
        <v>0.15082771305947271</v>
      </c>
      <c r="I202" s="66">
        <v>9200.36231884058</v>
      </c>
      <c r="J202" s="66">
        <v>-8091.0569105691056</v>
      </c>
      <c r="K202" s="65">
        <v>8.5427135678391955E-2</v>
      </c>
      <c r="L202" s="65">
        <v>0.16582914572864321</v>
      </c>
      <c r="M202" s="65">
        <v>0.30042918454935624</v>
      </c>
      <c r="N202" s="65">
        <v>0.21888412017167383</v>
      </c>
      <c r="O202" s="65">
        <v>0.57959183673469383</v>
      </c>
      <c r="P202" s="65">
        <v>0.51540616246498594</v>
      </c>
      <c r="Q202" s="65">
        <v>0.41847826086956524</v>
      </c>
    </row>
    <row r="203" spans="1:17" x14ac:dyDescent="0.4">
      <c r="A203" s="67">
        <v>200</v>
      </c>
      <c r="B203" s="64">
        <v>2466.9</v>
      </c>
      <c r="C203" s="64">
        <v>12.3345</v>
      </c>
      <c r="D203" s="69">
        <v>1.76</v>
      </c>
      <c r="E203" s="65">
        <v>0.48</v>
      </c>
      <c r="F203" s="65">
        <v>0.24</v>
      </c>
      <c r="G203" s="65">
        <v>0.33759902498476541</v>
      </c>
      <c r="H203" s="65">
        <v>0.15112736136502133</v>
      </c>
      <c r="I203" s="66">
        <v>9186.6425992779787</v>
      </c>
      <c r="J203" s="66">
        <v>-8100.8064516129034</v>
      </c>
      <c r="K203" s="65">
        <v>8.5000000000000006E-2</v>
      </c>
      <c r="L203" s="65">
        <v>0.16500000000000001</v>
      </c>
      <c r="M203" s="65">
        <v>0.30103595368677638</v>
      </c>
      <c r="N203" s="65">
        <v>0.21937842778793418</v>
      </c>
      <c r="O203" s="65">
        <v>0.57894736842105265</v>
      </c>
      <c r="P203" s="65">
        <v>0.51111111111111107</v>
      </c>
      <c r="Q203" s="65">
        <v>0.41877256317689532</v>
      </c>
    </row>
    <row r="204" spans="1:17" x14ac:dyDescent="0.4">
      <c r="A204" s="67">
        <v>201</v>
      </c>
      <c r="B204" s="64">
        <v>2528.5</v>
      </c>
      <c r="C204" s="64">
        <v>12.579601990049751</v>
      </c>
      <c r="D204" s="69">
        <v>1.7562189054726369</v>
      </c>
      <c r="E204" s="65">
        <v>0.48258706467661694</v>
      </c>
      <c r="F204" s="65">
        <v>0.23880597014925373</v>
      </c>
      <c r="G204" s="65">
        <v>0.33818181818181819</v>
      </c>
      <c r="H204" s="65">
        <v>0.1503030303030303</v>
      </c>
      <c r="I204" s="66">
        <v>9182.2580645161288</v>
      </c>
      <c r="J204" s="66">
        <v>-8100.8064516129034</v>
      </c>
      <c r="K204" s="65">
        <v>8.45771144278607E-2</v>
      </c>
      <c r="L204" s="65">
        <v>0.16417910447761194</v>
      </c>
      <c r="M204" s="65">
        <v>0.30242424242424243</v>
      </c>
      <c r="N204" s="65">
        <v>0.21939393939393939</v>
      </c>
      <c r="O204" s="65">
        <v>0.58116232464929862</v>
      </c>
      <c r="P204" s="65">
        <v>0.50828729281767959</v>
      </c>
      <c r="Q204" s="65">
        <v>0.41935483870967744</v>
      </c>
    </row>
    <row r="205" spans="1:17" x14ac:dyDescent="0.4">
      <c r="A205" s="67">
        <v>202</v>
      </c>
      <c r="B205" s="64">
        <v>2521.3000000000002</v>
      </c>
      <c r="C205" s="64">
        <v>12.481683168316833</v>
      </c>
      <c r="D205" s="69">
        <v>1.7574257425742574</v>
      </c>
      <c r="E205" s="65">
        <v>0.48019801980198018</v>
      </c>
      <c r="F205" s="65">
        <v>0.23762376237623761</v>
      </c>
      <c r="G205" s="65">
        <v>0.33796016898008446</v>
      </c>
      <c r="H205" s="65">
        <v>0.14966807483403741</v>
      </c>
      <c r="I205" s="66">
        <v>9167.5</v>
      </c>
      <c r="J205" s="66">
        <v>-8100.8064516129034</v>
      </c>
      <c r="K205" s="65">
        <v>8.4158415841584164E-2</v>
      </c>
      <c r="L205" s="65">
        <v>0.16336633663366337</v>
      </c>
      <c r="M205" s="65">
        <v>0.30235365117682561</v>
      </c>
      <c r="N205" s="65">
        <v>0.21907060953530477</v>
      </c>
      <c r="O205" s="65">
        <v>0.58083832335329344</v>
      </c>
      <c r="P205" s="65">
        <v>0.50688705234159781</v>
      </c>
      <c r="Q205" s="65">
        <v>0.42142857142857143</v>
      </c>
    </row>
    <row r="206" spans="1:17" x14ac:dyDescent="0.4">
      <c r="A206" s="67">
        <v>203</v>
      </c>
      <c r="B206" s="64">
        <v>2568.6000000000004</v>
      </c>
      <c r="C206" s="64">
        <v>12.653201970443352</v>
      </c>
      <c r="D206" s="69">
        <v>1.7536945812807883</v>
      </c>
      <c r="E206" s="65">
        <v>0.48275862068965519</v>
      </c>
      <c r="F206" s="65">
        <v>0.23645320197044334</v>
      </c>
      <c r="G206" s="65">
        <v>0.33814681107099881</v>
      </c>
      <c r="H206" s="65">
        <v>0.14981949458483754</v>
      </c>
      <c r="I206" s="66">
        <v>9202.1352313167263</v>
      </c>
      <c r="J206" s="66">
        <v>-8116.4658634538155</v>
      </c>
      <c r="K206" s="65">
        <v>8.3743842364532015E-2</v>
      </c>
      <c r="L206" s="65">
        <v>0.16748768472906403</v>
      </c>
      <c r="M206" s="65">
        <v>0.30144404332129965</v>
      </c>
      <c r="N206" s="65">
        <v>0.21961492178098677</v>
      </c>
      <c r="O206" s="65">
        <v>0.58083832335329344</v>
      </c>
      <c r="P206" s="65">
        <v>0.50684931506849318</v>
      </c>
      <c r="Q206" s="65">
        <v>0.41992882562277578</v>
      </c>
    </row>
    <row r="207" spans="1:17" x14ac:dyDescent="0.4">
      <c r="A207" s="67">
        <v>204</v>
      </c>
      <c r="B207" s="64">
        <v>2629.6000000000004</v>
      </c>
      <c r="C207" s="64">
        <v>12.890196078431375</v>
      </c>
      <c r="D207" s="69">
        <v>1.75</v>
      </c>
      <c r="E207" s="65">
        <v>0.48529411764705882</v>
      </c>
      <c r="F207" s="65">
        <v>0.23529411764705882</v>
      </c>
      <c r="G207" s="65">
        <v>0.33950986252241483</v>
      </c>
      <c r="H207" s="65">
        <v>0.15002988643156007</v>
      </c>
      <c r="I207" s="66">
        <v>9216.7253521126768</v>
      </c>
      <c r="J207" s="66">
        <v>-8120.3187250996016</v>
      </c>
      <c r="K207" s="65">
        <v>8.3333333333333329E-2</v>
      </c>
      <c r="L207" s="65">
        <v>0.16666666666666666</v>
      </c>
      <c r="M207" s="65">
        <v>0.3030484160191273</v>
      </c>
      <c r="N207" s="65">
        <v>0.22056186491332935</v>
      </c>
      <c r="O207" s="65">
        <v>0.5818540433925049</v>
      </c>
      <c r="P207" s="65">
        <v>0.50677506775067749</v>
      </c>
      <c r="Q207" s="65">
        <v>0.41725352112676056</v>
      </c>
    </row>
    <row r="208" spans="1:17" x14ac:dyDescent="0.4">
      <c r="A208" s="67">
        <v>205</v>
      </c>
      <c r="B208" s="64">
        <v>2674.5000000000005</v>
      </c>
      <c r="C208" s="64">
        <v>13.046341463414636</v>
      </c>
      <c r="D208" s="69">
        <v>1.7463414634146341</v>
      </c>
      <c r="E208" s="65">
        <v>0.48780487804878048</v>
      </c>
      <c r="F208" s="65">
        <v>0.23414634146341465</v>
      </c>
      <c r="G208" s="65">
        <v>0.33988095238095239</v>
      </c>
      <c r="H208" s="65">
        <v>0.15</v>
      </c>
      <c r="I208" s="66">
        <v>9217.1628721541165</v>
      </c>
      <c r="J208" s="66">
        <v>-8108.730158730159</v>
      </c>
      <c r="K208" s="65">
        <v>8.2926829268292687E-2</v>
      </c>
      <c r="L208" s="65">
        <v>0.17073170731707318</v>
      </c>
      <c r="M208" s="65">
        <v>0.30476190476190479</v>
      </c>
      <c r="N208" s="65">
        <v>0.21964285714285714</v>
      </c>
      <c r="O208" s="65">
        <v>0.58203125</v>
      </c>
      <c r="P208" s="65">
        <v>0.50677506775067749</v>
      </c>
      <c r="Q208" s="65">
        <v>0.41856392294220668</v>
      </c>
    </row>
    <row r="209" spans="1:17" x14ac:dyDescent="0.4">
      <c r="A209" s="67">
        <v>206</v>
      </c>
      <c r="B209" s="64">
        <v>2726.5000000000005</v>
      </c>
      <c r="C209" s="64">
        <v>13.235436893203886</v>
      </c>
      <c r="D209" s="69">
        <v>1.7427184466019416</v>
      </c>
      <c r="E209" s="65">
        <v>0.49029126213592233</v>
      </c>
      <c r="F209" s="65">
        <v>0.23300970873786409</v>
      </c>
      <c r="G209" s="65">
        <v>0.34104389086595494</v>
      </c>
      <c r="H209" s="65">
        <v>0.1494661921708185</v>
      </c>
      <c r="I209" s="66">
        <v>9215.652173913044</v>
      </c>
      <c r="J209" s="66">
        <v>-8108.730158730159</v>
      </c>
      <c r="K209" s="65">
        <v>8.2524271844660199E-2</v>
      </c>
      <c r="L209" s="65">
        <v>0.17475728155339806</v>
      </c>
      <c r="M209" s="65">
        <v>0.30545670225385529</v>
      </c>
      <c r="N209" s="65">
        <v>0.22004744958481615</v>
      </c>
      <c r="O209" s="65">
        <v>0.58446601941747578</v>
      </c>
      <c r="P209" s="65">
        <v>0.50673854447439348</v>
      </c>
      <c r="Q209" s="65">
        <v>0.4191304347826087</v>
      </c>
    </row>
    <row r="210" spans="1:17" x14ac:dyDescent="0.4">
      <c r="A210" s="67">
        <v>207</v>
      </c>
      <c r="B210" s="64">
        <v>2661.5000000000005</v>
      </c>
      <c r="C210" s="64">
        <v>12.857487922705316</v>
      </c>
      <c r="D210" s="69">
        <v>1.748792270531401</v>
      </c>
      <c r="E210" s="65">
        <v>0.48792270531400966</v>
      </c>
      <c r="F210" s="65">
        <v>0.23671497584541062</v>
      </c>
      <c r="G210" s="65">
        <v>0.34063981042654029</v>
      </c>
      <c r="H210" s="65">
        <v>0.1504739336492891</v>
      </c>
      <c r="I210" s="66">
        <v>9215.652173913044</v>
      </c>
      <c r="J210" s="66">
        <v>-8210.2362204724413</v>
      </c>
      <c r="K210" s="65">
        <v>8.6956521739130432E-2</v>
      </c>
      <c r="L210" s="65">
        <v>0.17391304347826086</v>
      </c>
      <c r="M210" s="65">
        <v>0.30627962085308058</v>
      </c>
      <c r="N210" s="65">
        <v>0.21978672985781991</v>
      </c>
      <c r="O210" s="65">
        <v>0.58220502901353965</v>
      </c>
      <c r="P210" s="65">
        <v>0.50673854447439348</v>
      </c>
      <c r="Q210" s="65">
        <v>0.4191304347826087</v>
      </c>
    </row>
    <row r="211" spans="1:17" x14ac:dyDescent="0.4">
      <c r="A211" s="67">
        <v>208</v>
      </c>
      <c r="B211" s="64">
        <v>2614.7000000000003</v>
      </c>
      <c r="C211" s="64">
        <v>12.570673076923079</v>
      </c>
      <c r="D211" s="69">
        <v>1.7548076923076923</v>
      </c>
      <c r="E211" s="65">
        <v>0.48557692307692307</v>
      </c>
      <c r="F211" s="65">
        <v>0.24038461538461539</v>
      </c>
      <c r="G211" s="65">
        <v>0.3400236127508855</v>
      </c>
      <c r="H211" s="65">
        <v>0.1511216056670602</v>
      </c>
      <c r="I211" s="66">
        <v>9227.4305555555547</v>
      </c>
      <c r="J211" s="66">
        <v>-8317.96875</v>
      </c>
      <c r="K211" s="65">
        <v>8.6538461538461536E-2</v>
      </c>
      <c r="L211" s="65">
        <v>0.17307692307692307</v>
      </c>
      <c r="M211" s="65">
        <v>0.30637544273907913</v>
      </c>
      <c r="N211" s="65">
        <v>0.22077922077922077</v>
      </c>
      <c r="O211" s="65">
        <v>0.58188824662813099</v>
      </c>
      <c r="P211" s="65">
        <v>0.50267379679144386</v>
      </c>
      <c r="Q211" s="65">
        <v>0.4201388888888889</v>
      </c>
    </row>
    <row r="212" spans="1:17" x14ac:dyDescent="0.4">
      <c r="A212" s="67">
        <v>209</v>
      </c>
      <c r="B212" s="64">
        <v>2661.7000000000003</v>
      </c>
      <c r="C212" s="64">
        <v>12.735406698564594</v>
      </c>
      <c r="D212" s="69">
        <v>1.7511961722488039</v>
      </c>
      <c r="E212" s="65">
        <v>0.48803827751196172</v>
      </c>
      <c r="F212" s="65">
        <v>0.23923444976076555</v>
      </c>
      <c r="G212" s="65">
        <v>0.34020011771630371</v>
      </c>
      <c r="H212" s="65">
        <v>0.15067686874632136</v>
      </c>
      <c r="I212" s="66">
        <v>9250.8650519031144</v>
      </c>
      <c r="J212" s="66">
        <v>-8317.96875</v>
      </c>
      <c r="K212" s="65">
        <v>8.6124401913875603E-2</v>
      </c>
      <c r="L212" s="65">
        <v>0.17703349282296652</v>
      </c>
      <c r="M212" s="65">
        <v>0.30606238964096527</v>
      </c>
      <c r="N212" s="65">
        <v>0.22071806945261918</v>
      </c>
      <c r="O212" s="65">
        <v>0.58269230769230773</v>
      </c>
      <c r="P212" s="65">
        <v>0.504</v>
      </c>
      <c r="Q212" s="65">
        <v>0.41868512110726641</v>
      </c>
    </row>
    <row r="213" spans="1:17" x14ac:dyDescent="0.4">
      <c r="A213" s="67">
        <v>210</v>
      </c>
      <c r="B213" s="64">
        <v>2614.7000000000003</v>
      </c>
      <c r="C213" s="64">
        <v>12.450952380952382</v>
      </c>
      <c r="D213" s="69">
        <v>1.7571428571428571</v>
      </c>
      <c r="E213" s="65">
        <v>0.48571428571428571</v>
      </c>
      <c r="F213" s="65">
        <v>0.24285714285714285</v>
      </c>
      <c r="G213" s="65">
        <v>0.33939038686987105</v>
      </c>
      <c r="H213" s="65">
        <v>0.15064478311840562</v>
      </c>
      <c r="I213" s="66">
        <v>9241.7962003454231</v>
      </c>
      <c r="J213" s="66">
        <v>-8332.2957198443582</v>
      </c>
      <c r="K213" s="65">
        <v>8.5714285714285715E-2</v>
      </c>
      <c r="L213" s="65">
        <v>0.1761904761904762</v>
      </c>
      <c r="M213" s="65">
        <v>0.30480656506447829</v>
      </c>
      <c r="N213" s="65">
        <v>0.22039859320046892</v>
      </c>
      <c r="O213" s="65">
        <v>0.58269230769230773</v>
      </c>
      <c r="P213" s="65">
        <v>0.50265957446808507</v>
      </c>
      <c r="Q213" s="65">
        <v>0.41968911917098445</v>
      </c>
    </row>
    <row r="214" spans="1:17" x14ac:dyDescent="0.4">
      <c r="A214" s="67">
        <v>211</v>
      </c>
      <c r="B214" s="64">
        <v>2588.4</v>
      </c>
      <c r="C214" s="64">
        <v>12.267298578199053</v>
      </c>
      <c r="D214" s="69">
        <v>1.7630331753554502</v>
      </c>
      <c r="E214" s="65">
        <v>0.48341232227488151</v>
      </c>
      <c r="F214" s="65">
        <v>0.24644549763033174</v>
      </c>
      <c r="G214" s="65">
        <v>0.33779069767441861</v>
      </c>
      <c r="H214" s="65">
        <v>0.15058139534883722</v>
      </c>
      <c r="I214" s="66">
        <v>9261.6179001721175</v>
      </c>
      <c r="J214" s="66">
        <v>-8280.6949806949815</v>
      </c>
      <c r="K214" s="65">
        <v>8.5308056872037921E-2</v>
      </c>
      <c r="L214" s="65">
        <v>0.17535545023696683</v>
      </c>
      <c r="M214" s="65">
        <v>0.30523255813953487</v>
      </c>
      <c r="N214" s="65">
        <v>0.21976744186046512</v>
      </c>
      <c r="O214" s="65">
        <v>0.580952380952381</v>
      </c>
      <c r="P214" s="65">
        <v>0.5</v>
      </c>
      <c r="Q214" s="65">
        <v>0.41996557659208261</v>
      </c>
    </row>
    <row r="215" spans="1:17" x14ac:dyDescent="0.4">
      <c r="A215" s="67">
        <v>212</v>
      </c>
      <c r="B215" s="64">
        <v>2645.9</v>
      </c>
      <c r="C215" s="64">
        <v>12.480660377358491</v>
      </c>
      <c r="D215" s="69">
        <v>1.7594339622641511</v>
      </c>
      <c r="E215" s="65">
        <v>0.48584905660377359</v>
      </c>
      <c r="F215" s="65">
        <v>0.24528301886792453</v>
      </c>
      <c r="G215" s="65">
        <v>0.33815028901734107</v>
      </c>
      <c r="H215" s="65">
        <v>0.15028901734104047</v>
      </c>
      <c r="I215" s="66">
        <v>9266.6666666666661</v>
      </c>
      <c r="J215" s="66">
        <v>-8279.6153846153848</v>
      </c>
      <c r="K215" s="65">
        <v>8.4905660377358486E-2</v>
      </c>
      <c r="L215" s="65">
        <v>0.17452830188679244</v>
      </c>
      <c r="M215" s="65">
        <v>0.30578034682080923</v>
      </c>
      <c r="N215" s="65">
        <v>0.21907514450867052</v>
      </c>
      <c r="O215" s="65">
        <v>0.58412098298676751</v>
      </c>
      <c r="P215" s="65">
        <v>0.49868073878627966</v>
      </c>
      <c r="Q215" s="65">
        <v>0.42222222222222222</v>
      </c>
    </row>
    <row r="216" spans="1:17" x14ac:dyDescent="0.4">
      <c r="A216" s="67">
        <v>213</v>
      </c>
      <c r="B216" s="64">
        <v>2670.7000000000003</v>
      </c>
      <c r="C216" s="64">
        <v>12.53849765258216</v>
      </c>
      <c r="D216" s="69">
        <v>1.755868544600939</v>
      </c>
      <c r="E216" s="65">
        <v>0.48826291079812206</v>
      </c>
      <c r="F216" s="65">
        <v>0.24413145539906103</v>
      </c>
      <c r="G216" s="65">
        <v>0.33870040253018974</v>
      </c>
      <c r="H216" s="65">
        <v>0.14951121334100057</v>
      </c>
      <c r="I216" s="66">
        <v>9249.2359932088293</v>
      </c>
      <c r="J216" s="66">
        <v>-8279.6153846153848</v>
      </c>
      <c r="K216" s="65">
        <v>8.4507042253521125E-2</v>
      </c>
      <c r="L216" s="65">
        <v>0.17370892018779344</v>
      </c>
      <c r="M216" s="65">
        <v>0.30592294422081656</v>
      </c>
      <c r="N216" s="65">
        <v>0.22024151811385853</v>
      </c>
      <c r="O216" s="65">
        <v>0.58270676691729328</v>
      </c>
      <c r="P216" s="65">
        <v>0.50130548302872058</v>
      </c>
      <c r="Q216" s="65">
        <v>0.41935483870967744</v>
      </c>
    </row>
    <row r="217" spans="1:17" x14ac:dyDescent="0.4">
      <c r="A217" s="67">
        <v>214</v>
      </c>
      <c r="B217" s="64">
        <v>2623.6000000000004</v>
      </c>
      <c r="C217" s="64">
        <v>12.259813084112151</v>
      </c>
      <c r="D217" s="69">
        <v>1.7616822429906542</v>
      </c>
      <c r="E217" s="65">
        <v>0.48598130841121495</v>
      </c>
      <c r="F217" s="65">
        <v>0.24766355140186916</v>
      </c>
      <c r="G217" s="65">
        <v>0.33771428571428569</v>
      </c>
      <c r="H217" s="65">
        <v>0.14971428571428572</v>
      </c>
      <c r="I217" s="66">
        <v>9238.0710659898468</v>
      </c>
      <c r="J217" s="66">
        <v>-8308.0152671755732</v>
      </c>
      <c r="K217" s="65">
        <v>8.4112149532710276E-2</v>
      </c>
      <c r="L217" s="65">
        <v>0.17289719626168223</v>
      </c>
      <c r="M217" s="65">
        <v>0.30514285714285716</v>
      </c>
      <c r="N217" s="65">
        <v>0.22</v>
      </c>
      <c r="O217" s="65">
        <v>0.58052434456928836</v>
      </c>
      <c r="P217" s="65">
        <v>0.50389610389610384</v>
      </c>
      <c r="Q217" s="65">
        <v>0.41793570219966159</v>
      </c>
    </row>
    <row r="218" spans="1:17" x14ac:dyDescent="0.4">
      <c r="A218" s="67">
        <v>215</v>
      </c>
      <c r="B218" s="64">
        <v>2676.6000000000004</v>
      </c>
      <c r="C218" s="64">
        <v>12.449302325581398</v>
      </c>
      <c r="D218" s="69">
        <v>1.758139534883721</v>
      </c>
      <c r="E218" s="65">
        <v>0.48837209302325579</v>
      </c>
      <c r="F218" s="65">
        <v>0.24651162790697675</v>
      </c>
      <c r="G218" s="65">
        <v>0.33826879271070615</v>
      </c>
      <c r="H218" s="65">
        <v>0.15034168564920272</v>
      </c>
      <c r="I218" s="66">
        <v>9260.7744107744111</v>
      </c>
      <c r="J218" s="66">
        <v>-8268.560606060606</v>
      </c>
      <c r="K218" s="65">
        <v>8.3720930232558138E-2</v>
      </c>
      <c r="L218" s="65">
        <v>0.17209302325581396</v>
      </c>
      <c r="M218" s="65">
        <v>0.30466970387243736</v>
      </c>
      <c r="N218" s="65">
        <v>0.2203872437357631</v>
      </c>
      <c r="O218" s="65">
        <v>0.58130841121495325</v>
      </c>
      <c r="P218" s="65">
        <v>0.50129198966408273</v>
      </c>
      <c r="Q218" s="65">
        <v>0.41919191919191917</v>
      </c>
    </row>
    <row r="219" spans="1:17" x14ac:dyDescent="0.4">
      <c r="A219" s="67">
        <v>216</v>
      </c>
      <c r="B219" s="64">
        <v>2671.2000000000003</v>
      </c>
      <c r="C219" s="64">
        <v>12.366666666666667</v>
      </c>
      <c r="D219" s="69">
        <v>1.7592592592592593</v>
      </c>
      <c r="E219" s="65">
        <v>0.4861111111111111</v>
      </c>
      <c r="F219" s="65">
        <v>0.24537037037037038</v>
      </c>
      <c r="G219" s="65">
        <v>0.33806012478729436</v>
      </c>
      <c r="H219" s="65">
        <v>0.15087918321043675</v>
      </c>
      <c r="I219" s="66">
        <v>9246.9798657718129</v>
      </c>
      <c r="J219" s="66">
        <v>-8242.8571428571431</v>
      </c>
      <c r="K219" s="65">
        <v>8.3333333333333329E-2</v>
      </c>
      <c r="L219" s="65">
        <v>0.17129629629629631</v>
      </c>
      <c r="M219" s="65">
        <v>0.30459444129325014</v>
      </c>
      <c r="N219" s="65">
        <v>0.21951219512195122</v>
      </c>
      <c r="O219" s="65">
        <v>0.58286778398510242</v>
      </c>
      <c r="P219" s="65">
        <v>0.50129198966408273</v>
      </c>
      <c r="Q219" s="65">
        <v>0.41946308724832215</v>
      </c>
    </row>
    <row r="220" spans="1:17" x14ac:dyDescent="0.4">
      <c r="A220" s="67">
        <v>217</v>
      </c>
      <c r="B220" s="64">
        <v>2672.1000000000004</v>
      </c>
      <c r="C220" s="64">
        <v>12.313824884792629</v>
      </c>
      <c r="D220" s="69">
        <v>1.76036866359447</v>
      </c>
      <c r="E220" s="65">
        <v>0.4838709677419355</v>
      </c>
      <c r="F220" s="65">
        <v>0.24423963133640553</v>
      </c>
      <c r="G220" s="65">
        <v>0.33709131905298761</v>
      </c>
      <c r="H220" s="65">
        <v>0.15050732807215333</v>
      </c>
      <c r="I220" s="66">
        <v>9251.0033444816054</v>
      </c>
      <c r="J220" s="66">
        <v>-8219.4756554307114</v>
      </c>
      <c r="K220" s="65">
        <v>8.294930875576037E-2</v>
      </c>
      <c r="L220" s="65">
        <v>0.17050691244239632</v>
      </c>
      <c r="M220" s="65">
        <v>0.30270574971815106</v>
      </c>
      <c r="N220" s="65">
        <v>0.21871476888387825</v>
      </c>
      <c r="O220" s="65">
        <v>0.58286778398510242</v>
      </c>
      <c r="P220" s="65">
        <v>0.50257731958762886</v>
      </c>
      <c r="Q220" s="65">
        <v>0.41806020066889632</v>
      </c>
    </row>
    <row r="221" spans="1:17" x14ac:dyDescent="0.4">
      <c r="A221" s="67">
        <v>218</v>
      </c>
      <c r="B221" s="64">
        <v>2684.2000000000003</v>
      </c>
      <c r="C221" s="64">
        <v>12.31284403669725</v>
      </c>
      <c r="D221" s="69">
        <v>1.761467889908257</v>
      </c>
      <c r="E221" s="65">
        <v>0.48165137614678899</v>
      </c>
      <c r="F221" s="65">
        <v>0.24311926605504589</v>
      </c>
      <c r="G221" s="65">
        <v>0.33670033670033672</v>
      </c>
      <c r="H221" s="65">
        <v>0.14983164983164984</v>
      </c>
      <c r="I221" s="66">
        <v>9236.1666666666661</v>
      </c>
      <c r="J221" s="66">
        <v>-8219.4756554307114</v>
      </c>
      <c r="K221" s="65">
        <v>8.2568807339449546E-2</v>
      </c>
      <c r="L221" s="65">
        <v>0.16972477064220184</v>
      </c>
      <c r="M221" s="65">
        <v>0.30190796857463525</v>
      </c>
      <c r="N221" s="65">
        <v>0.21885521885521886</v>
      </c>
      <c r="O221" s="65">
        <v>0.58364312267657992</v>
      </c>
      <c r="P221" s="65">
        <v>0.5</v>
      </c>
      <c r="Q221" s="65">
        <v>0.41666666666666669</v>
      </c>
    </row>
    <row r="222" spans="1:17" x14ac:dyDescent="0.4">
      <c r="A222" s="67">
        <v>219</v>
      </c>
      <c r="B222" s="64">
        <v>2746.9</v>
      </c>
      <c r="C222" s="64">
        <v>12.542922374429224</v>
      </c>
      <c r="D222" s="69">
        <v>1.7579908675799087</v>
      </c>
      <c r="E222" s="65">
        <v>0.48401826484018262</v>
      </c>
      <c r="F222" s="65">
        <v>0.24200913242009131</v>
      </c>
      <c r="G222" s="65">
        <v>0.33742331288343558</v>
      </c>
      <c r="H222" s="65">
        <v>0.14947016174010039</v>
      </c>
      <c r="I222" s="66">
        <v>9240.6611570247933</v>
      </c>
      <c r="J222" s="66">
        <v>-8208.2089552238813</v>
      </c>
      <c r="K222" s="65">
        <v>8.2191780821917804E-2</v>
      </c>
      <c r="L222" s="65">
        <v>0.16894977168949771</v>
      </c>
      <c r="M222" s="65">
        <v>0.30228667038482987</v>
      </c>
      <c r="N222" s="65">
        <v>0.21862799776910205</v>
      </c>
      <c r="O222" s="65">
        <v>0.58487084870848705</v>
      </c>
      <c r="P222" s="65">
        <v>0.5</v>
      </c>
      <c r="Q222" s="65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CE19-5E17-4DED-969A-AA5C8B7F16E8}">
  <sheetPr codeName="Sheet6"/>
  <dimension ref="A1:Q345"/>
  <sheetViews>
    <sheetView workbookViewId="0"/>
  </sheetViews>
  <sheetFormatPr defaultColWidth="10.75" defaultRowHeight="18.75" x14ac:dyDescent="0.4"/>
  <cols>
    <col min="1" max="1" width="10.75" style="67"/>
    <col min="2" max="3" width="10.75" style="64"/>
    <col min="4" max="4" width="10.75" style="69"/>
    <col min="5" max="8" width="10.75" style="65"/>
    <col min="9" max="10" width="10.75" style="66"/>
    <col min="11" max="17" width="10.75" style="65"/>
    <col min="18" max="16384" width="10.75" style="68"/>
  </cols>
  <sheetData>
    <row r="1" spans="1:17" x14ac:dyDescent="0.4">
      <c r="A1" s="68" t="s">
        <v>145</v>
      </c>
      <c r="B1" s="68" t="s">
        <v>145</v>
      </c>
      <c r="C1" s="68" t="s">
        <v>145</v>
      </c>
      <c r="D1" s="69" t="s">
        <v>145</v>
      </c>
      <c r="E1" s="68" t="s">
        <v>145</v>
      </c>
      <c r="F1" s="68" t="s">
        <v>145</v>
      </c>
      <c r="G1" s="68" t="s">
        <v>145</v>
      </c>
      <c r="H1" s="68" t="s">
        <v>145</v>
      </c>
      <c r="I1" s="68" t="s">
        <v>145</v>
      </c>
      <c r="J1" s="68" t="s">
        <v>145</v>
      </c>
      <c r="K1" s="68" t="s">
        <v>145</v>
      </c>
      <c r="L1" s="68" t="s">
        <v>145</v>
      </c>
      <c r="M1" s="68" t="s">
        <v>145</v>
      </c>
      <c r="N1" s="68" t="s">
        <v>145</v>
      </c>
      <c r="O1" s="68" t="s">
        <v>145</v>
      </c>
      <c r="P1" s="68" t="s">
        <v>145</v>
      </c>
      <c r="Q1" s="68" t="s">
        <v>145</v>
      </c>
    </row>
    <row r="2" spans="1:17" x14ac:dyDescent="0.4">
      <c r="A2" s="68" t="s">
        <v>9</v>
      </c>
      <c r="B2" s="68" t="s">
        <v>6</v>
      </c>
      <c r="C2" s="68" t="s">
        <v>7</v>
      </c>
      <c r="D2" s="69" t="s">
        <v>16</v>
      </c>
      <c r="E2" s="68" t="s">
        <v>15</v>
      </c>
      <c r="F2" s="68" t="s">
        <v>162</v>
      </c>
      <c r="G2" s="68" t="s">
        <v>147</v>
      </c>
      <c r="H2" s="68" t="s">
        <v>146</v>
      </c>
      <c r="I2" s="68" t="s">
        <v>5</v>
      </c>
      <c r="J2" s="68" t="s">
        <v>17</v>
      </c>
      <c r="K2" s="68" t="s">
        <v>18</v>
      </c>
      <c r="L2" s="68" t="s">
        <v>141</v>
      </c>
      <c r="M2" s="68" t="s">
        <v>123</v>
      </c>
      <c r="N2" s="68" t="s">
        <v>120</v>
      </c>
      <c r="O2" s="68" t="s">
        <v>126</v>
      </c>
      <c r="P2" s="68" t="s">
        <v>148</v>
      </c>
      <c r="Q2" s="68" t="s">
        <v>144</v>
      </c>
    </row>
    <row r="3" spans="1:17" x14ac:dyDescent="0.4">
      <c r="A3" s="67">
        <v>0</v>
      </c>
      <c r="B3" s="64">
        <v>0</v>
      </c>
    </row>
    <row r="4" spans="1:17" x14ac:dyDescent="0.4">
      <c r="A4" s="67">
        <v>1</v>
      </c>
      <c r="B4" s="64">
        <v>0</v>
      </c>
      <c r="C4" s="64">
        <v>0</v>
      </c>
      <c r="D4" s="69">
        <v>2</v>
      </c>
      <c r="E4" s="65">
        <v>0.33333333333333331</v>
      </c>
      <c r="F4" s="65">
        <v>0.33333333333333331</v>
      </c>
      <c r="G4" s="65">
        <v>0.33333333333333331</v>
      </c>
      <c r="H4" s="65">
        <v>0.22222222222222221</v>
      </c>
      <c r="I4" s="66">
        <v>10416.666666666666</v>
      </c>
      <c r="J4" s="66">
        <v>-11925</v>
      </c>
      <c r="K4" s="65">
        <v>0</v>
      </c>
      <c r="L4" s="65">
        <v>0</v>
      </c>
      <c r="M4" s="65">
        <v>0.33333333333333331</v>
      </c>
      <c r="N4" s="65">
        <v>0.22222222222222221</v>
      </c>
      <c r="O4" s="65">
        <v>1</v>
      </c>
      <c r="P4" s="65">
        <v>0</v>
      </c>
      <c r="Q4" s="65">
        <v>0.33333333333333331</v>
      </c>
    </row>
    <row r="5" spans="1:17" x14ac:dyDescent="0.4">
      <c r="A5" s="67">
        <v>2</v>
      </c>
      <c r="B5" s="64">
        <v>0</v>
      </c>
      <c r="C5" s="64">
        <v>0</v>
      </c>
      <c r="D5" s="69">
        <v>2</v>
      </c>
      <c r="E5" s="65">
        <v>0.33333333333333331</v>
      </c>
      <c r="F5" s="65">
        <v>0.33333333333333331</v>
      </c>
      <c r="G5" s="65">
        <v>0.33333333333333331</v>
      </c>
      <c r="H5" s="65">
        <v>0.22916666666666666</v>
      </c>
      <c r="I5" s="66">
        <v>10068.75</v>
      </c>
      <c r="J5" s="66">
        <v>-9845.454545454546</v>
      </c>
      <c r="K5" s="65">
        <v>0</v>
      </c>
      <c r="L5" s="65">
        <v>0</v>
      </c>
      <c r="M5" s="65">
        <v>0.33333333333333331</v>
      </c>
      <c r="N5" s="65">
        <v>0.25</v>
      </c>
      <c r="O5" s="65">
        <v>0.6875</v>
      </c>
      <c r="P5" s="65">
        <v>0.33333333333333331</v>
      </c>
      <c r="Q5" s="65">
        <v>0.3125</v>
      </c>
    </row>
    <row r="6" spans="1:17" x14ac:dyDescent="0.4">
      <c r="A6" s="67">
        <v>3</v>
      </c>
      <c r="B6" s="64">
        <v>-3.5527136788005009E-15</v>
      </c>
      <c r="C6" s="64">
        <v>-3.9474596431116675E-16</v>
      </c>
      <c r="D6" s="69">
        <v>2</v>
      </c>
      <c r="E6" s="65">
        <v>0.33333333333333331</v>
      </c>
      <c r="F6" s="65">
        <v>0.33333333333333331</v>
      </c>
      <c r="G6" s="65">
        <v>0.30769230769230771</v>
      </c>
      <c r="H6" s="65">
        <v>0.23076923076923078</v>
      </c>
      <c r="I6" s="66">
        <v>9279.1666666666661</v>
      </c>
      <c r="J6" s="66">
        <v>-8772.2222222222226</v>
      </c>
      <c r="K6" s="65">
        <v>0</v>
      </c>
      <c r="L6" s="65">
        <v>0</v>
      </c>
      <c r="M6" s="65">
        <v>0.32051282051282054</v>
      </c>
      <c r="N6" s="65">
        <v>0.26923076923076922</v>
      </c>
      <c r="O6" s="65">
        <v>0.56000000000000005</v>
      </c>
      <c r="P6" s="65">
        <v>0.33333333333333331</v>
      </c>
      <c r="Q6" s="65">
        <v>0.25</v>
      </c>
    </row>
    <row r="7" spans="1:17" x14ac:dyDescent="0.4">
      <c r="A7" s="67">
        <v>4</v>
      </c>
      <c r="B7" s="64">
        <v>-8.8817841970012523E-15</v>
      </c>
      <c r="C7" s="64">
        <v>-7.4014868308343773E-16</v>
      </c>
      <c r="D7" s="69">
        <v>2</v>
      </c>
      <c r="E7" s="65">
        <v>0.33333333333333331</v>
      </c>
      <c r="F7" s="65">
        <v>0.33333333333333331</v>
      </c>
      <c r="G7" s="65">
        <v>0.30303030303030304</v>
      </c>
      <c r="H7" s="65">
        <v>0.24242424242424243</v>
      </c>
      <c r="I7" s="66">
        <v>8393.3333333333339</v>
      </c>
      <c r="J7" s="66">
        <v>-7791.666666666667</v>
      </c>
      <c r="K7" s="65">
        <v>0</v>
      </c>
      <c r="L7" s="65">
        <v>0</v>
      </c>
      <c r="M7" s="65">
        <v>0.30303030303030304</v>
      </c>
      <c r="N7" s="65">
        <v>0.26262626262626265</v>
      </c>
      <c r="O7" s="65">
        <v>0.53333333333333333</v>
      </c>
      <c r="P7" s="65">
        <v>0.30769230769230771</v>
      </c>
      <c r="Q7" s="65">
        <v>0.2</v>
      </c>
    </row>
    <row r="8" spans="1:17" x14ac:dyDescent="0.4">
      <c r="A8" s="67">
        <v>5</v>
      </c>
      <c r="B8" s="64">
        <v>-1.0658141036401503E-14</v>
      </c>
      <c r="C8" s="64">
        <v>-7.1054273576010023E-16</v>
      </c>
      <c r="D8" s="69">
        <v>2</v>
      </c>
      <c r="E8" s="65">
        <v>0.33333333333333331</v>
      </c>
      <c r="F8" s="65">
        <v>0.33333333333333331</v>
      </c>
      <c r="G8" s="65">
        <v>0.30158730158730157</v>
      </c>
      <c r="H8" s="65">
        <v>0.23015873015873015</v>
      </c>
      <c r="I8" s="66">
        <v>7971.0526315789475</v>
      </c>
      <c r="J8" s="66">
        <v>-7324.1379310344828</v>
      </c>
      <c r="K8" s="65">
        <v>0</v>
      </c>
      <c r="L8" s="65">
        <v>0</v>
      </c>
      <c r="M8" s="65">
        <v>0.29365079365079366</v>
      </c>
      <c r="N8" s="65">
        <v>0.25396825396825395</v>
      </c>
      <c r="O8" s="65">
        <v>0.54054054054054057</v>
      </c>
      <c r="P8" s="65">
        <v>0.34375</v>
      </c>
      <c r="Q8" s="65">
        <v>0.23684210526315788</v>
      </c>
    </row>
    <row r="9" spans="1:17" x14ac:dyDescent="0.4">
      <c r="A9" s="67">
        <v>6</v>
      </c>
      <c r="B9" s="64">
        <v>-3.5527136788005009E-15</v>
      </c>
      <c r="C9" s="64">
        <v>-1.9737298215558337E-16</v>
      </c>
      <c r="D9" s="69">
        <v>2</v>
      </c>
      <c r="E9" s="65">
        <v>0.33333333333333331</v>
      </c>
      <c r="F9" s="65">
        <v>0.33333333333333331</v>
      </c>
      <c r="G9" s="65">
        <v>0.30612244897959184</v>
      </c>
      <c r="H9" s="65">
        <v>0.21768707482993196</v>
      </c>
      <c r="I9" s="66">
        <v>8540</v>
      </c>
      <c r="J9" s="66">
        <v>-8118.75</v>
      </c>
      <c r="K9" s="65">
        <v>5.5555555555555552E-2</v>
      </c>
      <c r="L9" s="65">
        <v>5.5555555555555552E-2</v>
      </c>
      <c r="M9" s="65">
        <v>0.27210884353741499</v>
      </c>
      <c r="N9" s="65">
        <v>0.23809523809523808</v>
      </c>
      <c r="O9" s="65">
        <v>0.52500000000000002</v>
      </c>
      <c r="P9" s="65">
        <v>0.37142857142857144</v>
      </c>
      <c r="Q9" s="65">
        <v>0.26666666666666666</v>
      </c>
    </row>
    <row r="10" spans="1:17" x14ac:dyDescent="0.4">
      <c r="A10" s="67">
        <v>7</v>
      </c>
      <c r="B10" s="64">
        <v>-2.886579864025407E-15</v>
      </c>
      <c r="C10" s="64">
        <v>-1.3745618400120986E-16</v>
      </c>
      <c r="D10" s="69">
        <v>2</v>
      </c>
      <c r="E10" s="65">
        <v>0.33333333333333331</v>
      </c>
      <c r="F10" s="65">
        <v>0.33333333333333331</v>
      </c>
      <c r="G10" s="65">
        <v>0.29943502824858759</v>
      </c>
      <c r="H10" s="65">
        <v>0.21468926553672316</v>
      </c>
      <c r="I10" s="66">
        <v>8416.9811320754725</v>
      </c>
      <c r="J10" s="66">
        <v>-8131.5789473684208</v>
      </c>
      <c r="K10" s="65">
        <v>4.7619047619047616E-2</v>
      </c>
      <c r="L10" s="65">
        <v>4.7619047619047616E-2</v>
      </c>
      <c r="M10" s="65">
        <v>0.2655367231638418</v>
      </c>
      <c r="N10" s="65">
        <v>0.22033898305084745</v>
      </c>
      <c r="O10" s="65">
        <v>0.48936170212765956</v>
      </c>
      <c r="P10" s="65">
        <v>0.41025641025641024</v>
      </c>
      <c r="Q10" s="65">
        <v>0.26415094339622641</v>
      </c>
    </row>
    <row r="11" spans="1:17" x14ac:dyDescent="0.4">
      <c r="A11" s="67">
        <v>8</v>
      </c>
      <c r="B11" s="64">
        <v>-3.5527136788005009E-15</v>
      </c>
      <c r="C11" s="64">
        <v>-1.4802973661668753E-16</v>
      </c>
      <c r="D11" s="69">
        <v>2</v>
      </c>
      <c r="E11" s="65">
        <v>0.33333333333333331</v>
      </c>
      <c r="F11" s="65">
        <v>0.33333333333333331</v>
      </c>
      <c r="G11" s="65">
        <v>0.30392156862745096</v>
      </c>
      <c r="H11" s="65">
        <v>0.2107843137254902</v>
      </c>
      <c r="I11" s="66">
        <v>8124.1935483870966</v>
      </c>
      <c r="J11" s="66">
        <v>-7848.8372093023254</v>
      </c>
      <c r="K11" s="65">
        <v>4.1666666666666664E-2</v>
      </c>
      <c r="L11" s="65">
        <v>4.1666666666666664E-2</v>
      </c>
      <c r="M11" s="65">
        <v>0.27941176470588236</v>
      </c>
      <c r="N11" s="65">
        <v>0.21568627450980393</v>
      </c>
      <c r="O11" s="65">
        <v>0.50877192982456143</v>
      </c>
      <c r="P11" s="65">
        <v>0.40909090909090912</v>
      </c>
      <c r="Q11" s="65">
        <v>0.29032258064516131</v>
      </c>
    </row>
    <row r="12" spans="1:17" x14ac:dyDescent="0.4">
      <c r="A12" s="67">
        <v>9</v>
      </c>
      <c r="B12" s="64">
        <v>-1.3322676295501878E-15</v>
      </c>
      <c r="C12" s="64">
        <v>-4.9343245538895844E-17</v>
      </c>
      <c r="D12" s="69">
        <v>2</v>
      </c>
      <c r="E12" s="65">
        <v>0.33333333333333331</v>
      </c>
      <c r="F12" s="65">
        <v>0.33333333333333331</v>
      </c>
      <c r="G12" s="65">
        <v>0.30666666666666664</v>
      </c>
      <c r="H12" s="65">
        <v>0.20444444444444446</v>
      </c>
      <c r="I12" s="66">
        <v>8147.826086956522</v>
      </c>
      <c r="J12" s="66">
        <v>-8073.913043478261</v>
      </c>
      <c r="K12" s="65">
        <v>3.7037037037037035E-2</v>
      </c>
      <c r="L12" s="65">
        <v>3.7037037037037035E-2</v>
      </c>
      <c r="M12" s="65">
        <v>0.27111111111111114</v>
      </c>
      <c r="N12" s="65">
        <v>0.21777777777777776</v>
      </c>
      <c r="O12" s="65">
        <v>0.50819672131147542</v>
      </c>
      <c r="P12" s="65">
        <v>0.40816326530612246</v>
      </c>
      <c r="Q12" s="65">
        <v>0.3188405797101449</v>
      </c>
    </row>
    <row r="13" spans="1:17" x14ac:dyDescent="0.4">
      <c r="A13" s="67">
        <v>10</v>
      </c>
      <c r="B13" s="64">
        <v>0</v>
      </c>
      <c r="C13" s="64">
        <v>0</v>
      </c>
      <c r="D13" s="69">
        <v>2</v>
      </c>
      <c r="E13" s="65">
        <v>0.33333333333333331</v>
      </c>
      <c r="F13" s="65">
        <v>0.33333333333333331</v>
      </c>
      <c r="G13" s="65">
        <v>0.30801687763713081</v>
      </c>
      <c r="H13" s="65">
        <v>0.20675105485232068</v>
      </c>
      <c r="I13" s="66">
        <v>8242.465753424658</v>
      </c>
      <c r="J13" s="66">
        <v>-8353.0612244897966</v>
      </c>
      <c r="K13" s="65">
        <v>6.6666666666666666E-2</v>
      </c>
      <c r="L13" s="65">
        <v>6.6666666666666666E-2</v>
      </c>
      <c r="M13" s="65">
        <v>0.26582278481012656</v>
      </c>
      <c r="N13" s="65">
        <v>0.22362869198312235</v>
      </c>
      <c r="O13" s="65">
        <v>0.50793650793650791</v>
      </c>
      <c r="P13" s="65">
        <v>0.41509433962264153</v>
      </c>
      <c r="Q13" s="65">
        <v>0.31506849315068491</v>
      </c>
    </row>
    <row r="14" spans="1:17" x14ac:dyDescent="0.4">
      <c r="A14" s="67">
        <v>11</v>
      </c>
      <c r="B14" s="64">
        <v>8.8817841970012523E-16</v>
      </c>
      <c r="C14" s="64">
        <v>2.6914497566670462E-17</v>
      </c>
      <c r="D14" s="69">
        <v>2</v>
      </c>
      <c r="E14" s="65">
        <v>0.33333333333333331</v>
      </c>
      <c r="F14" s="65">
        <v>0.33333333333333331</v>
      </c>
      <c r="G14" s="65">
        <v>0.30337078651685395</v>
      </c>
      <c r="H14" s="65">
        <v>0.20224719101123595</v>
      </c>
      <c r="I14" s="66">
        <v>7923.4567901234568</v>
      </c>
      <c r="J14" s="66">
        <v>-8040.7407407407409</v>
      </c>
      <c r="K14" s="65">
        <v>6.0606060606060608E-2</v>
      </c>
      <c r="L14" s="65">
        <v>6.0606060606060608E-2</v>
      </c>
      <c r="M14" s="65">
        <v>0.26217228464419473</v>
      </c>
      <c r="N14" s="65">
        <v>0.22097378277153559</v>
      </c>
      <c r="O14" s="65">
        <v>0.51428571428571423</v>
      </c>
      <c r="P14" s="65">
        <v>0.40677966101694918</v>
      </c>
      <c r="Q14" s="65">
        <v>0.32098765432098764</v>
      </c>
    </row>
    <row r="15" spans="1:17" x14ac:dyDescent="0.4">
      <c r="A15" s="67">
        <v>12</v>
      </c>
      <c r="B15" s="64">
        <v>7.1054273576010019E-15</v>
      </c>
      <c r="C15" s="64">
        <v>1.9737298215558337E-16</v>
      </c>
      <c r="D15" s="69">
        <v>2</v>
      </c>
      <c r="E15" s="65">
        <v>0.33333333333333331</v>
      </c>
      <c r="F15" s="65">
        <v>0.33333333333333331</v>
      </c>
      <c r="G15" s="65">
        <v>0.30555555555555558</v>
      </c>
      <c r="H15" s="65">
        <v>0.2013888888888889</v>
      </c>
      <c r="I15" s="66">
        <v>7830.681818181818</v>
      </c>
      <c r="J15" s="66">
        <v>-7962.0689655172409</v>
      </c>
      <c r="K15" s="65">
        <v>5.5555555555555552E-2</v>
      </c>
      <c r="L15" s="65">
        <v>5.5555555555555552E-2</v>
      </c>
      <c r="M15" s="65">
        <v>0.2638888888888889</v>
      </c>
      <c r="N15" s="65">
        <v>0.21527777777777779</v>
      </c>
      <c r="O15" s="65">
        <v>0.52631578947368418</v>
      </c>
      <c r="P15" s="65">
        <v>0.38709677419354838</v>
      </c>
      <c r="Q15" s="65">
        <v>0.32954545454545453</v>
      </c>
    </row>
    <row r="16" spans="1:17" x14ac:dyDescent="0.4">
      <c r="A16" s="67">
        <v>13</v>
      </c>
      <c r="B16" s="64">
        <v>7.1054273576010019E-15</v>
      </c>
      <c r="C16" s="64">
        <v>1.8219044506669235E-16</v>
      </c>
      <c r="D16" s="69">
        <v>2</v>
      </c>
      <c r="E16" s="65">
        <v>0.33333333333333331</v>
      </c>
      <c r="F16" s="65">
        <v>0.33333333333333331</v>
      </c>
      <c r="G16" s="65">
        <v>0.30769230769230771</v>
      </c>
      <c r="H16" s="65">
        <v>0.20192307692307693</v>
      </c>
      <c r="I16" s="66">
        <v>7831.25</v>
      </c>
      <c r="J16" s="66">
        <v>-8012.6984126984125</v>
      </c>
      <c r="K16" s="65">
        <v>5.128205128205128E-2</v>
      </c>
      <c r="L16" s="65">
        <v>5.128205128205128E-2</v>
      </c>
      <c r="M16" s="65">
        <v>0.27243589743589741</v>
      </c>
      <c r="N16" s="65">
        <v>0.21794871794871795</v>
      </c>
      <c r="O16" s="65">
        <v>0.51764705882352946</v>
      </c>
      <c r="P16" s="65">
        <v>0.41176470588235292</v>
      </c>
      <c r="Q16" s="65">
        <v>0.33333333333333331</v>
      </c>
    </row>
    <row r="17" spans="1:17" x14ac:dyDescent="0.4">
      <c r="A17" s="67">
        <v>14</v>
      </c>
      <c r="B17" s="64">
        <v>7.1054273576010019E-15</v>
      </c>
      <c r="C17" s="64">
        <v>1.6917684184764289E-16</v>
      </c>
      <c r="D17" s="69">
        <v>2</v>
      </c>
      <c r="E17" s="65">
        <v>0.33333333333333331</v>
      </c>
      <c r="F17" s="65">
        <v>0.33333333333333331</v>
      </c>
      <c r="G17" s="65">
        <v>0.30747126436781608</v>
      </c>
      <c r="H17" s="65">
        <v>0.19827586206896552</v>
      </c>
      <c r="I17" s="66">
        <v>7745.7943925233649</v>
      </c>
      <c r="J17" s="66">
        <v>-7981.159420289855</v>
      </c>
      <c r="K17" s="65">
        <v>4.7619047619047616E-2</v>
      </c>
      <c r="L17" s="65">
        <v>4.7619047619047616E-2</v>
      </c>
      <c r="M17" s="65">
        <v>0.26724137931034481</v>
      </c>
      <c r="N17" s="65">
        <v>0.21839080459770116</v>
      </c>
      <c r="O17" s="65">
        <v>0.5161290322580645</v>
      </c>
      <c r="P17" s="65">
        <v>0.42105263157894735</v>
      </c>
      <c r="Q17" s="65">
        <v>0.34579439252336447</v>
      </c>
    </row>
    <row r="18" spans="1:17" x14ac:dyDescent="0.4">
      <c r="A18" s="67">
        <v>15</v>
      </c>
      <c r="B18" s="64">
        <v>-7.1054273576010019E-15</v>
      </c>
      <c r="C18" s="64">
        <v>-1.5789838572446671E-16</v>
      </c>
      <c r="D18" s="69">
        <v>2</v>
      </c>
      <c r="E18" s="65">
        <v>0.33333333333333331</v>
      </c>
      <c r="F18" s="65">
        <v>0.33333333333333331</v>
      </c>
      <c r="G18" s="65">
        <v>0.30913978494623656</v>
      </c>
      <c r="H18" s="65">
        <v>0.19623655913978494</v>
      </c>
      <c r="I18" s="66">
        <v>7733.913043478261</v>
      </c>
      <c r="J18" s="66">
        <v>-8193.1506849315065</v>
      </c>
      <c r="K18" s="65">
        <v>6.6666666666666666E-2</v>
      </c>
      <c r="L18" s="65">
        <v>6.6666666666666666E-2</v>
      </c>
      <c r="M18" s="65">
        <v>0.26881720430107525</v>
      </c>
      <c r="N18" s="65">
        <v>0.21505376344086022</v>
      </c>
      <c r="O18" s="65">
        <v>0.52</v>
      </c>
      <c r="P18" s="65">
        <v>0.41249999999999998</v>
      </c>
      <c r="Q18" s="65">
        <v>0.35652173913043478</v>
      </c>
    </row>
    <row r="19" spans="1:17" x14ac:dyDescent="0.4">
      <c r="A19" s="67">
        <v>16</v>
      </c>
      <c r="B19" s="64">
        <v>-7.1054273576010019E-15</v>
      </c>
      <c r="C19" s="64">
        <v>-1.4802973661668753E-16</v>
      </c>
      <c r="D19" s="69">
        <v>2</v>
      </c>
      <c r="E19" s="65">
        <v>0.33333333333333331</v>
      </c>
      <c r="F19" s="65">
        <v>0.33333333333333331</v>
      </c>
      <c r="G19" s="65">
        <v>0.30637254901960786</v>
      </c>
      <c r="H19" s="65">
        <v>0.18872549019607843</v>
      </c>
      <c r="I19" s="66">
        <v>7460.8</v>
      </c>
      <c r="J19" s="66">
        <v>-8110.3896103896104</v>
      </c>
      <c r="K19" s="65">
        <v>6.25E-2</v>
      </c>
      <c r="L19" s="65">
        <v>6.25E-2</v>
      </c>
      <c r="M19" s="65">
        <v>0.27205882352941174</v>
      </c>
      <c r="N19" s="65">
        <v>0.20343137254901961</v>
      </c>
      <c r="O19" s="65">
        <v>0.52252252252252251</v>
      </c>
      <c r="P19" s="65">
        <v>0.40963855421686746</v>
      </c>
      <c r="Q19" s="65">
        <v>0.376</v>
      </c>
    </row>
    <row r="20" spans="1:17" x14ac:dyDescent="0.4">
      <c r="A20" s="67">
        <v>17</v>
      </c>
      <c r="B20" s="64">
        <v>-5.3290705182007514E-15</v>
      </c>
      <c r="C20" s="64">
        <v>-1.0449157878825003E-16</v>
      </c>
      <c r="D20" s="69">
        <v>2</v>
      </c>
      <c r="E20" s="65">
        <v>0.33333333333333331</v>
      </c>
      <c r="F20" s="65">
        <v>0.33333333333333331</v>
      </c>
      <c r="G20" s="65">
        <v>0.30324074074074076</v>
      </c>
      <c r="H20" s="65">
        <v>0.18981481481481483</v>
      </c>
      <c r="I20" s="66">
        <v>7306.1068702290077</v>
      </c>
      <c r="J20" s="66">
        <v>-7880.4878048780483</v>
      </c>
      <c r="K20" s="65">
        <v>5.8823529411764705E-2</v>
      </c>
      <c r="L20" s="65">
        <v>5.8823529411764705E-2</v>
      </c>
      <c r="M20" s="65">
        <v>0.27314814814814814</v>
      </c>
      <c r="N20" s="65">
        <v>0.20833333333333334</v>
      </c>
      <c r="O20" s="65">
        <v>0.52542372881355937</v>
      </c>
      <c r="P20" s="65">
        <v>0.4</v>
      </c>
      <c r="Q20" s="65">
        <v>0.36641221374045801</v>
      </c>
    </row>
    <row r="21" spans="1:17" x14ac:dyDescent="0.4">
      <c r="A21" s="67">
        <v>18</v>
      </c>
      <c r="B21" s="64">
        <v>-3.5527136788005009E-15</v>
      </c>
      <c r="C21" s="64">
        <v>-6.5790994051861125E-17</v>
      </c>
      <c r="D21" s="69">
        <v>2</v>
      </c>
      <c r="E21" s="65">
        <v>0.33333333333333331</v>
      </c>
      <c r="F21" s="65">
        <v>0.33333333333333331</v>
      </c>
      <c r="G21" s="65">
        <v>0.30463576158940397</v>
      </c>
      <c r="H21" s="65">
        <v>0.19205298013245034</v>
      </c>
      <c r="I21" s="66">
        <v>7194.927536231884</v>
      </c>
      <c r="J21" s="66">
        <v>-7713.7931034482763</v>
      </c>
      <c r="K21" s="65">
        <v>5.5555555555555552E-2</v>
      </c>
      <c r="L21" s="65">
        <v>5.5555555555555552E-2</v>
      </c>
      <c r="M21" s="65">
        <v>0.2671081677704194</v>
      </c>
      <c r="N21" s="65">
        <v>0.2119205298013245</v>
      </c>
      <c r="O21" s="65">
        <v>0.53719008264462809</v>
      </c>
      <c r="P21" s="65">
        <v>0.39583333333333331</v>
      </c>
      <c r="Q21" s="65">
        <v>0.36231884057971014</v>
      </c>
    </row>
    <row r="22" spans="1:17" x14ac:dyDescent="0.4">
      <c r="A22" s="67">
        <v>19</v>
      </c>
      <c r="B22" s="64">
        <v>0</v>
      </c>
      <c r="C22" s="64">
        <v>0</v>
      </c>
      <c r="D22" s="69">
        <v>2</v>
      </c>
      <c r="E22" s="65">
        <v>0.33333333333333331</v>
      </c>
      <c r="F22" s="65">
        <v>0.33333333333333331</v>
      </c>
      <c r="G22" s="65">
        <v>0.30398322851153042</v>
      </c>
      <c r="H22" s="65">
        <v>0.19077568134171907</v>
      </c>
      <c r="I22" s="66">
        <v>7286.2068965517237</v>
      </c>
      <c r="J22" s="66">
        <v>-7813.1868131868132</v>
      </c>
      <c r="K22" s="65">
        <v>5.2631578947368418E-2</v>
      </c>
      <c r="L22" s="65">
        <v>5.2631578947368418E-2</v>
      </c>
      <c r="M22" s="65">
        <v>0.26415094339622641</v>
      </c>
      <c r="N22" s="65">
        <v>0.21174004192872117</v>
      </c>
      <c r="O22" s="65">
        <v>0.53968253968253965</v>
      </c>
      <c r="P22" s="65">
        <v>0.40594059405940597</v>
      </c>
      <c r="Q22" s="65">
        <v>0.36551724137931035</v>
      </c>
    </row>
    <row r="23" spans="1:17" x14ac:dyDescent="0.4">
      <c r="A23" s="67">
        <v>20</v>
      </c>
      <c r="B23" s="64">
        <v>0</v>
      </c>
      <c r="C23" s="64">
        <v>0</v>
      </c>
      <c r="D23" s="69">
        <v>2</v>
      </c>
      <c r="E23" s="65">
        <v>0.33333333333333331</v>
      </c>
      <c r="F23" s="65">
        <v>0.33333333333333331</v>
      </c>
      <c r="G23" s="65">
        <v>0.3057199211045365</v>
      </c>
      <c r="H23" s="65">
        <v>0.19132149901380671</v>
      </c>
      <c r="I23" s="66">
        <v>7353.5483870967746</v>
      </c>
      <c r="J23" s="66">
        <v>-7809.2783505154639</v>
      </c>
      <c r="K23" s="65">
        <v>0.05</v>
      </c>
      <c r="L23" s="65">
        <v>0.05</v>
      </c>
      <c r="M23" s="65">
        <v>0.25641025641025639</v>
      </c>
      <c r="N23" s="65">
        <v>0.21893491124260356</v>
      </c>
      <c r="O23" s="65">
        <v>0.55384615384615388</v>
      </c>
      <c r="P23" s="65">
        <v>0.40540540540540543</v>
      </c>
      <c r="Q23" s="65">
        <v>0.36774193548387096</v>
      </c>
    </row>
    <row r="24" spans="1:17" x14ac:dyDescent="0.4">
      <c r="A24" s="67">
        <v>21</v>
      </c>
      <c r="B24" s="64">
        <v>0</v>
      </c>
      <c r="C24" s="64">
        <v>0</v>
      </c>
      <c r="D24" s="69">
        <v>2</v>
      </c>
      <c r="E24" s="65">
        <v>0.33333333333333331</v>
      </c>
      <c r="F24" s="65">
        <v>0.33333333333333331</v>
      </c>
      <c r="G24" s="65">
        <v>0.3054003724394786</v>
      </c>
      <c r="H24" s="65">
        <v>0.18808193668528864</v>
      </c>
      <c r="I24" s="66">
        <v>7249.3902439024387</v>
      </c>
      <c r="J24" s="66">
        <v>-7779.2079207920788</v>
      </c>
      <c r="K24" s="65">
        <v>4.7619047619047616E-2</v>
      </c>
      <c r="L24" s="65">
        <v>4.7619047619047616E-2</v>
      </c>
      <c r="M24" s="65">
        <v>0.24953445065176907</v>
      </c>
      <c r="N24" s="65">
        <v>0.2271880819366853</v>
      </c>
      <c r="O24" s="65">
        <v>0.55223880597014929</v>
      </c>
      <c r="P24" s="65">
        <v>0.40163934426229508</v>
      </c>
      <c r="Q24" s="65">
        <v>0.37804878048780488</v>
      </c>
    </row>
    <row r="25" spans="1:17" x14ac:dyDescent="0.4">
      <c r="A25" s="67">
        <v>22</v>
      </c>
      <c r="B25" s="64">
        <v>0</v>
      </c>
      <c r="C25" s="64">
        <v>0</v>
      </c>
      <c r="D25" s="69">
        <v>2</v>
      </c>
      <c r="E25" s="65">
        <v>0.33333333333333331</v>
      </c>
      <c r="F25" s="65">
        <v>0.33333333333333331</v>
      </c>
      <c r="G25" s="65">
        <v>0.30335097001763667</v>
      </c>
      <c r="H25" s="65">
        <v>0.18518518518518517</v>
      </c>
      <c r="I25" s="66">
        <v>7134.3023255813951</v>
      </c>
      <c r="J25" s="66">
        <v>-7645.7142857142853</v>
      </c>
      <c r="K25" s="65">
        <v>4.5454545454545456E-2</v>
      </c>
      <c r="L25" s="65">
        <v>4.5454545454545456E-2</v>
      </c>
      <c r="M25" s="65">
        <v>0.25573192239858905</v>
      </c>
      <c r="N25" s="65">
        <v>0.2257495590828924</v>
      </c>
      <c r="O25" s="65">
        <v>0.55172413793103448</v>
      </c>
      <c r="P25" s="65">
        <v>0.3828125</v>
      </c>
      <c r="Q25" s="65">
        <v>0.38372093023255816</v>
      </c>
    </row>
    <row r="26" spans="1:17" x14ac:dyDescent="0.4">
      <c r="A26" s="67">
        <v>23</v>
      </c>
      <c r="B26" s="64">
        <v>0</v>
      </c>
      <c r="C26" s="64">
        <v>0</v>
      </c>
      <c r="D26" s="69">
        <v>2</v>
      </c>
      <c r="E26" s="65">
        <v>0.33333333333333331</v>
      </c>
      <c r="F26" s="65">
        <v>0.33333333333333331</v>
      </c>
      <c r="G26" s="65">
        <v>0.30528052805280526</v>
      </c>
      <c r="H26" s="65">
        <v>0.18976897689768976</v>
      </c>
      <c r="I26" s="66">
        <v>7338.9189189189192</v>
      </c>
      <c r="J26" s="66">
        <v>-7970.434782608696</v>
      </c>
      <c r="K26" s="65">
        <v>5.7971014492753624E-2</v>
      </c>
      <c r="L26" s="65">
        <v>5.7971014492753624E-2</v>
      </c>
      <c r="M26" s="65">
        <v>0.25577557755775576</v>
      </c>
      <c r="N26" s="65">
        <v>0.22937293729372937</v>
      </c>
      <c r="O26" s="65">
        <v>0.55483870967741933</v>
      </c>
      <c r="P26" s="65">
        <v>0.38848920863309355</v>
      </c>
      <c r="Q26" s="65">
        <v>0.37297297297297299</v>
      </c>
    </row>
    <row r="27" spans="1:17" x14ac:dyDescent="0.4">
      <c r="A27" s="67">
        <v>24</v>
      </c>
      <c r="B27" s="64">
        <v>1.7763568394002505E-15</v>
      </c>
      <c r="C27" s="64">
        <v>2.4671622769447922E-17</v>
      </c>
      <c r="D27" s="69">
        <v>2</v>
      </c>
      <c r="E27" s="65">
        <v>0.33333333333333331</v>
      </c>
      <c r="F27" s="65">
        <v>0.33333333333333331</v>
      </c>
      <c r="G27" s="65">
        <v>0.30622009569377989</v>
      </c>
      <c r="H27" s="65">
        <v>0.19138755980861244</v>
      </c>
      <c r="I27" s="66">
        <v>7280.729166666667</v>
      </c>
      <c r="J27" s="66">
        <v>-7945.833333333333</v>
      </c>
      <c r="K27" s="65">
        <v>5.5555555555555552E-2</v>
      </c>
      <c r="L27" s="65">
        <v>5.5555555555555552E-2</v>
      </c>
      <c r="M27" s="65">
        <v>0.25996810207336524</v>
      </c>
      <c r="N27" s="65">
        <v>0.22966507177033493</v>
      </c>
      <c r="O27" s="65">
        <v>0.55214723926380371</v>
      </c>
      <c r="P27" s="65">
        <v>0.39583333333333331</v>
      </c>
      <c r="Q27" s="65">
        <v>0.36979166666666669</v>
      </c>
    </row>
    <row r="28" spans="1:17" x14ac:dyDescent="0.4">
      <c r="A28" s="67">
        <v>25</v>
      </c>
      <c r="B28" s="64">
        <v>-2.6645352591003757E-15</v>
      </c>
      <c r="C28" s="64">
        <v>-3.552713678800501E-17</v>
      </c>
      <c r="D28" s="69">
        <v>2</v>
      </c>
      <c r="E28" s="65">
        <v>0.33333333333333331</v>
      </c>
      <c r="F28" s="65">
        <v>0.33333333333333331</v>
      </c>
      <c r="G28" s="65">
        <v>0.30733944954128439</v>
      </c>
      <c r="H28" s="65">
        <v>0.19266055045871561</v>
      </c>
      <c r="I28" s="66">
        <v>7223.8805970149251</v>
      </c>
      <c r="J28" s="66">
        <v>-7849.2063492063489</v>
      </c>
      <c r="K28" s="65">
        <v>5.3333333333333337E-2</v>
      </c>
      <c r="L28" s="65">
        <v>5.3333333333333337E-2</v>
      </c>
      <c r="M28" s="65">
        <v>0.25840978593272174</v>
      </c>
      <c r="N28" s="65">
        <v>0.22935779816513763</v>
      </c>
      <c r="O28" s="65">
        <v>0.56804733727810652</v>
      </c>
      <c r="P28" s="65">
        <v>0.4</v>
      </c>
      <c r="Q28" s="65">
        <v>0.36815920398009949</v>
      </c>
    </row>
    <row r="29" spans="1:17" x14ac:dyDescent="0.4">
      <c r="A29" s="67">
        <v>26</v>
      </c>
      <c r="B29" s="64">
        <v>0</v>
      </c>
      <c r="C29" s="64">
        <v>0</v>
      </c>
      <c r="D29" s="69">
        <v>2</v>
      </c>
      <c r="E29" s="65">
        <v>0.33333333333333331</v>
      </c>
      <c r="F29" s="65">
        <v>0.33333333333333331</v>
      </c>
      <c r="G29" s="65">
        <v>0.30654761904761907</v>
      </c>
      <c r="H29" s="65">
        <v>0.19196428571428573</v>
      </c>
      <c r="I29" s="66">
        <v>7162.1359223300969</v>
      </c>
      <c r="J29" s="66">
        <v>-7766.666666666667</v>
      </c>
      <c r="K29" s="65">
        <v>5.128205128205128E-2</v>
      </c>
      <c r="L29" s="65">
        <v>5.128205128205128E-2</v>
      </c>
      <c r="M29" s="65">
        <v>0.25744047619047616</v>
      </c>
      <c r="N29" s="65">
        <v>0.22916666666666666</v>
      </c>
      <c r="O29" s="65">
        <v>0.5722543352601156</v>
      </c>
      <c r="P29" s="65">
        <v>0.39610389610389612</v>
      </c>
      <c r="Q29" s="65">
        <v>0.36893203883495146</v>
      </c>
    </row>
    <row r="30" spans="1:17" x14ac:dyDescent="0.4">
      <c r="A30" s="67">
        <v>27</v>
      </c>
      <c r="B30" s="64">
        <v>3.5527136788005009E-15</v>
      </c>
      <c r="C30" s="64">
        <v>4.386066270124075E-17</v>
      </c>
      <c r="D30" s="69">
        <v>2</v>
      </c>
      <c r="E30" s="65">
        <v>0.33333333333333331</v>
      </c>
      <c r="F30" s="65">
        <v>0.33333333333333331</v>
      </c>
      <c r="G30" s="65">
        <v>0.30724637681159422</v>
      </c>
      <c r="H30" s="65">
        <v>0.19130434782608696</v>
      </c>
      <c r="I30" s="66">
        <v>7124.5283018867922</v>
      </c>
      <c r="J30" s="66">
        <v>-7726.515151515152</v>
      </c>
      <c r="K30" s="65">
        <v>4.9382716049382713E-2</v>
      </c>
      <c r="L30" s="65">
        <v>4.9382716049382713E-2</v>
      </c>
      <c r="M30" s="65">
        <v>0.2565217391304348</v>
      </c>
      <c r="N30" s="65">
        <v>0.2318840579710145</v>
      </c>
      <c r="O30" s="65">
        <v>0.57062146892655363</v>
      </c>
      <c r="P30" s="65">
        <v>0.40625</v>
      </c>
      <c r="Q30" s="65">
        <v>0.37264150943396224</v>
      </c>
    </row>
    <row r="31" spans="1:17" x14ac:dyDescent="0.4">
      <c r="A31" s="67">
        <v>28</v>
      </c>
      <c r="B31" s="64">
        <v>0</v>
      </c>
      <c r="C31" s="64">
        <v>0</v>
      </c>
      <c r="D31" s="69">
        <v>2</v>
      </c>
      <c r="E31" s="65">
        <v>0.33333333333333331</v>
      </c>
      <c r="F31" s="65">
        <v>0.33333333333333331</v>
      </c>
      <c r="G31" s="65">
        <v>0.30790960451977401</v>
      </c>
      <c r="H31" s="65">
        <v>0.19350282485875706</v>
      </c>
      <c r="I31" s="66">
        <v>7074.3119266055046</v>
      </c>
      <c r="J31" s="66">
        <v>-7647.445255474453</v>
      </c>
      <c r="K31" s="65">
        <v>4.7619047619047616E-2</v>
      </c>
      <c r="L31" s="65">
        <v>4.7619047619047616E-2</v>
      </c>
      <c r="M31" s="65">
        <v>0.25423728813559321</v>
      </c>
      <c r="N31" s="65">
        <v>0.23163841807909605</v>
      </c>
      <c r="O31" s="65">
        <v>0.56666666666666665</v>
      </c>
      <c r="P31" s="65">
        <v>0.41463414634146339</v>
      </c>
      <c r="Q31" s="65">
        <v>0.3669724770642202</v>
      </c>
    </row>
    <row r="32" spans="1:17" x14ac:dyDescent="0.4">
      <c r="A32" s="67">
        <v>29</v>
      </c>
      <c r="B32" s="64">
        <v>-1.3322676295501878E-15</v>
      </c>
      <c r="C32" s="64">
        <v>-1.5313421029312504E-17</v>
      </c>
      <c r="D32" s="69">
        <v>2</v>
      </c>
      <c r="E32" s="65">
        <v>0.33333333333333331</v>
      </c>
      <c r="F32" s="65">
        <v>0.33333333333333331</v>
      </c>
      <c r="G32" s="65">
        <v>0.30843706777316737</v>
      </c>
      <c r="H32" s="65">
        <v>0.19363762102351315</v>
      </c>
      <c r="I32" s="66">
        <v>7152.9147982062777</v>
      </c>
      <c r="J32" s="66">
        <v>-7749.2857142857147</v>
      </c>
      <c r="K32" s="65">
        <v>5.7471264367816091E-2</v>
      </c>
      <c r="L32" s="65">
        <v>5.7471264367816091E-2</v>
      </c>
      <c r="M32" s="65">
        <v>0.25587828492392806</v>
      </c>
      <c r="N32" s="65">
        <v>0.23236514522821577</v>
      </c>
      <c r="O32" s="65">
        <v>0.572972972972973</v>
      </c>
      <c r="P32" s="65">
        <v>0.4107142857142857</v>
      </c>
      <c r="Q32" s="65">
        <v>0.36771300448430494</v>
      </c>
    </row>
    <row r="33" spans="1:17" x14ac:dyDescent="0.4">
      <c r="A33" s="67">
        <v>30</v>
      </c>
      <c r="B33" s="64">
        <v>0</v>
      </c>
      <c r="C33" s="64">
        <v>0</v>
      </c>
      <c r="D33" s="69">
        <v>2</v>
      </c>
      <c r="E33" s="65">
        <v>0.33333333333333331</v>
      </c>
      <c r="F33" s="65">
        <v>0.33333333333333331</v>
      </c>
      <c r="G33" s="65">
        <v>0.30522088353413657</v>
      </c>
      <c r="H33" s="65">
        <v>0.19277108433734941</v>
      </c>
      <c r="I33" s="66">
        <v>7164.9122807017548</v>
      </c>
      <c r="J33" s="66">
        <v>-7745.833333333333</v>
      </c>
      <c r="K33" s="65">
        <v>5.5555555555555552E-2</v>
      </c>
      <c r="L33" s="65">
        <v>5.5555555555555552E-2</v>
      </c>
      <c r="M33" s="65">
        <v>0.25702811244979917</v>
      </c>
      <c r="N33" s="65">
        <v>0.2289156626506024</v>
      </c>
      <c r="O33" s="65">
        <v>0.57291666666666663</v>
      </c>
      <c r="P33" s="65">
        <v>0.40350877192982454</v>
      </c>
      <c r="Q33" s="65">
        <v>0.36403508771929827</v>
      </c>
    </row>
    <row r="34" spans="1:17" x14ac:dyDescent="0.4">
      <c r="A34" s="67">
        <v>31</v>
      </c>
      <c r="B34" s="64">
        <v>0</v>
      </c>
      <c r="C34" s="64">
        <v>0</v>
      </c>
      <c r="D34" s="69">
        <v>2</v>
      </c>
      <c r="E34" s="65">
        <v>0.33333333333333331</v>
      </c>
      <c r="F34" s="65">
        <v>0.33333333333333331</v>
      </c>
      <c r="G34" s="65">
        <v>0.30220492866407261</v>
      </c>
      <c r="H34" s="65">
        <v>0.191958495460441</v>
      </c>
      <c r="I34" s="66">
        <v>7176.394849785408</v>
      </c>
      <c r="J34" s="66">
        <v>-7742.5675675675675</v>
      </c>
      <c r="K34" s="65">
        <v>5.3763440860215055E-2</v>
      </c>
      <c r="L34" s="65">
        <v>5.3763440860215055E-2</v>
      </c>
      <c r="M34" s="65">
        <v>0.25810635538262</v>
      </c>
      <c r="N34" s="65">
        <v>0.22568093385214008</v>
      </c>
      <c r="O34" s="65">
        <v>0.57286432160804024</v>
      </c>
      <c r="P34" s="65">
        <v>0.39655172413793105</v>
      </c>
      <c r="Q34" s="65">
        <v>0.36051502145922748</v>
      </c>
    </row>
    <row r="35" spans="1:17" x14ac:dyDescent="0.4">
      <c r="A35" s="67">
        <v>32</v>
      </c>
      <c r="B35" s="64">
        <v>6.6613381477509392E-16</v>
      </c>
      <c r="C35" s="64">
        <v>6.9388939039072284E-18</v>
      </c>
      <c r="D35" s="69">
        <v>2</v>
      </c>
      <c r="E35" s="65">
        <v>0.33333333333333331</v>
      </c>
      <c r="F35" s="65">
        <v>0.33333333333333331</v>
      </c>
      <c r="G35" s="65">
        <v>0.30348258706467662</v>
      </c>
      <c r="H35" s="65">
        <v>0.1927860696517413</v>
      </c>
      <c r="I35" s="66">
        <v>7275.4098360655735</v>
      </c>
      <c r="J35" s="66">
        <v>-7873.5483870967746</v>
      </c>
      <c r="K35" s="65">
        <v>5.2083333333333336E-2</v>
      </c>
      <c r="L35" s="65">
        <v>5.2083333333333336E-2</v>
      </c>
      <c r="M35" s="65">
        <v>0.26616915422885573</v>
      </c>
      <c r="N35" s="65">
        <v>0.22388059701492538</v>
      </c>
      <c r="O35" s="65">
        <v>0.56542056074766356</v>
      </c>
      <c r="P35" s="65">
        <v>0.39444444444444443</v>
      </c>
      <c r="Q35" s="65">
        <v>0.36065573770491804</v>
      </c>
    </row>
    <row r="36" spans="1:17" x14ac:dyDescent="0.4">
      <c r="A36" s="67">
        <v>33</v>
      </c>
      <c r="B36" s="64">
        <v>1.4210854715202004E-14</v>
      </c>
      <c r="C36" s="64">
        <v>1.4354398702224247E-16</v>
      </c>
      <c r="D36" s="69">
        <v>2</v>
      </c>
      <c r="E36" s="65">
        <v>0.33333333333333331</v>
      </c>
      <c r="F36" s="65">
        <v>0.33333333333333331</v>
      </c>
      <c r="G36" s="65">
        <v>0.30260047281323876</v>
      </c>
      <c r="H36" s="65">
        <v>0.18912529550827423</v>
      </c>
      <c r="I36" s="66">
        <v>7607.421875</v>
      </c>
      <c r="J36" s="66">
        <v>-7966.875</v>
      </c>
      <c r="K36" s="65">
        <v>6.0606060606060608E-2</v>
      </c>
      <c r="L36" s="65">
        <v>6.0606060606060608E-2</v>
      </c>
      <c r="M36" s="65">
        <v>0.26832151300236406</v>
      </c>
      <c r="N36" s="65">
        <v>0.22458628841607564</v>
      </c>
      <c r="O36" s="65">
        <v>0.55947136563876654</v>
      </c>
      <c r="P36" s="65">
        <v>0.39473684210526316</v>
      </c>
      <c r="Q36" s="65">
        <v>0.37109375</v>
      </c>
    </row>
    <row r="37" spans="1:17" x14ac:dyDescent="0.4">
      <c r="A37" s="67">
        <v>34</v>
      </c>
      <c r="B37" s="64">
        <v>1.6875389974302379E-14</v>
      </c>
      <c r="C37" s="64">
        <v>1.6544499974806255E-16</v>
      </c>
      <c r="D37" s="69">
        <v>2</v>
      </c>
      <c r="E37" s="65">
        <v>0.33333333333333331</v>
      </c>
      <c r="F37" s="65">
        <v>0.33333333333333331</v>
      </c>
      <c r="G37" s="65">
        <v>0.30169491525423731</v>
      </c>
      <c r="H37" s="65">
        <v>0.18757062146892656</v>
      </c>
      <c r="I37" s="66">
        <v>7603.7453183520602</v>
      </c>
      <c r="J37" s="66">
        <v>-7960.2409638554218</v>
      </c>
      <c r="K37" s="65">
        <v>6.8627450980392163E-2</v>
      </c>
      <c r="L37" s="65">
        <v>6.8627450980392163E-2</v>
      </c>
      <c r="M37" s="65">
        <v>0.26327683615819208</v>
      </c>
      <c r="N37" s="65">
        <v>0.22259887005649717</v>
      </c>
      <c r="O37" s="65">
        <v>0.5622317596566524</v>
      </c>
      <c r="P37" s="65">
        <v>0.40101522842639592</v>
      </c>
      <c r="Q37" s="65">
        <v>0.3707865168539326</v>
      </c>
    </row>
    <row r="38" spans="1:17" x14ac:dyDescent="0.4">
      <c r="A38" s="67">
        <v>35</v>
      </c>
      <c r="B38" s="64">
        <v>1.4210854715202004E-14</v>
      </c>
      <c r="C38" s="64">
        <v>1.3534147347811433E-16</v>
      </c>
      <c r="D38" s="69">
        <v>2</v>
      </c>
      <c r="E38" s="65">
        <v>0.33333333333333331</v>
      </c>
      <c r="F38" s="65">
        <v>0.33333333333333331</v>
      </c>
      <c r="G38" s="65">
        <v>0.30163934426229511</v>
      </c>
      <c r="H38" s="65">
        <v>0.18579234972677597</v>
      </c>
      <c r="I38" s="66">
        <v>7593.840579710145</v>
      </c>
      <c r="J38" s="66">
        <v>-7870</v>
      </c>
      <c r="K38" s="65">
        <v>6.6666666666666666E-2</v>
      </c>
      <c r="L38" s="65">
        <v>6.6666666666666666E-2</v>
      </c>
      <c r="M38" s="65">
        <v>0.26229508196721313</v>
      </c>
      <c r="N38" s="65">
        <v>0.21639344262295082</v>
      </c>
      <c r="O38" s="65">
        <v>0.5625</v>
      </c>
      <c r="P38" s="65">
        <v>0.40404040404040403</v>
      </c>
      <c r="Q38" s="65">
        <v>0.37681159420289856</v>
      </c>
    </row>
    <row r="39" spans="1:17" x14ac:dyDescent="0.4">
      <c r="A39" s="67">
        <v>36</v>
      </c>
      <c r="B39" s="64">
        <v>1.4210854715202004E-14</v>
      </c>
      <c r="C39" s="64">
        <v>1.3158198810372225E-16</v>
      </c>
      <c r="D39" s="69">
        <v>2</v>
      </c>
      <c r="E39" s="65">
        <v>0.33333333333333331</v>
      </c>
      <c r="F39" s="65">
        <v>0.33333333333333331</v>
      </c>
      <c r="G39" s="65">
        <v>0.30148619957537154</v>
      </c>
      <c r="H39" s="65">
        <v>0.18683651804670912</v>
      </c>
      <c r="I39" s="66">
        <v>7646.4788732394363</v>
      </c>
      <c r="J39" s="66">
        <v>-7940.909090909091</v>
      </c>
      <c r="K39" s="65">
        <v>6.4814814814814811E-2</v>
      </c>
      <c r="L39" s="65">
        <v>6.4814814814814811E-2</v>
      </c>
      <c r="M39" s="65">
        <v>0.26645435244161358</v>
      </c>
      <c r="N39" s="65">
        <v>0.21337579617834396</v>
      </c>
      <c r="O39" s="65">
        <v>0.56573705179282874</v>
      </c>
      <c r="P39" s="65">
        <v>0.40298507462686567</v>
      </c>
      <c r="Q39" s="65">
        <v>0.37323943661971831</v>
      </c>
    </row>
    <row r="40" spans="1:17" x14ac:dyDescent="0.4">
      <c r="A40" s="67">
        <v>37</v>
      </c>
      <c r="B40" s="64">
        <v>1.4210854715202004E-14</v>
      </c>
      <c r="C40" s="64">
        <v>1.2802571815497301E-16</v>
      </c>
      <c r="D40" s="69">
        <v>2</v>
      </c>
      <c r="E40" s="65">
        <v>0.33333333333333331</v>
      </c>
      <c r="F40" s="65">
        <v>0.33333333333333331</v>
      </c>
      <c r="G40" s="65">
        <v>0.30208333333333331</v>
      </c>
      <c r="H40" s="65">
        <v>0.18645833333333334</v>
      </c>
      <c r="I40" s="66">
        <v>7831.7241379310344</v>
      </c>
      <c r="J40" s="66">
        <v>-7984.3575418994415</v>
      </c>
      <c r="K40" s="65">
        <v>7.2072072072072071E-2</v>
      </c>
      <c r="L40" s="65">
        <v>7.2072072072072071E-2</v>
      </c>
      <c r="M40" s="65">
        <v>0.265625</v>
      </c>
      <c r="N40" s="65">
        <v>0.21458333333333332</v>
      </c>
      <c r="O40" s="65">
        <v>0.56862745098039214</v>
      </c>
      <c r="P40" s="65">
        <v>0.40776699029126212</v>
      </c>
      <c r="Q40" s="65">
        <v>0.37586206896551722</v>
      </c>
    </row>
    <row r="41" spans="1:17" x14ac:dyDescent="0.4">
      <c r="A41" s="67">
        <v>38</v>
      </c>
      <c r="B41" s="64">
        <v>1.4210854715202004E-14</v>
      </c>
      <c r="C41" s="64">
        <v>1.246566203087895E-16</v>
      </c>
      <c r="D41" s="69">
        <v>2</v>
      </c>
      <c r="E41" s="65">
        <v>0.33333333333333331</v>
      </c>
      <c r="F41" s="65">
        <v>0.33333333333333331</v>
      </c>
      <c r="G41" s="65">
        <v>0.30202020202020202</v>
      </c>
      <c r="H41" s="65">
        <v>0.18282828282828284</v>
      </c>
      <c r="I41" s="66">
        <v>7842.4749163879596</v>
      </c>
      <c r="J41" s="66">
        <v>-7993.370165745856</v>
      </c>
      <c r="K41" s="65">
        <v>7.0175438596491224E-2</v>
      </c>
      <c r="L41" s="65">
        <v>7.0175438596491224E-2</v>
      </c>
      <c r="M41" s="65">
        <v>0.26666666666666666</v>
      </c>
      <c r="N41" s="65">
        <v>0.21414141414141413</v>
      </c>
      <c r="O41" s="65">
        <v>0.57196969696969702</v>
      </c>
      <c r="P41" s="65">
        <v>0.40566037735849059</v>
      </c>
      <c r="Q41" s="65">
        <v>0.38795986622073581</v>
      </c>
    </row>
    <row r="42" spans="1:17" x14ac:dyDescent="0.4">
      <c r="A42" s="67">
        <v>39</v>
      </c>
      <c r="B42" s="64">
        <v>1.4210854715202004E-14</v>
      </c>
      <c r="C42" s="64">
        <v>1.2146029671112825E-16</v>
      </c>
      <c r="D42" s="69">
        <v>2</v>
      </c>
      <c r="E42" s="65">
        <v>0.33333333333333331</v>
      </c>
      <c r="F42" s="65">
        <v>0.33333333333333331</v>
      </c>
      <c r="G42" s="65">
        <v>0.30088495575221241</v>
      </c>
      <c r="H42" s="65">
        <v>0.18190757128810225</v>
      </c>
      <c r="I42" s="66">
        <v>7815.6862745098042</v>
      </c>
      <c r="J42" s="66">
        <v>-7899.4594594594591</v>
      </c>
      <c r="K42" s="65">
        <v>6.8376068376068383E-2</v>
      </c>
      <c r="L42" s="65">
        <v>6.8376068376068383E-2</v>
      </c>
      <c r="M42" s="65">
        <v>0.26352015732546707</v>
      </c>
      <c r="N42" s="65">
        <v>0.21632251720747295</v>
      </c>
      <c r="O42" s="65">
        <v>0.56716417910447758</v>
      </c>
      <c r="P42" s="65">
        <v>0.40909090909090912</v>
      </c>
      <c r="Q42" s="65">
        <v>0.3888888888888889</v>
      </c>
    </row>
    <row r="43" spans="1:17" x14ac:dyDescent="0.4">
      <c r="A43" s="67">
        <v>40</v>
      </c>
      <c r="B43" s="64">
        <v>1.4210854715202004E-14</v>
      </c>
      <c r="C43" s="64">
        <v>1.1842378929335003E-16</v>
      </c>
      <c r="D43" s="69">
        <v>2</v>
      </c>
      <c r="E43" s="65">
        <v>0.33333333333333331</v>
      </c>
      <c r="F43" s="65">
        <v>0.33333333333333331</v>
      </c>
      <c r="G43" s="65">
        <v>0.30116959064327486</v>
      </c>
      <c r="H43" s="65">
        <v>0.18226120857699804</v>
      </c>
      <c r="I43" s="66">
        <v>7884.1423948220063</v>
      </c>
      <c r="J43" s="66">
        <v>-7925.1336898395721</v>
      </c>
      <c r="K43" s="65">
        <v>7.4999999999999997E-2</v>
      </c>
      <c r="L43" s="65">
        <v>7.4999999999999997E-2</v>
      </c>
      <c r="M43" s="65">
        <v>0.26120857699805067</v>
      </c>
      <c r="N43" s="65">
        <v>0.21539961013645223</v>
      </c>
      <c r="O43" s="65">
        <v>0.56716417910447758</v>
      </c>
      <c r="P43" s="65">
        <v>0.41176470588235292</v>
      </c>
      <c r="Q43" s="65">
        <v>0.38834951456310679</v>
      </c>
    </row>
    <row r="44" spans="1:17" x14ac:dyDescent="0.4">
      <c r="A44" s="67">
        <v>41</v>
      </c>
      <c r="B44" s="64">
        <v>1.4210854715202004E-14</v>
      </c>
      <c r="C44" s="64">
        <v>1.1553540418863419E-16</v>
      </c>
      <c r="D44" s="69">
        <v>2</v>
      </c>
      <c r="E44" s="65">
        <v>0.33333333333333331</v>
      </c>
      <c r="F44" s="65">
        <v>0.33333333333333331</v>
      </c>
      <c r="G44" s="65">
        <v>0.30009496676163344</v>
      </c>
      <c r="H44" s="65">
        <v>0.18233618233618235</v>
      </c>
      <c r="I44" s="66">
        <v>7928.7974683544307</v>
      </c>
      <c r="J44" s="66">
        <v>-8002.604166666667</v>
      </c>
      <c r="K44" s="65">
        <v>7.3170731707317069E-2</v>
      </c>
      <c r="L44" s="65">
        <v>7.3170731707317069E-2</v>
      </c>
      <c r="M44" s="65">
        <v>0.258309591642925</v>
      </c>
      <c r="N44" s="65">
        <v>0.21557454890788225</v>
      </c>
      <c r="O44" s="65">
        <v>0.56617647058823528</v>
      </c>
      <c r="P44" s="65">
        <v>0.40528634361233479</v>
      </c>
      <c r="Q44" s="65">
        <v>0.38607594936708861</v>
      </c>
    </row>
    <row r="45" spans="1:17" x14ac:dyDescent="0.4">
      <c r="A45" s="67">
        <v>42</v>
      </c>
      <c r="B45" s="64">
        <v>1.4210854715202004E-14</v>
      </c>
      <c r="C45" s="64">
        <v>1.1278456123176193E-16</v>
      </c>
      <c r="D45" s="69">
        <v>2</v>
      </c>
      <c r="E45" s="65">
        <v>0.33333333333333331</v>
      </c>
      <c r="F45" s="65">
        <v>0.33333333333333331</v>
      </c>
      <c r="G45" s="65">
        <v>0.29907407407407405</v>
      </c>
      <c r="H45" s="65">
        <v>0.17962962962962964</v>
      </c>
      <c r="I45" s="66">
        <v>7962.5386996904026</v>
      </c>
      <c r="J45" s="66">
        <v>-7977.8350515463917</v>
      </c>
      <c r="K45" s="65">
        <v>7.1428571428571425E-2</v>
      </c>
      <c r="L45" s="65">
        <v>7.1428571428571425E-2</v>
      </c>
      <c r="M45" s="65">
        <v>0.26018518518518519</v>
      </c>
      <c r="N45" s="65">
        <v>0.21296296296296297</v>
      </c>
      <c r="O45" s="65">
        <v>0.5658362989323843</v>
      </c>
      <c r="P45" s="65">
        <v>0.40434782608695652</v>
      </c>
      <c r="Q45" s="65">
        <v>0.39318885448916407</v>
      </c>
    </row>
    <row r="46" spans="1:17" x14ac:dyDescent="0.4">
      <c r="A46" s="67">
        <v>43</v>
      </c>
      <c r="B46" s="64">
        <v>1.4210854715202004E-14</v>
      </c>
      <c r="C46" s="64">
        <v>1.1016166445893026E-16</v>
      </c>
      <c r="D46" s="69">
        <v>2</v>
      </c>
      <c r="E46" s="65">
        <v>0.33333333333333331</v>
      </c>
      <c r="F46" s="65">
        <v>0.33333333333333331</v>
      </c>
      <c r="G46" s="65">
        <v>0.29891304347826086</v>
      </c>
      <c r="H46" s="65">
        <v>0.18025362318840579</v>
      </c>
      <c r="I46" s="66">
        <v>7945.757575757576</v>
      </c>
      <c r="J46" s="66">
        <v>-7919.0954773869344</v>
      </c>
      <c r="K46" s="65">
        <v>6.9767441860465115E-2</v>
      </c>
      <c r="L46" s="65">
        <v>6.9767441860465115E-2</v>
      </c>
      <c r="M46" s="65">
        <v>0.26177536231884058</v>
      </c>
      <c r="N46" s="65">
        <v>0.21195652173913043</v>
      </c>
      <c r="O46" s="65">
        <v>0.56401384083044981</v>
      </c>
      <c r="P46" s="65">
        <v>0.40598290598290598</v>
      </c>
      <c r="Q46" s="65">
        <v>0.39090909090909093</v>
      </c>
    </row>
    <row r="47" spans="1:17" x14ac:dyDescent="0.4">
      <c r="A47" s="67">
        <v>44</v>
      </c>
      <c r="B47" s="64">
        <v>1.4210854715202004E-14</v>
      </c>
      <c r="C47" s="64">
        <v>1.0765799026668185E-16</v>
      </c>
      <c r="D47" s="69">
        <v>2</v>
      </c>
      <c r="E47" s="65">
        <v>0.33333333333333331</v>
      </c>
      <c r="F47" s="65">
        <v>0.33333333333333331</v>
      </c>
      <c r="G47" s="65">
        <v>0.29955555555555557</v>
      </c>
      <c r="H47" s="65">
        <v>0.17955555555555555</v>
      </c>
      <c r="I47" s="66">
        <v>7872.106824925816</v>
      </c>
      <c r="J47" s="66">
        <v>-7860.8910891089108</v>
      </c>
      <c r="K47" s="65">
        <v>6.8181818181818177E-2</v>
      </c>
      <c r="L47" s="65">
        <v>6.8181818181818177E-2</v>
      </c>
      <c r="M47" s="65">
        <v>0.26222222222222225</v>
      </c>
      <c r="N47" s="65">
        <v>0.21066666666666667</v>
      </c>
      <c r="O47" s="65">
        <v>0.56271186440677967</v>
      </c>
      <c r="P47" s="65">
        <v>0.4050632911392405</v>
      </c>
      <c r="Q47" s="65">
        <v>0.39465875370919884</v>
      </c>
    </row>
    <row r="48" spans="1:17" x14ac:dyDescent="0.4">
      <c r="A48" s="67">
        <v>45</v>
      </c>
      <c r="B48" s="64">
        <v>1.4210854715202004E-14</v>
      </c>
      <c r="C48" s="64">
        <v>1.0526559048297781E-16</v>
      </c>
      <c r="D48" s="69">
        <v>2</v>
      </c>
      <c r="E48" s="65">
        <v>0.33333333333333331</v>
      </c>
      <c r="F48" s="65">
        <v>0.33333333333333331</v>
      </c>
      <c r="G48" s="65">
        <v>0.29956709956709959</v>
      </c>
      <c r="H48" s="65">
        <v>0.17922077922077922</v>
      </c>
      <c r="I48" s="66">
        <v>7918.7861271676302</v>
      </c>
      <c r="J48" s="66">
        <v>-7864.2512077294687</v>
      </c>
      <c r="K48" s="65">
        <v>6.6666666666666666E-2</v>
      </c>
      <c r="L48" s="65">
        <v>6.6666666666666666E-2</v>
      </c>
      <c r="M48" s="65">
        <v>0.25887445887445887</v>
      </c>
      <c r="N48" s="65">
        <v>0.21818181818181817</v>
      </c>
      <c r="O48" s="65">
        <v>0.56521739130434778</v>
      </c>
      <c r="P48" s="65">
        <v>0.40476190476190477</v>
      </c>
      <c r="Q48" s="65">
        <v>0.39595375722543352</v>
      </c>
    </row>
    <row r="49" spans="1:17" x14ac:dyDescent="0.4">
      <c r="A49" s="67">
        <v>46</v>
      </c>
      <c r="B49" s="64">
        <v>1.4210854715202004E-14</v>
      </c>
      <c r="C49" s="64">
        <v>1.0297720808117394E-16</v>
      </c>
      <c r="D49" s="69">
        <v>2</v>
      </c>
      <c r="E49" s="65">
        <v>0.33333333333333331</v>
      </c>
      <c r="F49" s="65">
        <v>0.33333333333333331</v>
      </c>
      <c r="G49" s="65">
        <v>0.30008525149190113</v>
      </c>
      <c r="H49" s="65">
        <v>0.17902813299232737</v>
      </c>
      <c r="I49" s="66">
        <v>7922.159090909091</v>
      </c>
      <c r="J49" s="66">
        <v>-7853.333333333333</v>
      </c>
      <c r="K49" s="65">
        <v>7.2463768115942032E-2</v>
      </c>
      <c r="L49" s="65">
        <v>7.2463768115942032E-2</v>
      </c>
      <c r="M49" s="65">
        <v>0.25916453537936912</v>
      </c>
      <c r="N49" s="65">
        <v>0.21739130434782608</v>
      </c>
      <c r="O49" s="65">
        <v>0.57236842105263153</v>
      </c>
      <c r="P49" s="65">
        <v>0.40392156862745099</v>
      </c>
      <c r="Q49" s="65">
        <v>0.39772727272727271</v>
      </c>
    </row>
    <row r="50" spans="1:17" x14ac:dyDescent="0.4">
      <c r="A50" s="67">
        <v>47</v>
      </c>
      <c r="B50" s="64">
        <v>1.4210854715202004E-14</v>
      </c>
      <c r="C50" s="64">
        <v>1.0078620365391492E-16</v>
      </c>
      <c r="D50" s="69">
        <v>2</v>
      </c>
      <c r="E50" s="65">
        <v>0.33333333333333331</v>
      </c>
      <c r="F50" s="65">
        <v>0.33333333333333331</v>
      </c>
      <c r="G50" s="65">
        <v>0.29966329966329969</v>
      </c>
      <c r="H50" s="65">
        <v>0.17929292929292928</v>
      </c>
      <c r="I50" s="66">
        <v>7983.9887640449442</v>
      </c>
      <c r="J50" s="66">
        <v>-7919.7183098591549</v>
      </c>
      <c r="K50" s="65">
        <v>7.8014184397163122E-2</v>
      </c>
      <c r="L50" s="65">
        <v>7.8014184397163122E-2</v>
      </c>
      <c r="M50" s="65">
        <v>0.25925925925925924</v>
      </c>
      <c r="N50" s="65">
        <v>0.21885521885521886</v>
      </c>
      <c r="O50" s="65">
        <v>0.57467532467532467</v>
      </c>
      <c r="P50" s="65">
        <v>0.4</v>
      </c>
      <c r="Q50" s="65">
        <v>0.3960674157303371</v>
      </c>
    </row>
    <row r="51" spans="1:17" x14ac:dyDescent="0.4">
      <c r="A51" s="67">
        <v>48</v>
      </c>
      <c r="B51" s="64">
        <v>1.4210854715202004E-14</v>
      </c>
      <c r="C51" s="64">
        <v>9.8686491077791687E-17</v>
      </c>
      <c r="D51" s="69">
        <v>2</v>
      </c>
      <c r="E51" s="65">
        <v>0.33333333333333331</v>
      </c>
      <c r="F51" s="65">
        <v>0.33333333333333331</v>
      </c>
      <c r="G51" s="65">
        <v>0.30016583747927034</v>
      </c>
      <c r="H51" s="65">
        <v>0.17993366500829189</v>
      </c>
      <c r="I51" s="66">
        <v>8049.7237569060771</v>
      </c>
      <c r="J51" s="66">
        <v>-7980.6451612903229</v>
      </c>
      <c r="K51" s="65">
        <v>7.6388888888888895E-2</v>
      </c>
      <c r="L51" s="65">
        <v>7.6388888888888895E-2</v>
      </c>
      <c r="M51" s="65">
        <v>0.25870646766169153</v>
      </c>
      <c r="N51" s="65">
        <v>0.21973466003316749</v>
      </c>
      <c r="O51" s="65">
        <v>0.58012820512820518</v>
      </c>
      <c r="P51" s="65">
        <v>0.4</v>
      </c>
      <c r="Q51" s="65">
        <v>0.39502762430939226</v>
      </c>
    </row>
    <row r="52" spans="1:17" x14ac:dyDescent="0.4">
      <c r="A52" s="67">
        <v>49</v>
      </c>
      <c r="B52" s="64">
        <v>7.1054273576010019E-15</v>
      </c>
      <c r="C52" s="64">
        <v>4.833624052789797E-17</v>
      </c>
      <c r="D52" s="69">
        <v>2</v>
      </c>
      <c r="E52" s="65">
        <v>0.33333333333333331</v>
      </c>
      <c r="F52" s="65">
        <v>0.33333333333333331</v>
      </c>
      <c r="G52" s="65">
        <v>0.30008110300081103</v>
      </c>
      <c r="H52" s="65">
        <v>0.18085969180859693</v>
      </c>
      <c r="I52" s="66">
        <v>8036.7567567567567</v>
      </c>
      <c r="J52" s="66">
        <v>-7928.6995515695071</v>
      </c>
      <c r="K52" s="65">
        <v>7.4829931972789115E-2</v>
      </c>
      <c r="L52" s="65">
        <v>7.4829931972789115E-2</v>
      </c>
      <c r="M52" s="65">
        <v>0.25628548256285483</v>
      </c>
      <c r="N52" s="65">
        <v>0.21897810218978103</v>
      </c>
      <c r="O52" s="65">
        <v>0.58227848101265822</v>
      </c>
      <c r="P52" s="65">
        <v>0.39629629629629631</v>
      </c>
      <c r="Q52" s="65">
        <v>0.39189189189189189</v>
      </c>
    </row>
    <row r="53" spans="1:17" x14ac:dyDescent="0.4">
      <c r="A53" s="67">
        <v>50</v>
      </c>
      <c r="B53" s="64">
        <v>1.0658141036401503E-14</v>
      </c>
      <c r="C53" s="64">
        <v>7.105427357601002E-17</v>
      </c>
      <c r="D53" s="69">
        <v>2</v>
      </c>
      <c r="E53" s="65">
        <v>0.33333333333333331</v>
      </c>
      <c r="F53" s="65">
        <v>0.33333333333333331</v>
      </c>
      <c r="G53" s="65">
        <v>0.30071599045346065</v>
      </c>
      <c r="H53" s="65">
        <v>0.18138424821002386</v>
      </c>
      <c r="I53" s="66">
        <v>8015.3439153439158</v>
      </c>
      <c r="J53" s="66">
        <v>-7869.2982456140353</v>
      </c>
      <c r="K53" s="65">
        <v>7.3333333333333334E-2</v>
      </c>
      <c r="L53" s="65">
        <v>7.3333333333333334E-2</v>
      </c>
      <c r="M53" s="65">
        <v>0.25616547334924422</v>
      </c>
      <c r="N53" s="65">
        <v>0.21877486077963404</v>
      </c>
      <c r="O53" s="65">
        <v>0.59006211180124224</v>
      </c>
      <c r="P53" s="65">
        <v>0.39636363636363636</v>
      </c>
      <c r="Q53" s="65">
        <v>0.39153439153439151</v>
      </c>
    </row>
    <row r="54" spans="1:17" x14ac:dyDescent="0.4">
      <c r="A54" s="67">
        <v>51</v>
      </c>
      <c r="B54" s="64">
        <v>1.4210854715202004E-14</v>
      </c>
      <c r="C54" s="64">
        <v>9.288140336733336E-17</v>
      </c>
      <c r="D54" s="69">
        <v>2</v>
      </c>
      <c r="E54" s="65">
        <v>0.33333333333333331</v>
      </c>
      <c r="F54" s="65">
        <v>0.33333333333333331</v>
      </c>
      <c r="G54" s="65">
        <v>0.29853054911059551</v>
      </c>
      <c r="H54" s="65">
        <v>0.18020108275328692</v>
      </c>
      <c r="I54" s="66">
        <v>7998.1865284974092</v>
      </c>
      <c r="J54" s="66">
        <v>-7809.8712446351929</v>
      </c>
      <c r="K54" s="65">
        <v>7.1895424836601302E-2</v>
      </c>
      <c r="L54" s="65">
        <v>7.1895424836601302E-2</v>
      </c>
      <c r="M54" s="65">
        <v>0.25599381283836042</v>
      </c>
      <c r="N54" s="65">
        <v>0.21887084300077339</v>
      </c>
      <c r="O54" s="65">
        <v>0.58308157099697888</v>
      </c>
      <c r="P54" s="65">
        <v>0.39575971731448761</v>
      </c>
      <c r="Q54" s="65">
        <v>0.39119170984455959</v>
      </c>
    </row>
    <row r="55" spans="1:17" x14ac:dyDescent="0.4">
      <c r="A55" s="67">
        <v>52</v>
      </c>
      <c r="B55" s="64">
        <v>1.0658141036401503E-14</v>
      </c>
      <c r="C55" s="64">
        <v>6.8321416900009637E-17</v>
      </c>
      <c r="D55" s="69">
        <v>2</v>
      </c>
      <c r="E55" s="65">
        <v>0.33333333333333331</v>
      </c>
      <c r="F55" s="65">
        <v>0.33333333333333331</v>
      </c>
      <c r="G55" s="65">
        <v>0.29908675799086759</v>
      </c>
      <c r="H55" s="65">
        <v>0.18036529680365296</v>
      </c>
      <c r="I55" s="66">
        <v>7976.5903307888038</v>
      </c>
      <c r="J55" s="66">
        <v>-7763.7130801687763</v>
      </c>
      <c r="K55" s="65">
        <v>7.0512820512820512E-2</v>
      </c>
      <c r="L55" s="65">
        <v>7.0512820512820512E-2</v>
      </c>
      <c r="M55" s="65">
        <v>0.25266362252663621</v>
      </c>
      <c r="N55" s="65">
        <v>0.21917808219178081</v>
      </c>
      <c r="O55" s="65">
        <v>0.58433734939759041</v>
      </c>
      <c r="P55" s="65">
        <v>0.39930555555555558</v>
      </c>
      <c r="Q55" s="65">
        <v>0.39185750636132316</v>
      </c>
    </row>
    <row r="56" spans="1:17" x14ac:dyDescent="0.4">
      <c r="A56" s="67">
        <v>53</v>
      </c>
      <c r="B56" s="64">
        <v>1.4210854715202004E-14</v>
      </c>
      <c r="C56" s="64">
        <v>8.9376444749698141E-17</v>
      </c>
      <c r="D56" s="69">
        <v>2</v>
      </c>
      <c r="E56" s="65">
        <v>0.33333333333333331</v>
      </c>
      <c r="F56" s="65">
        <v>0.33333333333333331</v>
      </c>
      <c r="G56" s="65">
        <v>0.29864253393665158</v>
      </c>
      <c r="H56" s="65">
        <v>0.18024132730015083</v>
      </c>
      <c r="I56" s="66">
        <v>8037.3737373737376</v>
      </c>
      <c r="J56" s="66">
        <v>-7799.1631799163179</v>
      </c>
      <c r="K56" s="65">
        <v>7.5471698113207544E-2</v>
      </c>
      <c r="L56" s="65">
        <v>7.5471698113207544E-2</v>
      </c>
      <c r="M56" s="65">
        <v>0.25339366515837103</v>
      </c>
      <c r="N56" s="65">
        <v>0.21870286576168929</v>
      </c>
      <c r="O56" s="65">
        <v>0.58333333333333337</v>
      </c>
      <c r="P56" s="65">
        <v>0.4</v>
      </c>
      <c r="Q56" s="65">
        <v>0.39141414141414144</v>
      </c>
    </row>
    <row r="57" spans="1:17" x14ac:dyDescent="0.4">
      <c r="A57" s="67">
        <v>54</v>
      </c>
      <c r="B57" s="64">
        <v>1.4210854715202004E-14</v>
      </c>
      <c r="C57" s="64">
        <v>8.77213254024815E-17</v>
      </c>
      <c r="D57" s="69">
        <v>2</v>
      </c>
      <c r="E57" s="65">
        <v>0.33333333333333331</v>
      </c>
      <c r="F57" s="65">
        <v>0.33333333333333331</v>
      </c>
      <c r="G57" s="65">
        <v>0.29933481152993346</v>
      </c>
      <c r="H57" s="65">
        <v>0.17960088691796008</v>
      </c>
      <c r="I57" s="66">
        <v>7994.5679012345681</v>
      </c>
      <c r="J57" s="66">
        <v>-7762.9629629629626</v>
      </c>
      <c r="K57" s="65">
        <v>7.407407407407407E-2</v>
      </c>
      <c r="L57" s="65">
        <v>7.407407407407407E-2</v>
      </c>
      <c r="M57" s="65">
        <v>0.25277161862527714</v>
      </c>
      <c r="N57" s="65">
        <v>0.21951219512195122</v>
      </c>
      <c r="O57" s="65">
        <v>0.58479532163742687</v>
      </c>
      <c r="P57" s="65">
        <v>0.39730639730639733</v>
      </c>
      <c r="Q57" s="65">
        <v>0.39506172839506171</v>
      </c>
    </row>
    <row r="58" spans="1:17" x14ac:dyDescent="0.4">
      <c r="A58" s="67">
        <v>55</v>
      </c>
      <c r="B58" s="64">
        <v>1.0658141036401503E-14</v>
      </c>
      <c r="C58" s="64">
        <v>6.4594794160009105E-17</v>
      </c>
      <c r="D58" s="69">
        <v>2</v>
      </c>
      <c r="E58" s="65">
        <v>0.33333333333333331</v>
      </c>
      <c r="F58" s="65">
        <v>0.33333333333333331</v>
      </c>
      <c r="G58" s="65">
        <v>0.29832239241429614</v>
      </c>
      <c r="H58" s="65">
        <v>0.17797228300510576</v>
      </c>
      <c r="I58" s="66">
        <v>8052.3227383863077</v>
      </c>
      <c r="J58" s="66">
        <v>-7763.9344262295081</v>
      </c>
      <c r="K58" s="65">
        <v>7.8787878787878782E-2</v>
      </c>
      <c r="L58" s="65">
        <v>7.8787878787878782E-2</v>
      </c>
      <c r="M58" s="65">
        <v>0.25382932166301969</v>
      </c>
      <c r="N58" s="65">
        <v>0.21881838074398249</v>
      </c>
      <c r="O58" s="65">
        <v>0.58333333333333337</v>
      </c>
      <c r="P58" s="65">
        <v>0.39333333333333331</v>
      </c>
      <c r="Q58" s="65">
        <v>0.39853300733496333</v>
      </c>
    </row>
    <row r="59" spans="1:17" x14ac:dyDescent="0.4">
      <c r="A59" s="67">
        <v>56</v>
      </c>
      <c r="B59" s="64">
        <v>1.4210854715202004E-14</v>
      </c>
      <c r="C59" s="64">
        <v>8.4588420923821446E-17</v>
      </c>
      <c r="D59" s="69">
        <v>2</v>
      </c>
      <c r="E59" s="65">
        <v>0.33333333333333331</v>
      </c>
      <c r="F59" s="65">
        <v>0.33333333333333331</v>
      </c>
      <c r="G59" s="65">
        <v>0.29677419354838708</v>
      </c>
      <c r="H59" s="65">
        <v>0.17777777777777778</v>
      </c>
      <c r="I59" s="66">
        <v>8119.3236714975847</v>
      </c>
      <c r="J59" s="66">
        <v>-7888.7096774193551</v>
      </c>
      <c r="K59" s="65">
        <v>8.3333333333333329E-2</v>
      </c>
      <c r="L59" s="65">
        <v>8.3333333333333329E-2</v>
      </c>
      <c r="M59" s="65">
        <v>0.25448028673835127</v>
      </c>
      <c r="N59" s="65">
        <v>0.21863799283154123</v>
      </c>
      <c r="O59" s="65">
        <v>0.58309859154929577</v>
      </c>
      <c r="P59" s="65">
        <v>0.39016393442622949</v>
      </c>
      <c r="Q59" s="65">
        <v>0.39613526570048307</v>
      </c>
    </row>
    <row r="60" spans="1:17" x14ac:dyDescent="0.4">
      <c r="A60" s="67">
        <v>57</v>
      </c>
      <c r="B60" s="64">
        <v>1.4210854715202004E-14</v>
      </c>
      <c r="C60" s="64">
        <v>8.3104413539193E-17</v>
      </c>
      <c r="D60" s="69">
        <v>2</v>
      </c>
      <c r="E60" s="65">
        <v>0.33333333333333331</v>
      </c>
      <c r="F60" s="65">
        <v>0.33333333333333331</v>
      </c>
      <c r="G60" s="65">
        <v>0.29676511954992968</v>
      </c>
      <c r="H60" s="65">
        <v>0.17791842475386779</v>
      </c>
      <c r="I60" s="66">
        <v>8092.1800947867296</v>
      </c>
      <c r="J60" s="66">
        <v>-7834.387351778656</v>
      </c>
      <c r="K60" s="65">
        <v>8.1871345029239762E-2</v>
      </c>
      <c r="L60" s="65">
        <v>8.1871345029239762E-2</v>
      </c>
      <c r="M60" s="65">
        <v>0.25668073136427566</v>
      </c>
      <c r="N60" s="65">
        <v>0.21800281293952181</v>
      </c>
      <c r="O60" s="65">
        <v>0.58356164383561648</v>
      </c>
      <c r="P60" s="65">
        <v>0.38387096774193546</v>
      </c>
      <c r="Q60" s="65">
        <v>0.39573459715639808</v>
      </c>
    </row>
    <row r="61" spans="1:17" x14ac:dyDescent="0.4">
      <c r="A61" s="67">
        <v>58</v>
      </c>
      <c r="B61" s="64">
        <v>1.4210854715202004E-14</v>
      </c>
      <c r="C61" s="64">
        <v>8.167157882300002E-17</v>
      </c>
      <c r="D61" s="69">
        <v>2</v>
      </c>
      <c r="E61" s="65">
        <v>0.33333333333333331</v>
      </c>
      <c r="F61" s="65">
        <v>0.33333333333333331</v>
      </c>
      <c r="G61" s="65">
        <v>0.29842573579739906</v>
      </c>
      <c r="H61" s="65">
        <v>0.17864476386036962</v>
      </c>
      <c r="I61" s="66">
        <v>8131.880733944954</v>
      </c>
      <c r="J61" s="66">
        <v>-7882.7586206896549</v>
      </c>
      <c r="K61" s="65">
        <v>8.0459770114942528E-2</v>
      </c>
      <c r="L61" s="65">
        <v>8.0459770114942528E-2</v>
      </c>
      <c r="M61" s="65">
        <v>0.25941136208076659</v>
      </c>
      <c r="N61" s="65">
        <v>0.21492128678986996</v>
      </c>
      <c r="O61" s="65">
        <v>0.58839050131926118</v>
      </c>
      <c r="P61" s="65">
        <v>0.38216560509554143</v>
      </c>
      <c r="Q61" s="65">
        <v>0.39449541284403672</v>
      </c>
    </row>
    <row r="62" spans="1:17" x14ac:dyDescent="0.4">
      <c r="A62" s="67">
        <v>59</v>
      </c>
      <c r="B62" s="64">
        <v>1.1546319456101628E-14</v>
      </c>
      <c r="C62" s="64">
        <v>6.5233443254811461E-17</v>
      </c>
      <c r="D62" s="69">
        <v>2</v>
      </c>
      <c r="E62" s="65">
        <v>0.33333333333333331</v>
      </c>
      <c r="F62" s="65">
        <v>0.33333333333333331</v>
      </c>
      <c r="G62" s="65">
        <v>0.29878048780487804</v>
      </c>
      <c r="H62" s="65">
        <v>0.17886178861788618</v>
      </c>
      <c r="I62" s="66">
        <v>8188.4353741496598</v>
      </c>
      <c r="J62" s="66">
        <v>-7929.545454545455</v>
      </c>
      <c r="K62" s="65">
        <v>8.4745762711864403E-2</v>
      </c>
      <c r="L62" s="65">
        <v>8.4745762711864403E-2</v>
      </c>
      <c r="M62" s="65">
        <v>0.26016260162601629</v>
      </c>
      <c r="N62" s="65">
        <v>0.21409214092140921</v>
      </c>
      <c r="O62" s="65">
        <v>0.59114583333333337</v>
      </c>
      <c r="P62" s="65">
        <v>0.379746835443038</v>
      </c>
      <c r="Q62" s="65">
        <v>0.39455782312925169</v>
      </c>
    </row>
    <row r="63" spans="1:17" x14ac:dyDescent="0.4">
      <c r="A63" s="67">
        <v>60</v>
      </c>
      <c r="B63" s="64">
        <v>1.4210854715202004E-14</v>
      </c>
      <c r="C63" s="64">
        <v>7.8949192862233357E-17</v>
      </c>
      <c r="D63" s="69">
        <v>2</v>
      </c>
      <c r="E63" s="65">
        <v>0.33333333333333331</v>
      </c>
      <c r="F63" s="65">
        <v>0.33333333333333331</v>
      </c>
      <c r="G63" s="65">
        <v>0.29866666666666669</v>
      </c>
      <c r="H63" s="65">
        <v>0.17799999999999999</v>
      </c>
      <c r="I63" s="66">
        <v>8133.2589285714284</v>
      </c>
      <c r="J63" s="66">
        <v>-7889.8876404494385</v>
      </c>
      <c r="K63" s="65">
        <v>8.3333333333333329E-2</v>
      </c>
      <c r="L63" s="65">
        <v>8.3333333333333329E-2</v>
      </c>
      <c r="M63" s="65">
        <v>0.26266666666666666</v>
      </c>
      <c r="N63" s="65">
        <v>0.21133333333333335</v>
      </c>
      <c r="O63" s="65">
        <v>0.58629441624365486</v>
      </c>
      <c r="P63" s="65">
        <v>0.38170347003154576</v>
      </c>
      <c r="Q63" s="65">
        <v>0.39732142857142855</v>
      </c>
    </row>
    <row r="64" spans="1:17" x14ac:dyDescent="0.4">
      <c r="A64" s="67">
        <v>61</v>
      </c>
      <c r="B64" s="64">
        <v>1.4210854715202004E-14</v>
      </c>
      <c r="C64" s="64">
        <v>7.7654943798918053E-17</v>
      </c>
      <c r="D64" s="69">
        <v>2</v>
      </c>
      <c r="E64" s="65">
        <v>0.33333333333333331</v>
      </c>
      <c r="F64" s="65">
        <v>0.33333333333333331</v>
      </c>
      <c r="G64" s="65">
        <v>0.29921259842519687</v>
      </c>
      <c r="H64" s="65">
        <v>0.17847769028871391</v>
      </c>
      <c r="I64" s="66">
        <v>8106.5789473684208</v>
      </c>
      <c r="J64" s="66">
        <v>-7872.7941176470586</v>
      </c>
      <c r="K64" s="65">
        <v>8.1967213114754092E-2</v>
      </c>
      <c r="L64" s="65">
        <v>8.1967213114754092E-2</v>
      </c>
      <c r="M64" s="65">
        <v>0.26181102362204722</v>
      </c>
      <c r="N64" s="65">
        <v>0.2125984251968504</v>
      </c>
      <c r="O64" s="65">
        <v>0.58897243107769426</v>
      </c>
      <c r="P64" s="65">
        <v>0.38271604938271603</v>
      </c>
      <c r="Q64" s="65">
        <v>0.39692982456140352</v>
      </c>
    </row>
    <row r="65" spans="1:17" x14ac:dyDescent="0.4">
      <c r="A65" s="67">
        <v>62</v>
      </c>
      <c r="B65" s="64">
        <v>2.1316282072803006E-14</v>
      </c>
      <c r="C65" s="64">
        <v>1.1460366705808067E-16</v>
      </c>
      <c r="D65" s="69">
        <v>2</v>
      </c>
      <c r="E65" s="65">
        <v>0.33333333333333331</v>
      </c>
      <c r="F65" s="65">
        <v>0.33333333333333331</v>
      </c>
      <c r="G65" s="65">
        <v>0.29961089494163423</v>
      </c>
      <c r="H65" s="65">
        <v>0.17833981841763943</v>
      </c>
      <c r="I65" s="66">
        <v>8109.7402597402597</v>
      </c>
      <c r="J65" s="66">
        <v>-7903.272727272727</v>
      </c>
      <c r="K65" s="65">
        <v>8.0645161290322578E-2</v>
      </c>
      <c r="L65" s="65">
        <v>8.0645161290322578E-2</v>
      </c>
      <c r="M65" s="65">
        <v>0.26134889753566798</v>
      </c>
      <c r="N65" s="65">
        <v>0.21141374837872892</v>
      </c>
      <c r="O65" s="65">
        <v>0.59057071960297769</v>
      </c>
      <c r="P65" s="65">
        <v>0.38650306748466257</v>
      </c>
      <c r="Q65" s="65">
        <v>0.39826839826839827</v>
      </c>
    </row>
    <row r="66" spans="1:17" x14ac:dyDescent="0.4">
      <c r="A66" s="67">
        <v>63</v>
      </c>
      <c r="B66" s="64">
        <v>2.1316282072803006E-14</v>
      </c>
      <c r="C66" s="64">
        <v>1.1278456123176193E-16</v>
      </c>
      <c r="D66" s="69">
        <v>2</v>
      </c>
      <c r="E66" s="65">
        <v>0.33333333333333331</v>
      </c>
      <c r="F66" s="65">
        <v>0.33333333333333331</v>
      </c>
      <c r="G66" s="65">
        <v>0.3</v>
      </c>
      <c r="H66" s="65">
        <v>0.17884615384615385</v>
      </c>
      <c r="I66" s="66">
        <v>8095.2991452991455</v>
      </c>
      <c r="J66" s="66">
        <v>-7883.8709677419356</v>
      </c>
      <c r="K66" s="65">
        <v>7.9365079365079361E-2</v>
      </c>
      <c r="L66" s="65">
        <v>7.9365079365079361E-2</v>
      </c>
      <c r="M66" s="65">
        <v>0.25961538461538464</v>
      </c>
      <c r="N66" s="65">
        <v>0.20961538461538462</v>
      </c>
      <c r="O66" s="65">
        <v>0.59012345679012346</v>
      </c>
      <c r="P66" s="65">
        <v>0.38532110091743121</v>
      </c>
      <c r="Q66" s="65">
        <v>0.39743589743589741</v>
      </c>
    </row>
    <row r="67" spans="1:17" x14ac:dyDescent="0.4">
      <c r="A67" s="67">
        <v>64</v>
      </c>
      <c r="B67" s="64">
        <v>2.1316282072803006E-14</v>
      </c>
      <c r="C67" s="64">
        <v>1.1102230246251565E-16</v>
      </c>
      <c r="D67" s="69">
        <v>2</v>
      </c>
      <c r="E67" s="65">
        <v>0.33333333333333331</v>
      </c>
      <c r="F67" s="65">
        <v>0.33333333333333331</v>
      </c>
      <c r="G67" s="65">
        <v>0.30044275774826057</v>
      </c>
      <c r="H67" s="65">
        <v>0.17773561037318153</v>
      </c>
      <c r="I67" s="66">
        <v>8209.4736842105267</v>
      </c>
      <c r="J67" s="66">
        <v>-7880.7829181494662</v>
      </c>
      <c r="K67" s="65">
        <v>8.3333333333333329E-2</v>
      </c>
      <c r="L67" s="65">
        <v>8.3333333333333329E-2</v>
      </c>
      <c r="M67" s="65">
        <v>0.25932953826691968</v>
      </c>
      <c r="N67" s="65">
        <v>0.21125869702719799</v>
      </c>
      <c r="O67" s="65">
        <v>0.59268292682926826</v>
      </c>
      <c r="P67" s="65">
        <v>0.38622754491017963</v>
      </c>
      <c r="Q67" s="65">
        <v>0.40210526315789474</v>
      </c>
    </row>
    <row r="68" spans="1:17" x14ac:dyDescent="0.4">
      <c r="A68" s="67">
        <v>65</v>
      </c>
      <c r="B68" s="64">
        <v>1.7763568394002505E-14</v>
      </c>
      <c r="C68" s="64">
        <v>9.1095222533346175E-17</v>
      </c>
      <c r="D68" s="69">
        <v>2</v>
      </c>
      <c r="E68" s="65">
        <v>0.33333333333333331</v>
      </c>
      <c r="F68" s="65">
        <v>0.33333333333333331</v>
      </c>
      <c r="G68" s="65">
        <v>0.30012300123001229</v>
      </c>
      <c r="H68" s="65">
        <v>0.17712177121771217</v>
      </c>
      <c r="I68" s="66">
        <v>8204.7131147540986</v>
      </c>
      <c r="J68" s="66">
        <v>-7851.7361111111113</v>
      </c>
      <c r="K68" s="65">
        <v>8.7179487179487175E-2</v>
      </c>
      <c r="L68" s="65">
        <v>8.7179487179487175E-2</v>
      </c>
      <c r="M68" s="65">
        <v>0.25645756457564578</v>
      </c>
      <c r="N68" s="65">
        <v>0.21217712177121772</v>
      </c>
      <c r="O68" s="65">
        <v>0.59472422062350117</v>
      </c>
      <c r="P68" s="65">
        <v>0.38550724637681161</v>
      </c>
      <c r="Q68" s="65">
        <v>0.40163934426229508</v>
      </c>
    </row>
    <row r="69" spans="1:17" x14ac:dyDescent="0.4">
      <c r="A69" s="67">
        <v>66</v>
      </c>
      <c r="B69" s="64">
        <v>1.4210854715202004E-14</v>
      </c>
      <c r="C69" s="64">
        <v>7.1771993511121237E-17</v>
      </c>
      <c r="D69" s="69">
        <v>2</v>
      </c>
      <c r="E69" s="65">
        <v>0.33333333333333331</v>
      </c>
      <c r="F69" s="65">
        <v>0.33333333333333331</v>
      </c>
      <c r="G69" s="65">
        <v>0.30054644808743169</v>
      </c>
      <c r="H69" s="65">
        <v>0.17789921068609593</v>
      </c>
      <c r="I69" s="66">
        <v>8227.878787878788</v>
      </c>
      <c r="J69" s="66">
        <v>-7928.3276450511948</v>
      </c>
      <c r="K69" s="65">
        <v>9.0909090909090912E-2</v>
      </c>
      <c r="L69" s="65">
        <v>9.0909090909090912E-2</v>
      </c>
      <c r="M69" s="65">
        <v>0.25622343655130542</v>
      </c>
      <c r="N69" s="65">
        <v>0.21250758955676988</v>
      </c>
      <c r="O69" s="65">
        <v>0.59715639810426535</v>
      </c>
      <c r="P69" s="65">
        <v>0.38857142857142857</v>
      </c>
      <c r="Q69" s="65">
        <v>0.4</v>
      </c>
    </row>
    <row r="70" spans="1:17" x14ac:dyDescent="0.4">
      <c r="A70" s="67">
        <v>67</v>
      </c>
      <c r="B70" s="64">
        <v>1.4210854715202004E-14</v>
      </c>
      <c r="C70" s="64">
        <v>7.0700769727373151E-17</v>
      </c>
      <c r="D70" s="69">
        <v>2</v>
      </c>
      <c r="E70" s="65">
        <v>0.33333333333333331</v>
      </c>
      <c r="F70" s="65">
        <v>0.33333333333333331</v>
      </c>
      <c r="G70" s="65">
        <v>0.2994047619047619</v>
      </c>
      <c r="H70" s="65">
        <v>0.1767857142857143</v>
      </c>
      <c r="I70" s="66">
        <v>8229.224652087476</v>
      </c>
      <c r="J70" s="66">
        <v>-7890.5723905723908</v>
      </c>
      <c r="K70" s="65">
        <v>8.9552238805970144E-2</v>
      </c>
      <c r="L70" s="65">
        <v>8.9552238805970144E-2</v>
      </c>
      <c r="M70" s="65">
        <v>0.25535714285714284</v>
      </c>
      <c r="N70" s="65">
        <v>0.21309523809523809</v>
      </c>
      <c r="O70" s="65">
        <v>0.5990675990675991</v>
      </c>
      <c r="P70" s="65">
        <v>0.38547486033519551</v>
      </c>
      <c r="Q70" s="65">
        <v>0.40159045725646125</v>
      </c>
    </row>
    <row r="71" spans="1:17" x14ac:dyDescent="0.4">
      <c r="A71" s="67">
        <v>68</v>
      </c>
      <c r="B71" s="64">
        <v>1.2434497875801753E-14</v>
      </c>
      <c r="C71" s="64">
        <v>6.0953420959812521E-17</v>
      </c>
      <c r="D71" s="69">
        <v>2</v>
      </c>
      <c r="E71" s="65">
        <v>0.33333333333333331</v>
      </c>
      <c r="F71" s="65">
        <v>0.33333333333333331</v>
      </c>
      <c r="G71" s="65">
        <v>0.29929577464788731</v>
      </c>
      <c r="H71" s="65">
        <v>0.17664319248826291</v>
      </c>
      <c r="I71" s="66">
        <v>8230.5882352941171</v>
      </c>
      <c r="J71" s="66">
        <v>-7872.7574750830563</v>
      </c>
      <c r="K71" s="65">
        <v>9.3137254901960786E-2</v>
      </c>
      <c r="L71" s="65">
        <v>9.3137254901960786E-2</v>
      </c>
      <c r="M71" s="65">
        <v>0.25586854460093894</v>
      </c>
      <c r="N71" s="65">
        <v>0.21478873239436619</v>
      </c>
      <c r="O71" s="65">
        <v>0.60321100917431192</v>
      </c>
      <c r="P71" s="65">
        <v>0.3797814207650273</v>
      </c>
      <c r="Q71" s="65">
        <v>0.40196078431372551</v>
      </c>
    </row>
    <row r="72" spans="1:17" x14ac:dyDescent="0.4">
      <c r="A72" s="67">
        <v>69</v>
      </c>
      <c r="B72" s="64">
        <v>1.4210854715202004E-14</v>
      </c>
      <c r="C72" s="64">
        <v>6.8651472054115957E-17</v>
      </c>
      <c r="D72" s="69">
        <v>2</v>
      </c>
      <c r="E72" s="65">
        <v>0.33333333333333331</v>
      </c>
      <c r="F72" s="65">
        <v>0.33333333333333331</v>
      </c>
      <c r="G72" s="65">
        <v>0.29895104895104896</v>
      </c>
      <c r="H72" s="65">
        <v>0.17715617715617715</v>
      </c>
      <c r="I72" s="66">
        <v>8295.5165692007795</v>
      </c>
      <c r="J72" s="66">
        <v>-7985.855263157895</v>
      </c>
      <c r="K72" s="65">
        <v>9.6618357487922704E-2</v>
      </c>
      <c r="L72" s="65">
        <v>9.6618357487922704E-2</v>
      </c>
      <c r="M72" s="65">
        <v>0.25524475524475526</v>
      </c>
      <c r="N72" s="65">
        <v>0.21561771561771562</v>
      </c>
      <c r="O72" s="65">
        <v>0.60502283105022836</v>
      </c>
      <c r="P72" s="65">
        <v>0.37567567567567567</v>
      </c>
      <c r="Q72" s="65">
        <v>0.39961013645224169</v>
      </c>
    </row>
    <row r="73" spans="1:17" x14ac:dyDescent="0.4">
      <c r="A73" s="67">
        <v>70</v>
      </c>
      <c r="B73" s="64">
        <v>1.4210854715202004E-14</v>
      </c>
      <c r="C73" s="64">
        <v>6.7670736739057167E-17</v>
      </c>
      <c r="D73" s="69">
        <v>2</v>
      </c>
      <c r="E73" s="65">
        <v>0.33333333333333331</v>
      </c>
      <c r="F73" s="65">
        <v>0.33333333333333331</v>
      </c>
      <c r="G73" s="65">
        <v>0.29873125720876587</v>
      </c>
      <c r="H73" s="65">
        <v>0.17647058823529413</v>
      </c>
      <c r="I73" s="66">
        <v>8297.2972972972966</v>
      </c>
      <c r="J73" s="66">
        <v>-8012.0915032679741</v>
      </c>
      <c r="K73" s="65">
        <v>0.1</v>
      </c>
      <c r="L73" s="65">
        <v>0.1</v>
      </c>
      <c r="M73" s="65">
        <v>0.25490196078431371</v>
      </c>
      <c r="N73" s="65">
        <v>0.21626297577854672</v>
      </c>
      <c r="O73" s="65">
        <v>0.60407239819004521</v>
      </c>
      <c r="P73" s="65">
        <v>0.37866666666666665</v>
      </c>
      <c r="Q73" s="65">
        <v>0.40154440154440152</v>
      </c>
    </row>
    <row r="74" spans="1:17" x14ac:dyDescent="0.4">
      <c r="A74" s="67">
        <v>71</v>
      </c>
      <c r="B74" s="64">
        <v>1.4210854715202004E-14</v>
      </c>
      <c r="C74" s="64">
        <v>6.6717627770901427E-17</v>
      </c>
      <c r="D74" s="69">
        <v>2</v>
      </c>
      <c r="E74" s="65">
        <v>0.33333333333333331</v>
      </c>
      <c r="F74" s="65">
        <v>0.33333333333333331</v>
      </c>
      <c r="G74" s="65">
        <v>0.29869392390687111</v>
      </c>
      <c r="H74" s="65">
        <v>0.17603634298693924</v>
      </c>
      <c r="I74" s="66">
        <v>8281.3688212927755</v>
      </c>
      <c r="J74" s="66">
        <v>-8012.5806451612907</v>
      </c>
      <c r="K74" s="65">
        <v>9.8591549295774641E-2</v>
      </c>
      <c r="L74" s="65">
        <v>9.8591549295774641E-2</v>
      </c>
      <c r="M74" s="65">
        <v>0.2566723452583759</v>
      </c>
      <c r="N74" s="65">
        <v>0.21465076660988075</v>
      </c>
      <c r="O74" s="65">
        <v>0.60176991150442483</v>
      </c>
      <c r="P74" s="65">
        <v>0.38095238095238093</v>
      </c>
      <c r="Q74" s="65">
        <v>0.40304182509505704</v>
      </c>
    </row>
    <row r="75" spans="1:17" x14ac:dyDescent="0.4">
      <c r="A75" s="67">
        <v>72</v>
      </c>
      <c r="B75" s="64">
        <v>7.1054273576010019E-15</v>
      </c>
      <c r="C75" s="64">
        <v>3.2895497025930562E-17</v>
      </c>
      <c r="D75" s="69">
        <v>2</v>
      </c>
      <c r="E75" s="65">
        <v>0.33333333333333331</v>
      </c>
      <c r="F75" s="65">
        <v>0.33333333333333331</v>
      </c>
      <c r="G75" s="65">
        <v>0.2981574539363484</v>
      </c>
      <c r="H75" s="65">
        <v>0.17532104969290899</v>
      </c>
      <c r="I75" s="66">
        <v>8268.7265917602999</v>
      </c>
      <c r="J75" s="66">
        <v>-8005.0955414012742</v>
      </c>
      <c r="K75" s="65">
        <v>9.7222222222222224E-2</v>
      </c>
      <c r="L75" s="65">
        <v>9.7222222222222224E-2</v>
      </c>
      <c r="M75" s="65">
        <v>0.25572305974316023</v>
      </c>
      <c r="N75" s="65">
        <v>0.21887213847012843</v>
      </c>
      <c r="O75" s="65">
        <v>0.60043668122270744</v>
      </c>
      <c r="P75" s="65">
        <v>0.37755102040816324</v>
      </c>
      <c r="Q75" s="65">
        <v>0.4044943820224719</v>
      </c>
    </row>
    <row r="76" spans="1:17" x14ac:dyDescent="0.4">
      <c r="A76" s="67">
        <v>73</v>
      </c>
      <c r="B76" s="64">
        <v>5.3290705182007514E-15</v>
      </c>
      <c r="C76" s="64">
        <v>2.4333655334250005E-17</v>
      </c>
      <c r="D76" s="69">
        <v>2</v>
      </c>
      <c r="E76" s="65">
        <v>0.33333333333333331</v>
      </c>
      <c r="F76" s="65">
        <v>0.33333333333333331</v>
      </c>
      <c r="G76" s="65">
        <v>0.29911699779249445</v>
      </c>
      <c r="H76" s="65">
        <v>0.17494481236203091</v>
      </c>
      <c r="I76" s="66">
        <v>8251.8450184501853</v>
      </c>
      <c r="J76" s="66">
        <v>-7997.4763406940065</v>
      </c>
      <c r="K76" s="65">
        <v>9.5890410958904104E-2</v>
      </c>
      <c r="L76" s="65">
        <v>9.5890410958904104E-2</v>
      </c>
      <c r="M76" s="65">
        <v>0.25662251655629137</v>
      </c>
      <c r="N76" s="65">
        <v>0.217439293598234</v>
      </c>
      <c r="O76" s="65">
        <v>0.60430107526881716</v>
      </c>
      <c r="P76" s="65">
        <v>0.37817258883248733</v>
      </c>
      <c r="Q76" s="65">
        <v>0.4059040590405904</v>
      </c>
    </row>
    <row r="77" spans="1:17" x14ac:dyDescent="0.4">
      <c r="A77" s="67">
        <v>74</v>
      </c>
      <c r="B77" s="64">
        <v>4.2188474935755949E-15</v>
      </c>
      <c r="C77" s="64">
        <v>1.9003817538628806E-17</v>
      </c>
      <c r="D77" s="69">
        <v>2</v>
      </c>
      <c r="E77" s="65">
        <v>0.33333333333333331</v>
      </c>
      <c r="F77" s="65">
        <v>0.33333333333333331</v>
      </c>
      <c r="G77" s="65">
        <v>0.29810298102981031</v>
      </c>
      <c r="H77" s="65">
        <v>0.17398373983739837</v>
      </c>
      <c r="I77" s="66">
        <v>8217.636363636364</v>
      </c>
      <c r="J77" s="66">
        <v>-7938.3177570093458</v>
      </c>
      <c r="K77" s="65">
        <v>9.45945945945946E-2</v>
      </c>
      <c r="L77" s="65">
        <v>9.45945945945946E-2</v>
      </c>
      <c r="M77" s="65">
        <v>0.25528455284552848</v>
      </c>
      <c r="N77" s="65">
        <v>0.21680216802168023</v>
      </c>
      <c r="O77" s="65">
        <v>0.60297239915074308</v>
      </c>
      <c r="P77" s="65">
        <v>0.38</v>
      </c>
      <c r="Q77" s="65">
        <v>0.40727272727272729</v>
      </c>
    </row>
    <row r="78" spans="1:17" x14ac:dyDescent="0.4">
      <c r="A78" s="67">
        <v>75</v>
      </c>
      <c r="B78" s="64">
        <v>1.7763568394002505E-15</v>
      </c>
      <c r="C78" s="64">
        <v>7.8949192862233354E-18</v>
      </c>
      <c r="D78" s="69">
        <v>2</v>
      </c>
      <c r="E78" s="65">
        <v>0.33333333333333331</v>
      </c>
      <c r="F78" s="65">
        <v>0.33333333333333331</v>
      </c>
      <c r="G78" s="65">
        <v>0.29754273504273504</v>
      </c>
      <c r="H78" s="65">
        <v>0.17414529914529914</v>
      </c>
      <c r="I78" s="66">
        <v>8168.9407540394977</v>
      </c>
      <c r="J78" s="66">
        <v>-7896.932515337423</v>
      </c>
      <c r="K78" s="65">
        <v>9.3333333333333338E-2</v>
      </c>
      <c r="L78" s="65">
        <v>9.3333333333333338E-2</v>
      </c>
      <c r="M78" s="65">
        <v>0.25534188034188032</v>
      </c>
      <c r="N78" s="65">
        <v>0.21688034188034189</v>
      </c>
      <c r="O78" s="65">
        <v>0.59832635983263593</v>
      </c>
      <c r="P78" s="65">
        <v>0.38423645320197042</v>
      </c>
      <c r="Q78" s="65">
        <v>0.40574506283662476</v>
      </c>
    </row>
    <row r="79" spans="1:17" x14ac:dyDescent="0.4">
      <c r="A79" s="67">
        <v>76</v>
      </c>
      <c r="B79" s="64">
        <v>0</v>
      </c>
      <c r="C79" s="64">
        <v>0</v>
      </c>
      <c r="D79" s="69">
        <v>2</v>
      </c>
      <c r="E79" s="65">
        <v>0.33333333333333331</v>
      </c>
      <c r="F79" s="65">
        <v>0.33333333333333331</v>
      </c>
      <c r="G79" s="65">
        <v>0.2976939203354298</v>
      </c>
      <c r="H79" s="65">
        <v>0.17348008385744235</v>
      </c>
      <c r="I79" s="66">
        <v>8172.1830985915494</v>
      </c>
      <c r="J79" s="66">
        <v>-7893.3534743202417</v>
      </c>
      <c r="K79" s="65">
        <v>9.2105263157894732E-2</v>
      </c>
      <c r="L79" s="65">
        <v>9.2105263157894732E-2</v>
      </c>
      <c r="M79" s="65">
        <v>0.25628930817610063</v>
      </c>
      <c r="N79" s="65">
        <v>0.21698113207547171</v>
      </c>
      <c r="O79" s="65">
        <v>0.59509202453987731</v>
      </c>
      <c r="P79" s="65">
        <v>0.3888888888888889</v>
      </c>
      <c r="Q79" s="65">
        <v>0.40845070422535212</v>
      </c>
    </row>
    <row r="80" spans="1:17" x14ac:dyDescent="0.4">
      <c r="A80" s="67">
        <v>77</v>
      </c>
      <c r="B80" s="64">
        <v>0</v>
      </c>
      <c r="C80" s="64">
        <v>0</v>
      </c>
      <c r="D80" s="69">
        <v>2</v>
      </c>
      <c r="E80" s="65">
        <v>0.33333333333333331</v>
      </c>
      <c r="F80" s="65">
        <v>0.33333333333333331</v>
      </c>
      <c r="G80" s="65">
        <v>0.29704510108864696</v>
      </c>
      <c r="H80" s="65">
        <v>0.1731467081389321</v>
      </c>
      <c r="I80" s="66">
        <v>8204.7120418848172</v>
      </c>
      <c r="J80" s="66">
        <v>-7916.7664670658687</v>
      </c>
      <c r="K80" s="65">
        <v>9.5238095238095233E-2</v>
      </c>
      <c r="L80" s="65">
        <v>9.5238095238095233E-2</v>
      </c>
      <c r="M80" s="65">
        <v>0.25557283566614825</v>
      </c>
      <c r="N80" s="65">
        <v>0.21669258683255574</v>
      </c>
      <c r="O80" s="65">
        <v>0.59229208924949295</v>
      </c>
      <c r="P80" s="65">
        <v>0.38995215311004783</v>
      </c>
      <c r="Q80" s="65">
        <v>0.40837696335078533</v>
      </c>
    </row>
    <row r="81" spans="1:17" x14ac:dyDescent="0.4">
      <c r="A81" s="67">
        <v>78</v>
      </c>
      <c r="B81" s="64">
        <v>0</v>
      </c>
      <c r="C81" s="64">
        <v>0</v>
      </c>
      <c r="D81" s="69">
        <v>2</v>
      </c>
      <c r="E81" s="65">
        <v>0.33333333333333331</v>
      </c>
      <c r="F81" s="65">
        <v>0.33333333333333331</v>
      </c>
      <c r="G81" s="65">
        <v>0.29743589743589743</v>
      </c>
      <c r="H81" s="65">
        <v>0.17282051282051283</v>
      </c>
      <c r="I81" s="66">
        <v>8226.3793103448279</v>
      </c>
      <c r="J81" s="66">
        <v>-7900.5934718100889</v>
      </c>
      <c r="K81" s="65">
        <v>9.8290598290598288E-2</v>
      </c>
      <c r="L81" s="65">
        <v>9.8290598290598288E-2</v>
      </c>
      <c r="M81" s="65">
        <v>0.25641025641025639</v>
      </c>
      <c r="N81" s="65">
        <v>0.2158974358974359</v>
      </c>
      <c r="O81" s="65">
        <v>0.59399999999999997</v>
      </c>
      <c r="P81" s="65">
        <v>0.39192399049881232</v>
      </c>
      <c r="Q81" s="65">
        <v>0.41034482758620688</v>
      </c>
    </row>
    <row r="82" spans="1:17" x14ac:dyDescent="0.4">
      <c r="A82" s="67">
        <v>79</v>
      </c>
      <c r="B82" s="64">
        <v>0</v>
      </c>
      <c r="C82" s="64">
        <v>0</v>
      </c>
      <c r="D82" s="69">
        <v>2</v>
      </c>
      <c r="E82" s="65">
        <v>0.33333333333333331</v>
      </c>
      <c r="F82" s="65">
        <v>0.33333333333333331</v>
      </c>
      <c r="G82" s="65">
        <v>0.29770992366412213</v>
      </c>
      <c r="H82" s="65">
        <v>0.17251908396946564</v>
      </c>
      <c r="I82" s="66">
        <v>8327.0085470085469</v>
      </c>
      <c r="J82" s="66">
        <v>-7924.7787610619471</v>
      </c>
      <c r="K82" s="65">
        <v>0.10126582278481013</v>
      </c>
      <c r="L82" s="65">
        <v>0.10126582278481013</v>
      </c>
      <c r="M82" s="65">
        <v>0.25648854961832063</v>
      </c>
      <c r="N82" s="65">
        <v>0.21424936386768448</v>
      </c>
      <c r="O82" s="65">
        <v>0.59523809523809523</v>
      </c>
      <c r="P82" s="65">
        <v>0.39192399049881232</v>
      </c>
      <c r="Q82" s="65">
        <v>0.41196581196581195</v>
      </c>
    </row>
    <row r="83" spans="1:17" x14ac:dyDescent="0.4">
      <c r="A83" s="67">
        <v>80</v>
      </c>
      <c r="B83" s="64">
        <v>0</v>
      </c>
      <c r="C83" s="64">
        <v>0</v>
      </c>
      <c r="D83" s="69">
        <v>2</v>
      </c>
      <c r="E83" s="65">
        <v>0.33333333333333331</v>
      </c>
      <c r="F83" s="65">
        <v>0.33333333333333331</v>
      </c>
      <c r="G83" s="65">
        <v>0.29808660624370592</v>
      </c>
      <c r="H83" s="65">
        <v>0.17220543806646527</v>
      </c>
      <c r="I83" s="66">
        <v>8411.655405405405</v>
      </c>
      <c r="J83" s="66">
        <v>-8071.6374269005846</v>
      </c>
      <c r="K83" s="65">
        <v>0.10416666666666667</v>
      </c>
      <c r="L83" s="65">
        <v>0.10416666666666667</v>
      </c>
      <c r="M83" s="65">
        <v>0.25730110775427995</v>
      </c>
      <c r="N83" s="65">
        <v>0.21399798590130917</v>
      </c>
      <c r="O83" s="65">
        <v>0.59491193737769077</v>
      </c>
      <c r="P83" s="65">
        <v>0.39058823529411762</v>
      </c>
      <c r="Q83" s="65">
        <v>0.41385135135135137</v>
      </c>
    </row>
    <row r="84" spans="1:17" x14ac:dyDescent="0.4">
      <c r="A84" s="67">
        <v>81</v>
      </c>
      <c r="B84" s="64">
        <v>-3.5527136788005009E-15</v>
      </c>
      <c r="C84" s="64">
        <v>-1.4620220900413585E-17</v>
      </c>
      <c r="D84" s="69">
        <v>2</v>
      </c>
      <c r="E84" s="65">
        <v>0.33333333333333331</v>
      </c>
      <c r="F84" s="65">
        <v>0.33333333333333331</v>
      </c>
      <c r="G84" s="65">
        <v>0.29800995024875621</v>
      </c>
      <c r="H84" s="65">
        <v>0.17164179104477612</v>
      </c>
      <c r="I84" s="66">
        <v>8408.5141903171952</v>
      </c>
      <c r="J84" s="66">
        <v>-8087.246376811594</v>
      </c>
      <c r="K84" s="65">
        <v>0.102880658436214</v>
      </c>
      <c r="L84" s="65">
        <v>0.102880658436214</v>
      </c>
      <c r="M84" s="65">
        <v>0.2582089552238806</v>
      </c>
      <c r="N84" s="65">
        <v>0.21293532338308457</v>
      </c>
      <c r="O84" s="65">
        <v>0.59537572254335258</v>
      </c>
      <c r="P84" s="65">
        <v>0.39018691588785048</v>
      </c>
      <c r="Q84" s="65">
        <v>0.41569282136894825</v>
      </c>
    </row>
    <row r="85" spans="1:17" x14ac:dyDescent="0.4">
      <c r="A85" s="67">
        <v>82</v>
      </c>
      <c r="B85" s="64">
        <v>0</v>
      </c>
      <c r="C85" s="64">
        <v>0</v>
      </c>
      <c r="D85" s="69">
        <v>2</v>
      </c>
      <c r="E85" s="65">
        <v>0.33333333333333331</v>
      </c>
      <c r="F85" s="65">
        <v>0.33333333333333331</v>
      </c>
      <c r="G85" s="65">
        <v>0.2983234714003945</v>
      </c>
      <c r="H85" s="65">
        <v>0.17209072978303747</v>
      </c>
      <c r="I85" s="66">
        <v>8388.9256198347102</v>
      </c>
      <c r="J85" s="66">
        <v>-8060.1719197707735</v>
      </c>
      <c r="K85" s="65">
        <v>0.1016260162601626</v>
      </c>
      <c r="L85" s="65">
        <v>0.1016260162601626</v>
      </c>
      <c r="M85" s="65">
        <v>0.25936883629191321</v>
      </c>
      <c r="N85" s="65">
        <v>0.21400394477317555</v>
      </c>
      <c r="O85" s="65">
        <v>0.59695817490494296</v>
      </c>
      <c r="P85" s="65">
        <v>0.38709677419354838</v>
      </c>
      <c r="Q85" s="65">
        <v>0.41487603305785126</v>
      </c>
    </row>
    <row r="86" spans="1:17" x14ac:dyDescent="0.4">
      <c r="A86" s="67">
        <v>83</v>
      </c>
      <c r="B86" s="64">
        <v>0</v>
      </c>
      <c r="C86" s="64">
        <v>0</v>
      </c>
      <c r="D86" s="69">
        <v>2</v>
      </c>
      <c r="E86" s="65">
        <v>0.33333333333333331</v>
      </c>
      <c r="F86" s="65">
        <v>0.33333333333333331</v>
      </c>
      <c r="G86" s="65">
        <v>0.29858051884483605</v>
      </c>
      <c r="H86" s="65">
        <v>0.17229564366128242</v>
      </c>
      <c r="I86" s="66">
        <v>8413.934426229509</v>
      </c>
      <c r="J86" s="66">
        <v>-8051.704545454545</v>
      </c>
      <c r="K86" s="65">
        <v>0.10441767068273092</v>
      </c>
      <c r="L86" s="65">
        <v>0.10441767068273092</v>
      </c>
      <c r="M86" s="65">
        <v>0.25893294175232501</v>
      </c>
      <c r="N86" s="65">
        <v>0.21439060205580029</v>
      </c>
      <c r="O86" s="65">
        <v>0.59924385633270316</v>
      </c>
      <c r="P86" s="65">
        <v>0.38584474885844749</v>
      </c>
      <c r="Q86" s="65">
        <v>0.41475409836065574</v>
      </c>
    </row>
    <row r="87" spans="1:17" x14ac:dyDescent="0.4">
      <c r="A87" s="67">
        <v>84</v>
      </c>
      <c r="B87" s="64">
        <v>0</v>
      </c>
      <c r="C87" s="64">
        <v>0</v>
      </c>
      <c r="D87" s="69">
        <v>2</v>
      </c>
      <c r="E87" s="65">
        <v>0.33333333333333331</v>
      </c>
      <c r="F87" s="65">
        <v>0.33333333333333331</v>
      </c>
      <c r="G87" s="65">
        <v>0.29888403687530324</v>
      </c>
      <c r="H87" s="65">
        <v>0.17224648229015041</v>
      </c>
      <c r="I87" s="66">
        <v>8456.0064935064929</v>
      </c>
      <c r="J87" s="66">
        <v>-8121.6901408450703</v>
      </c>
      <c r="K87" s="65">
        <v>0.10714285714285714</v>
      </c>
      <c r="L87" s="65">
        <v>0.10714285714285714</v>
      </c>
      <c r="M87" s="65">
        <v>0.25958272683163514</v>
      </c>
      <c r="N87" s="65">
        <v>0.21591460456089276</v>
      </c>
      <c r="O87" s="65">
        <v>0.59813084112149528</v>
      </c>
      <c r="P87" s="65">
        <v>0.38426966292134829</v>
      </c>
      <c r="Q87" s="65">
        <v>0.41558441558441561</v>
      </c>
    </row>
    <row r="88" spans="1:17" x14ac:dyDescent="0.4">
      <c r="A88" s="67">
        <v>85</v>
      </c>
      <c r="B88" s="64">
        <v>0</v>
      </c>
      <c r="C88" s="64">
        <v>0</v>
      </c>
      <c r="D88" s="69">
        <v>2</v>
      </c>
      <c r="E88" s="65">
        <v>0.33333333333333331</v>
      </c>
      <c r="F88" s="65">
        <v>0.33333333333333331</v>
      </c>
      <c r="G88" s="65">
        <v>0.29894937917860553</v>
      </c>
      <c r="H88" s="65">
        <v>0.17239732569245464</v>
      </c>
      <c r="I88" s="66">
        <v>8451.7571884984027</v>
      </c>
      <c r="J88" s="66">
        <v>-8112.7423822714682</v>
      </c>
      <c r="K88" s="65">
        <v>0.10588235294117647</v>
      </c>
      <c r="L88" s="65">
        <v>0.10588235294117647</v>
      </c>
      <c r="M88" s="65">
        <v>0.2588347659980898</v>
      </c>
      <c r="N88" s="65">
        <v>0.21680993314231137</v>
      </c>
      <c r="O88" s="65">
        <v>0.59594095940959413</v>
      </c>
      <c r="P88" s="65">
        <v>0.38546255506607929</v>
      </c>
      <c r="Q88" s="65">
        <v>0.41533546325878595</v>
      </c>
    </row>
    <row r="89" spans="1:17" x14ac:dyDescent="0.4">
      <c r="A89" s="67">
        <v>86</v>
      </c>
      <c r="B89" s="64">
        <v>0</v>
      </c>
      <c r="C89" s="64">
        <v>0</v>
      </c>
      <c r="D89" s="69">
        <v>2</v>
      </c>
      <c r="E89" s="65">
        <v>0.33333333333333331</v>
      </c>
      <c r="F89" s="65">
        <v>0.33333333333333331</v>
      </c>
      <c r="G89" s="65">
        <v>0.29876893939393939</v>
      </c>
      <c r="H89" s="65">
        <v>0.17234848484848486</v>
      </c>
      <c r="I89" s="66">
        <v>8434.2313787638668</v>
      </c>
      <c r="J89" s="66">
        <v>-8065.6593406593411</v>
      </c>
      <c r="K89" s="65">
        <v>0.10465116279069768</v>
      </c>
      <c r="L89" s="65">
        <v>0.10465116279069768</v>
      </c>
      <c r="M89" s="65">
        <v>0.25804924242424243</v>
      </c>
      <c r="N89" s="65">
        <v>0.21827651515151514</v>
      </c>
      <c r="O89" s="65">
        <v>0.59449541284403673</v>
      </c>
      <c r="P89" s="65">
        <v>0.38611713665943603</v>
      </c>
      <c r="Q89" s="65">
        <v>0.41521394611727419</v>
      </c>
    </row>
    <row r="90" spans="1:17" x14ac:dyDescent="0.4">
      <c r="A90" s="67">
        <v>87</v>
      </c>
      <c r="B90" s="64">
        <v>0</v>
      </c>
      <c r="C90" s="64">
        <v>0</v>
      </c>
      <c r="D90" s="69">
        <v>2</v>
      </c>
      <c r="E90" s="65">
        <v>0.33333333333333331</v>
      </c>
      <c r="F90" s="65">
        <v>0.33333333333333331</v>
      </c>
      <c r="G90" s="65">
        <v>0.29868913857677903</v>
      </c>
      <c r="H90" s="65">
        <v>0.17134831460674158</v>
      </c>
      <c r="I90" s="66">
        <v>8395.1410658307213</v>
      </c>
      <c r="J90" s="66">
        <v>-8059.289617486339</v>
      </c>
      <c r="K90" s="65">
        <v>0.10344827586206896</v>
      </c>
      <c r="L90" s="65">
        <v>0.10344827586206896</v>
      </c>
      <c r="M90" s="65">
        <v>0.25889513108614232</v>
      </c>
      <c r="N90" s="65">
        <v>0.21769662921348315</v>
      </c>
      <c r="O90" s="65">
        <v>0.59493670886075944</v>
      </c>
      <c r="P90" s="65">
        <v>0.38494623655913979</v>
      </c>
      <c r="Q90" s="65">
        <v>0.41849529780564265</v>
      </c>
    </row>
    <row r="91" spans="1:17" x14ac:dyDescent="0.4">
      <c r="A91" s="67">
        <v>88</v>
      </c>
      <c r="B91" s="64">
        <v>0</v>
      </c>
      <c r="C91" s="64">
        <v>0</v>
      </c>
      <c r="D91" s="69">
        <v>2</v>
      </c>
      <c r="E91" s="65">
        <v>0.33333333333333331</v>
      </c>
      <c r="F91" s="65">
        <v>0.33333333333333331</v>
      </c>
      <c r="G91" s="65">
        <v>0.29912159038372632</v>
      </c>
      <c r="H91" s="65">
        <v>0.17198335644937587</v>
      </c>
      <c r="I91" s="66">
        <v>8377.8979907264293</v>
      </c>
      <c r="J91" s="66">
        <v>-8029.8387096774195</v>
      </c>
      <c r="K91" s="65">
        <v>0.10227272727272728</v>
      </c>
      <c r="L91" s="65">
        <v>0.10227272727272728</v>
      </c>
      <c r="M91" s="65">
        <v>0.2602866389274156</v>
      </c>
      <c r="N91" s="65">
        <v>0.2182154415164124</v>
      </c>
      <c r="O91" s="65">
        <v>0.5950266429840142</v>
      </c>
      <c r="P91" s="65">
        <v>0.38347457627118642</v>
      </c>
      <c r="Q91" s="65">
        <v>0.41731066460587324</v>
      </c>
    </row>
    <row r="92" spans="1:17" x14ac:dyDescent="0.4">
      <c r="A92" s="67">
        <v>89</v>
      </c>
      <c r="B92" s="64">
        <v>0</v>
      </c>
      <c r="C92" s="64">
        <v>0</v>
      </c>
      <c r="D92" s="69">
        <v>2</v>
      </c>
      <c r="E92" s="65">
        <v>0.33333333333333331</v>
      </c>
      <c r="F92" s="65">
        <v>0.33333333333333331</v>
      </c>
      <c r="G92" s="65">
        <v>0.29954337899543376</v>
      </c>
      <c r="H92" s="65">
        <v>0.17214611872146118</v>
      </c>
      <c r="I92" s="66">
        <v>8377.5914634146338</v>
      </c>
      <c r="J92" s="66">
        <v>-8012.4668435013264</v>
      </c>
      <c r="K92" s="65">
        <v>0.10112359550561797</v>
      </c>
      <c r="L92" s="65">
        <v>0.10112359550561797</v>
      </c>
      <c r="M92" s="65">
        <v>0.26164383561643834</v>
      </c>
      <c r="N92" s="65">
        <v>0.22146118721461186</v>
      </c>
      <c r="O92" s="65">
        <v>0.5951134380453752</v>
      </c>
      <c r="P92" s="65">
        <v>0.37938144329896906</v>
      </c>
      <c r="Q92" s="65">
        <v>0.41768292682926828</v>
      </c>
    </row>
    <row r="93" spans="1:17" x14ac:dyDescent="0.4">
      <c r="A93" s="67">
        <v>90</v>
      </c>
      <c r="B93" s="64">
        <v>0</v>
      </c>
      <c r="C93" s="64">
        <v>0</v>
      </c>
      <c r="D93" s="69">
        <v>2</v>
      </c>
      <c r="E93" s="65">
        <v>0.33333333333333331</v>
      </c>
      <c r="F93" s="65">
        <v>0.33333333333333331</v>
      </c>
      <c r="G93" s="65">
        <v>0.30045045045045043</v>
      </c>
      <c r="H93" s="65">
        <v>0.17387387387387387</v>
      </c>
      <c r="I93" s="66">
        <v>8346.776611694153</v>
      </c>
      <c r="J93" s="66">
        <v>-8005.6994818652847</v>
      </c>
      <c r="K93" s="65">
        <v>0.1</v>
      </c>
      <c r="L93" s="65">
        <v>0.1</v>
      </c>
      <c r="M93" s="65">
        <v>0.26216216216216215</v>
      </c>
      <c r="N93" s="65">
        <v>0.22072072072072071</v>
      </c>
      <c r="O93" s="65">
        <v>0.59793814432989689</v>
      </c>
      <c r="P93" s="65">
        <v>0.37755102040816324</v>
      </c>
      <c r="Q93" s="65">
        <v>0.41229385307346328</v>
      </c>
    </row>
    <row r="94" spans="1:17" x14ac:dyDescent="0.4">
      <c r="A94" s="67">
        <v>91</v>
      </c>
      <c r="B94" s="64">
        <v>0</v>
      </c>
      <c r="C94" s="64">
        <v>0</v>
      </c>
      <c r="D94" s="69">
        <v>2</v>
      </c>
      <c r="E94" s="65">
        <v>0.33333333333333331</v>
      </c>
      <c r="F94" s="65">
        <v>0.33333333333333331</v>
      </c>
      <c r="G94" s="65">
        <v>0.3</v>
      </c>
      <c r="H94" s="65">
        <v>0.17422222222222222</v>
      </c>
      <c r="I94" s="66">
        <v>8328.7407407407409</v>
      </c>
      <c r="J94" s="66">
        <v>-7957.1428571428569</v>
      </c>
      <c r="K94" s="65">
        <v>0.10256410256410256</v>
      </c>
      <c r="L94" s="65">
        <v>0.10256410256410256</v>
      </c>
      <c r="M94" s="65">
        <v>0.26177777777777778</v>
      </c>
      <c r="N94" s="65">
        <v>0.22355555555555556</v>
      </c>
      <c r="O94" s="65">
        <v>0.59422750424448212</v>
      </c>
      <c r="P94" s="65">
        <v>0.37773359840954274</v>
      </c>
      <c r="Q94" s="65">
        <v>0.41037037037037039</v>
      </c>
    </row>
    <row r="95" spans="1:17" x14ac:dyDescent="0.4">
      <c r="A95" s="67">
        <v>92</v>
      </c>
      <c r="B95" s="64">
        <v>0</v>
      </c>
      <c r="C95" s="64">
        <v>0</v>
      </c>
      <c r="D95" s="69">
        <v>2</v>
      </c>
      <c r="E95" s="65">
        <v>0.33333333333333331</v>
      </c>
      <c r="F95" s="65">
        <v>0.33333333333333331</v>
      </c>
      <c r="G95" s="65">
        <v>0.29965004374453191</v>
      </c>
      <c r="H95" s="65">
        <v>0.17366579177602801</v>
      </c>
      <c r="I95" s="66">
        <v>8339.7080291970797</v>
      </c>
      <c r="J95" s="66">
        <v>-7979.5969773299748</v>
      </c>
      <c r="K95" s="65">
        <v>0.10144927536231885</v>
      </c>
      <c r="L95" s="65">
        <v>0.10144927536231885</v>
      </c>
      <c r="M95" s="65">
        <v>0.26071741032370954</v>
      </c>
      <c r="N95" s="65">
        <v>0.22484689413823272</v>
      </c>
      <c r="O95" s="65">
        <v>0.59395973154362414</v>
      </c>
      <c r="P95" s="65">
        <v>0.38132295719844356</v>
      </c>
      <c r="Q95" s="65">
        <v>0.4116788321167883</v>
      </c>
    </row>
    <row r="96" spans="1:17" x14ac:dyDescent="0.4">
      <c r="A96" s="67">
        <v>93</v>
      </c>
      <c r="B96" s="64">
        <v>0</v>
      </c>
      <c r="C96" s="64">
        <v>0</v>
      </c>
      <c r="D96" s="69">
        <v>2</v>
      </c>
      <c r="E96" s="65">
        <v>0.33333333333333331</v>
      </c>
      <c r="F96" s="65">
        <v>0.33333333333333331</v>
      </c>
      <c r="G96" s="65">
        <v>0.29991319444444442</v>
      </c>
      <c r="H96" s="65">
        <v>0.1736111111111111</v>
      </c>
      <c r="I96" s="66">
        <v>8387.2648335745289</v>
      </c>
      <c r="J96" s="66">
        <v>-8074.25</v>
      </c>
      <c r="K96" s="65">
        <v>0.1039426523297491</v>
      </c>
      <c r="L96" s="65">
        <v>0.1039426523297491</v>
      </c>
      <c r="M96" s="65">
        <v>0.26041666666666669</v>
      </c>
      <c r="N96" s="65">
        <v>0.2243923611111111</v>
      </c>
      <c r="O96" s="65">
        <v>0.59333333333333338</v>
      </c>
      <c r="P96" s="65">
        <v>0.38104448742746616</v>
      </c>
      <c r="Q96" s="65">
        <v>0.41244573082489144</v>
      </c>
    </row>
    <row r="97" spans="1:17" x14ac:dyDescent="0.4">
      <c r="A97" s="67">
        <v>94</v>
      </c>
      <c r="B97" s="64">
        <v>0</v>
      </c>
      <c r="C97" s="64">
        <v>0</v>
      </c>
      <c r="D97" s="69">
        <v>2</v>
      </c>
      <c r="E97" s="65">
        <v>0.33333333333333331</v>
      </c>
      <c r="F97" s="65">
        <v>0.33333333333333331</v>
      </c>
      <c r="G97" s="65">
        <v>0.30021505376344088</v>
      </c>
      <c r="H97" s="65">
        <v>0.17333333333333334</v>
      </c>
      <c r="I97" s="66">
        <v>8380.5157593123204</v>
      </c>
      <c r="J97" s="66">
        <v>-8066.2531017369729</v>
      </c>
      <c r="K97" s="65">
        <v>0.10283687943262411</v>
      </c>
      <c r="L97" s="65">
        <v>0.10283687943262411</v>
      </c>
      <c r="M97" s="65">
        <v>0.26193548387096777</v>
      </c>
      <c r="N97" s="65">
        <v>0.22408602150537635</v>
      </c>
      <c r="O97" s="65">
        <v>0.59277504105090317</v>
      </c>
      <c r="P97" s="65">
        <v>0.3800383877159309</v>
      </c>
      <c r="Q97" s="65">
        <v>0.41404011461318052</v>
      </c>
    </row>
    <row r="98" spans="1:17" x14ac:dyDescent="0.4">
      <c r="A98" s="67">
        <v>95</v>
      </c>
      <c r="B98" s="64">
        <v>1.7763568394002505E-15</v>
      </c>
      <c r="C98" s="64">
        <v>6.2328310154394754E-18</v>
      </c>
      <c r="D98" s="69">
        <v>2</v>
      </c>
      <c r="E98" s="65">
        <v>0.33333333333333331</v>
      </c>
      <c r="F98" s="65">
        <v>0.33333333333333331</v>
      </c>
      <c r="G98" s="65">
        <v>0.30051150895140666</v>
      </c>
      <c r="H98" s="65">
        <v>0.17433930093776642</v>
      </c>
      <c r="I98" s="66">
        <v>8373.6170212765956</v>
      </c>
      <c r="J98" s="66">
        <v>-8074.3276283618579</v>
      </c>
      <c r="K98" s="65">
        <v>0.10175438596491228</v>
      </c>
      <c r="L98" s="65">
        <v>0.10175438596491228</v>
      </c>
      <c r="M98" s="65">
        <v>0.263000852514919</v>
      </c>
      <c r="N98" s="65">
        <v>0.22293265132139811</v>
      </c>
      <c r="O98" s="65">
        <v>0.5915721231766613</v>
      </c>
      <c r="P98" s="65">
        <v>0.37858508604206503</v>
      </c>
      <c r="Q98" s="65">
        <v>0.41134751773049644</v>
      </c>
    </row>
    <row r="99" spans="1:17" x14ac:dyDescent="0.4">
      <c r="A99" s="67">
        <v>96</v>
      </c>
      <c r="B99" s="64">
        <v>0</v>
      </c>
      <c r="C99" s="64">
        <v>0</v>
      </c>
      <c r="D99" s="69">
        <v>2</v>
      </c>
      <c r="E99" s="65">
        <v>0.33333333333333331</v>
      </c>
      <c r="F99" s="65">
        <v>0.33333333333333331</v>
      </c>
      <c r="G99" s="65">
        <v>0.30080270384452895</v>
      </c>
      <c r="H99" s="65">
        <v>0.17405999155048585</v>
      </c>
      <c r="I99" s="66">
        <v>8366.8539325842703</v>
      </c>
      <c r="J99" s="66">
        <v>-8075</v>
      </c>
      <c r="K99" s="65">
        <v>0.10416666666666667</v>
      </c>
      <c r="L99" s="65">
        <v>0.10416666666666667</v>
      </c>
      <c r="M99" s="65">
        <v>0.26362484157160965</v>
      </c>
      <c r="N99" s="65">
        <v>0.22264469792986905</v>
      </c>
      <c r="O99" s="65">
        <v>0.59294871794871795</v>
      </c>
      <c r="P99" s="65">
        <v>0.3776091081593928</v>
      </c>
      <c r="Q99" s="65">
        <v>0.41292134831460675</v>
      </c>
    </row>
    <row r="100" spans="1:17" x14ac:dyDescent="0.4">
      <c r="A100" s="67">
        <v>97</v>
      </c>
      <c r="B100" s="64">
        <v>0</v>
      </c>
      <c r="C100" s="64">
        <v>0</v>
      </c>
      <c r="D100" s="69">
        <v>2</v>
      </c>
      <c r="E100" s="65">
        <v>0.33333333333333331</v>
      </c>
      <c r="F100" s="65">
        <v>0.33333333333333331</v>
      </c>
      <c r="G100" s="65">
        <v>0.30125000000000002</v>
      </c>
      <c r="H100" s="65">
        <v>0.17416666666666666</v>
      </c>
      <c r="I100" s="66">
        <v>8367.2199170124477</v>
      </c>
      <c r="J100" s="66">
        <v>-8032.2966507177034</v>
      </c>
      <c r="K100" s="65">
        <v>0.10309278350515463</v>
      </c>
      <c r="L100" s="65">
        <v>0.10309278350515463</v>
      </c>
      <c r="M100" s="65">
        <v>0.26250000000000001</v>
      </c>
      <c r="N100" s="65">
        <v>0.22125</v>
      </c>
      <c r="O100" s="65">
        <v>0.59365079365079365</v>
      </c>
      <c r="P100" s="65">
        <v>0.37853107344632769</v>
      </c>
      <c r="Q100" s="65">
        <v>0.41355463347164589</v>
      </c>
    </row>
    <row r="101" spans="1:17" x14ac:dyDescent="0.4">
      <c r="A101" s="67">
        <v>98</v>
      </c>
      <c r="B101" s="64">
        <v>0</v>
      </c>
      <c r="C101" s="64">
        <v>0</v>
      </c>
      <c r="D101" s="69">
        <v>2</v>
      </c>
      <c r="E101" s="65">
        <v>0.33333333333333331</v>
      </c>
      <c r="F101" s="65">
        <v>0.33333333333333331</v>
      </c>
      <c r="G101" s="65">
        <v>0.30164609053497943</v>
      </c>
      <c r="H101" s="65">
        <v>0.17448559670781894</v>
      </c>
      <c r="I101" s="66">
        <v>8364.6657571623473</v>
      </c>
      <c r="J101" s="66">
        <v>-8049.7641509433961</v>
      </c>
      <c r="K101" s="65">
        <v>0.10544217687074831</v>
      </c>
      <c r="L101" s="65">
        <v>0.10544217687074831</v>
      </c>
      <c r="M101" s="65">
        <v>0.26255144032921812</v>
      </c>
      <c r="N101" s="65">
        <v>0.2205761316872428</v>
      </c>
      <c r="O101" s="65">
        <v>0.59561128526645768</v>
      </c>
      <c r="P101" s="65">
        <v>0.38059701492537312</v>
      </c>
      <c r="Q101" s="65">
        <v>0.41336971350613916</v>
      </c>
    </row>
    <row r="102" spans="1:17" x14ac:dyDescent="0.4">
      <c r="A102" s="67">
        <v>99</v>
      </c>
      <c r="B102" s="64">
        <v>0</v>
      </c>
      <c r="C102" s="64">
        <v>0</v>
      </c>
      <c r="D102" s="69">
        <v>2</v>
      </c>
      <c r="E102" s="65">
        <v>0.33333333333333331</v>
      </c>
      <c r="F102" s="65">
        <v>0.33333333333333331</v>
      </c>
      <c r="G102" s="65">
        <v>0.30158730158730157</v>
      </c>
      <c r="H102" s="65">
        <v>0.1737891737891738</v>
      </c>
      <c r="I102" s="66">
        <v>8347.7732793522264</v>
      </c>
      <c r="J102" s="66">
        <v>-8029.5081967213118</v>
      </c>
      <c r="K102" s="65">
        <v>0.10437710437710437</v>
      </c>
      <c r="L102" s="65">
        <v>0.10437710437710437</v>
      </c>
      <c r="M102" s="65">
        <v>0.26332926332926332</v>
      </c>
      <c r="N102" s="65">
        <v>0.21937321937321938</v>
      </c>
      <c r="O102" s="65">
        <v>0.59659969088098919</v>
      </c>
      <c r="P102" s="65">
        <v>0.3784786641929499</v>
      </c>
      <c r="Q102" s="65">
        <v>0.41565452091767879</v>
      </c>
    </row>
    <row r="103" spans="1:17" x14ac:dyDescent="0.4">
      <c r="A103" s="67">
        <v>100</v>
      </c>
      <c r="B103" s="64">
        <v>0</v>
      </c>
      <c r="C103" s="64">
        <v>0</v>
      </c>
      <c r="D103" s="69">
        <v>2</v>
      </c>
      <c r="E103" s="65">
        <v>0.33333333333333331</v>
      </c>
      <c r="F103" s="65">
        <v>0.33333333333333331</v>
      </c>
      <c r="G103" s="65">
        <v>0.30185633575464083</v>
      </c>
      <c r="H103" s="65">
        <v>0.1735270379338176</v>
      </c>
      <c r="I103" s="66">
        <v>8336.363636363636</v>
      </c>
      <c r="J103" s="66">
        <v>-8013.9534883720926</v>
      </c>
      <c r="K103" s="65">
        <v>0.10333333333333333</v>
      </c>
      <c r="L103" s="65">
        <v>0.10333333333333333</v>
      </c>
      <c r="M103" s="65">
        <v>0.26392251815980627</v>
      </c>
      <c r="N103" s="65">
        <v>0.22033898305084745</v>
      </c>
      <c r="O103" s="65">
        <v>0.59785932721712542</v>
      </c>
      <c r="P103" s="65">
        <v>0.37728937728937728</v>
      </c>
      <c r="Q103" s="65">
        <v>0.41711229946524064</v>
      </c>
    </row>
    <row r="104" spans="1:17" x14ac:dyDescent="0.4">
      <c r="A104" s="67">
        <v>101</v>
      </c>
      <c r="B104" s="64">
        <v>3.5527136788005009E-15</v>
      </c>
      <c r="C104" s="64">
        <v>1.1725127652806934E-17</v>
      </c>
      <c r="D104" s="69">
        <v>2</v>
      </c>
      <c r="E104" s="65">
        <v>0.33333333333333331</v>
      </c>
      <c r="F104" s="65">
        <v>0.33333333333333331</v>
      </c>
      <c r="G104" s="65">
        <v>0.30179640718562872</v>
      </c>
      <c r="H104" s="65">
        <v>0.17245508982035929</v>
      </c>
      <c r="I104" s="66">
        <v>8350.9259259259252</v>
      </c>
      <c r="J104" s="66">
        <v>-8000</v>
      </c>
      <c r="K104" s="65">
        <v>0.10231023102310231</v>
      </c>
      <c r="L104" s="65">
        <v>0.10231023102310231</v>
      </c>
      <c r="M104" s="65">
        <v>0.26467065868263473</v>
      </c>
      <c r="N104" s="65">
        <v>0.21956087824351297</v>
      </c>
      <c r="O104" s="65">
        <v>0.59728506787330315</v>
      </c>
      <c r="P104" s="65">
        <v>0.38</v>
      </c>
      <c r="Q104" s="65">
        <v>0.42063492063492064</v>
      </c>
    </row>
    <row r="105" spans="1:17" x14ac:dyDescent="0.4">
      <c r="A105" s="67">
        <v>102</v>
      </c>
      <c r="B105" s="64">
        <v>0</v>
      </c>
      <c r="C105" s="64">
        <v>0</v>
      </c>
      <c r="D105" s="69">
        <v>2</v>
      </c>
      <c r="E105" s="65">
        <v>0.33333333333333331</v>
      </c>
      <c r="F105" s="65">
        <v>0.33333333333333331</v>
      </c>
      <c r="G105" s="65">
        <v>0.302491103202847</v>
      </c>
      <c r="H105" s="65">
        <v>0.1716093317516805</v>
      </c>
      <c r="I105" s="66">
        <v>8341.0457516339866</v>
      </c>
      <c r="J105" s="66">
        <v>-8011.9815668202764</v>
      </c>
      <c r="K105" s="65">
        <v>0.10130718954248366</v>
      </c>
      <c r="L105" s="65">
        <v>0.10130718954248366</v>
      </c>
      <c r="M105" s="65">
        <v>0.26453143534994067</v>
      </c>
      <c r="N105" s="65">
        <v>0.21945432977461446</v>
      </c>
      <c r="O105" s="65">
        <v>0.59491778774289983</v>
      </c>
      <c r="P105" s="65">
        <v>0.38018018018018018</v>
      </c>
      <c r="Q105" s="65">
        <v>0.42352941176470588</v>
      </c>
    </row>
    <row r="106" spans="1:17" x14ac:dyDescent="0.4">
      <c r="A106" s="67">
        <v>103</v>
      </c>
      <c r="B106" s="64">
        <v>0</v>
      </c>
      <c r="C106" s="64">
        <v>0</v>
      </c>
      <c r="D106" s="69">
        <v>2</v>
      </c>
      <c r="E106" s="65">
        <v>0.33333333333333331</v>
      </c>
      <c r="F106" s="65">
        <v>0.33333333333333331</v>
      </c>
      <c r="G106" s="65">
        <v>0.30274509803921568</v>
      </c>
      <c r="H106" s="65">
        <v>0.17176470588235293</v>
      </c>
      <c r="I106" s="66">
        <v>8366.062176165804</v>
      </c>
      <c r="J106" s="66">
        <v>-8006.6210045662101</v>
      </c>
      <c r="K106" s="65">
        <v>0.10355987055016182</v>
      </c>
      <c r="L106" s="65">
        <v>0.10355987055016182</v>
      </c>
      <c r="M106" s="65">
        <v>0.26431372549019611</v>
      </c>
      <c r="N106" s="65">
        <v>0.22</v>
      </c>
      <c r="O106" s="65">
        <v>0.59792284866468848</v>
      </c>
      <c r="P106" s="65">
        <v>0.37967914438502676</v>
      </c>
      <c r="Q106" s="65">
        <v>0.42357512953367876</v>
      </c>
    </row>
    <row r="107" spans="1:17" x14ac:dyDescent="0.4">
      <c r="A107" s="67">
        <v>104</v>
      </c>
      <c r="B107" s="64">
        <v>0</v>
      </c>
      <c r="C107" s="64">
        <v>0</v>
      </c>
      <c r="D107" s="69">
        <v>2</v>
      </c>
      <c r="E107" s="65">
        <v>0.33333333333333331</v>
      </c>
      <c r="F107" s="65">
        <v>0.33333333333333331</v>
      </c>
      <c r="G107" s="65">
        <v>0.30267753201396974</v>
      </c>
      <c r="H107" s="65">
        <v>0.17190531625921615</v>
      </c>
      <c r="I107" s="66">
        <v>8371.1538461538457</v>
      </c>
      <c r="J107" s="66">
        <v>-8026.4108352144467</v>
      </c>
      <c r="K107" s="65">
        <v>0.10256410256410256</v>
      </c>
      <c r="L107" s="65">
        <v>0.10256410256410256</v>
      </c>
      <c r="M107" s="65">
        <v>0.26503686457120684</v>
      </c>
      <c r="N107" s="65">
        <v>0.22079937912301126</v>
      </c>
      <c r="O107" s="65">
        <v>0.59736456808199123</v>
      </c>
      <c r="P107" s="65">
        <v>0.37961335676625657</v>
      </c>
      <c r="Q107" s="65">
        <v>0.42307692307692307</v>
      </c>
    </row>
    <row r="108" spans="1:17" x14ac:dyDescent="0.4">
      <c r="A108" s="67">
        <v>105</v>
      </c>
      <c r="B108" s="64">
        <v>-2.6645352591003757E-15</v>
      </c>
      <c r="C108" s="64">
        <v>-8.4588420923821458E-18</v>
      </c>
      <c r="D108" s="69">
        <v>2</v>
      </c>
      <c r="E108" s="65">
        <v>0.33333333333333331</v>
      </c>
      <c r="F108" s="65">
        <v>0.33333333333333331</v>
      </c>
      <c r="G108" s="65">
        <v>0.30299539170506912</v>
      </c>
      <c r="H108" s="65">
        <v>0.17127496159754224</v>
      </c>
      <c r="I108" s="66">
        <v>8369.4550063371353</v>
      </c>
      <c r="J108" s="66">
        <v>-8001.5695067264578</v>
      </c>
      <c r="K108" s="65">
        <v>0.10158730158730159</v>
      </c>
      <c r="L108" s="65">
        <v>0.10158730158730159</v>
      </c>
      <c r="M108" s="65">
        <v>0.26574500768049153</v>
      </c>
      <c r="N108" s="65">
        <v>0.22004608294930875</v>
      </c>
      <c r="O108" s="65">
        <v>0.59682080924855496</v>
      </c>
      <c r="P108" s="65">
        <v>0.37870855148342059</v>
      </c>
      <c r="Q108" s="65">
        <v>0.42585551330798477</v>
      </c>
    </row>
    <row r="109" spans="1:17" x14ac:dyDescent="0.4">
      <c r="A109" s="67">
        <v>106</v>
      </c>
      <c r="B109" s="64">
        <v>1.4210854715202004E-14</v>
      </c>
      <c r="C109" s="64">
        <v>4.4688222374849071E-17</v>
      </c>
      <c r="D109" s="69">
        <v>2</v>
      </c>
      <c r="E109" s="65">
        <v>0.33333333333333331</v>
      </c>
      <c r="F109" s="65">
        <v>0.33333333333333331</v>
      </c>
      <c r="G109" s="65">
        <v>0.30254656024325349</v>
      </c>
      <c r="H109" s="65">
        <v>0.17103762827822122</v>
      </c>
      <c r="I109" s="66">
        <v>8458.9195979899505</v>
      </c>
      <c r="J109" s="66">
        <v>-8014.4444444444443</v>
      </c>
      <c r="K109" s="65">
        <v>0.10377358490566038</v>
      </c>
      <c r="L109" s="65">
        <v>0.10377358490566038</v>
      </c>
      <c r="M109" s="65">
        <v>0.26605853287723297</v>
      </c>
      <c r="N109" s="65">
        <v>0.21892816419612315</v>
      </c>
      <c r="O109" s="65">
        <v>0.59857142857142853</v>
      </c>
      <c r="P109" s="65">
        <v>0.3767361111111111</v>
      </c>
      <c r="Q109" s="65">
        <v>0.42587939698492461</v>
      </c>
    </row>
    <row r="110" spans="1:17" x14ac:dyDescent="0.4">
      <c r="A110" s="67">
        <v>107</v>
      </c>
      <c r="B110" s="64">
        <v>1.4210854715202004E-14</v>
      </c>
      <c r="C110" s="64">
        <v>4.4270575436766365E-17</v>
      </c>
      <c r="D110" s="69">
        <v>2</v>
      </c>
      <c r="E110" s="65">
        <v>0.33333333333333331</v>
      </c>
      <c r="F110" s="65">
        <v>0.33333333333333331</v>
      </c>
      <c r="G110" s="65">
        <v>0.3033033033033033</v>
      </c>
      <c r="H110" s="65">
        <v>0.17042042042042041</v>
      </c>
      <c r="I110" s="66">
        <v>8456.5594059405939</v>
      </c>
      <c r="J110" s="66">
        <v>-7998.4581497797353</v>
      </c>
      <c r="K110" s="65">
        <v>0.10280373831775701</v>
      </c>
      <c r="L110" s="65">
        <v>0.10280373831775701</v>
      </c>
      <c r="M110" s="65">
        <v>0.26726726726726729</v>
      </c>
      <c r="N110" s="65">
        <v>0.21884384384384384</v>
      </c>
      <c r="O110" s="65">
        <v>0.5997191011235955</v>
      </c>
      <c r="P110" s="65">
        <v>0.37735849056603776</v>
      </c>
      <c r="Q110" s="65">
        <v>0.42821782178217821</v>
      </c>
    </row>
    <row r="111" spans="1:17" x14ac:dyDescent="0.4">
      <c r="A111" s="67">
        <v>108</v>
      </c>
      <c r="B111" s="64">
        <v>2.1316282072803006E-14</v>
      </c>
      <c r="C111" s="64">
        <v>6.5790994051861125E-17</v>
      </c>
      <c r="D111" s="69">
        <v>2</v>
      </c>
      <c r="E111" s="65">
        <v>0.33333333333333331</v>
      </c>
      <c r="F111" s="65">
        <v>0.33333333333333331</v>
      </c>
      <c r="G111" s="65">
        <v>0.30275913497390006</v>
      </c>
      <c r="H111" s="65">
        <v>0.16964951528709918</v>
      </c>
      <c r="I111" s="66">
        <v>8464.2857142857138</v>
      </c>
      <c r="J111" s="66">
        <v>-8020.4395604395604</v>
      </c>
      <c r="K111" s="65">
        <v>0.10493827160493827</v>
      </c>
      <c r="L111" s="65">
        <v>0.10493827160493827</v>
      </c>
      <c r="M111" s="65">
        <v>0.26808351976137212</v>
      </c>
      <c r="N111" s="65">
        <v>0.21812080536912751</v>
      </c>
      <c r="O111" s="65">
        <v>0.59527121001390826</v>
      </c>
      <c r="P111" s="65">
        <v>0.37948717948717947</v>
      </c>
      <c r="Q111" s="65">
        <v>0.42980295566502463</v>
      </c>
    </row>
    <row r="112" spans="1:17" x14ac:dyDescent="0.4">
      <c r="A112" s="67">
        <v>109</v>
      </c>
      <c r="B112" s="64">
        <v>2.1316282072803006E-14</v>
      </c>
      <c r="C112" s="64">
        <v>6.5187406950467911E-17</v>
      </c>
      <c r="D112" s="69">
        <v>2</v>
      </c>
      <c r="E112" s="65">
        <v>0.33333333333333331</v>
      </c>
      <c r="F112" s="65">
        <v>0.33333333333333331</v>
      </c>
      <c r="G112" s="65">
        <v>0.30239410681399631</v>
      </c>
      <c r="H112" s="65">
        <v>0.1694290976058932</v>
      </c>
      <c r="I112" s="66">
        <v>8486.1144945188789</v>
      </c>
      <c r="J112" s="66">
        <v>-8029.130434782609</v>
      </c>
      <c r="K112" s="65">
        <v>0.10397553516819572</v>
      </c>
      <c r="L112" s="65">
        <v>0.10397553516819572</v>
      </c>
      <c r="M112" s="65">
        <v>0.26813996316758748</v>
      </c>
      <c r="N112" s="65">
        <v>0.21878453038674034</v>
      </c>
      <c r="O112" s="65">
        <v>0.59478021978021978</v>
      </c>
      <c r="P112" s="65">
        <v>0.38047138047138046</v>
      </c>
      <c r="Q112" s="65">
        <v>0.42996345919610229</v>
      </c>
    </row>
    <row r="113" spans="1:17" x14ac:dyDescent="0.4">
      <c r="A113" s="67">
        <v>110</v>
      </c>
      <c r="B113" s="64">
        <v>2.1316282072803006E-14</v>
      </c>
      <c r="C113" s="64">
        <v>6.4594794160009105E-17</v>
      </c>
      <c r="D113" s="69">
        <v>2</v>
      </c>
      <c r="E113" s="65">
        <v>0.33333333333333331</v>
      </c>
      <c r="F113" s="65">
        <v>0.33333333333333331</v>
      </c>
      <c r="G113" s="65">
        <v>0.30263157894736842</v>
      </c>
      <c r="H113" s="65">
        <v>0.16995614035087719</v>
      </c>
      <c r="I113" s="66">
        <v>8461.95652173913</v>
      </c>
      <c r="J113" s="66">
        <v>-7993.7634408602153</v>
      </c>
      <c r="K113" s="65">
        <v>0.10303030303030303</v>
      </c>
      <c r="L113" s="65">
        <v>0.10303030303030303</v>
      </c>
      <c r="M113" s="65">
        <v>0.26790935672514621</v>
      </c>
      <c r="N113" s="65">
        <v>0.21966374269005848</v>
      </c>
      <c r="O113" s="65">
        <v>0.592087312414734</v>
      </c>
      <c r="P113" s="65">
        <v>0.3843594009983361</v>
      </c>
      <c r="Q113" s="65">
        <v>0.42874396135265702</v>
      </c>
    </row>
    <row r="114" spans="1:17" x14ac:dyDescent="0.4">
      <c r="A114" s="67">
        <v>111</v>
      </c>
      <c r="B114" s="64">
        <v>2.708944180085382E-14</v>
      </c>
      <c r="C114" s="64">
        <v>8.1349675077639101E-17</v>
      </c>
      <c r="D114" s="69">
        <v>2</v>
      </c>
      <c r="E114" s="65">
        <v>0.33333333333333331</v>
      </c>
      <c r="F114" s="65">
        <v>0.33333333333333331</v>
      </c>
      <c r="G114" s="65">
        <v>0.30286543344214728</v>
      </c>
      <c r="H114" s="65">
        <v>0.16974972796517954</v>
      </c>
      <c r="I114" s="66">
        <v>8448.2634730538921</v>
      </c>
      <c r="J114" s="66">
        <v>-7969.4444444444443</v>
      </c>
      <c r="K114" s="65">
        <v>0.1021021021021021</v>
      </c>
      <c r="L114" s="65">
        <v>0.1021021021021021</v>
      </c>
      <c r="M114" s="65">
        <v>0.26731955023576354</v>
      </c>
      <c r="N114" s="65">
        <v>0.21907870874138557</v>
      </c>
      <c r="O114" s="65">
        <v>0.59430122116689277</v>
      </c>
      <c r="P114" s="65">
        <v>0.38410596026490068</v>
      </c>
      <c r="Q114" s="65">
        <v>0.42994011976047902</v>
      </c>
    </row>
    <row r="115" spans="1:17" x14ac:dyDescent="0.4">
      <c r="A115" s="67">
        <v>112</v>
      </c>
      <c r="B115" s="64">
        <v>2.8421709430404007E-14</v>
      </c>
      <c r="C115" s="64">
        <v>8.4588420923821446E-17</v>
      </c>
      <c r="D115" s="69">
        <v>2</v>
      </c>
      <c r="E115" s="65">
        <v>0.33333333333333331</v>
      </c>
      <c r="F115" s="65">
        <v>0.33333333333333331</v>
      </c>
      <c r="G115" s="65">
        <v>0.30276878820568143</v>
      </c>
      <c r="H115" s="65">
        <v>0.1700827040632866</v>
      </c>
      <c r="I115" s="66">
        <v>8435.2731591448937</v>
      </c>
      <c r="J115" s="66">
        <v>-7950.5285412262156</v>
      </c>
      <c r="K115" s="65">
        <v>0.10119047619047619</v>
      </c>
      <c r="L115" s="65">
        <v>0.10119047619047619</v>
      </c>
      <c r="M115" s="65">
        <v>0.26860841423948217</v>
      </c>
      <c r="N115" s="65">
        <v>0.21826681049982022</v>
      </c>
      <c r="O115" s="65">
        <v>0.59303882195448465</v>
      </c>
      <c r="P115" s="65">
        <v>0.38220757825370677</v>
      </c>
      <c r="Q115" s="65">
        <v>0.42874109263657956</v>
      </c>
    </row>
    <row r="116" spans="1:17" x14ac:dyDescent="0.4">
      <c r="A116" s="67">
        <v>113</v>
      </c>
      <c r="B116" s="64">
        <v>2.8421709430404007E-14</v>
      </c>
      <c r="C116" s="64">
        <v>8.3839850827150463E-17</v>
      </c>
      <c r="D116" s="69">
        <v>2</v>
      </c>
      <c r="E116" s="65">
        <v>0.33333333333333331</v>
      </c>
      <c r="F116" s="65">
        <v>0.33333333333333331</v>
      </c>
      <c r="G116" s="65">
        <v>0.30231729055258466</v>
      </c>
      <c r="H116" s="65">
        <v>0.16898395721925133</v>
      </c>
      <c r="I116" s="66">
        <v>8445.9905660377353</v>
      </c>
      <c r="J116" s="66">
        <v>-7958.2278481012654</v>
      </c>
      <c r="K116" s="65">
        <v>0.10029498525073746</v>
      </c>
      <c r="L116" s="65">
        <v>0.10029498525073746</v>
      </c>
      <c r="M116" s="65">
        <v>0.26773618538324423</v>
      </c>
      <c r="N116" s="65">
        <v>0.21818181818181817</v>
      </c>
      <c r="O116" s="65">
        <v>0.59254327563248999</v>
      </c>
      <c r="P116" s="65">
        <v>0.37908496732026142</v>
      </c>
      <c r="Q116" s="65">
        <v>0.43160377358490565</v>
      </c>
    </row>
    <row r="117" spans="1:17" x14ac:dyDescent="0.4">
      <c r="A117" s="67">
        <v>114</v>
      </c>
      <c r="B117" s="64">
        <v>2.8421709430404007E-14</v>
      </c>
      <c r="C117" s="64">
        <v>8.3104413539193E-17</v>
      </c>
      <c r="D117" s="69">
        <v>2</v>
      </c>
      <c r="E117" s="65">
        <v>0.33333333333333331</v>
      </c>
      <c r="F117" s="65">
        <v>0.33333333333333331</v>
      </c>
      <c r="G117" s="65">
        <v>0.3022269353128314</v>
      </c>
      <c r="H117" s="65">
        <v>0.16861081654294804</v>
      </c>
      <c r="I117" s="66">
        <v>8441.1695906432742</v>
      </c>
      <c r="J117" s="66">
        <v>-7949.6855345911954</v>
      </c>
      <c r="K117" s="65">
        <v>9.9415204678362568E-2</v>
      </c>
      <c r="L117" s="65">
        <v>9.9415204678362568E-2</v>
      </c>
      <c r="M117" s="65">
        <v>0.26793920113114172</v>
      </c>
      <c r="N117" s="65">
        <v>0.21809826793920112</v>
      </c>
      <c r="O117" s="65">
        <v>0.59366754617414252</v>
      </c>
      <c r="P117" s="65">
        <v>0.37925445705024313</v>
      </c>
      <c r="Q117" s="65">
        <v>0.43274853801169588</v>
      </c>
    </row>
    <row r="118" spans="1:17" x14ac:dyDescent="0.4">
      <c r="A118" s="67">
        <v>115</v>
      </c>
      <c r="B118" s="64">
        <v>2.5590640717609858E-14</v>
      </c>
      <c r="C118" s="64">
        <v>7.4175770195970603E-17</v>
      </c>
      <c r="D118" s="69">
        <v>2</v>
      </c>
      <c r="E118" s="65">
        <v>0.33333333333333331</v>
      </c>
      <c r="F118" s="65">
        <v>0.33333333333333331</v>
      </c>
      <c r="G118" s="65">
        <v>0.30258560447239691</v>
      </c>
      <c r="H118" s="65">
        <v>0.16736547868623342</v>
      </c>
      <c r="I118" s="66">
        <v>8485.1039260969974</v>
      </c>
      <c r="J118" s="66">
        <v>-7983.2985386221299</v>
      </c>
      <c r="K118" s="65">
        <v>9.8550724637681164E-2</v>
      </c>
      <c r="L118" s="65">
        <v>9.8550724637681164E-2</v>
      </c>
      <c r="M118" s="65">
        <v>0.26799440950384346</v>
      </c>
      <c r="N118" s="65">
        <v>0.21872816212438853</v>
      </c>
      <c r="O118" s="65">
        <v>0.59322033898305082</v>
      </c>
      <c r="P118" s="65">
        <v>0.38178913738019171</v>
      </c>
      <c r="Q118" s="65">
        <v>0.43764434180138567</v>
      </c>
    </row>
    <row r="119" spans="1:17" x14ac:dyDescent="0.4">
      <c r="A119" s="67">
        <v>116</v>
      </c>
      <c r="B119" s="64">
        <v>2.8421709430404007E-14</v>
      </c>
      <c r="C119" s="64">
        <v>8.167157882300002E-17</v>
      </c>
      <c r="D119" s="69">
        <v>2</v>
      </c>
      <c r="E119" s="65">
        <v>0.33333333333333331</v>
      </c>
      <c r="F119" s="65">
        <v>0.33333333333333331</v>
      </c>
      <c r="G119" s="65">
        <v>0.30271398747390399</v>
      </c>
      <c r="H119" s="65">
        <v>0.16736256089074461</v>
      </c>
      <c r="I119" s="66">
        <v>8496.6666666666661</v>
      </c>
      <c r="J119" s="66">
        <v>-8012.4740124740129</v>
      </c>
      <c r="K119" s="65">
        <v>0.10057471264367816</v>
      </c>
      <c r="L119" s="65">
        <v>0.10057471264367816</v>
      </c>
      <c r="M119" s="65">
        <v>0.26896311760612385</v>
      </c>
      <c r="N119" s="65">
        <v>0.21851078636047322</v>
      </c>
      <c r="O119" s="65">
        <v>0.59249676584734801</v>
      </c>
      <c r="P119" s="65">
        <v>0.38216560509554143</v>
      </c>
      <c r="Q119" s="65">
        <v>0.43793103448275861</v>
      </c>
    </row>
    <row r="120" spans="1:17" x14ac:dyDescent="0.4">
      <c r="A120" s="67">
        <v>117</v>
      </c>
      <c r="B120" s="64">
        <v>2.8421709430404007E-14</v>
      </c>
      <c r="C120" s="64">
        <v>8.0973531140752162E-17</v>
      </c>
      <c r="D120" s="69">
        <v>2</v>
      </c>
      <c r="E120" s="65">
        <v>0.33333333333333331</v>
      </c>
      <c r="F120" s="65">
        <v>0.33333333333333331</v>
      </c>
      <c r="G120" s="65">
        <v>0.30287296642436828</v>
      </c>
      <c r="H120" s="65">
        <v>0.16822429906542055</v>
      </c>
      <c r="I120" s="66">
        <v>8526.5142857142855</v>
      </c>
      <c r="J120" s="66">
        <v>-8071.1934156378602</v>
      </c>
      <c r="K120" s="65">
        <v>0.10256410256410256</v>
      </c>
      <c r="L120" s="65">
        <v>0.10256410256410256</v>
      </c>
      <c r="M120" s="65">
        <v>0.27033575631706475</v>
      </c>
      <c r="N120" s="65">
        <v>0.21806853582554517</v>
      </c>
      <c r="O120" s="65">
        <v>0.59282970550576186</v>
      </c>
      <c r="P120" s="65">
        <v>0.38095238095238093</v>
      </c>
      <c r="Q120" s="65">
        <v>0.43542857142857144</v>
      </c>
    </row>
    <row r="121" spans="1:17" x14ac:dyDescent="0.4">
      <c r="A121" s="67">
        <v>118</v>
      </c>
      <c r="B121" s="64">
        <v>2.8421709430404007E-14</v>
      </c>
      <c r="C121" s="64">
        <v>8.0287314775152563E-17</v>
      </c>
      <c r="D121" s="69">
        <v>2</v>
      </c>
      <c r="E121" s="65">
        <v>0.33333333333333331</v>
      </c>
      <c r="F121" s="65">
        <v>0.33333333333333331</v>
      </c>
      <c r="G121" s="65">
        <v>0.30290598290598292</v>
      </c>
      <c r="H121" s="65">
        <v>0.1682051282051282</v>
      </c>
      <c r="I121" s="66">
        <v>8504.6275395033863</v>
      </c>
      <c r="J121" s="66">
        <v>-8061.9918699186992</v>
      </c>
      <c r="K121" s="65">
        <v>0.10169491525423729</v>
      </c>
      <c r="L121" s="65">
        <v>0.10169491525423729</v>
      </c>
      <c r="M121" s="65">
        <v>0.26940170940170938</v>
      </c>
      <c r="N121" s="65">
        <v>0.21777777777777776</v>
      </c>
      <c r="O121" s="65">
        <v>0.59263959390862941</v>
      </c>
      <c r="P121" s="65">
        <v>0.38147566718995291</v>
      </c>
      <c r="Q121" s="65">
        <v>0.43566591422121898</v>
      </c>
    </row>
    <row r="122" spans="1:17" x14ac:dyDescent="0.4">
      <c r="A122" s="67">
        <v>119</v>
      </c>
      <c r="B122" s="64">
        <v>3.5527136788005009E-14</v>
      </c>
      <c r="C122" s="64">
        <v>9.9515789322142887E-17</v>
      </c>
      <c r="D122" s="69">
        <v>2</v>
      </c>
      <c r="E122" s="65">
        <v>0.33333333333333331</v>
      </c>
      <c r="F122" s="65">
        <v>0.33333333333333331</v>
      </c>
      <c r="G122" s="65">
        <v>0.30284552845528456</v>
      </c>
      <c r="H122" s="65">
        <v>0.16836043360433606</v>
      </c>
      <c r="I122" s="66">
        <v>8489.5973154362418</v>
      </c>
      <c r="J122" s="66">
        <v>-8026.3581488933605</v>
      </c>
      <c r="K122" s="65">
        <v>0.10084033613445378</v>
      </c>
      <c r="L122" s="65">
        <v>0.10084033613445378</v>
      </c>
      <c r="M122" s="65">
        <v>0.26998644986449866</v>
      </c>
      <c r="N122" s="65">
        <v>0.21680216802168023</v>
      </c>
      <c r="O122" s="65">
        <v>0.59222082810539523</v>
      </c>
      <c r="P122" s="65">
        <v>0.3828125</v>
      </c>
      <c r="Q122" s="65">
        <v>0.43512304250559286</v>
      </c>
    </row>
    <row r="123" spans="1:17" x14ac:dyDescent="0.4">
      <c r="A123" s="67">
        <v>120</v>
      </c>
      <c r="B123" s="64">
        <v>3.907985046680551E-14</v>
      </c>
      <c r="C123" s="64">
        <v>1.0855514018557086E-16</v>
      </c>
      <c r="D123" s="69">
        <v>2</v>
      </c>
      <c r="E123" s="65">
        <v>0.33333333333333331</v>
      </c>
      <c r="F123" s="65">
        <v>0.33333333333333331</v>
      </c>
      <c r="G123" s="65">
        <v>0.302755376344086</v>
      </c>
      <c r="H123" s="65">
        <v>0.16868279569892472</v>
      </c>
      <c r="I123" s="66">
        <v>8464.9278579356269</v>
      </c>
      <c r="J123" s="66">
        <v>-8002.7888446215138</v>
      </c>
      <c r="K123" s="65">
        <v>0.1</v>
      </c>
      <c r="L123" s="65">
        <v>0.1</v>
      </c>
      <c r="M123" s="65">
        <v>0.27083333333333331</v>
      </c>
      <c r="N123" s="65">
        <v>0.21639784946236559</v>
      </c>
      <c r="O123" s="65">
        <v>0.59057071960297769</v>
      </c>
      <c r="P123" s="65">
        <v>0.38198757763975155</v>
      </c>
      <c r="Q123" s="65">
        <v>0.43396226415094341</v>
      </c>
    </row>
    <row r="124" spans="1:17" x14ac:dyDescent="0.4">
      <c r="A124" s="67">
        <v>121</v>
      </c>
      <c r="B124" s="64">
        <v>3.5527136788005009E-14</v>
      </c>
      <c r="C124" s="64">
        <v>9.7870900242438045E-17</v>
      </c>
      <c r="D124" s="69">
        <v>2</v>
      </c>
      <c r="E124" s="65">
        <v>0.33333333333333331</v>
      </c>
      <c r="F124" s="65">
        <v>0.33333333333333331</v>
      </c>
      <c r="G124" s="65">
        <v>0.30272787757817698</v>
      </c>
      <c r="H124" s="65">
        <v>0.16899534264803726</v>
      </c>
      <c r="I124" s="66">
        <v>8464.8351648351654</v>
      </c>
      <c r="J124" s="66">
        <v>-7996.6535433070867</v>
      </c>
      <c r="K124" s="65">
        <v>9.9173553719008267E-2</v>
      </c>
      <c r="L124" s="65">
        <v>9.9173553719008267E-2</v>
      </c>
      <c r="M124" s="65">
        <v>0.27145708582834333</v>
      </c>
      <c r="N124" s="65">
        <v>0.21623419827012641</v>
      </c>
      <c r="O124" s="65">
        <v>0.58823529411764708</v>
      </c>
      <c r="P124" s="65">
        <v>0.38153846153846155</v>
      </c>
      <c r="Q124" s="65">
        <v>0.43296703296703298</v>
      </c>
    </row>
    <row r="125" spans="1:17" x14ac:dyDescent="0.4">
      <c r="A125" s="67">
        <v>122</v>
      </c>
      <c r="B125" s="64">
        <v>3.1974423109204508E-14</v>
      </c>
      <c r="C125" s="64">
        <v>8.7361811773782808E-17</v>
      </c>
      <c r="D125" s="69">
        <v>2</v>
      </c>
      <c r="E125" s="65">
        <v>0.33333333333333331</v>
      </c>
      <c r="F125" s="65">
        <v>0.33333333333333331</v>
      </c>
      <c r="G125" s="65">
        <v>0.30267062314540061</v>
      </c>
      <c r="H125" s="65">
        <v>0.16880975931421036</v>
      </c>
      <c r="I125" s="66">
        <v>8464.1612200435738</v>
      </c>
      <c r="J125" s="66">
        <v>-8001.171875</v>
      </c>
      <c r="K125" s="65">
        <v>0.10109289617486339</v>
      </c>
      <c r="L125" s="65">
        <v>0.10109289617486339</v>
      </c>
      <c r="M125" s="65">
        <v>0.27200791295746785</v>
      </c>
      <c r="N125" s="65">
        <v>0.21661721068249259</v>
      </c>
      <c r="O125" s="65">
        <v>0.58787878787878789</v>
      </c>
      <c r="P125" s="65">
        <v>0.38051750380517502</v>
      </c>
      <c r="Q125" s="65">
        <v>0.43355119825708061</v>
      </c>
    </row>
    <row r="126" spans="1:17" x14ac:dyDescent="0.4">
      <c r="A126" s="67">
        <v>123</v>
      </c>
      <c r="B126" s="64">
        <v>3.3750779948604759E-14</v>
      </c>
      <c r="C126" s="64">
        <v>9.1465528316002061E-17</v>
      </c>
      <c r="D126" s="69">
        <v>2</v>
      </c>
      <c r="E126" s="65">
        <v>0.33333333333333331</v>
      </c>
      <c r="F126" s="65">
        <v>0.33333333333333331</v>
      </c>
      <c r="G126" s="65">
        <v>0.30285343709468221</v>
      </c>
      <c r="H126" s="65">
        <v>0.16763942931258105</v>
      </c>
      <c r="I126" s="66">
        <v>8461.9914346895075</v>
      </c>
      <c r="J126" s="66">
        <v>-8019.342359767892</v>
      </c>
      <c r="K126" s="65">
        <v>0.1002710027100271</v>
      </c>
      <c r="L126" s="65">
        <v>0.1002710027100271</v>
      </c>
      <c r="M126" s="65">
        <v>0.27172503242542151</v>
      </c>
      <c r="N126" s="65">
        <v>0.21789883268482491</v>
      </c>
      <c r="O126" s="65">
        <v>0.58711217183770881</v>
      </c>
      <c r="P126" s="65">
        <v>0.38095238095238093</v>
      </c>
      <c r="Q126" s="65">
        <v>0.43790149892933616</v>
      </c>
    </row>
    <row r="127" spans="1:17" x14ac:dyDescent="0.4">
      <c r="A127" s="67">
        <v>124</v>
      </c>
      <c r="B127" s="64">
        <v>3.9801495432811862E-14</v>
      </c>
      <c r="C127" s="64">
        <v>1.0699326729250501E-16</v>
      </c>
      <c r="D127" s="69">
        <v>2</v>
      </c>
      <c r="E127" s="65">
        <v>0.33333333333333331</v>
      </c>
      <c r="F127" s="65">
        <v>0.33333333333333331</v>
      </c>
      <c r="G127" s="65">
        <v>0.30308880308880309</v>
      </c>
      <c r="H127" s="65">
        <v>0.16795366795366795</v>
      </c>
      <c r="I127" s="66">
        <v>8448.3014861995762</v>
      </c>
      <c r="J127" s="66">
        <v>-8016.4750957854403</v>
      </c>
      <c r="K127" s="65">
        <v>9.9462365591397844E-2</v>
      </c>
      <c r="L127" s="65">
        <v>9.9462365591397844E-2</v>
      </c>
      <c r="M127" s="65">
        <v>0.27059202059202059</v>
      </c>
      <c r="N127" s="65">
        <v>0.21846846846846846</v>
      </c>
      <c r="O127" s="65">
        <v>0.58858501783590966</v>
      </c>
      <c r="P127" s="65">
        <v>0.38291605301914583</v>
      </c>
      <c r="Q127" s="65">
        <v>0.43736730360934184</v>
      </c>
    </row>
    <row r="128" spans="1:17" x14ac:dyDescent="0.4">
      <c r="A128" s="67">
        <v>125</v>
      </c>
      <c r="B128" s="64">
        <v>3.5527136788005009E-14</v>
      </c>
      <c r="C128" s="64">
        <v>9.4739031434680031E-17</v>
      </c>
      <c r="D128" s="69">
        <v>2</v>
      </c>
      <c r="E128" s="65">
        <v>0.33333333333333331</v>
      </c>
      <c r="F128" s="65">
        <v>0.33333333333333331</v>
      </c>
      <c r="G128" s="65">
        <v>0.30271132376395532</v>
      </c>
      <c r="H128" s="65">
        <v>0.1674641148325359</v>
      </c>
      <c r="I128" s="66">
        <v>8448.4720758693365</v>
      </c>
      <c r="J128" s="66">
        <v>-8019.6190476190477</v>
      </c>
      <c r="K128" s="65">
        <v>9.8666666666666666E-2</v>
      </c>
      <c r="L128" s="65">
        <v>9.8666666666666666E-2</v>
      </c>
      <c r="M128" s="65">
        <v>0.27017543859649124</v>
      </c>
      <c r="N128" s="65">
        <v>0.21818181818181817</v>
      </c>
      <c r="O128" s="65">
        <v>0.58795749704840616</v>
      </c>
      <c r="P128" s="65">
        <v>0.38596491228070173</v>
      </c>
      <c r="Q128" s="65">
        <v>0.43835616438356162</v>
      </c>
    </row>
    <row r="129" spans="1:17" x14ac:dyDescent="0.4">
      <c r="A129" s="67">
        <v>126</v>
      </c>
      <c r="B129" s="64">
        <v>4.2632564145606011E-14</v>
      </c>
      <c r="C129" s="64">
        <v>1.1278456123176193E-16</v>
      </c>
      <c r="D129" s="69">
        <v>2</v>
      </c>
      <c r="E129" s="65">
        <v>0.33333333333333331</v>
      </c>
      <c r="F129" s="65">
        <v>0.33333333333333331</v>
      </c>
      <c r="G129" s="65">
        <v>0.30259822560202787</v>
      </c>
      <c r="H129" s="65">
        <v>0.16730038022813687</v>
      </c>
      <c r="I129" s="66">
        <v>8490.0523560209422</v>
      </c>
      <c r="J129" s="66">
        <v>-8085.037878787879</v>
      </c>
      <c r="K129" s="65">
        <v>0.10052910052910052</v>
      </c>
      <c r="L129" s="65">
        <v>0.10052910052910052</v>
      </c>
      <c r="M129" s="65">
        <v>0.26996197718631176</v>
      </c>
      <c r="N129" s="65">
        <v>0.21736375158428389</v>
      </c>
      <c r="O129" s="65">
        <v>0.58920187793427226</v>
      </c>
      <c r="P129" s="65">
        <v>0.38483965014577259</v>
      </c>
      <c r="Q129" s="65">
        <v>0.4387434554973822</v>
      </c>
    </row>
    <row r="130" spans="1:17" x14ac:dyDescent="0.4">
      <c r="A130" s="67">
        <v>127</v>
      </c>
      <c r="B130" s="64">
        <v>4.2632564145606011E-14</v>
      </c>
      <c r="C130" s="64">
        <v>1.1189649382048822E-16</v>
      </c>
      <c r="D130" s="69">
        <v>2</v>
      </c>
      <c r="E130" s="65">
        <v>0.33333333333333331</v>
      </c>
      <c r="F130" s="65">
        <v>0.33333333333333331</v>
      </c>
      <c r="G130" s="65">
        <v>0.30237648530331457</v>
      </c>
      <c r="H130" s="65">
        <v>0.16791744840525327</v>
      </c>
      <c r="I130" s="66">
        <v>8457.7042399172697</v>
      </c>
      <c r="J130" s="66">
        <v>-8050.4655493482305</v>
      </c>
      <c r="K130" s="65">
        <v>9.9737532808398949E-2</v>
      </c>
      <c r="L130" s="65">
        <v>9.9737532808398949E-2</v>
      </c>
      <c r="M130" s="65">
        <v>0.26923076923076922</v>
      </c>
      <c r="N130" s="65">
        <v>0.21607254534083803</v>
      </c>
      <c r="O130" s="65">
        <v>0.59117305458768876</v>
      </c>
      <c r="P130" s="65">
        <v>0.38350217076700432</v>
      </c>
      <c r="Q130" s="65">
        <v>0.4364012409513961</v>
      </c>
    </row>
    <row r="131" spans="1:17" x14ac:dyDescent="0.4">
      <c r="A131" s="67">
        <v>128</v>
      </c>
      <c r="B131" s="64">
        <v>4.2632564145606011E-14</v>
      </c>
      <c r="C131" s="64">
        <v>1.1102230246251565E-16</v>
      </c>
      <c r="D131" s="69">
        <v>2</v>
      </c>
      <c r="E131" s="65">
        <v>0.33333333333333331</v>
      </c>
      <c r="F131" s="65">
        <v>0.33333333333333331</v>
      </c>
      <c r="G131" s="65">
        <v>0.30204460966542751</v>
      </c>
      <c r="H131" s="65">
        <v>0.16759603469640644</v>
      </c>
      <c r="I131" s="66">
        <v>8445.3333333333339</v>
      </c>
      <c r="J131" s="66">
        <v>-8048.9833641404803</v>
      </c>
      <c r="K131" s="65">
        <v>0.1015625</v>
      </c>
      <c r="L131" s="65">
        <v>0.1015625</v>
      </c>
      <c r="M131" s="65">
        <v>0.2698265179677819</v>
      </c>
      <c r="N131" s="65">
        <v>0.21561338289962825</v>
      </c>
      <c r="O131" s="65">
        <v>0.59127439724454645</v>
      </c>
      <c r="P131" s="65">
        <v>0.38362068965517243</v>
      </c>
      <c r="Q131" s="65">
        <v>0.43692307692307691</v>
      </c>
    </row>
    <row r="132" spans="1:17" x14ac:dyDescent="0.4">
      <c r="A132" s="67">
        <v>129</v>
      </c>
      <c r="B132" s="64">
        <v>4.7073456244106637E-14</v>
      </c>
      <c r="C132" s="64">
        <v>1.2163683784006883E-16</v>
      </c>
      <c r="D132" s="69">
        <v>2</v>
      </c>
      <c r="E132" s="65">
        <v>0.33333333333333331</v>
      </c>
      <c r="F132" s="65">
        <v>0.33333333333333331</v>
      </c>
      <c r="G132" s="65">
        <v>0.30224684518313327</v>
      </c>
      <c r="H132" s="65">
        <v>0.16743613419513698</v>
      </c>
      <c r="I132" s="66">
        <v>8418.8391038696536</v>
      </c>
      <c r="J132" s="66">
        <v>-8033.8235294117649</v>
      </c>
      <c r="K132" s="65">
        <v>0.10077519379844961</v>
      </c>
      <c r="L132" s="65">
        <v>0.10077519379844961</v>
      </c>
      <c r="M132" s="65">
        <v>0.26900584795321636</v>
      </c>
      <c r="N132" s="65">
        <v>0.21606648199445982</v>
      </c>
      <c r="O132" s="65">
        <v>0.59153318077803207</v>
      </c>
      <c r="P132" s="65">
        <v>0.38603988603988604</v>
      </c>
      <c r="Q132" s="65">
        <v>0.43788187372708759</v>
      </c>
    </row>
    <row r="133" spans="1:17" x14ac:dyDescent="0.4">
      <c r="A133" s="67">
        <v>130</v>
      </c>
      <c r="B133" s="64">
        <v>4.9737991503207013E-14</v>
      </c>
      <c r="C133" s="64">
        <v>1.2753331154668464E-16</v>
      </c>
      <c r="D133" s="69">
        <v>2</v>
      </c>
      <c r="E133" s="65">
        <v>0.33333333333333331</v>
      </c>
      <c r="F133" s="65">
        <v>0.33333333333333331</v>
      </c>
      <c r="G133" s="65">
        <v>0.30225472273004267</v>
      </c>
      <c r="H133" s="65">
        <v>0.16758074344911639</v>
      </c>
      <c r="I133" s="66">
        <v>8403.9314516129034</v>
      </c>
      <c r="J133" s="66">
        <v>-8011.272727272727</v>
      </c>
      <c r="K133" s="65">
        <v>0.1</v>
      </c>
      <c r="L133" s="65">
        <v>0.1</v>
      </c>
      <c r="M133" s="65">
        <v>0.26873857404021939</v>
      </c>
      <c r="N133" s="65">
        <v>0.21633150517976843</v>
      </c>
      <c r="O133" s="65">
        <v>0.59070294784580502</v>
      </c>
      <c r="P133" s="65">
        <v>0.38591549295774646</v>
      </c>
      <c r="Q133" s="65">
        <v>0.4375</v>
      </c>
    </row>
    <row r="134" spans="1:17" x14ac:dyDescent="0.4">
      <c r="A134" s="67">
        <v>131</v>
      </c>
      <c r="B134" s="64">
        <v>4.8849813083506888E-14</v>
      </c>
      <c r="C134" s="64">
        <v>1.2429977883843992E-16</v>
      </c>
      <c r="D134" s="69">
        <v>2</v>
      </c>
      <c r="E134" s="65">
        <v>0.33333333333333331</v>
      </c>
      <c r="F134" s="65">
        <v>0.33333333333333331</v>
      </c>
      <c r="G134" s="65">
        <v>0.30190389845874888</v>
      </c>
      <c r="H134" s="65">
        <v>0.16772438803263826</v>
      </c>
      <c r="I134" s="66">
        <v>8391.191191191192</v>
      </c>
      <c r="J134" s="66">
        <v>-8000.5405405405409</v>
      </c>
      <c r="K134" s="65">
        <v>9.9236641221374045E-2</v>
      </c>
      <c r="L134" s="65">
        <v>9.9236641221374045E-2</v>
      </c>
      <c r="M134" s="65">
        <v>0.26835902085222124</v>
      </c>
      <c r="N134" s="65">
        <v>0.21698398307645814</v>
      </c>
      <c r="O134" s="65">
        <v>0.59121621621621623</v>
      </c>
      <c r="P134" s="65">
        <v>0.38579387186629527</v>
      </c>
      <c r="Q134" s="65">
        <v>0.43643643643643643</v>
      </c>
    </row>
    <row r="135" spans="1:17" x14ac:dyDescent="0.4">
      <c r="A135" s="67">
        <v>132</v>
      </c>
      <c r="B135" s="64">
        <v>4.2632564145606011E-14</v>
      </c>
      <c r="C135" s="64">
        <v>1.0765799026668185E-16</v>
      </c>
      <c r="D135" s="69">
        <v>2</v>
      </c>
      <c r="E135" s="65">
        <v>0.33333333333333331</v>
      </c>
      <c r="F135" s="65">
        <v>0.33333333333333331</v>
      </c>
      <c r="G135" s="65">
        <v>0.30218628331835878</v>
      </c>
      <c r="H135" s="65">
        <v>0.16831386642707397</v>
      </c>
      <c r="I135" s="66">
        <v>8368.0872150644209</v>
      </c>
      <c r="J135" s="66">
        <v>-7978.4697508896797</v>
      </c>
      <c r="K135" s="65">
        <v>0.10101010101010101</v>
      </c>
      <c r="L135" s="65">
        <v>0.10101010101010101</v>
      </c>
      <c r="M135" s="65">
        <v>0.26864330637915546</v>
      </c>
      <c r="N135" s="65">
        <v>0.2168313866427074</v>
      </c>
      <c r="O135" s="65">
        <v>0.59085841694537344</v>
      </c>
      <c r="P135" s="65">
        <v>0.38674033149171272</v>
      </c>
      <c r="Q135" s="65">
        <v>0.43508424182358774</v>
      </c>
    </row>
    <row r="136" spans="1:17" x14ac:dyDescent="0.4">
      <c r="A136" s="67">
        <v>133</v>
      </c>
      <c r="B136" s="64">
        <v>4.2632564145606011E-14</v>
      </c>
      <c r="C136" s="64">
        <v>1.0684853169324814E-16</v>
      </c>
      <c r="D136" s="69">
        <v>2</v>
      </c>
      <c r="E136" s="65">
        <v>0.33333333333333331</v>
      </c>
      <c r="F136" s="65">
        <v>0.33333333333333331</v>
      </c>
      <c r="G136" s="65">
        <v>0.30238095238095236</v>
      </c>
      <c r="H136" s="65">
        <v>0.16815476190476192</v>
      </c>
      <c r="I136" s="66">
        <v>8355.7086614173222</v>
      </c>
      <c r="J136" s="66">
        <v>-7977.8761061946907</v>
      </c>
      <c r="K136" s="65">
        <v>0.10025062656641603</v>
      </c>
      <c r="L136" s="65">
        <v>0.10025062656641603</v>
      </c>
      <c r="M136" s="65">
        <v>0.2681547619047619</v>
      </c>
      <c r="N136" s="65">
        <v>0.21785714285714286</v>
      </c>
      <c r="O136" s="65">
        <v>0.59156492785793557</v>
      </c>
      <c r="P136" s="65">
        <v>0.38524590163934425</v>
      </c>
      <c r="Q136" s="65">
        <v>0.4360236220472441</v>
      </c>
    </row>
    <row r="137" spans="1:17" x14ac:dyDescent="0.4">
      <c r="A137" s="67">
        <v>134</v>
      </c>
      <c r="B137" s="64">
        <v>3.5527136788005009E-14</v>
      </c>
      <c r="C137" s="64">
        <v>8.8375962159216446E-17</v>
      </c>
      <c r="D137" s="69">
        <v>2</v>
      </c>
      <c r="E137" s="65">
        <v>0.33333333333333331</v>
      </c>
      <c r="F137" s="65">
        <v>0.33333333333333331</v>
      </c>
      <c r="G137" s="65">
        <v>0.30254588513913561</v>
      </c>
      <c r="H137" s="65">
        <v>0.16755476613380699</v>
      </c>
      <c r="I137" s="66">
        <v>8366.7318982387478</v>
      </c>
      <c r="J137" s="66">
        <v>-7984.9823321554768</v>
      </c>
      <c r="K137" s="65">
        <v>0.10199004975124377</v>
      </c>
      <c r="L137" s="65">
        <v>0.10199004975124377</v>
      </c>
      <c r="M137" s="65">
        <v>0.26968620485494377</v>
      </c>
      <c r="N137" s="65">
        <v>0.21669626998223801</v>
      </c>
      <c r="O137" s="65">
        <v>0.5916575192096597</v>
      </c>
      <c r="P137" s="65">
        <v>0.38524590163934425</v>
      </c>
      <c r="Q137" s="65">
        <v>0.43835616438356162</v>
      </c>
    </row>
    <row r="138" spans="1:17" x14ac:dyDescent="0.4">
      <c r="A138" s="67">
        <v>135</v>
      </c>
      <c r="B138" s="64">
        <v>3.5527136788005009E-14</v>
      </c>
      <c r="C138" s="64">
        <v>8.77213254024815E-17</v>
      </c>
      <c r="D138" s="69">
        <v>2</v>
      </c>
      <c r="E138" s="65">
        <v>0.33333333333333331</v>
      </c>
      <c r="F138" s="65">
        <v>0.33333333333333331</v>
      </c>
      <c r="G138" s="65">
        <v>0.30249632892804701</v>
      </c>
      <c r="H138" s="65">
        <v>0.16710719530102791</v>
      </c>
      <c r="I138" s="66">
        <v>8376.0194174757289</v>
      </c>
      <c r="J138" s="66">
        <v>-7986.4674868189804</v>
      </c>
      <c r="K138" s="65">
        <v>0.10123456790123457</v>
      </c>
      <c r="L138" s="65">
        <v>0.10123456790123457</v>
      </c>
      <c r="M138" s="65">
        <v>0.26901615271659324</v>
      </c>
      <c r="N138" s="65">
        <v>0.21585903083700442</v>
      </c>
      <c r="O138" s="65">
        <v>0.59279475982532748</v>
      </c>
      <c r="P138" s="65">
        <v>0.38639455782312926</v>
      </c>
      <c r="Q138" s="65">
        <v>0.43980582524271844</v>
      </c>
    </row>
    <row r="139" spans="1:17" x14ac:dyDescent="0.4">
      <c r="A139" s="67">
        <v>136</v>
      </c>
      <c r="B139" s="64">
        <v>3.1974423109204508E-14</v>
      </c>
      <c r="C139" s="64">
        <v>7.8368684091187526E-17</v>
      </c>
      <c r="D139" s="69">
        <v>2</v>
      </c>
      <c r="E139" s="65">
        <v>0.33333333333333331</v>
      </c>
      <c r="F139" s="65">
        <v>0.33333333333333331</v>
      </c>
      <c r="G139" s="65">
        <v>0.30139372822299654</v>
      </c>
      <c r="H139" s="65">
        <v>0.16666666666666666</v>
      </c>
      <c r="I139" s="66">
        <v>8387.1868978805396</v>
      </c>
      <c r="J139" s="66">
        <v>-8019.5121951219517</v>
      </c>
      <c r="K139" s="65">
        <v>0.10294117647058823</v>
      </c>
      <c r="L139" s="65">
        <v>0.10294117647058823</v>
      </c>
      <c r="M139" s="65">
        <v>0.26887340301974449</v>
      </c>
      <c r="N139" s="65">
        <v>0.21602787456445993</v>
      </c>
      <c r="O139" s="65">
        <v>0.59179265658747304</v>
      </c>
      <c r="P139" s="65">
        <v>0.38306451612903225</v>
      </c>
      <c r="Q139" s="65">
        <v>0.43930635838150289</v>
      </c>
    </row>
    <row r="140" spans="1:17" x14ac:dyDescent="0.4">
      <c r="A140" s="67">
        <v>137</v>
      </c>
      <c r="B140" s="64">
        <v>2.8421709430404007E-14</v>
      </c>
      <c r="C140" s="64">
        <v>6.9152577689547465E-17</v>
      </c>
      <c r="D140" s="69">
        <v>2</v>
      </c>
      <c r="E140" s="65">
        <v>0.33333333333333331</v>
      </c>
      <c r="F140" s="65">
        <v>0.33333333333333331</v>
      </c>
      <c r="G140" s="65">
        <v>0.30161476355247979</v>
      </c>
      <c r="H140" s="65">
        <v>0.16695501730103807</v>
      </c>
      <c r="I140" s="66">
        <v>8398.7571701720844</v>
      </c>
      <c r="J140" s="66">
        <v>-8040.0690846286698</v>
      </c>
      <c r="K140" s="65">
        <v>0.10218978102189781</v>
      </c>
      <c r="L140" s="65">
        <v>0.10218978102189781</v>
      </c>
      <c r="M140" s="65">
        <v>0.26931949250288351</v>
      </c>
      <c r="N140" s="65">
        <v>0.21539792387543252</v>
      </c>
      <c r="O140" s="65">
        <v>0.59207708779443258</v>
      </c>
      <c r="P140" s="65">
        <v>0.38286479250334671</v>
      </c>
      <c r="Q140" s="65">
        <v>0.43881453154875716</v>
      </c>
    </row>
    <row r="141" spans="1:17" x14ac:dyDescent="0.4">
      <c r="A141" s="67">
        <v>138</v>
      </c>
      <c r="B141" s="64">
        <v>3.1086244689504383E-14</v>
      </c>
      <c r="C141" s="64">
        <v>7.5087547559189332E-17</v>
      </c>
      <c r="D141" s="69">
        <v>2</v>
      </c>
      <c r="E141" s="65">
        <v>0.33333333333333331</v>
      </c>
      <c r="F141" s="65">
        <v>0.33333333333333331</v>
      </c>
      <c r="G141" s="65">
        <v>0.30149168100975332</v>
      </c>
      <c r="H141" s="65">
        <v>0.16695352839931152</v>
      </c>
      <c r="I141" s="66">
        <v>8419.0294957183633</v>
      </c>
      <c r="J141" s="66">
        <v>-8045.5326460481101</v>
      </c>
      <c r="K141" s="65">
        <v>0.10386473429951691</v>
      </c>
      <c r="L141" s="65">
        <v>0.10386473429951691</v>
      </c>
      <c r="M141" s="65">
        <v>0.27022375215146299</v>
      </c>
      <c r="N141" s="65">
        <v>0.21457257601835916</v>
      </c>
      <c r="O141" s="65">
        <v>0.59235668789808915</v>
      </c>
      <c r="P141" s="65">
        <v>0.38235294117647056</v>
      </c>
      <c r="Q141" s="65">
        <v>0.43862987630827782</v>
      </c>
    </row>
    <row r="142" spans="1:17" x14ac:dyDescent="0.4">
      <c r="A142" s="67">
        <v>139</v>
      </c>
      <c r="B142" s="64">
        <v>3.5527136788005009E-14</v>
      </c>
      <c r="C142" s="64">
        <v>8.519697071464031E-17</v>
      </c>
      <c r="D142" s="69">
        <v>2</v>
      </c>
      <c r="E142" s="65">
        <v>0.33333333333333331</v>
      </c>
      <c r="F142" s="65">
        <v>0.33333333333333331</v>
      </c>
      <c r="G142" s="65">
        <v>0.30145175064047824</v>
      </c>
      <c r="H142" s="65">
        <v>0.16737830913748933</v>
      </c>
      <c r="I142" s="66">
        <v>8427.9508970727093</v>
      </c>
      <c r="J142" s="66">
        <v>-8061.3945578231296</v>
      </c>
      <c r="K142" s="65">
        <v>0.10311750599520383</v>
      </c>
      <c r="L142" s="65">
        <v>0.10311750599520383</v>
      </c>
      <c r="M142" s="65">
        <v>0.27013948192428122</v>
      </c>
      <c r="N142" s="65">
        <v>0.21434671221178481</v>
      </c>
      <c r="O142" s="65">
        <v>0.59220231822971547</v>
      </c>
      <c r="P142" s="65">
        <v>0.38379814077025232</v>
      </c>
      <c r="Q142" s="65">
        <v>0.43720491029272901</v>
      </c>
    </row>
    <row r="143" spans="1:17" x14ac:dyDescent="0.4">
      <c r="A143" s="67">
        <v>140</v>
      </c>
      <c r="B143" s="64">
        <v>3.1974423109204508E-14</v>
      </c>
      <c r="C143" s="64">
        <v>7.6129578831439306E-17</v>
      </c>
      <c r="D143" s="69">
        <v>2</v>
      </c>
      <c r="E143" s="65">
        <v>0.33333333333333331</v>
      </c>
      <c r="F143" s="65">
        <v>0.33333333333333331</v>
      </c>
      <c r="G143" s="65">
        <v>0.30110262934690418</v>
      </c>
      <c r="H143" s="65">
        <v>0.16709075487701441</v>
      </c>
      <c r="I143" s="66">
        <v>8404.6948356807516</v>
      </c>
      <c r="J143" s="66">
        <v>-8035.3637901861248</v>
      </c>
      <c r="K143" s="65">
        <v>0.10238095238095238</v>
      </c>
      <c r="L143" s="65">
        <v>0.10238095238095238</v>
      </c>
      <c r="M143" s="65">
        <v>0.27085100367543113</v>
      </c>
      <c r="N143" s="65">
        <v>0.21402318348883234</v>
      </c>
      <c r="O143" s="65">
        <v>0.59185803757828814</v>
      </c>
      <c r="P143" s="65">
        <v>0.38309114927344784</v>
      </c>
      <c r="Q143" s="65">
        <v>0.4375586854460094</v>
      </c>
    </row>
    <row r="144" spans="1:17" x14ac:dyDescent="0.4">
      <c r="A144" s="67">
        <v>141</v>
      </c>
      <c r="B144" s="64">
        <v>3.0198066269804258E-14</v>
      </c>
      <c r="C144" s="64">
        <v>7.1390227588189739E-17</v>
      </c>
      <c r="D144" s="69">
        <v>2</v>
      </c>
      <c r="E144" s="65">
        <v>0.33333333333333331</v>
      </c>
      <c r="F144" s="65">
        <v>0.33333333333333331</v>
      </c>
      <c r="G144" s="65">
        <v>0.3009845288326301</v>
      </c>
      <c r="H144" s="65">
        <v>0.16708860759493671</v>
      </c>
      <c r="I144" s="66">
        <v>8389.8130841121492</v>
      </c>
      <c r="J144" s="66">
        <v>-8014.9831649831649</v>
      </c>
      <c r="K144" s="65">
        <v>0.10165484633569739</v>
      </c>
      <c r="L144" s="65">
        <v>0.10165484633569739</v>
      </c>
      <c r="M144" s="65">
        <v>0.27032348804500705</v>
      </c>
      <c r="N144" s="65">
        <v>0.21434599156118145</v>
      </c>
      <c r="O144" s="65">
        <v>0.59105098855359006</v>
      </c>
      <c r="P144" s="65">
        <v>0.38320209973753283</v>
      </c>
      <c r="Q144" s="65">
        <v>0.43738317757009348</v>
      </c>
    </row>
    <row r="145" spans="1:17" x14ac:dyDescent="0.4">
      <c r="A145" s="67">
        <v>142</v>
      </c>
      <c r="B145" s="64">
        <v>3.0198066269804258E-14</v>
      </c>
      <c r="C145" s="64">
        <v>7.0887479506582765E-17</v>
      </c>
      <c r="D145" s="69">
        <v>2</v>
      </c>
      <c r="E145" s="65">
        <v>0.33333333333333331</v>
      </c>
      <c r="F145" s="65">
        <v>0.33333333333333331</v>
      </c>
      <c r="G145" s="65">
        <v>0.3011744966442953</v>
      </c>
      <c r="H145" s="65">
        <v>0.16750559284116331</v>
      </c>
      <c r="I145" s="66">
        <v>8393.2219127205208</v>
      </c>
      <c r="J145" s="66">
        <v>-8018.8647746243741</v>
      </c>
      <c r="K145" s="65">
        <v>0.10093896713615023</v>
      </c>
      <c r="L145" s="65">
        <v>0.10093896713615023</v>
      </c>
      <c r="M145" s="65">
        <v>0.27069351230425054</v>
      </c>
      <c r="N145" s="65">
        <v>0.21420581655480983</v>
      </c>
      <c r="O145" s="65">
        <v>0.59400826446280997</v>
      </c>
      <c r="P145" s="65">
        <v>0.38120104438642299</v>
      </c>
      <c r="Q145" s="65">
        <v>0.436397400185701</v>
      </c>
    </row>
    <row r="146" spans="1:17" x14ac:dyDescent="0.4">
      <c r="A146" s="67">
        <v>143</v>
      </c>
      <c r="B146" s="64">
        <v>2.8421709430404007E-14</v>
      </c>
      <c r="C146" s="64">
        <v>6.6251070933342675E-17</v>
      </c>
      <c r="D146" s="69">
        <v>2</v>
      </c>
      <c r="E146" s="65">
        <v>0.33333333333333331</v>
      </c>
      <c r="F146" s="65">
        <v>0.33333333333333331</v>
      </c>
      <c r="G146" s="65">
        <v>0.30111111111111111</v>
      </c>
      <c r="H146" s="65">
        <v>0.16722222222222222</v>
      </c>
      <c r="I146" s="66">
        <v>8378.1365313653132</v>
      </c>
      <c r="J146" s="66">
        <v>-8003.8205980066441</v>
      </c>
      <c r="K146" s="65">
        <v>0.10023310023310024</v>
      </c>
      <c r="L146" s="65">
        <v>0.10023310023310024</v>
      </c>
      <c r="M146" s="65">
        <v>0.27</v>
      </c>
      <c r="N146" s="65">
        <v>0.21444444444444444</v>
      </c>
      <c r="O146" s="65">
        <v>0.59465020576131689</v>
      </c>
      <c r="P146" s="65">
        <v>0.38212435233160624</v>
      </c>
      <c r="Q146" s="65">
        <v>0.43726937269372695</v>
      </c>
    </row>
    <row r="147" spans="1:17" x14ac:dyDescent="0.4">
      <c r="A147" s="67">
        <v>144</v>
      </c>
      <c r="B147" s="64">
        <v>3.1974423109204508E-14</v>
      </c>
      <c r="C147" s="64">
        <v>7.4014868308343765E-17</v>
      </c>
      <c r="D147" s="69">
        <v>2</v>
      </c>
      <c r="E147" s="65">
        <v>0.33333333333333331</v>
      </c>
      <c r="F147" s="65">
        <v>0.33333333333333331</v>
      </c>
      <c r="G147" s="65">
        <v>0.30127142067440577</v>
      </c>
      <c r="H147" s="65">
        <v>0.16721945826423437</v>
      </c>
      <c r="I147" s="66">
        <v>8398.9908256880735</v>
      </c>
      <c r="J147" s="66">
        <v>-8049.9173553719011</v>
      </c>
      <c r="K147" s="65">
        <v>0.10185185185185185</v>
      </c>
      <c r="L147" s="65">
        <v>0.10185185185185185</v>
      </c>
      <c r="M147" s="65">
        <v>0.27142067440574902</v>
      </c>
      <c r="N147" s="65">
        <v>0.21393034825870647</v>
      </c>
      <c r="O147" s="65">
        <v>0.59368635437881878</v>
      </c>
      <c r="P147" s="65">
        <v>0.38242894056847543</v>
      </c>
      <c r="Q147" s="65">
        <v>0.43761467889908257</v>
      </c>
    </row>
    <row r="148" spans="1:17" x14ac:dyDescent="0.4">
      <c r="A148" s="67">
        <v>145</v>
      </c>
      <c r="B148" s="64">
        <v>3.0198066269804258E-14</v>
      </c>
      <c r="C148" s="64">
        <v>6.9420841999550017E-17</v>
      </c>
      <c r="D148" s="69">
        <v>2</v>
      </c>
      <c r="E148" s="65">
        <v>0.33333333333333331</v>
      </c>
      <c r="F148" s="65">
        <v>0.33333333333333331</v>
      </c>
      <c r="G148" s="65">
        <v>0.30153508771929827</v>
      </c>
      <c r="H148" s="65">
        <v>0.16776315789473684</v>
      </c>
      <c r="I148" s="66">
        <v>8397.818181818182</v>
      </c>
      <c r="J148" s="66">
        <v>-8039.3790849673205</v>
      </c>
      <c r="K148" s="65">
        <v>0.10344827586206896</v>
      </c>
      <c r="L148" s="65">
        <v>0.10344827586206896</v>
      </c>
      <c r="M148" s="65">
        <v>0.27247807017543857</v>
      </c>
      <c r="N148" s="65">
        <v>0.21326754385964913</v>
      </c>
      <c r="O148" s="65">
        <v>0.59456740442655931</v>
      </c>
      <c r="P148" s="65">
        <v>0.38046272493573263</v>
      </c>
      <c r="Q148" s="65">
        <v>0.43636363636363634</v>
      </c>
    </row>
    <row r="149" spans="1:17" x14ac:dyDescent="0.4">
      <c r="A149" s="67">
        <v>146</v>
      </c>
      <c r="B149" s="64">
        <v>2.8421709430404007E-14</v>
      </c>
      <c r="C149" s="64">
        <v>6.4889747558000013E-17</v>
      </c>
      <c r="D149" s="69">
        <v>2</v>
      </c>
      <c r="E149" s="65">
        <v>0.33333333333333331</v>
      </c>
      <c r="F149" s="65">
        <v>0.33333333333333331</v>
      </c>
      <c r="G149" s="65">
        <v>0.30169121658483361</v>
      </c>
      <c r="H149" s="65">
        <v>0.16803055100927441</v>
      </c>
      <c r="I149" s="66">
        <v>8387.9746835443038</v>
      </c>
      <c r="J149" s="66">
        <v>-8025.6493506493507</v>
      </c>
      <c r="K149" s="65">
        <v>0.10273972602739725</v>
      </c>
      <c r="L149" s="65">
        <v>0.10273972602739725</v>
      </c>
      <c r="M149" s="65">
        <v>0.27304964539007093</v>
      </c>
      <c r="N149" s="65">
        <v>0.21276595744680851</v>
      </c>
      <c r="O149" s="65">
        <v>0.59540459540459545</v>
      </c>
      <c r="P149" s="65">
        <v>0.38076923076923075</v>
      </c>
      <c r="Q149" s="65">
        <v>0.43580470162748641</v>
      </c>
    </row>
    <row r="150" spans="1:17" x14ac:dyDescent="0.4">
      <c r="A150" s="67">
        <v>147</v>
      </c>
      <c r="B150" s="64">
        <v>2.4147350785597155E-14</v>
      </c>
      <c r="C150" s="64">
        <v>5.475589747300942E-17</v>
      </c>
      <c r="D150" s="69">
        <v>2</v>
      </c>
      <c r="E150" s="65">
        <v>0.33333333333333331</v>
      </c>
      <c r="F150" s="65">
        <v>0.33333333333333331</v>
      </c>
      <c r="G150" s="65">
        <v>0.30170316301703165</v>
      </c>
      <c r="H150" s="65">
        <v>0.16815355501486889</v>
      </c>
      <c r="I150" s="66">
        <v>8388.1720430107525</v>
      </c>
      <c r="J150" s="66">
        <v>-8035.5305466237942</v>
      </c>
      <c r="K150" s="65">
        <v>0.10204081632653061</v>
      </c>
      <c r="L150" s="65">
        <v>0.10204081632653061</v>
      </c>
      <c r="M150" s="65">
        <v>0.27250608272506083</v>
      </c>
      <c r="N150" s="65">
        <v>0.21221951878886186</v>
      </c>
      <c r="O150" s="65">
        <v>0.59722222222222221</v>
      </c>
      <c r="P150" s="65">
        <v>0.38216560509554143</v>
      </c>
      <c r="Q150" s="65">
        <v>0.43548387096774194</v>
      </c>
    </row>
    <row r="151" spans="1:17" x14ac:dyDescent="0.4">
      <c r="A151" s="67">
        <v>148</v>
      </c>
      <c r="B151" s="64">
        <v>2.8421709430404007E-14</v>
      </c>
      <c r="C151" s="64">
        <v>6.4012859077486503E-17</v>
      </c>
      <c r="D151" s="69">
        <v>2</v>
      </c>
      <c r="E151" s="65">
        <v>0.33333333333333331</v>
      </c>
      <c r="F151" s="65">
        <v>0.33333333333333331</v>
      </c>
      <c r="G151" s="65">
        <v>0.3018054432767448</v>
      </c>
      <c r="H151" s="65">
        <v>0.16814874696847212</v>
      </c>
      <c r="I151" s="66">
        <v>8411.7857142857138</v>
      </c>
      <c r="J151" s="66">
        <v>-8067.4679487179483</v>
      </c>
      <c r="K151" s="65">
        <v>0.1036036036036036</v>
      </c>
      <c r="L151" s="65">
        <v>0.1036036036036036</v>
      </c>
      <c r="M151" s="65">
        <v>0.27270277553220157</v>
      </c>
      <c r="N151" s="65">
        <v>0.21234168687685259</v>
      </c>
      <c r="O151" s="65">
        <v>0.59683794466403162</v>
      </c>
      <c r="P151" s="65">
        <v>0.38324873096446699</v>
      </c>
      <c r="Q151" s="65">
        <v>0.43571428571428572</v>
      </c>
    </row>
    <row r="152" spans="1:17" x14ac:dyDescent="0.4">
      <c r="A152" s="67">
        <v>149</v>
      </c>
      <c r="B152" s="64">
        <v>3.0198066269804258E-14</v>
      </c>
      <c r="C152" s="64">
        <v>6.7557195234461424E-17</v>
      </c>
      <c r="D152" s="69">
        <v>2</v>
      </c>
      <c r="E152" s="65">
        <v>0.33333333333333331</v>
      </c>
      <c r="F152" s="65">
        <v>0.33333333333333331</v>
      </c>
      <c r="G152" s="65">
        <v>0.30193236714975846</v>
      </c>
      <c r="H152" s="65">
        <v>0.16827697262479871</v>
      </c>
      <c r="I152" s="66">
        <v>8434.4888888888891</v>
      </c>
      <c r="J152" s="66">
        <v>-8104.7846889952152</v>
      </c>
      <c r="K152" s="65">
        <v>0.10514541387024609</v>
      </c>
      <c r="L152" s="65">
        <v>0.10514541387024609</v>
      </c>
      <c r="M152" s="65">
        <v>0.27267847557702629</v>
      </c>
      <c r="N152" s="65">
        <v>0.21229200214707461</v>
      </c>
      <c r="O152" s="65">
        <v>0.59842519685039375</v>
      </c>
      <c r="P152" s="65">
        <v>0.38305941845764857</v>
      </c>
      <c r="Q152" s="65">
        <v>0.43555555555555553</v>
      </c>
    </row>
    <row r="153" spans="1:17" x14ac:dyDescent="0.4">
      <c r="A153" s="67">
        <v>150</v>
      </c>
      <c r="B153" s="64">
        <v>2.1316282072803006E-14</v>
      </c>
      <c r="C153" s="64">
        <v>4.7369515717340015E-17</v>
      </c>
      <c r="D153" s="69">
        <v>2</v>
      </c>
      <c r="E153" s="65">
        <v>0.33333333333333331</v>
      </c>
      <c r="F153" s="65">
        <v>0.33333333333333331</v>
      </c>
      <c r="G153" s="65">
        <v>0.30133333333333334</v>
      </c>
      <c r="H153" s="65">
        <v>0.16773333333333335</v>
      </c>
      <c r="I153" s="66">
        <v>8429.8230088495584</v>
      </c>
      <c r="J153" s="66">
        <v>-8087.2813990461045</v>
      </c>
      <c r="K153" s="65">
        <v>0.10444444444444445</v>
      </c>
      <c r="L153" s="65">
        <v>0.10444444444444445</v>
      </c>
      <c r="M153" s="65">
        <v>0.27279999999999999</v>
      </c>
      <c r="N153" s="65">
        <v>0.2112</v>
      </c>
      <c r="O153" s="65">
        <v>0.5972629521016618</v>
      </c>
      <c r="P153" s="65">
        <v>0.38383838383838381</v>
      </c>
      <c r="Q153" s="65">
        <v>0.43628318584070797</v>
      </c>
    </row>
    <row r="154" spans="1:17" x14ac:dyDescent="0.4">
      <c r="A154" s="67">
        <v>151</v>
      </c>
      <c r="B154" s="64">
        <v>1.9539925233402755E-14</v>
      </c>
      <c r="C154" s="64">
        <v>4.3134492788968553E-17</v>
      </c>
      <c r="D154" s="69">
        <v>2</v>
      </c>
      <c r="E154" s="65">
        <v>0.33333333333333331</v>
      </c>
      <c r="F154" s="65">
        <v>0.33333333333333331</v>
      </c>
      <c r="G154" s="65">
        <v>0.30124635375232034</v>
      </c>
      <c r="H154" s="65">
        <v>0.16785998408910102</v>
      </c>
      <c r="I154" s="66">
        <v>8440.7570422535209</v>
      </c>
      <c r="J154" s="66">
        <v>-8121.4849921011055</v>
      </c>
      <c r="K154" s="65">
        <v>0.10596026490066225</v>
      </c>
      <c r="L154" s="65">
        <v>0.10596026490066225</v>
      </c>
      <c r="M154" s="65">
        <v>0.27207637231503579</v>
      </c>
      <c r="N154" s="65">
        <v>0.21108459294616813</v>
      </c>
      <c r="O154" s="65">
        <v>0.59746588693957114</v>
      </c>
      <c r="P154" s="65">
        <v>0.38442211055276382</v>
      </c>
      <c r="Q154" s="65">
        <v>0.43573943661971831</v>
      </c>
    </row>
    <row r="155" spans="1:17" x14ac:dyDescent="0.4">
      <c r="A155" s="67">
        <v>152</v>
      </c>
      <c r="B155" s="64">
        <v>1.4210854715202004E-14</v>
      </c>
      <c r="C155" s="64">
        <v>3.1164155077197375E-17</v>
      </c>
      <c r="D155" s="69">
        <v>2</v>
      </c>
      <c r="E155" s="65">
        <v>0.33333333333333331</v>
      </c>
      <c r="F155" s="65">
        <v>0.33333333333333331</v>
      </c>
      <c r="G155" s="65">
        <v>0.30138779785284103</v>
      </c>
      <c r="H155" s="65">
        <v>0.1667975909924064</v>
      </c>
      <c r="I155" s="66">
        <v>8448.7402258905295</v>
      </c>
      <c r="J155" s="66">
        <v>-8118.0533751962321</v>
      </c>
      <c r="K155" s="65">
        <v>0.10526315789473684</v>
      </c>
      <c r="L155" s="65">
        <v>0.10526315789473684</v>
      </c>
      <c r="M155" s="65">
        <v>0.27101335428122547</v>
      </c>
      <c r="N155" s="65">
        <v>0.2118355590468709</v>
      </c>
      <c r="O155" s="65">
        <v>0.59710144927536235</v>
      </c>
      <c r="P155" s="65">
        <v>0.38566131025957973</v>
      </c>
      <c r="Q155" s="65">
        <v>0.43961772371850566</v>
      </c>
    </row>
    <row r="156" spans="1:17" x14ac:dyDescent="0.4">
      <c r="A156" s="67">
        <v>153</v>
      </c>
      <c r="B156" s="64">
        <v>7.1054273576010019E-15</v>
      </c>
      <c r="C156" s="64">
        <v>1.5480233894555561E-17</v>
      </c>
      <c r="D156" s="69">
        <v>2</v>
      </c>
      <c r="E156" s="65">
        <v>0.33333333333333331</v>
      </c>
      <c r="F156" s="65">
        <v>0.33333333333333331</v>
      </c>
      <c r="G156" s="65">
        <v>0.30085736554949338</v>
      </c>
      <c r="H156" s="65">
        <v>0.16679657053780203</v>
      </c>
      <c r="I156" s="66">
        <v>8450.5181347150265</v>
      </c>
      <c r="J156" s="66">
        <v>-8103.4267912772584</v>
      </c>
      <c r="K156" s="65">
        <v>0.10675381263616558</v>
      </c>
      <c r="L156" s="65">
        <v>0.10675381263616558</v>
      </c>
      <c r="M156" s="65">
        <v>0.27123928293063132</v>
      </c>
      <c r="N156" s="65">
        <v>0.2112236944660951</v>
      </c>
      <c r="O156" s="65">
        <v>0.59578544061302685</v>
      </c>
      <c r="P156" s="65">
        <v>0.38745387453874541</v>
      </c>
      <c r="Q156" s="65">
        <v>0.43868739205526769</v>
      </c>
    </row>
    <row r="157" spans="1:17" x14ac:dyDescent="0.4">
      <c r="A157" s="67">
        <v>154</v>
      </c>
      <c r="B157" s="64">
        <v>1.4210854715202004E-14</v>
      </c>
      <c r="C157" s="64">
        <v>3.0759425790480528E-17</v>
      </c>
      <c r="D157" s="69">
        <v>2</v>
      </c>
      <c r="E157" s="65">
        <v>0.33333333333333331</v>
      </c>
      <c r="F157" s="65">
        <v>0.33333333333333331</v>
      </c>
      <c r="G157" s="65">
        <v>0.30082559339525283</v>
      </c>
      <c r="H157" s="65">
        <v>0.16666666666666666</v>
      </c>
      <c r="I157" s="66">
        <v>8456.3464837049742</v>
      </c>
      <c r="J157" s="66">
        <v>-8106.5015479876165</v>
      </c>
      <c r="K157" s="65">
        <v>0.10822510822510822</v>
      </c>
      <c r="L157" s="65">
        <v>0.10822510822510822</v>
      </c>
      <c r="M157" s="65">
        <v>0.27296181630546956</v>
      </c>
      <c r="N157" s="65">
        <v>0.21052631578947367</v>
      </c>
      <c r="O157" s="65">
        <v>0.59451795841209831</v>
      </c>
      <c r="P157" s="65">
        <v>0.3860294117647059</v>
      </c>
      <c r="Q157" s="65">
        <v>0.43910806174957118</v>
      </c>
    </row>
    <row r="158" spans="1:17" x14ac:dyDescent="0.4">
      <c r="A158" s="67">
        <v>155</v>
      </c>
      <c r="B158" s="64">
        <v>1.1546319456101628E-14</v>
      </c>
      <c r="C158" s="64">
        <v>2.4830794529250814E-17</v>
      </c>
      <c r="D158" s="69">
        <v>2</v>
      </c>
      <c r="E158" s="65">
        <v>0.33333333333333331</v>
      </c>
      <c r="F158" s="65">
        <v>0.33333333333333331</v>
      </c>
      <c r="G158" s="65">
        <v>0.30079426082500643</v>
      </c>
      <c r="H158" s="65">
        <v>0.16679477325134512</v>
      </c>
      <c r="I158" s="66">
        <v>8465.8432708688251</v>
      </c>
      <c r="J158" s="66">
        <v>-8110.4454685099845</v>
      </c>
      <c r="K158" s="65">
        <v>0.10752688172043011</v>
      </c>
      <c r="L158" s="65">
        <v>0.10752688172043011</v>
      </c>
      <c r="M158" s="65">
        <v>0.27286702536510377</v>
      </c>
      <c r="N158" s="65">
        <v>0.21111965155008969</v>
      </c>
      <c r="O158" s="65">
        <v>0.59342723004694831</v>
      </c>
      <c r="P158" s="65">
        <v>0.38713592233009708</v>
      </c>
      <c r="Q158" s="65">
        <v>0.43867120954003408</v>
      </c>
    </row>
    <row r="159" spans="1:17" x14ac:dyDescent="0.4">
      <c r="A159" s="67">
        <v>156</v>
      </c>
      <c r="B159" s="64">
        <v>7.1054273576010019E-15</v>
      </c>
      <c r="C159" s="64">
        <v>1.5182537088891031E-17</v>
      </c>
      <c r="D159" s="69">
        <v>2</v>
      </c>
      <c r="E159" s="65">
        <v>0.33333333333333331</v>
      </c>
      <c r="F159" s="65">
        <v>0.33333333333333331</v>
      </c>
      <c r="G159" s="65">
        <v>0.3010178117048346</v>
      </c>
      <c r="H159" s="65">
        <v>0.16768447837150127</v>
      </c>
      <c r="I159" s="66">
        <v>8461.7920540997457</v>
      </c>
      <c r="J159" s="66">
        <v>-8108.6494688922612</v>
      </c>
      <c r="K159" s="65">
        <v>0.10683760683760683</v>
      </c>
      <c r="L159" s="65">
        <v>0.10683760683760683</v>
      </c>
      <c r="M159" s="65">
        <v>0.27302798982188298</v>
      </c>
      <c r="N159" s="65">
        <v>0.21170483460559797</v>
      </c>
      <c r="O159" s="65">
        <v>0.59459459459459463</v>
      </c>
      <c r="P159" s="65">
        <v>0.38581730769230771</v>
      </c>
      <c r="Q159" s="65">
        <v>0.43617920540997462</v>
      </c>
    </row>
    <row r="160" spans="1:17" x14ac:dyDescent="0.4">
      <c r="A160" s="67">
        <v>157</v>
      </c>
      <c r="B160" s="64">
        <v>7.1054273576010019E-15</v>
      </c>
      <c r="C160" s="64">
        <v>1.5085833031000004E-17</v>
      </c>
      <c r="D160" s="69">
        <v>2</v>
      </c>
      <c r="E160" s="65">
        <v>0.33333333333333331</v>
      </c>
      <c r="F160" s="65">
        <v>0.33333333333333331</v>
      </c>
      <c r="G160" s="65">
        <v>0.30088719898605831</v>
      </c>
      <c r="H160" s="65">
        <v>0.16755386565272498</v>
      </c>
      <c r="I160" s="66">
        <v>8473.7152485256956</v>
      </c>
      <c r="J160" s="66">
        <v>-8132.5264750378219</v>
      </c>
      <c r="K160" s="65">
        <v>0.10828025477707007</v>
      </c>
      <c r="L160" s="65">
        <v>0.10828025477707007</v>
      </c>
      <c r="M160" s="65">
        <v>0.27249683143219267</v>
      </c>
      <c r="N160" s="65">
        <v>0.21140684410646388</v>
      </c>
      <c r="O160" s="65">
        <v>0.59534883720930232</v>
      </c>
      <c r="P160" s="65">
        <v>0.38729016786570741</v>
      </c>
      <c r="Q160" s="65">
        <v>0.43639427127211455</v>
      </c>
    </row>
    <row r="161" spans="1:17" x14ac:dyDescent="0.4">
      <c r="A161" s="67">
        <v>158</v>
      </c>
      <c r="B161" s="64">
        <v>7.1054273576010019E-15</v>
      </c>
      <c r="C161" s="64">
        <v>1.4990353075107598E-17</v>
      </c>
      <c r="D161" s="69">
        <v>2</v>
      </c>
      <c r="E161" s="65">
        <v>0.33333333333333331</v>
      </c>
      <c r="F161" s="65">
        <v>0.33333333333333331</v>
      </c>
      <c r="G161" s="65">
        <v>0.30088050314465409</v>
      </c>
      <c r="H161" s="65">
        <v>0.16779874213836479</v>
      </c>
      <c r="I161" s="66">
        <v>8474.6655518394655</v>
      </c>
      <c r="J161" s="66">
        <v>-8115.4422788605698</v>
      </c>
      <c r="K161" s="65">
        <v>0.10759493670886076</v>
      </c>
      <c r="L161" s="65">
        <v>0.10759493670886076</v>
      </c>
      <c r="M161" s="65">
        <v>0.27295597484276729</v>
      </c>
      <c r="N161" s="65">
        <v>0.21157232704402515</v>
      </c>
      <c r="O161" s="65">
        <v>0.59262672811059913</v>
      </c>
      <c r="P161" s="65">
        <v>0.39001189060642094</v>
      </c>
      <c r="Q161" s="65">
        <v>0.43561872909698995</v>
      </c>
    </row>
    <row r="162" spans="1:17" x14ac:dyDescent="0.4">
      <c r="A162" s="67">
        <v>159</v>
      </c>
      <c r="B162" s="64">
        <v>0</v>
      </c>
      <c r="C162" s="64">
        <v>0</v>
      </c>
      <c r="D162" s="69">
        <v>2</v>
      </c>
      <c r="E162" s="65">
        <v>0.33333333333333331</v>
      </c>
      <c r="F162" s="65">
        <v>0.33333333333333331</v>
      </c>
      <c r="G162" s="65">
        <v>0.30077635862759827</v>
      </c>
      <c r="H162" s="65">
        <v>0.16804407713498623</v>
      </c>
      <c r="I162" s="66">
        <v>8482.5978351373851</v>
      </c>
      <c r="J162" s="66">
        <v>-8126.5275707898654</v>
      </c>
      <c r="K162" s="65">
        <v>0.1090146750524109</v>
      </c>
      <c r="L162" s="65">
        <v>0.1090146750524109</v>
      </c>
      <c r="M162" s="65">
        <v>0.27272727272727271</v>
      </c>
      <c r="N162" s="65">
        <v>0.21111945905334334</v>
      </c>
      <c r="O162" s="65">
        <v>0.59412304866850318</v>
      </c>
      <c r="P162" s="65">
        <v>0.39027283511269278</v>
      </c>
      <c r="Q162" s="65">
        <v>0.43463780183180684</v>
      </c>
    </row>
    <row r="163" spans="1:17" x14ac:dyDescent="0.4">
      <c r="A163" s="67">
        <v>160</v>
      </c>
      <c r="B163" s="64">
        <v>-7.1054273576010019E-15</v>
      </c>
      <c r="C163" s="64">
        <v>-1.4802973661668754E-17</v>
      </c>
      <c r="D163" s="69">
        <v>2</v>
      </c>
      <c r="E163" s="65">
        <v>0.33333333333333331</v>
      </c>
      <c r="F163" s="65">
        <v>0.33333333333333331</v>
      </c>
      <c r="G163" s="65">
        <v>0.3008495752123938</v>
      </c>
      <c r="H163" s="65">
        <v>0.16841579210394803</v>
      </c>
      <c r="I163" s="66">
        <v>8491.5282392026584</v>
      </c>
      <c r="J163" s="66">
        <v>-8144.0652818991102</v>
      </c>
      <c r="K163" s="65">
        <v>0.11041666666666666</v>
      </c>
      <c r="L163" s="65">
        <v>0.11041666666666666</v>
      </c>
      <c r="M163" s="65">
        <v>0.27286356821589203</v>
      </c>
      <c r="N163" s="65">
        <v>0.21114442778610695</v>
      </c>
      <c r="O163" s="65">
        <v>0.59432234432234432</v>
      </c>
      <c r="P163" s="65">
        <v>0.39053254437869822</v>
      </c>
      <c r="Q163" s="65">
        <v>0.43355481727574752</v>
      </c>
    </row>
    <row r="164" spans="1:17" x14ac:dyDescent="0.4">
      <c r="A164" s="67">
        <v>161</v>
      </c>
      <c r="B164" s="64">
        <v>0</v>
      </c>
      <c r="C164" s="64">
        <v>0</v>
      </c>
      <c r="D164" s="69">
        <v>2</v>
      </c>
      <c r="E164" s="65">
        <v>0.33333333333333331</v>
      </c>
      <c r="F164" s="65">
        <v>0.33333333333333331</v>
      </c>
      <c r="G164" s="65">
        <v>0.30072193178989298</v>
      </c>
      <c r="H164" s="65">
        <v>0.16853373164052776</v>
      </c>
      <c r="I164" s="66">
        <v>8491.7218543046365</v>
      </c>
      <c r="J164" s="66">
        <v>-8146.9719350073856</v>
      </c>
      <c r="K164" s="65">
        <v>0.11180124223602485</v>
      </c>
      <c r="L164" s="65">
        <v>0.11180124223602485</v>
      </c>
      <c r="M164" s="65">
        <v>0.27333831217326365</v>
      </c>
      <c r="N164" s="65">
        <v>0.21035598705501618</v>
      </c>
      <c r="O164" s="65">
        <v>0.59289617486338797</v>
      </c>
      <c r="P164" s="65">
        <v>0.39053254437869822</v>
      </c>
      <c r="Q164" s="65">
        <v>0.43294701986754969</v>
      </c>
    </row>
    <row r="165" spans="1:17" x14ac:dyDescent="0.4">
      <c r="A165" s="67">
        <v>162</v>
      </c>
      <c r="B165" s="64">
        <v>0</v>
      </c>
      <c r="C165" s="64">
        <v>0</v>
      </c>
      <c r="D165" s="69">
        <v>2</v>
      </c>
      <c r="E165" s="65">
        <v>0.33333333333333331</v>
      </c>
      <c r="F165" s="65">
        <v>0.33333333333333331</v>
      </c>
      <c r="G165" s="65">
        <v>0.30069238377843721</v>
      </c>
      <c r="H165" s="65">
        <v>0.16889218595450051</v>
      </c>
      <c r="I165" s="66">
        <v>8483.9638157894733</v>
      </c>
      <c r="J165" s="66">
        <v>-8147.5841874084917</v>
      </c>
      <c r="K165" s="65">
        <v>0.1111111111111111</v>
      </c>
      <c r="L165" s="65">
        <v>0.1111111111111111</v>
      </c>
      <c r="M165" s="65">
        <v>0.27324431256181997</v>
      </c>
      <c r="N165" s="65">
        <v>0.21068249258160238</v>
      </c>
      <c r="O165" s="65">
        <v>0.59276018099547512</v>
      </c>
      <c r="P165" s="65">
        <v>0.39084507042253519</v>
      </c>
      <c r="Q165" s="65">
        <v>0.43174342105263158</v>
      </c>
    </row>
    <row r="166" spans="1:17" x14ac:dyDescent="0.4">
      <c r="A166" s="67">
        <v>163</v>
      </c>
      <c r="B166" s="64">
        <v>1.7763568394002505E-15</v>
      </c>
      <c r="C166" s="64">
        <v>3.6326315734156455E-18</v>
      </c>
      <c r="D166" s="69">
        <v>2</v>
      </c>
      <c r="E166" s="65">
        <v>0.33333333333333331</v>
      </c>
      <c r="F166" s="65">
        <v>0.33333333333333331</v>
      </c>
      <c r="G166" s="65">
        <v>0.30058651026392963</v>
      </c>
      <c r="H166" s="65">
        <v>0.16837732160312804</v>
      </c>
      <c r="I166" s="66">
        <v>8490.6504065040644</v>
      </c>
      <c r="J166" s="66">
        <v>-8144.8476052249634</v>
      </c>
      <c r="K166" s="65">
        <v>0.11042944785276074</v>
      </c>
      <c r="L166" s="65">
        <v>0.11042944785276074</v>
      </c>
      <c r="M166" s="65">
        <v>0.27346041055718473</v>
      </c>
      <c r="N166" s="65">
        <v>0.21065493646138808</v>
      </c>
      <c r="O166" s="65">
        <v>0.58981233243967823</v>
      </c>
      <c r="P166" s="65">
        <v>0.39211136890951276</v>
      </c>
      <c r="Q166" s="65">
        <v>0.43333333333333335</v>
      </c>
    </row>
    <row r="167" spans="1:17" x14ac:dyDescent="0.4">
      <c r="A167" s="67">
        <v>164</v>
      </c>
      <c r="B167" s="64">
        <v>7.1054273576010019E-15</v>
      </c>
      <c r="C167" s="64">
        <v>1.4441925523579274E-17</v>
      </c>
      <c r="D167" s="69">
        <v>2</v>
      </c>
      <c r="E167" s="65">
        <v>0.33333333333333331</v>
      </c>
      <c r="F167" s="65">
        <v>0.33333333333333331</v>
      </c>
      <c r="G167" s="65">
        <v>0.30009704027171274</v>
      </c>
      <c r="H167" s="65">
        <v>0.16763706938379427</v>
      </c>
      <c r="I167" s="66">
        <v>8501.2126111560228</v>
      </c>
      <c r="J167" s="66">
        <v>-8158.4659913169316</v>
      </c>
      <c r="K167" s="65">
        <v>0.10975609756097561</v>
      </c>
      <c r="L167" s="65">
        <v>0.10975609756097561</v>
      </c>
      <c r="M167" s="65">
        <v>0.27365356622998543</v>
      </c>
      <c r="N167" s="65">
        <v>0.20960698689956331</v>
      </c>
      <c r="O167" s="65">
        <v>0.58953900709219853</v>
      </c>
      <c r="P167" s="65">
        <v>0.3923611111111111</v>
      </c>
      <c r="Q167" s="65">
        <v>0.43492320129345191</v>
      </c>
    </row>
    <row r="168" spans="1:17" x14ac:dyDescent="0.4">
      <c r="A168" s="67">
        <v>165</v>
      </c>
      <c r="B168" s="64">
        <v>5.3290705182007514E-15</v>
      </c>
      <c r="C168" s="64">
        <v>1.0765799026668185E-17</v>
      </c>
      <c r="D168" s="69">
        <v>2</v>
      </c>
      <c r="E168" s="65">
        <v>0.33333333333333331</v>
      </c>
      <c r="F168" s="65">
        <v>0.33333333333333331</v>
      </c>
      <c r="G168" s="65">
        <v>0.2998312846469029</v>
      </c>
      <c r="H168" s="65">
        <v>0.16726922149915643</v>
      </c>
      <c r="I168" s="66">
        <v>8509.9678456591646</v>
      </c>
      <c r="J168" s="66">
        <v>-8160.662824207493</v>
      </c>
      <c r="K168" s="65">
        <v>0.1111111111111111</v>
      </c>
      <c r="L168" s="65">
        <v>0.1111111111111111</v>
      </c>
      <c r="M168" s="65">
        <v>0.2742829597493372</v>
      </c>
      <c r="N168" s="65">
        <v>0.20993010363943118</v>
      </c>
      <c r="O168" s="65">
        <v>0.58875219683655533</v>
      </c>
      <c r="P168" s="65">
        <v>0.39035591274397247</v>
      </c>
      <c r="Q168" s="65">
        <v>0.43569131832797425</v>
      </c>
    </row>
    <row r="169" spans="1:17" x14ac:dyDescent="0.4">
      <c r="A169" s="67">
        <v>166</v>
      </c>
      <c r="B169" s="64">
        <v>7.1054273576010019E-15</v>
      </c>
      <c r="C169" s="64">
        <v>1.4267926420885545E-17</v>
      </c>
      <c r="D169" s="69">
        <v>2</v>
      </c>
      <c r="E169" s="65">
        <v>0.33333333333333331</v>
      </c>
      <c r="F169" s="65">
        <v>0.33333333333333331</v>
      </c>
      <c r="G169" s="65">
        <v>0.29980842911877392</v>
      </c>
      <c r="H169" s="65">
        <v>0.16738505747126436</v>
      </c>
      <c r="I169" s="66">
        <v>8503.3546325878597</v>
      </c>
      <c r="J169" s="66">
        <v>-8165.2360515021455</v>
      </c>
      <c r="K169" s="65">
        <v>0.11044176706827309</v>
      </c>
      <c r="L169" s="65">
        <v>0.11044176706827309</v>
      </c>
      <c r="M169" s="65">
        <v>0.27442528735632182</v>
      </c>
      <c r="N169" s="65">
        <v>0.21024904214559387</v>
      </c>
      <c r="O169" s="65">
        <v>0.58726003490401402</v>
      </c>
      <c r="P169" s="65">
        <v>0.38952164009111617</v>
      </c>
      <c r="Q169" s="65">
        <v>0.43530351437699683</v>
      </c>
    </row>
    <row r="170" spans="1:17" x14ac:dyDescent="0.4">
      <c r="A170" s="67">
        <v>167</v>
      </c>
      <c r="B170" s="64">
        <v>7.1054273576010019E-15</v>
      </c>
      <c r="C170" s="64">
        <v>1.4182489735730541E-17</v>
      </c>
      <c r="D170" s="69">
        <v>2</v>
      </c>
      <c r="E170" s="65">
        <v>0.33333333333333331</v>
      </c>
      <c r="F170" s="65">
        <v>0.33333333333333331</v>
      </c>
      <c r="G170" s="65">
        <v>0.3</v>
      </c>
      <c r="H170" s="65">
        <v>0.16714285714285715</v>
      </c>
      <c r="I170" s="66">
        <v>8525.1587301587297</v>
      </c>
      <c r="J170" s="66">
        <v>-8160.9686609686605</v>
      </c>
      <c r="K170" s="65">
        <v>0.11177644710578842</v>
      </c>
      <c r="L170" s="65">
        <v>0.11177644710578842</v>
      </c>
      <c r="M170" s="65">
        <v>0.2745238095238095</v>
      </c>
      <c r="N170" s="65">
        <v>0.21023809523809525</v>
      </c>
      <c r="O170" s="65">
        <v>0.58716392020815267</v>
      </c>
      <c r="P170" s="65">
        <v>0.39184597961494905</v>
      </c>
      <c r="Q170" s="65">
        <v>0.43650793650793651</v>
      </c>
    </row>
    <row r="171" spans="1:17" x14ac:dyDescent="0.4">
      <c r="A171" s="67">
        <v>168</v>
      </c>
      <c r="B171" s="64">
        <v>1.4210854715202004E-14</v>
      </c>
      <c r="C171" s="64">
        <v>2.8196140307940482E-17</v>
      </c>
      <c r="D171" s="69">
        <v>2</v>
      </c>
      <c r="E171" s="65">
        <v>0.33333333333333331</v>
      </c>
      <c r="F171" s="65">
        <v>0.33333333333333331</v>
      </c>
      <c r="G171" s="65">
        <v>0.30011862396204031</v>
      </c>
      <c r="H171" s="65">
        <v>0.16702253855278767</v>
      </c>
      <c r="I171" s="66">
        <v>8536.5217391304341</v>
      </c>
      <c r="J171" s="66">
        <v>-8153.409090909091</v>
      </c>
      <c r="K171" s="65">
        <v>0.1130952380952381</v>
      </c>
      <c r="L171" s="65">
        <v>0.1130952380952381</v>
      </c>
      <c r="M171" s="65">
        <v>0.27497034400948994</v>
      </c>
      <c r="N171" s="65">
        <v>0.21043890865954923</v>
      </c>
      <c r="O171" s="65">
        <v>0.5875754961173425</v>
      </c>
      <c r="P171" s="65">
        <v>0.39120631341600903</v>
      </c>
      <c r="Q171" s="65">
        <v>0.43715415019762843</v>
      </c>
    </row>
    <row r="172" spans="1:17" x14ac:dyDescent="0.4">
      <c r="A172" s="67">
        <v>169</v>
      </c>
      <c r="B172" s="64">
        <v>1.4210854715202004E-14</v>
      </c>
      <c r="C172" s="64">
        <v>2.8029299241029595E-17</v>
      </c>
      <c r="D172" s="69">
        <v>2</v>
      </c>
      <c r="E172" s="65">
        <v>0.33333333333333331</v>
      </c>
      <c r="F172" s="65">
        <v>0.33333333333333331</v>
      </c>
      <c r="G172" s="65">
        <v>0.30023640661938533</v>
      </c>
      <c r="H172" s="65">
        <v>0.16713947990543734</v>
      </c>
      <c r="I172" s="66">
        <v>8571.968503937007</v>
      </c>
      <c r="J172" s="66">
        <v>-8214.9929278642157</v>
      </c>
      <c r="K172" s="65">
        <v>0.11439842209072978</v>
      </c>
      <c r="L172" s="65">
        <v>0.11439842209072978</v>
      </c>
      <c r="M172" s="65">
        <v>0.27446808510638299</v>
      </c>
      <c r="N172" s="65">
        <v>0.21040189125295508</v>
      </c>
      <c r="O172" s="65">
        <v>0.58828596037898362</v>
      </c>
      <c r="P172" s="65">
        <v>0.38988764044943819</v>
      </c>
      <c r="Q172" s="65">
        <v>0.43700787401574803</v>
      </c>
    </row>
    <row r="173" spans="1:17" x14ac:dyDescent="0.4">
      <c r="A173" s="67">
        <v>170</v>
      </c>
      <c r="B173" s="64">
        <v>1.4210854715202004E-14</v>
      </c>
      <c r="C173" s="64">
        <v>2.7864421010200007E-17</v>
      </c>
      <c r="D173" s="69">
        <v>2</v>
      </c>
      <c r="E173" s="65">
        <v>0.33333333333333331</v>
      </c>
      <c r="F173" s="65">
        <v>0.33333333333333331</v>
      </c>
      <c r="G173" s="65">
        <v>0.30009363295880148</v>
      </c>
      <c r="H173" s="65">
        <v>0.16643258426966293</v>
      </c>
      <c r="I173" s="66">
        <v>8587.9875195007808</v>
      </c>
      <c r="J173" s="66">
        <v>-8231.6455696202538</v>
      </c>
      <c r="K173" s="65">
        <v>0.11372549019607843</v>
      </c>
      <c r="L173" s="65">
        <v>0.11372549019607843</v>
      </c>
      <c r="M173" s="65">
        <v>0.2752808988764045</v>
      </c>
      <c r="N173" s="65">
        <v>0.21044007490636704</v>
      </c>
      <c r="O173" s="65">
        <v>0.5875850340136054</v>
      </c>
      <c r="P173" s="65">
        <v>0.38932146829810899</v>
      </c>
      <c r="Q173" s="65">
        <v>0.43915756630265212</v>
      </c>
    </row>
    <row r="174" spans="1:17" x14ac:dyDescent="0.4">
      <c r="A174" s="67">
        <v>171</v>
      </c>
      <c r="B174" s="64">
        <v>7.1054273576010019E-15</v>
      </c>
      <c r="C174" s="64">
        <v>1.38507355898655E-17</v>
      </c>
      <c r="D174" s="69">
        <v>2</v>
      </c>
      <c r="E174" s="65">
        <v>0.33333333333333331</v>
      </c>
      <c r="F174" s="65">
        <v>0.33333333333333331</v>
      </c>
      <c r="G174" s="65">
        <v>0.30002329373398556</v>
      </c>
      <c r="H174" s="65">
        <v>0.16655019799673887</v>
      </c>
      <c r="I174" s="66">
        <v>8596.2732919254649</v>
      </c>
      <c r="J174" s="66">
        <v>-8222.2377622377626</v>
      </c>
      <c r="K174" s="65">
        <v>0.11306042884990253</v>
      </c>
      <c r="L174" s="65">
        <v>0.11306042884990253</v>
      </c>
      <c r="M174" s="65">
        <v>0.27533193570929421</v>
      </c>
      <c r="N174" s="65">
        <v>0.21057535522944329</v>
      </c>
      <c r="O174" s="65">
        <v>0.58798646362098139</v>
      </c>
      <c r="P174" s="65">
        <v>0.38827433628318586</v>
      </c>
      <c r="Q174" s="65">
        <v>0.43866459627329191</v>
      </c>
    </row>
    <row r="175" spans="1:17" x14ac:dyDescent="0.4">
      <c r="A175" s="67">
        <v>172</v>
      </c>
      <c r="B175" s="64">
        <v>7.1054273576010019E-15</v>
      </c>
      <c r="C175" s="64">
        <v>1.3770208057366282E-17</v>
      </c>
      <c r="D175" s="69">
        <v>2</v>
      </c>
      <c r="E175" s="65">
        <v>0.33333333333333331</v>
      </c>
      <c r="F175" s="65">
        <v>0.33333333333333331</v>
      </c>
      <c r="G175" s="65">
        <v>0.30002313208420078</v>
      </c>
      <c r="H175" s="65">
        <v>0.16585704371963914</v>
      </c>
      <c r="I175" s="66">
        <v>8598.3037779491133</v>
      </c>
      <c r="J175" s="66">
        <v>-8219.5258019525809</v>
      </c>
      <c r="K175" s="65">
        <v>0.11434108527131782</v>
      </c>
      <c r="L175" s="65">
        <v>0.11434108527131782</v>
      </c>
      <c r="M175" s="65">
        <v>0.27573444367337496</v>
      </c>
      <c r="N175" s="65">
        <v>0.21050196622715706</v>
      </c>
      <c r="O175" s="65">
        <v>0.58724832214765099</v>
      </c>
      <c r="P175" s="65">
        <v>0.39010989010989011</v>
      </c>
      <c r="Q175" s="65">
        <v>0.44101773323053201</v>
      </c>
    </row>
    <row r="176" spans="1:17" x14ac:dyDescent="0.4">
      <c r="A176" s="67">
        <v>173</v>
      </c>
      <c r="B176" s="64">
        <v>7.1054273576010019E-15</v>
      </c>
      <c r="C176" s="64">
        <v>1.3690611479000003E-17</v>
      </c>
      <c r="D176" s="69">
        <v>2</v>
      </c>
      <c r="E176" s="65">
        <v>0.33333333333333331</v>
      </c>
      <c r="F176" s="65">
        <v>0.33333333333333331</v>
      </c>
      <c r="G176" s="65">
        <v>0.30018416206261511</v>
      </c>
      <c r="H176" s="65">
        <v>0.16574585635359115</v>
      </c>
      <c r="I176" s="66">
        <v>8605.1380368098162</v>
      </c>
      <c r="J176" s="66">
        <v>-8209.0277777777774</v>
      </c>
      <c r="K176" s="65">
        <v>0.11368015414258188</v>
      </c>
      <c r="L176" s="65">
        <v>0.11368015414258188</v>
      </c>
      <c r="M176" s="65">
        <v>0.27578268876611417</v>
      </c>
      <c r="N176" s="65">
        <v>0.20994475138121546</v>
      </c>
      <c r="O176" s="65">
        <v>0.58848080133555924</v>
      </c>
      <c r="P176" s="65">
        <v>0.39144736842105265</v>
      </c>
      <c r="Q176" s="65">
        <v>0.44171779141104295</v>
      </c>
    </row>
    <row r="177" spans="1:17" x14ac:dyDescent="0.4">
      <c r="A177" s="67">
        <v>174</v>
      </c>
      <c r="B177" s="64">
        <v>7.1054273576010019E-15</v>
      </c>
      <c r="C177" s="64">
        <v>1.3611929803833336E-17</v>
      </c>
      <c r="D177" s="69">
        <v>2</v>
      </c>
      <c r="E177" s="65">
        <v>0.33333333333333331</v>
      </c>
      <c r="F177" s="65">
        <v>0.33333333333333331</v>
      </c>
      <c r="G177" s="65">
        <v>0.30027548209366389</v>
      </c>
      <c r="H177" s="65">
        <v>0.1659779614325069</v>
      </c>
      <c r="I177" s="66">
        <v>8604.8165137614687</v>
      </c>
      <c r="J177" s="66">
        <v>-8210.9266943291841</v>
      </c>
      <c r="K177" s="65">
        <v>0.11494252873563218</v>
      </c>
      <c r="L177" s="65">
        <v>0.11494252873563218</v>
      </c>
      <c r="M177" s="65">
        <v>0.27640036730945822</v>
      </c>
      <c r="N177" s="65">
        <v>0.20959595959595959</v>
      </c>
      <c r="O177" s="65">
        <v>0.58720930232558144</v>
      </c>
      <c r="P177" s="65">
        <v>0.39211391018619934</v>
      </c>
      <c r="Q177" s="65">
        <v>0.44113149847094801</v>
      </c>
    </row>
    <row r="178" spans="1:17" x14ac:dyDescent="0.4">
      <c r="A178" s="67">
        <v>175</v>
      </c>
      <c r="B178" s="64">
        <v>7.1054273576010019E-15</v>
      </c>
      <c r="C178" s="64">
        <v>1.3534147347811432E-17</v>
      </c>
      <c r="D178" s="69">
        <v>2</v>
      </c>
      <c r="E178" s="65">
        <v>0.33333333333333331</v>
      </c>
      <c r="F178" s="65">
        <v>0.33333333333333331</v>
      </c>
      <c r="G178" s="65">
        <v>0.30052403736614264</v>
      </c>
      <c r="H178" s="65">
        <v>0.16632490316700843</v>
      </c>
      <c r="I178" s="66">
        <v>8594.5413191811986</v>
      </c>
      <c r="J178" s="66">
        <v>-8187.1232876712329</v>
      </c>
      <c r="K178" s="65">
        <v>0.11428571428571428</v>
      </c>
      <c r="L178" s="65">
        <v>0.11428571428571428</v>
      </c>
      <c r="M178" s="65">
        <v>0.27705627705627706</v>
      </c>
      <c r="N178" s="65">
        <v>0.21007063112326271</v>
      </c>
      <c r="O178" s="65">
        <v>0.58717105263157898</v>
      </c>
      <c r="P178" s="65">
        <v>0.3926247288503254</v>
      </c>
      <c r="Q178" s="65">
        <v>0.4404852160727824</v>
      </c>
    </row>
    <row r="179" spans="1:17" x14ac:dyDescent="0.4">
      <c r="A179" s="67">
        <v>176</v>
      </c>
      <c r="B179" s="64">
        <v>1.0658141036401503E-14</v>
      </c>
      <c r="C179" s="64">
        <v>2.0185873175002847E-17</v>
      </c>
      <c r="D179" s="69">
        <v>2</v>
      </c>
      <c r="E179" s="65">
        <v>0.33333333333333331</v>
      </c>
      <c r="F179" s="65">
        <v>0.33333333333333331</v>
      </c>
      <c r="G179" s="65">
        <v>0.30065804402087587</v>
      </c>
      <c r="H179" s="65">
        <v>0.16678012253233493</v>
      </c>
      <c r="I179" s="66">
        <v>8613.5094339622647</v>
      </c>
      <c r="J179" s="66">
        <v>-8219.4557823129253</v>
      </c>
      <c r="K179" s="65">
        <v>0.11553030303030302</v>
      </c>
      <c r="L179" s="65">
        <v>0.11553030303030302</v>
      </c>
      <c r="M179" s="65">
        <v>0.27728613569321536</v>
      </c>
      <c r="N179" s="65">
        <v>0.21012026321760835</v>
      </c>
      <c r="O179" s="65">
        <v>0.58756137479541737</v>
      </c>
      <c r="P179" s="65">
        <v>0.39308855291576672</v>
      </c>
      <c r="Q179" s="65">
        <v>0.43924528301886795</v>
      </c>
    </row>
    <row r="180" spans="1:17" x14ac:dyDescent="0.4">
      <c r="A180" s="67">
        <v>177</v>
      </c>
      <c r="B180" s="64">
        <v>5.3290705182007514E-15</v>
      </c>
      <c r="C180" s="64">
        <v>1.003591434689407E-17</v>
      </c>
      <c r="D180" s="69">
        <v>2</v>
      </c>
      <c r="E180" s="65">
        <v>0.33333333333333331</v>
      </c>
      <c r="F180" s="65">
        <v>0.33333333333333331</v>
      </c>
      <c r="G180" s="65">
        <v>0.30004498425551057</v>
      </c>
      <c r="H180" s="65">
        <v>0.16666666666666666</v>
      </c>
      <c r="I180" s="66">
        <v>8624.4377811094455</v>
      </c>
      <c r="J180" s="66">
        <v>-8233.8731443994602</v>
      </c>
      <c r="K180" s="65">
        <v>0.11487758945386065</v>
      </c>
      <c r="L180" s="65">
        <v>0.11487758945386065</v>
      </c>
      <c r="M180" s="65">
        <v>0.27800269905533065</v>
      </c>
      <c r="N180" s="65">
        <v>0.20985155195681512</v>
      </c>
      <c r="O180" s="65">
        <v>0.58414239482200647</v>
      </c>
      <c r="P180" s="65">
        <v>0.3912111468381565</v>
      </c>
      <c r="Q180" s="65">
        <v>0.43853073463268366</v>
      </c>
    </row>
    <row r="181" spans="1:17" x14ac:dyDescent="0.4">
      <c r="A181" s="67">
        <v>178</v>
      </c>
      <c r="B181" s="64">
        <v>7.1054273576010019E-15</v>
      </c>
      <c r="C181" s="64">
        <v>1.3306043740825846E-17</v>
      </c>
      <c r="D181" s="69">
        <v>2</v>
      </c>
      <c r="E181" s="65">
        <v>0.33333333333333331</v>
      </c>
      <c r="F181" s="65">
        <v>0.33333333333333331</v>
      </c>
      <c r="G181" s="65">
        <v>0.30011223344556676</v>
      </c>
      <c r="H181" s="65">
        <v>0.16700336700336701</v>
      </c>
      <c r="I181" s="66">
        <v>8632.0119670905005</v>
      </c>
      <c r="J181" s="66">
        <v>-8249.0591397849457</v>
      </c>
      <c r="K181" s="65">
        <v>0.11610486891385768</v>
      </c>
      <c r="L181" s="65">
        <v>0.11610486891385768</v>
      </c>
      <c r="M181" s="65">
        <v>0.27811447811447809</v>
      </c>
      <c r="N181" s="65">
        <v>0.20987654320987653</v>
      </c>
      <c r="O181" s="65">
        <v>0.58514931396287329</v>
      </c>
      <c r="P181" s="65">
        <v>0.39037433155080214</v>
      </c>
      <c r="Q181" s="65">
        <v>0.43754674644726999</v>
      </c>
    </row>
    <row r="182" spans="1:17" x14ac:dyDescent="0.4">
      <c r="A182" s="67">
        <v>179</v>
      </c>
      <c r="B182" s="64">
        <v>6.4392935428259079E-15</v>
      </c>
      <c r="C182" s="64">
        <v>1.1991235647720499E-17</v>
      </c>
      <c r="D182" s="69">
        <v>2</v>
      </c>
      <c r="E182" s="65">
        <v>0.33333333333333331</v>
      </c>
      <c r="F182" s="65">
        <v>0.33333333333333331</v>
      </c>
      <c r="G182" s="65">
        <v>0.30029024335789239</v>
      </c>
      <c r="H182" s="65">
        <v>0.16655503460593882</v>
      </c>
      <c r="I182" s="66">
        <v>8660.4460966542756</v>
      </c>
      <c r="J182" s="66">
        <v>-8253.7533512064347</v>
      </c>
      <c r="K182" s="65">
        <v>0.1154562383612663</v>
      </c>
      <c r="L182" s="65">
        <v>0.1154562383612663</v>
      </c>
      <c r="M182" s="65">
        <v>0.27818709533377989</v>
      </c>
      <c r="N182" s="65">
        <v>0.21009153828979682</v>
      </c>
      <c r="O182" s="65">
        <v>0.5858747993579454</v>
      </c>
      <c r="P182" s="65">
        <v>0.39001062699256112</v>
      </c>
      <c r="Q182" s="65">
        <v>0.43940520446096654</v>
      </c>
    </row>
    <row r="183" spans="1:17" x14ac:dyDescent="0.4">
      <c r="A183" s="67">
        <v>180</v>
      </c>
      <c r="B183" s="64">
        <v>7.1054273576010019E-15</v>
      </c>
      <c r="C183" s="64">
        <v>1.3158198810372226E-17</v>
      </c>
      <c r="D183" s="69">
        <v>2</v>
      </c>
      <c r="E183" s="65">
        <v>0.33333333333333331</v>
      </c>
      <c r="F183" s="65">
        <v>0.33333333333333331</v>
      </c>
      <c r="G183" s="65">
        <v>0.30046635576282477</v>
      </c>
      <c r="H183" s="65">
        <v>0.16677770375305351</v>
      </c>
      <c r="I183" s="66">
        <v>8683.1485587583156</v>
      </c>
      <c r="J183" s="66">
        <v>-8257.3901464713708</v>
      </c>
      <c r="K183" s="65">
        <v>0.11481481481481481</v>
      </c>
      <c r="L183" s="65">
        <v>0.11481481481481481</v>
      </c>
      <c r="M183" s="65">
        <v>0.27914723517654899</v>
      </c>
      <c r="N183" s="65">
        <v>0.20963801909837887</v>
      </c>
      <c r="O183" s="65">
        <v>0.58472553699284013</v>
      </c>
      <c r="P183" s="65">
        <v>0.38983050847457629</v>
      </c>
      <c r="Q183" s="65">
        <v>0.43902439024390244</v>
      </c>
    </row>
    <row r="184" spans="1:17" x14ac:dyDescent="0.4">
      <c r="A184" s="67">
        <v>181</v>
      </c>
      <c r="B184" s="64">
        <v>7.1054273576010019E-15</v>
      </c>
      <c r="C184" s="64">
        <v>1.3085501579375695E-17</v>
      </c>
      <c r="D184" s="69">
        <v>2</v>
      </c>
      <c r="E184" s="65">
        <v>0.33333333333333331</v>
      </c>
      <c r="F184" s="65">
        <v>0.33333333333333331</v>
      </c>
      <c r="G184" s="65">
        <v>0.30064060083940802</v>
      </c>
      <c r="H184" s="65">
        <v>0.16699801192842942</v>
      </c>
      <c r="I184" s="66">
        <v>8684.7171197648786</v>
      </c>
      <c r="J184" s="66">
        <v>-8271.0317460317456</v>
      </c>
      <c r="K184" s="65">
        <v>0.1141804788213628</v>
      </c>
      <c r="L184" s="65">
        <v>0.1141804788213628</v>
      </c>
      <c r="M184" s="65">
        <v>0.27921360724541638</v>
      </c>
      <c r="N184" s="65">
        <v>0.20963110227523746</v>
      </c>
      <c r="O184" s="65">
        <v>0.58465189873417722</v>
      </c>
      <c r="P184" s="65">
        <v>0.39093782929399368</v>
      </c>
      <c r="Q184" s="65">
        <v>0.43864805290227776</v>
      </c>
    </row>
    <row r="185" spans="1:17" x14ac:dyDescent="0.4">
      <c r="A185" s="67">
        <v>182</v>
      </c>
      <c r="B185" s="64">
        <v>7.1054273576010019E-15</v>
      </c>
      <c r="C185" s="64">
        <v>1.3013603219049454E-17</v>
      </c>
      <c r="D185" s="69">
        <v>2</v>
      </c>
      <c r="E185" s="65">
        <v>0.33333333333333331</v>
      </c>
      <c r="F185" s="65">
        <v>0.33333333333333331</v>
      </c>
      <c r="G185" s="65">
        <v>0.30033003300330036</v>
      </c>
      <c r="H185" s="65">
        <v>0.16721672167216722</v>
      </c>
      <c r="I185" s="66">
        <v>8674.2857142857138</v>
      </c>
      <c r="J185" s="66">
        <v>-8254.4736842105267</v>
      </c>
      <c r="K185" s="65">
        <v>0.11355311355311355</v>
      </c>
      <c r="L185" s="65">
        <v>0.11355311355311355</v>
      </c>
      <c r="M185" s="65">
        <v>0.27920792079207923</v>
      </c>
      <c r="N185" s="65">
        <v>0.20946094609460947</v>
      </c>
      <c r="O185" s="65">
        <v>0.58313632781717883</v>
      </c>
      <c r="P185" s="65">
        <v>0.3907563025210084</v>
      </c>
      <c r="Q185" s="65">
        <v>0.43736263736263736</v>
      </c>
    </row>
    <row r="186" spans="1:17" x14ac:dyDescent="0.4">
      <c r="A186" s="67">
        <v>183</v>
      </c>
      <c r="B186" s="64">
        <v>7.1054273576010019E-15</v>
      </c>
      <c r="C186" s="64">
        <v>1.2942490633153009E-17</v>
      </c>
      <c r="D186" s="69">
        <v>2</v>
      </c>
      <c r="E186" s="65">
        <v>0.33333333333333331</v>
      </c>
      <c r="F186" s="65">
        <v>0.33333333333333331</v>
      </c>
      <c r="G186" s="65">
        <v>0.3001528050643964</v>
      </c>
      <c r="H186" s="65">
        <v>0.16764898493778652</v>
      </c>
      <c r="I186" s="66">
        <v>8660.7999999999993</v>
      </c>
      <c r="J186" s="66">
        <v>-8236.8489583333339</v>
      </c>
      <c r="K186" s="65">
        <v>0.11475409836065574</v>
      </c>
      <c r="L186" s="65">
        <v>0.11475409836065574</v>
      </c>
      <c r="M186" s="65">
        <v>0.27941497489631084</v>
      </c>
      <c r="N186" s="65">
        <v>0.20934293822309538</v>
      </c>
      <c r="O186" s="65">
        <v>0.58203125</v>
      </c>
      <c r="P186" s="65">
        <v>0.39207507820646509</v>
      </c>
      <c r="Q186" s="65">
        <v>0.43563636363636365</v>
      </c>
    </row>
    <row r="187" spans="1:17" x14ac:dyDescent="0.4">
      <c r="A187" s="67">
        <v>184</v>
      </c>
      <c r="B187" s="64">
        <v>6.2172489379008766E-15</v>
      </c>
      <c r="C187" s="64">
        <v>1.12631321338784E-17</v>
      </c>
      <c r="D187" s="69">
        <v>2</v>
      </c>
      <c r="E187" s="65">
        <v>0.33333333333333331</v>
      </c>
      <c r="F187" s="65">
        <v>0.33333333333333331</v>
      </c>
      <c r="G187" s="65">
        <v>0.2998914223669924</v>
      </c>
      <c r="H187" s="65">
        <v>0.16764386536373507</v>
      </c>
      <c r="I187" s="66">
        <v>8656.9152787834901</v>
      </c>
      <c r="J187" s="66">
        <v>-8239.896373056994</v>
      </c>
      <c r="K187" s="65">
        <v>0.11413043478260869</v>
      </c>
      <c r="L187" s="65">
        <v>0.11413043478260869</v>
      </c>
      <c r="M187" s="65">
        <v>0.27904451682953313</v>
      </c>
      <c r="N187" s="65">
        <v>0.20998914223669923</v>
      </c>
      <c r="O187" s="65">
        <v>0.58210116731517514</v>
      </c>
      <c r="P187" s="65">
        <v>0.39193381592554294</v>
      </c>
      <c r="Q187" s="65">
        <v>0.43519188993482982</v>
      </c>
    </row>
    <row r="188" spans="1:17" x14ac:dyDescent="0.4">
      <c r="A188" s="67">
        <v>185</v>
      </c>
      <c r="B188" s="64">
        <v>7.1054273576010019E-15</v>
      </c>
      <c r="C188" s="64">
        <v>1.2802571815497301E-17</v>
      </c>
      <c r="D188" s="69">
        <v>2</v>
      </c>
      <c r="E188" s="65">
        <v>0.33333333333333331</v>
      </c>
      <c r="F188" s="65">
        <v>0.33333333333333331</v>
      </c>
      <c r="G188" s="65">
        <v>0.29980532121998704</v>
      </c>
      <c r="H188" s="65">
        <v>0.1672074410555916</v>
      </c>
      <c r="I188" s="66">
        <v>8655.4112554112562</v>
      </c>
      <c r="J188" s="66">
        <v>-8234.2820181112547</v>
      </c>
      <c r="K188" s="65">
        <v>0.11351351351351352</v>
      </c>
      <c r="L188" s="65">
        <v>0.11351351351351352</v>
      </c>
      <c r="M188" s="65">
        <v>0.27903958468526929</v>
      </c>
      <c r="N188" s="65">
        <v>0.20982046290287693</v>
      </c>
      <c r="O188" s="65">
        <v>0.58372093023255811</v>
      </c>
      <c r="P188" s="65">
        <v>0.39072164948453608</v>
      </c>
      <c r="Q188" s="65">
        <v>0.43650793650793651</v>
      </c>
    </row>
    <row r="189" spans="1:17" x14ac:dyDescent="0.4">
      <c r="A189" s="67">
        <v>186</v>
      </c>
      <c r="B189" s="64">
        <v>7.1054273576010019E-15</v>
      </c>
      <c r="C189" s="64">
        <v>1.2733740784231186E-17</v>
      </c>
      <c r="D189" s="69">
        <v>2</v>
      </c>
      <c r="E189" s="65">
        <v>0.33333333333333331</v>
      </c>
      <c r="F189" s="65">
        <v>0.33333333333333331</v>
      </c>
      <c r="G189" s="65">
        <v>0.29987046632124353</v>
      </c>
      <c r="H189" s="65">
        <v>0.16731433506044904</v>
      </c>
      <c r="I189" s="66">
        <v>8671.2742980561561</v>
      </c>
      <c r="J189" s="66">
        <v>-8254.322580645161</v>
      </c>
      <c r="K189" s="65">
        <v>0.11469534050179211</v>
      </c>
      <c r="L189" s="65">
        <v>0.11469534050179211</v>
      </c>
      <c r="M189" s="65">
        <v>0.27849740932642486</v>
      </c>
      <c r="N189" s="65">
        <v>0.21070811744386875</v>
      </c>
      <c r="O189" s="65">
        <v>0.58372093023255811</v>
      </c>
      <c r="P189" s="65">
        <v>0.39139344262295084</v>
      </c>
      <c r="Q189" s="65">
        <v>0.43628509719222464</v>
      </c>
    </row>
    <row r="190" spans="1:17" x14ac:dyDescent="0.4">
      <c r="A190" s="67">
        <v>187</v>
      </c>
      <c r="B190" s="64">
        <v>3.5527136788005009E-15</v>
      </c>
      <c r="C190" s="64">
        <v>6.3328229568636377E-18</v>
      </c>
      <c r="D190" s="69">
        <v>2</v>
      </c>
      <c r="E190" s="65">
        <v>0.33333333333333331</v>
      </c>
      <c r="F190" s="65">
        <v>0.33333333333333331</v>
      </c>
      <c r="G190" s="65">
        <v>0.29984975316591544</v>
      </c>
      <c r="H190" s="65">
        <v>0.16784717750590256</v>
      </c>
      <c r="I190" s="66">
        <v>8689.3342877594841</v>
      </c>
      <c r="J190" s="66">
        <v>-8291.5601023017898</v>
      </c>
      <c r="K190" s="65">
        <v>0.11586452762923351</v>
      </c>
      <c r="L190" s="65">
        <v>0.11586452762923351</v>
      </c>
      <c r="M190" s="65">
        <v>0.27838591972526294</v>
      </c>
      <c r="N190" s="65">
        <v>0.21206267439364671</v>
      </c>
      <c r="O190" s="65">
        <v>0.58288357748650732</v>
      </c>
      <c r="P190" s="65">
        <v>0.3917004048582996</v>
      </c>
      <c r="Q190" s="65">
        <v>0.4345025053686471</v>
      </c>
    </row>
    <row r="191" spans="1:17" x14ac:dyDescent="0.4">
      <c r="A191" s="67">
        <v>188</v>
      </c>
      <c r="B191" s="64">
        <v>3.5527136788005009E-15</v>
      </c>
      <c r="C191" s="64">
        <v>6.2991377283696823E-18</v>
      </c>
      <c r="D191" s="69">
        <v>2</v>
      </c>
      <c r="E191" s="65">
        <v>0.33333333333333331</v>
      </c>
      <c r="F191" s="65">
        <v>0.33333333333333331</v>
      </c>
      <c r="G191" s="65">
        <v>0.3</v>
      </c>
      <c r="H191" s="65">
        <v>0.16773504273504272</v>
      </c>
      <c r="I191" s="66">
        <v>8689.2450142450143</v>
      </c>
      <c r="J191" s="66">
        <v>-8310.8280254777073</v>
      </c>
      <c r="K191" s="65">
        <v>0.11524822695035461</v>
      </c>
      <c r="L191" s="65">
        <v>0.11524822695035461</v>
      </c>
      <c r="M191" s="65">
        <v>0.27884615384615385</v>
      </c>
      <c r="N191" s="65">
        <v>0.21175213675213675</v>
      </c>
      <c r="O191" s="65">
        <v>0.58237547892720309</v>
      </c>
      <c r="P191" s="65">
        <v>0.39152371342078707</v>
      </c>
      <c r="Q191" s="65">
        <v>0.43518518518518517</v>
      </c>
    </row>
    <row r="192" spans="1:17" x14ac:dyDescent="0.4">
      <c r="A192" s="67">
        <v>189</v>
      </c>
      <c r="B192" s="64">
        <v>3.5527136788005009E-15</v>
      </c>
      <c r="C192" s="64">
        <v>6.2658089573201071E-18</v>
      </c>
      <c r="D192" s="69">
        <v>2</v>
      </c>
      <c r="E192" s="65">
        <v>0.33333333333333331</v>
      </c>
      <c r="F192" s="65">
        <v>0.33333333333333331</v>
      </c>
      <c r="G192" s="65">
        <v>0.29980903882877147</v>
      </c>
      <c r="H192" s="65">
        <v>0.16783365160195204</v>
      </c>
      <c r="I192" s="66">
        <v>8675.0884642604397</v>
      </c>
      <c r="J192" s="66">
        <v>-8297.724399494311</v>
      </c>
      <c r="K192" s="65">
        <v>0.1146384479717813</v>
      </c>
      <c r="L192" s="65">
        <v>0.1146384479717813</v>
      </c>
      <c r="M192" s="65">
        <v>0.27986420538934859</v>
      </c>
      <c r="N192" s="65">
        <v>0.21175472098451092</v>
      </c>
      <c r="O192" s="65">
        <v>0.57998483699772552</v>
      </c>
      <c r="P192" s="65">
        <v>0.39178356713426854</v>
      </c>
      <c r="Q192" s="65">
        <v>0.43453644727530077</v>
      </c>
    </row>
    <row r="193" spans="1:17" x14ac:dyDescent="0.4">
      <c r="A193" s="67">
        <v>190</v>
      </c>
      <c r="B193" s="64">
        <v>0</v>
      </c>
      <c r="C193" s="64">
        <v>0</v>
      </c>
      <c r="D193" s="69">
        <v>2</v>
      </c>
      <c r="E193" s="65">
        <v>0.33333333333333331</v>
      </c>
      <c r="F193" s="65">
        <v>0.33333333333333331</v>
      </c>
      <c r="G193" s="65">
        <v>0.299789029535865</v>
      </c>
      <c r="H193" s="65">
        <v>0.16793248945147679</v>
      </c>
      <c r="I193" s="66">
        <v>8687.2624912033771</v>
      </c>
      <c r="J193" s="66">
        <v>-8325.6281407035167</v>
      </c>
      <c r="K193" s="65">
        <v>0.11578947368421053</v>
      </c>
      <c r="L193" s="65">
        <v>0.11578947368421053</v>
      </c>
      <c r="M193" s="65">
        <v>0.27932489451476794</v>
      </c>
      <c r="N193" s="65">
        <v>0.21118143459915611</v>
      </c>
      <c r="O193" s="65">
        <v>0.58157099697885195</v>
      </c>
      <c r="P193" s="65">
        <v>0.39160839160839161</v>
      </c>
      <c r="Q193" s="65">
        <v>0.434201266713582</v>
      </c>
    </row>
    <row r="194" spans="1:17" x14ac:dyDescent="0.4">
      <c r="A194" s="67">
        <v>191</v>
      </c>
      <c r="B194" s="64">
        <v>0</v>
      </c>
      <c r="C194" s="64">
        <v>0</v>
      </c>
      <c r="D194" s="69">
        <v>2</v>
      </c>
      <c r="E194" s="65">
        <v>0.33333333333333331</v>
      </c>
      <c r="F194" s="65">
        <v>0.33333333333333331</v>
      </c>
      <c r="G194" s="65">
        <v>0.29958071278825998</v>
      </c>
      <c r="H194" s="65">
        <v>0.16813417190775681</v>
      </c>
      <c r="I194" s="66">
        <v>8684.674597620713</v>
      </c>
      <c r="J194" s="66">
        <v>-8325.4364089775554</v>
      </c>
      <c r="K194" s="65">
        <v>0.11518324607329843</v>
      </c>
      <c r="L194" s="65">
        <v>0.11518324607329843</v>
      </c>
      <c r="M194" s="65">
        <v>0.27945492662473792</v>
      </c>
      <c r="N194" s="65">
        <v>0.21132075471698114</v>
      </c>
      <c r="O194" s="65">
        <v>0.58064516129032262</v>
      </c>
      <c r="P194" s="65">
        <v>0.39087301587301587</v>
      </c>
      <c r="Q194" s="65">
        <v>0.43317004898530442</v>
      </c>
    </row>
    <row r="195" spans="1:17" x14ac:dyDescent="0.4">
      <c r="A195" s="67">
        <v>192</v>
      </c>
      <c r="B195" s="64">
        <v>-6.6613381477509392E-16</v>
      </c>
      <c r="C195" s="64">
        <v>-1.1564823173178713E-18</v>
      </c>
      <c r="D195" s="69">
        <v>2</v>
      </c>
      <c r="E195" s="65">
        <v>0.33333333333333331</v>
      </c>
      <c r="F195" s="65">
        <v>0.33333333333333331</v>
      </c>
      <c r="G195" s="65">
        <v>0.29960441390797421</v>
      </c>
      <c r="H195" s="65">
        <v>0.168228190714137</v>
      </c>
      <c r="I195" s="66">
        <v>8677.3453787352337</v>
      </c>
      <c r="J195" s="66">
        <v>-8323.7623762376243</v>
      </c>
      <c r="K195" s="65">
        <v>0.11458333333333333</v>
      </c>
      <c r="L195" s="65">
        <v>0.11458333333333333</v>
      </c>
      <c r="M195" s="65">
        <v>0.27899229648136581</v>
      </c>
      <c r="N195" s="65">
        <v>0.21090984801165938</v>
      </c>
      <c r="O195" s="65">
        <v>0.58134328358208953</v>
      </c>
      <c r="P195" s="65">
        <v>0.39091806515301086</v>
      </c>
      <c r="Q195" s="65">
        <v>0.43293954134815843</v>
      </c>
    </row>
    <row r="196" spans="1:17" x14ac:dyDescent="0.4">
      <c r="A196" s="67">
        <v>193</v>
      </c>
      <c r="B196" s="64">
        <v>0</v>
      </c>
      <c r="C196" s="64">
        <v>0</v>
      </c>
      <c r="D196" s="69">
        <v>2</v>
      </c>
      <c r="E196" s="65">
        <v>0.33333333333333331</v>
      </c>
      <c r="F196" s="65">
        <v>0.33333333333333331</v>
      </c>
      <c r="G196" s="65">
        <v>0.29991697799916978</v>
      </c>
      <c r="H196" s="65">
        <v>0.16832710668327105</v>
      </c>
      <c r="I196" s="66">
        <v>8679.1003460207612</v>
      </c>
      <c r="J196" s="66">
        <v>-8338.101109741061</v>
      </c>
      <c r="K196" s="65">
        <v>0.1157167530224525</v>
      </c>
      <c r="L196" s="65">
        <v>0.1157167530224525</v>
      </c>
      <c r="M196" s="65">
        <v>0.27936903279369035</v>
      </c>
      <c r="N196" s="65">
        <v>0.21066832710668326</v>
      </c>
      <c r="O196" s="65">
        <v>0.58098068350668652</v>
      </c>
      <c r="P196" s="65">
        <v>0.39113300492610836</v>
      </c>
      <c r="Q196" s="65">
        <v>0.43252595155709345</v>
      </c>
    </row>
    <row r="197" spans="1:17" x14ac:dyDescent="0.4">
      <c r="A197" s="67">
        <v>194</v>
      </c>
      <c r="B197" s="64">
        <v>-4.4408920985006262E-15</v>
      </c>
      <c r="C197" s="64">
        <v>-7.630398794674616E-18</v>
      </c>
      <c r="D197" s="69">
        <v>2</v>
      </c>
      <c r="E197" s="65">
        <v>0.33333333333333331</v>
      </c>
      <c r="F197" s="65">
        <v>0.33333333333333331</v>
      </c>
      <c r="G197" s="65">
        <v>0.30006199628022318</v>
      </c>
      <c r="H197" s="65">
        <v>0.1680099194048357</v>
      </c>
      <c r="I197" s="66">
        <v>8691.9421487603304</v>
      </c>
      <c r="J197" s="66">
        <v>-8330.3813038130374</v>
      </c>
      <c r="K197" s="65">
        <v>0.11683848797250859</v>
      </c>
      <c r="L197" s="65">
        <v>0.11683848797250859</v>
      </c>
      <c r="M197" s="65">
        <v>0.27980987807398222</v>
      </c>
      <c r="N197" s="65">
        <v>0.21058069849142386</v>
      </c>
      <c r="O197" s="65">
        <v>0.57976366322008865</v>
      </c>
      <c r="P197" s="65">
        <v>0.3915603532875368</v>
      </c>
      <c r="Q197" s="65">
        <v>0.43388429752066116</v>
      </c>
    </row>
    <row r="198" spans="1:17" x14ac:dyDescent="0.4">
      <c r="A198" s="67">
        <v>195</v>
      </c>
      <c r="B198" s="64">
        <v>-7.1054273576010019E-15</v>
      </c>
      <c r="C198" s="64">
        <v>-1.2146029671112824E-17</v>
      </c>
      <c r="D198" s="69">
        <v>2</v>
      </c>
      <c r="E198" s="65">
        <v>0.33333333333333331</v>
      </c>
      <c r="F198" s="65">
        <v>0.33333333333333331</v>
      </c>
      <c r="G198" s="65">
        <v>0.30006161429451633</v>
      </c>
      <c r="H198" s="65">
        <v>0.16820702402957485</v>
      </c>
      <c r="I198" s="66">
        <v>8675.2908966461328</v>
      </c>
      <c r="J198" s="66">
        <v>-8302.5641025641035</v>
      </c>
      <c r="K198" s="65">
        <v>0.11623931623931624</v>
      </c>
      <c r="L198" s="65">
        <v>0.11623931623931624</v>
      </c>
      <c r="M198" s="65">
        <v>0.28013965906757032</v>
      </c>
      <c r="N198" s="65">
        <v>0.21092626822756214</v>
      </c>
      <c r="O198" s="65">
        <v>0.57917888563049857</v>
      </c>
      <c r="P198" s="65">
        <v>0.39143135345666991</v>
      </c>
      <c r="Q198" s="65">
        <v>0.43326488706365501</v>
      </c>
    </row>
    <row r="199" spans="1:17" x14ac:dyDescent="0.4">
      <c r="A199" s="67">
        <v>196</v>
      </c>
      <c r="B199" s="64">
        <v>-7.1054273576010019E-15</v>
      </c>
      <c r="C199" s="64">
        <v>-1.2084060131974493E-17</v>
      </c>
      <c r="D199" s="69">
        <v>2</v>
      </c>
      <c r="E199" s="65">
        <v>0.33333333333333331</v>
      </c>
      <c r="F199" s="65">
        <v>0.33333333333333331</v>
      </c>
      <c r="G199" s="65">
        <v>0.30002043735949313</v>
      </c>
      <c r="H199" s="65">
        <v>0.16779072143879012</v>
      </c>
      <c r="I199" s="66">
        <v>8673.7057220708448</v>
      </c>
      <c r="J199" s="66">
        <v>-8301.8270401948848</v>
      </c>
      <c r="K199" s="65">
        <v>0.11564625850340136</v>
      </c>
      <c r="L199" s="65">
        <v>0.11564625850340136</v>
      </c>
      <c r="M199" s="65">
        <v>0.28060494584099732</v>
      </c>
      <c r="N199" s="65">
        <v>0.21070917637441242</v>
      </c>
      <c r="O199" s="65">
        <v>0.5790240349599417</v>
      </c>
      <c r="P199" s="65">
        <v>0.39088263821532493</v>
      </c>
      <c r="Q199" s="65">
        <v>0.43460490463215257</v>
      </c>
    </row>
    <row r="200" spans="1:17" x14ac:dyDescent="0.4">
      <c r="A200" s="67">
        <v>197</v>
      </c>
      <c r="B200" s="64">
        <v>-9.9920072216264089E-15</v>
      </c>
      <c r="C200" s="64">
        <v>-1.6906949613581065E-17</v>
      </c>
      <c r="D200" s="69">
        <v>2</v>
      </c>
      <c r="E200" s="65">
        <v>0.33333333333333331</v>
      </c>
      <c r="F200" s="65">
        <v>0.33333333333333331</v>
      </c>
      <c r="G200" s="65">
        <v>0.29983759642712138</v>
      </c>
      <c r="H200" s="65">
        <v>0.16808769792935443</v>
      </c>
      <c r="I200" s="66">
        <v>8670.6838185511169</v>
      </c>
      <c r="J200" s="66">
        <v>-8303.9855072463761</v>
      </c>
      <c r="K200" s="65">
        <v>0.11505922165820642</v>
      </c>
      <c r="L200" s="65">
        <v>0.11505922165820642</v>
      </c>
      <c r="M200" s="65">
        <v>0.28055217214778727</v>
      </c>
      <c r="N200" s="65">
        <v>0.21031262687779131</v>
      </c>
      <c r="O200" s="65">
        <v>0.57814761215629518</v>
      </c>
      <c r="P200" s="65">
        <v>0.39189189189189189</v>
      </c>
      <c r="Q200" s="65">
        <v>0.43331076506431959</v>
      </c>
    </row>
    <row r="201" spans="1:17" x14ac:dyDescent="0.4">
      <c r="A201" s="67">
        <v>198</v>
      </c>
      <c r="B201" s="64">
        <v>-7.1054273576010019E-15</v>
      </c>
      <c r="C201" s="64">
        <v>-1.1961998918520205E-17</v>
      </c>
      <c r="D201" s="69">
        <v>2</v>
      </c>
      <c r="E201" s="65">
        <v>0.33333333333333331</v>
      </c>
      <c r="F201" s="65">
        <v>0.33333333333333331</v>
      </c>
      <c r="G201" s="65">
        <v>0.30018192844147967</v>
      </c>
      <c r="H201" s="65">
        <v>0.16818273701233072</v>
      </c>
      <c r="I201" s="66">
        <v>8671.9865319865312</v>
      </c>
      <c r="J201" s="66">
        <v>-8322.475961538461</v>
      </c>
      <c r="K201" s="65">
        <v>0.11447811447811448</v>
      </c>
      <c r="L201" s="65">
        <v>0.11447811447811448</v>
      </c>
      <c r="M201" s="65">
        <v>0.28178694158075601</v>
      </c>
      <c r="N201" s="65">
        <v>0.20962199312714777</v>
      </c>
      <c r="O201" s="65">
        <v>0.57819225251076045</v>
      </c>
      <c r="P201" s="65">
        <v>0.39151398264223725</v>
      </c>
      <c r="Q201" s="65">
        <v>0.43299663299663299</v>
      </c>
    </row>
    <row r="202" spans="1:17" x14ac:dyDescent="0.4">
      <c r="A202" s="67">
        <v>199</v>
      </c>
      <c r="B202" s="64">
        <v>-1.4210854715202004E-14</v>
      </c>
      <c r="C202" s="64">
        <v>-2.3803776742381916E-17</v>
      </c>
      <c r="D202" s="69">
        <v>2</v>
      </c>
      <c r="E202" s="65">
        <v>0.33333333333333331</v>
      </c>
      <c r="F202" s="65">
        <v>0.33333333333333331</v>
      </c>
      <c r="G202" s="65">
        <v>0.30038175607795858</v>
      </c>
      <c r="H202" s="65">
        <v>0.16837452280490256</v>
      </c>
      <c r="I202" s="66">
        <v>8680.9364548494977</v>
      </c>
      <c r="J202" s="66">
        <v>-8328.2816229116943</v>
      </c>
      <c r="K202" s="65">
        <v>0.11557788944723618</v>
      </c>
      <c r="L202" s="65">
        <v>0.11557788944723618</v>
      </c>
      <c r="M202" s="65">
        <v>0.28129395218002812</v>
      </c>
      <c r="N202" s="65">
        <v>0.20976491862567812</v>
      </c>
      <c r="O202" s="65">
        <v>0.57857142857142863</v>
      </c>
      <c r="P202" s="65">
        <v>0.39272030651340994</v>
      </c>
      <c r="Q202" s="65">
        <v>0.43277591973244145</v>
      </c>
    </row>
    <row r="203" spans="1:17" x14ac:dyDescent="0.4">
      <c r="A203" s="67">
        <v>200</v>
      </c>
      <c r="B203" s="64">
        <v>-1.7097434579227411E-14</v>
      </c>
      <c r="C203" s="64">
        <v>-2.849572429871235E-17</v>
      </c>
      <c r="D203" s="69">
        <v>2</v>
      </c>
      <c r="E203" s="65">
        <v>0.33333333333333331</v>
      </c>
      <c r="F203" s="65">
        <v>0.33333333333333331</v>
      </c>
      <c r="G203" s="65">
        <v>0.29996003197442045</v>
      </c>
      <c r="H203" s="65">
        <v>0.16786570743405277</v>
      </c>
      <c r="I203" s="66">
        <v>8701.7321785476342</v>
      </c>
      <c r="J203" s="66">
        <v>-8348.0952380952385</v>
      </c>
      <c r="K203" s="65">
        <v>0.11666666666666667</v>
      </c>
      <c r="L203" s="65">
        <v>0.11666666666666667</v>
      </c>
      <c r="M203" s="65">
        <v>0.28197442046362908</v>
      </c>
      <c r="N203" s="65">
        <v>0.20863309352517986</v>
      </c>
      <c r="O203" s="65">
        <v>0.57760453579021975</v>
      </c>
      <c r="P203" s="65">
        <v>0.39272030651340994</v>
      </c>
      <c r="Q203" s="65">
        <v>0.43371085942704862</v>
      </c>
    </row>
    <row r="204" spans="1:17" x14ac:dyDescent="0.4">
      <c r="A204" s="67">
        <v>201</v>
      </c>
      <c r="B204" s="64">
        <v>-2.1316282072803006E-14</v>
      </c>
      <c r="C204" s="64">
        <v>-3.5350384863686576E-17</v>
      </c>
      <c r="D204" s="69">
        <v>2</v>
      </c>
      <c r="E204" s="65">
        <v>0.33333333333333331</v>
      </c>
      <c r="F204" s="65">
        <v>0.33333333333333331</v>
      </c>
      <c r="G204" s="65">
        <v>0.2999004975124378</v>
      </c>
      <c r="H204" s="65">
        <v>0.16796019900497514</v>
      </c>
      <c r="I204" s="66">
        <v>8686.7949568679487</v>
      </c>
      <c r="J204" s="66">
        <v>-8328.0805687203792</v>
      </c>
      <c r="K204" s="65">
        <v>0.11608623548922056</v>
      </c>
      <c r="L204" s="65">
        <v>0.11608623548922056</v>
      </c>
      <c r="M204" s="65">
        <v>0.28139303482587064</v>
      </c>
      <c r="N204" s="65">
        <v>0.20955223880597015</v>
      </c>
      <c r="O204" s="65">
        <v>0.57779349363507782</v>
      </c>
      <c r="P204" s="65">
        <v>0.39316239316239315</v>
      </c>
      <c r="Q204" s="65">
        <v>0.43331121433311215</v>
      </c>
    </row>
    <row r="205" spans="1:17" x14ac:dyDescent="0.4">
      <c r="A205" s="67">
        <v>202</v>
      </c>
      <c r="B205" s="64">
        <v>-2.1316282072803006E-14</v>
      </c>
      <c r="C205" s="64">
        <v>-3.5175382958420802E-17</v>
      </c>
      <c r="D205" s="69">
        <v>2</v>
      </c>
      <c r="E205" s="65">
        <v>0.33333333333333331</v>
      </c>
      <c r="F205" s="65">
        <v>0.33333333333333331</v>
      </c>
      <c r="G205" s="65">
        <v>0.29986135868488811</v>
      </c>
      <c r="H205" s="65">
        <v>0.16795405030699148</v>
      </c>
      <c r="I205" s="66">
        <v>8678.1373844121536</v>
      </c>
      <c r="J205" s="66">
        <v>-8312.382075471698</v>
      </c>
      <c r="K205" s="65">
        <v>0.11551155115511551</v>
      </c>
      <c r="L205" s="65">
        <v>0.11551155115511551</v>
      </c>
      <c r="M205" s="65">
        <v>0.2808476926123985</v>
      </c>
      <c r="N205" s="65">
        <v>0.2089522677757972</v>
      </c>
      <c r="O205" s="65">
        <v>0.57898448519040902</v>
      </c>
      <c r="P205" s="65">
        <v>0.39336492890995262</v>
      </c>
      <c r="Q205" s="65">
        <v>0.4332892998678996</v>
      </c>
    </row>
    <row r="206" spans="1:17" x14ac:dyDescent="0.4">
      <c r="A206" s="67">
        <v>203</v>
      </c>
      <c r="B206" s="64">
        <v>-2.1316282072803006E-14</v>
      </c>
      <c r="C206" s="64">
        <v>-3.5002105209857152E-17</v>
      </c>
      <c r="D206" s="69">
        <v>2</v>
      </c>
      <c r="E206" s="65">
        <v>0.33333333333333331</v>
      </c>
      <c r="F206" s="65">
        <v>0.33333333333333331</v>
      </c>
      <c r="G206" s="65">
        <v>0.29984239558707643</v>
      </c>
      <c r="H206" s="65">
        <v>0.16804570527974783</v>
      </c>
      <c r="I206" s="66">
        <v>8670.3022339027593</v>
      </c>
      <c r="J206" s="66">
        <v>-8300.9378663540447</v>
      </c>
      <c r="K206" s="65">
        <v>0.11494252873563218</v>
      </c>
      <c r="L206" s="65">
        <v>0.11494252873563218</v>
      </c>
      <c r="M206" s="65">
        <v>0.28053585500394013</v>
      </c>
      <c r="N206" s="65">
        <v>0.20843183609141056</v>
      </c>
      <c r="O206" s="65">
        <v>0.5800561797752809</v>
      </c>
      <c r="P206" s="65">
        <v>0.3931947069943289</v>
      </c>
      <c r="Q206" s="65">
        <v>0.43298291721419185</v>
      </c>
    </row>
    <row r="207" spans="1:17" x14ac:dyDescent="0.4">
      <c r="A207" s="67">
        <v>204</v>
      </c>
      <c r="B207" s="64">
        <v>-2.8421709430404007E-14</v>
      </c>
      <c r="C207" s="64">
        <v>-4.644070168366668E-17</v>
      </c>
      <c r="D207" s="69">
        <v>2</v>
      </c>
      <c r="E207" s="65">
        <v>0.33333333333333331</v>
      </c>
      <c r="F207" s="65">
        <v>0.33333333333333331</v>
      </c>
      <c r="G207" s="65">
        <v>0.3</v>
      </c>
      <c r="H207" s="65">
        <v>0.16823529411764707</v>
      </c>
      <c r="I207" s="66">
        <v>8662.4836601307197</v>
      </c>
      <c r="J207" s="66">
        <v>-8292.424242424242</v>
      </c>
      <c r="K207" s="65">
        <v>0.11601307189542484</v>
      </c>
      <c r="L207" s="65">
        <v>0.11601307189542484</v>
      </c>
      <c r="M207" s="65">
        <v>0.28019607843137256</v>
      </c>
      <c r="N207" s="65">
        <v>0.20823529411764705</v>
      </c>
      <c r="O207" s="65">
        <v>0.58012596221133661</v>
      </c>
      <c r="P207" s="65">
        <v>0.3935969868173258</v>
      </c>
      <c r="Q207" s="65">
        <v>0.43267973856209152</v>
      </c>
    </row>
    <row r="208" spans="1:17" x14ac:dyDescent="0.4">
      <c r="A208" s="67">
        <v>205</v>
      </c>
      <c r="B208" s="64">
        <v>-2.4868995751603507E-14</v>
      </c>
      <c r="C208" s="64">
        <v>-4.0437391466021965E-17</v>
      </c>
      <c r="D208" s="69">
        <v>2</v>
      </c>
      <c r="E208" s="65">
        <v>0.33333333333333331</v>
      </c>
      <c r="F208" s="65">
        <v>0.33333333333333331</v>
      </c>
      <c r="G208" s="65">
        <v>0.29957064793130367</v>
      </c>
      <c r="H208" s="65">
        <v>0.16783762685402029</v>
      </c>
      <c r="I208" s="66">
        <v>8656.0912052117255</v>
      </c>
      <c r="J208" s="66">
        <v>-8291.3953488372099</v>
      </c>
      <c r="K208" s="65">
        <v>0.11544715447154472</v>
      </c>
      <c r="L208" s="65">
        <v>0.11544715447154472</v>
      </c>
      <c r="M208" s="65">
        <v>0.27985948477751754</v>
      </c>
      <c r="N208" s="65">
        <v>0.20823575331772054</v>
      </c>
      <c r="O208" s="65">
        <v>0.57949790794979084</v>
      </c>
      <c r="P208" s="65">
        <v>0.39362699156513592</v>
      </c>
      <c r="Q208" s="65">
        <v>0.43322475570032576</v>
      </c>
    </row>
    <row r="209" spans="1:17" x14ac:dyDescent="0.4">
      <c r="A209" s="67">
        <v>206</v>
      </c>
      <c r="B209" s="64">
        <v>-2.1316282072803006E-14</v>
      </c>
      <c r="C209" s="64">
        <v>-3.4492365813597093E-17</v>
      </c>
      <c r="D209" s="69">
        <v>2</v>
      </c>
      <c r="E209" s="65">
        <v>0.33333333333333331</v>
      </c>
      <c r="F209" s="65">
        <v>0.33333333333333331</v>
      </c>
      <c r="G209" s="65">
        <v>0.29972804972804973</v>
      </c>
      <c r="H209" s="65">
        <v>0.16783216783216784</v>
      </c>
      <c r="I209" s="66">
        <v>8637.7187297472465</v>
      </c>
      <c r="J209" s="66">
        <v>-8268.8657407407409</v>
      </c>
      <c r="K209" s="65">
        <v>0.11488673139158576</v>
      </c>
      <c r="L209" s="65">
        <v>0.11488673139158576</v>
      </c>
      <c r="M209" s="65">
        <v>0.27913752913752915</v>
      </c>
      <c r="N209" s="65">
        <v>0.20881895881895882</v>
      </c>
      <c r="O209" s="65">
        <v>0.58037578288100211</v>
      </c>
      <c r="P209" s="65">
        <v>0.39534883720930231</v>
      </c>
      <c r="Q209" s="65">
        <v>0.43357096565132858</v>
      </c>
    </row>
    <row r="210" spans="1:17" x14ac:dyDescent="0.4">
      <c r="A210" s="67">
        <v>207</v>
      </c>
      <c r="B210" s="64">
        <v>-2.1316282072803006E-14</v>
      </c>
      <c r="C210" s="64">
        <v>-3.4325736027057978E-17</v>
      </c>
      <c r="D210" s="69">
        <v>2</v>
      </c>
      <c r="E210" s="65">
        <v>0.33333333333333331</v>
      </c>
      <c r="F210" s="65">
        <v>0.33333333333333331</v>
      </c>
      <c r="G210" s="65">
        <v>0.29969064191802008</v>
      </c>
      <c r="H210" s="65">
        <v>0.16782675947409126</v>
      </c>
      <c r="I210" s="66">
        <v>8631.032258064517</v>
      </c>
      <c r="J210" s="66">
        <v>-8266.705069124424</v>
      </c>
      <c r="K210" s="65">
        <v>0.1143317230273752</v>
      </c>
      <c r="L210" s="65">
        <v>0.1143317230273752</v>
      </c>
      <c r="M210" s="65">
        <v>0.27938901778808972</v>
      </c>
      <c r="N210" s="65">
        <v>0.20862335653518949</v>
      </c>
      <c r="O210" s="65">
        <v>0.57993079584775087</v>
      </c>
      <c r="P210" s="65">
        <v>0.3948100092678406</v>
      </c>
      <c r="Q210" s="65">
        <v>0.43354838709677418</v>
      </c>
    </row>
    <row r="211" spans="1:17" x14ac:dyDescent="0.4">
      <c r="A211" s="67">
        <v>208</v>
      </c>
      <c r="B211" s="64">
        <v>-2.8421709430404007E-14</v>
      </c>
      <c r="C211" s="64">
        <v>-4.5547611266673087E-17</v>
      </c>
      <c r="D211" s="69">
        <v>2</v>
      </c>
      <c r="E211" s="65">
        <v>0.33333333333333331</v>
      </c>
      <c r="F211" s="65">
        <v>0.33333333333333331</v>
      </c>
      <c r="G211" s="65">
        <v>0.29946112394149343</v>
      </c>
      <c r="H211" s="65">
        <v>0.1676289453425712</v>
      </c>
      <c r="I211" s="66">
        <v>8635.2827763496152</v>
      </c>
      <c r="J211" s="66">
        <v>-8263.834672789897</v>
      </c>
      <c r="K211" s="65">
        <v>0.11538461538461539</v>
      </c>
      <c r="L211" s="65">
        <v>0.11538461538461539</v>
      </c>
      <c r="M211" s="65">
        <v>0.27925327174749809</v>
      </c>
      <c r="N211" s="65">
        <v>0.20919938414164743</v>
      </c>
      <c r="O211" s="65">
        <v>0.57960027567195038</v>
      </c>
      <c r="P211" s="65">
        <v>0.39374425022999082</v>
      </c>
      <c r="Q211" s="65">
        <v>0.43380462724935731</v>
      </c>
    </row>
    <row r="212" spans="1:17" x14ac:dyDescent="0.4">
      <c r="A212" s="67">
        <v>209</v>
      </c>
      <c r="B212" s="64">
        <v>-2.8421709430404007E-14</v>
      </c>
      <c r="C212" s="64">
        <v>-4.5329680112287093E-17</v>
      </c>
      <c r="D212" s="69">
        <v>2</v>
      </c>
      <c r="E212" s="65">
        <v>0.33333333333333331</v>
      </c>
      <c r="F212" s="65">
        <v>0.33333333333333331</v>
      </c>
      <c r="G212" s="65">
        <v>0.29948364888123924</v>
      </c>
      <c r="H212" s="65">
        <v>0.16771849301969785</v>
      </c>
      <c r="I212" s="66">
        <v>8634.1634738186458</v>
      </c>
      <c r="J212" s="66">
        <v>-8258.6088939566707</v>
      </c>
      <c r="K212" s="65">
        <v>0.11483253588516747</v>
      </c>
      <c r="L212" s="65">
        <v>0.11483253588516747</v>
      </c>
      <c r="M212" s="65">
        <v>0.27902084528590554</v>
      </c>
      <c r="N212" s="65">
        <v>0.21036527060623447</v>
      </c>
      <c r="O212" s="65">
        <v>0.57984921178889648</v>
      </c>
      <c r="P212" s="65">
        <v>0.3927272727272727</v>
      </c>
      <c r="Q212" s="65">
        <v>0.43358876117496808</v>
      </c>
    </row>
    <row r="213" spans="1:17" x14ac:dyDescent="0.4">
      <c r="A213" s="67">
        <v>210</v>
      </c>
      <c r="B213" s="64">
        <v>-2.9753977059954195E-14</v>
      </c>
      <c r="C213" s="64">
        <v>-4.7228535015800309E-17</v>
      </c>
      <c r="D213" s="69">
        <v>2</v>
      </c>
      <c r="E213" s="65">
        <v>0.33333333333333331</v>
      </c>
      <c r="F213" s="65">
        <v>0.33333333333333331</v>
      </c>
      <c r="G213" s="65">
        <v>0.29944793451361129</v>
      </c>
      <c r="H213" s="65">
        <v>0.16752332000761469</v>
      </c>
      <c r="I213" s="66">
        <v>8623.0769230769238</v>
      </c>
      <c r="J213" s="66">
        <v>-8240.9090909090901</v>
      </c>
      <c r="K213" s="65">
        <v>0.11428571428571428</v>
      </c>
      <c r="L213" s="65">
        <v>0.11428571428571428</v>
      </c>
      <c r="M213" s="65">
        <v>0.27888825433085856</v>
      </c>
      <c r="N213" s="65">
        <v>0.20997525223681707</v>
      </c>
      <c r="O213" s="65">
        <v>0.5795221843003413</v>
      </c>
      <c r="P213" s="65">
        <v>0.39256572982774252</v>
      </c>
      <c r="Q213" s="65">
        <v>0.43420216147488877</v>
      </c>
    </row>
    <row r="214" spans="1:17" x14ac:dyDescent="0.4">
      <c r="A214" s="67">
        <v>211</v>
      </c>
      <c r="B214" s="64">
        <v>-3.2862601528904634E-14</v>
      </c>
      <c r="C214" s="64">
        <v>-5.1915642225757717E-17</v>
      </c>
      <c r="D214" s="69">
        <v>2</v>
      </c>
      <c r="E214" s="65">
        <v>0.33333333333333331</v>
      </c>
      <c r="F214" s="65">
        <v>0.33333333333333331</v>
      </c>
      <c r="G214" s="65">
        <v>0.29931972789115646</v>
      </c>
      <c r="H214" s="65">
        <v>0.1674225245653817</v>
      </c>
      <c r="I214" s="66">
        <v>8614.9621212121219</v>
      </c>
      <c r="J214" s="66">
        <v>-8239.6162528216701</v>
      </c>
      <c r="K214" s="65">
        <v>0.11374407582938388</v>
      </c>
      <c r="L214" s="65">
        <v>0.11374407582938388</v>
      </c>
      <c r="M214" s="65">
        <v>0.27891156462585032</v>
      </c>
      <c r="N214" s="65">
        <v>0.20975056689342403</v>
      </c>
      <c r="O214" s="65">
        <v>0.57994579945799463</v>
      </c>
      <c r="P214" s="65">
        <v>0.39189189189189189</v>
      </c>
      <c r="Q214" s="65">
        <v>0.43434343434343436</v>
      </c>
    </row>
    <row r="215" spans="1:17" x14ac:dyDescent="0.4">
      <c r="A215" s="67">
        <v>212</v>
      </c>
      <c r="B215" s="64">
        <v>-2.8421709430404007E-14</v>
      </c>
      <c r="C215" s="64">
        <v>-4.4688222374849071E-17</v>
      </c>
      <c r="D215" s="69">
        <v>2</v>
      </c>
      <c r="E215" s="65">
        <v>0.33333333333333331</v>
      </c>
      <c r="F215" s="65">
        <v>0.33333333333333331</v>
      </c>
      <c r="G215" s="65">
        <v>0.29947328818660646</v>
      </c>
      <c r="H215" s="65">
        <v>0.16741911211437172</v>
      </c>
      <c r="I215" s="66">
        <v>8623.4296482412065</v>
      </c>
      <c r="J215" s="66">
        <v>-8251.0112359550567</v>
      </c>
      <c r="K215" s="65">
        <v>0.11477987421383648</v>
      </c>
      <c r="L215" s="65">
        <v>0.11477987421383648</v>
      </c>
      <c r="M215" s="65">
        <v>0.27878103837471785</v>
      </c>
      <c r="N215" s="65">
        <v>0.20974416854778027</v>
      </c>
      <c r="O215" s="65">
        <v>0.57962213225371118</v>
      </c>
      <c r="P215" s="65">
        <v>0.3937219730941704</v>
      </c>
      <c r="Q215" s="65">
        <v>0.43467336683417085</v>
      </c>
    </row>
    <row r="216" spans="1:17" x14ac:dyDescent="0.4">
      <c r="A216" s="67">
        <v>213</v>
      </c>
      <c r="B216" s="64">
        <v>-2.8421709430404007E-14</v>
      </c>
      <c r="C216" s="64">
        <v>-4.4478418513934285E-17</v>
      </c>
      <c r="D216" s="69">
        <v>2</v>
      </c>
      <c r="E216" s="65">
        <v>0.33333333333333331</v>
      </c>
      <c r="F216" s="65">
        <v>0.33333333333333331</v>
      </c>
      <c r="G216" s="65">
        <v>0.29958755155605549</v>
      </c>
      <c r="H216" s="65">
        <v>0.16797900262467191</v>
      </c>
      <c r="I216" s="66">
        <v>8638.6107634543187</v>
      </c>
      <c r="J216" s="66">
        <v>-8280.5803571428569</v>
      </c>
      <c r="K216" s="65">
        <v>0.11580594679186229</v>
      </c>
      <c r="L216" s="65">
        <v>0.11580594679186229</v>
      </c>
      <c r="M216" s="65">
        <v>0.27877765279340083</v>
      </c>
      <c r="N216" s="65">
        <v>0.20997375328083989</v>
      </c>
      <c r="O216" s="65">
        <v>0.58036314727639537</v>
      </c>
      <c r="P216" s="65">
        <v>0.39374999999999999</v>
      </c>
      <c r="Q216" s="65">
        <v>0.4330413016270338</v>
      </c>
    </row>
    <row r="217" spans="1:17" x14ac:dyDescent="0.4">
      <c r="A217" s="67">
        <v>214</v>
      </c>
      <c r="B217" s="64">
        <v>-2.4868995751603507E-14</v>
      </c>
      <c r="C217" s="64">
        <v>-3.8736753507170569E-17</v>
      </c>
      <c r="D217" s="69">
        <v>2</v>
      </c>
      <c r="E217" s="65">
        <v>0.33333333333333331</v>
      </c>
      <c r="F217" s="65">
        <v>0.33333333333333331</v>
      </c>
      <c r="G217" s="65">
        <v>0.29970104633781763</v>
      </c>
      <c r="H217" s="65">
        <v>0.16778774289985052</v>
      </c>
      <c r="I217" s="66">
        <v>8645.9476309226939</v>
      </c>
      <c r="J217" s="66">
        <v>-8295.1002227171484</v>
      </c>
      <c r="K217" s="65">
        <v>0.11682242990654206</v>
      </c>
      <c r="L217" s="65">
        <v>0.11682242990654206</v>
      </c>
      <c r="M217" s="65">
        <v>0.27933482810164423</v>
      </c>
      <c r="N217" s="65">
        <v>0.20964125560538116</v>
      </c>
      <c r="O217" s="65">
        <v>0.58060200668896322</v>
      </c>
      <c r="P217" s="65">
        <v>0.39393939393939392</v>
      </c>
      <c r="Q217" s="65">
        <v>0.43391521197007482</v>
      </c>
    </row>
    <row r="218" spans="1:17" x14ac:dyDescent="0.4">
      <c r="A218" s="67">
        <v>215</v>
      </c>
      <c r="B218" s="64">
        <v>-2.1316282072803006E-14</v>
      </c>
      <c r="C218" s="64">
        <v>-3.3048499337679078E-17</v>
      </c>
      <c r="D218" s="69">
        <v>2</v>
      </c>
      <c r="E218" s="65">
        <v>0.33333333333333331</v>
      </c>
      <c r="F218" s="65">
        <v>0.33333333333333331</v>
      </c>
      <c r="G218" s="65">
        <v>0.29970271274619098</v>
      </c>
      <c r="H218" s="65">
        <v>0.16833890746934224</v>
      </c>
      <c r="I218" s="66">
        <v>8635.4618722876621</v>
      </c>
      <c r="J218" s="66">
        <v>-8280.4635761589398</v>
      </c>
      <c r="K218" s="65">
        <v>0.11627906976744186</v>
      </c>
      <c r="L218" s="65">
        <v>0.11627906976744186</v>
      </c>
      <c r="M218" s="65">
        <v>0.28037904124860646</v>
      </c>
      <c r="N218" s="65">
        <v>0.20884429580081754</v>
      </c>
      <c r="O218" s="65">
        <v>0.57919151756129883</v>
      </c>
      <c r="P218" s="65">
        <v>0.39412811387900354</v>
      </c>
      <c r="Q218" s="65">
        <v>0.43211407315561068</v>
      </c>
    </row>
    <row r="219" spans="1:17" x14ac:dyDescent="0.4">
      <c r="A219" s="67">
        <v>216</v>
      </c>
      <c r="B219" s="64">
        <v>-2.1316282072803006E-14</v>
      </c>
      <c r="C219" s="64">
        <v>-3.2895497025930562E-17</v>
      </c>
      <c r="D219" s="69">
        <v>2</v>
      </c>
      <c r="E219" s="65">
        <v>0.33333333333333331</v>
      </c>
      <c r="F219" s="65">
        <v>0.33333333333333331</v>
      </c>
      <c r="G219" s="65">
        <v>0.29929707732149463</v>
      </c>
      <c r="H219" s="65">
        <v>0.1685164631890492</v>
      </c>
      <c r="I219" s="66">
        <v>8650.6180469715691</v>
      </c>
      <c r="J219" s="66">
        <v>-8309.3304061470917</v>
      </c>
      <c r="K219" s="65">
        <v>0.11574074074074074</v>
      </c>
      <c r="L219" s="65">
        <v>0.11574074074074074</v>
      </c>
      <c r="M219" s="65">
        <v>0.28042915279319275</v>
      </c>
      <c r="N219" s="65">
        <v>0.20828708842027377</v>
      </c>
      <c r="O219" s="65">
        <v>0.57849604221635886</v>
      </c>
      <c r="P219" s="65">
        <v>0.39431616341030196</v>
      </c>
      <c r="Q219" s="65">
        <v>0.43077873918417797</v>
      </c>
    </row>
    <row r="220" spans="1:17" x14ac:dyDescent="0.4">
      <c r="A220" s="67">
        <v>217</v>
      </c>
      <c r="B220" s="64">
        <v>-2.1316282072803006E-14</v>
      </c>
      <c r="C220" s="64">
        <v>-3.2743904873737336E-17</v>
      </c>
      <c r="D220" s="69">
        <v>2</v>
      </c>
      <c r="E220" s="65">
        <v>0.33333333333333331</v>
      </c>
      <c r="F220" s="65">
        <v>0.33333333333333331</v>
      </c>
      <c r="G220" s="65">
        <v>0.29922992299229922</v>
      </c>
      <c r="H220" s="65">
        <v>0.16813348001466813</v>
      </c>
      <c r="I220" s="66">
        <v>8627.6348039215682</v>
      </c>
      <c r="J220" s="66">
        <v>-8286.0414394765539</v>
      </c>
      <c r="K220" s="65">
        <v>0.1152073732718894</v>
      </c>
      <c r="L220" s="65">
        <v>0.1152073732718894</v>
      </c>
      <c r="M220" s="65">
        <v>0.28034470113678034</v>
      </c>
      <c r="N220" s="65">
        <v>0.20737073707370737</v>
      </c>
      <c r="O220" s="65">
        <v>0.57750163505559193</v>
      </c>
      <c r="P220" s="65">
        <v>0.39434129089301501</v>
      </c>
      <c r="Q220" s="65">
        <v>0.43198529411764708</v>
      </c>
    </row>
    <row r="221" spans="1:17" x14ac:dyDescent="0.4">
      <c r="A221" s="67">
        <v>218</v>
      </c>
      <c r="B221" s="64">
        <v>-1.4210854715202004E-14</v>
      </c>
      <c r="C221" s="64">
        <v>-2.1729135650155969E-17</v>
      </c>
      <c r="D221" s="69">
        <v>2</v>
      </c>
      <c r="E221" s="65">
        <v>0.33333333333333331</v>
      </c>
      <c r="F221" s="65">
        <v>0.33333333333333331</v>
      </c>
      <c r="G221" s="65">
        <v>0.29881278538812783</v>
      </c>
      <c r="H221" s="65">
        <v>0.16785388127853881</v>
      </c>
      <c r="I221" s="66">
        <v>8638.2640586797061</v>
      </c>
      <c r="J221" s="66">
        <v>-8280.9575625680081</v>
      </c>
      <c r="K221" s="65">
        <v>0.11620795107033639</v>
      </c>
      <c r="L221" s="65">
        <v>0.11620795107033639</v>
      </c>
      <c r="M221" s="65">
        <v>0.2798173515981735</v>
      </c>
      <c r="N221" s="65">
        <v>0.20767123287671233</v>
      </c>
      <c r="O221" s="65">
        <v>0.57702349869451697</v>
      </c>
      <c r="P221" s="65">
        <v>0.39313984168865435</v>
      </c>
      <c r="Q221" s="65">
        <v>0.43215158924205377</v>
      </c>
    </row>
    <row r="222" spans="1:17" x14ac:dyDescent="0.4">
      <c r="A222" s="67">
        <v>219</v>
      </c>
      <c r="B222" s="64">
        <v>-1.4210854715202004E-14</v>
      </c>
      <c r="C222" s="64">
        <v>-2.1629915852666671E-17</v>
      </c>
      <c r="D222" s="69">
        <v>2</v>
      </c>
      <c r="E222" s="65">
        <v>0.33333333333333331</v>
      </c>
      <c r="F222" s="65">
        <v>0.33333333333333331</v>
      </c>
      <c r="G222" s="65">
        <v>0.29888828139238199</v>
      </c>
      <c r="H222" s="65">
        <v>0.16785128485511208</v>
      </c>
      <c r="I222" s="66">
        <v>8643.9024390243903</v>
      </c>
      <c r="J222" s="66">
        <v>-8289.0336590662318</v>
      </c>
      <c r="K222" s="65">
        <v>0.11719939117199391</v>
      </c>
      <c r="L222" s="65">
        <v>0.11719939117199391</v>
      </c>
      <c r="M222" s="65">
        <v>0.27956989247311825</v>
      </c>
      <c r="N222" s="65">
        <v>0.20794605431018773</v>
      </c>
      <c r="O222" s="65">
        <v>0.57692307692307687</v>
      </c>
      <c r="P222" s="65">
        <v>0.39351446099912357</v>
      </c>
      <c r="Q222" s="65">
        <v>0.4323170731707317</v>
      </c>
    </row>
    <row r="223" spans="1:17" x14ac:dyDescent="0.4">
      <c r="A223" s="67">
        <v>220</v>
      </c>
      <c r="B223" s="64">
        <v>-1.4210854715202004E-14</v>
      </c>
      <c r="C223" s="64">
        <v>-2.1531598053336369E-17</v>
      </c>
      <c r="D223" s="69">
        <v>2</v>
      </c>
      <c r="E223" s="65">
        <v>0.33333333333333331</v>
      </c>
      <c r="F223" s="65">
        <v>0.33333333333333331</v>
      </c>
      <c r="G223" s="65">
        <v>0.29853181076672103</v>
      </c>
      <c r="H223" s="65">
        <v>0.16802610114192496</v>
      </c>
      <c r="I223" s="66">
        <v>8648.7553126897383</v>
      </c>
      <c r="J223" s="66">
        <v>-8289.8597626752962</v>
      </c>
      <c r="K223" s="65">
        <v>0.11666666666666667</v>
      </c>
      <c r="L223" s="65">
        <v>0.11666666666666667</v>
      </c>
      <c r="M223" s="65">
        <v>0.27949972811310497</v>
      </c>
      <c r="N223" s="65">
        <v>0.20790284574950155</v>
      </c>
      <c r="O223" s="65">
        <v>0.57652399481193251</v>
      </c>
      <c r="P223" s="65">
        <v>0.39319965126416739</v>
      </c>
      <c r="Q223" s="65">
        <v>0.43108682452944747</v>
      </c>
    </row>
    <row r="224" spans="1:17" x14ac:dyDescent="0.4">
      <c r="A224" s="67">
        <v>221</v>
      </c>
      <c r="B224" s="64">
        <v>-1.4210854715202004E-14</v>
      </c>
      <c r="C224" s="64">
        <v>-2.143417000784616E-17</v>
      </c>
      <c r="D224" s="69">
        <v>2</v>
      </c>
      <c r="E224" s="65">
        <v>0.33333333333333331</v>
      </c>
      <c r="F224" s="65">
        <v>0.33333333333333331</v>
      </c>
      <c r="G224" s="65">
        <v>0.29850207543764662</v>
      </c>
      <c r="H224" s="65">
        <v>0.16802021295794983</v>
      </c>
      <c r="I224" s="66">
        <v>8644.256348246674</v>
      </c>
      <c r="J224" s="66">
        <v>-8281.2030075187977</v>
      </c>
      <c r="K224" s="65">
        <v>0.11764705882352941</v>
      </c>
      <c r="L224" s="65">
        <v>0.11764705882352941</v>
      </c>
      <c r="M224" s="65">
        <v>0.27937195452084462</v>
      </c>
      <c r="N224" s="65">
        <v>0.20736329182458041</v>
      </c>
      <c r="O224" s="65">
        <v>0.57816537467700257</v>
      </c>
      <c r="P224" s="65">
        <v>0.39251523063533506</v>
      </c>
      <c r="Q224" s="65">
        <v>0.43107617896009676</v>
      </c>
    </row>
    <row r="225" spans="1:17" x14ac:dyDescent="0.4">
      <c r="A225" s="67">
        <v>222</v>
      </c>
      <c r="B225" s="64">
        <v>-7.1054273576010019E-15</v>
      </c>
      <c r="C225" s="64">
        <v>-1.066880984624775E-17</v>
      </c>
      <c r="D225" s="69">
        <v>2</v>
      </c>
      <c r="E225" s="65">
        <v>0.33333333333333331</v>
      </c>
      <c r="F225" s="65">
        <v>0.33333333333333331</v>
      </c>
      <c r="G225" s="65">
        <v>0.29863358504135201</v>
      </c>
      <c r="H225" s="65">
        <v>0.16792520676015821</v>
      </c>
      <c r="I225" s="66">
        <v>8631.246237206502</v>
      </c>
      <c r="J225" s="66">
        <v>-8268.0942184154173</v>
      </c>
      <c r="K225" s="65">
        <v>0.11711711711711711</v>
      </c>
      <c r="L225" s="65">
        <v>0.11711711711711711</v>
      </c>
      <c r="M225" s="65">
        <v>0.27957569219705142</v>
      </c>
      <c r="N225" s="65">
        <v>0.20693994965839627</v>
      </c>
      <c r="O225" s="65">
        <v>0.5787781350482315</v>
      </c>
      <c r="P225" s="65">
        <v>0.39183318853171156</v>
      </c>
      <c r="Q225" s="65">
        <v>0.43166767007826612</v>
      </c>
    </row>
    <row r="226" spans="1:17" x14ac:dyDescent="0.4">
      <c r="A226" s="67">
        <v>223</v>
      </c>
      <c r="B226" s="64">
        <v>-7.1054273576010019E-15</v>
      </c>
      <c r="C226" s="64">
        <v>-1.0620967649627806E-17</v>
      </c>
      <c r="D226" s="69">
        <v>2</v>
      </c>
      <c r="E226" s="65">
        <v>0.33333333333333331</v>
      </c>
      <c r="F226" s="65">
        <v>0.33333333333333331</v>
      </c>
      <c r="G226" s="65">
        <v>0.29860365198711064</v>
      </c>
      <c r="H226" s="65">
        <v>0.16774078052273542</v>
      </c>
      <c r="I226" s="66">
        <v>8624.5803357314144</v>
      </c>
      <c r="J226" s="66">
        <v>-8266.2753468516548</v>
      </c>
      <c r="K226" s="65">
        <v>0.11808669656203288</v>
      </c>
      <c r="L226" s="65">
        <v>0.11808669656203288</v>
      </c>
      <c r="M226" s="65">
        <v>0.27980665950590761</v>
      </c>
      <c r="N226" s="65">
        <v>0.20658789831722163</v>
      </c>
      <c r="O226" s="65">
        <v>0.57837492002559177</v>
      </c>
      <c r="P226" s="65">
        <v>0.39254766031195842</v>
      </c>
      <c r="Q226" s="65">
        <v>0.43225419664268583</v>
      </c>
    </row>
    <row r="227" spans="1:17" x14ac:dyDescent="0.4">
      <c r="A227" s="67">
        <v>224</v>
      </c>
      <c r="B227" s="64">
        <v>-7.1054273576010019E-15</v>
      </c>
      <c r="C227" s="64">
        <v>-1.0573552615477681E-17</v>
      </c>
      <c r="D227" s="69">
        <v>2</v>
      </c>
      <c r="E227" s="65">
        <v>0.33333333333333331</v>
      </c>
      <c r="F227" s="65">
        <v>0.33333333333333331</v>
      </c>
      <c r="G227" s="65">
        <v>0.29841439515410656</v>
      </c>
      <c r="H227" s="65">
        <v>0.16764653482985925</v>
      </c>
      <c r="I227" s="66">
        <v>8635.6417910447763</v>
      </c>
      <c r="J227" s="66">
        <v>-8276.7268862911787</v>
      </c>
      <c r="K227" s="65">
        <v>0.11904761904761904</v>
      </c>
      <c r="L227" s="65">
        <v>0.11904761904761904</v>
      </c>
      <c r="M227" s="65">
        <v>0.28006413682522713</v>
      </c>
      <c r="N227" s="65">
        <v>0.20630678781400322</v>
      </c>
      <c r="O227" s="65">
        <v>0.57697201017811706</v>
      </c>
      <c r="P227" s="65">
        <v>0.39291882556131263</v>
      </c>
      <c r="Q227" s="65">
        <v>0.43223880597014924</v>
      </c>
    </row>
    <row r="228" spans="1:17" x14ac:dyDescent="0.4">
      <c r="A228" s="67">
        <v>225</v>
      </c>
      <c r="B228" s="64">
        <v>-7.1054273576010019E-15</v>
      </c>
      <c r="C228" s="64">
        <v>-1.052655904829778E-17</v>
      </c>
      <c r="D228" s="69">
        <v>2</v>
      </c>
      <c r="E228" s="65">
        <v>0.33333333333333331</v>
      </c>
      <c r="F228" s="65">
        <v>0.33333333333333331</v>
      </c>
      <c r="G228" s="65">
        <v>0.29836705715299966</v>
      </c>
      <c r="H228" s="65">
        <v>0.16737664181753639</v>
      </c>
      <c r="I228" s="66">
        <v>8634.6222486615115</v>
      </c>
      <c r="J228" s="66">
        <v>-8268.0805938494159</v>
      </c>
      <c r="K228" s="65">
        <v>0.11851851851851852</v>
      </c>
      <c r="L228" s="65">
        <v>0.11851851851851852</v>
      </c>
      <c r="M228" s="65">
        <v>0.28026269080582178</v>
      </c>
      <c r="N228" s="65">
        <v>0.20624778132765353</v>
      </c>
      <c r="O228" s="65">
        <v>0.57631412286257122</v>
      </c>
      <c r="P228" s="65">
        <v>0.39328743545611017</v>
      </c>
      <c r="Q228" s="65">
        <v>0.43307555026769778</v>
      </c>
    </row>
    <row r="229" spans="1:17" x14ac:dyDescent="0.4">
      <c r="A229" s="67">
        <v>226</v>
      </c>
      <c r="B229" s="64">
        <v>-1.4210854715202004E-14</v>
      </c>
      <c r="C229" s="64">
        <v>-2.0959962706787616E-17</v>
      </c>
      <c r="D229" s="69">
        <v>2</v>
      </c>
      <c r="E229" s="65">
        <v>0.33333333333333331</v>
      </c>
      <c r="F229" s="65">
        <v>0.33333333333333331</v>
      </c>
      <c r="G229" s="65">
        <v>0.29832007073386385</v>
      </c>
      <c r="H229" s="65">
        <v>0.16746242263483643</v>
      </c>
      <c r="I229" s="66">
        <v>8639.7154712507418</v>
      </c>
      <c r="J229" s="66">
        <v>-8274.4456177402317</v>
      </c>
      <c r="K229" s="65">
        <v>0.11946902654867257</v>
      </c>
      <c r="L229" s="65">
        <v>0.11946902654867257</v>
      </c>
      <c r="M229" s="65">
        <v>0.28028293545534927</v>
      </c>
      <c r="N229" s="65">
        <v>0.20636604774535808</v>
      </c>
      <c r="O229" s="65">
        <v>0.57602523659305993</v>
      </c>
      <c r="P229" s="65">
        <v>0.3916023993144816</v>
      </c>
      <c r="Q229" s="65">
        <v>0.43272080616478958</v>
      </c>
    </row>
    <row r="230" spans="1:17" x14ac:dyDescent="0.4">
      <c r="A230" s="67">
        <v>227</v>
      </c>
      <c r="B230" s="64">
        <v>-1.4210854715202004E-14</v>
      </c>
      <c r="C230" s="64">
        <v>-2.086762806931278E-17</v>
      </c>
      <c r="D230" s="69">
        <v>2</v>
      </c>
      <c r="E230" s="65">
        <v>0.33333333333333331</v>
      </c>
      <c r="F230" s="65">
        <v>0.33333333333333331</v>
      </c>
      <c r="G230" s="65">
        <v>0.29860743874493212</v>
      </c>
      <c r="H230" s="65">
        <v>0.16781244491450731</v>
      </c>
      <c r="I230" s="66">
        <v>8652.4203069657615</v>
      </c>
      <c r="J230" s="66">
        <v>-8310.8193277310929</v>
      </c>
      <c r="K230" s="65">
        <v>0.12041116005873716</v>
      </c>
      <c r="L230" s="65">
        <v>0.12041116005873716</v>
      </c>
      <c r="M230" s="65">
        <v>0.28027498677948176</v>
      </c>
      <c r="N230" s="65">
        <v>0.20676890534108938</v>
      </c>
      <c r="O230" s="65">
        <v>0.57735849056603772</v>
      </c>
      <c r="P230" s="65">
        <v>0.39130434782608697</v>
      </c>
      <c r="Q230" s="65">
        <v>0.43152302243211332</v>
      </c>
    </row>
    <row r="231" spans="1:17" x14ac:dyDescent="0.4">
      <c r="A231" s="67">
        <v>228</v>
      </c>
      <c r="B231" s="64">
        <v>-1.4210854715202004E-14</v>
      </c>
      <c r="C231" s="64">
        <v>-2.077610338479825E-17</v>
      </c>
      <c r="D231" s="69">
        <v>2</v>
      </c>
      <c r="E231" s="65">
        <v>0.33333333333333331</v>
      </c>
      <c r="F231" s="65">
        <v>0.33333333333333331</v>
      </c>
      <c r="G231" s="65">
        <v>0.29861476415921445</v>
      </c>
      <c r="H231" s="65">
        <v>0.16780641767490795</v>
      </c>
      <c r="I231" s="66">
        <v>8664.8267762771575</v>
      </c>
      <c r="J231" s="66">
        <v>-8312.2257053291542</v>
      </c>
      <c r="K231" s="65">
        <v>0.12134502923976608</v>
      </c>
      <c r="L231" s="65">
        <v>0.12134502923976608</v>
      </c>
      <c r="M231" s="65">
        <v>0.28002805540943365</v>
      </c>
      <c r="N231" s="65">
        <v>0.20673329826407155</v>
      </c>
      <c r="O231" s="65">
        <v>0.577958672510958</v>
      </c>
      <c r="P231" s="65">
        <v>0.39185750636132316</v>
      </c>
      <c r="Q231" s="65">
        <v>0.43159130945390489</v>
      </c>
    </row>
    <row r="232" spans="1:17" x14ac:dyDescent="0.4">
      <c r="A232" s="67">
        <v>229</v>
      </c>
      <c r="B232" s="64">
        <v>-7.1054273576010019E-15</v>
      </c>
      <c r="C232" s="64">
        <v>-1.0342689021253278E-17</v>
      </c>
      <c r="D232" s="69">
        <v>2</v>
      </c>
      <c r="E232" s="65">
        <v>0.33333333333333331</v>
      </c>
      <c r="F232" s="65">
        <v>0.33333333333333331</v>
      </c>
      <c r="G232" s="65">
        <v>0.29874213836477986</v>
      </c>
      <c r="H232" s="65">
        <v>0.16788958770090845</v>
      </c>
      <c r="I232" s="66">
        <v>8677.5438596491222</v>
      </c>
      <c r="J232" s="66">
        <v>-8317.5858480749212</v>
      </c>
      <c r="K232" s="65">
        <v>0.12081513828238719</v>
      </c>
      <c r="L232" s="65">
        <v>0.12081513828238719</v>
      </c>
      <c r="M232" s="65">
        <v>0.27969951083158628</v>
      </c>
      <c r="N232" s="65">
        <v>0.20649895178197064</v>
      </c>
      <c r="O232" s="65">
        <v>0.57901311680199874</v>
      </c>
      <c r="P232" s="65">
        <v>0.39086294416243655</v>
      </c>
      <c r="Q232" s="65">
        <v>0.43157894736842106</v>
      </c>
    </row>
    <row r="233" spans="1:17" x14ac:dyDescent="0.4">
      <c r="A233" s="67">
        <v>230</v>
      </c>
      <c r="B233" s="64">
        <v>0</v>
      </c>
      <c r="C233" s="64">
        <v>0</v>
      </c>
      <c r="D233" s="69">
        <v>2</v>
      </c>
      <c r="E233" s="65">
        <v>0.33333333333333331</v>
      </c>
      <c r="F233" s="65">
        <v>0.33333333333333331</v>
      </c>
      <c r="G233" s="65">
        <v>0.29864016736401672</v>
      </c>
      <c r="H233" s="65">
        <v>0.16771269177126918</v>
      </c>
      <c r="I233" s="66">
        <v>8706.4798598949219</v>
      </c>
      <c r="J233" s="66">
        <v>-8318.9189189189183</v>
      </c>
      <c r="K233" s="65">
        <v>0.12173913043478261</v>
      </c>
      <c r="L233" s="65">
        <v>0.12173913043478261</v>
      </c>
      <c r="M233" s="65">
        <v>0.27946304044630405</v>
      </c>
      <c r="N233" s="65">
        <v>0.20641562064156208</v>
      </c>
      <c r="O233" s="65">
        <v>0.57829070492825951</v>
      </c>
      <c r="P233" s="65">
        <v>0.39104729729729731</v>
      </c>
      <c r="Q233" s="65">
        <v>0.4319906596614127</v>
      </c>
    </row>
    <row r="234" spans="1:17" x14ac:dyDescent="0.4">
      <c r="A234" s="67">
        <v>231</v>
      </c>
      <c r="B234" s="64">
        <v>-1.4210854715202004E-14</v>
      </c>
      <c r="C234" s="64">
        <v>-2.0506283860320352E-17</v>
      </c>
      <c r="D234" s="69">
        <v>2</v>
      </c>
      <c r="E234" s="65">
        <v>0.33333333333333331</v>
      </c>
      <c r="F234" s="65">
        <v>0.33333333333333331</v>
      </c>
      <c r="G234" s="65">
        <v>0.29864724245577523</v>
      </c>
      <c r="H234" s="65">
        <v>0.1678806798473812</v>
      </c>
      <c r="I234" s="66">
        <v>8699.4192799070843</v>
      </c>
      <c r="J234" s="66">
        <v>-8302.9958677685954</v>
      </c>
      <c r="K234" s="65">
        <v>0.12121212121212122</v>
      </c>
      <c r="L234" s="65">
        <v>0.12121212121212122</v>
      </c>
      <c r="M234" s="65">
        <v>0.27852930974679152</v>
      </c>
      <c r="N234" s="65">
        <v>0.20742282344779744</v>
      </c>
      <c r="O234" s="65">
        <v>0.57845579078455789</v>
      </c>
      <c r="P234" s="65">
        <v>0.39214046822742477</v>
      </c>
      <c r="Q234" s="65">
        <v>0.43147502903600465</v>
      </c>
    </row>
    <row r="235" spans="1:17" x14ac:dyDescent="0.4">
      <c r="A235" s="67">
        <v>232</v>
      </c>
      <c r="B235" s="64">
        <v>-7.1054273576010019E-15</v>
      </c>
      <c r="C235" s="64">
        <v>-1.0208947352875003E-17</v>
      </c>
      <c r="D235" s="69">
        <v>2</v>
      </c>
      <c r="E235" s="65">
        <v>0.33333333333333331</v>
      </c>
      <c r="F235" s="65">
        <v>0.33333333333333331</v>
      </c>
      <c r="G235" s="65">
        <v>0.2986003110419907</v>
      </c>
      <c r="H235" s="65">
        <v>0.16778987385519267</v>
      </c>
      <c r="I235" s="66">
        <v>8686.3425925925931</v>
      </c>
      <c r="J235" s="66">
        <v>-8290.0102986611746</v>
      </c>
      <c r="K235" s="65">
        <v>0.1206896551724138</v>
      </c>
      <c r="L235" s="65">
        <v>0.1206896551724138</v>
      </c>
      <c r="M235" s="65">
        <v>0.27820978054259549</v>
      </c>
      <c r="N235" s="65">
        <v>0.20787973043027475</v>
      </c>
      <c r="O235" s="65">
        <v>0.57826086956521738</v>
      </c>
      <c r="P235" s="65">
        <v>0.39235245220282627</v>
      </c>
      <c r="Q235" s="65">
        <v>0.43171296296296297</v>
      </c>
    </row>
    <row r="236" spans="1:17" x14ac:dyDescent="0.4">
      <c r="A236" s="67">
        <v>233</v>
      </c>
      <c r="B236" s="64">
        <v>0</v>
      </c>
      <c r="C236" s="64">
        <v>0</v>
      </c>
      <c r="D236" s="69">
        <v>2</v>
      </c>
      <c r="E236" s="65">
        <v>0.33333333333333331</v>
      </c>
      <c r="F236" s="65">
        <v>0.33333333333333331</v>
      </c>
      <c r="G236" s="65">
        <v>0.29857167441060056</v>
      </c>
      <c r="H236" s="65">
        <v>0.16812940974014801</v>
      </c>
      <c r="I236" s="66">
        <v>8681.6714697406333</v>
      </c>
      <c r="J236" s="66">
        <v>-8280.757420675538</v>
      </c>
      <c r="K236" s="65">
        <v>0.12160228898426323</v>
      </c>
      <c r="L236" s="65">
        <v>0.12160228898426323</v>
      </c>
      <c r="M236" s="65">
        <v>0.27843744622268113</v>
      </c>
      <c r="N236" s="65">
        <v>0.20770951643434865</v>
      </c>
      <c r="O236" s="65">
        <v>0.57972805933250926</v>
      </c>
      <c r="P236" s="65">
        <v>0.39105219552609777</v>
      </c>
      <c r="Q236" s="65">
        <v>0.43054755043227666</v>
      </c>
    </row>
    <row r="237" spans="1:17" x14ac:dyDescent="0.4">
      <c r="A237" s="67">
        <v>234</v>
      </c>
      <c r="B237" s="64">
        <v>0</v>
      </c>
      <c r="C237" s="64">
        <v>0</v>
      </c>
      <c r="D237" s="69">
        <v>2</v>
      </c>
      <c r="E237" s="65">
        <v>0.33333333333333331</v>
      </c>
      <c r="F237" s="65">
        <v>0.33333333333333331</v>
      </c>
      <c r="G237" s="65">
        <v>0.2983718937446444</v>
      </c>
      <c r="H237" s="65">
        <v>0.16795201371036847</v>
      </c>
      <c r="I237" s="66">
        <v>8703.4462952326248</v>
      </c>
      <c r="J237" s="66">
        <v>-8277.8571428571431</v>
      </c>
      <c r="K237" s="65">
        <v>0.12250712250712251</v>
      </c>
      <c r="L237" s="65">
        <v>0.12250712250712251</v>
      </c>
      <c r="M237" s="65">
        <v>0.27900599828620393</v>
      </c>
      <c r="N237" s="65">
        <v>0.20754070265638389</v>
      </c>
      <c r="O237" s="65">
        <v>0.57923832923832919</v>
      </c>
      <c r="P237" s="65">
        <v>0.39058629232039638</v>
      </c>
      <c r="Q237" s="65">
        <v>0.43078690407811604</v>
      </c>
    </row>
    <row r="238" spans="1:17" x14ac:dyDescent="0.4">
      <c r="A238" s="67">
        <v>235</v>
      </c>
      <c r="B238" s="64">
        <v>2.886579864025407E-15</v>
      </c>
      <c r="C238" s="64">
        <v>4.0944395234402934E-18</v>
      </c>
      <c r="D238" s="69">
        <v>2</v>
      </c>
      <c r="E238" s="65">
        <v>0.33333333333333331</v>
      </c>
      <c r="F238" s="65">
        <v>0.33333333333333331</v>
      </c>
      <c r="G238" s="65">
        <v>0.29845159094776247</v>
      </c>
      <c r="H238" s="65">
        <v>0.16760251829164541</v>
      </c>
      <c r="I238" s="66">
        <v>8709.7491448118581</v>
      </c>
      <c r="J238" s="66">
        <v>-8279.796954314721</v>
      </c>
      <c r="K238" s="65">
        <v>0.12198581560283688</v>
      </c>
      <c r="L238" s="65">
        <v>0.12198581560283688</v>
      </c>
      <c r="M238" s="65">
        <v>0.27837331972094609</v>
      </c>
      <c r="N238" s="65">
        <v>0.20792921558618344</v>
      </c>
      <c r="O238" s="65">
        <v>0.5794621026894865</v>
      </c>
      <c r="P238" s="65">
        <v>0.39034369885433717</v>
      </c>
      <c r="Q238" s="65">
        <v>0.4321550741163056</v>
      </c>
    </row>
    <row r="239" spans="1:17" x14ac:dyDescent="0.4">
      <c r="A239" s="67">
        <v>236</v>
      </c>
      <c r="B239" s="64">
        <v>0</v>
      </c>
      <c r="C239" s="64">
        <v>0</v>
      </c>
      <c r="D239" s="69">
        <v>2</v>
      </c>
      <c r="E239" s="65">
        <v>0.33333333333333331</v>
      </c>
      <c r="F239" s="65">
        <v>0.33333333333333331</v>
      </c>
      <c r="G239" s="65">
        <v>0.29862874555611985</v>
      </c>
      <c r="H239" s="65">
        <v>0.16759776536312848</v>
      </c>
      <c r="I239" s="66">
        <v>8702.7210884353735</v>
      </c>
      <c r="J239" s="66">
        <v>-8257.1717171717173</v>
      </c>
      <c r="K239" s="65">
        <v>0.12146892655367232</v>
      </c>
      <c r="L239" s="65">
        <v>0.12146892655367232</v>
      </c>
      <c r="M239" s="65">
        <v>0.27865244625021163</v>
      </c>
      <c r="N239" s="65">
        <v>0.20755036397494497</v>
      </c>
      <c r="O239" s="65">
        <v>0.58019441069258815</v>
      </c>
      <c r="P239" s="65">
        <v>0.39151712887438828</v>
      </c>
      <c r="Q239" s="65">
        <v>0.43253968253968256</v>
      </c>
    </row>
    <row r="240" spans="1:17" x14ac:dyDescent="0.4">
      <c r="A240" s="67">
        <v>237</v>
      </c>
      <c r="B240" s="64">
        <v>0</v>
      </c>
      <c r="C240" s="64">
        <v>0</v>
      </c>
      <c r="D240" s="69">
        <v>2</v>
      </c>
      <c r="E240" s="65">
        <v>0.33333333333333331</v>
      </c>
      <c r="F240" s="65">
        <v>0.33333333333333331</v>
      </c>
      <c r="G240" s="65">
        <v>0.29895517357600271</v>
      </c>
      <c r="H240" s="65">
        <v>0.16784630940343781</v>
      </c>
      <c r="I240" s="66">
        <v>8711.8940248027066</v>
      </c>
      <c r="J240" s="66">
        <v>-8252.9116465863463</v>
      </c>
      <c r="K240" s="65">
        <v>0.1209563994374121</v>
      </c>
      <c r="L240" s="65">
        <v>0.1209563994374121</v>
      </c>
      <c r="M240" s="65">
        <v>0.27839568587799124</v>
      </c>
      <c r="N240" s="65">
        <v>0.20812268284462421</v>
      </c>
      <c r="O240" s="65">
        <v>0.57990314769975781</v>
      </c>
      <c r="P240" s="65">
        <v>0.39190283400809717</v>
      </c>
      <c r="Q240" s="65">
        <v>0.43179255918827508</v>
      </c>
    </row>
    <row r="241" spans="1:17" x14ac:dyDescent="0.4">
      <c r="A241" s="67">
        <v>238</v>
      </c>
      <c r="B241" s="64">
        <v>0</v>
      </c>
      <c r="C241" s="64">
        <v>0</v>
      </c>
      <c r="D241" s="69">
        <v>2</v>
      </c>
      <c r="E241" s="65">
        <v>0.33333333333333331</v>
      </c>
      <c r="F241" s="65">
        <v>0.33333333333333331</v>
      </c>
      <c r="G241" s="65">
        <v>0.29905913978494625</v>
      </c>
      <c r="H241" s="65">
        <v>0.16767473118279569</v>
      </c>
      <c r="I241" s="66">
        <v>8705.4494382022476</v>
      </c>
      <c r="J241" s="66">
        <v>-8248.2965931863728</v>
      </c>
      <c r="K241" s="65">
        <v>0.12044817927170869</v>
      </c>
      <c r="L241" s="65">
        <v>0.12044817927170869</v>
      </c>
      <c r="M241" s="65">
        <v>0.27772177419354838</v>
      </c>
      <c r="N241" s="65">
        <v>0.2085013440860215</v>
      </c>
      <c r="O241" s="65">
        <v>0.58015728977616454</v>
      </c>
      <c r="P241" s="65">
        <v>0.39242546333601935</v>
      </c>
      <c r="Q241" s="65">
        <v>0.43258426966292135</v>
      </c>
    </row>
    <row r="242" spans="1:17" x14ac:dyDescent="0.4">
      <c r="A242" s="67">
        <v>239</v>
      </c>
      <c r="B242" s="64">
        <v>0</v>
      </c>
      <c r="C242" s="64">
        <v>0</v>
      </c>
      <c r="D242" s="69">
        <v>2</v>
      </c>
      <c r="E242" s="65">
        <v>0.33333333333333331</v>
      </c>
      <c r="F242" s="65">
        <v>0.33333333333333331</v>
      </c>
      <c r="G242" s="65">
        <v>0.29901222166415536</v>
      </c>
      <c r="H242" s="65">
        <v>0.16775489703666499</v>
      </c>
      <c r="I242" s="66">
        <v>8698.4882418812995</v>
      </c>
      <c r="J242" s="66">
        <v>-8235.5289421157686</v>
      </c>
      <c r="K242" s="65">
        <v>0.12133891213389121</v>
      </c>
      <c r="L242" s="65">
        <v>0.12133891213389121</v>
      </c>
      <c r="M242" s="65">
        <v>0.27758245437803447</v>
      </c>
      <c r="N242" s="65">
        <v>0.20860539092583291</v>
      </c>
      <c r="O242" s="65">
        <v>0.58021712907117007</v>
      </c>
      <c r="P242" s="65">
        <v>0.39325842696629215</v>
      </c>
      <c r="Q242" s="65">
        <v>0.43225083986562152</v>
      </c>
    </row>
    <row r="243" spans="1:17" x14ac:dyDescent="0.4">
      <c r="A243" s="67">
        <v>240</v>
      </c>
      <c r="B243" s="64">
        <v>0</v>
      </c>
      <c r="C243" s="64">
        <v>0</v>
      </c>
      <c r="D243" s="69">
        <v>2</v>
      </c>
      <c r="E243" s="65">
        <v>0.33333333333333331</v>
      </c>
      <c r="F243" s="65">
        <v>0.33333333333333331</v>
      </c>
      <c r="G243" s="65">
        <v>0.29906385824139081</v>
      </c>
      <c r="H243" s="65">
        <v>0.16783684386492811</v>
      </c>
      <c r="I243" s="66">
        <v>8717.4399105645607</v>
      </c>
      <c r="J243" s="66">
        <v>-8254.9800796812742</v>
      </c>
      <c r="K243" s="65">
        <v>0.12222222222222222</v>
      </c>
      <c r="L243" s="65">
        <v>0.12222222222222222</v>
      </c>
      <c r="M243" s="65">
        <v>0.27766633233032428</v>
      </c>
      <c r="N243" s="65">
        <v>0.2087930458040789</v>
      </c>
      <c r="O243" s="65">
        <v>0.5809753160746538</v>
      </c>
      <c r="P243" s="65">
        <v>0.3923138510808647</v>
      </c>
      <c r="Q243" s="65">
        <v>0.43208496366685301</v>
      </c>
    </row>
    <row r="244" spans="1:17" x14ac:dyDescent="0.4">
      <c r="A244" s="67">
        <v>241</v>
      </c>
      <c r="B244" s="64">
        <v>4.4408920985006262E-15</v>
      </c>
      <c r="C244" s="64">
        <v>6.14231272268413E-18</v>
      </c>
      <c r="D244" s="69">
        <v>2</v>
      </c>
      <c r="E244" s="65">
        <v>0.33333333333333331</v>
      </c>
      <c r="F244" s="65">
        <v>0.33333333333333331</v>
      </c>
      <c r="G244" s="65">
        <v>0.29895366218236175</v>
      </c>
      <c r="H244" s="65">
        <v>0.16724796545424347</v>
      </c>
      <c r="I244" s="66">
        <v>8714.9444444444453</v>
      </c>
      <c r="J244" s="66">
        <v>-8247.4677259185701</v>
      </c>
      <c r="K244" s="65">
        <v>0.12171507607192254</v>
      </c>
      <c r="L244" s="65">
        <v>0.12171507607192254</v>
      </c>
      <c r="M244" s="65">
        <v>0.27736256435808004</v>
      </c>
      <c r="N244" s="65">
        <v>0.20926756352765322</v>
      </c>
      <c r="O244" s="65">
        <v>0.57964071856287425</v>
      </c>
      <c r="P244" s="65">
        <v>0.39523809523809522</v>
      </c>
      <c r="Q244" s="65">
        <v>0.43388888888888888</v>
      </c>
    </row>
    <row r="245" spans="1:17" x14ac:dyDescent="0.4">
      <c r="A245" s="67">
        <v>242</v>
      </c>
      <c r="B245" s="64">
        <v>7.1054273576010019E-15</v>
      </c>
      <c r="C245" s="64">
        <v>9.7870900242438045E-18</v>
      </c>
      <c r="D245" s="69">
        <v>2</v>
      </c>
      <c r="E245" s="65">
        <v>0.33333333333333331</v>
      </c>
      <c r="F245" s="65">
        <v>0.33333333333333331</v>
      </c>
      <c r="G245" s="65">
        <v>0.29875930521091809</v>
      </c>
      <c r="H245" s="65">
        <v>0.16674937965260547</v>
      </c>
      <c r="I245" s="66">
        <v>8717.8294573643416</v>
      </c>
      <c r="J245" s="66">
        <v>-8245.039682539682</v>
      </c>
      <c r="K245" s="65">
        <v>0.12121212121212122</v>
      </c>
      <c r="L245" s="65">
        <v>0.12121212121212122</v>
      </c>
      <c r="M245" s="65">
        <v>0.27791563275434245</v>
      </c>
      <c r="N245" s="65">
        <v>0.20942928039702233</v>
      </c>
      <c r="O245" s="65">
        <v>0.57857142857142863</v>
      </c>
      <c r="P245" s="65">
        <v>0.39415481832543442</v>
      </c>
      <c r="Q245" s="65">
        <v>0.43521594684385384</v>
      </c>
    </row>
    <row r="246" spans="1:17" x14ac:dyDescent="0.4">
      <c r="A246" s="67">
        <v>243</v>
      </c>
      <c r="B246" s="64">
        <v>0</v>
      </c>
      <c r="C246" s="64">
        <v>0</v>
      </c>
      <c r="D246" s="69">
        <v>2</v>
      </c>
      <c r="E246" s="65">
        <v>0.33333333333333331</v>
      </c>
      <c r="F246" s="65">
        <v>0.33333333333333331</v>
      </c>
      <c r="G246" s="65">
        <v>0.29891304347826086</v>
      </c>
      <c r="H246" s="65">
        <v>0.16650197628458499</v>
      </c>
      <c r="I246" s="66">
        <v>8729.8622589531678</v>
      </c>
      <c r="J246" s="66">
        <v>-8258.1602373887235</v>
      </c>
      <c r="K246" s="65">
        <v>0.12208504801097393</v>
      </c>
      <c r="L246" s="65">
        <v>0.12208504801097393</v>
      </c>
      <c r="M246" s="65">
        <v>0.27799736495388672</v>
      </c>
      <c r="N246" s="65">
        <v>0.20965085638998682</v>
      </c>
      <c r="O246" s="65">
        <v>0.5781990521327014</v>
      </c>
      <c r="P246" s="65">
        <v>0.39512961508248234</v>
      </c>
      <c r="Q246" s="65">
        <v>0.43636363636363634</v>
      </c>
    </row>
    <row r="247" spans="1:17" x14ac:dyDescent="0.4">
      <c r="A247" s="67">
        <v>244</v>
      </c>
      <c r="B247" s="64">
        <v>3.5527136788005009E-15</v>
      </c>
      <c r="C247" s="64">
        <v>4.8534339874323783E-18</v>
      </c>
      <c r="D247" s="69">
        <v>2</v>
      </c>
      <c r="E247" s="65">
        <v>0.33333333333333331</v>
      </c>
      <c r="F247" s="65">
        <v>0.33333333333333331</v>
      </c>
      <c r="G247" s="65">
        <v>0.29886755292959133</v>
      </c>
      <c r="H247" s="65">
        <v>0.16674872804858035</v>
      </c>
      <c r="I247" s="66">
        <v>8727.5123558484356</v>
      </c>
      <c r="J247" s="66">
        <v>-8256.9881889763783</v>
      </c>
      <c r="K247" s="65">
        <v>0.12158469945355191</v>
      </c>
      <c r="L247" s="65">
        <v>0.12158469945355191</v>
      </c>
      <c r="M247" s="65">
        <v>0.2776957163958641</v>
      </c>
      <c r="N247" s="65">
        <v>0.21024126046282621</v>
      </c>
      <c r="O247" s="65">
        <v>0.57742316784869974</v>
      </c>
      <c r="P247" s="65">
        <v>0.39500390320062451</v>
      </c>
      <c r="Q247" s="65">
        <v>0.43547501372872049</v>
      </c>
    </row>
    <row r="248" spans="1:17" x14ac:dyDescent="0.4">
      <c r="A248" s="67">
        <v>245</v>
      </c>
      <c r="B248" s="64">
        <v>1.4210854715202004E-14</v>
      </c>
      <c r="C248" s="64">
        <v>1.9334496211159187E-17</v>
      </c>
      <c r="D248" s="69">
        <v>2</v>
      </c>
      <c r="E248" s="65">
        <v>0.33333333333333331</v>
      </c>
      <c r="F248" s="65">
        <v>0.33333333333333331</v>
      </c>
      <c r="G248" s="65">
        <v>0.29865881583251552</v>
      </c>
      <c r="H248" s="65">
        <v>0.16683022571148184</v>
      </c>
      <c r="I248" s="66">
        <v>8732.2562979189479</v>
      </c>
      <c r="J248" s="66">
        <v>-8268.3333333333339</v>
      </c>
      <c r="K248" s="65">
        <v>0.12244897959183673</v>
      </c>
      <c r="L248" s="65">
        <v>0.12244897959183673</v>
      </c>
      <c r="M248" s="65">
        <v>0.2778868171409879</v>
      </c>
      <c r="N248" s="65">
        <v>0.20984625449787372</v>
      </c>
      <c r="O248" s="65">
        <v>0.57680988816951151</v>
      </c>
      <c r="P248" s="65">
        <v>0.39516757599376462</v>
      </c>
      <c r="Q248" s="65">
        <v>0.43483023001095289</v>
      </c>
    </row>
    <row r="249" spans="1:17" x14ac:dyDescent="0.4">
      <c r="A249" s="67">
        <v>246</v>
      </c>
      <c r="B249" s="64">
        <v>1.4210854715202004E-14</v>
      </c>
      <c r="C249" s="64">
        <v>1.9255900698105696E-17</v>
      </c>
      <c r="D249" s="69">
        <v>2</v>
      </c>
      <c r="E249" s="65">
        <v>0.33333333333333331</v>
      </c>
      <c r="F249" s="65">
        <v>0.33333333333333331</v>
      </c>
      <c r="G249" s="65">
        <v>0.29841736009136888</v>
      </c>
      <c r="H249" s="65">
        <v>0.16674824604340022</v>
      </c>
      <c r="I249" s="66">
        <v>8740.8966648441765</v>
      </c>
      <c r="J249" s="66">
        <v>-8275.6360078277885</v>
      </c>
      <c r="K249" s="65">
        <v>0.12330623306233063</v>
      </c>
      <c r="L249" s="65">
        <v>0.12330623306233063</v>
      </c>
      <c r="M249" s="65">
        <v>0.27818567466144556</v>
      </c>
      <c r="N249" s="65">
        <v>0.2094958394517866</v>
      </c>
      <c r="O249" s="65">
        <v>0.57595307917888561</v>
      </c>
      <c r="P249" s="65">
        <v>0.39485981308411217</v>
      </c>
      <c r="Q249" s="65">
        <v>0.43466375068343355</v>
      </c>
    </row>
    <row r="250" spans="1:17" x14ac:dyDescent="0.4">
      <c r="A250" s="67">
        <v>247</v>
      </c>
      <c r="B250" s="64">
        <v>7.1054273576010019E-15</v>
      </c>
      <c r="C250" s="64">
        <v>9.5889707929838078E-18</v>
      </c>
      <c r="D250" s="69">
        <v>2</v>
      </c>
      <c r="E250" s="65">
        <v>0.33333333333333331</v>
      </c>
      <c r="F250" s="65">
        <v>0.33333333333333331</v>
      </c>
      <c r="G250" s="65">
        <v>0.29874979704497484</v>
      </c>
      <c r="H250" s="65">
        <v>0.16674784867673323</v>
      </c>
      <c r="I250" s="66">
        <v>8748.20652173913</v>
      </c>
      <c r="J250" s="66">
        <v>-8279.6494644595914</v>
      </c>
      <c r="K250" s="65">
        <v>0.12415654520917679</v>
      </c>
      <c r="L250" s="65">
        <v>0.12415654520917679</v>
      </c>
      <c r="M250" s="65">
        <v>0.27812956648806625</v>
      </c>
      <c r="N250" s="65">
        <v>0.21042377009254748</v>
      </c>
      <c r="O250" s="65">
        <v>0.57676590776415648</v>
      </c>
      <c r="P250" s="65">
        <v>0.39351851851851855</v>
      </c>
      <c r="Q250" s="65">
        <v>0.43478260869565216</v>
      </c>
    </row>
    <row r="251" spans="1:17" x14ac:dyDescent="0.4">
      <c r="A251" s="67">
        <v>248</v>
      </c>
      <c r="B251" s="64">
        <v>7.1054273576010019E-15</v>
      </c>
      <c r="C251" s="64">
        <v>9.5503055881733904E-18</v>
      </c>
      <c r="D251" s="69">
        <v>2</v>
      </c>
      <c r="E251" s="65">
        <v>0.33333333333333331</v>
      </c>
      <c r="F251" s="65">
        <v>0.33333333333333331</v>
      </c>
      <c r="G251" s="65">
        <v>0.29862792574656982</v>
      </c>
      <c r="H251" s="65">
        <v>0.1665859564164649</v>
      </c>
      <c r="I251" s="66">
        <v>8765.405405405405</v>
      </c>
      <c r="J251" s="66">
        <v>-8306.5891472868225</v>
      </c>
      <c r="K251" s="65">
        <v>0.12365591397849462</v>
      </c>
      <c r="L251" s="65">
        <v>0.12365591397849462</v>
      </c>
      <c r="M251" s="65">
        <v>0.27764326069410816</v>
      </c>
      <c r="N251" s="65">
        <v>0.21081517352703794</v>
      </c>
      <c r="O251" s="65">
        <v>0.57674418604651168</v>
      </c>
      <c r="P251" s="65">
        <v>0.39356814701378257</v>
      </c>
      <c r="Q251" s="65">
        <v>0.43513513513513513</v>
      </c>
    </row>
    <row r="252" spans="1:17" x14ac:dyDescent="0.4">
      <c r="A252" s="67">
        <v>249</v>
      </c>
      <c r="B252" s="64">
        <v>0</v>
      </c>
      <c r="C252" s="64">
        <v>0</v>
      </c>
      <c r="D252" s="69">
        <v>2</v>
      </c>
      <c r="E252" s="65">
        <v>0.33333333333333331</v>
      </c>
      <c r="F252" s="65">
        <v>0.33333333333333331</v>
      </c>
      <c r="G252" s="65">
        <v>0.29869502174963752</v>
      </c>
      <c r="H252" s="65">
        <v>0.16642500402771065</v>
      </c>
      <c r="I252" s="66">
        <v>8781.8770226537217</v>
      </c>
      <c r="J252" s="66">
        <v>-8321.3939980638916</v>
      </c>
      <c r="K252" s="65">
        <v>0.12449799196787148</v>
      </c>
      <c r="L252" s="65">
        <v>0.12449799196787148</v>
      </c>
      <c r="M252" s="65">
        <v>0.277428709521508</v>
      </c>
      <c r="N252" s="65">
        <v>0.2112131464475592</v>
      </c>
      <c r="O252" s="65">
        <v>0.57723577235772361</v>
      </c>
      <c r="P252" s="65">
        <v>0.39359267734553777</v>
      </c>
      <c r="Q252" s="65">
        <v>0.43527508090614886</v>
      </c>
    </row>
    <row r="253" spans="1:17" x14ac:dyDescent="0.4">
      <c r="A253" s="67">
        <v>250</v>
      </c>
      <c r="B253" s="64">
        <v>0</v>
      </c>
      <c r="C253" s="64">
        <v>0</v>
      </c>
      <c r="D253" s="69">
        <v>2</v>
      </c>
      <c r="E253" s="65">
        <v>0.33333333333333331</v>
      </c>
      <c r="F253" s="65">
        <v>0.33333333333333331</v>
      </c>
      <c r="G253" s="65">
        <v>0.2989226563756231</v>
      </c>
      <c r="H253" s="65">
        <v>0.16642547033285093</v>
      </c>
      <c r="I253" s="66">
        <v>8794.6745562130181</v>
      </c>
      <c r="J253" s="66">
        <v>-8351.4009661835753</v>
      </c>
      <c r="K253" s="65">
        <v>0.12533333333333332</v>
      </c>
      <c r="L253" s="65">
        <v>0.12533333333333332</v>
      </c>
      <c r="M253" s="65">
        <v>0.27721498633220776</v>
      </c>
      <c r="N253" s="65">
        <v>0.21144878597845312</v>
      </c>
      <c r="O253" s="65">
        <v>0.57772621809744784</v>
      </c>
      <c r="P253" s="65">
        <v>0.39391634980988594</v>
      </c>
      <c r="Q253" s="65">
        <v>0.43518020441097366</v>
      </c>
    </row>
    <row r="254" spans="1:17" x14ac:dyDescent="0.4">
      <c r="A254" s="67">
        <v>251</v>
      </c>
      <c r="B254" s="64">
        <v>-7.1054273576010019E-15</v>
      </c>
      <c r="C254" s="64">
        <v>-9.4361585094302807E-18</v>
      </c>
      <c r="D254" s="69">
        <v>2</v>
      </c>
      <c r="E254" s="65">
        <v>0.33333333333333331</v>
      </c>
      <c r="F254" s="65">
        <v>0.33333333333333331</v>
      </c>
      <c r="G254" s="65">
        <v>0.29903846153846153</v>
      </c>
      <c r="H254" s="65">
        <v>0.16618589743589743</v>
      </c>
      <c r="I254" s="66">
        <v>8788.9067524115762</v>
      </c>
      <c r="J254" s="66">
        <v>-8342.1407907425273</v>
      </c>
      <c r="K254" s="65">
        <v>0.1248339973439575</v>
      </c>
      <c r="L254" s="65">
        <v>0.1248339973439575</v>
      </c>
      <c r="M254" s="65">
        <v>0.27724358974358976</v>
      </c>
      <c r="N254" s="65">
        <v>0.21105769230769231</v>
      </c>
      <c r="O254" s="65">
        <v>0.5780346820809249</v>
      </c>
      <c r="P254" s="65">
        <v>0.39407744874715261</v>
      </c>
      <c r="Q254" s="65">
        <v>0.4362272240085745</v>
      </c>
    </row>
    <row r="255" spans="1:17" x14ac:dyDescent="0.4">
      <c r="A255" s="67">
        <v>252</v>
      </c>
      <c r="B255" s="64">
        <v>-7.1054273576010019E-15</v>
      </c>
      <c r="C255" s="64">
        <v>-9.3987134359801607E-18</v>
      </c>
      <c r="D255" s="69">
        <v>2</v>
      </c>
      <c r="E255" s="65">
        <v>0.33333333333333331</v>
      </c>
      <c r="F255" s="65">
        <v>0.33333333333333331</v>
      </c>
      <c r="G255" s="65">
        <v>0.29879019420566699</v>
      </c>
      <c r="H255" s="65">
        <v>0.16634829672078955</v>
      </c>
      <c r="I255" s="66">
        <v>8779.5950985615345</v>
      </c>
      <c r="J255" s="66">
        <v>-8327.0813397129186</v>
      </c>
      <c r="K255" s="65">
        <v>0.12433862433862433</v>
      </c>
      <c r="L255" s="65">
        <v>0.12433862433862433</v>
      </c>
      <c r="M255" s="65">
        <v>0.27602674307545366</v>
      </c>
      <c r="N255" s="65">
        <v>0.21155682903533907</v>
      </c>
      <c r="O255" s="65">
        <v>0.57785467128027679</v>
      </c>
      <c r="P255" s="65">
        <v>0.39277652370203159</v>
      </c>
      <c r="Q255" s="65">
        <v>0.43526904635055941</v>
      </c>
    </row>
    <row r="256" spans="1:17" x14ac:dyDescent="0.4">
      <c r="A256" s="67">
        <v>253</v>
      </c>
      <c r="B256" s="64">
        <v>-5.3290705182007514E-15</v>
      </c>
      <c r="C256" s="64">
        <v>-7.0211732782618591E-18</v>
      </c>
      <c r="D256" s="69">
        <v>2</v>
      </c>
      <c r="E256" s="65">
        <v>0.33333333333333331</v>
      </c>
      <c r="F256" s="65">
        <v>0.33333333333333331</v>
      </c>
      <c r="G256" s="65">
        <v>0.29846251386907591</v>
      </c>
      <c r="H256" s="65">
        <v>0.16595339990489777</v>
      </c>
      <c r="I256" s="66">
        <v>8776.2612851832182</v>
      </c>
      <c r="J256" s="66">
        <v>-8325.1193887297031</v>
      </c>
      <c r="K256" s="65">
        <v>0.12384716732542819</v>
      </c>
      <c r="L256" s="65">
        <v>0.12384716732542819</v>
      </c>
      <c r="M256" s="65">
        <v>0.2756379774924711</v>
      </c>
      <c r="N256" s="65">
        <v>0.21191948010778253</v>
      </c>
      <c r="O256" s="65">
        <v>0.57676825761932149</v>
      </c>
      <c r="P256" s="65">
        <v>0.39267015706806285</v>
      </c>
      <c r="Q256" s="65">
        <v>0.43600637280934679</v>
      </c>
    </row>
    <row r="257" spans="1:17" x14ac:dyDescent="0.4">
      <c r="A257" s="67">
        <v>254</v>
      </c>
      <c r="B257" s="64">
        <v>-1.3322676295501878E-15</v>
      </c>
      <c r="C257" s="64">
        <v>-1.7483827159451284E-18</v>
      </c>
      <c r="D257" s="69">
        <v>2</v>
      </c>
      <c r="E257" s="65">
        <v>0.33333333333333331</v>
      </c>
      <c r="F257" s="65">
        <v>0.33333333333333331</v>
      </c>
      <c r="G257" s="65">
        <v>0.29857819905213268</v>
      </c>
      <c r="H257" s="65">
        <v>0.1660347551342812</v>
      </c>
      <c r="I257" s="66">
        <v>8767.3015873015866</v>
      </c>
      <c r="J257" s="66">
        <v>-8319.4100856327314</v>
      </c>
      <c r="K257" s="65">
        <v>0.12335958005249344</v>
      </c>
      <c r="L257" s="65">
        <v>0.12335958005249344</v>
      </c>
      <c r="M257" s="65">
        <v>0.27582938388625594</v>
      </c>
      <c r="N257" s="65">
        <v>0.21169036334913113</v>
      </c>
      <c r="O257" s="65">
        <v>0.57617411225658643</v>
      </c>
      <c r="P257" s="65">
        <v>0.39253731343283582</v>
      </c>
      <c r="Q257" s="65">
        <v>0.43597883597883597</v>
      </c>
    </row>
    <row r="258" spans="1:17" x14ac:dyDescent="0.4">
      <c r="A258" s="67">
        <v>255</v>
      </c>
      <c r="B258" s="64">
        <v>-1.3322676295501878E-15</v>
      </c>
      <c r="C258" s="64">
        <v>-1.7415263131375004E-18</v>
      </c>
      <c r="D258" s="69">
        <v>2</v>
      </c>
      <c r="E258" s="65">
        <v>0.33333333333333331</v>
      </c>
      <c r="F258" s="65">
        <v>0.33333333333333331</v>
      </c>
      <c r="G258" s="65">
        <v>0.29860128870029862</v>
      </c>
      <c r="H258" s="65">
        <v>0.16611661166116612</v>
      </c>
      <c r="I258" s="66">
        <v>8774.6315789473683</v>
      </c>
      <c r="J258" s="66">
        <v>-8336.3292336802278</v>
      </c>
      <c r="K258" s="65">
        <v>0.12418300653594772</v>
      </c>
      <c r="L258" s="65">
        <v>0.12418300653594772</v>
      </c>
      <c r="M258" s="65">
        <v>0.27644192990727645</v>
      </c>
      <c r="N258" s="65">
        <v>0.21169259783121169</v>
      </c>
      <c r="O258" s="65">
        <v>0.5764638999431495</v>
      </c>
      <c r="P258" s="65">
        <v>0.39198218262806234</v>
      </c>
      <c r="Q258" s="65">
        <v>0.43526315789473685</v>
      </c>
    </row>
    <row r="259" spans="1:17" x14ac:dyDescent="0.4">
      <c r="A259" s="67">
        <v>256</v>
      </c>
      <c r="B259" s="64">
        <v>-1.7763568394002505E-15</v>
      </c>
      <c r="C259" s="64">
        <v>-2.3129646346357427E-18</v>
      </c>
      <c r="D259" s="69">
        <v>2</v>
      </c>
      <c r="E259" s="65">
        <v>0.33333333333333331</v>
      </c>
      <c r="F259" s="65">
        <v>0.33333333333333331</v>
      </c>
      <c r="G259" s="65">
        <v>0.29845143125293289</v>
      </c>
      <c r="H259" s="65">
        <v>0.16643203503832316</v>
      </c>
      <c r="I259" s="66">
        <v>8764.255765199161</v>
      </c>
      <c r="J259" s="66">
        <v>-8317.5751879699255</v>
      </c>
      <c r="K259" s="65">
        <v>0.12369791666666667</v>
      </c>
      <c r="L259" s="65">
        <v>0.12369791666666667</v>
      </c>
      <c r="M259" s="65">
        <v>0.27592679493195682</v>
      </c>
      <c r="N259" s="65">
        <v>0.21195057093696229</v>
      </c>
      <c r="O259" s="65">
        <v>0.57596371882086173</v>
      </c>
      <c r="P259" s="65">
        <v>0.39335793357933579</v>
      </c>
      <c r="Q259" s="65">
        <v>0.43396226415094341</v>
      </c>
    </row>
    <row r="260" spans="1:17" x14ac:dyDescent="0.4">
      <c r="A260" s="67">
        <v>257</v>
      </c>
      <c r="B260" s="64">
        <v>0</v>
      </c>
      <c r="C260" s="64">
        <v>0</v>
      </c>
      <c r="D260" s="69">
        <v>2</v>
      </c>
      <c r="E260" s="65">
        <v>0.33333333333333331</v>
      </c>
      <c r="F260" s="65">
        <v>0.33333333333333331</v>
      </c>
      <c r="G260" s="65">
        <v>0.29842605578930964</v>
      </c>
      <c r="H260" s="65">
        <v>0.16674458469689887</v>
      </c>
      <c r="I260" s="66">
        <v>8764.2297650130549</v>
      </c>
      <c r="J260" s="66">
        <v>-8322.6168224299072</v>
      </c>
      <c r="K260" s="65">
        <v>0.1245136186770428</v>
      </c>
      <c r="L260" s="65">
        <v>0.1245136186770428</v>
      </c>
      <c r="M260" s="65">
        <v>0.27551815490104409</v>
      </c>
      <c r="N260" s="65">
        <v>0.21209287829203677</v>
      </c>
      <c r="O260" s="65">
        <v>0.57579185520361986</v>
      </c>
      <c r="P260" s="65">
        <v>0.39382806759735489</v>
      </c>
      <c r="Q260" s="65">
        <v>0.43289817232375977</v>
      </c>
    </row>
    <row r="261" spans="1:17" x14ac:dyDescent="0.4">
      <c r="A261" s="67">
        <v>258</v>
      </c>
      <c r="B261" s="64">
        <v>7.1054273576010019E-15</v>
      </c>
      <c r="C261" s="64">
        <v>9.1801387049108555E-18</v>
      </c>
      <c r="D261" s="69">
        <v>2</v>
      </c>
      <c r="E261" s="65">
        <v>0.33333333333333331</v>
      </c>
      <c r="F261" s="65">
        <v>0.33333333333333331</v>
      </c>
      <c r="G261" s="65">
        <v>0.2984171322160149</v>
      </c>
      <c r="H261" s="65">
        <v>0.1669770328988206</v>
      </c>
      <c r="I261" s="66">
        <v>8748.4659386375461</v>
      </c>
      <c r="J261" s="66">
        <v>-8298.3271375464683</v>
      </c>
      <c r="K261" s="65">
        <v>0.12403100775193798</v>
      </c>
      <c r="L261" s="65">
        <v>0.12403100775193798</v>
      </c>
      <c r="M261" s="65">
        <v>0.27529484792054626</v>
      </c>
      <c r="N261" s="65">
        <v>0.21229050279329609</v>
      </c>
      <c r="O261" s="65">
        <v>0.57609921082299886</v>
      </c>
      <c r="P261" s="65">
        <v>0.39327485380116961</v>
      </c>
      <c r="Q261" s="65">
        <v>0.43213728549141966</v>
      </c>
    </row>
    <row r="262" spans="1:17" x14ac:dyDescent="0.4">
      <c r="A262" s="67">
        <v>259</v>
      </c>
      <c r="B262" s="64">
        <v>7.1054273576010019E-15</v>
      </c>
      <c r="C262" s="64">
        <v>9.144694153926643E-18</v>
      </c>
      <c r="D262" s="69">
        <v>2</v>
      </c>
      <c r="E262" s="65">
        <v>0.33333333333333331</v>
      </c>
      <c r="F262" s="65">
        <v>0.33333333333333331</v>
      </c>
      <c r="G262" s="65">
        <v>0.29828624363131079</v>
      </c>
      <c r="H262" s="65">
        <v>0.16705264783078586</v>
      </c>
      <c r="I262" s="66">
        <v>8735.9213250517605</v>
      </c>
      <c r="J262" s="66">
        <v>-8274.9537892791122</v>
      </c>
      <c r="K262" s="65">
        <v>0.12355212355212356</v>
      </c>
      <c r="L262" s="65">
        <v>0.12355212355212356</v>
      </c>
      <c r="M262" s="65">
        <v>0.27543615871545468</v>
      </c>
      <c r="N262" s="65">
        <v>0.21228964026555505</v>
      </c>
      <c r="O262" s="65">
        <v>0.57511210762331844</v>
      </c>
      <c r="P262" s="65">
        <v>0.39345454545454545</v>
      </c>
      <c r="Q262" s="65">
        <v>0.43167701863354035</v>
      </c>
    </row>
    <row r="263" spans="1:17" x14ac:dyDescent="0.4">
      <c r="A263" s="67">
        <v>260</v>
      </c>
      <c r="B263" s="64">
        <v>0</v>
      </c>
      <c r="C263" s="64">
        <v>0</v>
      </c>
      <c r="D263" s="69">
        <v>2</v>
      </c>
      <c r="E263" s="65">
        <v>0.33333333333333331</v>
      </c>
      <c r="F263" s="65">
        <v>0.33333333333333331</v>
      </c>
      <c r="G263" s="65">
        <v>0.29839950754078176</v>
      </c>
      <c r="H263" s="65">
        <v>0.16712834718374883</v>
      </c>
      <c r="I263" s="66">
        <v>8760.5466735430637</v>
      </c>
      <c r="J263" s="66">
        <v>-8261.8784530386747</v>
      </c>
      <c r="K263" s="65">
        <v>0.12435897435897436</v>
      </c>
      <c r="L263" s="65">
        <v>0.12435897435897436</v>
      </c>
      <c r="M263" s="65">
        <v>0.27516158818097874</v>
      </c>
      <c r="N263" s="65">
        <v>0.2123730378578024</v>
      </c>
      <c r="O263" s="65">
        <v>0.57606263982102912</v>
      </c>
      <c r="P263" s="65">
        <v>0.39275362318840579</v>
      </c>
      <c r="Q263" s="65">
        <v>0.43166580711707064</v>
      </c>
    </row>
    <row r="264" spans="1:17" x14ac:dyDescent="0.4">
      <c r="A264" s="67">
        <v>261</v>
      </c>
      <c r="B264" s="64">
        <v>7.1054273576010019E-15</v>
      </c>
      <c r="C264" s="64">
        <v>9.0746198692222252E-18</v>
      </c>
      <c r="D264" s="69">
        <v>2</v>
      </c>
      <c r="E264" s="65">
        <v>0.33333333333333331</v>
      </c>
      <c r="F264" s="65">
        <v>0.33333333333333331</v>
      </c>
      <c r="G264" s="65">
        <v>0.29846390168970816</v>
      </c>
      <c r="H264" s="65">
        <v>0.16712749615975422</v>
      </c>
      <c r="I264" s="66">
        <v>8762.1718991250636</v>
      </c>
      <c r="J264" s="66">
        <v>-8260.386029411764</v>
      </c>
      <c r="K264" s="65">
        <v>0.1251596424010217</v>
      </c>
      <c r="L264" s="65">
        <v>0.1251596424010217</v>
      </c>
      <c r="M264" s="65">
        <v>0.2749615975422427</v>
      </c>
      <c r="N264" s="65">
        <v>0.21244239631336406</v>
      </c>
      <c r="O264" s="65">
        <v>0.57653631284916196</v>
      </c>
      <c r="P264" s="65">
        <v>0.3926247288503254</v>
      </c>
      <c r="Q264" s="65">
        <v>0.43180648481729283</v>
      </c>
    </row>
    <row r="265" spans="1:17" x14ac:dyDescent="0.4">
      <c r="A265" s="67">
        <v>262</v>
      </c>
      <c r="B265" s="64">
        <v>1.4210854715202004E-14</v>
      </c>
      <c r="C265" s="64">
        <v>1.8079967831045808E-17</v>
      </c>
      <c r="D265" s="69">
        <v>2</v>
      </c>
      <c r="E265" s="65">
        <v>0.33333333333333331</v>
      </c>
      <c r="F265" s="65">
        <v>0.33333333333333331</v>
      </c>
      <c r="G265" s="65">
        <v>0.29831804281345564</v>
      </c>
      <c r="H265" s="65">
        <v>0.16712538226299695</v>
      </c>
      <c r="I265" s="66">
        <v>8752.8959507944637</v>
      </c>
      <c r="J265" s="66">
        <v>-8259.0118938700816</v>
      </c>
      <c r="K265" s="65">
        <v>0.12595419847328243</v>
      </c>
      <c r="L265" s="65">
        <v>0.12595419847328243</v>
      </c>
      <c r="M265" s="65">
        <v>0.27477064220183484</v>
      </c>
      <c r="N265" s="65">
        <v>0.21223241590214068</v>
      </c>
      <c r="O265" s="65">
        <v>0.57595993322203676</v>
      </c>
      <c r="P265" s="65">
        <v>0.39265129682997119</v>
      </c>
      <c r="Q265" s="65">
        <v>0.43157355202460279</v>
      </c>
    </row>
    <row r="266" spans="1:17" x14ac:dyDescent="0.4">
      <c r="A266" s="67">
        <v>263</v>
      </c>
      <c r="B266" s="64">
        <v>0</v>
      </c>
      <c r="C266" s="64">
        <v>0</v>
      </c>
      <c r="D266" s="69">
        <v>2</v>
      </c>
      <c r="E266" s="65">
        <v>0.33333333333333331</v>
      </c>
      <c r="F266" s="65">
        <v>0.33333333333333331</v>
      </c>
      <c r="G266" s="65">
        <v>0.29832572298325721</v>
      </c>
      <c r="H266" s="65">
        <v>0.16727549467275496</v>
      </c>
      <c r="I266" s="66">
        <v>8791.9897959183672</v>
      </c>
      <c r="J266" s="66">
        <v>-8243.5850773430393</v>
      </c>
      <c r="K266" s="65">
        <v>0.1267427122940431</v>
      </c>
      <c r="L266" s="65">
        <v>0.1267427122940431</v>
      </c>
      <c r="M266" s="65">
        <v>0.27488584474885847</v>
      </c>
      <c r="N266" s="65">
        <v>0.21202435312024354</v>
      </c>
      <c r="O266" s="65">
        <v>0.57585825027685489</v>
      </c>
      <c r="P266" s="65">
        <v>0.39339554917444364</v>
      </c>
      <c r="Q266" s="65">
        <v>0.43112244897959184</v>
      </c>
    </row>
    <row r="267" spans="1:17" x14ac:dyDescent="0.4">
      <c r="A267" s="67">
        <v>264</v>
      </c>
      <c r="B267" s="64">
        <v>0</v>
      </c>
      <c r="C267" s="64">
        <v>0</v>
      </c>
      <c r="D267" s="69">
        <v>2</v>
      </c>
      <c r="E267" s="65">
        <v>0.33333333333333331</v>
      </c>
      <c r="F267" s="65">
        <v>0.33333333333333331</v>
      </c>
      <c r="G267" s="65">
        <v>0.29826958105646628</v>
      </c>
      <c r="H267" s="65">
        <v>0.16727383120825745</v>
      </c>
      <c r="I267" s="66">
        <v>8790.9923664122143</v>
      </c>
      <c r="J267" s="66">
        <v>-8244.7368421052633</v>
      </c>
      <c r="K267" s="65">
        <v>0.12752525252525251</v>
      </c>
      <c r="L267" s="65">
        <v>0.12752525252525251</v>
      </c>
      <c r="M267" s="65">
        <v>0.27474195506982391</v>
      </c>
      <c r="N267" s="65">
        <v>0.21174863387978143</v>
      </c>
      <c r="O267" s="65">
        <v>0.57569060773480663</v>
      </c>
      <c r="P267" s="65">
        <v>0.392831541218638</v>
      </c>
      <c r="Q267" s="65">
        <v>0.43104325699745549</v>
      </c>
    </row>
    <row r="268" spans="1:17" x14ac:dyDescent="0.4">
      <c r="A268" s="67">
        <v>265</v>
      </c>
      <c r="B268" s="64">
        <v>0</v>
      </c>
      <c r="C268" s="64">
        <v>0</v>
      </c>
      <c r="D268" s="69">
        <v>2</v>
      </c>
      <c r="E268" s="65">
        <v>0.33333333333333331</v>
      </c>
      <c r="F268" s="65">
        <v>0.33333333333333331</v>
      </c>
      <c r="G268" s="65">
        <v>0.29831741700773079</v>
      </c>
      <c r="H268" s="65">
        <v>0.16734879490677582</v>
      </c>
      <c r="I268" s="66">
        <v>8795.7825203252032</v>
      </c>
      <c r="J268" s="66">
        <v>-8256.79347826087</v>
      </c>
      <c r="K268" s="65">
        <v>0.12830188679245283</v>
      </c>
      <c r="L268" s="65">
        <v>0.12830188679245283</v>
      </c>
      <c r="M268" s="65">
        <v>0.27467030468394726</v>
      </c>
      <c r="N268" s="65">
        <v>0.21161133848719116</v>
      </c>
      <c r="O268" s="65">
        <v>0.57615894039735094</v>
      </c>
      <c r="P268" s="65">
        <v>0.39326647564469913</v>
      </c>
      <c r="Q268" s="65">
        <v>0.43089430894308944</v>
      </c>
    </row>
    <row r="269" spans="1:17" x14ac:dyDescent="0.4">
      <c r="A269" s="67">
        <v>266</v>
      </c>
      <c r="B269" s="64">
        <v>0</v>
      </c>
      <c r="C269" s="64">
        <v>0</v>
      </c>
      <c r="D269" s="69">
        <v>2</v>
      </c>
      <c r="E269" s="65">
        <v>0.33333333333333331</v>
      </c>
      <c r="F269" s="65">
        <v>0.33333333333333331</v>
      </c>
      <c r="G269" s="65">
        <v>0.29835670134177594</v>
      </c>
      <c r="H269" s="65">
        <v>0.16734509271822703</v>
      </c>
      <c r="I269" s="66">
        <v>8786.8620515411822</v>
      </c>
      <c r="J269" s="66">
        <v>-8251.1711711711705</v>
      </c>
      <c r="K269" s="65">
        <v>0.12781954887218044</v>
      </c>
      <c r="L269" s="65">
        <v>0.12781954887218044</v>
      </c>
      <c r="M269" s="65">
        <v>0.2746871702095583</v>
      </c>
      <c r="N269" s="65">
        <v>0.21151816674204735</v>
      </c>
      <c r="O269" s="65">
        <v>0.57574094401756315</v>
      </c>
      <c r="P269" s="65">
        <v>0.39344262295081966</v>
      </c>
      <c r="Q269" s="65">
        <v>0.43102577059120767</v>
      </c>
    </row>
    <row r="270" spans="1:17" x14ac:dyDescent="0.4">
      <c r="A270" s="67">
        <v>267</v>
      </c>
      <c r="B270" s="64">
        <v>0</v>
      </c>
      <c r="C270" s="64">
        <v>0</v>
      </c>
      <c r="D270" s="69">
        <v>2</v>
      </c>
      <c r="E270" s="65">
        <v>0.33333333333333331</v>
      </c>
      <c r="F270" s="65">
        <v>0.33333333333333331</v>
      </c>
      <c r="G270" s="65">
        <v>0.29837983798379836</v>
      </c>
      <c r="H270" s="65">
        <v>0.16771677167716773</v>
      </c>
      <c r="I270" s="66">
        <v>8785.8220211161388</v>
      </c>
      <c r="J270" s="66">
        <v>-8250.8944543828256</v>
      </c>
      <c r="K270" s="65">
        <v>0.12734082397003746</v>
      </c>
      <c r="L270" s="65">
        <v>0.12734082397003746</v>
      </c>
      <c r="M270" s="65">
        <v>0.27452745274527451</v>
      </c>
      <c r="N270" s="65">
        <v>0.21137113711371136</v>
      </c>
      <c r="O270" s="65">
        <v>0.57540983606557372</v>
      </c>
      <c r="P270" s="65">
        <v>0.39389638041163944</v>
      </c>
      <c r="Q270" s="65">
        <v>0.42986425339366519</v>
      </c>
    </row>
    <row r="271" spans="1:17" x14ac:dyDescent="0.4">
      <c r="A271" s="67">
        <v>268</v>
      </c>
      <c r="B271" s="64">
        <v>0</v>
      </c>
      <c r="C271" s="64">
        <v>0</v>
      </c>
      <c r="D271" s="69">
        <v>2</v>
      </c>
      <c r="E271" s="65">
        <v>0.33333333333333331</v>
      </c>
      <c r="F271" s="65">
        <v>0.33333333333333331</v>
      </c>
      <c r="G271" s="65">
        <v>0.29822202300911399</v>
      </c>
      <c r="H271" s="65">
        <v>0.16778724040041834</v>
      </c>
      <c r="I271" s="66">
        <v>8783.4669338677359</v>
      </c>
      <c r="J271" s="66">
        <v>-8250.4897595725743</v>
      </c>
      <c r="K271" s="65">
        <v>0.12686567164179105</v>
      </c>
      <c r="L271" s="65">
        <v>0.12686567164179105</v>
      </c>
      <c r="M271" s="65">
        <v>0.27446585985357835</v>
      </c>
      <c r="N271" s="65">
        <v>0.21111609143881668</v>
      </c>
      <c r="O271" s="65">
        <v>0.57593903102885136</v>
      </c>
      <c r="P271" s="65">
        <v>0.39348903043170558</v>
      </c>
      <c r="Q271" s="65">
        <v>0.42935871743486975</v>
      </c>
    </row>
    <row r="272" spans="1:17" x14ac:dyDescent="0.4">
      <c r="A272" s="67">
        <v>269</v>
      </c>
      <c r="B272" s="64">
        <v>0</v>
      </c>
      <c r="C272" s="64">
        <v>0</v>
      </c>
      <c r="D272" s="69">
        <v>2</v>
      </c>
      <c r="E272" s="65">
        <v>0.33333333333333331</v>
      </c>
      <c r="F272" s="65">
        <v>0.33333333333333331</v>
      </c>
      <c r="G272" s="65">
        <v>0.29816718819848009</v>
      </c>
      <c r="H272" s="65">
        <v>0.16778423483832514</v>
      </c>
      <c r="I272" s="66">
        <v>8780.8095952023996</v>
      </c>
      <c r="J272" s="66">
        <v>-8253.0195381882768</v>
      </c>
      <c r="K272" s="65">
        <v>0.12763320941759604</v>
      </c>
      <c r="L272" s="65">
        <v>0.12763320941759604</v>
      </c>
      <c r="M272" s="65">
        <v>0.27402771569065715</v>
      </c>
      <c r="N272" s="65">
        <v>0.21129488898822829</v>
      </c>
      <c r="O272" s="65">
        <v>0.57585644371941269</v>
      </c>
      <c r="P272" s="65">
        <v>0.39351198871650211</v>
      </c>
      <c r="Q272" s="65">
        <v>0.42928535732133932</v>
      </c>
    </row>
    <row r="273" spans="1:17" x14ac:dyDescent="0.4">
      <c r="A273" s="67">
        <v>270</v>
      </c>
      <c r="B273" s="64">
        <v>0</v>
      </c>
      <c r="C273" s="64">
        <v>0</v>
      </c>
      <c r="D273" s="69">
        <v>2</v>
      </c>
      <c r="E273" s="65">
        <v>0.33333333333333331</v>
      </c>
      <c r="F273" s="65">
        <v>0.33333333333333331</v>
      </c>
      <c r="G273" s="65">
        <v>0.29826125724476149</v>
      </c>
      <c r="H273" s="65">
        <v>0.16763263486402141</v>
      </c>
      <c r="I273" s="66">
        <v>8772.9446935724955</v>
      </c>
      <c r="J273" s="66">
        <v>-8249.8226950354601</v>
      </c>
      <c r="K273" s="65">
        <v>0.12716049382716049</v>
      </c>
      <c r="L273" s="65">
        <v>0.12716049382716049</v>
      </c>
      <c r="M273" s="65">
        <v>0.27388913657304204</v>
      </c>
      <c r="N273" s="65">
        <v>0.2113241194828355</v>
      </c>
      <c r="O273" s="65">
        <v>0.57569180683667931</v>
      </c>
      <c r="P273" s="65">
        <v>0.39451476793248946</v>
      </c>
      <c r="Q273" s="65">
        <v>0.42999501743896362</v>
      </c>
    </row>
    <row r="274" spans="1:17" x14ac:dyDescent="0.4">
      <c r="A274" s="67">
        <v>271</v>
      </c>
      <c r="B274" s="64">
        <v>1.4155343563970746E-15</v>
      </c>
      <c r="C274" s="64">
        <v>1.7411246696150978E-18</v>
      </c>
      <c r="D274" s="69">
        <v>2</v>
      </c>
      <c r="E274" s="65">
        <v>0.33333333333333331</v>
      </c>
      <c r="F274" s="65">
        <v>0.33333333333333331</v>
      </c>
      <c r="G274" s="65">
        <v>0.29826897470039948</v>
      </c>
      <c r="H274" s="65">
        <v>0.1673324456280515</v>
      </c>
      <c r="I274" s="66">
        <v>8775.8432539682544</v>
      </c>
      <c r="J274" s="66">
        <v>-8250.9283819628654</v>
      </c>
      <c r="K274" s="65">
        <v>0.12669126691266913</v>
      </c>
      <c r="L274" s="65">
        <v>0.12669126691266913</v>
      </c>
      <c r="M274" s="65">
        <v>0.27356117768900723</v>
      </c>
      <c r="N274" s="65">
        <v>0.21097795531883415</v>
      </c>
      <c r="O274" s="65">
        <v>0.57706868577609516</v>
      </c>
      <c r="P274" s="65">
        <v>0.39481065918653574</v>
      </c>
      <c r="Q274" s="65">
        <v>0.43105158730158732</v>
      </c>
    </row>
    <row r="275" spans="1:17" x14ac:dyDescent="0.4">
      <c r="A275" s="67">
        <v>272</v>
      </c>
      <c r="B275" s="64">
        <v>-5.3290705182007514E-15</v>
      </c>
      <c r="C275" s="64">
        <v>-6.5307236742656266E-18</v>
      </c>
      <c r="D275" s="69">
        <v>2</v>
      </c>
      <c r="E275" s="65">
        <v>0.33333333333333331</v>
      </c>
      <c r="F275" s="65">
        <v>0.33333333333333331</v>
      </c>
      <c r="G275" s="65">
        <v>0.2982300884955752</v>
      </c>
      <c r="H275" s="65">
        <v>0.16740412979351033</v>
      </c>
      <c r="I275" s="66">
        <v>8773.9366963402572</v>
      </c>
      <c r="J275" s="66">
        <v>-8251.8061674008804</v>
      </c>
      <c r="K275" s="65">
        <v>0.12622549019607843</v>
      </c>
      <c r="L275" s="65">
        <v>0.12622549019607843</v>
      </c>
      <c r="M275" s="65">
        <v>0.27359882005899705</v>
      </c>
      <c r="N275" s="65">
        <v>0.21106194690265487</v>
      </c>
      <c r="O275" s="65">
        <v>0.57789757412398923</v>
      </c>
      <c r="P275" s="65">
        <v>0.3941299790356394</v>
      </c>
      <c r="Q275" s="65">
        <v>0.43076162215628089</v>
      </c>
    </row>
    <row r="276" spans="1:17" x14ac:dyDescent="0.4">
      <c r="A276" s="67">
        <v>273</v>
      </c>
      <c r="B276" s="64">
        <v>-7.1054273576010019E-15</v>
      </c>
      <c r="C276" s="64">
        <v>-8.6757354793663026E-18</v>
      </c>
      <c r="D276" s="69">
        <v>2</v>
      </c>
      <c r="E276" s="65">
        <v>0.33333333333333331</v>
      </c>
      <c r="F276" s="65">
        <v>0.33333333333333331</v>
      </c>
      <c r="G276" s="65">
        <v>0.29835390946502055</v>
      </c>
      <c r="H276" s="65">
        <v>0.16725455614344503</v>
      </c>
      <c r="I276" s="66">
        <v>8774.4334975369457</v>
      </c>
      <c r="J276" s="66">
        <v>-8260.808435852372</v>
      </c>
      <c r="K276" s="65">
        <v>0.12698412698412698</v>
      </c>
      <c r="L276" s="65">
        <v>0.12698412698412698</v>
      </c>
      <c r="M276" s="65">
        <v>0.27351557907113461</v>
      </c>
      <c r="N276" s="65">
        <v>0.21134626690182245</v>
      </c>
      <c r="O276" s="65">
        <v>0.57872111767866741</v>
      </c>
      <c r="P276" s="65">
        <v>0.39429763560500697</v>
      </c>
      <c r="Q276" s="65">
        <v>0.43103448275862066</v>
      </c>
    </row>
    <row r="277" spans="1:17" x14ac:dyDescent="0.4">
      <c r="A277" s="67">
        <v>274</v>
      </c>
      <c r="B277" s="64">
        <v>-7.1054273576010019E-15</v>
      </c>
      <c r="C277" s="64">
        <v>-8.6440722111934331E-18</v>
      </c>
      <c r="D277" s="69">
        <v>2</v>
      </c>
      <c r="E277" s="65">
        <v>0.33333333333333331</v>
      </c>
      <c r="F277" s="65">
        <v>0.33333333333333331</v>
      </c>
      <c r="G277" s="65">
        <v>0.29831501831501833</v>
      </c>
      <c r="H277" s="65">
        <v>0.16717948717948719</v>
      </c>
      <c r="I277" s="66">
        <v>8775.0491159135563</v>
      </c>
      <c r="J277" s="66">
        <v>-8262.4014022787032</v>
      </c>
      <c r="K277" s="65">
        <v>0.12652068126520682</v>
      </c>
      <c r="L277" s="65">
        <v>0.12652068126520682</v>
      </c>
      <c r="M277" s="65">
        <v>0.27384615384615385</v>
      </c>
      <c r="N277" s="65">
        <v>0.21084249084249085</v>
      </c>
      <c r="O277" s="65">
        <v>0.57838416265382553</v>
      </c>
      <c r="P277" s="65">
        <v>0.39402362751911052</v>
      </c>
      <c r="Q277" s="65">
        <v>0.43123772102161101</v>
      </c>
    </row>
    <row r="278" spans="1:17" x14ac:dyDescent="0.4">
      <c r="A278" s="67">
        <v>275</v>
      </c>
      <c r="B278" s="64">
        <v>-5.3290705182007514E-15</v>
      </c>
      <c r="C278" s="64">
        <v>-6.4594794160009108E-18</v>
      </c>
      <c r="D278" s="69">
        <v>2</v>
      </c>
      <c r="E278" s="65">
        <v>0.33333333333333331</v>
      </c>
      <c r="F278" s="65">
        <v>0.33333333333333331</v>
      </c>
      <c r="G278" s="65">
        <v>0.29816112084063046</v>
      </c>
      <c r="H278" s="65">
        <v>0.16710449503794514</v>
      </c>
      <c r="I278" s="66">
        <v>8763.9745472344584</v>
      </c>
      <c r="J278" s="66">
        <v>-8251.7030567685597</v>
      </c>
      <c r="K278" s="65">
        <v>0.12606060606060607</v>
      </c>
      <c r="L278" s="65">
        <v>0.12606060606060607</v>
      </c>
      <c r="M278" s="65">
        <v>0.27408056042031526</v>
      </c>
      <c r="N278" s="65">
        <v>0.21074138937536485</v>
      </c>
      <c r="O278" s="65">
        <v>0.57774227902023434</v>
      </c>
      <c r="P278" s="65">
        <v>0.3940443213296399</v>
      </c>
      <c r="Q278" s="65">
        <v>0.43122858541360742</v>
      </c>
    </row>
    <row r="279" spans="1:17" x14ac:dyDescent="0.4">
      <c r="A279" s="67">
        <v>276</v>
      </c>
      <c r="B279" s="64">
        <v>-7.1054273576010019E-15</v>
      </c>
      <c r="C279" s="64">
        <v>-8.5814340067644946E-18</v>
      </c>
      <c r="D279" s="69">
        <v>2</v>
      </c>
      <c r="E279" s="65">
        <v>0.33333333333333331</v>
      </c>
      <c r="F279" s="65">
        <v>0.33333333333333331</v>
      </c>
      <c r="G279" s="65">
        <v>0.29802383028189477</v>
      </c>
      <c r="H279" s="65">
        <v>0.16739319965126417</v>
      </c>
      <c r="I279" s="66">
        <v>8743.9785470502193</v>
      </c>
      <c r="J279" s="66">
        <v>-8221.6145833333339</v>
      </c>
      <c r="K279" s="65">
        <v>0.12560386473429952</v>
      </c>
      <c r="L279" s="65">
        <v>0.12560386473429952</v>
      </c>
      <c r="M279" s="65">
        <v>0.27346701540249929</v>
      </c>
      <c r="N279" s="65">
        <v>0.21040395233943621</v>
      </c>
      <c r="O279" s="65">
        <v>0.5770456960680127</v>
      </c>
      <c r="P279" s="65">
        <v>0.39571823204419887</v>
      </c>
      <c r="Q279" s="65">
        <v>0.43003412969283278</v>
      </c>
    </row>
    <row r="280" spans="1:17" x14ac:dyDescent="0.4">
      <c r="A280" s="67">
        <v>277</v>
      </c>
      <c r="B280" s="64">
        <v>-7.1054273576010019E-15</v>
      </c>
      <c r="C280" s="64">
        <v>-8.5504541006028906E-18</v>
      </c>
      <c r="D280" s="69">
        <v>2</v>
      </c>
      <c r="E280" s="65">
        <v>0.33333333333333331</v>
      </c>
      <c r="F280" s="65">
        <v>0.33333333333333331</v>
      </c>
      <c r="G280" s="65">
        <v>0.29804772234273319</v>
      </c>
      <c r="H280" s="65">
        <v>0.1673174258857556</v>
      </c>
      <c r="I280" s="66">
        <v>8744.5414847161574</v>
      </c>
      <c r="J280" s="66">
        <v>-8227.9170267934314</v>
      </c>
      <c r="K280" s="65">
        <v>0.12515042117930206</v>
      </c>
      <c r="L280" s="65">
        <v>0.12515042117930206</v>
      </c>
      <c r="M280" s="65">
        <v>0.27360809833694866</v>
      </c>
      <c r="N280" s="65">
        <v>0.21055676066522053</v>
      </c>
      <c r="O280" s="65">
        <v>0.57663847780126853</v>
      </c>
      <c r="P280" s="65">
        <v>0.39629120879120877</v>
      </c>
      <c r="Q280" s="65">
        <v>0.43037360504609412</v>
      </c>
    </row>
    <row r="281" spans="1:17" x14ac:dyDescent="0.4">
      <c r="A281" s="67">
        <v>278</v>
      </c>
      <c r="B281" s="64">
        <v>-4.9960036108132044E-15</v>
      </c>
      <c r="C281" s="64">
        <v>-5.9904120033731465E-18</v>
      </c>
      <c r="D281" s="69">
        <v>2</v>
      </c>
      <c r="E281" s="65">
        <v>0.33333333333333331</v>
      </c>
      <c r="F281" s="65">
        <v>0.33333333333333331</v>
      </c>
      <c r="G281" s="65">
        <v>0.29813933362180872</v>
      </c>
      <c r="H281" s="65">
        <v>0.1668830232222703</v>
      </c>
      <c r="I281" s="66">
        <v>8734.9298500241894</v>
      </c>
      <c r="J281" s="66">
        <v>-8227.9170267934314</v>
      </c>
      <c r="K281" s="65">
        <v>0.12470023980815348</v>
      </c>
      <c r="L281" s="65">
        <v>0.12470023980815348</v>
      </c>
      <c r="M281" s="65">
        <v>0.27318621087552286</v>
      </c>
      <c r="N281" s="65">
        <v>0.21015433434299727</v>
      </c>
      <c r="O281" s="65">
        <v>0.57655755015839494</v>
      </c>
      <c r="P281" s="65">
        <v>0.39670555936856555</v>
      </c>
      <c r="Q281" s="65">
        <v>0.43202709240445092</v>
      </c>
    </row>
    <row r="282" spans="1:17" x14ac:dyDescent="0.4">
      <c r="A282" s="67">
        <v>279</v>
      </c>
      <c r="B282" s="64">
        <v>-7.1054273576010019E-15</v>
      </c>
      <c r="C282" s="64">
        <v>-8.4891605228207902E-18</v>
      </c>
      <c r="D282" s="69">
        <v>2</v>
      </c>
      <c r="E282" s="65">
        <v>0.33333333333333331</v>
      </c>
      <c r="F282" s="65">
        <v>0.33333333333333331</v>
      </c>
      <c r="G282" s="65">
        <v>0.2982758620689655</v>
      </c>
      <c r="H282" s="65">
        <v>0.16695402298850576</v>
      </c>
      <c r="I282" s="66">
        <v>8730.6358381502887</v>
      </c>
      <c r="J282" s="66">
        <v>-8214.8881239242692</v>
      </c>
      <c r="K282" s="65">
        <v>0.12425328554360812</v>
      </c>
      <c r="L282" s="65">
        <v>0.12425328554360812</v>
      </c>
      <c r="M282" s="65">
        <v>0.27284482758620687</v>
      </c>
      <c r="N282" s="65">
        <v>0.21048850574712644</v>
      </c>
      <c r="O282" s="65">
        <v>0.57661927330173779</v>
      </c>
      <c r="P282" s="65">
        <v>0.39726962457337883</v>
      </c>
      <c r="Q282" s="65">
        <v>0.43208092485549132</v>
      </c>
    </row>
    <row r="283" spans="1:17" x14ac:dyDescent="0.4">
      <c r="A283" s="67">
        <v>280</v>
      </c>
      <c r="B283" s="64">
        <v>-7.1054273576010019E-15</v>
      </c>
      <c r="C283" s="64">
        <v>-8.4588420923821458E-18</v>
      </c>
      <c r="D283" s="69">
        <v>2</v>
      </c>
      <c r="E283" s="65">
        <v>0.33333333333333331</v>
      </c>
      <c r="F283" s="65">
        <v>0.33333333333333331</v>
      </c>
      <c r="G283" s="65">
        <v>0.29831332189822757</v>
      </c>
      <c r="H283" s="65">
        <v>0.16666666666666666</v>
      </c>
      <c r="I283" s="66">
        <v>8723.7182558696695</v>
      </c>
      <c r="J283" s="66">
        <v>-8212.3499142367073</v>
      </c>
      <c r="K283" s="65">
        <v>0.12380952380952381</v>
      </c>
      <c r="L283" s="65">
        <v>0.12380952380952381</v>
      </c>
      <c r="M283" s="65">
        <v>0.27244139508290449</v>
      </c>
      <c r="N283" s="65">
        <v>0.21054888507718697</v>
      </c>
      <c r="O283" s="65">
        <v>0.57817418677859389</v>
      </c>
      <c r="P283" s="65">
        <v>0.39714867617107941</v>
      </c>
      <c r="Q283" s="65">
        <v>0.43315764254911354</v>
      </c>
    </row>
    <row r="284" spans="1:17" x14ac:dyDescent="0.4">
      <c r="A284" s="67">
        <v>281</v>
      </c>
      <c r="B284" s="64">
        <v>-5.3290705182007514E-15</v>
      </c>
      <c r="C284" s="64">
        <v>-6.3215545886129907E-18</v>
      </c>
      <c r="D284" s="69">
        <v>2</v>
      </c>
      <c r="E284" s="65">
        <v>0.33333333333333331</v>
      </c>
      <c r="F284" s="65">
        <v>0.33333333333333331</v>
      </c>
      <c r="G284" s="65">
        <v>0.29829059829059829</v>
      </c>
      <c r="H284" s="65">
        <v>0.16623931623931623</v>
      </c>
      <c r="I284" s="66">
        <v>8720.0573065902572</v>
      </c>
      <c r="J284" s="66">
        <v>-8213.5389888603258</v>
      </c>
      <c r="K284" s="65">
        <v>0.12336892052194544</v>
      </c>
      <c r="L284" s="65">
        <v>0.12336892052194544</v>
      </c>
      <c r="M284" s="65">
        <v>0.2722222222222222</v>
      </c>
      <c r="N284" s="65">
        <v>0.21068376068376068</v>
      </c>
      <c r="O284" s="65">
        <v>0.57823129251700678</v>
      </c>
      <c r="P284" s="65">
        <v>0.3962136578769439</v>
      </c>
      <c r="Q284" s="65">
        <v>0.43457497612225404</v>
      </c>
    </row>
    <row r="285" spans="1:17" x14ac:dyDescent="0.4">
      <c r="A285" s="67">
        <v>282</v>
      </c>
      <c r="B285" s="64">
        <v>-3.5527136788005009E-15</v>
      </c>
      <c r="C285" s="64">
        <v>-4.1994251522464549E-18</v>
      </c>
      <c r="D285" s="69">
        <v>2</v>
      </c>
      <c r="E285" s="65">
        <v>0.33333333333333331</v>
      </c>
      <c r="F285" s="65">
        <v>0.33333333333333331</v>
      </c>
      <c r="G285" s="65">
        <v>0.29826802952867687</v>
      </c>
      <c r="H285" s="65">
        <v>0.16638273708120385</v>
      </c>
      <c r="I285" s="66">
        <v>8719.3241313660164</v>
      </c>
      <c r="J285" s="66">
        <v>-8212.2013651877132</v>
      </c>
      <c r="K285" s="65">
        <v>0.12293144208037825</v>
      </c>
      <c r="L285" s="65">
        <v>0.12293144208037825</v>
      </c>
      <c r="M285" s="65">
        <v>0.27257240204429301</v>
      </c>
      <c r="N285" s="65">
        <v>0.21039182282793867</v>
      </c>
      <c r="O285" s="65">
        <v>0.578125</v>
      </c>
      <c r="P285" s="65">
        <v>0.39541160593792174</v>
      </c>
      <c r="Q285" s="65">
        <v>0.43407900999524035</v>
      </c>
    </row>
    <row r="286" spans="1:17" x14ac:dyDescent="0.4">
      <c r="A286" s="67">
        <v>283</v>
      </c>
      <c r="B286" s="64">
        <v>-3.5527136788005009E-15</v>
      </c>
      <c r="C286" s="64">
        <v>-4.1845861941113082E-18</v>
      </c>
      <c r="D286" s="69">
        <v>2</v>
      </c>
      <c r="E286" s="65">
        <v>0.33333333333333331</v>
      </c>
      <c r="F286" s="65">
        <v>0.33333333333333331</v>
      </c>
      <c r="G286" s="65">
        <v>0.29821580288870009</v>
      </c>
      <c r="H286" s="65">
        <v>0.16610025488530161</v>
      </c>
      <c r="I286" s="66">
        <v>8714.5773979107307</v>
      </c>
      <c r="J286" s="66">
        <v>-8212.0204603580569</v>
      </c>
      <c r="K286" s="65">
        <v>0.12249705535924617</v>
      </c>
      <c r="L286" s="65">
        <v>0.12249705535924617</v>
      </c>
      <c r="M286" s="65">
        <v>0.27244406683659023</v>
      </c>
      <c r="N286" s="65">
        <v>0.21042197677711696</v>
      </c>
      <c r="O286" s="65">
        <v>0.57796257796257799</v>
      </c>
      <c r="P286" s="65">
        <v>0.39569313593539707</v>
      </c>
      <c r="Q286" s="65">
        <v>0.4349477682811016</v>
      </c>
    </row>
    <row r="287" spans="1:17" x14ac:dyDescent="0.4">
      <c r="A287" s="67">
        <v>284</v>
      </c>
      <c r="B287" s="64">
        <v>0</v>
      </c>
      <c r="C287" s="64">
        <v>0</v>
      </c>
      <c r="D287" s="69">
        <v>2</v>
      </c>
      <c r="E287" s="65">
        <v>0.33333333333333331</v>
      </c>
      <c r="F287" s="65">
        <v>0.33333333333333331</v>
      </c>
      <c r="G287" s="65">
        <v>0.29826050063640219</v>
      </c>
      <c r="H287" s="65">
        <v>0.16617168717295996</v>
      </c>
      <c r="I287" s="66">
        <v>8724.940730203889</v>
      </c>
      <c r="J287" s="66">
        <v>-8223.5744680851058</v>
      </c>
      <c r="K287" s="65">
        <v>0.12323943661971831</v>
      </c>
      <c r="L287" s="65">
        <v>0.12323943661971831</v>
      </c>
      <c r="M287" s="65">
        <v>0.27252156696365437</v>
      </c>
      <c r="N287" s="65">
        <v>0.21029557346909913</v>
      </c>
      <c r="O287" s="65">
        <v>0.57810067462376746</v>
      </c>
      <c r="P287" s="65">
        <v>0.3954270342972428</v>
      </c>
      <c r="Q287" s="65">
        <v>0.43480322427690848</v>
      </c>
    </row>
    <row r="288" spans="1:17" x14ac:dyDescent="0.4">
      <c r="A288" s="67">
        <v>285</v>
      </c>
      <c r="B288" s="64">
        <v>0</v>
      </c>
      <c r="C288" s="64">
        <v>0</v>
      </c>
      <c r="D288" s="69">
        <v>2</v>
      </c>
      <c r="E288" s="65">
        <v>0.33333333333333331</v>
      </c>
      <c r="F288" s="65">
        <v>0.33333333333333331</v>
      </c>
      <c r="G288" s="65">
        <v>0.29798619912688351</v>
      </c>
      <c r="H288" s="65">
        <v>0.16589212786931418</v>
      </c>
      <c r="I288" s="66">
        <v>8721.4083175803407</v>
      </c>
      <c r="J288" s="66">
        <v>-8214.176570458405</v>
      </c>
      <c r="K288" s="65">
        <v>0.12280701754385964</v>
      </c>
      <c r="L288" s="65">
        <v>0.12280701754385964</v>
      </c>
      <c r="M288" s="65">
        <v>0.2723560061963104</v>
      </c>
      <c r="N288" s="65">
        <v>0.21025207717222927</v>
      </c>
      <c r="O288" s="65">
        <v>0.57704239917269906</v>
      </c>
      <c r="P288" s="65">
        <v>0.39651707970529138</v>
      </c>
      <c r="Q288" s="65">
        <v>0.43525519848771266</v>
      </c>
    </row>
    <row r="289" spans="1:17" x14ac:dyDescent="0.4">
      <c r="A289" s="67">
        <v>286</v>
      </c>
      <c r="B289" s="64">
        <v>-4.2188474935755949E-15</v>
      </c>
      <c r="C289" s="64">
        <v>-4.9170716708340265E-18</v>
      </c>
      <c r="D289" s="69">
        <v>2</v>
      </c>
      <c r="E289" s="65">
        <v>0.33333333333333331</v>
      </c>
      <c r="F289" s="65">
        <v>0.33333333333333331</v>
      </c>
      <c r="G289" s="65">
        <v>0.2978395061728395</v>
      </c>
      <c r="H289" s="65">
        <v>0.16568462401795736</v>
      </c>
      <c r="I289" s="66">
        <v>8705.605275553462</v>
      </c>
      <c r="J289" s="66">
        <v>-8204.8264182895855</v>
      </c>
      <c r="K289" s="65">
        <v>0.12237762237762238</v>
      </c>
      <c r="L289" s="65">
        <v>0.12237762237762238</v>
      </c>
      <c r="M289" s="65">
        <v>0.27216610549943882</v>
      </c>
      <c r="N289" s="65">
        <v>0.21085858585858586</v>
      </c>
      <c r="O289" s="65">
        <v>0.57680412371134016</v>
      </c>
      <c r="P289" s="65">
        <v>0.39520958083832336</v>
      </c>
      <c r="Q289" s="65">
        <v>0.43570419218087614</v>
      </c>
    </row>
    <row r="290" spans="1:17" x14ac:dyDescent="0.4">
      <c r="A290" s="67">
        <v>287</v>
      </c>
      <c r="B290" s="64">
        <v>0</v>
      </c>
      <c r="C290" s="64">
        <v>0</v>
      </c>
      <c r="D290" s="69">
        <v>2</v>
      </c>
      <c r="E290" s="65">
        <v>0.33333333333333331</v>
      </c>
      <c r="F290" s="65">
        <v>0.33333333333333331</v>
      </c>
      <c r="G290" s="65">
        <v>0.29780388865575608</v>
      </c>
      <c r="H290" s="65">
        <v>0.16533780948384388</v>
      </c>
      <c r="I290" s="66">
        <v>8696.8060122123061</v>
      </c>
      <c r="J290" s="66">
        <v>-8204.3993231810491</v>
      </c>
      <c r="K290" s="65">
        <v>0.12195121951219512</v>
      </c>
      <c r="L290" s="65">
        <v>0.12195121951219512</v>
      </c>
      <c r="M290" s="65">
        <v>0.27178626381312071</v>
      </c>
      <c r="N290" s="65">
        <v>0.21191775073436844</v>
      </c>
      <c r="O290" s="65">
        <v>0.57694287184765825</v>
      </c>
      <c r="P290" s="65">
        <v>0.39405940594059408</v>
      </c>
      <c r="Q290" s="65">
        <v>0.43682480037576327</v>
      </c>
    </row>
    <row r="291" spans="1:17" x14ac:dyDescent="0.4">
      <c r="A291" s="67">
        <v>288</v>
      </c>
      <c r="B291" s="64">
        <v>7.1054273576010019E-15</v>
      </c>
      <c r="C291" s="64">
        <v>8.2238742564826406E-18</v>
      </c>
      <c r="D291" s="69">
        <v>2</v>
      </c>
      <c r="E291" s="65">
        <v>0.33333333333333331</v>
      </c>
      <c r="F291" s="65">
        <v>0.33333333333333331</v>
      </c>
      <c r="G291" s="65">
        <v>0.29792276592778477</v>
      </c>
      <c r="H291" s="65">
        <v>0.16562107904642409</v>
      </c>
      <c r="I291" s="66">
        <v>8693.6359382311657</v>
      </c>
      <c r="J291" s="66">
        <v>-8195.9595959595954</v>
      </c>
      <c r="K291" s="65">
        <v>0.12152777777777778</v>
      </c>
      <c r="L291" s="65">
        <v>0.12152777777777778</v>
      </c>
      <c r="M291" s="65">
        <v>0.2715739578976718</v>
      </c>
      <c r="N291" s="65">
        <v>0.21260281611599052</v>
      </c>
      <c r="O291" s="65">
        <v>0.57751540041067762</v>
      </c>
      <c r="P291" s="65">
        <v>0.39409836065573772</v>
      </c>
      <c r="Q291" s="65">
        <v>0.4361254094525035</v>
      </c>
    </row>
    <row r="292" spans="1:17" x14ac:dyDescent="0.4">
      <c r="A292" s="67">
        <v>289</v>
      </c>
      <c r="B292" s="64">
        <v>1.1546319456101628E-14</v>
      </c>
      <c r="C292" s="64">
        <v>1.3317554159286768E-17</v>
      </c>
      <c r="D292" s="69">
        <v>2</v>
      </c>
      <c r="E292" s="65">
        <v>0.33333333333333331</v>
      </c>
      <c r="F292" s="65">
        <v>0.33333333333333331</v>
      </c>
      <c r="G292" s="65">
        <v>0.29805555555555557</v>
      </c>
      <c r="H292" s="65">
        <v>0.16569444444444445</v>
      </c>
      <c r="I292" s="66">
        <v>8696.5051258154708</v>
      </c>
      <c r="J292" s="66">
        <v>-8195.4735959765294</v>
      </c>
      <c r="K292" s="65">
        <v>0.12110726643598616</v>
      </c>
      <c r="L292" s="65">
        <v>0.12110726643598616</v>
      </c>
      <c r="M292" s="65">
        <v>0.27152777777777776</v>
      </c>
      <c r="N292" s="65">
        <v>0.21249999999999999</v>
      </c>
      <c r="O292" s="65">
        <v>0.57749360613810741</v>
      </c>
      <c r="P292" s="65">
        <v>0.39477124183006534</v>
      </c>
      <c r="Q292" s="65">
        <v>0.43616029822926372</v>
      </c>
    </row>
    <row r="293" spans="1:17" x14ac:dyDescent="0.4">
      <c r="A293" s="67">
        <v>290</v>
      </c>
      <c r="B293" s="64">
        <v>1.0658141036401503E-14</v>
      </c>
      <c r="C293" s="64">
        <v>1.2250736823450003E-17</v>
      </c>
      <c r="D293" s="69">
        <v>2</v>
      </c>
      <c r="E293" s="65">
        <v>0.33333333333333331</v>
      </c>
      <c r="F293" s="65">
        <v>0.33333333333333331</v>
      </c>
      <c r="G293" s="65">
        <v>0.29814353006372957</v>
      </c>
      <c r="H293" s="65">
        <v>0.16597395400387918</v>
      </c>
      <c r="I293" s="66">
        <v>8693.5873605947963</v>
      </c>
      <c r="J293" s="66">
        <v>-8189.5659432387311</v>
      </c>
      <c r="K293" s="65">
        <v>0.1206896551724138</v>
      </c>
      <c r="L293" s="65">
        <v>0.1206896551724138</v>
      </c>
      <c r="M293" s="65">
        <v>0.27154336381269051</v>
      </c>
      <c r="N293" s="65">
        <v>0.21252424494319755</v>
      </c>
      <c r="O293" s="65">
        <v>0.57806122448979591</v>
      </c>
      <c r="P293" s="65">
        <v>0.39504563233376794</v>
      </c>
      <c r="Q293" s="65">
        <v>0.4354089219330855</v>
      </c>
    </row>
    <row r="294" spans="1:17" x14ac:dyDescent="0.4">
      <c r="A294" s="67">
        <v>291</v>
      </c>
      <c r="B294" s="64">
        <v>1.6875389974302379E-14</v>
      </c>
      <c r="C294" s="64">
        <v>1.9330343613175691E-17</v>
      </c>
      <c r="D294" s="69">
        <v>2</v>
      </c>
      <c r="E294" s="65">
        <v>0.33333333333333331</v>
      </c>
      <c r="F294" s="65">
        <v>0.33333333333333331</v>
      </c>
      <c r="G294" s="65">
        <v>0.2982456140350877</v>
      </c>
      <c r="H294" s="65">
        <v>0.1661831744716121</v>
      </c>
      <c r="I294" s="66">
        <v>8687.0773506252899</v>
      </c>
      <c r="J294" s="66">
        <v>-8174.4804655029093</v>
      </c>
      <c r="K294" s="65">
        <v>0.12142038946162657</v>
      </c>
      <c r="L294" s="65">
        <v>0.12142038946162657</v>
      </c>
      <c r="M294" s="65">
        <v>0.27130819173919052</v>
      </c>
      <c r="N294" s="65">
        <v>0.21273656582400885</v>
      </c>
      <c r="O294" s="65">
        <v>0.57739307535641549</v>
      </c>
      <c r="P294" s="65">
        <v>0.39675324675324675</v>
      </c>
      <c r="Q294" s="65">
        <v>0.43492357572950441</v>
      </c>
    </row>
    <row r="295" spans="1:17" x14ac:dyDescent="0.4">
      <c r="A295" s="67">
        <v>292</v>
      </c>
      <c r="B295" s="64">
        <v>1.2878587085651816E-14</v>
      </c>
      <c r="C295" s="64">
        <v>1.4701583431109378E-17</v>
      </c>
      <c r="D295" s="69">
        <v>2</v>
      </c>
      <c r="E295" s="65">
        <v>0.33333333333333331</v>
      </c>
      <c r="F295" s="65">
        <v>0.33333333333333331</v>
      </c>
      <c r="G295" s="65">
        <v>0.29833264434339257</v>
      </c>
      <c r="H295" s="65">
        <v>0.1664599696844426</v>
      </c>
      <c r="I295" s="66">
        <v>8679.7690531177832</v>
      </c>
      <c r="J295" s="66">
        <v>-8164.0728476821196</v>
      </c>
      <c r="K295" s="65">
        <v>0.12100456621004566</v>
      </c>
      <c r="L295" s="65">
        <v>0.12100456621004566</v>
      </c>
      <c r="M295" s="65">
        <v>0.27104864268981671</v>
      </c>
      <c r="N295" s="65">
        <v>0.21289789169078133</v>
      </c>
      <c r="O295" s="65">
        <v>0.57752923233350284</v>
      </c>
      <c r="P295" s="65">
        <v>0.39676375404530745</v>
      </c>
      <c r="Q295" s="65">
        <v>0.43418013856812931</v>
      </c>
    </row>
    <row r="296" spans="1:17" x14ac:dyDescent="0.4">
      <c r="A296" s="67">
        <v>293</v>
      </c>
      <c r="B296" s="64">
        <v>1.4210854715202004E-14</v>
      </c>
      <c r="C296" s="64">
        <v>1.6167070210696249E-17</v>
      </c>
      <c r="D296" s="69">
        <v>2</v>
      </c>
      <c r="E296" s="65">
        <v>0.33333333333333331</v>
      </c>
      <c r="F296" s="65">
        <v>0.33333333333333331</v>
      </c>
      <c r="G296" s="65">
        <v>0.29829623522945864</v>
      </c>
      <c r="H296" s="65">
        <v>0.16639186589722452</v>
      </c>
      <c r="I296" s="66">
        <v>8681.4831874712108</v>
      </c>
      <c r="J296" s="66">
        <v>-8161.3542526837327</v>
      </c>
      <c r="K296" s="65">
        <v>0.12059158134243458</v>
      </c>
      <c r="L296" s="65">
        <v>0.12059158134243458</v>
      </c>
      <c r="M296" s="65">
        <v>0.27122835943940643</v>
      </c>
      <c r="N296" s="65">
        <v>0.21283319593294861</v>
      </c>
      <c r="O296" s="65">
        <v>0.57750759878419455</v>
      </c>
      <c r="P296" s="65">
        <v>0.39638476436410586</v>
      </c>
      <c r="Q296" s="65">
        <v>0.43436204514048826</v>
      </c>
    </row>
    <row r="297" spans="1:17" x14ac:dyDescent="0.4">
      <c r="A297" s="67">
        <v>294</v>
      </c>
      <c r="B297" s="64">
        <v>1.0658141036401503E-14</v>
      </c>
      <c r="C297" s="64">
        <v>1.2084060131974493E-17</v>
      </c>
      <c r="D297" s="69">
        <v>2</v>
      </c>
      <c r="E297" s="65">
        <v>0.33333333333333331</v>
      </c>
      <c r="F297" s="65">
        <v>0.33333333333333331</v>
      </c>
      <c r="G297" s="65">
        <v>0.29841139413859219</v>
      </c>
      <c r="H297" s="65">
        <v>0.16666666666666666</v>
      </c>
      <c r="I297" s="66">
        <v>8672.3726480036712</v>
      </c>
      <c r="J297" s="66">
        <v>-8150.6162695152016</v>
      </c>
      <c r="K297" s="65">
        <v>0.12018140589569161</v>
      </c>
      <c r="L297" s="65">
        <v>0.12018140589569161</v>
      </c>
      <c r="M297" s="65">
        <v>0.27102163790742262</v>
      </c>
      <c r="N297" s="65">
        <v>0.2126814571350315</v>
      </c>
      <c r="O297" s="65">
        <v>0.5775644264780192</v>
      </c>
      <c r="P297" s="65">
        <v>0.39729555698647778</v>
      </c>
      <c r="Q297" s="65">
        <v>0.43368517668655349</v>
      </c>
    </row>
    <row r="298" spans="1:17" x14ac:dyDescent="0.4">
      <c r="A298" s="67">
        <v>295</v>
      </c>
      <c r="B298" s="64">
        <v>9.936496070395151E-15</v>
      </c>
      <c r="C298" s="64">
        <v>1.1227679175587742E-17</v>
      </c>
      <c r="D298" s="69">
        <v>2</v>
      </c>
      <c r="E298" s="65">
        <v>0.33333333333333331</v>
      </c>
      <c r="F298" s="65">
        <v>0.33333333333333331</v>
      </c>
      <c r="G298" s="65">
        <v>0.29855428259683581</v>
      </c>
      <c r="H298" s="65">
        <v>0.16639388979814512</v>
      </c>
      <c r="I298" s="66">
        <v>8669.25536774783</v>
      </c>
      <c r="J298" s="66">
        <v>-8148.8524590163934</v>
      </c>
      <c r="K298" s="65">
        <v>0.11977401129943503</v>
      </c>
      <c r="L298" s="65">
        <v>0.11977401129943503</v>
      </c>
      <c r="M298" s="65">
        <v>0.27073104200763776</v>
      </c>
      <c r="N298" s="65">
        <v>0.21276595744680851</v>
      </c>
      <c r="O298" s="65">
        <v>0.57783375314861463</v>
      </c>
      <c r="P298" s="65">
        <v>0.39807692307692305</v>
      </c>
      <c r="Q298" s="65">
        <v>0.43490178163544996</v>
      </c>
    </row>
    <row r="299" spans="1:17" x14ac:dyDescent="0.4">
      <c r="A299" s="67">
        <v>296</v>
      </c>
      <c r="B299" s="64">
        <v>0</v>
      </c>
      <c r="C299" s="64">
        <v>0</v>
      </c>
      <c r="D299" s="69">
        <v>2</v>
      </c>
      <c r="E299" s="65">
        <v>0.33333333333333331</v>
      </c>
      <c r="F299" s="65">
        <v>0.33333333333333331</v>
      </c>
      <c r="G299" s="65">
        <v>0.29830278343516631</v>
      </c>
      <c r="H299" s="65">
        <v>0.16632722335369993</v>
      </c>
      <c r="I299" s="66">
        <v>8665.9080564406013</v>
      </c>
      <c r="J299" s="66">
        <v>-8145.4693877551017</v>
      </c>
      <c r="K299" s="65">
        <v>0.11936936936936937</v>
      </c>
      <c r="L299" s="65">
        <v>0.11936936936936937</v>
      </c>
      <c r="M299" s="65">
        <v>0.27060420909708077</v>
      </c>
      <c r="N299" s="65">
        <v>0.21249151391717583</v>
      </c>
      <c r="O299" s="65">
        <v>0.57852483692925238</v>
      </c>
      <c r="P299" s="65">
        <v>0.39808306709265173</v>
      </c>
      <c r="Q299" s="65">
        <v>0.43468365953573052</v>
      </c>
    </row>
    <row r="300" spans="1:17" x14ac:dyDescent="0.4">
      <c r="A300" s="67">
        <v>297</v>
      </c>
      <c r="B300" s="64">
        <v>0</v>
      </c>
      <c r="C300" s="64">
        <v>0</v>
      </c>
      <c r="D300" s="69">
        <v>2</v>
      </c>
      <c r="E300" s="65">
        <v>0.33333333333333331</v>
      </c>
      <c r="F300" s="65">
        <v>0.33333333333333331</v>
      </c>
      <c r="G300" s="65">
        <v>0.2984448951994591</v>
      </c>
      <c r="H300" s="65">
        <v>0.16605814739688979</v>
      </c>
      <c r="I300" s="66">
        <v>8660.8971454463081</v>
      </c>
      <c r="J300" s="66">
        <v>-8135.9120521172636</v>
      </c>
      <c r="K300" s="65">
        <v>0.11896745230078563</v>
      </c>
      <c r="L300" s="65">
        <v>0.11896745230078563</v>
      </c>
      <c r="M300" s="65">
        <v>0.27072346179851253</v>
      </c>
      <c r="N300" s="65">
        <v>0.21217038539553754</v>
      </c>
      <c r="O300" s="65">
        <v>0.57842157842157838</v>
      </c>
      <c r="P300" s="65">
        <v>0.39834289356277885</v>
      </c>
      <c r="Q300" s="65">
        <v>0.43588581785228819</v>
      </c>
    </row>
    <row r="301" spans="1:17" x14ac:dyDescent="0.4">
      <c r="A301" s="67">
        <v>298</v>
      </c>
      <c r="B301" s="64">
        <v>-2.886579864025407E-15</v>
      </c>
      <c r="C301" s="64">
        <v>-3.228836536941171E-18</v>
      </c>
      <c r="D301" s="69">
        <v>2</v>
      </c>
      <c r="E301" s="65">
        <v>0.33333333333333331</v>
      </c>
      <c r="F301" s="65">
        <v>0.33333333333333331</v>
      </c>
      <c r="G301" s="65">
        <v>0.29850141757796678</v>
      </c>
      <c r="H301" s="65">
        <v>0.16619414067773727</v>
      </c>
      <c r="I301" s="66">
        <v>8666.3952962460426</v>
      </c>
      <c r="J301" s="66">
        <v>-8144.3541835905771</v>
      </c>
      <c r="K301" s="65">
        <v>0.11968680089485459</v>
      </c>
      <c r="L301" s="65">
        <v>0.11968680089485459</v>
      </c>
      <c r="M301" s="65">
        <v>0.27095990279465371</v>
      </c>
      <c r="N301" s="65">
        <v>0.21182665046577562</v>
      </c>
      <c r="O301" s="65">
        <v>0.57797708021923266</v>
      </c>
      <c r="P301" s="65">
        <v>0.39834289356277885</v>
      </c>
      <c r="Q301" s="65">
        <v>0.43554952510176392</v>
      </c>
    </row>
    <row r="302" spans="1:17" x14ac:dyDescent="0.4">
      <c r="A302" s="67">
        <v>299</v>
      </c>
      <c r="B302" s="64">
        <v>-7.1054273576010019E-15</v>
      </c>
      <c r="C302" s="64">
        <v>-7.9213236985518414E-18</v>
      </c>
      <c r="D302" s="69">
        <v>2</v>
      </c>
      <c r="E302" s="65">
        <v>0.33333333333333331</v>
      </c>
      <c r="F302" s="65">
        <v>0.33333333333333331</v>
      </c>
      <c r="G302" s="65">
        <v>0.29854955680902501</v>
      </c>
      <c r="H302" s="65">
        <v>0.16639806607574537</v>
      </c>
      <c r="I302" s="66">
        <v>8650.5623031938812</v>
      </c>
      <c r="J302" s="66">
        <v>-8124.7780468119454</v>
      </c>
      <c r="K302" s="65">
        <v>0.12040133779264214</v>
      </c>
      <c r="L302" s="65">
        <v>0.12040133779264214</v>
      </c>
      <c r="M302" s="65">
        <v>0.27061509535320977</v>
      </c>
      <c r="N302" s="65">
        <v>0.21179156594144508</v>
      </c>
      <c r="O302" s="65">
        <v>0.57766749379652604</v>
      </c>
      <c r="P302" s="65">
        <v>0.398858592263792</v>
      </c>
      <c r="Q302" s="65">
        <v>0.43499775078722447</v>
      </c>
    </row>
    <row r="303" spans="1:17" x14ac:dyDescent="0.4">
      <c r="A303" s="67">
        <v>300</v>
      </c>
      <c r="B303" s="64">
        <v>-7.1054273576010019E-15</v>
      </c>
      <c r="C303" s="64">
        <v>-7.8949192862233354E-18</v>
      </c>
      <c r="D303" s="69">
        <v>2</v>
      </c>
      <c r="E303" s="65">
        <v>0.33333333333333331</v>
      </c>
      <c r="F303" s="65">
        <v>0.33333333333333331</v>
      </c>
      <c r="G303" s="65">
        <v>0.29837953662782912</v>
      </c>
      <c r="H303" s="65">
        <v>0.16633186018481319</v>
      </c>
      <c r="I303" s="66">
        <v>8644.2100538599643</v>
      </c>
      <c r="J303" s="66">
        <v>-8118.9210950080515</v>
      </c>
      <c r="K303" s="65">
        <v>0.12</v>
      </c>
      <c r="L303" s="65">
        <v>0.12</v>
      </c>
      <c r="M303" s="65">
        <v>0.27079148252310165</v>
      </c>
      <c r="N303" s="65">
        <v>0.21186554171688765</v>
      </c>
      <c r="O303" s="65">
        <v>0.5771513353115727</v>
      </c>
      <c r="P303" s="65">
        <v>0.39823008849557523</v>
      </c>
      <c r="Q303" s="65">
        <v>0.43491921005385997</v>
      </c>
    </row>
    <row r="304" spans="1:17" x14ac:dyDescent="0.4">
      <c r="A304" s="67">
        <v>301</v>
      </c>
      <c r="B304" s="64">
        <v>-7.1054273576010019E-15</v>
      </c>
      <c r="C304" s="64">
        <v>-7.8686903184950183E-18</v>
      </c>
      <c r="D304" s="69">
        <v>2</v>
      </c>
      <c r="E304" s="65">
        <v>0.33333333333333331</v>
      </c>
      <c r="F304" s="65">
        <v>0.33333333333333331</v>
      </c>
      <c r="G304" s="65">
        <v>0.29834401709401709</v>
      </c>
      <c r="H304" s="65">
        <v>0.16653311965811965</v>
      </c>
      <c r="I304" s="66">
        <v>8640.2417188898835</v>
      </c>
      <c r="J304" s="66">
        <v>-8114.6752205292705</v>
      </c>
      <c r="K304" s="65">
        <v>0.12070874861572536</v>
      </c>
      <c r="L304" s="65">
        <v>0.12070874861572536</v>
      </c>
      <c r="M304" s="65">
        <v>0.27083333333333331</v>
      </c>
      <c r="N304" s="65">
        <v>0.21167200854700854</v>
      </c>
      <c r="O304" s="65">
        <v>0.57692307692307687</v>
      </c>
      <c r="P304" s="65">
        <v>0.39936908517350156</v>
      </c>
      <c r="Q304" s="65">
        <v>0.43419874664279318</v>
      </c>
    </row>
    <row r="305" spans="1:17" x14ac:dyDescent="0.4">
      <c r="A305" s="67">
        <v>302</v>
      </c>
      <c r="B305" s="64">
        <v>-7.1054273576010019E-15</v>
      </c>
      <c r="C305" s="64">
        <v>-7.8426350525397371E-18</v>
      </c>
      <c r="D305" s="69">
        <v>2</v>
      </c>
      <c r="E305" s="65">
        <v>0.33333333333333331</v>
      </c>
      <c r="F305" s="65">
        <v>0.33333333333333331</v>
      </c>
      <c r="G305" s="65">
        <v>0.29830869623118922</v>
      </c>
      <c r="H305" s="65">
        <v>0.16660007990411507</v>
      </c>
      <c r="I305" s="66">
        <v>8641.2053571428569</v>
      </c>
      <c r="J305" s="66">
        <v>-8110.4716227018389</v>
      </c>
      <c r="K305" s="65">
        <v>0.12030905077262694</v>
      </c>
      <c r="L305" s="65">
        <v>0.12030905077262694</v>
      </c>
      <c r="M305" s="65">
        <v>0.27060860300972167</v>
      </c>
      <c r="N305" s="65">
        <v>0.2121454254894127</v>
      </c>
      <c r="O305" s="65">
        <v>0.57677165354330706</v>
      </c>
      <c r="P305" s="65">
        <v>0.3992467043314501</v>
      </c>
      <c r="Q305" s="65">
        <v>0.43392857142857144</v>
      </c>
    </row>
    <row r="306" spans="1:17" x14ac:dyDescent="0.4">
      <c r="A306" s="67">
        <v>303</v>
      </c>
      <c r="B306" s="64">
        <v>-7.1054273576010019E-15</v>
      </c>
      <c r="C306" s="64">
        <v>-7.8167517685379554E-18</v>
      </c>
      <c r="D306" s="69">
        <v>2</v>
      </c>
      <c r="E306" s="65">
        <v>0.33333333333333331</v>
      </c>
      <c r="F306" s="65">
        <v>0.33333333333333331</v>
      </c>
      <c r="G306" s="65">
        <v>0.29828753484667464</v>
      </c>
      <c r="H306" s="65">
        <v>0.16660029204832072</v>
      </c>
      <c r="I306" s="66">
        <v>8642.3676012461056</v>
      </c>
      <c r="J306" s="66">
        <v>-8106.2151394422308</v>
      </c>
      <c r="K306" s="65">
        <v>0.11991199119911991</v>
      </c>
      <c r="L306" s="65">
        <v>0.11991199119911991</v>
      </c>
      <c r="M306" s="65">
        <v>0.27001194743130225</v>
      </c>
      <c r="N306" s="65">
        <v>0.21239877870702242</v>
      </c>
      <c r="O306" s="65">
        <v>0.57718780727630281</v>
      </c>
      <c r="P306" s="65">
        <v>0.39937499999999998</v>
      </c>
      <c r="Q306" s="65">
        <v>0.43391188251001334</v>
      </c>
    </row>
    <row r="307" spans="1:17" x14ac:dyDescent="0.4">
      <c r="A307" s="67">
        <v>304</v>
      </c>
      <c r="B307" s="64">
        <v>-7.1054273576010019E-15</v>
      </c>
      <c r="C307" s="64">
        <v>-7.7910387692993437E-18</v>
      </c>
      <c r="D307" s="69">
        <v>2</v>
      </c>
      <c r="E307" s="65">
        <v>0.33333333333333331</v>
      </c>
      <c r="F307" s="65">
        <v>0.33333333333333331</v>
      </c>
      <c r="G307" s="65">
        <v>0.29823864388822674</v>
      </c>
      <c r="H307" s="65">
        <v>0.16646801748112833</v>
      </c>
      <c r="I307" s="66">
        <v>8642.7175843694495</v>
      </c>
      <c r="J307" s="66">
        <v>-8109.2283214001591</v>
      </c>
      <c r="K307" s="65">
        <v>0.11951754385964912</v>
      </c>
      <c r="L307" s="65">
        <v>0.11951754385964912</v>
      </c>
      <c r="M307" s="65">
        <v>0.269500728380347</v>
      </c>
      <c r="N307" s="65">
        <v>0.21242219573566415</v>
      </c>
      <c r="O307" s="65">
        <v>0.57739557739557734</v>
      </c>
      <c r="P307" s="65">
        <v>0.39962593516209477</v>
      </c>
      <c r="Q307" s="65">
        <v>0.43428063943161632</v>
      </c>
    </row>
    <row r="308" spans="1:17" x14ac:dyDescent="0.4">
      <c r="A308" s="67">
        <v>305</v>
      </c>
      <c r="B308" s="64">
        <v>-7.1054273576010019E-15</v>
      </c>
      <c r="C308" s="64">
        <v>-7.7654943798918053E-18</v>
      </c>
      <c r="D308" s="69">
        <v>2</v>
      </c>
      <c r="E308" s="65">
        <v>0.33333333333333331</v>
      </c>
      <c r="F308" s="65">
        <v>0.33333333333333331</v>
      </c>
      <c r="G308" s="65">
        <v>0.29830106677202689</v>
      </c>
      <c r="H308" s="65">
        <v>0.16633741604109048</v>
      </c>
      <c r="I308" s="66">
        <v>8632.7593818984551</v>
      </c>
      <c r="J308" s="66">
        <v>-8090.7363420427555</v>
      </c>
      <c r="K308" s="65">
        <v>0.11912568306010929</v>
      </c>
      <c r="L308" s="65">
        <v>0.11912568306010929</v>
      </c>
      <c r="M308" s="65">
        <v>0.2695904122217832</v>
      </c>
      <c r="N308" s="65">
        <v>0.21269590412221784</v>
      </c>
      <c r="O308" s="65">
        <v>0.57645334636052759</v>
      </c>
      <c r="P308" s="65">
        <v>0.39814241486068114</v>
      </c>
      <c r="Q308" s="65">
        <v>0.43443708609271525</v>
      </c>
    </row>
    <row r="309" spans="1:17" x14ac:dyDescent="0.4">
      <c r="A309" s="67">
        <v>306</v>
      </c>
      <c r="B309" s="64">
        <v>-7.1054273576010019E-15</v>
      </c>
      <c r="C309" s="64">
        <v>-7.7401169472777806E-18</v>
      </c>
      <c r="D309" s="69">
        <v>2</v>
      </c>
      <c r="E309" s="65">
        <v>0.33333333333333331</v>
      </c>
      <c r="F309" s="65">
        <v>0.33333333333333331</v>
      </c>
      <c r="G309" s="65">
        <v>0.29843893480257117</v>
      </c>
      <c r="H309" s="65">
        <v>0.16633871179325724</v>
      </c>
      <c r="I309" s="66">
        <v>8620.7912087912082</v>
      </c>
      <c r="J309" s="66">
        <v>-8089.3533123028392</v>
      </c>
      <c r="K309" s="65">
        <v>0.11873638344226579</v>
      </c>
      <c r="L309" s="65">
        <v>0.11873638344226579</v>
      </c>
      <c r="M309" s="65">
        <v>0.26905417814508725</v>
      </c>
      <c r="N309" s="65">
        <v>0.21290830381739473</v>
      </c>
      <c r="O309" s="65">
        <v>0.57630424183325202</v>
      </c>
      <c r="P309" s="65">
        <v>0.39802834257547753</v>
      </c>
      <c r="Q309" s="65">
        <v>0.43472527472527472</v>
      </c>
    </row>
    <row r="310" spans="1:17" x14ac:dyDescent="0.4">
      <c r="A310" s="67">
        <v>307</v>
      </c>
      <c r="B310" s="64">
        <v>-7.1054273576010019E-15</v>
      </c>
      <c r="C310" s="64">
        <v>-7.7149048399576571E-18</v>
      </c>
      <c r="D310" s="69">
        <v>2</v>
      </c>
      <c r="E310" s="65">
        <v>0.33333333333333331</v>
      </c>
      <c r="F310" s="65">
        <v>0.33333333333333331</v>
      </c>
      <c r="G310" s="65">
        <v>0.2982869098993069</v>
      </c>
      <c r="H310" s="65">
        <v>0.16633974107493135</v>
      </c>
      <c r="I310" s="66">
        <v>8614.3358176238489</v>
      </c>
      <c r="J310" s="66">
        <v>-8087.6572327044023</v>
      </c>
      <c r="K310" s="65">
        <v>0.11834961997828447</v>
      </c>
      <c r="L310" s="65">
        <v>0.11834961997828447</v>
      </c>
      <c r="M310" s="65">
        <v>0.26834052569635153</v>
      </c>
      <c r="N310" s="65">
        <v>0.21302471557473518</v>
      </c>
      <c r="O310" s="65">
        <v>0.57602339181286555</v>
      </c>
      <c r="P310" s="65">
        <v>0.3984039287906691</v>
      </c>
      <c r="Q310" s="65">
        <v>0.43445857080227968</v>
      </c>
    </row>
    <row r="311" spans="1:17" x14ac:dyDescent="0.4">
      <c r="A311" s="67">
        <v>308</v>
      </c>
      <c r="B311" s="64">
        <v>-8.8817841970012523E-15</v>
      </c>
      <c r="C311" s="64">
        <v>-9.6123205595251645E-18</v>
      </c>
      <c r="D311" s="69">
        <v>2</v>
      </c>
      <c r="E311" s="65">
        <v>0.33333333333333331</v>
      </c>
      <c r="F311" s="65">
        <v>0.33333333333333331</v>
      </c>
      <c r="G311" s="65">
        <v>0.29826619736670579</v>
      </c>
      <c r="H311" s="65">
        <v>0.16647112501629513</v>
      </c>
      <c r="I311" s="66">
        <v>8611.0139860139861</v>
      </c>
      <c r="J311" s="66">
        <v>-8081.8324197337506</v>
      </c>
      <c r="K311" s="65">
        <v>0.11796536796536797</v>
      </c>
      <c r="L311" s="65">
        <v>0.11796536796536797</v>
      </c>
      <c r="M311" s="65">
        <v>0.26815278320949026</v>
      </c>
      <c r="N311" s="65">
        <v>0.21340112110546214</v>
      </c>
      <c r="O311" s="65">
        <v>0.57559552746718523</v>
      </c>
      <c r="P311" s="65">
        <v>0.39951130116065975</v>
      </c>
      <c r="Q311" s="65">
        <v>0.43400349650349651</v>
      </c>
    </row>
    <row r="312" spans="1:17" x14ac:dyDescent="0.4">
      <c r="A312" s="67">
        <v>309</v>
      </c>
      <c r="B312" s="64">
        <v>-1.4210854715202004E-14</v>
      </c>
      <c r="C312" s="64">
        <v>-1.5329940361598708E-17</v>
      </c>
      <c r="D312" s="69">
        <v>2</v>
      </c>
      <c r="E312" s="65">
        <v>0.33333333333333331</v>
      </c>
      <c r="F312" s="65">
        <v>0.33333333333333331</v>
      </c>
      <c r="G312" s="65">
        <v>0.29836193447737908</v>
      </c>
      <c r="H312" s="65">
        <v>0.16666666666666666</v>
      </c>
      <c r="I312" s="66">
        <v>8612.7668845315911</v>
      </c>
      <c r="J312" s="66">
        <v>-8082.2932917316693</v>
      </c>
      <c r="K312" s="65">
        <v>0.11758360302049622</v>
      </c>
      <c r="L312" s="65">
        <v>0.11758360302049622</v>
      </c>
      <c r="M312" s="65">
        <v>0.26846073842953716</v>
      </c>
      <c r="N312" s="65">
        <v>0.21333853354134166</v>
      </c>
      <c r="O312" s="65">
        <v>0.57578692493946726</v>
      </c>
      <c r="P312" s="65">
        <v>0.39975624619134675</v>
      </c>
      <c r="Q312" s="65">
        <v>0.43355119825708061</v>
      </c>
    </row>
    <row r="313" spans="1:17" x14ac:dyDescent="0.4">
      <c r="A313" s="67">
        <v>310</v>
      </c>
      <c r="B313" s="64">
        <v>-1.4210854715202004E-14</v>
      </c>
      <c r="C313" s="64">
        <v>-1.5280488941077423E-17</v>
      </c>
      <c r="D313" s="69">
        <v>2</v>
      </c>
      <c r="E313" s="65">
        <v>0.33333333333333331</v>
      </c>
      <c r="F313" s="65">
        <v>0.33333333333333331</v>
      </c>
      <c r="G313" s="65">
        <v>0.29848425961912167</v>
      </c>
      <c r="H313" s="65">
        <v>0.166990542816427</v>
      </c>
      <c r="I313" s="66">
        <v>8610.6770833333339</v>
      </c>
      <c r="J313" s="66">
        <v>-8083.4755624515128</v>
      </c>
      <c r="K313" s="65">
        <v>0.11720430107526882</v>
      </c>
      <c r="L313" s="65">
        <v>0.11720430107526882</v>
      </c>
      <c r="M313" s="65">
        <v>0.26816945200155462</v>
      </c>
      <c r="N313" s="65">
        <v>0.21427646068143541</v>
      </c>
      <c r="O313" s="65">
        <v>0.57584541062801931</v>
      </c>
      <c r="P313" s="65">
        <v>0.40024183796856105</v>
      </c>
      <c r="Q313" s="65">
        <v>0.43272569444444442</v>
      </c>
    </row>
    <row r="314" spans="1:17" x14ac:dyDescent="0.4">
      <c r="A314" s="67">
        <v>311</v>
      </c>
      <c r="B314" s="64">
        <v>-1.4210854715202004E-14</v>
      </c>
      <c r="C314" s="64">
        <v>-1.523135553612219E-17</v>
      </c>
      <c r="D314" s="69">
        <v>2</v>
      </c>
      <c r="E314" s="65">
        <v>0.33333333333333331</v>
      </c>
      <c r="F314" s="65">
        <v>0.33333333333333331</v>
      </c>
      <c r="G314" s="65">
        <v>0.29838813668600905</v>
      </c>
      <c r="H314" s="65">
        <v>0.1667311411992263</v>
      </c>
      <c r="I314" s="66">
        <v>8609.3777009507339</v>
      </c>
      <c r="J314" s="66">
        <v>-8074.400618716164</v>
      </c>
      <c r="K314" s="65">
        <v>0.11682743837084673</v>
      </c>
      <c r="L314" s="65">
        <v>0.11682743837084673</v>
      </c>
      <c r="M314" s="65">
        <v>0.26795615731785943</v>
      </c>
      <c r="N314" s="65">
        <v>0.21457124435847841</v>
      </c>
      <c r="O314" s="65">
        <v>0.57651588065447545</v>
      </c>
      <c r="P314" s="65">
        <v>0.39903846153846156</v>
      </c>
      <c r="Q314" s="65">
        <v>0.43344857389801211</v>
      </c>
    </row>
    <row r="315" spans="1:17" x14ac:dyDescent="0.4">
      <c r="A315" s="67">
        <v>312</v>
      </c>
      <c r="B315" s="64">
        <v>-1.4210854715202004E-14</v>
      </c>
      <c r="C315" s="64">
        <v>-1.5182537088891031E-17</v>
      </c>
      <c r="D315" s="69">
        <v>2</v>
      </c>
      <c r="E315" s="65">
        <v>0.33333333333333331</v>
      </c>
      <c r="F315" s="65">
        <v>0.33333333333333331</v>
      </c>
      <c r="G315" s="65">
        <v>0.29800899165061012</v>
      </c>
      <c r="H315" s="65">
        <v>0.16647398843930636</v>
      </c>
      <c r="I315" s="66">
        <v>8602.4137931034475</v>
      </c>
      <c r="J315" s="66">
        <v>-8066.7438271604942</v>
      </c>
      <c r="K315" s="65">
        <v>0.11645299145299146</v>
      </c>
      <c r="L315" s="65">
        <v>0.11645299145299146</v>
      </c>
      <c r="M315" s="65">
        <v>0.26769428387925498</v>
      </c>
      <c r="N315" s="65">
        <v>0.21451509312780989</v>
      </c>
      <c r="O315" s="65">
        <v>0.5762955854126679</v>
      </c>
      <c r="P315" s="65">
        <v>0.39820359281437123</v>
      </c>
      <c r="Q315" s="65">
        <v>0.43362068965517242</v>
      </c>
    </row>
    <row r="316" spans="1:17" x14ac:dyDescent="0.4">
      <c r="A316" s="67">
        <v>313</v>
      </c>
      <c r="B316" s="64">
        <v>-1.4210854715202004E-14</v>
      </c>
      <c r="C316" s="64">
        <v>-1.5134030580619814E-17</v>
      </c>
      <c r="D316" s="69">
        <v>2</v>
      </c>
      <c r="E316" s="65">
        <v>0.33333333333333331</v>
      </c>
      <c r="F316" s="65">
        <v>0.33333333333333331</v>
      </c>
      <c r="G316" s="65">
        <v>0.29809047802127386</v>
      </c>
      <c r="H316" s="65">
        <v>0.16673074458541587</v>
      </c>
      <c r="I316" s="66">
        <v>8605.8469475494403</v>
      </c>
      <c r="J316" s="66">
        <v>-8075.403535741737</v>
      </c>
      <c r="K316" s="65">
        <v>0.11714589989350373</v>
      </c>
      <c r="L316" s="65">
        <v>0.11714589989350373</v>
      </c>
      <c r="M316" s="65">
        <v>0.26784570037165195</v>
      </c>
      <c r="N316" s="65">
        <v>0.21440471613481993</v>
      </c>
      <c r="O316" s="65">
        <v>0.57655502392344493</v>
      </c>
      <c r="P316" s="65">
        <v>0.39868499701135685</v>
      </c>
      <c r="Q316" s="65">
        <v>0.43293207222699914</v>
      </c>
    </row>
    <row r="317" spans="1:17" x14ac:dyDescent="0.4">
      <c r="A317" s="67">
        <v>314</v>
      </c>
      <c r="B317" s="64">
        <v>-1.27675647831893E-14</v>
      </c>
      <c r="C317" s="64">
        <v>-1.3553678113789066E-17</v>
      </c>
      <c r="D317" s="69">
        <v>2</v>
      </c>
      <c r="E317" s="65">
        <v>0.33333333333333331</v>
      </c>
      <c r="F317" s="65">
        <v>0.33333333333333331</v>
      </c>
      <c r="G317" s="65">
        <v>0.29822545640240011</v>
      </c>
      <c r="H317" s="65">
        <v>0.16685816417719904</v>
      </c>
      <c r="I317" s="66">
        <v>8598.6729452054788</v>
      </c>
      <c r="J317" s="66">
        <v>-8076.4345830145367</v>
      </c>
      <c r="K317" s="65">
        <v>0.11677282377919321</v>
      </c>
      <c r="L317" s="65">
        <v>0.11677282377919321</v>
      </c>
      <c r="M317" s="65">
        <v>0.26784118473126517</v>
      </c>
      <c r="N317" s="65">
        <v>0.21434954678922508</v>
      </c>
      <c r="O317" s="65">
        <v>0.57721639656816015</v>
      </c>
      <c r="P317" s="65">
        <v>0.39904705181655747</v>
      </c>
      <c r="Q317" s="65">
        <v>0.43279109589041098</v>
      </c>
    </row>
    <row r="318" spans="1:17" x14ac:dyDescent="0.4">
      <c r="A318" s="67">
        <v>315</v>
      </c>
      <c r="B318" s="64">
        <v>-1.0658141036401503E-14</v>
      </c>
      <c r="C318" s="64">
        <v>-1.1278456123176193E-17</v>
      </c>
      <c r="D318" s="69">
        <v>2</v>
      </c>
      <c r="E318" s="65">
        <v>0.33333333333333331</v>
      </c>
      <c r="F318" s="65">
        <v>0.33333333333333331</v>
      </c>
      <c r="G318" s="65">
        <v>0.29783715012722645</v>
      </c>
      <c r="H318" s="65">
        <v>0.16653944020356234</v>
      </c>
      <c r="I318" s="66">
        <v>8596.1554891072192</v>
      </c>
      <c r="J318" s="66">
        <v>-8072.498090145149</v>
      </c>
      <c r="K318" s="65">
        <v>0.1164021164021164</v>
      </c>
      <c r="L318" s="65">
        <v>0.1164021164021164</v>
      </c>
      <c r="M318" s="65">
        <v>0.26806615776081427</v>
      </c>
      <c r="N318" s="65">
        <v>0.21437659033078879</v>
      </c>
      <c r="O318" s="65">
        <v>0.57664926435690556</v>
      </c>
      <c r="P318" s="65">
        <v>0.39821958456973294</v>
      </c>
      <c r="Q318" s="65">
        <v>0.43314822725331054</v>
      </c>
    </row>
    <row r="319" spans="1:17" x14ac:dyDescent="0.4">
      <c r="A319" s="67">
        <v>316</v>
      </c>
      <c r="B319" s="64">
        <v>-1.4210854715202004E-14</v>
      </c>
      <c r="C319" s="64">
        <v>-1.4990353075107598E-17</v>
      </c>
      <c r="D319" s="69">
        <v>2</v>
      </c>
      <c r="E319" s="65">
        <v>0.33333333333333331</v>
      </c>
      <c r="F319" s="65">
        <v>0.33333333333333331</v>
      </c>
      <c r="G319" s="65">
        <v>0.29793173455145289</v>
      </c>
      <c r="H319" s="65">
        <v>0.16634944803958887</v>
      </c>
      <c r="I319" s="66">
        <v>8607.0272572402046</v>
      </c>
      <c r="J319" s="66">
        <v>-8093.7452326468347</v>
      </c>
      <c r="K319" s="65">
        <v>0.11708860759493671</v>
      </c>
      <c r="L319" s="65">
        <v>0.11708860759493671</v>
      </c>
      <c r="M319" s="65">
        <v>0.26811318360614134</v>
      </c>
      <c r="N319" s="65">
        <v>0.21431290445374954</v>
      </c>
      <c r="O319" s="65">
        <v>0.57690487458589679</v>
      </c>
      <c r="P319" s="65">
        <v>0.39786856127886322</v>
      </c>
      <c r="Q319" s="65">
        <v>0.43398637137989776</v>
      </c>
    </row>
    <row r="320" spans="1:17" x14ac:dyDescent="0.4">
      <c r="A320" s="67">
        <v>317</v>
      </c>
      <c r="B320" s="64">
        <v>-1.4210854715202004E-14</v>
      </c>
      <c r="C320" s="64">
        <v>-1.494306489505994E-17</v>
      </c>
      <c r="D320" s="69">
        <v>2</v>
      </c>
      <c r="E320" s="65">
        <v>0.33333333333333331</v>
      </c>
      <c r="F320" s="65">
        <v>0.33333333333333331</v>
      </c>
      <c r="G320" s="65">
        <v>0.2978723404255319</v>
      </c>
      <c r="H320" s="65">
        <v>0.16654002026342452</v>
      </c>
      <c r="I320" s="66">
        <v>8616.9642857142862</v>
      </c>
      <c r="J320" s="66">
        <v>-8113.0798479087453</v>
      </c>
      <c r="K320" s="65">
        <v>0.11777076761303891</v>
      </c>
      <c r="L320" s="65">
        <v>0.11777076761303891</v>
      </c>
      <c r="M320" s="65">
        <v>0.26785714285714285</v>
      </c>
      <c r="N320" s="65">
        <v>0.21428571428571427</v>
      </c>
      <c r="O320" s="65">
        <v>0.57635933806146578</v>
      </c>
      <c r="P320" s="65">
        <v>0.39775413711583923</v>
      </c>
      <c r="Q320" s="65">
        <v>0.43324829931972791</v>
      </c>
    </row>
    <row r="321" spans="1:17" x14ac:dyDescent="0.4">
      <c r="A321" s="67">
        <v>318</v>
      </c>
      <c r="B321" s="64">
        <v>-1.5987211554602254E-14</v>
      </c>
      <c r="C321" s="64">
        <v>-1.67580833905684E-17</v>
      </c>
      <c r="D321" s="69">
        <v>2</v>
      </c>
      <c r="E321" s="65">
        <v>0.33333333333333331</v>
      </c>
      <c r="F321" s="65">
        <v>0.33333333333333331</v>
      </c>
      <c r="G321" s="65">
        <v>0.29801992685080086</v>
      </c>
      <c r="H321" s="65">
        <v>0.16698196493883213</v>
      </c>
      <c r="I321" s="66">
        <v>8616.4621244181126</v>
      </c>
      <c r="J321" s="66">
        <v>-8109.2145015105743</v>
      </c>
      <c r="K321" s="65">
        <v>0.11740041928721175</v>
      </c>
      <c r="L321" s="65">
        <v>0.11740041928721175</v>
      </c>
      <c r="M321" s="65">
        <v>0.26787741203178206</v>
      </c>
      <c r="N321" s="65">
        <v>0.21402446714592005</v>
      </c>
      <c r="O321" s="65">
        <v>0.57721280602636538</v>
      </c>
      <c r="P321" s="65">
        <v>0.39835002946375958</v>
      </c>
      <c r="Q321" s="65">
        <v>0.43207786711807022</v>
      </c>
    </row>
    <row r="322" spans="1:17" x14ac:dyDescent="0.4">
      <c r="A322" s="67">
        <v>319</v>
      </c>
      <c r="B322" s="64">
        <v>-1.4210854715202004E-14</v>
      </c>
      <c r="C322" s="64">
        <v>-1.4849377967818187E-17</v>
      </c>
      <c r="D322" s="69">
        <v>2</v>
      </c>
      <c r="E322" s="65">
        <v>0.33333333333333331</v>
      </c>
      <c r="F322" s="65">
        <v>0.33333333333333331</v>
      </c>
      <c r="G322" s="65">
        <v>0.2981132075471698</v>
      </c>
      <c r="H322" s="65">
        <v>0.16704402515723271</v>
      </c>
      <c r="I322" s="66">
        <v>8615.4430379746827</v>
      </c>
      <c r="J322" s="66">
        <v>-8109.1114457831327</v>
      </c>
      <c r="K322" s="65">
        <v>0.1180773249738767</v>
      </c>
      <c r="L322" s="65">
        <v>0.1180773249738767</v>
      </c>
      <c r="M322" s="65">
        <v>0.26855345911949685</v>
      </c>
      <c r="N322" s="65">
        <v>0.21358490566037736</v>
      </c>
      <c r="O322" s="65">
        <v>0.57704918032786889</v>
      </c>
      <c r="P322" s="65">
        <v>0.39811542991755006</v>
      </c>
      <c r="Q322" s="65">
        <v>0.43206751054852321</v>
      </c>
    </row>
    <row r="323" spans="1:17" x14ac:dyDescent="0.4">
      <c r="A323" s="67">
        <v>320</v>
      </c>
      <c r="B323" s="64">
        <v>-1.2434497875801753E-14</v>
      </c>
      <c r="C323" s="64">
        <v>-1.295260195396016E-17</v>
      </c>
      <c r="D323" s="69">
        <v>2</v>
      </c>
      <c r="E323" s="65">
        <v>0.33333333333333331</v>
      </c>
      <c r="F323" s="65">
        <v>0.33333333333333331</v>
      </c>
      <c r="G323" s="65">
        <v>0.29819277108433734</v>
      </c>
      <c r="H323" s="65">
        <v>0.16704317269076305</v>
      </c>
      <c r="I323" s="66">
        <v>8613.8468013468009</v>
      </c>
      <c r="J323" s="66">
        <v>-8108.790383170548</v>
      </c>
      <c r="K323" s="65">
        <v>0.11874999999999999</v>
      </c>
      <c r="L323" s="65">
        <v>0.11874999999999999</v>
      </c>
      <c r="M323" s="65">
        <v>0.2684487951807229</v>
      </c>
      <c r="N323" s="65">
        <v>0.21385542168674698</v>
      </c>
      <c r="O323" s="65">
        <v>0.57784011220196352</v>
      </c>
      <c r="P323" s="65">
        <v>0.397887323943662</v>
      </c>
      <c r="Q323" s="65">
        <v>0.43223905723905726</v>
      </c>
    </row>
    <row r="324" spans="1:17" x14ac:dyDescent="0.4">
      <c r="A324" s="67">
        <v>321</v>
      </c>
      <c r="B324" s="64">
        <v>-1.4210854715202004E-14</v>
      </c>
      <c r="C324" s="64">
        <v>-1.4756858478922122E-17</v>
      </c>
      <c r="D324" s="69">
        <v>2</v>
      </c>
      <c r="E324" s="65">
        <v>0.33333333333333331</v>
      </c>
      <c r="F324" s="65">
        <v>0.33333333333333331</v>
      </c>
      <c r="G324" s="65">
        <v>0.29821921244043142</v>
      </c>
      <c r="H324" s="65">
        <v>0.16716829696513669</v>
      </c>
      <c r="I324" s="66">
        <v>8624.2640874684603</v>
      </c>
      <c r="J324" s="66">
        <v>-8128.1320330082517</v>
      </c>
      <c r="K324" s="65">
        <v>0.11941848390446522</v>
      </c>
      <c r="L324" s="65">
        <v>0.11941848390446522</v>
      </c>
      <c r="M324" s="65">
        <v>0.26849761725608229</v>
      </c>
      <c r="N324" s="65">
        <v>0.21381991472284925</v>
      </c>
      <c r="O324" s="65">
        <v>0.57730032695002331</v>
      </c>
      <c r="P324" s="65">
        <v>0.39824046920821116</v>
      </c>
      <c r="Q324" s="65">
        <v>0.43187552565180826</v>
      </c>
    </row>
    <row r="325" spans="1:17" x14ac:dyDescent="0.4">
      <c r="A325" s="67">
        <v>322</v>
      </c>
      <c r="B325" s="64">
        <v>-7.1054273576010019E-15</v>
      </c>
      <c r="C325" s="64">
        <v>-7.3555148629409962E-18</v>
      </c>
      <c r="D325" s="69">
        <v>2</v>
      </c>
      <c r="E325" s="65">
        <v>0.33333333333333331</v>
      </c>
      <c r="F325" s="65">
        <v>0.33333333333333331</v>
      </c>
      <c r="G325" s="65">
        <v>0.29804804804804808</v>
      </c>
      <c r="H325" s="65">
        <v>0.16704204204204204</v>
      </c>
      <c r="I325" s="66">
        <v>8635.8522250209899</v>
      </c>
      <c r="J325" s="66">
        <v>-8148.9138576779023</v>
      </c>
      <c r="K325" s="65">
        <v>0.11904761904761904</v>
      </c>
      <c r="L325" s="65">
        <v>0.11904761904761904</v>
      </c>
      <c r="M325" s="65">
        <v>0.26851851851851855</v>
      </c>
      <c r="N325" s="65">
        <v>0.21383883883883884</v>
      </c>
      <c r="O325" s="65">
        <v>0.57642124883504198</v>
      </c>
      <c r="P325" s="65">
        <v>0.39730836746635462</v>
      </c>
      <c r="Q325" s="65">
        <v>0.43198992443324935</v>
      </c>
    </row>
    <row r="326" spans="1:17" x14ac:dyDescent="0.4">
      <c r="A326" s="67">
        <v>323</v>
      </c>
      <c r="B326" s="64">
        <v>0</v>
      </c>
      <c r="C326" s="64">
        <v>0</v>
      </c>
      <c r="D326" s="69">
        <v>2</v>
      </c>
      <c r="E326" s="65">
        <v>0.33333333333333331</v>
      </c>
      <c r="F326" s="65">
        <v>0.33333333333333331</v>
      </c>
      <c r="G326" s="65">
        <v>0.29811415011864617</v>
      </c>
      <c r="H326" s="65">
        <v>0.16710378418883476</v>
      </c>
      <c r="I326" s="66">
        <v>8640.8043569333895</v>
      </c>
      <c r="J326" s="66">
        <v>-8163.5276532137523</v>
      </c>
      <c r="K326" s="65">
        <v>0.11971104231166151</v>
      </c>
      <c r="L326" s="65">
        <v>0.11971104231166151</v>
      </c>
      <c r="M326" s="65">
        <v>0.2681403771699763</v>
      </c>
      <c r="N326" s="65">
        <v>0.2139378044211315</v>
      </c>
      <c r="O326" s="65">
        <v>0.57661853749417791</v>
      </c>
      <c r="P326" s="65">
        <v>0.39871570344424984</v>
      </c>
      <c r="Q326" s="65">
        <v>0.43192291579388353</v>
      </c>
    </row>
    <row r="327" spans="1:17" x14ac:dyDescent="0.4">
      <c r="A327" s="67">
        <v>324</v>
      </c>
      <c r="B327" s="64">
        <v>0</v>
      </c>
      <c r="C327" s="64">
        <v>0</v>
      </c>
      <c r="D327" s="69">
        <v>2</v>
      </c>
      <c r="E327" s="65">
        <v>0.33333333333333331</v>
      </c>
      <c r="F327" s="65">
        <v>0.33333333333333331</v>
      </c>
      <c r="G327" s="65">
        <v>0.2982062780269058</v>
      </c>
      <c r="H327" s="65">
        <v>0.16691579471848531</v>
      </c>
      <c r="I327" s="66">
        <v>8640.559732664995</v>
      </c>
      <c r="J327" s="66">
        <v>-8162.2388059701489</v>
      </c>
      <c r="K327" s="65">
        <v>0.11934156378600823</v>
      </c>
      <c r="L327" s="65">
        <v>0.11934156378600823</v>
      </c>
      <c r="M327" s="65">
        <v>0.26781265570503238</v>
      </c>
      <c r="N327" s="65">
        <v>0.21362730443447933</v>
      </c>
      <c r="O327" s="65">
        <v>0.57674418604651168</v>
      </c>
      <c r="P327" s="65">
        <v>0.39883381924198252</v>
      </c>
      <c r="Q327" s="65">
        <v>0.43274853801169588</v>
      </c>
    </row>
    <row r="328" spans="1:17" x14ac:dyDescent="0.4">
      <c r="A328" s="67">
        <v>325</v>
      </c>
      <c r="B328" s="64">
        <v>0</v>
      </c>
      <c r="C328" s="64">
        <v>0</v>
      </c>
      <c r="D328" s="69">
        <v>2</v>
      </c>
      <c r="E328" s="65">
        <v>0.33333333333333331</v>
      </c>
      <c r="F328" s="65">
        <v>0.33333333333333331</v>
      </c>
      <c r="G328" s="65">
        <v>0.29801734820322179</v>
      </c>
      <c r="H328" s="65">
        <v>0.1667905824039653</v>
      </c>
      <c r="I328" s="66">
        <v>8642.328482328483</v>
      </c>
      <c r="J328" s="66">
        <v>-8146.1367013372956</v>
      </c>
      <c r="K328" s="65">
        <v>0.11897435897435897</v>
      </c>
      <c r="L328" s="65">
        <v>0.11897435897435897</v>
      </c>
      <c r="M328" s="65">
        <v>0.26790582403965302</v>
      </c>
      <c r="N328" s="65">
        <v>0.21350681536555141</v>
      </c>
      <c r="O328" s="65">
        <v>0.57585568917668828</v>
      </c>
      <c r="P328" s="65">
        <v>0.39872315728380731</v>
      </c>
      <c r="Q328" s="65">
        <v>0.43284823284823287</v>
      </c>
    </row>
    <row r="329" spans="1:17" x14ac:dyDescent="0.4">
      <c r="A329" s="67">
        <v>326</v>
      </c>
      <c r="B329" s="64">
        <v>0</v>
      </c>
      <c r="C329" s="64">
        <v>0</v>
      </c>
      <c r="D329" s="69">
        <v>2</v>
      </c>
      <c r="E329" s="65">
        <v>0.33333333333333331</v>
      </c>
      <c r="F329" s="65">
        <v>0.33333333333333331</v>
      </c>
      <c r="G329" s="65">
        <v>0.29777777777777775</v>
      </c>
      <c r="H329" s="65">
        <v>0.1665432098765432</v>
      </c>
      <c r="I329" s="66">
        <v>8643.3665008291882</v>
      </c>
      <c r="J329" s="66">
        <v>-8151.7420311341739</v>
      </c>
      <c r="K329" s="65">
        <v>0.11860940695296524</v>
      </c>
      <c r="L329" s="65">
        <v>0.11860940695296524</v>
      </c>
      <c r="M329" s="65">
        <v>0.2680246913580247</v>
      </c>
      <c r="N329" s="65">
        <v>0.21358024691358024</v>
      </c>
      <c r="O329" s="65">
        <v>0.57623215108245052</v>
      </c>
      <c r="P329" s="65">
        <v>0.39768786127167632</v>
      </c>
      <c r="Q329" s="65">
        <v>0.43325041459369817</v>
      </c>
    </row>
    <row r="330" spans="1:17" x14ac:dyDescent="0.4">
      <c r="A330" s="67">
        <v>327</v>
      </c>
      <c r="B330" s="64">
        <v>3.5527136788005009E-15</v>
      </c>
      <c r="C330" s="64">
        <v>3.6215226083593285E-18</v>
      </c>
      <c r="D330" s="69">
        <v>2</v>
      </c>
      <c r="E330" s="65">
        <v>0.33333333333333331</v>
      </c>
      <c r="F330" s="65">
        <v>0.33333333333333331</v>
      </c>
      <c r="G330" s="65">
        <v>0.29777285591239078</v>
      </c>
      <c r="H330" s="65">
        <v>0.16660514334932938</v>
      </c>
      <c r="I330" s="66">
        <v>8649.0082644628092</v>
      </c>
      <c r="J330" s="66">
        <v>-8147.3412112259966</v>
      </c>
      <c r="K330" s="65">
        <v>0.11824668705402651</v>
      </c>
      <c r="L330" s="65">
        <v>0.11824668705402651</v>
      </c>
      <c r="M330" s="65">
        <v>0.26799557032115173</v>
      </c>
      <c r="N330" s="65">
        <v>0.2136089577950043</v>
      </c>
      <c r="O330" s="65">
        <v>0.5762167125803489</v>
      </c>
      <c r="P330" s="65">
        <v>0.39804147465437789</v>
      </c>
      <c r="Q330" s="65">
        <v>0.43305785123966944</v>
      </c>
    </row>
    <row r="331" spans="1:17" x14ac:dyDescent="0.4">
      <c r="A331" s="67">
        <v>328</v>
      </c>
      <c r="B331" s="64">
        <v>1.4210854715202004E-14</v>
      </c>
      <c r="C331" s="64">
        <v>1.4441925523579274E-17</v>
      </c>
      <c r="D331" s="69">
        <v>2</v>
      </c>
      <c r="E331" s="65">
        <v>0.33333333333333331</v>
      </c>
      <c r="F331" s="65">
        <v>0.33333333333333331</v>
      </c>
      <c r="G331" s="65">
        <v>0.29779411764705882</v>
      </c>
      <c r="H331" s="65">
        <v>0.16666666666666666</v>
      </c>
      <c r="I331" s="66">
        <v>8650.699588477366</v>
      </c>
      <c r="J331" s="66">
        <v>-8158.161764705882</v>
      </c>
      <c r="K331" s="65">
        <v>0.11788617886178862</v>
      </c>
      <c r="L331" s="65">
        <v>0.11788617886178862</v>
      </c>
      <c r="M331" s="65">
        <v>0.26740196078431372</v>
      </c>
      <c r="N331" s="65">
        <v>0.21397058823529411</v>
      </c>
      <c r="O331" s="65">
        <v>0.57607699358386799</v>
      </c>
      <c r="P331" s="65">
        <v>0.39977090492554412</v>
      </c>
      <c r="Q331" s="65">
        <v>0.43251028806584363</v>
      </c>
    </row>
    <row r="332" spans="1:17" x14ac:dyDescent="0.4">
      <c r="A332" s="67">
        <v>329</v>
      </c>
      <c r="B332" s="64">
        <v>1.0658141036401503E-14</v>
      </c>
      <c r="C332" s="64">
        <v>1.0798521820062313E-17</v>
      </c>
      <c r="D332" s="69">
        <v>2</v>
      </c>
      <c r="E332" s="65">
        <v>0.33333333333333331</v>
      </c>
      <c r="F332" s="65">
        <v>0.33333333333333331</v>
      </c>
      <c r="G332" s="65">
        <v>0.2978723404255319</v>
      </c>
      <c r="H332" s="65">
        <v>0.16666666666666666</v>
      </c>
      <c r="I332" s="66">
        <v>8650.1642036124795</v>
      </c>
      <c r="J332" s="66">
        <v>-8148.5693323550986</v>
      </c>
      <c r="K332" s="65">
        <v>0.11752786220871327</v>
      </c>
      <c r="L332" s="65">
        <v>0.11752786220871327</v>
      </c>
      <c r="M332" s="65">
        <v>0.26693568109562238</v>
      </c>
      <c r="N332" s="65">
        <v>0.21447786744925409</v>
      </c>
      <c r="O332" s="65">
        <v>0.57627118644067798</v>
      </c>
      <c r="P332" s="65">
        <v>0.39908779931584948</v>
      </c>
      <c r="Q332" s="65">
        <v>0.43267651888341546</v>
      </c>
    </row>
    <row r="333" spans="1:17" x14ac:dyDescent="0.4">
      <c r="A333" s="67">
        <v>330</v>
      </c>
      <c r="B333" s="64">
        <v>2.1316282072803006E-14</v>
      </c>
      <c r="C333" s="64">
        <v>2.1531598053336369E-17</v>
      </c>
      <c r="D333" s="69">
        <v>2</v>
      </c>
      <c r="E333" s="65">
        <v>0.33333333333333331</v>
      </c>
      <c r="F333" s="65">
        <v>0.33333333333333331</v>
      </c>
      <c r="G333" s="65">
        <v>0.29796316623978536</v>
      </c>
      <c r="H333" s="65">
        <v>0.16672764971337969</v>
      </c>
      <c r="I333" s="66">
        <v>8639.8280802292265</v>
      </c>
      <c r="J333" s="66">
        <v>-8135.1865398683249</v>
      </c>
      <c r="K333" s="65">
        <v>0.11717171717171718</v>
      </c>
      <c r="L333" s="65">
        <v>0.11717171717171718</v>
      </c>
      <c r="M333" s="65">
        <v>0.2664959141358702</v>
      </c>
      <c r="N333" s="65">
        <v>0.21490425661666057</v>
      </c>
      <c r="O333" s="65">
        <v>0.57665903890160186</v>
      </c>
      <c r="P333" s="65">
        <v>0.40011350737797957</v>
      </c>
      <c r="Q333" s="65">
        <v>0.43266475644699143</v>
      </c>
    </row>
    <row r="334" spans="1:17" x14ac:dyDescent="0.4">
      <c r="A334" s="67">
        <v>331</v>
      </c>
      <c r="B334" s="64">
        <v>2.1316282072803006E-14</v>
      </c>
      <c r="C334" s="64">
        <v>2.1466547908160126E-17</v>
      </c>
      <c r="D334" s="69">
        <v>2</v>
      </c>
      <c r="E334" s="65">
        <v>0.33333333333333331</v>
      </c>
      <c r="F334" s="65">
        <v>0.33333333333333331</v>
      </c>
      <c r="G334" s="65">
        <v>0.29810495626822159</v>
      </c>
      <c r="H334" s="65">
        <v>0.16678814382896015</v>
      </c>
      <c r="I334" s="66">
        <v>8633.7000814995918</v>
      </c>
      <c r="J334" s="66">
        <v>-8131.172614712309</v>
      </c>
      <c r="K334" s="65">
        <v>0.11681772406847936</v>
      </c>
      <c r="L334" s="65">
        <v>0.11681772406847936</v>
      </c>
      <c r="M334" s="65">
        <v>0.26579203109815353</v>
      </c>
      <c r="N334" s="65">
        <v>0.21525753158406219</v>
      </c>
      <c r="O334" s="65">
        <v>0.57632541133455206</v>
      </c>
      <c r="P334" s="65">
        <v>0.40067720090293452</v>
      </c>
      <c r="Q334" s="65">
        <v>0.43276283618581907</v>
      </c>
    </row>
    <row r="335" spans="1:17" x14ac:dyDescent="0.4">
      <c r="A335" s="67">
        <v>332</v>
      </c>
      <c r="B335" s="64">
        <v>2.1316282072803006E-14</v>
      </c>
      <c r="C335" s="64">
        <v>2.140188963132832E-17</v>
      </c>
      <c r="D335" s="69">
        <v>2</v>
      </c>
      <c r="E335" s="65">
        <v>0.33333333333333331</v>
      </c>
      <c r="F335" s="65">
        <v>0.33333333333333331</v>
      </c>
      <c r="G335" s="65">
        <v>0.29820736434108525</v>
      </c>
      <c r="H335" s="65">
        <v>0.16690891472868216</v>
      </c>
      <c r="I335" s="66">
        <v>8621.811535337125</v>
      </c>
      <c r="J335" s="66">
        <v>-8126.197387518142</v>
      </c>
      <c r="K335" s="65">
        <v>0.11746987951807229</v>
      </c>
      <c r="L335" s="65">
        <v>0.11746987951807229</v>
      </c>
      <c r="M335" s="65">
        <v>0.2653827519379845</v>
      </c>
      <c r="N335" s="65">
        <v>0.21535852713178294</v>
      </c>
      <c r="O335" s="65">
        <v>0.57599269739844816</v>
      </c>
      <c r="P335" s="65">
        <v>0.40044994375703036</v>
      </c>
      <c r="Q335" s="65">
        <v>0.43216896831844032</v>
      </c>
    </row>
    <row r="336" spans="1:17" x14ac:dyDescent="0.4">
      <c r="A336" s="67">
        <v>333</v>
      </c>
      <c r="B336" s="64">
        <v>2.8421709430404007E-14</v>
      </c>
      <c r="C336" s="64">
        <v>2.8450159589994001E-17</v>
      </c>
      <c r="D336" s="69">
        <v>2</v>
      </c>
      <c r="E336" s="65">
        <v>0.33333333333333331</v>
      </c>
      <c r="F336" s="65">
        <v>0.33333333333333331</v>
      </c>
      <c r="G336" s="65">
        <v>0.2980108499095841</v>
      </c>
      <c r="H336" s="65">
        <v>0.16684749849306812</v>
      </c>
      <c r="I336" s="66">
        <v>8616.6666666666661</v>
      </c>
      <c r="J336" s="66">
        <v>-8104.1907514450868</v>
      </c>
      <c r="K336" s="65">
        <v>0.11711711711711711</v>
      </c>
      <c r="L336" s="65">
        <v>0.11711711711711711</v>
      </c>
      <c r="M336" s="65">
        <v>0.26534056660638938</v>
      </c>
      <c r="N336" s="65">
        <v>0.21531042796865582</v>
      </c>
      <c r="O336" s="65">
        <v>0.57655611085870062</v>
      </c>
      <c r="P336" s="65">
        <v>0.40033594624860025</v>
      </c>
      <c r="Q336" s="65">
        <v>0.43203883495145629</v>
      </c>
    </row>
    <row r="337" spans="1:17" x14ac:dyDescent="0.4">
      <c r="A337" s="67">
        <v>334</v>
      </c>
      <c r="B337" s="64">
        <v>3.3750779948604759E-14</v>
      </c>
      <c r="C337" s="64">
        <v>3.3683413122360041E-17</v>
      </c>
      <c r="D337" s="69">
        <v>2</v>
      </c>
      <c r="E337" s="65">
        <v>0.33333333333333331</v>
      </c>
      <c r="F337" s="65">
        <v>0.33333333333333331</v>
      </c>
      <c r="G337" s="65">
        <v>0.29803073967339094</v>
      </c>
      <c r="H337" s="65">
        <v>0.16690682036503363</v>
      </c>
      <c r="I337" s="66">
        <v>8620.0241740531837</v>
      </c>
      <c r="J337" s="66">
        <v>-8110.1438848920861</v>
      </c>
      <c r="K337" s="65">
        <v>0.11676646706586827</v>
      </c>
      <c r="L337" s="65">
        <v>0.11676646706586827</v>
      </c>
      <c r="M337" s="65">
        <v>0.26585014409221902</v>
      </c>
      <c r="N337" s="65">
        <v>0.21481748318924113</v>
      </c>
      <c r="O337" s="65">
        <v>0.57678410117434509</v>
      </c>
      <c r="P337" s="65">
        <v>0.40022358859698154</v>
      </c>
      <c r="Q337" s="65">
        <v>0.43190975020145045</v>
      </c>
    </row>
    <row r="338" spans="1:17" x14ac:dyDescent="0.4">
      <c r="A338" s="67">
        <v>335</v>
      </c>
      <c r="B338" s="64">
        <v>2.8421709430404007E-14</v>
      </c>
      <c r="C338" s="64">
        <v>2.8280307890949259E-17</v>
      </c>
      <c r="D338" s="69">
        <v>2</v>
      </c>
      <c r="E338" s="65">
        <v>0.33333333333333331</v>
      </c>
      <c r="F338" s="65">
        <v>0.33333333333333331</v>
      </c>
      <c r="G338" s="65">
        <v>0.29793086951321612</v>
      </c>
      <c r="H338" s="65">
        <v>0.16708527688075589</v>
      </c>
      <c r="I338" s="66">
        <v>8617.021276595744</v>
      </c>
      <c r="J338" s="66">
        <v>-8115.3185397279885</v>
      </c>
      <c r="K338" s="65">
        <v>0.11741293532338308</v>
      </c>
      <c r="L338" s="65">
        <v>0.11741293532338308</v>
      </c>
      <c r="M338" s="65">
        <v>0.26575768448750148</v>
      </c>
      <c r="N338" s="65">
        <v>0.2149264442052386</v>
      </c>
      <c r="O338" s="65">
        <v>0.57695769576957701</v>
      </c>
      <c r="P338" s="65">
        <v>0.39899833055091821</v>
      </c>
      <c r="Q338" s="65">
        <v>0.43115214773183458</v>
      </c>
    </row>
    <row r="339" spans="1:17" x14ac:dyDescent="0.4">
      <c r="A339" s="67">
        <v>336</v>
      </c>
      <c r="B339" s="64">
        <v>3.4194869158454821E-14</v>
      </c>
      <c r="C339" s="64">
        <v>3.3923481307990897E-17</v>
      </c>
      <c r="D339" s="69">
        <v>2</v>
      </c>
      <c r="E339" s="65">
        <v>0.33333333333333331</v>
      </c>
      <c r="F339" s="65">
        <v>0.33333333333333331</v>
      </c>
      <c r="G339" s="65">
        <v>0.29788757608306482</v>
      </c>
      <c r="H339" s="65">
        <v>0.16684568564267813</v>
      </c>
      <c r="I339" s="66">
        <v>8614.4631410256407</v>
      </c>
      <c r="J339" s="66">
        <v>-8111.3733905579402</v>
      </c>
      <c r="K339" s="65">
        <v>0.11706349206349206</v>
      </c>
      <c r="L339" s="65">
        <v>0.11706349206349206</v>
      </c>
      <c r="M339" s="65">
        <v>0.26578350638501014</v>
      </c>
      <c r="N339" s="65">
        <v>0.21506146318176395</v>
      </c>
      <c r="O339" s="65">
        <v>0.57700942972608893</v>
      </c>
      <c r="P339" s="65">
        <v>0.39789123196448389</v>
      </c>
      <c r="Q339" s="65">
        <v>0.43189102564102566</v>
      </c>
    </row>
    <row r="340" spans="1:17" x14ac:dyDescent="0.4">
      <c r="A340" s="67">
        <v>337</v>
      </c>
      <c r="B340" s="64">
        <v>3.5527136788005009E-14</v>
      </c>
      <c r="C340" s="64">
        <v>3.5140590294762618E-17</v>
      </c>
      <c r="D340" s="69">
        <v>2</v>
      </c>
      <c r="E340" s="65">
        <v>0.33333333333333331</v>
      </c>
      <c r="F340" s="65">
        <v>0.33333333333333331</v>
      </c>
      <c r="G340" s="65">
        <v>0.29786980840176125</v>
      </c>
      <c r="H340" s="65">
        <v>0.16672616922527669</v>
      </c>
      <c r="I340" s="66">
        <v>8612.6248501797836</v>
      </c>
      <c r="J340" s="66">
        <v>-8112.5624553890075</v>
      </c>
      <c r="K340" s="65">
        <v>0.11671612265084075</v>
      </c>
      <c r="L340" s="65">
        <v>0.11671612265084075</v>
      </c>
      <c r="M340" s="65">
        <v>0.26550041651791029</v>
      </c>
      <c r="N340" s="65">
        <v>0.21539926216827324</v>
      </c>
      <c r="O340" s="65">
        <v>0.57776781712236669</v>
      </c>
      <c r="P340" s="65">
        <v>0.39723756906077345</v>
      </c>
      <c r="Q340" s="65">
        <v>0.43228126248501797</v>
      </c>
    </row>
    <row r="341" spans="1:17" x14ac:dyDescent="0.4">
      <c r="A341" s="67">
        <v>338</v>
      </c>
      <c r="B341" s="64">
        <v>4.2632564145606011E-14</v>
      </c>
      <c r="C341" s="64">
        <v>4.2043948861544389E-17</v>
      </c>
      <c r="D341" s="69">
        <v>2</v>
      </c>
      <c r="E341" s="65">
        <v>0.33333333333333331</v>
      </c>
      <c r="F341" s="65">
        <v>0.33333333333333331</v>
      </c>
      <c r="G341" s="65">
        <v>0.29772079772079774</v>
      </c>
      <c r="H341" s="65">
        <v>0.16678537511870845</v>
      </c>
      <c r="I341" s="66">
        <v>8608.0940988835719</v>
      </c>
      <c r="J341" s="66">
        <v>-8110.4626334519571</v>
      </c>
      <c r="K341" s="65">
        <v>0.11735700197238659</v>
      </c>
      <c r="L341" s="65">
        <v>0.11735700197238659</v>
      </c>
      <c r="M341" s="65">
        <v>0.2653133903133903</v>
      </c>
      <c r="N341" s="65">
        <v>0.21545584045584046</v>
      </c>
      <c r="O341" s="65">
        <v>0.57673378076062642</v>
      </c>
      <c r="P341" s="65">
        <v>0.39779614325068868</v>
      </c>
      <c r="Q341" s="65">
        <v>0.43181818181818182</v>
      </c>
    </row>
    <row r="342" spans="1:17" x14ac:dyDescent="0.4">
      <c r="A342" s="67">
        <v>339</v>
      </c>
      <c r="B342" s="64">
        <v>4.1300296516055823E-14</v>
      </c>
      <c r="C342" s="64">
        <v>4.0609927744401006E-17</v>
      </c>
      <c r="D342" s="69">
        <v>2</v>
      </c>
      <c r="E342" s="65">
        <v>0.33333333333333331</v>
      </c>
      <c r="F342" s="65">
        <v>0.33333333333333331</v>
      </c>
      <c r="G342" s="65">
        <v>0.29771624659803575</v>
      </c>
      <c r="H342" s="65">
        <v>0.16672583126257248</v>
      </c>
      <c r="I342" s="66">
        <v>8596.3434022257552</v>
      </c>
      <c r="J342" s="66">
        <v>-8103.6195883605396</v>
      </c>
      <c r="K342" s="65">
        <v>0.11701081612586037</v>
      </c>
      <c r="L342" s="65">
        <v>0.11701081612586037</v>
      </c>
      <c r="M342" s="65">
        <v>0.26505738965802861</v>
      </c>
      <c r="N342" s="65">
        <v>0.21535912909714827</v>
      </c>
      <c r="O342" s="65">
        <v>0.57678571428571423</v>
      </c>
      <c r="P342" s="65">
        <v>0.39780219780219778</v>
      </c>
      <c r="Q342" s="65">
        <v>0.43203497615262321</v>
      </c>
    </row>
    <row r="343" spans="1:17" x14ac:dyDescent="0.4">
      <c r="A343" s="67">
        <v>340</v>
      </c>
      <c r="B343" s="64">
        <v>4.2632564145606011E-14</v>
      </c>
      <c r="C343" s="64">
        <v>4.179663151530001E-17</v>
      </c>
      <c r="D343" s="69">
        <v>2</v>
      </c>
      <c r="E343" s="65">
        <v>0.33333333333333331</v>
      </c>
      <c r="F343" s="65">
        <v>0.33333333333333331</v>
      </c>
      <c r="G343" s="65">
        <v>0.29745942131263231</v>
      </c>
      <c r="H343" s="65">
        <v>0.16690190543401554</v>
      </c>
      <c r="I343" s="66">
        <v>8591.4986160537755</v>
      </c>
      <c r="J343" s="66">
        <v>-8089.8520084566599</v>
      </c>
      <c r="K343" s="65">
        <v>0.11666666666666667</v>
      </c>
      <c r="L343" s="65">
        <v>0.11666666666666667</v>
      </c>
      <c r="M343" s="65">
        <v>0.26511409080216419</v>
      </c>
      <c r="N343" s="65">
        <v>0.21524347212420608</v>
      </c>
      <c r="O343" s="65">
        <v>0.57630878438331856</v>
      </c>
      <c r="P343" s="65">
        <v>0.39726775956284155</v>
      </c>
      <c r="Q343" s="65">
        <v>0.43100039541320678</v>
      </c>
    </row>
    <row r="344" spans="1:17" x14ac:dyDescent="0.4">
      <c r="A344" s="67">
        <v>341</v>
      </c>
      <c r="B344" s="64">
        <v>4.2632564145606011E-14</v>
      </c>
      <c r="C344" s="64">
        <v>4.1674060748392973E-17</v>
      </c>
      <c r="D344" s="69">
        <v>2</v>
      </c>
      <c r="E344" s="65">
        <v>0.33333333333333331</v>
      </c>
      <c r="F344" s="65">
        <v>0.33333333333333331</v>
      </c>
      <c r="G344" s="65">
        <v>0.29741784037558683</v>
      </c>
      <c r="H344" s="65">
        <v>0.16690140845070423</v>
      </c>
      <c r="I344" s="66">
        <v>8587.8453038674033</v>
      </c>
      <c r="J344" s="66">
        <v>-8088.2559774964839</v>
      </c>
      <c r="K344" s="65">
        <v>0.11632453567937438</v>
      </c>
      <c r="L344" s="65">
        <v>0.11632453567937438</v>
      </c>
      <c r="M344" s="65">
        <v>0.26502347417840377</v>
      </c>
      <c r="N344" s="65">
        <v>0.21525821596244132</v>
      </c>
      <c r="O344" s="65">
        <v>0.57617360496014169</v>
      </c>
      <c r="P344" s="65">
        <v>0.39749182115594328</v>
      </c>
      <c r="Q344" s="65">
        <v>0.43093922651933703</v>
      </c>
    </row>
    <row r="345" spans="1:17" x14ac:dyDescent="0.4">
      <c r="A345" s="67">
        <v>342</v>
      </c>
      <c r="B345" s="64">
        <v>4.2632564145606011E-14</v>
      </c>
      <c r="C345" s="64">
        <v>4.15522067695965E-17</v>
      </c>
      <c r="D345" s="69">
        <v>2</v>
      </c>
      <c r="E345" s="65">
        <v>0.33333333333333331</v>
      </c>
      <c r="F345" s="65">
        <v>0.33333333333333331</v>
      </c>
      <c r="G345" s="65">
        <v>0.29751872659176032</v>
      </c>
      <c r="H345" s="65">
        <v>0.16713483146067415</v>
      </c>
      <c r="I345" s="66">
        <v>8590.5586152635715</v>
      </c>
      <c r="J345" s="66">
        <v>-8093.2072829131648</v>
      </c>
      <c r="K345" s="65">
        <v>0.11598440545808966</v>
      </c>
      <c r="L345" s="65">
        <v>0.11598440545808966</v>
      </c>
      <c r="M345" s="65">
        <v>0.26521535580524347</v>
      </c>
      <c r="N345" s="65">
        <v>0.21500468164794007</v>
      </c>
      <c r="O345" s="65">
        <v>0.57678729037952337</v>
      </c>
      <c r="P345" s="65">
        <v>0.3973870440936309</v>
      </c>
      <c r="Q345" s="65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624</vt:i4>
      </vt:variant>
    </vt:vector>
  </HeadingPairs>
  <TitlesOfParts>
    <vt:vector size="675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ちさと!逆転数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ちさと!逆転率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2019-10-14T17:17:34Z</dcterms:modified>
</cp:coreProperties>
</file>