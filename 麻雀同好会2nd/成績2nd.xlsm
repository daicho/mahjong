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8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9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0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1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2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3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4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6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7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8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9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30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2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3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14B82FA1-6037-4198-A28E-F23B3659BD99}" xr6:coauthVersionLast="41" xr6:coauthVersionMax="41" xr10:uidLastSave="{00000000-0000-0000-0000-000000000000}"/>
  <bookViews>
    <workbookView xWindow="-120" yWindow="-120" windowWidth="29040" windowHeight="1599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619" r:id="rId6"/>
    <sheet name="だいち" sheetId="5621" r:id="rId7"/>
    <sheet name="りくと" sheetId="5623" r:id="rId8"/>
    <sheet name="ただ" sheetId="5625" r:id="rId9"/>
    <sheet name="れんたろう" sheetId="5627" r:id="rId10"/>
    <sheet name="たかの" sheetId="5629" r:id="rId11"/>
    <sheet name="ぱぱ" sheetId="5631" r:id="rId12"/>
    <sheet name="まっつん" sheetId="5633" r:id="rId13"/>
    <sheet name="あさひ" sheetId="5635" r:id="rId14"/>
    <sheet name="いっしー" sheetId="5637" r:id="rId15"/>
    <sheet name="ほたに" sheetId="5639" r:id="rId16"/>
    <sheet name="かわたつ" sheetId="5641" r:id="rId17"/>
    <sheet name="やがさき" sheetId="5643" r:id="rId18"/>
    <sheet name="のり" sheetId="5645" r:id="rId19"/>
    <sheet name="ちさと" sheetId="5647" r:id="rId20"/>
    <sheet name="ちさと2" sheetId="5648" state="hidden" r:id="rId21"/>
    <sheet name="のり2" sheetId="5646" state="hidden" r:id="rId22"/>
    <sheet name="やがさき2" sheetId="5644" state="hidden" r:id="rId23"/>
    <sheet name="かわたつ2" sheetId="5642" state="hidden" r:id="rId24"/>
    <sheet name="ほたに2" sheetId="5640" state="hidden" r:id="rId25"/>
    <sheet name="いっしー2" sheetId="5638" state="hidden" r:id="rId26"/>
    <sheet name="あさひ2" sheetId="5636" state="hidden" r:id="rId27"/>
    <sheet name="まっつん2" sheetId="5634" state="hidden" r:id="rId28"/>
    <sheet name="ぱぱ2" sheetId="5632" state="hidden" r:id="rId29"/>
    <sheet name="たかの2" sheetId="5630" state="hidden" r:id="rId30"/>
    <sheet name="れんたろう2" sheetId="5628" state="hidden" r:id="rId31"/>
    <sheet name="ただ2" sheetId="5626" state="hidden" r:id="rId32"/>
    <sheet name="りくと2" sheetId="5624" state="hidden" r:id="rId33"/>
    <sheet name="だいち2" sheetId="5622" state="hidden" r:id="rId34"/>
    <sheet name="全体2" sheetId="5620" state="hidden" r:id="rId35"/>
    <sheet name="通算スコア" sheetId="3331" state="hidden" r:id="rId36"/>
    <sheet name="平均スコア" sheetId="3493" state="hidden" r:id="rId37"/>
    <sheet name="平均順位" sheetId="3183" state="hidden" r:id="rId38"/>
    <sheet name="トップ率" sheetId="3185" state="hidden" r:id="rId39"/>
    <sheet name="ラス率" sheetId="4886" state="hidden" r:id="rId40"/>
    <sheet name="アガリ率" sheetId="3189" state="hidden" r:id="rId41"/>
    <sheet name="放銃率" sheetId="3190" state="hidden" r:id="rId42"/>
    <sheet name="平均アガリ点" sheetId="3520" state="hidden" r:id="rId43"/>
    <sheet name="平均放銃点" sheetId="3521" state="hidden" r:id="rId44"/>
    <sheet name="ふっとび率" sheetId="3522" state="hidden" r:id="rId45"/>
    <sheet name="ふっとばし率" sheetId="3523" state="hidden" r:id="rId46"/>
    <sheet name="リーチ率" sheetId="3524" state="hidden" r:id="rId47"/>
    <sheet name="副露率" sheetId="3525" state="hidden" r:id="rId48"/>
    <sheet name="リーチ成功率" sheetId="4841" state="hidden" r:id="rId49"/>
    <sheet name="副露成功率" sheetId="3527" state="hidden" r:id="rId50"/>
    <sheet name="ツモ率" sheetId="3528" state="hidden" r:id="rId51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9">ちさと!$B$17</definedName>
    <definedName name="アガリ数" localSheetId="18">のり!$B$17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9">ちさと!$C$17</definedName>
    <definedName name="アガリ率" localSheetId="18">のり!$C$17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9">ちさと!$B$27</definedName>
    <definedName name="チョンボ数" localSheetId="18">のり!$B$27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9">ちさと!$C$27</definedName>
    <definedName name="チョンボ率" localSheetId="18">のり!$C$27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9">ちさと!$B$18</definedName>
    <definedName name="ツモ数" localSheetId="18">のり!$B$18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9">ちさと!$C$18</definedName>
    <definedName name="ツモ率" localSheetId="18">のり!$C$18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9">ちさと!$B$7</definedName>
    <definedName name="トップ数" localSheetId="18">のり!$B$7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9">ちさと!$C$7</definedName>
    <definedName name="トップ率" localSheetId="18">のり!$C$7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9">ちさと!$B$11</definedName>
    <definedName name="ふっとばし数" localSheetId="18">のり!$B$11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9">ちさと!$C$11</definedName>
    <definedName name="ふっとばし率" localSheetId="18">のり!$C$11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9">ちさと!$B$10</definedName>
    <definedName name="ふっとび数" localSheetId="18">のり!$B$10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9">ちさと!$C$10</definedName>
    <definedName name="ふっとび率" localSheetId="18">のり!$C$10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9">ちさと!$B$9</definedName>
    <definedName name="ラス数" localSheetId="18">のり!$B$9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9">ちさと!$C$9</definedName>
    <definedName name="ラス率" localSheetId="18">のり!$C$9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9">ちさと!$B$13</definedName>
    <definedName name="リーチ数" localSheetId="18">のり!$B$13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9">ちさと!$B$15</definedName>
    <definedName name="リーチ成功数" localSheetId="18">のり!$B$15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9">ちさと!$C$15</definedName>
    <definedName name="リーチ成功率" localSheetId="18">のり!$C$15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9">ちさと!$C$13</definedName>
    <definedName name="リーチ率" localSheetId="18">のり!$C$13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9">ちさと!$B$19</definedName>
    <definedName name="ロン数" localSheetId="18">のり!$B$19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9">ちさと!$C$19</definedName>
    <definedName name="ロン率" localSheetId="18">のり!$C$19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9">ちさと!$B$12</definedName>
    <definedName name="逆転数" localSheetId="18">のり!$B$12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9">ちさと!$C$12</definedName>
    <definedName name="逆転率" localSheetId="18">のり!$C$12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9">ちさと!$B$25</definedName>
    <definedName name="最大ドラ数" localSheetId="18">のり!$B$25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9">ちさと!$B$26</definedName>
    <definedName name="最大点数" localSheetId="18">のり!$B$26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9">ちさと!$B$3</definedName>
    <definedName name="総局数" localSheetId="18">のり!$B$3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9">ちさと!$B$2</definedName>
    <definedName name="対戦数" localSheetId="18">のり!$B$2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9">ちさと!$B$4</definedName>
    <definedName name="通算スコア" localSheetId="18">のり!$B$4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9">ちさと!$B$14</definedName>
    <definedName name="副露数" localSheetId="18">のり!$B$14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9">ちさと!$B$16</definedName>
    <definedName name="副露成功数" localSheetId="18">のり!$B$16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9">ちさと!$C$16</definedName>
    <definedName name="副露成功率" localSheetId="18">のり!$C$16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9">ちさと!$C$14</definedName>
    <definedName name="副露率" localSheetId="18">のり!$C$14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9">ちさと!$B$23</definedName>
    <definedName name="平均アガリ点" localSheetId="18">のり!$B$23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9">ちさと!$B$5</definedName>
    <definedName name="平均スコア" localSheetId="18">のり!$B$5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9">ちさと!$B$6</definedName>
    <definedName name="平均順位" localSheetId="18">のり!$B$6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9">ちさと!$B$24</definedName>
    <definedName name="平均放銃点" localSheetId="18">のり!$B$24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9">ちさと!$B$20</definedName>
    <definedName name="放銃数" localSheetId="18">のり!$B$20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9">ちさと!$C$20</definedName>
    <definedName name="放銃率" localSheetId="18">のり!$C$20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9">ちさと!$B$21</definedName>
    <definedName name="連続アガリ" localSheetId="18">のり!$B$21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9">ちさと!$B$22</definedName>
    <definedName name="連続無放銃" localSheetId="18">のり!$B$22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5625" l="1"/>
  <c r="O16" i="5647"/>
  <c r="O15" i="5647"/>
  <c r="C27" i="5647"/>
  <c r="B24" i="5647"/>
  <c r="C20" i="5647"/>
  <c r="B17" i="5647"/>
  <c r="H50" i="5647" s="1"/>
  <c r="C16" i="5647"/>
  <c r="C15" i="5647"/>
  <c r="C14" i="5647"/>
  <c r="C13" i="5647"/>
  <c r="O12" i="5647"/>
  <c r="C12" i="5647"/>
  <c r="O11" i="5647"/>
  <c r="C11" i="5647"/>
  <c r="O10" i="5647"/>
  <c r="C10" i="5647"/>
  <c r="C9" i="5647"/>
  <c r="C8" i="5647"/>
  <c r="O7" i="5647"/>
  <c r="C7" i="5647"/>
  <c r="O6" i="5647"/>
  <c r="B6" i="5647"/>
  <c r="O5" i="5647"/>
  <c r="B5" i="5647"/>
  <c r="O4" i="5647"/>
  <c r="O3" i="5647"/>
  <c r="O2" i="5647"/>
  <c r="O16" i="5633"/>
  <c r="O16" i="5619"/>
  <c r="H21" i="5647" l="1"/>
  <c r="H6" i="5647"/>
  <c r="H15" i="5647"/>
  <c r="H17" i="5647"/>
  <c r="H8" i="5647"/>
  <c r="H10" i="5647"/>
  <c r="H27" i="5647"/>
  <c r="H35" i="5647"/>
  <c r="H44" i="5647"/>
  <c r="H45" i="5647"/>
  <c r="H4" i="5647"/>
  <c r="H47" i="5647"/>
  <c r="H37" i="5647"/>
  <c r="H18" i="5647"/>
  <c r="H48" i="5647"/>
  <c r="H39" i="5647"/>
  <c r="H11" i="5647"/>
  <c r="H38" i="5647"/>
  <c r="H30" i="5647"/>
  <c r="H16" i="5647"/>
  <c r="H26" i="5647"/>
  <c r="H31" i="5647"/>
  <c r="H40" i="5647"/>
  <c r="H51" i="5647"/>
  <c r="H2" i="5647"/>
  <c r="H13" i="5647"/>
  <c r="H9" i="5647"/>
  <c r="H25" i="5647"/>
  <c r="B23" i="5647"/>
  <c r="H7" i="5647"/>
  <c r="H19" i="5647"/>
  <c r="H3" i="5647"/>
  <c r="H14" i="5647"/>
  <c r="H23" i="5647"/>
  <c r="H32" i="5647"/>
  <c r="H41" i="5647"/>
  <c r="H5" i="5647"/>
  <c r="H36" i="5647"/>
  <c r="C17" i="5647"/>
  <c r="H29" i="5647"/>
  <c r="H22" i="5647"/>
  <c r="H49" i="5647"/>
  <c r="C18" i="5647"/>
  <c r="H20" i="5647"/>
  <c r="C19" i="5647"/>
  <c r="H12" i="5647"/>
  <c r="H33" i="5647"/>
  <c r="H43" i="5647"/>
  <c r="H52" i="5647"/>
  <c r="H46" i="5647"/>
  <c r="H24" i="5647"/>
  <c r="H28" i="5647"/>
  <c r="H34" i="5647"/>
  <c r="H42" i="5647"/>
  <c r="O15" i="5631" l="1"/>
  <c r="O18" i="5645"/>
  <c r="O16" i="5639"/>
  <c r="O15" i="5645"/>
  <c r="O16" i="5625" l="1"/>
  <c r="O15" i="5633"/>
  <c r="O15" i="5619"/>
  <c r="O16" i="5645"/>
  <c r="O17" i="5645"/>
  <c r="C27" i="5645"/>
  <c r="B24" i="5645"/>
  <c r="C20" i="5645"/>
  <c r="B17" i="5645"/>
  <c r="H50" i="5645" s="1"/>
  <c r="C16" i="5645"/>
  <c r="C15" i="5645"/>
  <c r="C14" i="5645"/>
  <c r="C13" i="5645"/>
  <c r="O12" i="5645"/>
  <c r="C12" i="5645"/>
  <c r="O11" i="5645"/>
  <c r="C11" i="5645"/>
  <c r="O10" i="5645"/>
  <c r="C10" i="5645"/>
  <c r="C9" i="5645"/>
  <c r="C8" i="5645"/>
  <c r="O7" i="5645"/>
  <c r="C7" i="5645"/>
  <c r="O6" i="5645"/>
  <c r="B6" i="5645"/>
  <c r="O5" i="5645"/>
  <c r="B5" i="5645"/>
  <c r="O4" i="5645"/>
  <c r="O3" i="5645"/>
  <c r="O2" i="5645"/>
  <c r="H12" i="5645" l="1"/>
  <c r="H20" i="5645"/>
  <c r="H47" i="5645"/>
  <c r="H11" i="5645"/>
  <c r="H49" i="5645"/>
  <c r="H35" i="5645"/>
  <c r="H17" i="5645"/>
  <c r="H48" i="5645"/>
  <c r="H25" i="5645"/>
  <c r="H2" i="5645"/>
  <c r="H33" i="5645"/>
  <c r="H10" i="5645"/>
  <c r="H36" i="5645"/>
  <c r="H6" i="5645"/>
  <c r="H40" i="5645"/>
  <c r="H15" i="5645"/>
  <c r="H37" i="5645"/>
  <c r="H8" i="5645"/>
  <c r="H28" i="5645"/>
  <c r="C19" i="5645"/>
  <c r="H44" i="5645"/>
  <c r="H7" i="5645"/>
  <c r="H21" i="5645"/>
  <c r="H39" i="5645"/>
  <c r="C18" i="5645"/>
  <c r="H3" i="5645"/>
  <c r="H19" i="5645"/>
  <c r="H13" i="5645"/>
  <c r="H16" i="5645"/>
  <c r="H23" i="5645"/>
  <c r="H30" i="5645"/>
  <c r="H45" i="5645"/>
  <c r="H51" i="5645"/>
  <c r="H26" i="5645"/>
  <c r="H31" i="5645"/>
  <c r="H41" i="5645"/>
  <c r="H4" i="5645"/>
  <c r="H5" i="5645"/>
  <c r="H9" i="5645"/>
  <c r="H18" i="5645"/>
  <c r="C17" i="5645"/>
  <c r="B23" i="5645"/>
  <c r="H32" i="5645"/>
  <c r="H43" i="5645"/>
  <c r="H52" i="5645"/>
  <c r="H22" i="5645"/>
  <c r="H27" i="5645"/>
  <c r="H14" i="5645"/>
  <c r="H38" i="5645"/>
  <c r="H46" i="5645"/>
  <c r="H24" i="5645"/>
  <c r="H29" i="5645"/>
  <c r="H34" i="5645"/>
  <c r="H42" i="5645"/>
  <c r="O23" i="5637" l="1"/>
  <c r="O15" i="5643"/>
  <c r="O22" i="5639" l="1"/>
  <c r="O17" i="5625"/>
  <c r="O24" i="5631" l="1"/>
  <c r="O15" i="5637"/>
  <c r="O25" i="5621" l="1"/>
  <c r="O17" i="5643"/>
  <c r="O15" i="5625" l="1"/>
  <c r="O23" i="5629"/>
  <c r="O27" i="5619"/>
  <c r="O18" i="5643"/>
  <c r="O16" i="5643"/>
  <c r="C27" i="5643"/>
  <c r="B24" i="5643"/>
  <c r="C20" i="5643"/>
  <c r="B17" i="5643"/>
  <c r="H10" i="5643" s="1"/>
  <c r="C16" i="5643"/>
  <c r="C15" i="5643"/>
  <c r="C14" i="5643"/>
  <c r="C13" i="5643"/>
  <c r="O12" i="5643"/>
  <c r="C12" i="5643"/>
  <c r="O11" i="5643"/>
  <c r="C11" i="5643"/>
  <c r="O10" i="5643"/>
  <c r="C10" i="5643"/>
  <c r="C9" i="5643"/>
  <c r="C8" i="5643"/>
  <c r="O7" i="5643"/>
  <c r="C7" i="5643"/>
  <c r="O6" i="5643"/>
  <c r="B6" i="5643"/>
  <c r="O5" i="5643"/>
  <c r="B5" i="5643"/>
  <c r="O4" i="5643"/>
  <c r="O3" i="5643"/>
  <c r="O2" i="5643"/>
  <c r="O15" i="5641"/>
  <c r="O16" i="5641"/>
  <c r="H37" i="5641"/>
  <c r="H33" i="5641"/>
  <c r="H32" i="5641"/>
  <c r="C27" i="5641"/>
  <c r="B24" i="5641"/>
  <c r="B23" i="5641"/>
  <c r="H23" i="5641"/>
  <c r="C20" i="5641"/>
  <c r="B17" i="5641"/>
  <c r="H51" i="5641" s="1"/>
  <c r="H18" i="5641"/>
  <c r="C16" i="5641"/>
  <c r="C15" i="5641"/>
  <c r="C14" i="5641"/>
  <c r="C13" i="5641"/>
  <c r="O12" i="5641"/>
  <c r="C12" i="5641"/>
  <c r="O11" i="5641"/>
  <c r="C11" i="5641"/>
  <c r="O10" i="5641"/>
  <c r="C10" i="5641"/>
  <c r="C9" i="5641"/>
  <c r="H10" i="5641"/>
  <c r="C8" i="5641"/>
  <c r="O7" i="5641"/>
  <c r="C7" i="5641"/>
  <c r="O6" i="5641"/>
  <c r="B6" i="5641"/>
  <c r="O5" i="5641"/>
  <c r="H4" i="5641"/>
  <c r="B5" i="5641"/>
  <c r="O4" i="5641"/>
  <c r="O3" i="5641"/>
  <c r="O2" i="5641"/>
  <c r="H3" i="5641"/>
  <c r="O23" i="5627"/>
  <c r="O16" i="5621"/>
  <c r="O26" i="5619"/>
  <c r="H23" i="5643" l="1"/>
  <c r="H25" i="5643"/>
  <c r="H33" i="5643"/>
  <c r="H2" i="5643"/>
  <c r="H3" i="5643"/>
  <c r="H5" i="5643"/>
  <c r="H21" i="5643"/>
  <c r="H11" i="5643"/>
  <c r="H37" i="5643"/>
  <c r="H40" i="5643"/>
  <c r="H41" i="5643"/>
  <c r="H48" i="5643"/>
  <c r="H27" i="5643"/>
  <c r="H45" i="5643"/>
  <c r="H7" i="5643"/>
  <c r="H18" i="5643"/>
  <c r="C17" i="5643"/>
  <c r="H9" i="5643"/>
  <c r="H15" i="5643"/>
  <c r="H8" i="5643"/>
  <c r="H49" i="5643"/>
  <c r="C19" i="5643"/>
  <c r="H32" i="5643"/>
  <c r="H4" i="5643"/>
  <c r="H17" i="5643"/>
  <c r="H20" i="5643"/>
  <c r="C18" i="5643"/>
  <c r="B23" i="5643"/>
  <c r="H30" i="5643"/>
  <c r="H38" i="5643"/>
  <c r="H46" i="5643"/>
  <c r="H52" i="5643"/>
  <c r="H6" i="5643"/>
  <c r="H13" i="5643"/>
  <c r="H22" i="5643"/>
  <c r="H26" i="5643"/>
  <c r="H31" i="5643"/>
  <c r="H39" i="5643"/>
  <c r="H47" i="5643"/>
  <c r="H14" i="5643"/>
  <c r="H28" i="5643"/>
  <c r="H34" i="5643"/>
  <c r="H42" i="5643"/>
  <c r="H50" i="5643"/>
  <c r="H24" i="5643"/>
  <c r="H29" i="5643"/>
  <c r="H35" i="5643"/>
  <c r="H43" i="5643"/>
  <c r="H51" i="5643"/>
  <c r="H12" i="5643"/>
  <c r="H19" i="5643"/>
  <c r="H16" i="5643"/>
  <c r="H36" i="5643"/>
  <c r="H44" i="5643"/>
  <c r="H8" i="5641"/>
  <c r="H25" i="5641"/>
  <c r="H26" i="5641"/>
  <c r="H2" i="5641"/>
  <c r="H44" i="5641"/>
  <c r="H14" i="5641"/>
  <c r="H5" i="5641"/>
  <c r="H40" i="5641"/>
  <c r="H19" i="5641"/>
  <c r="C18" i="5641"/>
  <c r="H28" i="5641"/>
  <c r="H45" i="5641"/>
  <c r="H11" i="5641"/>
  <c r="C17" i="5641"/>
  <c r="H12" i="5641"/>
  <c r="H41" i="5641"/>
  <c r="H16" i="5641"/>
  <c r="H6" i="5641"/>
  <c r="H13" i="5641"/>
  <c r="H29" i="5641"/>
  <c r="H49" i="5641"/>
  <c r="H7" i="5641"/>
  <c r="H36" i="5641"/>
  <c r="H52" i="5641"/>
  <c r="H20" i="5641"/>
  <c r="H24" i="5641"/>
  <c r="H30" i="5641"/>
  <c r="H38" i="5641"/>
  <c r="H46" i="5641"/>
  <c r="H17" i="5641"/>
  <c r="C19" i="5641"/>
  <c r="H31" i="5641"/>
  <c r="H39" i="5641"/>
  <c r="H47" i="5641"/>
  <c r="H48" i="5641"/>
  <c r="H21" i="5641"/>
  <c r="H27" i="5641"/>
  <c r="H34" i="5641"/>
  <c r="H42" i="5641"/>
  <c r="H50" i="5641"/>
  <c r="H9" i="5641"/>
  <c r="H15" i="5641"/>
  <c r="H22" i="5641"/>
  <c r="H35" i="5641"/>
  <c r="H43" i="5641"/>
  <c r="O15" i="5629" l="1"/>
  <c r="O21" i="5637"/>
  <c r="O21" i="5639" l="1"/>
  <c r="O20" i="5639"/>
  <c r="O19" i="5633"/>
  <c r="O21" i="5623"/>
  <c r="O24" i="5621" l="1"/>
  <c r="O18" i="5639"/>
  <c r="O23" i="5631"/>
  <c r="O15" i="5639"/>
  <c r="O19" i="5639" l="1"/>
  <c r="O17" i="5639"/>
  <c r="C27" i="5639"/>
  <c r="B24" i="5639"/>
  <c r="C20" i="5639"/>
  <c r="B17" i="5639"/>
  <c r="H50" i="5639" s="1"/>
  <c r="C16" i="5639"/>
  <c r="C15" i="5639"/>
  <c r="C14" i="5639"/>
  <c r="C13" i="5639"/>
  <c r="O12" i="5639"/>
  <c r="C12" i="5639"/>
  <c r="O11" i="5639"/>
  <c r="C11" i="5639"/>
  <c r="O10" i="5639"/>
  <c r="C10" i="5639"/>
  <c r="C9" i="5639"/>
  <c r="C8" i="5639"/>
  <c r="O7" i="5639"/>
  <c r="C7" i="5639"/>
  <c r="O6" i="5639"/>
  <c r="B6" i="5639"/>
  <c r="O5" i="5639"/>
  <c r="B5" i="5639"/>
  <c r="O4" i="5639"/>
  <c r="O3" i="5639"/>
  <c r="O2" i="5639"/>
  <c r="O21" i="5627"/>
  <c r="O21" i="5629"/>
  <c r="O24" i="5619"/>
  <c r="H5" i="5639" l="1"/>
  <c r="H11" i="5639"/>
  <c r="H20" i="5639"/>
  <c r="C18" i="5639"/>
  <c r="B23" i="5639"/>
  <c r="C17" i="5639"/>
  <c r="H45" i="5639"/>
  <c r="H52" i="5639"/>
  <c r="H16" i="5639"/>
  <c r="H43" i="5639"/>
  <c r="H44" i="5639"/>
  <c r="H21" i="5639"/>
  <c r="H27" i="5639"/>
  <c r="H7" i="5639"/>
  <c r="H19" i="5639"/>
  <c r="H9" i="5639"/>
  <c r="H32" i="5639"/>
  <c r="H39" i="5639"/>
  <c r="H3" i="5639"/>
  <c r="H2" i="5639"/>
  <c r="H10" i="5639"/>
  <c r="H8" i="5639"/>
  <c r="H17" i="5639"/>
  <c r="H47" i="5639"/>
  <c r="H22" i="5639"/>
  <c r="C19" i="5639"/>
  <c r="H4" i="5639"/>
  <c r="H13" i="5639"/>
  <c r="H18" i="5639"/>
  <c r="H14" i="5639"/>
  <c r="H33" i="5639"/>
  <c r="H35" i="5639"/>
  <c r="H37" i="5639"/>
  <c r="H48" i="5639"/>
  <c r="H36" i="5639"/>
  <c r="H49" i="5639"/>
  <c r="H12" i="5639"/>
  <c r="H15" i="5639"/>
  <c r="H29" i="5639"/>
  <c r="H40" i="5639"/>
  <c r="H51" i="5639"/>
  <c r="H25" i="5639"/>
  <c r="H31" i="5639"/>
  <c r="H41" i="5639"/>
  <c r="H6" i="5639"/>
  <c r="H23" i="5639"/>
  <c r="H26" i="5639"/>
  <c r="H30" i="5639"/>
  <c r="H38" i="5639"/>
  <c r="H46" i="5639"/>
  <c r="H24" i="5639"/>
  <c r="H28" i="5639"/>
  <c r="H34" i="5639"/>
  <c r="H42" i="5639"/>
  <c r="O18" i="5629" l="1"/>
  <c r="O19" i="5625"/>
  <c r="O23" i="5633"/>
  <c r="O21" i="5633"/>
  <c r="O17" i="5621" l="1"/>
  <c r="O20" i="5637"/>
  <c r="O18" i="5637" l="1"/>
  <c r="O16" i="5637"/>
  <c r="O15" i="5627"/>
  <c r="O25" i="5625"/>
  <c r="O17" i="5635" l="1"/>
  <c r="O22" i="5631"/>
  <c r="O15" i="5635"/>
  <c r="O22" i="5637"/>
  <c r="O15" i="5623"/>
  <c r="O20" i="5633"/>
  <c r="O17" i="5619"/>
  <c r="O19" i="5637"/>
  <c r="O17" i="5637"/>
  <c r="C27" i="5637"/>
  <c r="B24" i="5637"/>
  <c r="C20" i="5637"/>
  <c r="B17" i="5637"/>
  <c r="H52" i="5637" s="1"/>
  <c r="C16" i="5637"/>
  <c r="C15" i="5637"/>
  <c r="C14" i="5637"/>
  <c r="C13" i="5637"/>
  <c r="O12" i="5637"/>
  <c r="C12" i="5637"/>
  <c r="O11" i="5637"/>
  <c r="C11" i="5637"/>
  <c r="O10" i="5637"/>
  <c r="C10" i="5637"/>
  <c r="C9" i="5637"/>
  <c r="C8" i="5637"/>
  <c r="O7" i="5637"/>
  <c r="C7" i="5637"/>
  <c r="O6" i="5637"/>
  <c r="B6" i="5637"/>
  <c r="O5" i="5637"/>
  <c r="B5" i="5637"/>
  <c r="O4" i="5637"/>
  <c r="O3" i="5637"/>
  <c r="O2" i="5637"/>
  <c r="O16" i="5635"/>
  <c r="O18" i="5635"/>
  <c r="C27" i="5635"/>
  <c r="B24" i="5635"/>
  <c r="C20" i="5635"/>
  <c r="B17" i="5635"/>
  <c r="H50" i="5635" s="1"/>
  <c r="C16" i="5635"/>
  <c r="C15" i="5635"/>
  <c r="C14" i="5635"/>
  <c r="C13" i="5635"/>
  <c r="O12" i="5635"/>
  <c r="C12" i="5635"/>
  <c r="O11" i="5635"/>
  <c r="C11" i="5635"/>
  <c r="O10" i="5635"/>
  <c r="C10" i="5635"/>
  <c r="C9" i="5635"/>
  <c r="C8" i="5635"/>
  <c r="O7" i="5635"/>
  <c r="C7" i="5635"/>
  <c r="O6" i="5635"/>
  <c r="B6" i="5635"/>
  <c r="O5" i="5635"/>
  <c r="B5" i="5635"/>
  <c r="O4" i="5635"/>
  <c r="O3" i="5635"/>
  <c r="O2" i="5635"/>
  <c r="O24" i="5633"/>
  <c r="O25" i="5633"/>
  <c r="O15" i="5621"/>
  <c r="O21" i="5621"/>
  <c r="O28" i="5619"/>
  <c r="H15" i="5635" l="1"/>
  <c r="H10" i="5635"/>
  <c r="H8" i="5635"/>
  <c r="H19" i="5635"/>
  <c r="H11" i="5635"/>
  <c r="H39" i="5635"/>
  <c r="H27" i="5635"/>
  <c r="H4" i="5635"/>
  <c r="H47" i="5635"/>
  <c r="H40" i="5635"/>
  <c r="H22" i="5635"/>
  <c r="H12" i="5635"/>
  <c r="C18" i="5635"/>
  <c r="H3" i="5635"/>
  <c r="H6" i="5635"/>
  <c r="H29" i="5635"/>
  <c r="H48" i="5635"/>
  <c r="H35" i="5635"/>
  <c r="H5" i="5635"/>
  <c r="H24" i="5635"/>
  <c r="H51" i="5635"/>
  <c r="H45" i="5635"/>
  <c r="C19" i="5635"/>
  <c r="H17" i="5635"/>
  <c r="H14" i="5635"/>
  <c r="H49" i="5635"/>
  <c r="H13" i="5635"/>
  <c r="H18" i="5635"/>
  <c r="H36" i="5635"/>
  <c r="H2" i="5635"/>
  <c r="H37" i="5635"/>
  <c r="H7" i="5635"/>
  <c r="H25" i="5635"/>
  <c r="H31" i="5635"/>
  <c r="H41" i="5635"/>
  <c r="H9" i="5635"/>
  <c r="H16" i="5635"/>
  <c r="C17" i="5635"/>
  <c r="B23" i="5635"/>
  <c r="H32" i="5635"/>
  <c r="H43" i="5635"/>
  <c r="H52" i="5635"/>
  <c r="H20" i="5635"/>
  <c r="H33" i="5635"/>
  <c r="H44" i="5635"/>
  <c r="H39" i="5637"/>
  <c r="H40" i="5637"/>
  <c r="H11" i="5637"/>
  <c r="H17" i="5637"/>
  <c r="H6" i="5637"/>
  <c r="H27" i="5637"/>
  <c r="H3" i="5637"/>
  <c r="H8" i="5637"/>
  <c r="H18" i="5637"/>
  <c r="H21" i="5637"/>
  <c r="H33" i="5637"/>
  <c r="H48" i="5637"/>
  <c r="H13" i="5637"/>
  <c r="H43" i="5637"/>
  <c r="C19" i="5637"/>
  <c r="H47" i="5637"/>
  <c r="H4" i="5637"/>
  <c r="H10" i="5637"/>
  <c r="H36" i="5637"/>
  <c r="H51" i="5637"/>
  <c r="H12" i="5637"/>
  <c r="C17" i="5637"/>
  <c r="H2" i="5637"/>
  <c r="H14" i="5637"/>
  <c r="H44" i="5637"/>
  <c r="H32" i="5637"/>
  <c r="H7" i="5637"/>
  <c r="H9" i="5637"/>
  <c r="H16" i="5637"/>
  <c r="H22" i="5637"/>
  <c r="H25" i="5637"/>
  <c r="H19" i="5637"/>
  <c r="H5" i="5637"/>
  <c r="H23" i="5637"/>
  <c r="H26" i="5637"/>
  <c r="H31" i="5637"/>
  <c r="H38" i="5637"/>
  <c r="H46" i="5637"/>
  <c r="H28" i="5637"/>
  <c r="H34" i="5637"/>
  <c r="H41" i="5637"/>
  <c r="H49" i="5637"/>
  <c r="H24" i="5637"/>
  <c r="H29" i="5637"/>
  <c r="H35" i="5637"/>
  <c r="H42" i="5637"/>
  <c r="H50" i="5637"/>
  <c r="H15" i="5637"/>
  <c r="H20" i="5637"/>
  <c r="C18" i="5637"/>
  <c r="B23" i="5637"/>
  <c r="H30" i="5637"/>
  <c r="H37" i="5637"/>
  <c r="H45" i="5637"/>
  <c r="H21" i="5635"/>
  <c r="H26" i="5635"/>
  <c r="H30" i="5635"/>
  <c r="H38" i="5635"/>
  <c r="H46" i="5635"/>
  <c r="H23" i="5635"/>
  <c r="H28" i="5635"/>
  <c r="H34" i="5635"/>
  <c r="H42" i="5635"/>
  <c r="O18" i="5633" l="1"/>
  <c r="O19" i="5631"/>
  <c r="O18" i="5631"/>
  <c r="O16" i="5623"/>
  <c r="O17" i="5629" l="1"/>
  <c r="O17" i="5627"/>
  <c r="O17" i="5631"/>
  <c r="O20" i="5631"/>
  <c r="O16" i="5629" l="1"/>
  <c r="O16" i="5627"/>
  <c r="O23" i="5625"/>
  <c r="O22" i="5625"/>
  <c r="O17" i="5633"/>
  <c r="O22" i="5633"/>
  <c r="C27" i="5633"/>
  <c r="B24" i="5633"/>
  <c r="C20" i="5633"/>
  <c r="B17" i="5633"/>
  <c r="H5" i="5633" s="1"/>
  <c r="C16" i="5633"/>
  <c r="C15" i="5633"/>
  <c r="C14" i="5633"/>
  <c r="C13" i="5633"/>
  <c r="O12" i="5633"/>
  <c r="C12" i="5633"/>
  <c r="O11" i="5633"/>
  <c r="C11" i="5633"/>
  <c r="O10" i="5633"/>
  <c r="C10" i="5633"/>
  <c r="C9" i="5633"/>
  <c r="C8" i="5633"/>
  <c r="O7" i="5633"/>
  <c r="C7" i="5633"/>
  <c r="O6" i="5633"/>
  <c r="B6" i="5633"/>
  <c r="O5" i="5633"/>
  <c r="B5" i="5633"/>
  <c r="O4" i="5633"/>
  <c r="O3" i="5633"/>
  <c r="O2" i="5633"/>
  <c r="O22" i="5627"/>
  <c r="O18" i="5623"/>
  <c r="O22" i="5619"/>
  <c r="H24" i="5633" l="1"/>
  <c r="H22" i="5633"/>
  <c r="H3" i="5633"/>
  <c r="H9" i="5633"/>
  <c r="H41" i="5633"/>
  <c r="H11" i="5633"/>
  <c r="H17" i="5633"/>
  <c r="H23" i="5633"/>
  <c r="H43" i="5633"/>
  <c r="H15" i="5633"/>
  <c r="H20" i="5633"/>
  <c r="H13" i="5633"/>
  <c r="H47" i="5633"/>
  <c r="H2" i="5633"/>
  <c r="C17" i="5633"/>
  <c r="H38" i="5633"/>
  <c r="H49" i="5633"/>
  <c r="H12" i="5633"/>
  <c r="H25" i="5633"/>
  <c r="B23" i="5633"/>
  <c r="H4" i="5633"/>
  <c r="H48" i="5633"/>
  <c r="H8" i="5633"/>
  <c r="C18" i="5633"/>
  <c r="H32" i="5633"/>
  <c r="H40" i="5633"/>
  <c r="H51" i="5633"/>
  <c r="H7" i="5633"/>
  <c r="H45" i="5633"/>
  <c r="H34" i="5633"/>
  <c r="H36" i="5633"/>
  <c r="H21" i="5633"/>
  <c r="H14" i="5633"/>
  <c r="H6" i="5633"/>
  <c r="H27" i="5633"/>
  <c r="H28" i="5633"/>
  <c r="C19" i="5633"/>
  <c r="H26" i="5633"/>
  <c r="H52" i="5633"/>
  <c r="H29" i="5633"/>
  <c r="H18" i="5633"/>
  <c r="H16" i="5633"/>
  <c r="H39" i="5633"/>
  <c r="H46" i="5633"/>
  <c r="H30" i="5633"/>
  <c r="H33" i="5633"/>
  <c r="H35" i="5633"/>
  <c r="H42" i="5633"/>
  <c r="H50" i="5633"/>
  <c r="H19" i="5633"/>
  <c r="H31" i="5633"/>
  <c r="H10" i="5633"/>
  <c r="H37" i="5633"/>
  <c r="H44" i="5633"/>
  <c r="O20" i="5625" l="1"/>
  <c r="O21" i="5631"/>
  <c r="O16" i="5631"/>
  <c r="H40" i="5631"/>
  <c r="H39" i="5631"/>
  <c r="C27" i="5631"/>
  <c r="H12" i="5631"/>
  <c r="B24" i="5631"/>
  <c r="C20" i="5631"/>
  <c r="B17" i="5631"/>
  <c r="H18" i="5631" s="1"/>
  <c r="C16" i="5631"/>
  <c r="C15" i="5631"/>
  <c r="C14" i="5631"/>
  <c r="C13" i="5631"/>
  <c r="O12" i="5631"/>
  <c r="C12" i="5631"/>
  <c r="O11" i="5631"/>
  <c r="C11" i="5631"/>
  <c r="O10" i="5631"/>
  <c r="C10" i="5631"/>
  <c r="C9" i="5631"/>
  <c r="H10" i="5631"/>
  <c r="C8" i="5631"/>
  <c r="O7" i="5631"/>
  <c r="C7" i="5631"/>
  <c r="O6" i="5631"/>
  <c r="B6" i="5631"/>
  <c r="O5" i="5631"/>
  <c r="H7" i="5631"/>
  <c r="B5" i="5631"/>
  <c r="O4" i="5631"/>
  <c r="O3" i="5631"/>
  <c r="O2" i="5631"/>
  <c r="O18" i="5621"/>
  <c r="O18" i="5619"/>
  <c r="O19" i="5629"/>
  <c r="O19" i="5623"/>
  <c r="O20" i="5623"/>
  <c r="O20" i="5627"/>
  <c r="O20" i="5629"/>
  <c r="O22" i="5629"/>
  <c r="C27" i="5629"/>
  <c r="B24" i="5629"/>
  <c r="C20" i="5629"/>
  <c r="B17" i="5629"/>
  <c r="H50" i="5629" s="1"/>
  <c r="C16" i="5629"/>
  <c r="C15" i="5629"/>
  <c r="C14" i="5629"/>
  <c r="C13" i="5629"/>
  <c r="O12" i="5629"/>
  <c r="C12" i="5629"/>
  <c r="O11" i="5629"/>
  <c r="C11" i="5629"/>
  <c r="O10" i="5629"/>
  <c r="C10" i="5629"/>
  <c r="C9" i="5629"/>
  <c r="C8" i="5629"/>
  <c r="O7" i="5629"/>
  <c r="C7" i="5629"/>
  <c r="O6" i="5629"/>
  <c r="B6" i="5629"/>
  <c r="O5" i="5629"/>
  <c r="B5" i="5629"/>
  <c r="O4" i="5629"/>
  <c r="O3" i="5629"/>
  <c r="O2" i="5629"/>
  <c r="O19" i="5627"/>
  <c r="O18" i="5627"/>
  <c r="C27" i="5627"/>
  <c r="B24" i="5627"/>
  <c r="C20" i="5627"/>
  <c r="B17" i="5627"/>
  <c r="H52" i="5627" s="1"/>
  <c r="C16" i="5627"/>
  <c r="C15" i="5627"/>
  <c r="C14" i="5627"/>
  <c r="C13" i="5627"/>
  <c r="O12" i="5627"/>
  <c r="C12" i="5627"/>
  <c r="O11" i="5627"/>
  <c r="C11" i="5627"/>
  <c r="O10" i="5627"/>
  <c r="C10" i="5627"/>
  <c r="C9" i="5627"/>
  <c r="C8" i="5627"/>
  <c r="O7" i="5627"/>
  <c r="C7" i="5627"/>
  <c r="O6" i="5627"/>
  <c r="B6" i="5627"/>
  <c r="O5" i="5627"/>
  <c r="B5" i="5627"/>
  <c r="O4" i="5627"/>
  <c r="O3" i="5627"/>
  <c r="O2" i="5627"/>
  <c r="O19" i="5621"/>
  <c r="O23" i="5621"/>
  <c r="O21" i="5619"/>
  <c r="O23" i="5619"/>
  <c r="H14" i="5631" l="1"/>
  <c r="H40" i="5627"/>
  <c r="H41" i="5627"/>
  <c r="H22" i="5627"/>
  <c r="H44" i="5627"/>
  <c r="H14" i="5627"/>
  <c r="H8" i="5627"/>
  <c r="H10" i="5627"/>
  <c r="H12" i="5627"/>
  <c r="H23" i="5631"/>
  <c r="H4" i="5631"/>
  <c r="C18" i="5631"/>
  <c r="H47" i="5631"/>
  <c r="H46" i="5631"/>
  <c r="H5" i="5631"/>
  <c r="H11" i="5631"/>
  <c r="H34" i="5631"/>
  <c r="H9" i="5631"/>
  <c r="H25" i="5631"/>
  <c r="H20" i="5631"/>
  <c r="H35" i="5631"/>
  <c r="H13" i="5631"/>
  <c r="H21" i="5631"/>
  <c r="H22" i="5631"/>
  <c r="H27" i="5631"/>
  <c r="C19" i="5631"/>
  <c r="H15" i="5631"/>
  <c r="H26" i="5631"/>
  <c r="H38" i="5631"/>
  <c r="H49" i="5629"/>
  <c r="H33" i="5629"/>
  <c r="H10" i="5629"/>
  <c r="H35" i="5629"/>
  <c r="H36" i="5629"/>
  <c r="H37" i="5629"/>
  <c r="H9" i="5629"/>
  <c r="H5" i="5629"/>
  <c r="H15" i="5629"/>
  <c r="H2" i="5629"/>
  <c r="H22" i="5629"/>
  <c r="H12" i="5629"/>
  <c r="H14" i="5629"/>
  <c r="H47" i="5629"/>
  <c r="H11" i="5629"/>
  <c r="C18" i="5629"/>
  <c r="C19" i="5629"/>
  <c r="H25" i="5629"/>
  <c r="H20" i="5629"/>
  <c r="H39" i="5629"/>
  <c r="H7" i="5629"/>
  <c r="H19" i="5629"/>
  <c r="H16" i="5629"/>
  <c r="H48" i="5629"/>
  <c r="H45" i="5627"/>
  <c r="H15" i="5627"/>
  <c r="H48" i="5631"/>
  <c r="H49" i="5631"/>
  <c r="H32" i="5631"/>
  <c r="H41" i="5631"/>
  <c r="C17" i="5631"/>
  <c r="B23" i="5631"/>
  <c r="H19" i="5631"/>
  <c r="H42" i="5631"/>
  <c r="H6" i="5631"/>
  <c r="H2" i="5631"/>
  <c r="H3" i="5631"/>
  <c r="H29" i="5631"/>
  <c r="H50" i="5631"/>
  <c r="H8" i="5631"/>
  <c r="H24" i="5631"/>
  <c r="H16" i="5631"/>
  <c r="H30" i="5631"/>
  <c r="H33" i="5631"/>
  <c r="H43" i="5631"/>
  <c r="H52" i="5631"/>
  <c r="H28" i="5631"/>
  <c r="H31" i="5631"/>
  <c r="H36" i="5631"/>
  <c r="H44" i="5631"/>
  <c r="H51" i="5631"/>
  <c r="H17" i="5631"/>
  <c r="H37" i="5631"/>
  <c r="H45" i="5631"/>
  <c r="H6" i="5629"/>
  <c r="H23" i="5629"/>
  <c r="H44" i="5629"/>
  <c r="H3" i="5629"/>
  <c r="H18" i="5629"/>
  <c r="H45" i="5629"/>
  <c r="H48" i="5627"/>
  <c r="H9" i="5627"/>
  <c r="H6" i="5627"/>
  <c r="C19" i="5627"/>
  <c r="H16" i="5627"/>
  <c r="H27" i="5627"/>
  <c r="H11" i="5627"/>
  <c r="H29" i="5627"/>
  <c r="H4" i="5627"/>
  <c r="H17" i="5627"/>
  <c r="H23" i="5627"/>
  <c r="H13" i="5629"/>
  <c r="H24" i="5629"/>
  <c r="H40" i="5629"/>
  <c r="H51" i="5629"/>
  <c r="H28" i="5629"/>
  <c r="H31" i="5629"/>
  <c r="H41" i="5629"/>
  <c r="H4" i="5629"/>
  <c r="H8" i="5629"/>
  <c r="H21" i="5629"/>
  <c r="C17" i="5629"/>
  <c r="B23" i="5629"/>
  <c r="H32" i="5629"/>
  <c r="H43" i="5629"/>
  <c r="H52" i="5629"/>
  <c r="H26" i="5629"/>
  <c r="H29" i="5629"/>
  <c r="H17" i="5629"/>
  <c r="H38" i="5629"/>
  <c r="H46" i="5629"/>
  <c r="H27" i="5629"/>
  <c r="H30" i="5629"/>
  <c r="H34" i="5629"/>
  <c r="H42" i="5629"/>
  <c r="H13" i="5627"/>
  <c r="H49" i="5627"/>
  <c r="C17" i="5627"/>
  <c r="H36" i="5627"/>
  <c r="H19" i="5627"/>
  <c r="H7" i="5627"/>
  <c r="H24" i="5627"/>
  <c r="H26" i="5627"/>
  <c r="H31" i="5627"/>
  <c r="H2" i="5627"/>
  <c r="H3" i="5627"/>
  <c r="H21" i="5627"/>
  <c r="H18" i="5627"/>
  <c r="H37" i="5627"/>
  <c r="H5" i="5627"/>
  <c r="H39" i="5627"/>
  <c r="H47" i="5627"/>
  <c r="H25" i="5627"/>
  <c r="H34" i="5627"/>
  <c r="H42" i="5627"/>
  <c r="H50" i="5627"/>
  <c r="H30" i="5627"/>
  <c r="H32" i="5627"/>
  <c r="H35" i="5627"/>
  <c r="H43" i="5627"/>
  <c r="H51" i="5627"/>
  <c r="H20" i="5627"/>
  <c r="H28" i="5627"/>
  <c r="C18" i="5627"/>
  <c r="B23" i="5627"/>
  <c r="H33" i="5627"/>
  <c r="H38" i="5627"/>
  <c r="H46" i="5627"/>
  <c r="O21" i="5625" l="1"/>
  <c r="O24" i="5625"/>
  <c r="C27" i="5625"/>
  <c r="B24" i="5625"/>
  <c r="C20" i="5625"/>
  <c r="B17" i="5625"/>
  <c r="H25" i="5625" s="1"/>
  <c r="C16" i="5625"/>
  <c r="C15" i="5625"/>
  <c r="C14" i="5625"/>
  <c r="C13" i="5625"/>
  <c r="O12" i="5625"/>
  <c r="C12" i="5625"/>
  <c r="O11" i="5625"/>
  <c r="C11" i="5625"/>
  <c r="O10" i="5625"/>
  <c r="C10" i="5625"/>
  <c r="C9" i="5625"/>
  <c r="C8" i="5625"/>
  <c r="O7" i="5625"/>
  <c r="C7" i="5625"/>
  <c r="O6" i="5625"/>
  <c r="B6" i="5625"/>
  <c r="O5" i="5625"/>
  <c r="B5" i="5625"/>
  <c r="O4" i="5625"/>
  <c r="O3" i="5625"/>
  <c r="O2" i="5625"/>
  <c r="O22" i="5623"/>
  <c r="O17" i="5623"/>
  <c r="C27" i="5623"/>
  <c r="B24" i="5623"/>
  <c r="C20" i="5623"/>
  <c r="B17" i="5623"/>
  <c r="H52" i="5623" s="1"/>
  <c r="C16" i="5623"/>
  <c r="C15" i="5623"/>
  <c r="C14" i="5623"/>
  <c r="C13" i="5623"/>
  <c r="O12" i="5623"/>
  <c r="C12" i="5623"/>
  <c r="O11" i="5623"/>
  <c r="C11" i="5623"/>
  <c r="O10" i="5623"/>
  <c r="C10" i="5623"/>
  <c r="C9" i="5623"/>
  <c r="C8" i="5623"/>
  <c r="O7" i="5623"/>
  <c r="C7" i="5623"/>
  <c r="O6" i="5623"/>
  <c r="B6" i="5623"/>
  <c r="O5" i="5623"/>
  <c r="B5" i="5623"/>
  <c r="O4" i="5623"/>
  <c r="O3" i="5623"/>
  <c r="O2" i="5623"/>
  <c r="O25" i="5619"/>
  <c r="O20" i="5621"/>
  <c r="O22" i="5621"/>
  <c r="C27" i="5621"/>
  <c r="B24" i="5621"/>
  <c r="C20" i="5621"/>
  <c r="B17" i="5621"/>
  <c r="H52" i="5621" s="1"/>
  <c r="C16" i="5621"/>
  <c r="C15" i="5621"/>
  <c r="C14" i="5621"/>
  <c r="C13" i="5621"/>
  <c r="O12" i="5621"/>
  <c r="C12" i="5621"/>
  <c r="O11" i="5621"/>
  <c r="C11" i="5621"/>
  <c r="O10" i="5621"/>
  <c r="C10" i="5621"/>
  <c r="C9" i="5621"/>
  <c r="C8" i="5621"/>
  <c r="O7" i="5621"/>
  <c r="C7" i="5621"/>
  <c r="O6" i="5621"/>
  <c r="B6" i="5621"/>
  <c r="O5" i="5621"/>
  <c r="B5" i="5621"/>
  <c r="O4" i="5621"/>
  <c r="O3" i="5621"/>
  <c r="O2" i="5621"/>
  <c r="O19" i="5619"/>
  <c r="O20" i="5619"/>
  <c r="C27" i="5619"/>
  <c r="B24" i="5619"/>
  <c r="C20" i="5619"/>
  <c r="B17" i="5619"/>
  <c r="H51" i="5619" s="1"/>
  <c r="C16" i="5619"/>
  <c r="C15" i="5619"/>
  <c r="C14" i="5619"/>
  <c r="C13" i="5619"/>
  <c r="O12" i="5619"/>
  <c r="C12" i="5619"/>
  <c r="O11" i="5619"/>
  <c r="C11" i="5619"/>
  <c r="O10" i="5619"/>
  <c r="C10" i="5619"/>
  <c r="C9" i="5619"/>
  <c r="C8" i="5619"/>
  <c r="O7" i="5619"/>
  <c r="C7" i="5619"/>
  <c r="O6" i="5619"/>
  <c r="B6" i="5619"/>
  <c r="O5" i="5619"/>
  <c r="B5" i="5619"/>
  <c r="O4" i="5619"/>
  <c r="O3" i="5619"/>
  <c r="O2" i="5619"/>
  <c r="H23" i="5623" l="1"/>
  <c r="H17" i="5621"/>
  <c r="H22" i="5621"/>
  <c r="H23" i="5625"/>
  <c r="H13" i="5625"/>
  <c r="H26" i="5625"/>
  <c r="H2" i="5625"/>
  <c r="H2" i="5623"/>
  <c r="H10" i="5619"/>
  <c r="H11" i="5621"/>
  <c r="H14" i="5621"/>
  <c r="H8" i="5621"/>
  <c r="H18" i="5625"/>
  <c r="H37" i="5625"/>
  <c r="C17" i="5625"/>
  <c r="H11" i="5625"/>
  <c r="H16" i="5625"/>
  <c r="H45" i="5625"/>
  <c r="H7" i="5625"/>
  <c r="H10" i="5625"/>
  <c r="H20" i="5625"/>
  <c r="H12" i="5625"/>
  <c r="H6" i="5625"/>
  <c r="H4" i="5625"/>
  <c r="H5" i="5625"/>
  <c r="C18" i="5625"/>
  <c r="B23" i="5625"/>
  <c r="H33" i="5625"/>
  <c r="H38" i="5625"/>
  <c r="H52" i="5625"/>
  <c r="H3" i="5625"/>
  <c r="H9" i="5625"/>
  <c r="H31" i="5625"/>
  <c r="H27" i="5625"/>
  <c r="H19" i="5625"/>
  <c r="H39" i="5625"/>
  <c r="H47" i="5625"/>
  <c r="H30" i="5625"/>
  <c r="H46" i="5625"/>
  <c r="H17" i="5625"/>
  <c r="C19" i="5625"/>
  <c r="H29" i="5625"/>
  <c r="H40" i="5625"/>
  <c r="H48" i="5625"/>
  <c r="H24" i="5625"/>
  <c r="H41" i="5625"/>
  <c r="H49" i="5625"/>
  <c r="H15" i="5625"/>
  <c r="H22" i="5625"/>
  <c r="H34" i="5625"/>
  <c r="H42" i="5625"/>
  <c r="H50" i="5625"/>
  <c r="H32" i="5625"/>
  <c r="H28" i="5625"/>
  <c r="H35" i="5625"/>
  <c r="H43" i="5625"/>
  <c r="H51" i="5625"/>
  <c r="H8" i="5625"/>
  <c r="H21" i="5625"/>
  <c r="H14" i="5625"/>
  <c r="H36" i="5625"/>
  <c r="H44" i="5625"/>
  <c r="H29" i="5619"/>
  <c r="H3" i="5619"/>
  <c r="H27" i="5619"/>
  <c r="H15" i="5619"/>
  <c r="H6" i="5619"/>
  <c r="H45" i="5619"/>
  <c r="H8" i="5623"/>
  <c r="H32" i="5623"/>
  <c r="H10" i="5623"/>
  <c r="H7" i="5623"/>
  <c r="H40" i="5623"/>
  <c r="H22" i="5623"/>
  <c r="H27" i="5623"/>
  <c r="H3" i="5623"/>
  <c r="C17" i="5623"/>
  <c r="H19" i="5623"/>
  <c r="H13" i="5623"/>
  <c r="H30" i="5623"/>
  <c r="H26" i="5623"/>
  <c r="H9" i="5623"/>
  <c r="C19" i="5623"/>
  <c r="H4" i="5623"/>
  <c r="H15" i="5623"/>
  <c r="H39" i="5623"/>
  <c r="H41" i="5623"/>
  <c r="H12" i="5623"/>
  <c r="H48" i="5623"/>
  <c r="H47" i="5623"/>
  <c r="H49" i="5623"/>
  <c r="H16" i="5623"/>
  <c r="H33" i="5623"/>
  <c r="H35" i="5623"/>
  <c r="H42" i="5623"/>
  <c r="H50" i="5623"/>
  <c r="H31" i="5623"/>
  <c r="H25" i="5623"/>
  <c r="H28" i="5623"/>
  <c r="H43" i="5623"/>
  <c r="H51" i="5623"/>
  <c r="H20" i="5623"/>
  <c r="H14" i="5623"/>
  <c r="H36" i="5623"/>
  <c r="H44" i="5623"/>
  <c r="H17" i="5623"/>
  <c r="H18" i="5623"/>
  <c r="H24" i="5623"/>
  <c r="H11" i="5623"/>
  <c r="H37" i="5623"/>
  <c r="H45" i="5623"/>
  <c r="H5" i="5623"/>
  <c r="H6" i="5623"/>
  <c r="H21" i="5623"/>
  <c r="H29" i="5623"/>
  <c r="C18" i="5623"/>
  <c r="B23" i="5623"/>
  <c r="H34" i="5623"/>
  <c r="H38" i="5623"/>
  <c r="H46" i="5623"/>
  <c r="H34" i="5619"/>
  <c r="H24" i="5619"/>
  <c r="H12" i="5619"/>
  <c r="H46" i="5619"/>
  <c r="H14" i="5619"/>
  <c r="H23" i="5621"/>
  <c r="H41" i="5621"/>
  <c r="H18" i="5621"/>
  <c r="H44" i="5621"/>
  <c r="H45" i="5621"/>
  <c r="H28" i="5621"/>
  <c r="H47" i="5621"/>
  <c r="H48" i="5621"/>
  <c r="H4" i="5621"/>
  <c r="C17" i="5621"/>
  <c r="H10" i="5621"/>
  <c r="H37" i="5621"/>
  <c r="H49" i="5621"/>
  <c r="H7" i="5621"/>
  <c r="H20" i="5621"/>
  <c r="H3" i="5621"/>
  <c r="H33" i="5621"/>
  <c r="H12" i="5621"/>
  <c r="H39" i="5621"/>
  <c r="H15" i="5621"/>
  <c r="H31" i="5621"/>
  <c r="H26" i="5621"/>
  <c r="H13" i="5621"/>
  <c r="H36" i="5621"/>
  <c r="H19" i="5621"/>
  <c r="H27" i="5621"/>
  <c r="H2" i="5621"/>
  <c r="H9" i="5621"/>
  <c r="C19" i="5621"/>
  <c r="H40" i="5621"/>
  <c r="H5" i="5621"/>
  <c r="H16" i="5621"/>
  <c r="H29" i="5621"/>
  <c r="H35" i="5621"/>
  <c r="H42" i="5621"/>
  <c r="H50" i="5621"/>
  <c r="H34" i="5621"/>
  <c r="H25" i="5621"/>
  <c r="H30" i="5621"/>
  <c r="H43" i="5621"/>
  <c r="H51" i="5621"/>
  <c r="H6" i="5621"/>
  <c r="H21" i="5621"/>
  <c r="H32" i="5621"/>
  <c r="C18" i="5621"/>
  <c r="B23" i="5621"/>
  <c r="H24" i="5621"/>
  <c r="H38" i="5621"/>
  <c r="H46" i="5621"/>
  <c r="H2" i="5619"/>
  <c r="H39" i="5619"/>
  <c r="H38" i="5619"/>
  <c r="H48" i="5619"/>
  <c r="H13" i="5619"/>
  <c r="C18" i="5619"/>
  <c r="H50" i="5619"/>
  <c r="B23" i="5619"/>
  <c r="H8" i="5619"/>
  <c r="H22" i="5619"/>
  <c r="H19" i="5619"/>
  <c r="H32" i="5619"/>
  <c r="H35" i="5619"/>
  <c r="H40" i="5619"/>
  <c r="C19" i="5619"/>
  <c r="H18" i="5619"/>
  <c r="C17" i="5619"/>
  <c r="H49" i="5619"/>
  <c r="H7" i="5619"/>
  <c r="H21" i="5619"/>
  <c r="H26" i="5619"/>
  <c r="H4" i="5619"/>
  <c r="H11" i="5619"/>
  <c r="H42" i="5619"/>
  <c r="H20" i="5619"/>
  <c r="H16" i="5619"/>
  <c r="H9" i="5619"/>
  <c r="H33" i="5619"/>
  <c r="H52" i="5619"/>
  <c r="H28" i="5619"/>
  <c r="H25" i="5619"/>
  <c r="H43" i="5619"/>
  <c r="H5" i="5619"/>
  <c r="H36" i="5619"/>
  <c r="H23" i="5619"/>
  <c r="H17" i="5619"/>
  <c r="H41" i="5619"/>
  <c r="H47" i="5619"/>
  <c r="H37" i="5619"/>
  <c r="H30" i="5619"/>
  <c r="H31" i="5619"/>
  <c r="H44" i="5619"/>
  <c r="H52" i="2228" l="1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C27" i="2228"/>
  <c r="H26" i="2228"/>
  <c r="H25" i="2228"/>
  <c r="H24" i="2228"/>
  <c r="B24" i="2228"/>
  <c r="H23" i="2228"/>
  <c r="B23" i="2228"/>
  <c r="H22" i="2228"/>
  <c r="H21" i="2228"/>
  <c r="H20" i="2228"/>
  <c r="C20" i="2228"/>
  <c r="H19" i="2228"/>
  <c r="C19" i="2228"/>
  <c r="H18" i="2228"/>
  <c r="C18" i="2228"/>
  <c r="H17" i="2228"/>
  <c r="C17" i="2228"/>
  <c r="B17" i="2228"/>
  <c r="H16" i="2228"/>
  <c r="C16" i="2228"/>
  <c r="H15" i="2228"/>
  <c r="C15" i="2228"/>
  <c r="H14" i="2228"/>
  <c r="C14" i="2228"/>
  <c r="H13" i="2228"/>
  <c r="C13" i="2228"/>
  <c r="O12" i="2228"/>
  <c r="H12" i="2228"/>
  <c r="C12" i="2228"/>
  <c r="O11" i="2228"/>
  <c r="H11" i="2228"/>
  <c r="C11" i="2228"/>
  <c r="O10" i="2228"/>
  <c r="H10" i="2228"/>
  <c r="C10" i="2228"/>
  <c r="H9" i="2228"/>
  <c r="C9" i="2228"/>
  <c r="H8" i="2228"/>
  <c r="C8" i="2228"/>
  <c r="O7" i="2228"/>
  <c r="H7" i="2228"/>
  <c r="C7" i="2228"/>
  <c r="O6" i="2228"/>
  <c r="H6" i="2228"/>
  <c r="B6" i="2228"/>
  <c r="O5" i="2228"/>
  <c r="H5" i="2228"/>
  <c r="B5" i="2228"/>
  <c r="O4" i="2228"/>
  <c r="H4" i="2228"/>
  <c r="O3" i="2228"/>
  <c r="H3" i="2228"/>
  <c r="O2" i="2228"/>
  <c r="H2" i="2228"/>
</calcChain>
</file>

<file path=xl/sharedStrings.xml><?xml version="1.0" encoding="utf-8"?>
<sst xmlns="http://schemas.openxmlformats.org/spreadsheetml/2006/main" count="3906" uniqueCount="304">
  <si>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</si>
  <si>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</si>
  <si>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</si>
  <si>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</si>
  <si>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</si>
  <si>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</si>
  <si>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</si>
  <si>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</si>
  <si>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</si>
  <si>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</si>
  <si>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</si>
  <si>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</si>
  <si>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</si>
  <si>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</si>
  <si>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</si>
  <si>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</si>
  <si>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</si>
  <si>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</si>
  <si>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</si>
  <si>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</si>
  <si>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</si>
  <si>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</si>
  <si>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</si>
  <si>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</si>
  <si>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</si>
  <si>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</si>
  <si>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</si>
  <si>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</si>
  <si>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</si>
  <si>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</si>
  <si>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</si>
  <si>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</si>
  <si>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</si>
  <si>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</si>
  <si>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</si>
  <si>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</si>
  <si>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</si>
  <si>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</si>
  <si>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</si>
  <si>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</si>
  <si>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</si>
  <si>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</si>
  <si>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</si>
  <si>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</si>
  <si>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</si>
  <si>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</si>
  <si>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</si>
  <si>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</si>
  <si>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</si>
  <si>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</si>
  <si>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</si>
  <si>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</si>
  <si>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</si>
  <si>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</si>
  <si>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</si>
  <si>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</si>
  <si>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</si>
  <si>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</si>
  <si>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</si>
  <si>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</si>
  <si>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</si>
  <si>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</si>
  <si>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</si>
  <si>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</si>
  <si>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</si>
  <si>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</si>
  <si>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</si>
  <si>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</si>
  <si>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</si>
  <si>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</si>
  <si>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</si>
  <si>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</si>
  <si>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</si>
  <si>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</si>
  <si>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</si>
  <si>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</si>
  <si>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</si>
  <si>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</si>
  <si>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</si>
  <si>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</si>
  <si>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</si>
  <si>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</si>
  <si>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</si>
  <si>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</si>
  <si>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</si>
  <si>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</si>
  <si>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</si>
  <si>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</si>
  <si>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</si>
  <si>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</si>
  <si>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</si>
  <si>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</si>
  <si>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</si>
  <si>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</si>
  <si>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</si>
  <si>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</si>
  <si>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</si>
  <si>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</si>
  <si>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</si>
  <si>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</si>
  <si>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</si>
  <si>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</si>
  <si>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</si>
  <si>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</si>
  <si>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</si>
  <si>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</si>
  <si>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</si>
  <si>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</si>
  <si>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</si>
  <si>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</si>
  <si>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</si>
  <si>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</si>
  <si>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</si>
  <si>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</si>
  <si>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</si>
  <si>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</si>
  <si>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</si>
  <si>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</si>
  <si>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</si>
  <si>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</si>
  <si>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</si>
  <si>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</si>
  <si>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</si>
  <si>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</si>
  <si>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</si>
  <si>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</si>
  <si>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</si>
  <si>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</si>
  <si>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</si>
  <si>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</si>
  <si>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</si>
  <si>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</si>
  <si>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</si>
  <si>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</si>
  <si>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</si>
  <si>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</si>
  <si>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</si>
  <si>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</si>
  <si>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</si>
  <si>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</si>
  <si>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</si>
  <si>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</si>
  <si>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</si>
  <si>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</si>
  <si>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</si>
  <si>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</si>
  <si>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</si>
  <si>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</si>
  <si>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</si>
  <si>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</si>
  <si>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</si>
  <si>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</si>
  <si>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</si>
  <si>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</si>
  <si>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</si>
  <si>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</si>
  <si>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</si>
  <si>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</si>
  <si>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</si>
  <si>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</si>
  <si>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</si>
  <si>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</si>
  <si>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</si>
  <si>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</si>
  <si>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</si>
  <si>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</si>
  <si>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</si>
  <si>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</si>
  <si>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</si>
  <si>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</si>
  <si>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</si>
  <si>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</si>
  <si>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</si>
  <si>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</si>
  <si>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</si>
  <si>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</si>
  <si>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</si>
  <si>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</si>
  <si>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</si>
  <si>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</si>
  <si>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</si>
  <si>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</si>
  <si>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</si>
  <si>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</si>
  <si>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</si>
  <si>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</si>
  <si>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</si>
  <si>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</si>
  <si>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</si>
  <si>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</si>
  <si>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</si>
  <si>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</si>
  <si>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</si>
  <si>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</si>
  <si>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</si>
  <si>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</si>
  <si>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</si>
  <si>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</si>
  <si>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</si>
  <si>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</si>
  <si>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</si>
  <si>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</si>
  <si>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</si>
  <si>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</si>
  <si>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</si>
  <si>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</si>
  <si>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</si>
  <si>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</si>
  <si>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</si>
  <si>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</si>
  <si>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</si>
  <si>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</si>
  <si>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</si>
  <si>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</si>
  <si>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</si>
  <si>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</si>
  <si>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</si>
  <si>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</si>
  <si>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</si>
  <si>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</si>
  <si>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</si>
  <si>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</si>
  <si>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</si>
  <si>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</si>
  <si>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</si>
  <si>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</si>
  <si>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</si>
  <si>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</si>
  <si>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</si>
  <si>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</si>
  <si>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</si>
  <si>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</si>
  <si>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</si>
  <si>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</si>
  <si>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</si>
  <si>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</si>
  <si>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</si>
  <si>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</si>
  <si>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</si>
  <si>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</si>
  <si>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</si>
  <si>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</si>
  <si>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</si>
  <si>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</si>
  <si>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</si>
  <si>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</si>
  <si>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</si>
  <si>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</si>
  <si>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</si>
  <si>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</si>
  <si>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</si>
  <si>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</si>
  <si>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</si>
  <si>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</si>
  <si>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</si>
  <si>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</si>
  <si>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</si>
  <si>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</si>
  <si>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</si>
  <si>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</si>
  <si>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</si>
  <si>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</si>
  <si>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</si>
  <si>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</si>
  <si>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</si>
  <si>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</si>
  <si>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</si>
  <si>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</si>
  <si>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</si>
  <si>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</si>
  <si>
    <t>2019-07-01@2.xlsm</t>
  </si>
  <si>
    <t>のり</t>
  </si>
  <si>
    <t>2019-07-02@2.xlsm</t>
  </si>
  <si>
    <t>2019-07-04@2.xlsm</t>
  </si>
  <si>
    <t>2019-07-05@2.xlsm</t>
  </si>
  <si>
    <t>2019-07-07@2.xlsm</t>
  </si>
  <si>
    <t>2019-07-09@2.xlsm</t>
  </si>
  <si>
    <t>2019-07-10@1.xlsm</t>
  </si>
  <si>
    <t>2019-07-11@2.xlsm</t>
  </si>
  <si>
    <t>2019-07-12@2.xlsm</t>
  </si>
  <si>
    <t>2019-07-13@2.xlsm</t>
  </si>
  <si>
    <t>2019-07-14@AllStar.xlsm</t>
  </si>
  <si>
    <t>Sheet10</t>
  </si>
  <si>
    <t>Sheet11</t>
  </si>
  <si>
    <t>Sheet12</t>
  </si>
  <si>
    <t>Sheet13</t>
  </si>
  <si>
    <t>2019-07-14@2.xlsm</t>
  </si>
  <si>
    <t>2019-07-15@2.xlsm</t>
  </si>
  <si>
    <t>2019-07-16@1.xlsm</t>
  </si>
  <si>
    <t>2019-07-16@2.xlsm</t>
  </si>
  <si>
    <t>2019-07-20@2.xlsm</t>
  </si>
  <si>
    <t>2019-07-22@2.xlsm</t>
  </si>
  <si>
    <t>2019-07-26@2.xlsm</t>
  </si>
  <si>
    <t>2019-07-27@2.xlsm</t>
  </si>
  <si>
    <t>2019-08-02@2.xlsm</t>
  </si>
  <si>
    <t>2019-08-03@2.xlsm</t>
  </si>
  <si>
    <t>2019-08-05@2.xlsm</t>
  </si>
  <si>
    <t>2019-08-06@2.xlsm</t>
  </si>
  <si>
    <t>2019-08-07@2.xlsm</t>
  </si>
  <si>
    <t>2019-08-08@2.xlsm</t>
  </si>
  <si>
    <t>2019-09-18@2.xlsm</t>
  </si>
  <si>
    <t>ちさと</t>
  </si>
  <si>
    <t>2019-09-22@2.xlsm</t>
  </si>
  <si>
    <t>2019-09-23@2.xlsm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</si>
</sst>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4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hartsheet" Target="chartsheets/sheet7.xml"/><Relationship Id="rId47" Type="http://schemas.openxmlformats.org/officeDocument/2006/relationships/chartsheet" Target="chartsheets/sheet12.xml"/><Relationship Id="rId50" Type="http://schemas.openxmlformats.org/officeDocument/2006/relationships/chartsheet" Target="chartsheets/sheet15.xml"/><Relationship Id="rId55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3.xml"/><Relationship Id="rId46" Type="http://schemas.openxmlformats.org/officeDocument/2006/relationships/chartsheet" Target="chartsheets/sheet1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6.xml"/><Relationship Id="rId54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2.xml"/><Relationship Id="rId40" Type="http://schemas.openxmlformats.org/officeDocument/2006/relationships/chartsheet" Target="chartsheets/sheet5.xml"/><Relationship Id="rId45" Type="http://schemas.openxmlformats.org/officeDocument/2006/relationships/chartsheet" Target="chartsheets/sheet10.xml"/><Relationship Id="rId53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1.xml"/><Relationship Id="rId49" Type="http://schemas.openxmlformats.org/officeDocument/2006/relationships/chartsheet" Target="chartsheets/sheet14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9.xml"/><Relationship Id="rId5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hartsheet" Target="chartsheets/sheet8.xml"/><Relationship Id="rId48" Type="http://schemas.openxmlformats.org/officeDocument/2006/relationships/chartsheet" Target="chartsheets/sheet13.xml"/><Relationship Id="rId5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chartsheet" Target="chartsheets/sheet16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全体!$K$2:$K$1028</c:f>
              <c:numCache>
                <c:formatCode>General</c:formatCode>
                <c:ptCount val="102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</c:numCache>
            </c:numRef>
          </c:xVal>
          <c:yVal>
            <c:numRef>
              <c:f>全体!$L$2:$L$1028</c:f>
              <c:numCache>
                <c:formatCode>\+0.0;\-0.0;\±0</c:formatCode>
                <c:ptCount val="102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12.200000000000014</c:v>
                </c:pt>
                <c:pt idx="740">
                  <c:v>55.100000000000009</c:v>
                </c:pt>
                <c:pt idx="741">
                  <c:v>7.1054273576010019E-15</c:v>
                </c:pt>
                <c:pt idx="742">
                  <c:v>9.0000000000000071</c:v>
                </c:pt>
                <c:pt idx="743">
                  <c:v>-37.699999999999996</c:v>
                </c:pt>
                <c:pt idx="744">
                  <c:v>7.1054273576010019E-15</c:v>
                </c:pt>
                <c:pt idx="745">
                  <c:v>-11.999999999999993</c:v>
                </c:pt>
                <c:pt idx="746">
                  <c:v>65.099999999999994</c:v>
                </c:pt>
                <c:pt idx="747">
                  <c:v>0</c:v>
                </c:pt>
                <c:pt idx="748">
                  <c:v>14.7</c:v>
                </c:pt>
                <c:pt idx="749">
                  <c:v>75.2</c:v>
                </c:pt>
                <c:pt idx="750">
                  <c:v>0</c:v>
                </c:pt>
                <c:pt idx="751">
                  <c:v>-43.2</c:v>
                </c:pt>
                <c:pt idx="752">
                  <c:v>-39.800000000000004</c:v>
                </c:pt>
                <c:pt idx="753">
                  <c:v>-7.1054273576010019E-15</c:v>
                </c:pt>
                <c:pt idx="754">
                  <c:v>-53.300000000000004</c:v>
                </c:pt>
                <c:pt idx="755">
                  <c:v>-61.600000000000009</c:v>
                </c:pt>
                <c:pt idx="756">
                  <c:v>-7.1054273576010019E-15</c:v>
                </c:pt>
                <c:pt idx="757">
                  <c:v>31.699999999999992</c:v>
                </c:pt>
                <c:pt idx="758">
                  <c:v>-10.100000000000005</c:v>
                </c:pt>
                <c:pt idx="759">
                  <c:v>-5.3290705182007514E-15</c:v>
                </c:pt>
                <c:pt idx="760">
                  <c:v>42.699999999999996</c:v>
                </c:pt>
                <c:pt idx="761">
                  <c:v>-2.6000000000000014</c:v>
                </c:pt>
                <c:pt idx="762">
                  <c:v>-1.3322676295501878E-15</c:v>
                </c:pt>
                <c:pt idx="763">
                  <c:v>62</c:v>
                </c:pt>
                <c:pt idx="764">
                  <c:v>3.8999999999999986</c:v>
                </c:pt>
                <c:pt idx="765">
                  <c:v>-1.3322676295501878E-15</c:v>
                </c:pt>
                <c:pt idx="766">
                  <c:v>35</c:v>
                </c:pt>
                <c:pt idx="767">
                  <c:v>-9.6000000000000014</c:v>
                </c:pt>
                <c:pt idx="768">
                  <c:v>-1.7763568394002505E-15</c:v>
                </c:pt>
                <c:pt idx="769">
                  <c:v>39.299999999999997</c:v>
                </c:pt>
                <c:pt idx="770">
                  <c:v>-19</c:v>
                </c:pt>
                <c:pt idx="771">
                  <c:v>0</c:v>
                </c:pt>
                <c:pt idx="772">
                  <c:v>1.1000000000000001</c:v>
                </c:pt>
                <c:pt idx="773">
                  <c:v>-34.699999999999996</c:v>
                </c:pt>
                <c:pt idx="774">
                  <c:v>7.1054273576010019E-15</c:v>
                </c:pt>
                <c:pt idx="775">
                  <c:v>-32.099999999999994</c:v>
                </c:pt>
                <c:pt idx="776">
                  <c:v>-36.399999999999991</c:v>
                </c:pt>
                <c:pt idx="777">
                  <c:v>7.1054273576010019E-15</c:v>
                </c:pt>
                <c:pt idx="778">
                  <c:v>-7.3999999999999932</c:v>
                </c:pt>
                <c:pt idx="779">
                  <c:v>-66</c:v>
                </c:pt>
                <c:pt idx="780">
                  <c:v>0</c:v>
                </c:pt>
                <c:pt idx="781">
                  <c:v>-55.4</c:v>
                </c:pt>
                <c:pt idx="782">
                  <c:v>-42.599999999999994</c:v>
                </c:pt>
                <c:pt idx="783">
                  <c:v>7.1054273576010019E-15</c:v>
                </c:pt>
                <c:pt idx="784">
                  <c:v>17.800000000000008</c:v>
                </c:pt>
                <c:pt idx="785">
                  <c:v>-49.199999999999989</c:v>
                </c:pt>
                <c:pt idx="786">
                  <c:v>1.4210854715202004E-14</c:v>
                </c:pt>
                <c:pt idx="787">
                  <c:v>-17.899999999999984</c:v>
                </c:pt>
                <c:pt idx="788">
                  <c:v>80.400000000000006</c:v>
                </c:pt>
                <c:pt idx="789">
                  <c:v>0</c:v>
                </c:pt>
                <c:pt idx="790">
                  <c:v>9.5</c:v>
                </c:pt>
                <c:pt idx="791">
                  <c:v>-50</c:v>
                </c:pt>
                <c:pt idx="792">
                  <c:v>0</c:v>
                </c:pt>
                <c:pt idx="793">
                  <c:v>-55.3</c:v>
                </c:pt>
                <c:pt idx="794">
                  <c:v>3.5</c:v>
                </c:pt>
                <c:pt idx="795">
                  <c:v>0</c:v>
                </c:pt>
                <c:pt idx="796">
                  <c:v>31</c:v>
                </c:pt>
                <c:pt idx="797">
                  <c:v>-5</c:v>
                </c:pt>
                <c:pt idx="798">
                  <c:v>0</c:v>
                </c:pt>
                <c:pt idx="799">
                  <c:v>-35.299999999999997</c:v>
                </c:pt>
                <c:pt idx="800">
                  <c:v>-38.9</c:v>
                </c:pt>
                <c:pt idx="801">
                  <c:v>0</c:v>
                </c:pt>
                <c:pt idx="802">
                  <c:v>41.1</c:v>
                </c:pt>
                <c:pt idx="803">
                  <c:v>52</c:v>
                </c:pt>
                <c:pt idx="804">
                  <c:v>0</c:v>
                </c:pt>
                <c:pt idx="805">
                  <c:v>54.6</c:v>
                </c:pt>
                <c:pt idx="806">
                  <c:v>55.9</c:v>
                </c:pt>
                <c:pt idx="807">
                  <c:v>0</c:v>
                </c:pt>
                <c:pt idx="808">
                  <c:v>27.5</c:v>
                </c:pt>
                <c:pt idx="809">
                  <c:v>28.5</c:v>
                </c:pt>
                <c:pt idx="810">
                  <c:v>0</c:v>
                </c:pt>
                <c:pt idx="811">
                  <c:v>33.4</c:v>
                </c:pt>
                <c:pt idx="812">
                  <c:v>0.10000000000000142</c:v>
                </c:pt>
                <c:pt idx="813">
                  <c:v>1.4155343563970746E-15</c:v>
                </c:pt>
                <c:pt idx="814">
                  <c:v>38.299999999999997</c:v>
                </c:pt>
                <c:pt idx="815">
                  <c:v>-12.900000000000006</c:v>
                </c:pt>
                <c:pt idx="816">
                  <c:v>-5.3290705182007514E-15</c:v>
                </c:pt>
                <c:pt idx="817">
                  <c:v>47.899999999999991</c:v>
                </c:pt>
                <c:pt idx="818">
                  <c:v>-22.600000000000009</c:v>
                </c:pt>
                <c:pt idx="819">
                  <c:v>-7.1054273576010019E-15</c:v>
                </c:pt>
                <c:pt idx="820">
                  <c:v>-7.6000000000000068</c:v>
                </c:pt>
                <c:pt idx="821">
                  <c:v>-54.600000000000009</c:v>
                </c:pt>
                <c:pt idx="822">
                  <c:v>-7.1054273576010019E-15</c:v>
                </c:pt>
                <c:pt idx="823">
                  <c:v>-34.600000000000009</c:v>
                </c:pt>
                <c:pt idx="824">
                  <c:v>9.0999999999999943</c:v>
                </c:pt>
                <c:pt idx="825">
                  <c:v>-5.3290705182007514E-15</c:v>
                </c:pt>
                <c:pt idx="826">
                  <c:v>-29.500000000000007</c:v>
                </c:pt>
                <c:pt idx="827">
                  <c:v>-30.000000000000007</c:v>
                </c:pt>
                <c:pt idx="828">
                  <c:v>-7.1054273576010019E-15</c:v>
                </c:pt>
                <c:pt idx="829">
                  <c:v>0.89999999999999292</c:v>
                </c:pt>
                <c:pt idx="830">
                  <c:v>49.79999999999999</c:v>
                </c:pt>
                <c:pt idx="831">
                  <c:v>-7.1054273576010019E-15</c:v>
                </c:pt>
                <c:pt idx="832">
                  <c:v>-23.700000000000006</c:v>
                </c:pt>
                <c:pt idx="833">
                  <c:v>-0.60000000000000497</c:v>
                </c:pt>
                <c:pt idx="834">
                  <c:v>-4.9960036108132044E-15</c:v>
                </c:pt>
                <c:pt idx="835">
                  <c:v>8.9999999999999947</c:v>
                </c:pt>
                <c:pt idx="836">
                  <c:v>-31.500000000000007</c:v>
                </c:pt>
                <c:pt idx="837">
                  <c:v>-7.1054273576010019E-15</c:v>
                </c:pt>
                <c:pt idx="838">
                  <c:v>26.899999999999991</c:v>
                </c:pt>
                <c:pt idx="839">
                  <c:v>28.399999999999991</c:v>
                </c:pt>
                <c:pt idx="840">
                  <c:v>-7.1054273576010019E-15</c:v>
                </c:pt>
                <c:pt idx="841">
                  <c:v>-33.800000000000004</c:v>
                </c:pt>
                <c:pt idx="842">
                  <c:v>5.0999999999999943</c:v>
                </c:pt>
                <c:pt idx="843">
                  <c:v>-5.3290705182007514E-15</c:v>
                </c:pt>
                <c:pt idx="844">
                  <c:v>-31.800000000000004</c:v>
                </c:pt>
                <c:pt idx="845">
                  <c:v>-1.5000000000000036</c:v>
                </c:pt>
                <c:pt idx="846">
                  <c:v>-3.5527136788005009E-15</c:v>
                </c:pt>
                <c:pt idx="847">
                  <c:v>-0.8000000000000036</c:v>
                </c:pt>
                <c:pt idx="848">
                  <c:v>26.899999999999995</c:v>
                </c:pt>
                <c:pt idx="849">
                  <c:v>-3.5527136788005009E-15</c:v>
                </c:pt>
                <c:pt idx="850">
                  <c:v>72</c:v>
                </c:pt>
                <c:pt idx="851">
                  <c:v>62</c:v>
                </c:pt>
                <c:pt idx="852">
                  <c:v>0</c:v>
                </c:pt>
                <c:pt idx="853">
                  <c:v>-32.700000000000003</c:v>
                </c:pt>
                <c:pt idx="854">
                  <c:v>-31.1</c:v>
                </c:pt>
                <c:pt idx="855">
                  <c:v>0</c:v>
                </c:pt>
                <c:pt idx="856">
                  <c:v>-36.6</c:v>
                </c:pt>
                <c:pt idx="857">
                  <c:v>-0.80000000000000426</c:v>
                </c:pt>
                <c:pt idx="858">
                  <c:v>-4.2188474935755949E-15</c:v>
                </c:pt>
                <c:pt idx="859">
                  <c:v>-29.400000000000002</c:v>
                </c:pt>
                <c:pt idx="860">
                  <c:v>-37.6</c:v>
                </c:pt>
                <c:pt idx="861">
                  <c:v>0</c:v>
                </c:pt>
                <c:pt idx="862">
                  <c:v>-48.3</c:v>
                </c:pt>
                <c:pt idx="863">
                  <c:v>-53.199999999999996</c:v>
                </c:pt>
                <c:pt idx="864">
                  <c:v>7.1054273576010019E-15</c:v>
                </c:pt>
                <c:pt idx="865">
                  <c:v>-32.79999999999999</c:v>
                </c:pt>
                <c:pt idx="866">
                  <c:v>3.3000000000000114</c:v>
                </c:pt>
                <c:pt idx="867">
                  <c:v>1.1546319456101628E-14</c:v>
                </c:pt>
                <c:pt idx="868">
                  <c:v>-1.7999999999999885</c:v>
                </c:pt>
                <c:pt idx="869">
                  <c:v>-28.199999999999989</c:v>
                </c:pt>
                <c:pt idx="870">
                  <c:v>1.0658141036401503E-14</c:v>
                </c:pt>
                <c:pt idx="871">
                  <c:v>-56.799999999999983</c:v>
                </c:pt>
                <c:pt idx="872">
                  <c:v>4.2000000000000171</c:v>
                </c:pt>
                <c:pt idx="873">
                  <c:v>1.6875389974302379E-14</c:v>
                </c:pt>
                <c:pt idx="874">
                  <c:v>-32.499999999999986</c:v>
                </c:pt>
                <c:pt idx="875">
                  <c:v>2.9000000000000128</c:v>
                </c:pt>
                <c:pt idx="876">
                  <c:v>1.2878587085651816E-14</c:v>
                </c:pt>
                <c:pt idx="877">
                  <c:v>-12.699999999999987</c:v>
                </c:pt>
                <c:pt idx="878">
                  <c:v>42.800000000000011</c:v>
                </c:pt>
                <c:pt idx="879">
                  <c:v>1.4210854715202004E-14</c:v>
                </c:pt>
                <c:pt idx="880">
                  <c:v>-43.099999999999987</c:v>
                </c:pt>
                <c:pt idx="881">
                  <c:v>-9.7999999999999901</c:v>
                </c:pt>
                <c:pt idx="882">
                  <c:v>1.0658141036401503E-14</c:v>
                </c:pt>
                <c:pt idx="883">
                  <c:v>26.500000000000011</c:v>
                </c:pt>
                <c:pt idx="884">
                  <c:v>-0.29999999999999005</c:v>
                </c:pt>
                <c:pt idx="885">
                  <c:v>9.936496070395151E-15</c:v>
                </c:pt>
                <c:pt idx="886">
                  <c:v>40.800000000000004</c:v>
                </c:pt>
                <c:pt idx="887">
                  <c:v>34.1</c:v>
                </c:pt>
                <c:pt idx="888">
                  <c:v>0</c:v>
                </c:pt>
                <c:pt idx="889">
                  <c:v>-3</c:v>
                </c:pt>
                <c:pt idx="890">
                  <c:v>37.4</c:v>
                </c:pt>
                <c:pt idx="891">
                  <c:v>0</c:v>
                </c:pt>
                <c:pt idx="892">
                  <c:v>58.8</c:v>
                </c:pt>
                <c:pt idx="893">
                  <c:v>0.79999999999999716</c:v>
                </c:pt>
                <c:pt idx="894">
                  <c:v>-2.886579864025407E-15</c:v>
                </c:pt>
                <c:pt idx="895">
                  <c:v>8.5999999999999961</c:v>
                </c:pt>
                <c:pt idx="896">
                  <c:v>56.099999999999994</c:v>
                </c:pt>
                <c:pt idx="897">
                  <c:v>-7.1054273576010019E-15</c:v>
                </c:pt>
                <c:pt idx="898">
                  <c:v>-35.70000000000001</c:v>
                </c:pt>
                <c:pt idx="899">
                  <c:v>-37.600000000000009</c:v>
                </c:pt>
                <c:pt idx="900">
                  <c:v>-7.1054273576010019E-15</c:v>
                </c:pt>
                <c:pt idx="901">
                  <c:v>5.1999999999999931</c:v>
                </c:pt>
                <c:pt idx="902">
                  <c:v>59.599999999999994</c:v>
                </c:pt>
                <c:pt idx="903">
                  <c:v>-7.1054273576010019E-15</c:v>
                </c:pt>
                <c:pt idx="904">
                  <c:v>29.599999999999994</c:v>
                </c:pt>
                <c:pt idx="905">
                  <c:v>32.399999999999991</c:v>
                </c:pt>
                <c:pt idx="906">
                  <c:v>-7.1054273576010019E-15</c:v>
                </c:pt>
                <c:pt idx="907">
                  <c:v>44.499999999999993</c:v>
                </c:pt>
                <c:pt idx="908">
                  <c:v>41.399999999999991</c:v>
                </c:pt>
                <c:pt idx="909">
                  <c:v>-7.1054273576010019E-15</c:v>
                </c:pt>
                <c:pt idx="910">
                  <c:v>6.9999999999999929</c:v>
                </c:pt>
                <c:pt idx="911">
                  <c:v>-27.500000000000007</c:v>
                </c:pt>
                <c:pt idx="912">
                  <c:v>-7.1054273576010019E-15</c:v>
                </c:pt>
                <c:pt idx="913">
                  <c:v>-4.6000000000000068</c:v>
                </c:pt>
                <c:pt idx="914">
                  <c:v>46.499999999999993</c:v>
                </c:pt>
                <c:pt idx="915">
                  <c:v>-7.1054273576010019E-15</c:v>
                </c:pt>
                <c:pt idx="916">
                  <c:v>-29.100000000000009</c:v>
                </c:pt>
                <c:pt idx="917">
                  <c:v>-36.500000000000007</c:v>
                </c:pt>
                <c:pt idx="918">
                  <c:v>-7.1054273576010019E-15</c:v>
                </c:pt>
                <c:pt idx="919">
                  <c:v>42.499999999999993</c:v>
                </c:pt>
                <c:pt idx="920">
                  <c:v>34.599999999999994</c:v>
                </c:pt>
                <c:pt idx="921">
                  <c:v>-7.1054273576010019E-15</c:v>
                </c:pt>
                <c:pt idx="922">
                  <c:v>-46.100000000000009</c:v>
                </c:pt>
                <c:pt idx="923">
                  <c:v>-11.600000000000009</c:v>
                </c:pt>
                <c:pt idx="924">
                  <c:v>-8.8817841970012523E-15</c:v>
                </c:pt>
                <c:pt idx="925">
                  <c:v>-54.000000000000007</c:v>
                </c:pt>
                <c:pt idx="926">
                  <c:v>-67.300000000000011</c:v>
                </c:pt>
                <c:pt idx="927">
                  <c:v>-1.4210854715202004E-14</c:v>
                </c:pt>
                <c:pt idx="928">
                  <c:v>-34.000000000000014</c:v>
                </c:pt>
                <c:pt idx="929">
                  <c:v>-32.200000000000017</c:v>
                </c:pt>
                <c:pt idx="930">
                  <c:v>-1.4210854715202004E-14</c:v>
                </c:pt>
                <c:pt idx="931">
                  <c:v>47.999999999999986</c:v>
                </c:pt>
                <c:pt idx="932">
                  <c:v>44.299999999999983</c:v>
                </c:pt>
                <c:pt idx="933">
                  <c:v>-1.4210854715202004E-14</c:v>
                </c:pt>
                <c:pt idx="934">
                  <c:v>55.099999999999987</c:v>
                </c:pt>
                <c:pt idx="935">
                  <c:v>51.099999999999987</c:v>
                </c:pt>
                <c:pt idx="936">
                  <c:v>-1.4210854715202004E-14</c:v>
                </c:pt>
                <c:pt idx="937">
                  <c:v>-16.600000000000016</c:v>
                </c:pt>
                <c:pt idx="938">
                  <c:v>58.599999999999987</c:v>
                </c:pt>
                <c:pt idx="939">
                  <c:v>-1.4210854715202004E-14</c:v>
                </c:pt>
                <c:pt idx="940">
                  <c:v>-36.400000000000013</c:v>
                </c:pt>
                <c:pt idx="941">
                  <c:v>-0.90000000000001279</c:v>
                </c:pt>
                <c:pt idx="942">
                  <c:v>-1.27675647831893E-14</c:v>
                </c:pt>
                <c:pt idx="943">
                  <c:v>61.599999999999987</c:v>
                </c:pt>
                <c:pt idx="944">
                  <c:v>16.79999999999999</c:v>
                </c:pt>
                <c:pt idx="945">
                  <c:v>-1.0658141036401503E-14</c:v>
                </c:pt>
                <c:pt idx="946">
                  <c:v>-7.2000000000000108</c:v>
                </c:pt>
                <c:pt idx="947">
                  <c:v>-79.800000000000011</c:v>
                </c:pt>
                <c:pt idx="948">
                  <c:v>-1.4210854715202004E-14</c:v>
                </c:pt>
                <c:pt idx="949">
                  <c:v>47.299999999999983</c:v>
                </c:pt>
                <c:pt idx="950">
                  <c:v>-8.5000000000000142</c:v>
                </c:pt>
                <c:pt idx="951">
                  <c:v>-1.4210854715202004E-14</c:v>
                </c:pt>
                <c:pt idx="952">
                  <c:v>60.999999999999986</c:v>
                </c:pt>
                <c:pt idx="953">
                  <c:v>13.399999999999984</c:v>
                </c:pt>
                <c:pt idx="954">
                  <c:v>-1.5987211554602254E-14</c:v>
                </c:pt>
                <c:pt idx="955">
                  <c:v>44.899999999999984</c:v>
                </c:pt>
                <c:pt idx="956">
                  <c:v>-19.600000000000016</c:v>
                </c:pt>
                <c:pt idx="957">
                  <c:v>-1.4210854715202004E-14</c:v>
                </c:pt>
                <c:pt idx="958">
                  <c:v>51.999999999999986</c:v>
                </c:pt>
                <c:pt idx="959">
                  <c:v>-7.4000000000000128</c:v>
                </c:pt>
                <c:pt idx="960">
                  <c:v>-1.2434497875801753E-14</c:v>
                </c:pt>
                <c:pt idx="961">
                  <c:v>-65.000000000000014</c:v>
                </c:pt>
                <c:pt idx="962">
                  <c:v>-65.000000000000014</c:v>
                </c:pt>
                <c:pt idx="963">
                  <c:v>-1.4210854715202004E-14</c:v>
                </c:pt>
                <c:pt idx="964">
                  <c:v>-10.800000000000015</c:v>
                </c:pt>
                <c:pt idx="965">
                  <c:v>-57.600000000000009</c:v>
                </c:pt>
                <c:pt idx="966">
                  <c:v>-7.1054273576010019E-15</c:v>
                </c:pt>
                <c:pt idx="967">
                  <c:v>-66.5</c:v>
                </c:pt>
                <c:pt idx="968">
                  <c:v>-19.5</c:v>
                </c:pt>
                <c:pt idx="969">
                  <c:v>0</c:v>
                </c:pt>
                <c:pt idx="970">
                  <c:v>11.1</c:v>
                </c:pt>
                <c:pt idx="971">
                  <c:v>-35.9</c:v>
                </c:pt>
                <c:pt idx="972">
                  <c:v>0</c:v>
                </c:pt>
                <c:pt idx="973">
                  <c:v>-0.2</c:v>
                </c:pt>
                <c:pt idx="974">
                  <c:v>-26.5</c:v>
                </c:pt>
                <c:pt idx="975">
                  <c:v>0</c:v>
                </c:pt>
                <c:pt idx="976">
                  <c:v>-7</c:v>
                </c:pt>
                <c:pt idx="977">
                  <c:v>50.5</c:v>
                </c:pt>
                <c:pt idx="978">
                  <c:v>0</c:v>
                </c:pt>
                <c:pt idx="979">
                  <c:v>-0.4</c:v>
                </c:pt>
                <c:pt idx="980">
                  <c:v>24.400000000000002</c:v>
                </c:pt>
                <c:pt idx="981">
                  <c:v>3.5527136788005009E-15</c:v>
                </c:pt>
                <c:pt idx="982">
                  <c:v>-47.099999999999994</c:v>
                </c:pt>
                <c:pt idx="983">
                  <c:v>-64.199999999999989</c:v>
                </c:pt>
                <c:pt idx="984">
                  <c:v>1.4210854715202004E-14</c:v>
                </c:pt>
                <c:pt idx="985">
                  <c:v>-37.699999999999989</c:v>
                </c:pt>
                <c:pt idx="986">
                  <c:v>15.300000000000011</c:v>
                </c:pt>
                <c:pt idx="987">
                  <c:v>1.0658141036401503E-14</c:v>
                </c:pt>
                <c:pt idx="988">
                  <c:v>40.200000000000017</c:v>
                </c:pt>
                <c:pt idx="989">
                  <c:v>34.800000000000018</c:v>
                </c:pt>
                <c:pt idx="990">
                  <c:v>2.1316282072803006E-14</c:v>
                </c:pt>
                <c:pt idx="991">
                  <c:v>0.90000000000002134</c:v>
                </c:pt>
                <c:pt idx="992">
                  <c:v>-47.499999999999979</c:v>
                </c:pt>
                <c:pt idx="993">
                  <c:v>2.1316282072803006E-14</c:v>
                </c:pt>
                <c:pt idx="994">
                  <c:v>-61.59999999999998</c:v>
                </c:pt>
                <c:pt idx="995">
                  <c:v>-49.499999999999979</c:v>
                </c:pt>
                <c:pt idx="996">
                  <c:v>2.1316282072803006E-14</c:v>
                </c:pt>
                <c:pt idx="997">
                  <c:v>-43.899999999999977</c:v>
                </c:pt>
                <c:pt idx="998">
                  <c:v>-34.699999999999974</c:v>
                </c:pt>
                <c:pt idx="999">
                  <c:v>2.8421709430404007E-14</c:v>
                </c:pt>
                <c:pt idx="1000">
                  <c:v>62.700000000000031</c:v>
                </c:pt>
                <c:pt idx="1001">
                  <c:v>13.900000000000034</c:v>
                </c:pt>
                <c:pt idx="1002">
                  <c:v>3.3750779948604759E-14</c:v>
                </c:pt>
                <c:pt idx="1003">
                  <c:v>10.700000000000033</c:v>
                </c:pt>
                <c:pt idx="1004">
                  <c:v>-46.999999999999972</c:v>
                </c:pt>
                <c:pt idx="1005">
                  <c:v>2.8421709430404007E-14</c:v>
                </c:pt>
                <c:pt idx="1006">
                  <c:v>35.700000000000031</c:v>
                </c:pt>
                <c:pt idx="1007">
                  <c:v>-1.0999999999999659</c:v>
                </c:pt>
                <c:pt idx="1008">
                  <c:v>3.4194869158454821E-14</c:v>
                </c:pt>
                <c:pt idx="1009">
                  <c:v>27.200000000000035</c:v>
                </c:pt>
                <c:pt idx="1010">
                  <c:v>25.300000000000036</c:v>
                </c:pt>
                <c:pt idx="1011">
                  <c:v>3.5527136788005009E-14</c:v>
                </c:pt>
                <c:pt idx="1012">
                  <c:v>15.800000000000036</c:v>
                </c:pt>
                <c:pt idx="1013">
                  <c:v>56.000000000000043</c:v>
                </c:pt>
                <c:pt idx="1014">
                  <c:v>4.2632564145606011E-14</c:v>
                </c:pt>
                <c:pt idx="1015">
                  <c:v>25.200000000000042</c:v>
                </c:pt>
                <c:pt idx="1016">
                  <c:v>-3.5999999999999588</c:v>
                </c:pt>
                <c:pt idx="1017">
                  <c:v>4.1300296516055823E-14</c:v>
                </c:pt>
                <c:pt idx="1018">
                  <c:v>-9.2999999999999599</c:v>
                </c:pt>
                <c:pt idx="1019">
                  <c:v>51.900000000000041</c:v>
                </c:pt>
                <c:pt idx="1020">
                  <c:v>4.2632564145606011E-14</c:v>
                </c:pt>
                <c:pt idx="1021">
                  <c:v>3.2000000000000428</c:v>
                </c:pt>
                <c:pt idx="1022">
                  <c:v>-27.599999999999959</c:v>
                </c:pt>
                <c:pt idx="1023">
                  <c:v>4.2632564145606011E-14</c:v>
                </c:pt>
                <c:pt idx="1024">
                  <c:v>-2.7999999999999572</c:v>
                </c:pt>
                <c:pt idx="1025">
                  <c:v>38.700000000000045</c:v>
                </c:pt>
                <c:pt idx="1026">
                  <c:v>4.2632564145606011E-14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9C-4583-8B27-EE95828364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-18.572825024437929</c:v>
                </c:pt>
                <c:pt idx="1">
                  <c:v>-6.9860279441117763</c:v>
                </c:pt>
                <c:pt idx="2">
                  <c:v>14.861995753715499</c:v>
                </c:pt>
                <c:pt idx="3">
                  <c:v>4.6136101499423301</c:v>
                </c:pt>
                <c:pt idx="4">
                  <c:v>-10.296010296010296</c:v>
                </c:pt>
                <c:pt idx="5">
                  <c:v>23.703703703703702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BE-469B-BABA-82AD2F9E9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だいち!$K$2:$K$221</c:f>
              <c:numCache>
                <c:formatCode>General</c:formatCode>
                <c:ptCount val="2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</c:numCache>
            </c:numRef>
          </c:xVal>
          <c:yVal>
            <c:numRef>
              <c:f>だいち!$L$2:$L$221</c:f>
              <c:numCache>
                <c:formatCode>\+0.0;\-0.0;\±0</c:formatCode>
                <c:ptCount val="22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  <c:pt idx="164">
                  <c:v>1985.5000000000005</c:v>
                </c:pt>
                <c:pt idx="165">
                  <c:v>1995.0000000000005</c:v>
                </c:pt>
                <c:pt idx="166">
                  <c:v>1939.7000000000005</c:v>
                </c:pt>
                <c:pt idx="167">
                  <c:v>1970.7000000000005</c:v>
                </c:pt>
                <c:pt idx="168">
                  <c:v>1935.4000000000005</c:v>
                </c:pt>
                <c:pt idx="169">
                  <c:v>1976.5000000000005</c:v>
                </c:pt>
                <c:pt idx="170">
                  <c:v>2031.1000000000004</c:v>
                </c:pt>
                <c:pt idx="171">
                  <c:v>2031.0000000000005</c:v>
                </c:pt>
                <c:pt idx="172">
                  <c:v>2043.9000000000005</c:v>
                </c:pt>
                <c:pt idx="173">
                  <c:v>2066.5000000000005</c:v>
                </c:pt>
                <c:pt idx="174">
                  <c:v>2121.1000000000004</c:v>
                </c:pt>
                <c:pt idx="175">
                  <c:v>2087.3000000000002</c:v>
                </c:pt>
                <c:pt idx="176">
                  <c:v>2055.5</c:v>
                </c:pt>
                <c:pt idx="177">
                  <c:v>2093.1</c:v>
                </c:pt>
                <c:pt idx="178">
                  <c:v>2146.2999999999997</c:v>
                </c:pt>
                <c:pt idx="179">
                  <c:v>2182.3999999999996</c:v>
                </c:pt>
                <c:pt idx="180">
                  <c:v>2155.9999999999995</c:v>
                </c:pt>
                <c:pt idx="181">
                  <c:v>2216.9999999999995</c:v>
                </c:pt>
                <c:pt idx="182">
                  <c:v>2252.3999999999996</c:v>
                </c:pt>
                <c:pt idx="183">
                  <c:v>2307.8999999999996</c:v>
                </c:pt>
                <c:pt idx="184">
                  <c:v>2341.1999999999998</c:v>
                </c:pt>
                <c:pt idx="185">
                  <c:v>2314.3999999999996</c:v>
                </c:pt>
                <c:pt idx="186">
                  <c:v>2307.6999999999998</c:v>
                </c:pt>
                <c:pt idx="187">
                  <c:v>2348.1</c:v>
                </c:pt>
                <c:pt idx="188">
                  <c:v>2290.1</c:v>
                </c:pt>
                <c:pt idx="189">
                  <c:v>2337.6</c:v>
                </c:pt>
                <c:pt idx="190">
                  <c:v>2335.6999999999998</c:v>
                </c:pt>
                <c:pt idx="191">
                  <c:v>2390.1</c:v>
                </c:pt>
                <c:pt idx="192">
                  <c:v>2392.9</c:v>
                </c:pt>
                <c:pt idx="193">
                  <c:v>2389.8000000000002</c:v>
                </c:pt>
                <c:pt idx="194">
                  <c:v>2355.3000000000002</c:v>
                </c:pt>
                <c:pt idx="195">
                  <c:v>2406.4</c:v>
                </c:pt>
                <c:pt idx="196">
                  <c:v>2442.9</c:v>
                </c:pt>
                <c:pt idx="197">
                  <c:v>2485.4</c:v>
                </c:pt>
                <c:pt idx="198">
                  <c:v>2519.9</c:v>
                </c:pt>
                <c:pt idx="199">
                  <c:v>2503.3000000000002</c:v>
                </c:pt>
                <c:pt idx="200">
                  <c:v>2466.9</c:v>
                </c:pt>
                <c:pt idx="201">
                  <c:v>2528.5</c:v>
                </c:pt>
                <c:pt idx="202">
                  <c:v>2521.3000000000002</c:v>
                </c:pt>
                <c:pt idx="203">
                  <c:v>2568.6000000000004</c:v>
                </c:pt>
                <c:pt idx="204">
                  <c:v>2629.6000000000004</c:v>
                </c:pt>
                <c:pt idx="205">
                  <c:v>2674.5000000000005</c:v>
                </c:pt>
                <c:pt idx="206">
                  <c:v>2726.5000000000005</c:v>
                </c:pt>
                <c:pt idx="207">
                  <c:v>2661.5000000000005</c:v>
                </c:pt>
                <c:pt idx="208">
                  <c:v>2614.7000000000003</c:v>
                </c:pt>
                <c:pt idx="209">
                  <c:v>2661.7000000000003</c:v>
                </c:pt>
                <c:pt idx="210">
                  <c:v>2614.7000000000003</c:v>
                </c:pt>
                <c:pt idx="211">
                  <c:v>2588.4</c:v>
                </c:pt>
                <c:pt idx="212">
                  <c:v>2645.9</c:v>
                </c:pt>
                <c:pt idx="213">
                  <c:v>2670.7000000000003</c:v>
                </c:pt>
                <c:pt idx="214">
                  <c:v>2623.6000000000004</c:v>
                </c:pt>
                <c:pt idx="215">
                  <c:v>2676.6000000000004</c:v>
                </c:pt>
                <c:pt idx="216">
                  <c:v>2671.2000000000003</c:v>
                </c:pt>
                <c:pt idx="217">
                  <c:v>2672.1000000000004</c:v>
                </c:pt>
                <c:pt idx="218">
                  <c:v>2684.2000000000003</c:v>
                </c:pt>
                <c:pt idx="219">
                  <c:v>2746.9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10-48B6-AE15-3F5457E3D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1200.9174311926606</c:v>
                </c:pt>
                <c:pt idx="1">
                  <c:v>1853.0516431924882</c:v>
                </c:pt>
                <c:pt idx="2">
                  <c:v>700.98039215686276</c:v>
                </c:pt>
                <c:pt idx="3">
                  <c:v>2811.229946524064</c:v>
                </c:pt>
                <c:pt idx="4">
                  <c:v>1247.5903614457832</c:v>
                </c:pt>
                <c:pt idx="5">
                  <c:v>1222.5352112676057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3D-4187-881A-1E83802A8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りくと!$K$2:$K$165</c:f>
              <c:numCache>
                <c:formatCode>General</c:formatCode>
                <c:ptCount val="1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</c:numCache>
            </c:numRef>
          </c:xVal>
          <c:yVal>
            <c:numRef>
              <c:f>りくと!$L$2:$L$165</c:f>
              <c:numCache>
                <c:formatCode>\+0.0;\-0.0;\±0</c:formatCode>
                <c:ptCount val="164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  <c:pt idx="135">
                  <c:v>-373.3</c:v>
                </c:pt>
                <c:pt idx="136">
                  <c:v>-380.7</c:v>
                </c:pt>
                <c:pt idx="137">
                  <c:v>-440.2</c:v>
                </c:pt>
                <c:pt idx="138">
                  <c:v>-381.4</c:v>
                </c:pt>
                <c:pt idx="139">
                  <c:v>-417.4</c:v>
                </c:pt>
                <c:pt idx="140">
                  <c:v>-421</c:v>
                </c:pt>
                <c:pt idx="141">
                  <c:v>-393.5</c:v>
                </c:pt>
                <c:pt idx="142">
                  <c:v>-360.1</c:v>
                </c:pt>
                <c:pt idx="143">
                  <c:v>-367.70000000000005</c:v>
                </c:pt>
                <c:pt idx="144">
                  <c:v>-324.00000000000006</c:v>
                </c:pt>
                <c:pt idx="145">
                  <c:v>-324.50000000000006</c:v>
                </c:pt>
                <c:pt idx="146">
                  <c:v>-357.30000000000007</c:v>
                </c:pt>
                <c:pt idx="147">
                  <c:v>-359.10000000000008</c:v>
                </c:pt>
                <c:pt idx="148">
                  <c:v>-415.90000000000009</c:v>
                </c:pt>
                <c:pt idx="149">
                  <c:v>-448.40000000000009</c:v>
                </c:pt>
                <c:pt idx="150">
                  <c:v>-461.10000000000008</c:v>
                </c:pt>
                <c:pt idx="151">
                  <c:v>-504.2000000000001</c:v>
                </c:pt>
                <c:pt idx="152">
                  <c:v>-477.7000000000001</c:v>
                </c:pt>
                <c:pt idx="153">
                  <c:v>-436.90000000000009</c:v>
                </c:pt>
                <c:pt idx="154">
                  <c:v>-439.90000000000009</c:v>
                </c:pt>
                <c:pt idx="155">
                  <c:v>-381.10000000000008</c:v>
                </c:pt>
                <c:pt idx="156">
                  <c:v>-372.50000000000006</c:v>
                </c:pt>
                <c:pt idx="157">
                  <c:v>-408.20000000000005</c:v>
                </c:pt>
                <c:pt idx="158">
                  <c:v>-403.00000000000006</c:v>
                </c:pt>
                <c:pt idx="159">
                  <c:v>-410.40000000000003</c:v>
                </c:pt>
                <c:pt idx="160">
                  <c:v>-362.40000000000003</c:v>
                </c:pt>
                <c:pt idx="161">
                  <c:v>-435</c:v>
                </c:pt>
                <c:pt idx="162">
                  <c:v>-490.8</c:v>
                </c:pt>
                <c:pt idx="163">
                  <c:v>-539.20000000000005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DC-41E2-B42E-11DE32417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703.68098159509202</c:v>
                </c:pt>
                <c:pt idx="1">
                  <c:v>-1634.1772151898733</c:v>
                </c:pt>
                <c:pt idx="2">
                  <c:v>-456.29139072847681</c:v>
                </c:pt>
                <c:pt idx="3">
                  <c:v>-377.20588235294116</c:v>
                </c:pt>
                <c:pt idx="4">
                  <c:v>148.33333333333334</c:v>
                </c:pt>
                <c:pt idx="5">
                  <c:v>-143.92523364485982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5D-4493-B79D-DDA3B27C46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ただ!$K$2:$K$181</c:f>
              <c:numCache>
                <c:formatCode>General</c:formatCode>
                <c:ptCount val="1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</c:numCache>
            </c:numRef>
          </c:xVal>
          <c:yVal>
            <c:numRef>
              <c:f>ただ!$L$2:$L$181</c:f>
              <c:numCache>
                <c:formatCode>\+0.0;\-0.0;\±0</c:formatCode>
                <c:ptCount val="18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  <c:pt idx="102">
                  <c:v>-1206.5</c:v>
                </c:pt>
                <c:pt idx="103">
                  <c:v>-1144.9000000000001</c:v>
                </c:pt>
                <c:pt idx="104">
                  <c:v>-1134.8000000000002</c:v>
                </c:pt>
                <c:pt idx="105">
                  <c:v>-1138.7000000000003</c:v>
                </c:pt>
                <c:pt idx="106">
                  <c:v>-1119.7000000000003</c:v>
                </c:pt>
                <c:pt idx="107">
                  <c:v>-1085.0000000000002</c:v>
                </c:pt>
                <c:pt idx="108">
                  <c:v>-1048.6000000000001</c:v>
                </c:pt>
                <c:pt idx="109">
                  <c:v>-982.60000000000014</c:v>
                </c:pt>
                <c:pt idx="110">
                  <c:v>-940.00000000000011</c:v>
                </c:pt>
                <c:pt idx="111">
                  <c:v>-890.80000000000007</c:v>
                </c:pt>
                <c:pt idx="112">
                  <c:v>-971.2</c:v>
                </c:pt>
                <c:pt idx="113">
                  <c:v>-921.2</c:v>
                </c:pt>
                <c:pt idx="114">
                  <c:v>-924.7</c:v>
                </c:pt>
                <c:pt idx="115">
                  <c:v>-919.7</c:v>
                </c:pt>
                <c:pt idx="116">
                  <c:v>-880.80000000000007</c:v>
                </c:pt>
                <c:pt idx="117">
                  <c:v>-932.80000000000007</c:v>
                </c:pt>
                <c:pt idx="118">
                  <c:v>-988.7</c:v>
                </c:pt>
                <c:pt idx="119">
                  <c:v>-950.40000000000009</c:v>
                </c:pt>
                <c:pt idx="120">
                  <c:v>-902.50000000000011</c:v>
                </c:pt>
                <c:pt idx="121">
                  <c:v>-911.60000000000014</c:v>
                </c:pt>
                <c:pt idx="122">
                  <c:v>-881.60000000000014</c:v>
                </c:pt>
                <c:pt idx="123">
                  <c:v>-881.00000000000011</c:v>
                </c:pt>
                <c:pt idx="124">
                  <c:v>-849.50000000000011</c:v>
                </c:pt>
                <c:pt idx="125">
                  <c:v>-877.90000000000009</c:v>
                </c:pt>
                <c:pt idx="126">
                  <c:v>-883.00000000000011</c:v>
                </c:pt>
                <c:pt idx="127">
                  <c:v>-881.50000000000011</c:v>
                </c:pt>
                <c:pt idx="128">
                  <c:v>-908.40000000000009</c:v>
                </c:pt>
                <c:pt idx="129">
                  <c:v>-970.40000000000009</c:v>
                </c:pt>
                <c:pt idx="130">
                  <c:v>-939.30000000000007</c:v>
                </c:pt>
                <c:pt idx="131">
                  <c:v>-938.50000000000011</c:v>
                </c:pt>
                <c:pt idx="132">
                  <c:v>-967.90000000000009</c:v>
                </c:pt>
                <c:pt idx="133">
                  <c:v>-1016.2</c:v>
                </c:pt>
                <c:pt idx="134">
                  <c:v>-1019.5</c:v>
                </c:pt>
                <c:pt idx="135">
                  <c:v>-991.3</c:v>
                </c:pt>
                <c:pt idx="136">
                  <c:v>-995.5</c:v>
                </c:pt>
                <c:pt idx="137">
                  <c:v>-998.4</c:v>
                </c:pt>
                <c:pt idx="138">
                  <c:v>-1041.2</c:v>
                </c:pt>
                <c:pt idx="139">
                  <c:v>-1031.4000000000001</c:v>
                </c:pt>
                <c:pt idx="140">
                  <c:v>-1031.1000000000001</c:v>
                </c:pt>
                <c:pt idx="141">
                  <c:v>-1065.2</c:v>
                </c:pt>
                <c:pt idx="142">
                  <c:v>-1102.6000000000001</c:v>
                </c:pt>
                <c:pt idx="143">
                  <c:v>-1103.4000000000001</c:v>
                </c:pt>
                <c:pt idx="144">
                  <c:v>-1159.5</c:v>
                </c:pt>
                <c:pt idx="145">
                  <c:v>-1121.9000000000001</c:v>
                </c:pt>
                <c:pt idx="146">
                  <c:v>-1181.5</c:v>
                </c:pt>
                <c:pt idx="147">
                  <c:v>-1213.9000000000001</c:v>
                </c:pt>
                <c:pt idx="148">
                  <c:v>-1255.3000000000002</c:v>
                </c:pt>
                <c:pt idx="149">
                  <c:v>-1227.8000000000002</c:v>
                </c:pt>
                <c:pt idx="150">
                  <c:v>-1274.3000000000002</c:v>
                </c:pt>
                <c:pt idx="151">
                  <c:v>-1320.4</c:v>
                </c:pt>
                <c:pt idx="152">
                  <c:v>-1364.7</c:v>
                </c:pt>
                <c:pt idx="153">
                  <c:v>-1415.8</c:v>
                </c:pt>
                <c:pt idx="154">
                  <c:v>-1432.6</c:v>
                </c:pt>
                <c:pt idx="155">
                  <c:v>-1352.8</c:v>
                </c:pt>
                <c:pt idx="156">
                  <c:v>-1344.3</c:v>
                </c:pt>
                <c:pt idx="157">
                  <c:v>-1357.7</c:v>
                </c:pt>
                <c:pt idx="158">
                  <c:v>-1338.1000000000001</c:v>
                </c:pt>
                <c:pt idx="159">
                  <c:v>-1330.7</c:v>
                </c:pt>
                <c:pt idx="160">
                  <c:v>-1265.7</c:v>
                </c:pt>
                <c:pt idx="161">
                  <c:v>-1246.2</c:v>
                </c:pt>
                <c:pt idx="162">
                  <c:v>-1210.3</c:v>
                </c:pt>
                <c:pt idx="163">
                  <c:v>-1183.8</c:v>
                </c:pt>
                <c:pt idx="164">
                  <c:v>-1234.3</c:v>
                </c:pt>
                <c:pt idx="165">
                  <c:v>-1258.7</c:v>
                </c:pt>
                <c:pt idx="166">
                  <c:v>-1194.5</c:v>
                </c:pt>
                <c:pt idx="167">
                  <c:v>-1209.8</c:v>
                </c:pt>
                <c:pt idx="168">
                  <c:v>-1244.5999999999999</c:v>
                </c:pt>
                <c:pt idx="169">
                  <c:v>-1197.0999999999999</c:v>
                </c:pt>
                <c:pt idx="170">
                  <c:v>-1147.5999999999999</c:v>
                </c:pt>
                <c:pt idx="171">
                  <c:v>-1112.8999999999999</c:v>
                </c:pt>
                <c:pt idx="172">
                  <c:v>-1065.8999999999999</c:v>
                </c:pt>
                <c:pt idx="173">
                  <c:v>-1064.8</c:v>
                </c:pt>
                <c:pt idx="174">
                  <c:v>-1090.0999999999999</c:v>
                </c:pt>
                <c:pt idx="175">
                  <c:v>-1146.0999999999999</c:v>
                </c:pt>
                <c:pt idx="176">
                  <c:v>-1142.5</c:v>
                </c:pt>
                <c:pt idx="177">
                  <c:v>-1194.4000000000001</c:v>
                </c:pt>
                <c:pt idx="178">
                  <c:v>-1166.8000000000002</c:v>
                </c:pt>
                <c:pt idx="179">
                  <c:v>-1205.5000000000002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68-44E1-A482-DD312B1644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-1697.1910112359551</c:v>
                </c:pt>
                <c:pt idx="1">
                  <c:v>-1649.4252873563219</c:v>
                </c:pt>
                <c:pt idx="2">
                  <c:v>1036.1445783132531</c:v>
                </c:pt>
                <c:pt idx="3">
                  <c:v>-2514.6666666666665</c:v>
                </c:pt>
                <c:pt idx="4">
                  <c:v>147.40740740740742</c:v>
                </c:pt>
                <c:pt idx="5">
                  <c:v>-552.54237288135596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36-4D19-A8B5-9A6F0F4DF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れんたろう!$K$2:$K$112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れんたろう!$L$2:$L$112</c:f>
              <c:numCache>
                <c:formatCode>\+0.0;\-0.0;\±0</c:formatCode>
                <c:ptCount val="111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  <c:pt idx="97">
                  <c:v>-49.399999999999984</c:v>
                </c:pt>
                <c:pt idx="98">
                  <c:v>22.600000000000016</c:v>
                </c:pt>
                <c:pt idx="99">
                  <c:v>-10.099999999999987</c:v>
                </c:pt>
                <c:pt idx="100">
                  <c:v>-46.699999999999989</c:v>
                </c:pt>
                <c:pt idx="101">
                  <c:v>-17.099999999999987</c:v>
                </c:pt>
                <c:pt idx="102">
                  <c:v>27.400000000000013</c:v>
                </c:pt>
                <c:pt idx="103">
                  <c:v>34.400000000000013</c:v>
                </c:pt>
                <c:pt idx="104">
                  <c:v>29.800000000000011</c:v>
                </c:pt>
                <c:pt idx="105">
                  <c:v>105.00000000000001</c:v>
                </c:pt>
                <c:pt idx="106">
                  <c:v>140.5</c:v>
                </c:pt>
                <c:pt idx="107">
                  <c:v>198.1</c:v>
                </c:pt>
                <c:pt idx="108">
                  <c:v>181</c:v>
                </c:pt>
                <c:pt idx="109">
                  <c:v>167.1</c:v>
                </c:pt>
                <c:pt idx="110">
                  <c:v>136.29999999999998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CC-42D8-8DFA-1DB78C727F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1039.090909090909</c:v>
                </c:pt>
                <c:pt idx="1">
                  <c:v>781.30841121495325</c:v>
                </c:pt>
                <c:pt idx="2">
                  <c:v>1439.795918367347</c:v>
                </c:pt>
                <c:pt idx="3">
                  <c:v>-250.57471264367817</c:v>
                </c:pt>
                <c:pt idx="4">
                  <c:v>-1970.5128205128206</c:v>
                </c:pt>
                <c:pt idx="5">
                  <c:v>-228.16901408450704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35-4FA9-814B-E8A5D2F329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たかの!$K$2:$K$107</c:f>
              <c:numCache>
                <c:formatCode>General</c:formatCode>
                <c:ptCount val="1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</c:numCache>
            </c:numRef>
          </c:xVal>
          <c:yVal>
            <c:numRef>
              <c:f>たかの!$L$2:$L$107</c:f>
              <c:numCache>
                <c:formatCode>\+0.0;\-0.0;\±0</c:formatCode>
                <c:ptCount val="106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  <c:pt idx="88">
                  <c:v>-163.20000000000005</c:v>
                </c:pt>
                <c:pt idx="89">
                  <c:v>-123.90000000000005</c:v>
                </c:pt>
                <c:pt idx="90">
                  <c:v>-122.80000000000005</c:v>
                </c:pt>
                <c:pt idx="91">
                  <c:v>-121.50000000000006</c:v>
                </c:pt>
                <c:pt idx="92">
                  <c:v>-120.50000000000006</c:v>
                </c:pt>
                <c:pt idx="93">
                  <c:v>-155.10000000000005</c:v>
                </c:pt>
                <c:pt idx="94">
                  <c:v>-184.60000000000005</c:v>
                </c:pt>
                <c:pt idx="95">
                  <c:v>-161.50000000000006</c:v>
                </c:pt>
                <c:pt idx="96">
                  <c:v>-202.00000000000006</c:v>
                </c:pt>
                <c:pt idx="97">
                  <c:v>-200.50000000000006</c:v>
                </c:pt>
                <c:pt idx="98">
                  <c:v>-164.70000000000005</c:v>
                </c:pt>
                <c:pt idx="99">
                  <c:v>-172.90000000000003</c:v>
                </c:pt>
                <c:pt idx="100">
                  <c:v>-177.80000000000004</c:v>
                </c:pt>
                <c:pt idx="101">
                  <c:v>-212.40000000000003</c:v>
                </c:pt>
                <c:pt idx="102">
                  <c:v>-200.80000000000004</c:v>
                </c:pt>
                <c:pt idx="103">
                  <c:v>-259.40000000000003</c:v>
                </c:pt>
                <c:pt idx="104">
                  <c:v>-234.20000000000005</c:v>
                </c:pt>
                <c:pt idx="105">
                  <c:v>-243.50000000000006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6-43B2-A0B8-D80EBA42A0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37.142857142857146</c:v>
                </c:pt>
                <c:pt idx="1">
                  <c:v>-963.80952380952385</c:v>
                </c:pt>
                <c:pt idx="2">
                  <c:v>-1045.2631578947369</c:v>
                </c:pt>
                <c:pt idx="3">
                  <c:v>1017.7777777777778</c:v>
                </c:pt>
                <c:pt idx="4">
                  <c:v>-176.1904761904762</c:v>
                </c:pt>
                <c:pt idx="5">
                  <c:v>-549.29577464788736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6B-4B8E-B297-6C1B67E38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ぱぱ!$K$2:$K$63</c:f>
              <c:numCache>
                <c:formatCode>General</c:formatCode>
                <c:ptCount val="6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</c:numCache>
            </c:numRef>
          </c:xVal>
          <c:yVal>
            <c:numRef>
              <c:f>ぱぱ!$L$2:$L$63</c:f>
              <c:numCache>
                <c:formatCode>\+0.0;\-0.0;\±0</c:formatCode>
                <c:ptCount val="62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  <c:pt idx="49">
                  <c:v>-433</c:v>
                </c:pt>
                <c:pt idx="50">
                  <c:v>-437.3</c:v>
                </c:pt>
                <c:pt idx="51">
                  <c:v>-495.90000000000003</c:v>
                </c:pt>
                <c:pt idx="52">
                  <c:v>-397.6</c:v>
                </c:pt>
                <c:pt idx="53">
                  <c:v>-396.70000000000005</c:v>
                </c:pt>
                <c:pt idx="54">
                  <c:v>-404.6</c:v>
                </c:pt>
                <c:pt idx="55">
                  <c:v>-349.5</c:v>
                </c:pt>
                <c:pt idx="56">
                  <c:v>-397.1</c:v>
                </c:pt>
                <c:pt idx="57">
                  <c:v>-461.6</c:v>
                </c:pt>
                <c:pt idx="58">
                  <c:v>-521</c:v>
                </c:pt>
                <c:pt idx="59">
                  <c:v>-521</c:v>
                </c:pt>
                <c:pt idx="60">
                  <c:v>-511.8</c:v>
                </c:pt>
                <c:pt idx="61">
                  <c:v>-560.6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81-455B-BC1E-8D85B77826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-3171.6666666666665</c:v>
                </c:pt>
                <c:pt idx="1">
                  <c:v>1775</c:v>
                </c:pt>
                <c:pt idx="2">
                  <c:v>-1696.4912280701753</c:v>
                </c:pt>
                <c:pt idx="3">
                  <c:v>-4115.3846153846152</c:v>
                </c:pt>
                <c:pt idx="4">
                  <c:v>10.869565217391305</c:v>
                </c:pt>
                <c:pt idx="5">
                  <c:v>-281.39534883720933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60-4319-B55B-FB6CFA043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まっつん!$K$2:$K$123</c:f>
              <c:numCache>
                <c:formatCode>General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</c:numCache>
            </c:numRef>
          </c:xVal>
          <c:yVal>
            <c:numRef>
              <c:f>まっつん!$L$2:$L$123</c:f>
              <c:numCache>
                <c:formatCode>\+0.0;\-0.0;\±0</c:formatCode>
                <c:ptCount val="122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  <c:pt idx="77">
                  <c:v>201.7</c:v>
                </c:pt>
                <c:pt idx="78">
                  <c:v>193.39999999999998</c:v>
                </c:pt>
                <c:pt idx="79">
                  <c:v>151.59999999999997</c:v>
                </c:pt>
                <c:pt idx="80">
                  <c:v>154.19999999999996</c:v>
                </c:pt>
                <c:pt idx="81">
                  <c:v>216.19999999999996</c:v>
                </c:pt>
                <c:pt idx="82">
                  <c:v>225.79999999999995</c:v>
                </c:pt>
                <c:pt idx="83">
                  <c:v>167.49999999999994</c:v>
                </c:pt>
                <c:pt idx="84">
                  <c:v>131.69999999999993</c:v>
                </c:pt>
                <c:pt idx="85">
                  <c:v>103.19999999999993</c:v>
                </c:pt>
                <c:pt idx="86">
                  <c:v>69.899999999999935</c:v>
                </c:pt>
                <c:pt idx="87">
                  <c:v>18.699999999999932</c:v>
                </c:pt>
                <c:pt idx="88">
                  <c:v>-51.800000000000068</c:v>
                </c:pt>
                <c:pt idx="89">
                  <c:v>-75.500000000000071</c:v>
                </c:pt>
                <c:pt idx="90">
                  <c:v>-66.500000000000071</c:v>
                </c:pt>
                <c:pt idx="91">
                  <c:v>-39.600000000000072</c:v>
                </c:pt>
                <c:pt idx="92">
                  <c:v>-0.7000000000000739</c:v>
                </c:pt>
                <c:pt idx="93">
                  <c:v>29.599999999999927</c:v>
                </c:pt>
                <c:pt idx="94">
                  <c:v>57.299999999999926</c:v>
                </c:pt>
                <c:pt idx="95">
                  <c:v>47.299999999999926</c:v>
                </c:pt>
                <c:pt idx="96">
                  <c:v>48.899999999999928</c:v>
                </c:pt>
                <c:pt idx="97">
                  <c:v>19.799999999999926</c:v>
                </c:pt>
                <c:pt idx="98">
                  <c:v>87.099999999999923</c:v>
                </c:pt>
                <c:pt idx="99">
                  <c:v>119.29999999999993</c:v>
                </c:pt>
                <c:pt idx="100">
                  <c:v>115.59999999999992</c:v>
                </c:pt>
                <c:pt idx="101">
                  <c:v>111.59999999999992</c:v>
                </c:pt>
                <c:pt idx="102">
                  <c:v>112.49999999999993</c:v>
                </c:pt>
                <c:pt idx="103">
                  <c:v>67.699999999999932</c:v>
                </c:pt>
                <c:pt idx="104">
                  <c:v>56.899999999999935</c:v>
                </c:pt>
                <c:pt idx="105">
                  <c:v>-9.6000000000000654</c:v>
                </c:pt>
                <c:pt idx="106">
                  <c:v>1.4999999999999343</c:v>
                </c:pt>
                <c:pt idx="107">
                  <c:v>1.2999999999999343</c:v>
                </c:pt>
                <c:pt idx="108">
                  <c:v>-5.7000000000000659</c:v>
                </c:pt>
                <c:pt idx="109">
                  <c:v>-6.1000000000000663</c:v>
                </c:pt>
                <c:pt idx="110">
                  <c:v>-43.800000000000068</c:v>
                </c:pt>
                <c:pt idx="111">
                  <c:v>-3.6000000000000654</c:v>
                </c:pt>
                <c:pt idx="112">
                  <c:v>-65.200000000000074</c:v>
                </c:pt>
                <c:pt idx="113">
                  <c:v>-109.10000000000008</c:v>
                </c:pt>
                <c:pt idx="114">
                  <c:v>-98.400000000000077</c:v>
                </c:pt>
                <c:pt idx="115">
                  <c:v>-62.700000000000074</c:v>
                </c:pt>
                <c:pt idx="116">
                  <c:v>-35.500000000000071</c:v>
                </c:pt>
                <c:pt idx="117">
                  <c:v>-19.70000000000007</c:v>
                </c:pt>
                <c:pt idx="118">
                  <c:v>-48.500000000000071</c:v>
                </c:pt>
                <c:pt idx="119">
                  <c:v>12.699999999999932</c:v>
                </c:pt>
                <c:pt idx="120">
                  <c:v>15.899999999999931</c:v>
                </c:pt>
                <c:pt idx="121">
                  <c:v>57.399999999999935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7E-45B8-9860-F3E22CE1F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379.3388429752066</c:v>
                </c:pt>
                <c:pt idx="1">
                  <c:v>842.73504273504273</c:v>
                </c:pt>
                <c:pt idx="2">
                  <c:v>-144.54545454545453</c:v>
                </c:pt>
                <c:pt idx="3">
                  <c:v>460.57692307692309</c:v>
                </c:pt>
                <c:pt idx="4">
                  <c:v>-1934.7368421052631</c:v>
                </c:pt>
                <c:pt idx="5">
                  <c:v>902.56410256410254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82-4573-90D4-9A3F84027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52-420C-833B-C9EF45AE6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A4-43E1-AC25-A609E0644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いっしー!$L$2:$L$26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  <c:pt idx="23">
                  <c:v>-253.49999999999997</c:v>
                </c:pt>
                <c:pt idx="24">
                  <c:v>-300.5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B0-41DC-AB29-DDBBF2EC6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-408.33333333333331</c:v>
                </c:pt>
                <c:pt idx="1">
                  <c:v>-4537.5</c:v>
                </c:pt>
                <c:pt idx="2">
                  <c:v>-70</c:v>
                </c:pt>
                <c:pt idx="3">
                  <c:v>-3300</c:v>
                </c:pt>
                <c:pt idx="4">
                  <c:v>-1533.3333333333333</c:v>
                </c:pt>
                <c:pt idx="5">
                  <c:v>-3320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F2-4F09-A731-AEF8EBCCB6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ほたに!$L$2:$L$23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EB4-B0FE-5CC2E09577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-1095.2380952380952</c:v>
                </c:pt>
                <c:pt idx="1">
                  <c:v>2014.2857142857142</c:v>
                </c:pt>
                <c:pt idx="2">
                  <c:v>-6390</c:v>
                </c:pt>
                <c:pt idx="3">
                  <c:v>-755</c:v>
                </c:pt>
                <c:pt idx="4">
                  <c:v>9129.4117647058829</c:v>
                </c:pt>
                <c:pt idx="5">
                  <c:v>2073.3333333333335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4A-4E59-AD32-2458E2973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BA-42CB-A01E-8A20A3ECE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6C-41F4-9C1D-8119775B7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4A-478D-BF2A-20D1337B32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0C-4EA9-9471-C614BCED5E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のり!$L$2:$L$11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F3-4DEF-9E32-771308A5E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-5455.5555555555557</c:v>
                </c:pt>
                <c:pt idx="1">
                  <c:v>-3577.7777777777778</c:v>
                </c:pt>
                <c:pt idx="2">
                  <c:v>37.5</c:v>
                </c:pt>
                <c:pt idx="3">
                  <c:v>3050</c:v>
                </c:pt>
                <c:pt idx="4">
                  <c:v>-3828.5714285714284</c:v>
                </c:pt>
                <c:pt idx="5">
                  <c:v>-6450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B3-49EC-88DD-1D7A02CA45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17-4CC8-A431-3A3C40395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89-474B-BD18-2F2FEAA39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ちさと2!$B$1:$B$2</c:f>
              <c:strCache>
                <c:ptCount val="2"/>
                <c:pt idx="0">
                  <c:v>ちさと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ちさと2!$B$3:$B$7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263256414560601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ちさと2!$C$1:$C$2</c:f>
              <c:strCache>
                <c:ptCount val="2"/>
                <c:pt idx="0">
                  <c:v>ちさと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ちさと2!$C$3:$C$7</c:f>
              <c:numCache>
                <c:formatCode>\+0.0;\-0.0;\±0</c:formatCode>
                <c:ptCount val="5"/>
                <c:pt idx="1">
                  <c:v>-57.7</c:v>
                </c:pt>
                <c:pt idx="2">
                  <c:v>-47.25</c:v>
                </c:pt>
                <c:pt idx="3">
                  <c:v>-32.133333333333333</c:v>
                </c:pt>
                <c:pt idx="4">
                  <c:v>-14.05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4.1552206769596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ちさと2!$D$1:$D$2</c:f>
              <c:strCache>
                <c:ptCount val="2"/>
                <c:pt idx="0">
                  <c:v>ちさと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ちさと2!$D$3:$D$7</c:f>
              <c:numCache>
                <c:formatCode>0.00\ "位"</c:formatCode>
                <c:ptCount val="5"/>
                <c:pt idx="1">
                  <c:v>3</c:v>
                </c:pt>
                <c:pt idx="2">
                  <c:v>3</c:v>
                </c:pt>
                <c:pt idx="3">
                  <c:v>2.6666666666666665</c:v>
                </c:pt>
                <c:pt idx="4">
                  <c:v>2.25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ちさと2!$E$1:$E$2</c:f>
              <c:strCache>
                <c:ptCount val="2"/>
                <c:pt idx="0">
                  <c:v>ちさと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ちさと2!$E$3:$E$7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ちさと2!$F$1:$F$2</c:f>
              <c:strCache>
                <c:ptCount val="2"/>
                <c:pt idx="0">
                  <c:v>ちさと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ちさと2!$F$3:$F$7</c:f>
              <c:numCache>
                <c:formatCode>0.0%</c:formatCode>
                <c:ptCount val="5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ちさと2!$G$1:$G$2</c:f>
              <c:strCache>
                <c:ptCount val="2"/>
                <c:pt idx="0">
                  <c:v>ちさと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ちさと2!$G$3:$G$7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0.17647058823529413</c:v>
                </c:pt>
                <c:pt idx="3">
                  <c:v>0.24</c:v>
                </c:pt>
                <c:pt idx="4">
                  <c:v>0.3125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7518726591760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ちさと2!$H$1:$H$2</c:f>
              <c:strCache>
                <c:ptCount val="2"/>
                <c:pt idx="0">
                  <c:v>ちさと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ちさと2!$H$3:$H$7</c:f>
              <c:numCache>
                <c:formatCode>0.0%</c:formatCode>
                <c:ptCount val="5"/>
                <c:pt idx="1">
                  <c:v>0.36363636363636365</c:v>
                </c:pt>
                <c:pt idx="2">
                  <c:v>0.23529411764705882</c:v>
                </c:pt>
                <c:pt idx="3">
                  <c:v>0.2</c:v>
                </c:pt>
                <c:pt idx="4">
                  <c:v>0.15625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7134831460674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ちさと2!$I$1:$I$2</c:f>
              <c:strCache>
                <c:ptCount val="2"/>
                <c:pt idx="0">
                  <c:v>ちさと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ちさと2!$I$3:$I$7</c:f>
              <c:numCache>
                <c:formatCode>0</c:formatCode>
                <c:ptCount val="5"/>
                <c:pt idx="1">
                  <c:v>4566.666666666667</c:v>
                </c:pt>
                <c:pt idx="2">
                  <c:v>4566.666666666667</c:v>
                </c:pt>
                <c:pt idx="3">
                  <c:v>5616.666666666667</c:v>
                </c:pt>
                <c:pt idx="4">
                  <c:v>4940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590.55861526357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ちさと2!$J$1:$J$2</c:f>
              <c:strCache>
                <c:ptCount val="2"/>
                <c:pt idx="0">
                  <c:v>ちさと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ちさと2!$J$3:$J$7</c:f>
              <c:numCache>
                <c:formatCode>0</c:formatCode>
                <c:ptCount val="5"/>
                <c:pt idx="1">
                  <c:v>-11100</c:v>
                </c:pt>
                <c:pt idx="2">
                  <c:v>-11100</c:v>
                </c:pt>
                <c:pt idx="3">
                  <c:v>-11280</c:v>
                </c:pt>
                <c:pt idx="4">
                  <c:v>-11280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093.207282913164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ちさと2!$K$1:$K$2</c:f>
              <c:strCache>
                <c:ptCount val="2"/>
                <c:pt idx="0">
                  <c:v>ちさと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ちさと2!$K$3:$K$7</c:f>
              <c:numCache>
                <c:formatCode>0.0%</c:formatCode>
                <c:ptCount val="5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984405458089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ちさと2!$L$1:$L$2</c:f>
              <c:strCache>
                <c:ptCount val="2"/>
                <c:pt idx="0">
                  <c:v>ちさと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ちさと2!$L$3:$L$7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5984405458089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ちさと2!$M$1:$M$2</c:f>
              <c:strCache>
                <c:ptCount val="2"/>
                <c:pt idx="0">
                  <c:v>ちさと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ちさと2!$M$3:$M$7</c:f>
              <c:numCache>
                <c:formatCode>0.0%</c:formatCode>
                <c:ptCount val="5"/>
                <c:pt idx="1">
                  <c:v>0.18181818181818182</c:v>
                </c:pt>
                <c:pt idx="2">
                  <c:v>0.23529411764705882</c:v>
                </c:pt>
                <c:pt idx="3">
                  <c:v>0.24</c:v>
                </c:pt>
                <c:pt idx="4">
                  <c:v>0.21875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652153558052434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ちさと2!$N$1:$N$2</c:f>
              <c:strCache>
                <c:ptCount val="2"/>
                <c:pt idx="0">
                  <c:v>ちさと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ちさと2!$N$3:$N$7</c:f>
              <c:numCache>
                <c:formatCode>0.0%</c:formatCode>
                <c:ptCount val="5"/>
                <c:pt idx="1">
                  <c:v>0.27272727272727271</c:v>
                </c:pt>
                <c:pt idx="2">
                  <c:v>0.35294117647058826</c:v>
                </c:pt>
                <c:pt idx="3">
                  <c:v>0.36</c:v>
                </c:pt>
                <c:pt idx="4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5004681647940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ちさと2!$O$1:$O$2</c:f>
              <c:strCache>
                <c:ptCount val="2"/>
                <c:pt idx="0">
                  <c:v>ちさと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ちさと2!$O$3:$O$7</c:f>
              <c:numCache>
                <c:formatCode>0.0%</c:formatCode>
                <c:ptCount val="5"/>
                <c:pt idx="1">
                  <c:v>0.5</c:v>
                </c:pt>
                <c:pt idx="2">
                  <c:v>0.25</c:v>
                </c:pt>
                <c:pt idx="3">
                  <c:v>0.5</c:v>
                </c:pt>
                <c:pt idx="4">
                  <c:v>0.42857142857142855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6787290379523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ちさと2!$P$1:$P$2</c:f>
              <c:strCache>
                <c:ptCount val="2"/>
                <c:pt idx="0">
                  <c:v>ちさと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ちさと2!$P$3:$P$7</c:f>
              <c:numCache>
                <c:formatCode>0.0%</c:formatCode>
                <c:ptCount val="5"/>
                <c:pt idx="1">
                  <c:v>0</c:v>
                </c:pt>
                <c:pt idx="2">
                  <c:v>0</c:v>
                </c:pt>
                <c:pt idx="3">
                  <c:v>0.1111111111111111</c:v>
                </c:pt>
                <c:pt idx="4">
                  <c:v>0.25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738704409363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ちさと2!$Q$1:$Q$2</c:f>
              <c:strCache>
                <c:ptCount val="2"/>
                <c:pt idx="0">
                  <c:v>ちさと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ちさと2!$A$3:$A$7</c:f>
              <c:numCache>
                <c:formatCode>0\ "回"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ちさと2!$Q$3:$Q$7</c:f>
              <c:numCache>
                <c:formatCode>0.0%</c:formatCode>
                <c:ptCount val="5"/>
                <c:pt idx="1">
                  <c:v>0.33333333333333331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0369787568843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 t="shared" ref="C7:C12" si="2"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 t="shared" si="2"/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si="2"/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 t="shared" si="2"/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 t="shared" si="2"/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 t="shared" si="2"/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-1000000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O107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43595.036122685182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43599.989502314813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43601.497303240743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43602.380266203705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43606.438171296293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43606.438171296293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43608.928032407406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43606.438171296293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43607.939467592594</v>
      </c>
      <c r="C44" s="30" t="s">
        <v>130</v>
      </c>
    </row>
    <row r="45" spans="1:11" x14ac:dyDescent="0.4">
      <c r="A45" s="30" t="s">
        <v>230</v>
      </c>
      <c r="B45" s="31">
        <v>43607.939467592594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43608.029363425929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43608.535393518519</v>
      </c>
      <c r="C47" s="30" t="s">
        <v>130</v>
      </c>
    </row>
    <row r="48" spans="1:11" x14ac:dyDescent="0.4">
      <c r="A48" s="30" t="s">
        <v>235</v>
      </c>
      <c r="B48" s="31">
        <v>43609.017604166664</v>
      </c>
      <c r="C48" s="30" t="s">
        <v>130</v>
      </c>
    </row>
    <row r="49" spans="1:7" x14ac:dyDescent="0.4">
      <c r="A49" s="30" t="s">
        <v>234</v>
      </c>
      <c r="B49" s="31">
        <v>43609.016342592593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43610.908877314818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43611.023946759262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43612.976331018515</v>
      </c>
      <c r="C52" s="30" t="s">
        <v>130</v>
      </c>
    </row>
    <row r="53" spans="1:7" x14ac:dyDescent="0.4">
      <c r="A53" s="30" t="s">
        <v>239</v>
      </c>
      <c r="B53" s="31">
        <v>43613.794409722221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43619.367106481484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43619.367106481484</v>
      </c>
      <c r="C55" s="30" t="s">
        <v>130</v>
      </c>
    </row>
    <row r="56" spans="1:7" x14ac:dyDescent="0.4">
      <c r="A56" s="30" t="s">
        <v>242</v>
      </c>
      <c r="B56" s="31">
        <v>43619.367106481484</v>
      </c>
      <c r="C56" s="30" t="s">
        <v>130</v>
      </c>
    </row>
    <row r="57" spans="1:7" x14ac:dyDescent="0.4">
      <c r="A57" s="30" t="s">
        <v>243</v>
      </c>
      <c r="B57" s="31">
        <v>43620.433194444442</v>
      </c>
      <c r="C57" s="30" t="s">
        <v>130</v>
      </c>
    </row>
    <row r="58" spans="1:7" x14ac:dyDescent="0.4">
      <c r="A58" s="30" t="s">
        <v>244</v>
      </c>
      <c r="B58" s="31">
        <v>43622.371793981481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43622.371793981481</v>
      </c>
      <c r="C59" s="30" t="s">
        <v>130</v>
      </c>
    </row>
    <row r="60" spans="1:7" x14ac:dyDescent="0.4">
      <c r="A60" s="30" t="s">
        <v>250</v>
      </c>
      <c r="B60" s="31">
        <v>43628.368391203701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43628.368391203701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43628.368391203701</v>
      </c>
      <c r="C62" s="30" t="s">
        <v>130</v>
      </c>
    </row>
    <row r="63" spans="1:7" x14ac:dyDescent="0.4">
      <c r="A63" s="30" t="s">
        <v>253</v>
      </c>
      <c r="B63" s="31">
        <v>43628.368391203701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43636.372488425928</v>
      </c>
      <c r="C64" s="30" t="s">
        <v>130</v>
      </c>
      <c r="D64" s="30" t="s">
        <v>131</v>
      </c>
    </row>
    <row r="65" spans="1:6" x14ac:dyDescent="0.4">
      <c r="A65" s="30" t="s">
        <v>255</v>
      </c>
      <c r="B65" s="31">
        <v>43630.036805555559</v>
      </c>
      <c r="C65" s="30" t="s">
        <v>130</v>
      </c>
      <c r="D65" s="30" t="s">
        <v>131</v>
      </c>
      <c r="E65" s="30" t="s">
        <v>169</v>
      </c>
    </row>
    <row r="66" spans="1:6" x14ac:dyDescent="0.4">
      <c r="A66" s="30" t="s">
        <v>256</v>
      </c>
      <c r="B66" s="31">
        <v>43631.032719907409</v>
      </c>
      <c r="C66" s="30" t="s">
        <v>130</v>
      </c>
      <c r="D66" s="30" t="s">
        <v>131</v>
      </c>
    </row>
    <row r="67" spans="1:6" x14ac:dyDescent="0.4">
      <c r="A67" s="30" t="s">
        <v>257</v>
      </c>
      <c r="B67" s="31">
        <v>43632.037743055553</v>
      </c>
      <c r="C67" s="30" t="s">
        <v>130</v>
      </c>
      <c r="D67" s="30" t="s">
        <v>131</v>
      </c>
      <c r="E67" s="30" t="s">
        <v>169</v>
      </c>
    </row>
    <row r="68" spans="1:6" x14ac:dyDescent="0.4">
      <c r="A68" s="30" t="s">
        <v>258</v>
      </c>
      <c r="B68" s="31">
        <v>43633.594537037039</v>
      </c>
      <c r="C68" s="30" t="s">
        <v>130</v>
      </c>
      <c r="D68" s="30" t="s">
        <v>131</v>
      </c>
    </row>
    <row r="69" spans="1:6" x14ac:dyDescent="0.4">
      <c r="A69" s="30" t="s">
        <v>259</v>
      </c>
      <c r="B69" s="31">
        <v>43636.372488425928</v>
      </c>
      <c r="C69" s="30" t="s">
        <v>130</v>
      </c>
    </row>
    <row r="70" spans="1:6" x14ac:dyDescent="0.4">
      <c r="A70" s="30" t="s">
        <v>260</v>
      </c>
      <c r="B70" s="31">
        <v>43636.60429398148</v>
      </c>
      <c r="C70" s="30" t="s">
        <v>130</v>
      </c>
      <c r="D70" s="30" t="s">
        <v>131</v>
      </c>
      <c r="E70" s="30" t="s">
        <v>169</v>
      </c>
    </row>
    <row r="71" spans="1:6" x14ac:dyDescent="0.4">
      <c r="A71" s="30" t="s">
        <v>261</v>
      </c>
      <c r="B71" s="31">
        <v>43642.400636574072</v>
      </c>
      <c r="C71" s="30" t="s">
        <v>130</v>
      </c>
      <c r="D71" s="30" t="s">
        <v>131</v>
      </c>
    </row>
    <row r="72" spans="1:6" x14ac:dyDescent="0.4">
      <c r="A72" s="30" t="s">
        <v>262</v>
      </c>
      <c r="B72" s="31">
        <v>43645.824479166666</v>
      </c>
      <c r="C72" s="30" t="s">
        <v>130</v>
      </c>
      <c r="D72" s="30" t="s">
        <v>131</v>
      </c>
    </row>
    <row r="73" spans="1:6" x14ac:dyDescent="0.4">
      <c r="A73" s="30" t="s">
        <v>263</v>
      </c>
      <c r="B73" s="31">
        <v>43643.991898148146</v>
      </c>
      <c r="C73" s="30" t="s">
        <v>130</v>
      </c>
    </row>
    <row r="74" spans="1:6" x14ac:dyDescent="0.4">
      <c r="A74" s="30" t="s">
        <v>264</v>
      </c>
      <c r="B74" s="31">
        <v>43645.824479166666</v>
      </c>
      <c r="C74" s="30" t="s">
        <v>130</v>
      </c>
      <c r="D74" s="30" t="s">
        <v>131</v>
      </c>
    </row>
    <row r="75" spans="1:6" x14ac:dyDescent="0.4">
      <c r="A75" s="30" t="s">
        <v>265</v>
      </c>
      <c r="B75" s="31">
        <v>43646.846875000003</v>
      </c>
      <c r="C75" s="30" t="s">
        <v>130</v>
      </c>
      <c r="D75" s="30" t="s">
        <v>131</v>
      </c>
    </row>
    <row r="76" spans="1:6" x14ac:dyDescent="0.4">
      <c r="A76" s="30" t="s">
        <v>266</v>
      </c>
      <c r="B76" s="31">
        <v>43646.846875000003</v>
      </c>
      <c r="C76" s="30" t="s">
        <v>130</v>
      </c>
      <c r="D76" s="30" t="s">
        <v>131</v>
      </c>
    </row>
    <row r="77" spans="1:6" x14ac:dyDescent="0.4">
      <c r="A77" s="30" t="s">
        <v>267</v>
      </c>
      <c r="B77" s="31">
        <v>43646.846875000003</v>
      </c>
      <c r="C77" s="30" t="s">
        <v>130</v>
      </c>
      <c r="D77" s="30" t="s">
        <v>131</v>
      </c>
      <c r="E77" s="30" t="s">
        <v>169</v>
      </c>
      <c r="F77" s="30" t="s">
        <v>174</v>
      </c>
    </row>
    <row r="78" spans="1:6" x14ac:dyDescent="0.4">
      <c r="A78" s="30" t="s">
        <v>269</v>
      </c>
      <c r="B78" s="31">
        <v>43646.9846412037</v>
      </c>
      <c r="C78" s="30" t="s">
        <v>130</v>
      </c>
      <c r="D78" s="30" t="s">
        <v>131</v>
      </c>
    </row>
    <row r="79" spans="1:6" x14ac:dyDescent="0.4">
      <c r="A79" s="30" t="s">
        <v>268</v>
      </c>
      <c r="B79" s="31">
        <v>43646.89403935185</v>
      </c>
      <c r="C79" s="30" t="s">
        <v>130</v>
      </c>
      <c r="D79" s="30" t="s">
        <v>131</v>
      </c>
    </row>
    <row r="80" spans="1:6" x14ac:dyDescent="0.4">
      <c r="A80" s="30" t="s">
        <v>270</v>
      </c>
      <c r="B80" s="31">
        <v>43649.487291666665</v>
      </c>
      <c r="C80" s="30" t="s">
        <v>130</v>
      </c>
      <c r="D80" s="30" t="s">
        <v>131</v>
      </c>
    </row>
    <row r="81" spans="1:15" x14ac:dyDescent="0.4">
      <c r="A81" s="30" t="s">
        <v>272</v>
      </c>
      <c r="B81" s="31">
        <v>43649.494131944448</v>
      </c>
      <c r="C81" s="30" t="s">
        <v>130</v>
      </c>
      <c r="D81" s="30" t="s">
        <v>131</v>
      </c>
      <c r="E81" s="30" t="s">
        <v>169</v>
      </c>
    </row>
    <row r="82" spans="1:15" x14ac:dyDescent="0.4">
      <c r="A82" s="30" t="s">
        <v>273</v>
      </c>
      <c r="B82" s="31">
        <v>43651.43204861111</v>
      </c>
      <c r="C82" s="30" t="s">
        <v>130</v>
      </c>
      <c r="D82" s="30" t="s">
        <v>131</v>
      </c>
      <c r="E82" s="30" t="s">
        <v>169</v>
      </c>
    </row>
    <row r="83" spans="1:15" x14ac:dyDescent="0.4">
      <c r="A83" s="30" t="s">
        <v>274</v>
      </c>
      <c r="B83" s="31">
        <v>43660.536006944443</v>
      </c>
      <c r="C83" s="30" t="s">
        <v>130</v>
      </c>
      <c r="D83" s="30" t="s">
        <v>131</v>
      </c>
      <c r="E83" s="30" t="s">
        <v>169</v>
      </c>
      <c r="F83" s="30" t="s">
        <v>174</v>
      </c>
      <c r="G83" s="30" t="s">
        <v>175</v>
      </c>
    </row>
    <row r="84" spans="1:15" x14ac:dyDescent="0.4">
      <c r="A84" s="30" t="s">
        <v>275</v>
      </c>
      <c r="B84" s="31">
        <v>43660.536006944443</v>
      </c>
      <c r="C84" s="30" t="s">
        <v>130</v>
      </c>
      <c r="D84" s="30" t="s">
        <v>131</v>
      </c>
      <c r="E84" s="30" t="s">
        <v>169</v>
      </c>
      <c r="F84" s="30" t="s">
        <v>174</v>
      </c>
    </row>
    <row r="85" spans="1:15" x14ac:dyDescent="0.4">
      <c r="A85" s="30" t="s">
        <v>276</v>
      </c>
      <c r="B85" s="31">
        <v>43662.431319444448</v>
      </c>
      <c r="C85" s="30" t="s">
        <v>130</v>
      </c>
      <c r="D85" s="30" t="s">
        <v>131</v>
      </c>
      <c r="E85" s="30" t="s">
        <v>169</v>
      </c>
      <c r="F85" s="30" t="s">
        <v>174</v>
      </c>
      <c r="G85" s="30" t="s">
        <v>175</v>
      </c>
      <c r="H85" s="30" t="s">
        <v>185</v>
      </c>
    </row>
    <row r="86" spans="1:15" x14ac:dyDescent="0.4">
      <c r="A86" s="30" t="s">
        <v>277</v>
      </c>
      <c r="B86" s="31">
        <v>43662.431319444448</v>
      </c>
      <c r="C86" s="30" t="s">
        <v>130</v>
      </c>
    </row>
    <row r="87" spans="1:15" x14ac:dyDescent="0.4">
      <c r="A87" s="30" t="s">
        <v>278</v>
      </c>
      <c r="B87" s="31">
        <v>43662.431319444448</v>
      </c>
      <c r="C87" s="30" t="s">
        <v>130</v>
      </c>
      <c r="D87" s="30" t="s">
        <v>131</v>
      </c>
      <c r="E87" s="30" t="s">
        <v>169</v>
      </c>
    </row>
    <row r="88" spans="1:15" x14ac:dyDescent="0.4">
      <c r="A88" s="30" t="s">
        <v>279</v>
      </c>
      <c r="B88" s="31">
        <v>43662.431319444448</v>
      </c>
      <c r="C88" s="30" t="s">
        <v>130</v>
      </c>
      <c r="D88" s="30" t="s">
        <v>131</v>
      </c>
      <c r="E88" s="30" t="s">
        <v>169</v>
      </c>
    </row>
    <row r="89" spans="1:15" x14ac:dyDescent="0.4">
      <c r="A89" s="30" t="s">
        <v>280</v>
      </c>
      <c r="B89" s="31">
        <v>43662.431319444448</v>
      </c>
      <c r="C89" s="30" t="s">
        <v>130</v>
      </c>
      <c r="D89" s="30" t="s">
        <v>131</v>
      </c>
      <c r="E89" s="30" t="s">
        <v>169</v>
      </c>
      <c r="F89" s="30" t="s">
        <v>174</v>
      </c>
      <c r="G89" s="30" t="s">
        <v>175</v>
      </c>
    </row>
    <row r="90" spans="1:15" x14ac:dyDescent="0.4">
      <c r="A90" s="30" t="s">
        <v>286</v>
      </c>
      <c r="B90" s="31">
        <v>43661.057534722226</v>
      </c>
      <c r="C90" s="30" t="s">
        <v>130</v>
      </c>
      <c r="D90" s="30" t="s">
        <v>131</v>
      </c>
      <c r="E90" s="30" t="s">
        <v>169</v>
      </c>
    </row>
    <row r="91" spans="1:15" x14ac:dyDescent="0.4">
      <c r="A91" s="30" t="s">
        <v>281</v>
      </c>
      <c r="B91" s="31">
        <v>43662.431319444448</v>
      </c>
      <c r="C91" s="30" t="s">
        <v>130</v>
      </c>
      <c r="D91" s="30" t="s">
        <v>131</v>
      </c>
      <c r="E91" s="30" t="s">
        <v>169</v>
      </c>
      <c r="F91" s="30" t="s">
        <v>174</v>
      </c>
      <c r="G91" s="30" t="s">
        <v>175</v>
      </c>
      <c r="H91" s="30" t="s">
        <v>185</v>
      </c>
      <c r="I91" s="30" t="s">
        <v>186</v>
      </c>
      <c r="J91" s="30" t="s">
        <v>187</v>
      </c>
      <c r="K91" s="30" t="s">
        <v>228</v>
      </c>
      <c r="L91" s="30" t="s">
        <v>282</v>
      </c>
      <c r="M91" s="30" t="s">
        <v>283</v>
      </c>
      <c r="N91" s="30" t="s">
        <v>284</v>
      </c>
      <c r="O91" s="30" t="s">
        <v>285</v>
      </c>
    </row>
    <row r="92" spans="1:15" x14ac:dyDescent="0.4">
      <c r="A92" s="30" t="s">
        <v>287</v>
      </c>
      <c r="B92" s="31">
        <v>43662.431319444448</v>
      </c>
      <c r="C92" s="30" t="s">
        <v>130</v>
      </c>
      <c r="D92" s="30" t="s">
        <v>131</v>
      </c>
      <c r="E92" s="30" t="s">
        <v>169</v>
      </c>
      <c r="F92" s="30" t="s">
        <v>174</v>
      </c>
      <c r="G92" s="30" t="s">
        <v>175</v>
      </c>
    </row>
    <row r="93" spans="1:15" x14ac:dyDescent="0.4">
      <c r="A93" s="30" t="s">
        <v>288</v>
      </c>
      <c r="B93" s="31">
        <v>43663.012245370373</v>
      </c>
      <c r="C93" s="30" t="s">
        <v>130</v>
      </c>
      <c r="D93" s="30" t="s">
        <v>131</v>
      </c>
    </row>
    <row r="94" spans="1:15" x14ac:dyDescent="0.4">
      <c r="A94" s="30" t="s">
        <v>289</v>
      </c>
      <c r="B94" s="31">
        <v>43663.617199074077</v>
      </c>
      <c r="C94" s="30" t="s">
        <v>130</v>
      </c>
      <c r="D94" s="30" t="s">
        <v>131</v>
      </c>
    </row>
    <row r="95" spans="1:15" x14ac:dyDescent="0.4">
      <c r="A95" s="30" t="s">
        <v>290</v>
      </c>
      <c r="B95" s="31">
        <v>43666.939143518517</v>
      </c>
      <c r="C95" s="30" t="s">
        <v>130</v>
      </c>
      <c r="D95" s="30" t="s">
        <v>131</v>
      </c>
    </row>
    <row r="96" spans="1:15" x14ac:dyDescent="0.4">
      <c r="A96" s="30" t="s">
        <v>291</v>
      </c>
      <c r="B96" s="31">
        <v>43668.854745370372</v>
      </c>
      <c r="C96" s="30" t="s">
        <v>130</v>
      </c>
      <c r="D96" s="30" t="s">
        <v>131</v>
      </c>
      <c r="E96" s="30" t="s">
        <v>169</v>
      </c>
    </row>
    <row r="97" spans="1:6" x14ac:dyDescent="0.4">
      <c r="A97" s="30" t="s">
        <v>292</v>
      </c>
      <c r="B97" s="31">
        <v>43686.797071759262</v>
      </c>
      <c r="C97" s="30" t="s">
        <v>130</v>
      </c>
      <c r="D97" s="30" t="s">
        <v>131</v>
      </c>
    </row>
    <row r="98" spans="1:6" x14ac:dyDescent="0.4">
      <c r="A98" s="30" t="s">
        <v>293</v>
      </c>
      <c r="B98" s="31">
        <v>43686.797071759262</v>
      </c>
      <c r="C98" s="30" t="s">
        <v>130</v>
      </c>
      <c r="D98" s="30" t="s">
        <v>131</v>
      </c>
      <c r="E98" s="30" t="s">
        <v>169</v>
      </c>
      <c r="F98" s="30" t="s">
        <v>174</v>
      </c>
    </row>
    <row r="99" spans="1:6" x14ac:dyDescent="0.4">
      <c r="A99" s="30" t="s">
        <v>294</v>
      </c>
      <c r="B99" s="31">
        <v>43751.111666666664</v>
      </c>
      <c r="C99" s="30" t="s">
        <v>130</v>
      </c>
      <c r="D99" s="30" t="s">
        <v>131</v>
      </c>
      <c r="E99" s="30" t="s">
        <v>169</v>
      </c>
      <c r="F99" s="30" t="s">
        <v>174</v>
      </c>
    </row>
    <row r="100" spans="1:6" x14ac:dyDescent="0.4">
      <c r="A100" s="30" t="s">
        <v>295</v>
      </c>
      <c r="B100" s="31">
        <v>43686.797071759262</v>
      </c>
      <c r="C100" s="30" t="s">
        <v>130</v>
      </c>
      <c r="D100" s="30" t="s">
        <v>131</v>
      </c>
    </row>
    <row r="101" spans="1:6" x14ac:dyDescent="0.4">
      <c r="A101" s="30" t="s">
        <v>296</v>
      </c>
      <c r="B101" s="31">
        <v>43686.797071759262</v>
      </c>
      <c r="C101" s="30" t="s">
        <v>130</v>
      </c>
    </row>
    <row r="102" spans="1:6" x14ac:dyDescent="0.4">
      <c r="A102" s="30" t="s">
        <v>297</v>
      </c>
      <c r="B102" s="31">
        <v>43686.797071759262</v>
      </c>
      <c r="C102" s="30" t="s">
        <v>130</v>
      </c>
      <c r="D102" s="30" t="s">
        <v>131</v>
      </c>
      <c r="E102" s="30" t="s">
        <v>169</v>
      </c>
    </row>
    <row r="103" spans="1:6" x14ac:dyDescent="0.4">
      <c r="A103" s="30" t="s">
        <v>298</v>
      </c>
      <c r="B103" s="31">
        <v>43686.797071759262</v>
      </c>
      <c r="C103" s="30" t="s">
        <v>130</v>
      </c>
      <c r="D103" s="30" t="s">
        <v>131</v>
      </c>
    </row>
    <row r="104" spans="1:6" x14ac:dyDescent="0.4">
      <c r="A104" s="30" t="s">
        <v>299</v>
      </c>
      <c r="B104" s="31">
        <v>43686.797071759262</v>
      </c>
      <c r="C104" s="30" t="s">
        <v>130</v>
      </c>
    </row>
    <row r="105" spans="1:6" x14ac:dyDescent="0.4">
      <c r="A105" s="30" t="s">
        <v>300</v>
      </c>
      <c r="B105" s="31">
        <v>43730.928703703707</v>
      </c>
      <c r="C105" s="30" t="s">
        <v>130</v>
      </c>
      <c r="D105" s="30" t="s">
        <v>131</v>
      </c>
      <c r="E105" s="30" t="s">
        <v>169</v>
      </c>
      <c r="F105" s="30" t="s">
        <v>174</v>
      </c>
    </row>
    <row r="106" spans="1:6" x14ac:dyDescent="0.4">
      <c r="A106" s="30" t="s">
        <v>302</v>
      </c>
      <c r="B106" s="31">
        <v>43732.363425925927</v>
      </c>
      <c r="C106" s="30" t="s">
        <v>130</v>
      </c>
      <c r="D106" s="30" t="s">
        <v>131</v>
      </c>
    </row>
    <row r="107" spans="1:6" x14ac:dyDescent="0.4">
      <c r="A107" s="30" t="s">
        <v>303</v>
      </c>
      <c r="B107" s="31">
        <v>43732.363425925927</v>
      </c>
      <c r="C107" s="30" t="s">
        <v>130</v>
      </c>
      <c r="D107" s="30" t="s">
        <v>131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5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1026</v>
      </c>
    </row>
    <row r="2" spans="1:2" x14ac:dyDescent="0.4">
      <c r="A2" t="s">
        <v>127</v>
      </c>
      <c r="B2">
        <v>219</v>
      </c>
    </row>
    <row r="3" spans="1:2" x14ac:dyDescent="0.4">
      <c r="A3" t="s">
        <v>128</v>
      </c>
      <c r="B3">
        <v>163</v>
      </c>
    </row>
    <row r="4" spans="1:2" x14ac:dyDescent="0.4">
      <c r="A4" t="s">
        <v>129</v>
      </c>
      <c r="B4">
        <v>179</v>
      </c>
    </row>
    <row r="5" spans="1:2" x14ac:dyDescent="0.4">
      <c r="A5" t="s">
        <v>171</v>
      </c>
      <c r="B5">
        <v>110</v>
      </c>
    </row>
    <row r="6" spans="1:2" x14ac:dyDescent="0.4">
      <c r="A6" t="s">
        <v>172</v>
      </c>
      <c r="B6">
        <v>105</v>
      </c>
    </row>
    <row r="7" spans="1:2" x14ac:dyDescent="0.4">
      <c r="A7" t="s">
        <v>173</v>
      </c>
      <c r="B7">
        <v>61</v>
      </c>
    </row>
    <row r="8" spans="1:2" x14ac:dyDescent="0.4">
      <c r="A8" t="s">
        <v>177</v>
      </c>
      <c r="B8">
        <v>121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24</v>
      </c>
    </row>
    <row r="11" spans="1:2" x14ac:dyDescent="0.4">
      <c r="A11" t="s">
        <v>200</v>
      </c>
      <c r="B11">
        <v>21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6</v>
      </c>
    </row>
    <row r="14" spans="1:2" x14ac:dyDescent="0.4">
      <c r="A14" t="s">
        <v>271</v>
      </c>
      <c r="B14">
        <v>9</v>
      </c>
    </row>
    <row r="15" spans="1:2" x14ac:dyDescent="0.4">
      <c r="A15" t="s">
        <v>301</v>
      </c>
      <c r="B15">
        <v>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7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</row>
    <row r="2" spans="1:35" x14ac:dyDescent="0.4">
      <c r="A2" s="72" t="s">
        <v>161</v>
      </c>
      <c r="B2" s="162"/>
      <c r="C2" s="163"/>
      <c r="D2" s="162"/>
      <c r="E2" s="163"/>
      <c r="F2" s="158">
        <v>0.97477338651940326</v>
      </c>
      <c r="G2" s="159"/>
      <c r="H2" s="158">
        <v>0.7028048111696068</v>
      </c>
      <c r="I2" s="159"/>
      <c r="J2" s="158">
        <v>0.86987015694814984</v>
      </c>
      <c r="K2" s="159"/>
      <c r="L2" s="158">
        <v>0.6883388559611775</v>
      </c>
      <c r="M2" s="159"/>
      <c r="N2" s="158">
        <v>0.75034546269229141</v>
      </c>
      <c r="O2" s="159"/>
      <c r="P2" s="158">
        <v>0.3926084938399364</v>
      </c>
      <c r="Q2" s="159"/>
      <c r="R2" s="158">
        <v>0.37787023224905875</v>
      </c>
      <c r="S2" s="159"/>
      <c r="T2" s="158">
        <v>0.67994438449395178</v>
      </c>
      <c r="U2" s="159"/>
      <c r="V2" s="158">
        <v>0.5414863494531944</v>
      </c>
      <c r="W2" s="159"/>
      <c r="X2" s="158">
        <v>0.65002404565305016</v>
      </c>
      <c r="Y2" s="159"/>
      <c r="Z2" s="158">
        <v>0.10236779837526548</v>
      </c>
      <c r="AA2" s="159"/>
      <c r="AB2" s="158">
        <v>-0.21282982907824516</v>
      </c>
      <c r="AC2" s="159"/>
      <c r="AD2" s="158">
        <v>0.75701723735301552</v>
      </c>
      <c r="AE2" s="159"/>
      <c r="AF2" s="158">
        <v>-0.17177605980655511</v>
      </c>
      <c r="AG2" s="159"/>
      <c r="AH2" s="158">
        <v>0.50924976995254345</v>
      </c>
      <c r="AI2" s="159"/>
    </row>
    <row r="3" spans="1:35" x14ac:dyDescent="0.4">
      <c r="A3" s="74">
        <v>1</v>
      </c>
      <c r="B3" s="75" t="s">
        <v>127</v>
      </c>
      <c r="C3" s="76">
        <v>2746.9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223</v>
      </c>
      <c r="M3" s="80">
        <v>0.34782608695652173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223</v>
      </c>
      <c r="W3" s="79">
        <v>0.33333333333333331</v>
      </c>
      <c r="X3" s="77" t="s">
        <v>127</v>
      </c>
      <c r="Y3" s="80">
        <v>0.30228667038482987</v>
      </c>
      <c r="Z3" s="77" t="s">
        <v>301</v>
      </c>
      <c r="AA3" s="80">
        <v>0.375</v>
      </c>
      <c r="AB3" s="77" t="s">
        <v>223</v>
      </c>
      <c r="AC3" s="80">
        <v>0.7142857142857143</v>
      </c>
      <c r="AD3" s="77" t="s">
        <v>223</v>
      </c>
      <c r="AE3" s="80">
        <v>0.52941176470588236</v>
      </c>
      <c r="AF3" s="77" t="s">
        <v>223</v>
      </c>
      <c r="AG3" s="80">
        <v>0.625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136.29999999999998</v>
      </c>
      <c r="D4" s="85" t="s">
        <v>223</v>
      </c>
      <c r="E4" s="97">
        <v>16.733333333333331</v>
      </c>
      <c r="F4" s="85" t="s">
        <v>127</v>
      </c>
      <c r="G4" s="86">
        <v>1.7579908675799087</v>
      </c>
      <c r="H4" s="85" t="s">
        <v>223</v>
      </c>
      <c r="I4" s="87">
        <v>0.5</v>
      </c>
      <c r="J4" s="85" t="s">
        <v>222</v>
      </c>
      <c r="K4" s="87">
        <v>0</v>
      </c>
      <c r="L4" s="85" t="s">
        <v>200</v>
      </c>
      <c r="M4" s="88">
        <v>0.34031413612565448</v>
      </c>
      <c r="N4" s="85" t="s">
        <v>183</v>
      </c>
      <c r="O4" s="88">
        <v>0.10526315789473684</v>
      </c>
      <c r="P4" s="85" t="s">
        <v>223</v>
      </c>
      <c r="Q4" s="89">
        <v>12143.75</v>
      </c>
      <c r="R4" s="85" t="s">
        <v>271</v>
      </c>
      <c r="S4" s="89">
        <v>-7042.8571428571431</v>
      </c>
      <c r="T4" s="85" t="s">
        <v>222</v>
      </c>
      <c r="U4" s="87">
        <v>0</v>
      </c>
      <c r="V4" s="85" t="s">
        <v>301</v>
      </c>
      <c r="W4" s="87">
        <v>0.25</v>
      </c>
      <c r="X4" s="85" t="s">
        <v>128</v>
      </c>
      <c r="Y4" s="88">
        <v>0.29604772557792691</v>
      </c>
      <c r="Z4" s="85" t="s">
        <v>223</v>
      </c>
      <c r="AA4" s="88">
        <v>0.36956521739130432</v>
      </c>
      <c r="AB4" s="85" t="s">
        <v>271</v>
      </c>
      <c r="AC4" s="88">
        <v>0.7142857142857143</v>
      </c>
      <c r="AD4" s="85" t="s">
        <v>127</v>
      </c>
      <c r="AE4" s="88">
        <v>0.5</v>
      </c>
      <c r="AF4" s="85" t="s">
        <v>200</v>
      </c>
      <c r="AG4" s="88">
        <v>0.55384615384615388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223</v>
      </c>
      <c r="C5" s="84">
        <v>100.39999999999999</v>
      </c>
      <c r="D5" s="85" t="s">
        <v>222</v>
      </c>
      <c r="E5" s="97">
        <v>13.3</v>
      </c>
      <c r="F5" s="85" t="s">
        <v>223</v>
      </c>
      <c r="G5" s="86">
        <v>1.8333333333333333</v>
      </c>
      <c r="H5" s="85" t="s">
        <v>127</v>
      </c>
      <c r="I5" s="87">
        <v>0.48401826484018262</v>
      </c>
      <c r="J5" s="85" t="s">
        <v>200</v>
      </c>
      <c r="K5" s="87">
        <v>0.19047619047619047</v>
      </c>
      <c r="L5" s="85" t="s">
        <v>127</v>
      </c>
      <c r="M5" s="88">
        <v>0.33742331288343558</v>
      </c>
      <c r="N5" s="85" t="s">
        <v>223</v>
      </c>
      <c r="O5" s="88">
        <v>0.13043478260869565</v>
      </c>
      <c r="P5" s="85" t="s">
        <v>171</v>
      </c>
      <c r="Q5" s="89">
        <v>10015.094339622641</v>
      </c>
      <c r="R5" s="85" t="s">
        <v>177</v>
      </c>
      <c r="S5" s="89">
        <v>-7062.9139072847684</v>
      </c>
      <c r="T5" s="85" t="s">
        <v>223</v>
      </c>
      <c r="U5" s="87">
        <v>0</v>
      </c>
      <c r="V5" s="85" t="s">
        <v>127</v>
      </c>
      <c r="W5" s="87">
        <v>0.16894977168949771</v>
      </c>
      <c r="X5" s="85" t="s">
        <v>171</v>
      </c>
      <c r="Y5" s="88">
        <v>0.28336980306345733</v>
      </c>
      <c r="Z5" s="85" t="s">
        <v>200</v>
      </c>
      <c r="AA5" s="88">
        <v>0.32460732984293195</v>
      </c>
      <c r="AB5" s="85" t="s">
        <v>184</v>
      </c>
      <c r="AC5" s="88">
        <v>0.66666666666666663</v>
      </c>
      <c r="AD5" s="85" t="s">
        <v>183</v>
      </c>
      <c r="AE5" s="88">
        <v>0.5</v>
      </c>
      <c r="AF5" s="85" t="s">
        <v>173</v>
      </c>
      <c r="AG5" s="88">
        <v>0.50340136054421769</v>
      </c>
      <c r="AH5" s="85" t="s">
        <v>173</v>
      </c>
      <c r="AI5" s="92">
        <v>113300</v>
      </c>
    </row>
    <row r="6" spans="1:35" x14ac:dyDescent="0.4">
      <c r="A6" s="82">
        <v>4</v>
      </c>
      <c r="B6" s="83" t="s">
        <v>200</v>
      </c>
      <c r="C6" s="84">
        <v>82.799999999999983</v>
      </c>
      <c r="D6" s="85" t="s">
        <v>127</v>
      </c>
      <c r="E6" s="97">
        <v>12.542922374429224</v>
      </c>
      <c r="F6" s="85" t="s">
        <v>200</v>
      </c>
      <c r="G6" s="86">
        <v>1.8571428571428572</v>
      </c>
      <c r="H6" s="85" t="s">
        <v>184</v>
      </c>
      <c r="I6" s="87">
        <v>0.33333333333333331</v>
      </c>
      <c r="J6" s="85" t="s">
        <v>127</v>
      </c>
      <c r="K6" s="87">
        <v>0.24200913242009131</v>
      </c>
      <c r="L6" s="85" t="s">
        <v>172</v>
      </c>
      <c r="M6" s="88">
        <v>0.33258426966292137</v>
      </c>
      <c r="N6" s="85" t="s">
        <v>172</v>
      </c>
      <c r="O6" s="88">
        <v>0.14606741573033707</v>
      </c>
      <c r="P6" s="85" t="s">
        <v>127</v>
      </c>
      <c r="Q6" s="89">
        <v>9240.6611570247933</v>
      </c>
      <c r="R6" s="85" t="s">
        <v>128</v>
      </c>
      <c r="S6" s="89">
        <v>-7653.6585365853662</v>
      </c>
      <c r="T6" s="85" t="s">
        <v>172</v>
      </c>
      <c r="U6" s="87">
        <v>5.7142857142857141E-2</v>
      </c>
      <c r="V6" s="85" t="s">
        <v>171</v>
      </c>
      <c r="W6" s="87">
        <v>0.14545454545454545</v>
      </c>
      <c r="X6" s="85" t="s">
        <v>145</v>
      </c>
      <c r="Y6" s="88">
        <v>0.26521535580524347</v>
      </c>
      <c r="Z6" s="85" t="s">
        <v>271</v>
      </c>
      <c r="AA6" s="88">
        <v>0.3</v>
      </c>
      <c r="AB6" s="85" t="s">
        <v>177</v>
      </c>
      <c r="AC6" s="88">
        <v>0.60754716981132073</v>
      </c>
      <c r="AD6" s="85" t="s">
        <v>200</v>
      </c>
      <c r="AE6" s="88">
        <v>0.43548387096774194</v>
      </c>
      <c r="AF6" s="85" t="s">
        <v>222</v>
      </c>
      <c r="AG6" s="88">
        <v>0.5</v>
      </c>
      <c r="AH6" s="85" t="s">
        <v>128</v>
      </c>
      <c r="AI6" s="92">
        <v>107600</v>
      </c>
    </row>
    <row r="7" spans="1:35" x14ac:dyDescent="0.4">
      <c r="A7" s="82">
        <v>5</v>
      </c>
      <c r="B7" s="83" t="s">
        <v>183</v>
      </c>
      <c r="C7" s="84">
        <v>61</v>
      </c>
      <c r="D7" s="85" t="s">
        <v>200</v>
      </c>
      <c r="E7" s="97">
        <v>3.9428571428571422</v>
      </c>
      <c r="F7" s="85" t="s">
        <v>177</v>
      </c>
      <c r="G7" s="86">
        <v>1.9834710743801653</v>
      </c>
      <c r="H7" s="85" t="s">
        <v>200</v>
      </c>
      <c r="I7" s="87">
        <v>0.33333333333333331</v>
      </c>
      <c r="J7" s="85" t="s">
        <v>172</v>
      </c>
      <c r="K7" s="87">
        <v>0.30476190476190479</v>
      </c>
      <c r="L7" s="85" t="s">
        <v>301</v>
      </c>
      <c r="M7" s="88">
        <v>0.3125</v>
      </c>
      <c r="N7" s="85" t="s">
        <v>127</v>
      </c>
      <c r="O7" s="88">
        <v>0.14947016174010039</v>
      </c>
      <c r="P7" s="85" t="s">
        <v>128</v>
      </c>
      <c r="Q7" s="89">
        <v>8929.380053908355</v>
      </c>
      <c r="R7" s="85" t="s">
        <v>145</v>
      </c>
      <c r="S7" s="89">
        <v>-8093.2072829131648</v>
      </c>
      <c r="T7" s="85" t="s">
        <v>127</v>
      </c>
      <c r="U7" s="87">
        <v>8.2191780821917804E-2</v>
      </c>
      <c r="V7" s="85" t="s">
        <v>145</v>
      </c>
      <c r="W7" s="87">
        <v>0.11598440545808966</v>
      </c>
      <c r="X7" s="85" t="s">
        <v>177</v>
      </c>
      <c r="Y7" s="88">
        <v>0.26315789473684209</v>
      </c>
      <c r="Z7" s="85" t="s">
        <v>172</v>
      </c>
      <c r="AA7" s="88">
        <v>0.28539325842696628</v>
      </c>
      <c r="AB7" s="85" t="s">
        <v>200</v>
      </c>
      <c r="AC7" s="88">
        <v>0.60416666666666663</v>
      </c>
      <c r="AD7" s="85" t="s">
        <v>172</v>
      </c>
      <c r="AE7" s="88">
        <v>0.42125984251968501</v>
      </c>
      <c r="AF7" s="85" t="s">
        <v>184</v>
      </c>
      <c r="AG7" s="88">
        <v>0.48</v>
      </c>
      <c r="AH7" s="85" t="s">
        <v>200</v>
      </c>
      <c r="AI7" s="92">
        <v>106300</v>
      </c>
    </row>
    <row r="8" spans="1:35" x14ac:dyDescent="0.4">
      <c r="A8" s="82">
        <v>6</v>
      </c>
      <c r="B8" s="83" t="s">
        <v>177</v>
      </c>
      <c r="C8" s="84">
        <v>57.399999999999935</v>
      </c>
      <c r="D8" s="85" t="s">
        <v>171</v>
      </c>
      <c r="E8" s="97">
        <v>1.239090909090909</v>
      </c>
      <c r="F8" s="85" t="s">
        <v>145</v>
      </c>
      <c r="G8" s="86">
        <v>2</v>
      </c>
      <c r="H8" s="85" t="s">
        <v>145</v>
      </c>
      <c r="I8" s="87">
        <v>0.33333333333333331</v>
      </c>
      <c r="J8" s="85" t="s">
        <v>177</v>
      </c>
      <c r="K8" s="87">
        <v>0.31404958677685951</v>
      </c>
      <c r="L8" s="85" t="s">
        <v>145</v>
      </c>
      <c r="M8" s="88">
        <v>0.29751872659176032</v>
      </c>
      <c r="N8" s="85" t="s">
        <v>177</v>
      </c>
      <c r="O8" s="88">
        <v>0.1499503475670308</v>
      </c>
      <c r="P8" s="85" t="s">
        <v>177</v>
      </c>
      <c r="Q8" s="89">
        <v>8750.7299270072999</v>
      </c>
      <c r="R8" s="85" t="s">
        <v>172</v>
      </c>
      <c r="S8" s="89">
        <v>-8148.4615384615381</v>
      </c>
      <c r="T8" s="85" t="s">
        <v>171</v>
      </c>
      <c r="U8" s="87">
        <v>0.1</v>
      </c>
      <c r="V8" s="85" t="s">
        <v>129</v>
      </c>
      <c r="W8" s="87">
        <v>0.10614525139664804</v>
      </c>
      <c r="X8" s="85" t="s">
        <v>183</v>
      </c>
      <c r="Y8" s="88">
        <v>0.26315789473684209</v>
      </c>
      <c r="Z8" s="85" t="s">
        <v>184</v>
      </c>
      <c r="AA8" s="88">
        <v>0.24861878453038674</v>
      </c>
      <c r="AB8" s="85" t="s">
        <v>183</v>
      </c>
      <c r="AC8" s="88">
        <v>0.6</v>
      </c>
      <c r="AD8" s="85" t="s">
        <v>171</v>
      </c>
      <c r="AE8" s="88">
        <v>0.40883977900552487</v>
      </c>
      <c r="AF8" s="85" t="s">
        <v>128</v>
      </c>
      <c r="AG8" s="88">
        <v>0.44474393530997303</v>
      </c>
      <c r="AH8" s="85" t="s">
        <v>177</v>
      </c>
      <c r="AI8" s="92">
        <v>103000</v>
      </c>
    </row>
    <row r="9" spans="1:35" x14ac:dyDescent="0.4">
      <c r="A9" s="82">
        <v>7</v>
      </c>
      <c r="B9" s="83" t="s">
        <v>222</v>
      </c>
      <c r="C9" s="84">
        <v>13.3</v>
      </c>
      <c r="D9" s="85" t="s">
        <v>177</v>
      </c>
      <c r="E9" s="97">
        <v>0.47438016528925564</v>
      </c>
      <c r="F9" s="85" t="s">
        <v>222</v>
      </c>
      <c r="G9" s="86">
        <v>2</v>
      </c>
      <c r="H9" s="85" t="s">
        <v>177</v>
      </c>
      <c r="I9" s="87">
        <v>0.33057851239669422</v>
      </c>
      <c r="J9" s="85" t="s">
        <v>145</v>
      </c>
      <c r="K9" s="87">
        <v>0.33333333333333331</v>
      </c>
      <c r="L9" s="85" t="s">
        <v>171</v>
      </c>
      <c r="M9" s="88">
        <v>0.28993435448577681</v>
      </c>
      <c r="N9" s="85" t="s">
        <v>301</v>
      </c>
      <c r="O9" s="88">
        <v>0.15625</v>
      </c>
      <c r="P9" s="85" t="s">
        <v>145</v>
      </c>
      <c r="Q9" s="89">
        <v>8590.5586152635715</v>
      </c>
      <c r="R9" s="85" t="s">
        <v>173</v>
      </c>
      <c r="S9" s="89">
        <v>-8151.4563106796113</v>
      </c>
      <c r="T9" s="85" t="s">
        <v>271</v>
      </c>
      <c r="U9" s="87">
        <v>0.1111111111111111</v>
      </c>
      <c r="V9" s="85" t="s">
        <v>128</v>
      </c>
      <c r="W9" s="87">
        <v>9.815950920245399E-2</v>
      </c>
      <c r="X9" s="85" t="s">
        <v>200</v>
      </c>
      <c r="Y9" s="88">
        <v>0.2513089005235602</v>
      </c>
      <c r="Z9" s="85" t="s">
        <v>127</v>
      </c>
      <c r="AA9" s="88">
        <v>0.21862799776910205</v>
      </c>
      <c r="AB9" s="85" t="s">
        <v>127</v>
      </c>
      <c r="AC9" s="88">
        <v>0.58487084870848705</v>
      </c>
      <c r="AD9" s="85" t="s">
        <v>145</v>
      </c>
      <c r="AE9" s="88">
        <v>0.3973870440936309</v>
      </c>
      <c r="AF9" s="85" t="s">
        <v>177</v>
      </c>
      <c r="AG9" s="88">
        <v>0.44160583941605841</v>
      </c>
      <c r="AH9" s="85" t="s">
        <v>172</v>
      </c>
      <c r="AI9" s="92">
        <v>97500</v>
      </c>
    </row>
    <row r="10" spans="1:35" x14ac:dyDescent="0.4">
      <c r="A10" s="82">
        <v>8</v>
      </c>
      <c r="B10" s="83" t="s">
        <v>145</v>
      </c>
      <c r="C10" s="84">
        <v>4.2632564145606011E-14</v>
      </c>
      <c r="D10" s="85" t="s">
        <v>145</v>
      </c>
      <c r="E10" s="97">
        <v>4.15522067695965E-17</v>
      </c>
      <c r="F10" s="85" t="s">
        <v>171</v>
      </c>
      <c r="G10" s="86">
        <v>2.0181818181818181</v>
      </c>
      <c r="H10" s="85" t="s">
        <v>171</v>
      </c>
      <c r="I10" s="87">
        <v>0.31818181818181818</v>
      </c>
      <c r="J10" s="85" t="s">
        <v>223</v>
      </c>
      <c r="K10" s="87">
        <v>0.33333333333333331</v>
      </c>
      <c r="L10" s="85" t="s">
        <v>173</v>
      </c>
      <c r="M10" s="88">
        <v>0.27788279773156899</v>
      </c>
      <c r="N10" s="85" t="s">
        <v>200</v>
      </c>
      <c r="O10" s="88">
        <v>0.16230366492146597</v>
      </c>
      <c r="P10" s="85" t="s">
        <v>184</v>
      </c>
      <c r="Q10" s="89">
        <v>8434</v>
      </c>
      <c r="R10" s="85" t="s">
        <v>127</v>
      </c>
      <c r="S10" s="89">
        <v>-8208.2089552238813</v>
      </c>
      <c r="T10" s="85" t="s">
        <v>145</v>
      </c>
      <c r="U10" s="87">
        <v>0.11598440545808966</v>
      </c>
      <c r="V10" s="85" t="s">
        <v>172</v>
      </c>
      <c r="W10" s="87">
        <v>9.5238095238095233E-2</v>
      </c>
      <c r="X10" s="85" t="s">
        <v>129</v>
      </c>
      <c r="Y10" s="88">
        <v>0.24535809018567639</v>
      </c>
      <c r="Z10" s="85" t="s">
        <v>173</v>
      </c>
      <c r="AA10" s="88">
        <v>0.21550094517958412</v>
      </c>
      <c r="AB10" s="85" t="s">
        <v>128</v>
      </c>
      <c r="AC10" s="88">
        <v>0.58438287153652391</v>
      </c>
      <c r="AD10" s="85" t="s">
        <v>184</v>
      </c>
      <c r="AE10" s="88">
        <v>0.37777777777777777</v>
      </c>
      <c r="AF10" s="85" t="s">
        <v>145</v>
      </c>
      <c r="AG10" s="88">
        <v>0.43036978756884342</v>
      </c>
      <c r="AH10" s="85" t="s">
        <v>129</v>
      </c>
      <c r="AI10" s="92">
        <v>96900</v>
      </c>
    </row>
    <row r="11" spans="1:35" x14ac:dyDescent="0.4">
      <c r="A11" s="82">
        <v>9</v>
      </c>
      <c r="B11" s="83" t="s">
        <v>301</v>
      </c>
      <c r="C11" s="84">
        <v>-56.2</v>
      </c>
      <c r="D11" s="85" t="s">
        <v>172</v>
      </c>
      <c r="E11" s="97">
        <v>-2.3190476190476197</v>
      </c>
      <c r="F11" s="85" t="s">
        <v>172</v>
      </c>
      <c r="G11" s="86">
        <v>2.0571428571428569</v>
      </c>
      <c r="H11" s="85" t="s">
        <v>129</v>
      </c>
      <c r="I11" s="87">
        <v>0.3016759776536313</v>
      </c>
      <c r="J11" s="85" t="s">
        <v>171</v>
      </c>
      <c r="K11" s="87">
        <v>0.33636363636363636</v>
      </c>
      <c r="L11" s="85" t="s">
        <v>128</v>
      </c>
      <c r="M11" s="88">
        <v>0.27665920954511558</v>
      </c>
      <c r="N11" s="85" t="s">
        <v>145</v>
      </c>
      <c r="O11" s="88">
        <v>0.16713483146067415</v>
      </c>
      <c r="P11" s="85" t="s">
        <v>129</v>
      </c>
      <c r="Q11" s="89">
        <v>8105.035971223022</v>
      </c>
      <c r="R11" s="85" t="s">
        <v>171</v>
      </c>
      <c r="S11" s="89">
        <v>-8357.6687116564426</v>
      </c>
      <c r="T11" s="85" t="s">
        <v>177</v>
      </c>
      <c r="U11" s="87">
        <v>0.12396694214876033</v>
      </c>
      <c r="V11" s="85" t="s">
        <v>177</v>
      </c>
      <c r="W11" s="87">
        <v>9.0909090909090912E-2</v>
      </c>
      <c r="X11" s="85" t="s">
        <v>184</v>
      </c>
      <c r="Y11" s="88">
        <v>0.23204419889502761</v>
      </c>
      <c r="Z11" s="85" t="s">
        <v>145</v>
      </c>
      <c r="AA11" s="88">
        <v>0.21500468164794007</v>
      </c>
      <c r="AB11" s="85" t="s">
        <v>145</v>
      </c>
      <c r="AC11" s="88">
        <v>0.57678729037952337</v>
      </c>
      <c r="AD11" s="85" t="s">
        <v>129</v>
      </c>
      <c r="AE11" s="88">
        <v>0.35737704918032787</v>
      </c>
      <c r="AF11" s="85" t="s">
        <v>271</v>
      </c>
      <c r="AG11" s="88">
        <v>0.42105263157894735</v>
      </c>
      <c r="AH11" s="85" t="s">
        <v>171</v>
      </c>
      <c r="AI11" s="92">
        <v>96000</v>
      </c>
    </row>
    <row r="12" spans="1:35" x14ac:dyDescent="0.4">
      <c r="A12" s="82">
        <v>10</v>
      </c>
      <c r="B12" s="83" t="s">
        <v>172</v>
      </c>
      <c r="C12" s="84">
        <v>-243.50000000000006</v>
      </c>
      <c r="D12" s="85" t="s">
        <v>128</v>
      </c>
      <c r="E12" s="97">
        <v>-3.3079754601226998</v>
      </c>
      <c r="F12" s="85" t="s">
        <v>128</v>
      </c>
      <c r="G12" s="86">
        <v>2.0797546012269938</v>
      </c>
      <c r="H12" s="85" t="s">
        <v>128</v>
      </c>
      <c r="I12" s="87">
        <v>0.26993865030674846</v>
      </c>
      <c r="J12" s="85" t="s">
        <v>128</v>
      </c>
      <c r="K12" s="87">
        <v>0.34969325153374231</v>
      </c>
      <c r="L12" s="85" t="s">
        <v>129</v>
      </c>
      <c r="M12" s="88">
        <v>0.27652519893899202</v>
      </c>
      <c r="N12" s="85" t="s">
        <v>129</v>
      </c>
      <c r="O12" s="88">
        <v>0.17241379310344829</v>
      </c>
      <c r="P12" s="85" t="s">
        <v>200</v>
      </c>
      <c r="Q12" s="89">
        <v>8000</v>
      </c>
      <c r="R12" s="85" t="s">
        <v>129</v>
      </c>
      <c r="S12" s="89">
        <v>-8398.8461538461543</v>
      </c>
      <c r="T12" s="85" t="s">
        <v>128</v>
      </c>
      <c r="U12" s="87">
        <v>0.13496932515337423</v>
      </c>
      <c r="V12" s="85" t="s">
        <v>184</v>
      </c>
      <c r="W12" s="87">
        <v>8.3333333333333329E-2</v>
      </c>
      <c r="X12" s="85" t="s">
        <v>222</v>
      </c>
      <c r="Y12" s="88">
        <v>0.23076923076923078</v>
      </c>
      <c r="Z12" s="85" t="s">
        <v>183</v>
      </c>
      <c r="AA12" s="88">
        <v>0.21052631578947367</v>
      </c>
      <c r="AB12" s="85" t="s">
        <v>173</v>
      </c>
      <c r="AC12" s="88">
        <v>0.57627118644067798</v>
      </c>
      <c r="AD12" s="85" t="s">
        <v>177</v>
      </c>
      <c r="AE12" s="88">
        <v>0.35567010309278352</v>
      </c>
      <c r="AF12" s="85" t="s">
        <v>127</v>
      </c>
      <c r="AG12" s="88">
        <v>0.41818181818181815</v>
      </c>
      <c r="AH12" s="85" t="s">
        <v>223</v>
      </c>
      <c r="AI12" s="92">
        <v>92100</v>
      </c>
    </row>
    <row r="13" spans="1:35" x14ac:dyDescent="0.4">
      <c r="A13" s="82">
        <v>11</v>
      </c>
      <c r="B13" s="83" t="s">
        <v>271</v>
      </c>
      <c r="C13" s="84">
        <v>-292.60000000000002</v>
      </c>
      <c r="D13" s="85" t="s">
        <v>129</v>
      </c>
      <c r="E13" s="97">
        <v>-6.7346368715083811</v>
      </c>
      <c r="F13" s="85" t="s">
        <v>129</v>
      </c>
      <c r="G13" s="86">
        <v>2.1061452513966481</v>
      </c>
      <c r="H13" s="85" t="s">
        <v>173</v>
      </c>
      <c r="I13" s="87">
        <v>0.26229508196721313</v>
      </c>
      <c r="J13" s="85" t="s">
        <v>129</v>
      </c>
      <c r="K13" s="87">
        <v>0.40782122905027934</v>
      </c>
      <c r="L13" s="85" t="s">
        <v>184</v>
      </c>
      <c r="M13" s="88">
        <v>0.27624309392265195</v>
      </c>
      <c r="N13" s="85" t="s">
        <v>171</v>
      </c>
      <c r="O13" s="88">
        <v>0.17833698030634573</v>
      </c>
      <c r="P13" s="85" t="s">
        <v>183</v>
      </c>
      <c r="Q13" s="89">
        <v>7860</v>
      </c>
      <c r="R13" s="85" t="s">
        <v>200</v>
      </c>
      <c r="S13" s="89">
        <v>-8645.1612903225814</v>
      </c>
      <c r="T13" s="85" t="s">
        <v>129</v>
      </c>
      <c r="U13" s="87">
        <v>0.13966480446927373</v>
      </c>
      <c r="V13" s="85" t="s">
        <v>173</v>
      </c>
      <c r="W13" s="87">
        <v>6.5573770491803282E-2</v>
      </c>
      <c r="X13" s="85" t="s">
        <v>173</v>
      </c>
      <c r="Y13" s="88">
        <v>0.22306238185255198</v>
      </c>
      <c r="Z13" s="85" t="s">
        <v>129</v>
      </c>
      <c r="AA13" s="88">
        <v>0.20225464190981432</v>
      </c>
      <c r="AB13" s="85" t="s">
        <v>171</v>
      </c>
      <c r="AC13" s="88">
        <v>0.56370656370656369</v>
      </c>
      <c r="AD13" s="85" t="s">
        <v>173</v>
      </c>
      <c r="AE13" s="88">
        <v>0.33333333333333331</v>
      </c>
      <c r="AF13" s="85" t="s">
        <v>129</v>
      </c>
      <c r="AG13" s="88">
        <v>0.41726618705035973</v>
      </c>
      <c r="AH13" s="85" t="s">
        <v>184</v>
      </c>
      <c r="AI13" s="92">
        <v>92000</v>
      </c>
    </row>
    <row r="14" spans="1:35" x14ac:dyDescent="0.4">
      <c r="A14" s="82">
        <v>12</v>
      </c>
      <c r="B14" s="83" t="s">
        <v>184</v>
      </c>
      <c r="C14" s="84">
        <v>-300.5</v>
      </c>
      <c r="D14" s="85" t="s">
        <v>173</v>
      </c>
      <c r="E14" s="97">
        <v>-9.1901639344262307</v>
      </c>
      <c r="F14" s="85" t="s">
        <v>173</v>
      </c>
      <c r="G14" s="86">
        <v>2.1475409836065573</v>
      </c>
      <c r="H14" s="85" t="s">
        <v>301</v>
      </c>
      <c r="I14" s="87">
        <v>0.25</v>
      </c>
      <c r="J14" s="85" t="s">
        <v>173</v>
      </c>
      <c r="K14" s="87">
        <v>0.4098360655737705</v>
      </c>
      <c r="L14" s="85" t="s">
        <v>177</v>
      </c>
      <c r="M14" s="88">
        <v>0.27209533267130087</v>
      </c>
      <c r="N14" s="85" t="s">
        <v>128</v>
      </c>
      <c r="O14" s="88">
        <v>0.18344519015659955</v>
      </c>
      <c r="P14" s="85" t="s">
        <v>173</v>
      </c>
      <c r="Q14" s="89">
        <v>7610.2040816326535</v>
      </c>
      <c r="R14" s="85" t="s">
        <v>184</v>
      </c>
      <c r="S14" s="89">
        <v>-9878.0487804878048</v>
      </c>
      <c r="T14" s="85" t="s">
        <v>200</v>
      </c>
      <c r="U14" s="87">
        <v>0.14285714285714285</v>
      </c>
      <c r="V14" s="85" t="s">
        <v>200</v>
      </c>
      <c r="W14" s="87">
        <v>4.7619047619047616E-2</v>
      </c>
      <c r="X14" s="85" t="s">
        <v>301</v>
      </c>
      <c r="Y14" s="88">
        <v>0.21875</v>
      </c>
      <c r="Z14" s="85" t="s">
        <v>171</v>
      </c>
      <c r="AA14" s="88">
        <v>0.19803063457330417</v>
      </c>
      <c r="AB14" s="85" t="s">
        <v>172</v>
      </c>
      <c r="AC14" s="88">
        <v>0.55026455026455023</v>
      </c>
      <c r="AD14" s="85" t="s">
        <v>128</v>
      </c>
      <c r="AE14" s="88">
        <v>0.31465517241379309</v>
      </c>
      <c r="AF14" s="85" t="s">
        <v>171</v>
      </c>
      <c r="AG14" s="88">
        <v>0.4037735849056604</v>
      </c>
      <c r="AH14" s="85" t="s">
        <v>301</v>
      </c>
      <c r="AI14" s="92">
        <v>55200</v>
      </c>
    </row>
    <row r="15" spans="1:35" x14ac:dyDescent="0.4">
      <c r="A15" s="82">
        <v>13</v>
      </c>
      <c r="B15" s="83" t="s">
        <v>128</v>
      </c>
      <c r="C15" s="84">
        <v>-539.20000000000005</v>
      </c>
      <c r="D15" s="85" t="s">
        <v>184</v>
      </c>
      <c r="E15" s="97">
        <v>-12.520833333333334</v>
      </c>
      <c r="F15" s="85" t="s">
        <v>184</v>
      </c>
      <c r="G15" s="86">
        <v>2.2083333333333335</v>
      </c>
      <c r="H15" s="85" t="s">
        <v>172</v>
      </c>
      <c r="I15" s="87">
        <v>0.24761904761904763</v>
      </c>
      <c r="J15" s="85" t="s">
        <v>301</v>
      </c>
      <c r="K15" s="87">
        <v>0.5</v>
      </c>
      <c r="L15" s="85" t="s">
        <v>183</v>
      </c>
      <c r="M15" s="88">
        <v>0.26315789473684209</v>
      </c>
      <c r="N15" s="85" t="s">
        <v>173</v>
      </c>
      <c r="O15" s="88">
        <v>0.19470699432892249</v>
      </c>
      <c r="P15" s="85" t="s">
        <v>271</v>
      </c>
      <c r="Q15" s="89">
        <v>6821.0526315789475</v>
      </c>
      <c r="R15" s="85" t="s">
        <v>223</v>
      </c>
      <c r="S15" s="89">
        <v>-10583.333333333334</v>
      </c>
      <c r="T15" s="85" t="s">
        <v>173</v>
      </c>
      <c r="U15" s="87">
        <v>0.16393442622950818</v>
      </c>
      <c r="V15" s="85" t="s">
        <v>183</v>
      </c>
      <c r="W15" s="87">
        <v>0</v>
      </c>
      <c r="X15" s="85" t="s">
        <v>172</v>
      </c>
      <c r="Y15" s="88">
        <v>0.21235955056179776</v>
      </c>
      <c r="Z15" s="85" t="s">
        <v>177</v>
      </c>
      <c r="AA15" s="88">
        <v>0.19265143992055611</v>
      </c>
      <c r="AB15" s="85" t="s">
        <v>129</v>
      </c>
      <c r="AC15" s="88">
        <v>0.54054054054054057</v>
      </c>
      <c r="AD15" s="85" t="s">
        <v>271</v>
      </c>
      <c r="AE15" s="88">
        <v>0.25</v>
      </c>
      <c r="AF15" s="85" t="s">
        <v>172</v>
      </c>
      <c r="AG15" s="88">
        <v>0.39527027027027029</v>
      </c>
      <c r="AH15" s="85" t="s">
        <v>183</v>
      </c>
      <c r="AI15" s="92">
        <v>53500</v>
      </c>
    </row>
    <row r="16" spans="1:35" x14ac:dyDescent="0.4">
      <c r="A16" s="82">
        <v>14</v>
      </c>
      <c r="B16" s="83" t="s">
        <v>173</v>
      </c>
      <c r="C16" s="84">
        <v>-560.6</v>
      </c>
      <c r="D16" s="85" t="s">
        <v>301</v>
      </c>
      <c r="E16" s="97">
        <v>-14.05</v>
      </c>
      <c r="F16" s="85" t="s">
        <v>301</v>
      </c>
      <c r="G16" s="86">
        <v>2.25</v>
      </c>
      <c r="H16" s="85" t="s">
        <v>222</v>
      </c>
      <c r="I16" s="87">
        <v>0</v>
      </c>
      <c r="J16" s="85" t="s">
        <v>184</v>
      </c>
      <c r="K16" s="87">
        <v>0.54166666666666663</v>
      </c>
      <c r="L16" s="85" t="s">
        <v>271</v>
      </c>
      <c r="M16" s="88">
        <v>0.23749999999999999</v>
      </c>
      <c r="N16" s="85" t="s">
        <v>184</v>
      </c>
      <c r="O16" s="88">
        <v>0.22651933701657459</v>
      </c>
      <c r="P16" s="85" t="s">
        <v>172</v>
      </c>
      <c r="Q16" s="89">
        <v>6762.5</v>
      </c>
      <c r="R16" s="85" t="s">
        <v>301</v>
      </c>
      <c r="S16" s="89">
        <v>-11280</v>
      </c>
      <c r="T16" s="85" t="s">
        <v>301</v>
      </c>
      <c r="U16" s="87">
        <v>0.25</v>
      </c>
      <c r="V16" s="85" t="s">
        <v>222</v>
      </c>
      <c r="W16" s="87">
        <v>0</v>
      </c>
      <c r="X16" s="85" t="s">
        <v>271</v>
      </c>
      <c r="Y16" s="88">
        <v>0.17499999999999999</v>
      </c>
      <c r="Z16" s="85" t="s">
        <v>128</v>
      </c>
      <c r="AA16" s="88">
        <v>0.17300521998508575</v>
      </c>
      <c r="AB16" s="85" t="s">
        <v>301</v>
      </c>
      <c r="AC16" s="88">
        <v>0.42857142857142855</v>
      </c>
      <c r="AD16" s="85" t="s">
        <v>301</v>
      </c>
      <c r="AE16" s="88">
        <v>0.25</v>
      </c>
      <c r="AF16" s="85" t="s">
        <v>301</v>
      </c>
      <c r="AG16" s="88">
        <v>0.3</v>
      </c>
      <c r="AH16" s="85" t="s">
        <v>271</v>
      </c>
      <c r="AI16" s="92">
        <v>52800</v>
      </c>
    </row>
    <row r="17" spans="1:35" x14ac:dyDescent="0.4">
      <c r="A17" s="82">
        <v>15</v>
      </c>
      <c r="B17" s="83" t="s">
        <v>129</v>
      </c>
      <c r="C17" s="84">
        <v>-1205.5000000000002</v>
      </c>
      <c r="D17" s="85" t="s">
        <v>271</v>
      </c>
      <c r="E17" s="97">
        <v>-32.511111111111113</v>
      </c>
      <c r="F17" s="85" t="s">
        <v>271</v>
      </c>
      <c r="G17" s="86">
        <v>2.6666666666666665</v>
      </c>
      <c r="H17" s="85" t="s">
        <v>271</v>
      </c>
      <c r="I17" s="87">
        <v>0</v>
      </c>
      <c r="J17" s="85" t="s">
        <v>271</v>
      </c>
      <c r="K17" s="87">
        <v>0.66666666666666663</v>
      </c>
      <c r="L17" s="85" t="s">
        <v>222</v>
      </c>
      <c r="M17" s="88">
        <v>0.15384615384615385</v>
      </c>
      <c r="N17" s="85" t="s">
        <v>271</v>
      </c>
      <c r="O17" s="88">
        <v>0.26250000000000001</v>
      </c>
      <c r="P17" s="85" t="s">
        <v>301</v>
      </c>
      <c r="Q17" s="89">
        <v>4940</v>
      </c>
      <c r="R17" s="85" t="s">
        <v>222</v>
      </c>
      <c r="S17" s="89">
        <v>-12000</v>
      </c>
      <c r="T17" s="85" t="s">
        <v>184</v>
      </c>
      <c r="U17" s="87">
        <v>0.29166666666666669</v>
      </c>
      <c r="V17" s="85" t="s">
        <v>271</v>
      </c>
      <c r="W17" s="87">
        <v>0</v>
      </c>
      <c r="X17" s="85" t="s">
        <v>223</v>
      </c>
      <c r="Y17" s="88">
        <v>0.15217391304347827</v>
      </c>
      <c r="Z17" s="85" t="s">
        <v>222</v>
      </c>
      <c r="AA17" s="88">
        <v>7.6923076923076927E-2</v>
      </c>
      <c r="AB17" s="85" t="s">
        <v>222</v>
      </c>
      <c r="AC17" s="88">
        <v>0.33333333333333331</v>
      </c>
      <c r="AD17" s="85" t="s">
        <v>222</v>
      </c>
      <c r="AE17" s="88">
        <v>0</v>
      </c>
      <c r="AF17" s="85" t="s">
        <v>183</v>
      </c>
      <c r="AG17" s="88">
        <v>0.2</v>
      </c>
      <c r="AH17" s="85" t="s">
        <v>222</v>
      </c>
      <c r="AI17" s="92">
        <v>48300</v>
      </c>
    </row>
  </sheetData>
  <sortState xmlns:xlrd2="http://schemas.microsoft.com/office/spreadsheetml/2017/richdata2" ref="AH3:AI49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F13012-93C6-4476-B916-39DAA1E2C2E2}">
  <sheetPr codeName="Sheet4"/>
  <dimension ref="A1:Q102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1026</v>
      </c>
      <c r="C2" s="151"/>
      <c r="E2" s="62" t="s">
        <v>67</v>
      </c>
      <c r="F2" s="59" t="s">
        <v>23</v>
      </c>
      <c r="G2" s="46">
        <v>1837</v>
      </c>
      <c r="H2" s="132">
        <f t="shared" ref="H2:H33" si="0">IF(B$17=0,0,G2/B$17)</f>
        <v>0.72265932336742722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-18.572825024437929</v>
      </c>
      <c r="P2" s="118">
        <v>1023</v>
      </c>
      <c r="Q2" s="102">
        <v>-19000</v>
      </c>
    </row>
    <row r="3" spans="1:17" x14ac:dyDescent="0.4">
      <c r="A3" s="55" t="s">
        <v>8</v>
      </c>
      <c r="B3" s="152">
        <v>8544</v>
      </c>
      <c r="C3" s="153"/>
      <c r="E3" s="63" t="s">
        <v>73</v>
      </c>
      <c r="F3" s="60" t="s">
        <v>28</v>
      </c>
      <c r="G3" s="47">
        <v>1310</v>
      </c>
      <c r="H3" s="133">
        <f t="shared" si="0"/>
        <v>0.51534225019669555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1"/>
        <v>-6.9860279441117763</v>
      </c>
      <c r="P3" s="119">
        <v>1002</v>
      </c>
      <c r="Q3" s="103">
        <v>-7000</v>
      </c>
    </row>
    <row r="4" spans="1:17" x14ac:dyDescent="0.4">
      <c r="A4" s="55" t="s">
        <v>6</v>
      </c>
      <c r="B4" s="154">
        <v>4.2632564145606011E-14</v>
      </c>
      <c r="C4" s="155"/>
      <c r="E4" s="63" t="s">
        <v>65</v>
      </c>
      <c r="F4" s="60" t="s">
        <v>21</v>
      </c>
      <c r="G4" s="47">
        <v>1244</v>
      </c>
      <c r="H4" s="133">
        <f t="shared" si="0"/>
        <v>0.48937844217151849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1"/>
        <v>14.861995753715499</v>
      </c>
      <c r="P4" s="119">
        <v>942</v>
      </c>
      <c r="Q4" s="103">
        <v>14000</v>
      </c>
    </row>
    <row r="5" spans="1:17" x14ac:dyDescent="0.4">
      <c r="A5" s="55" t="s">
        <v>7</v>
      </c>
      <c r="B5" s="156">
        <f>IF(B$2=0,0,B$4/B$2)</f>
        <v>4.15522067695965E-17</v>
      </c>
      <c r="C5" s="157"/>
      <c r="E5" s="63" t="s">
        <v>245</v>
      </c>
      <c r="F5" s="60" t="s">
        <v>246</v>
      </c>
      <c r="G5" s="47">
        <v>1024</v>
      </c>
      <c r="H5" s="133">
        <f t="shared" si="0"/>
        <v>0.4028324154209284</v>
      </c>
      <c r="I5" s="94">
        <v>7</v>
      </c>
      <c r="K5" s="38">
        <v>3</v>
      </c>
      <c r="L5" s="99">
        <v>0</v>
      </c>
      <c r="N5" s="115" t="s">
        <v>135</v>
      </c>
      <c r="O5" s="122">
        <f t="shared" si="1"/>
        <v>4.6136101499423301</v>
      </c>
      <c r="P5" s="119">
        <v>867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787</v>
      </c>
      <c r="H6" s="133">
        <f t="shared" si="0"/>
        <v>0.30959874114870178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1"/>
        <v>-10.296010296010296</v>
      </c>
      <c r="P6" s="119">
        <v>777</v>
      </c>
      <c r="Q6" s="103">
        <v>-8000</v>
      </c>
    </row>
    <row r="7" spans="1:17" x14ac:dyDescent="0.4">
      <c r="A7" s="55" t="s">
        <v>2</v>
      </c>
      <c r="B7" s="47">
        <v>342</v>
      </c>
      <c r="C7" s="39">
        <f t="shared" ref="C7:C12" si="2">IF(B$2=0,0,B7/B$2)</f>
        <v>0.33333333333333331</v>
      </c>
      <c r="E7" s="63" t="s">
        <v>68</v>
      </c>
      <c r="F7" s="60" t="s">
        <v>24</v>
      </c>
      <c r="G7" s="47">
        <v>759</v>
      </c>
      <c r="H7" s="133">
        <f t="shared" si="0"/>
        <v>0.2985837922895358</v>
      </c>
      <c r="I7" s="94">
        <v>8</v>
      </c>
      <c r="K7" s="38">
        <v>5</v>
      </c>
      <c r="L7" s="99">
        <v>-37</v>
      </c>
      <c r="N7" s="116" t="s">
        <v>137</v>
      </c>
      <c r="O7" s="123">
        <f t="shared" si="1"/>
        <v>23.703703703703702</v>
      </c>
      <c r="P7" s="120">
        <v>675</v>
      </c>
      <c r="Q7" s="104">
        <v>16000</v>
      </c>
    </row>
    <row r="8" spans="1:17" x14ac:dyDescent="0.4">
      <c r="A8" s="55" t="s">
        <v>3</v>
      </c>
      <c r="B8" s="47">
        <v>342</v>
      </c>
      <c r="C8" s="39">
        <f t="shared" si="2"/>
        <v>0.33333333333333331</v>
      </c>
      <c r="E8" s="63" t="s">
        <v>70</v>
      </c>
      <c r="F8" s="60" t="s">
        <v>25</v>
      </c>
      <c r="G8" s="47">
        <v>416</v>
      </c>
      <c r="H8" s="133">
        <f t="shared" si="0"/>
        <v>0.16365066876475218</v>
      </c>
      <c r="I8" s="94">
        <v>4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342</v>
      </c>
      <c r="C9" s="40">
        <f t="shared" si="2"/>
        <v>0.33333333333333331</v>
      </c>
      <c r="E9" s="63" t="s">
        <v>90</v>
      </c>
      <c r="F9" s="60" t="s">
        <v>45</v>
      </c>
      <c r="G9" s="47">
        <v>331</v>
      </c>
      <c r="H9" s="133">
        <f t="shared" si="0"/>
        <v>0.13021243115656964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119</v>
      </c>
      <c r="C10" s="40">
        <f t="shared" si="2"/>
        <v>0.11598440545808966</v>
      </c>
      <c r="E10" s="63" t="s">
        <v>66</v>
      </c>
      <c r="F10" s="60" t="s">
        <v>22</v>
      </c>
      <c r="G10" s="47">
        <v>278</v>
      </c>
      <c r="H10" s="133">
        <f t="shared" si="0"/>
        <v>0.10936270653029111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-1.9321637426900564</v>
      </c>
      <c r="P10" s="118">
        <v>342</v>
      </c>
      <c r="Q10" s="106">
        <v>-660.79999999999927</v>
      </c>
    </row>
    <row r="11" spans="1:17" x14ac:dyDescent="0.4">
      <c r="A11" s="56" t="s">
        <v>140</v>
      </c>
      <c r="B11" s="48">
        <v>119</v>
      </c>
      <c r="C11" s="40">
        <f t="shared" si="2"/>
        <v>0.11598440545808966</v>
      </c>
      <c r="E11" s="63" t="s">
        <v>71</v>
      </c>
      <c r="F11" s="60" t="s">
        <v>26</v>
      </c>
      <c r="G11" s="47">
        <v>256</v>
      </c>
      <c r="H11" s="133">
        <f t="shared" si="0"/>
        <v>0.1007081038552321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0.36754385964912339</v>
      </c>
      <c r="P11" s="119">
        <v>342</v>
      </c>
      <c r="Q11" s="107">
        <v>125.7000000000002</v>
      </c>
    </row>
    <row r="12" spans="1:17" x14ac:dyDescent="0.4">
      <c r="A12" s="57" t="s">
        <v>160</v>
      </c>
      <c r="B12" s="49">
        <v>90</v>
      </c>
      <c r="C12" s="42">
        <f t="shared" si="2"/>
        <v>8.771929824561403E-2</v>
      </c>
      <c r="E12" s="63" t="s">
        <v>72</v>
      </c>
      <c r="F12" s="60" t="s">
        <v>27</v>
      </c>
      <c r="G12" s="47">
        <v>172</v>
      </c>
      <c r="H12" s="133">
        <f t="shared" si="0"/>
        <v>6.7663257277734062E-2</v>
      </c>
      <c r="I12" s="94">
        <v>6</v>
      </c>
      <c r="K12" s="38">
        <v>10</v>
      </c>
      <c r="L12" s="99">
        <v>40.099999999999994</v>
      </c>
      <c r="N12" s="116" t="s">
        <v>166</v>
      </c>
      <c r="O12" s="126">
        <f>IF(P12=0,0,Q12/P12)</f>
        <v>1.5646198830409361</v>
      </c>
      <c r="P12" s="120">
        <v>342</v>
      </c>
      <c r="Q12" s="108">
        <v>535.10000000000014</v>
      </c>
    </row>
    <row r="13" spans="1:17" x14ac:dyDescent="0.4">
      <c r="A13" s="58" t="s">
        <v>122</v>
      </c>
      <c r="B13" s="50">
        <v>2266</v>
      </c>
      <c r="C13" s="44">
        <f>IF(B$3=0,0,B13/B$3)</f>
        <v>0.26521535580524347</v>
      </c>
      <c r="E13" s="63" t="s">
        <v>87</v>
      </c>
      <c r="F13" s="60" t="s">
        <v>42</v>
      </c>
      <c r="G13" s="47">
        <v>151</v>
      </c>
      <c r="H13" s="133">
        <f t="shared" si="0"/>
        <v>5.940204563335956E-2</v>
      </c>
      <c r="I13" s="94">
        <v>7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1837</v>
      </c>
      <c r="C14" s="39">
        <f>IF(B$3=0,0,B14/B$3)</f>
        <v>0.21500468164794007</v>
      </c>
      <c r="E14" s="63" t="s">
        <v>84</v>
      </c>
      <c r="F14" s="60" t="s">
        <v>39</v>
      </c>
      <c r="G14" s="47">
        <v>121</v>
      </c>
      <c r="H14" s="133">
        <f t="shared" si="0"/>
        <v>4.7600314712824547E-2</v>
      </c>
      <c r="I14" s="94">
        <v>7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1307</v>
      </c>
      <c r="C15" s="37">
        <f>IF(B$13=0,0,B15/B$13)</f>
        <v>0.57678729037952337</v>
      </c>
      <c r="E15" s="63" t="s">
        <v>79</v>
      </c>
      <c r="F15" s="60" t="s">
        <v>34</v>
      </c>
      <c r="G15" s="47">
        <v>71</v>
      </c>
      <c r="H15" s="133">
        <f t="shared" si="0"/>
        <v>2.7930763178599528E-2</v>
      </c>
      <c r="I15" s="94">
        <v>7</v>
      </c>
      <c r="K15" s="38">
        <v>13</v>
      </c>
      <c r="L15" s="99">
        <v>-42.100000000000009</v>
      </c>
      <c r="N15" s="114" t="s">
        <v>271</v>
      </c>
      <c r="O15" s="124">
        <f t="shared" ref="O15:O28" si="3">IF(P15=0,0,Q15/P15)</f>
        <v>48.766666666666659</v>
      </c>
      <c r="P15" s="118">
        <v>18</v>
      </c>
      <c r="Q15" s="106">
        <v>877.79999999999984</v>
      </c>
    </row>
    <row r="16" spans="1:17" x14ac:dyDescent="0.4">
      <c r="A16" s="54" t="s">
        <v>125</v>
      </c>
      <c r="B16" s="46">
        <v>730</v>
      </c>
      <c r="C16" s="37">
        <f>IF(B$14=0,0,B16/B$14)</f>
        <v>0.3973870440936309</v>
      </c>
      <c r="E16" s="63" t="s">
        <v>82</v>
      </c>
      <c r="F16" s="60" t="s">
        <v>37</v>
      </c>
      <c r="G16" s="47">
        <v>63</v>
      </c>
      <c r="H16" s="133">
        <f t="shared" si="0"/>
        <v>2.4783634933123525E-2</v>
      </c>
      <c r="I16" s="94">
        <v>8</v>
      </c>
      <c r="K16" s="38">
        <v>14</v>
      </c>
      <c r="L16" s="99">
        <v>18.79999999999999</v>
      </c>
      <c r="N16" s="115" t="s">
        <v>301</v>
      </c>
      <c r="O16" s="125">
        <f t="shared" si="3"/>
        <v>21.074999999999996</v>
      </c>
      <c r="P16" s="119">
        <v>8</v>
      </c>
      <c r="Q16" s="107">
        <v>168.59999999999997</v>
      </c>
    </row>
    <row r="17" spans="1:17" x14ac:dyDescent="0.4">
      <c r="A17" s="54" t="s">
        <v>10</v>
      </c>
      <c r="B17" s="46">
        <f>B19+B18</f>
        <v>2542</v>
      </c>
      <c r="C17" s="37">
        <f>IF(B$3=0,0,B17/B$3)</f>
        <v>0.29751872659176032</v>
      </c>
      <c r="E17" s="63" t="s">
        <v>92</v>
      </c>
      <c r="F17" s="60" t="s">
        <v>47</v>
      </c>
      <c r="G17" s="47">
        <v>52</v>
      </c>
      <c r="H17" s="133">
        <f t="shared" si="0"/>
        <v>2.0456333595594022E-2</v>
      </c>
      <c r="I17" s="94">
        <v>5</v>
      </c>
      <c r="K17" s="38">
        <v>15</v>
      </c>
      <c r="L17" s="99">
        <v>-1.0658141036401503E-14</v>
      </c>
      <c r="N17" s="115" t="s">
        <v>184</v>
      </c>
      <c r="O17" s="125">
        <f t="shared" si="3"/>
        <v>18.781250000000004</v>
      </c>
      <c r="P17" s="119">
        <v>48</v>
      </c>
      <c r="Q17" s="107">
        <v>901.50000000000023</v>
      </c>
    </row>
    <row r="18" spans="1:17" x14ac:dyDescent="0.4">
      <c r="A18" s="55" t="s">
        <v>12</v>
      </c>
      <c r="B18" s="47">
        <v>1094</v>
      </c>
      <c r="C18" s="39">
        <f>IF(B$17=0,0,B18/B$17)</f>
        <v>0.43036978756884342</v>
      </c>
      <c r="E18" s="63" t="s">
        <v>180</v>
      </c>
      <c r="F18" s="60" t="s">
        <v>181</v>
      </c>
      <c r="G18" s="47">
        <v>46</v>
      </c>
      <c r="H18" s="133">
        <f t="shared" si="0"/>
        <v>1.8095987411487019E-2</v>
      </c>
      <c r="I18" s="94">
        <v>6</v>
      </c>
      <c r="K18" s="38">
        <v>16</v>
      </c>
      <c r="L18" s="99">
        <v>90.899999999999991</v>
      </c>
      <c r="N18" s="115" t="s">
        <v>173</v>
      </c>
      <c r="O18" s="125">
        <f t="shared" si="3"/>
        <v>13.785245901639341</v>
      </c>
      <c r="P18" s="119">
        <v>122</v>
      </c>
      <c r="Q18" s="107">
        <v>1681.7999999999995</v>
      </c>
    </row>
    <row r="19" spans="1:17" x14ac:dyDescent="0.4">
      <c r="A19" s="55" t="s">
        <v>11</v>
      </c>
      <c r="B19" s="47">
        <v>1448</v>
      </c>
      <c r="C19" s="39">
        <f>IF(B$17=0,0,B19/B$17)</f>
        <v>0.56963021243115652</v>
      </c>
      <c r="E19" s="63" t="s">
        <v>80</v>
      </c>
      <c r="F19" s="60" t="s">
        <v>35</v>
      </c>
      <c r="G19" s="47">
        <v>43</v>
      </c>
      <c r="H19" s="133">
        <f t="shared" si="0"/>
        <v>1.6915814319433516E-2</v>
      </c>
      <c r="I19" s="94">
        <v>6</v>
      </c>
      <c r="K19" s="38">
        <v>17</v>
      </c>
      <c r="L19" s="99">
        <v>8.2999999999999972</v>
      </c>
      <c r="N19" s="115" t="s">
        <v>129</v>
      </c>
      <c r="O19" s="125">
        <f t="shared" si="3"/>
        <v>10.101955307262594</v>
      </c>
      <c r="P19" s="119">
        <v>358</v>
      </c>
      <c r="Q19" s="107">
        <v>3616.5000000000086</v>
      </c>
    </row>
    <row r="20" spans="1:17" x14ac:dyDescent="0.4">
      <c r="A20" s="55" t="s">
        <v>13</v>
      </c>
      <c r="B20" s="47">
        <v>1428</v>
      </c>
      <c r="C20" s="39">
        <f>IF(B$3=0,0,B20/B$3)</f>
        <v>0.16713483146067415</v>
      </c>
      <c r="E20" s="63" t="s">
        <v>78</v>
      </c>
      <c r="F20" s="60" t="s">
        <v>33</v>
      </c>
      <c r="G20" s="47">
        <v>20</v>
      </c>
      <c r="H20" s="133">
        <f t="shared" si="0"/>
        <v>7.8678206136900079E-3</v>
      </c>
      <c r="I20" s="94">
        <v>4</v>
      </c>
      <c r="K20" s="38">
        <v>18</v>
      </c>
      <c r="L20" s="99">
        <v>-3.5527136788005009E-15</v>
      </c>
      <c r="N20" s="115" t="s">
        <v>128</v>
      </c>
      <c r="O20" s="125">
        <f t="shared" si="3"/>
        <v>4.9619631901840506</v>
      </c>
      <c r="P20" s="119">
        <v>326</v>
      </c>
      <c r="Q20" s="107">
        <v>1617.6000000000004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74</v>
      </c>
      <c r="F21" s="60" t="s">
        <v>29</v>
      </c>
      <c r="G21" s="47">
        <v>16</v>
      </c>
      <c r="H21" s="133">
        <f t="shared" si="0"/>
        <v>6.2942564909520063E-3</v>
      </c>
      <c r="I21" s="94">
        <v>6</v>
      </c>
      <c r="K21" s="38">
        <v>19</v>
      </c>
      <c r="L21" s="99">
        <v>30.999999999999996</v>
      </c>
      <c r="N21" s="115" t="s">
        <v>172</v>
      </c>
      <c r="O21" s="125">
        <f t="shared" si="3"/>
        <v>3.4785714285714282</v>
      </c>
      <c r="P21" s="119">
        <v>210</v>
      </c>
      <c r="Q21" s="107">
        <v>730.49999999999989</v>
      </c>
    </row>
    <row r="22" spans="1:17" x14ac:dyDescent="0.4">
      <c r="A22" s="55" t="s">
        <v>192</v>
      </c>
      <c r="B22" s="47">
        <v>31</v>
      </c>
      <c r="C22" s="135">
        <v>4</v>
      </c>
      <c r="E22" s="63" t="s">
        <v>76</v>
      </c>
      <c r="F22" s="60" t="s">
        <v>31</v>
      </c>
      <c r="G22" s="47">
        <v>15</v>
      </c>
      <c r="H22" s="133">
        <f t="shared" si="0"/>
        <v>5.9008654602675063E-3</v>
      </c>
      <c r="I22" s="94">
        <v>6</v>
      </c>
      <c r="K22" s="38">
        <v>20</v>
      </c>
      <c r="L22" s="99">
        <v>0.79999999999999716</v>
      </c>
      <c r="N22" s="115" t="s">
        <v>177</v>
      </c>
      <c r="O22" s="125">
        <f t="shared" si="3"/>
        <v>-0.71157024793388612</v>
      </c>
      <c r="P22" s="119">
        <v>242</v>
      </c>
      <c r="Q22" s="107">
        <v>-172.20000000000044</v>
      </c>
    </row>
    <row r="23" spans="1:17" x14ac:dyDescent="0.4">
      <c r="A23" s="55" t="s">
        <v>5</v>
      </c>
      <c r="B23" s="51">
        <f>IF(B$17=0,0,C23/B$17)</f>
        <v>8590.5586152635715</v>
      </c>
      <c r="C23" s="41">
        <v>21837200</v>
      </c>
      <c r="E23" s="63" t="s">
        <v>86</v>
      </c>
      <c r="F23" s="60" t="s">
        <v>41</v>
      </c>
      <c r="G23" s="47">
        <v>12</v>
      </c>
      <c r="H23" s="133">
        <f t="shared" si="0"/>
        <v>4.7206923682140047E-3</v>
      </c>
      <c r="I23" s="94">
        <v>3</v>
      </c>
      <c r="K23" s="38">
        <v>21</v>
      </c>
      <c r="L23" s="99">
        <v>-2.886579864025407E-15</v>
      </c>
      <c r="N23" s="115" t="s">
        <v>171</v>
      </c>
      <c r="O23" s="125">
        <f t="shared" si="3"/>
        <v>-1.8586363636363616</v>
      </c>
      <c r="P23" s="119">
        <v>220</v>
      </c>
      <c r="Q23" s="107">
        <v>-408.89999999999958</v>
      </c>
    </row>
    <row r="24" spans="1:17" x14ac:dyDescent="0.4">
      <c r="A24" s="57" t="s">
        <v>14</v>
      </c>
      <c r="B24" s="52">
        <f>IF(B$20=0,0,C24/B$20)</f>
        <v>-8093.2072829131648</v>
      </c>
      <c r="C24" s="45">
        <v>-11557100</v>
      </c>
      <c r="E24" s="63" t="s">
        <v>75</v>
      </c>
      <c r="F24" s="60" t="s">
        <v>30</v>
      </c>
      <c r="G24" s="47">
        <v>10</v>
      </c>
      <c r="H24" s="133">
        <f t="shared" si="0"/>
        <v>3.9339103068450039E-3</v>
      </c>
      <c r="I24" s="94">
        <v>6</v>
      </c>
      <c r="K24" s="38">
        <v>22</v>
      </c>
      <c r="L24" s="99">
        <v>23.699999999999996</v>
      </c>
      <c r="N24" s="115" t="s">
        <v>200</v>
      </c>
      <c r="O24" s="125">
        <f t="shared" si="3"/>
        <v>-5.9142857142857093</v>
      </c>
      <c r="P24" s="119">
        <v>42</v>
      </c>
      <c r="Q24" s="107">
        <v>-248.39999999999981</v>
      </c>
    </row>
    <row r="25" spans="1:17" x14ac:dyDescent="0.4">
      <c r="A25" s="90" t="s">
        <v>142</v>
      </c>
      <c r="B25" s="144">
        <v>8</v>
      </c>
      <c r="C25" s="145"/>
      <c r="E25" s="63" t="s">
        <v>93</v>
      </c>
      <c r="F25" s="60" t="s">
        <v>48</v>
      </c>
      <c r="G25" s="47">
        <v>10</v>
      </c>
      <c r="H25" s="133">
        <f t="shared" si="0"/>
        <v>3.9339103068450039E-3</v>
      </c>
      <c r="I25" s="94">
        <v>3</v>
      </c>
      <c r="K25" s="38">
        <v>23</v>
      </c>
      <c r="L25" s="99">
        <v>26.299999999999997</v>
      </c>
      <c r="N25" s="115" t="s">
        <v>127</v>
      </c>
      <c r="O25" s="125">
        <f t="shared" si="3"/>
        <v>-18.81438356164383</v>
      </c>
      <c r="P25" s="119">
        <v>438</v>
      </c>
      <c r="Q25" s="107">
        <v>-8240.6999999999971</v>
      </c>
    </row>
    <row r="26" spans="1:17" x14ac:dyDescent="0.4">
      <c r="A26" s="58" t="s">
        <v>152</v>
      </c>
      <c r="B26" s="142">
        <v>116000</v>
      </c>
      <c r="C26" s="143"/>
      <c r="E26" s="63" t="s">
        <v>88</v>
      </c>
      <c r="F26" s="60" t="s">
        <v>43</v>
      </c>
      <c r="G26" s="47">
        <v>7</v>
      </c>
      <c r="H26" s="133">
        <f t="shared" si="0"/>
        <v>2.7537372147915028E-3</v>
      </c>
      <c r="I26" s="94">
        <v>5</v>
      </c>
      <c r="K26" s="38">
        <v>24</v>
      </c>
      <c r="L26" s="99">
        <v>-3.5527136788005009E-15</v>
      </c>
      <c r="N26" s="115" t="s">
        <v>222</v>
      </c>
      <c r="O26" s="125">
        <f t="shared" si="3"/>
        <v>-19.950000000000003</v>
      </c>
      <c r="P26" s="119">
        <v>2</v>
      </c>
      <c r="Q26" s="107">
        <v>-39.900000000000006</v>
      </c>
    </row>
    <row r="27" spans="1:17" x14ac:dyDescent="0.4">
      <c r="A27" s="57" t="s">
        <v>143</v>
      </c>
      <c r="B27" s="65">
        <v>22</v>
      </c>
      <c r="C27" s="42">
        <f>IF(B$3=0,0,B27/B$3)</f>
        <v>2.5749063670411983E-3</v>
      </c>
      <c r="E27" s="63" t="s">
        <v>94</v>
      </c>
      <c r="F27" s="60" t="s">
        <v>49</v>
      </c>
      <c r="G27" s="47">
        <v>7</v>
      </c>
      <c r="H27" s="133">
        <f t="shared" si="0"/>
        <v>2.7537372147915028E-3</v>
      </c>
      <c r="I27" s="94">
        <v>5</v>
      </c>
      <c r="K27" s="38">
        <v>25</v>
      </c>
      <c r="L27" s="99">
        <v>-31.300000000000004</v>
      </c>
      <c r="N27" s="115" t="s">
        <v>223</v>
      </c>
      <c r="O27" s="125">
        <f t="shared" si="3"/>
        <v>-25.099999999999998</v>
      </c>
      <c r="P27" s="119">
        <v>12</v>
      </c>
      <c r="Q27" s="107">
        <v>-301.2</v>
      </c>
    </row>
    <row r="28" spans="1:17" x14ac:dyDescent="0.4">
      <c r="E28" s="63" t="s">
        <v>85</v>
      </c>
      <c r="F28" s="60" t="s">
        <v>40</v>
      </c>
      <c r="G28" s="47">
        <v>6</v>
      </c>
      <c r="H28" s="133">
        <f t="shared" si="0"/>
        <v>2.3603461841070024E-3</v>
      </c>
      <c r="I28" s="94">
        <v>4</v>
      </c>
      <c r="K28" s="38">
        <v>26</v>
      </c>
      <c r="L28" s="99">
        <v>1.8999999999999986</v>
      </c>
      <c r="N28" s="115" t="s">
        <v>183</v>
      </c>
      <c r="O28" s="125">
        <f t="shared" si="3"/>
        <v>-30.5</v>
      </c>
      <c r="P28" s="119">
        <v>6</v>
      </c>
      <c r="Q28" s="107">
        <v>-183</v>
      </c>
    </row>
    <row r="29" spans="1:17" x14ac:dyDescent="0.4">
      <c r="E29" s="63" t="s">
        <v>91</v>
      </c>
      <c r="F29" s="60" t="s">
        <v>46</v>
      </c>
      <c r="G29" s="47">
        <v>6</v>
      </c>
      <c r="H29" s="133">
        <f t="shared" si="0"/>
        <v>2.3603461841070024E-3</v>
      </c>
      <c r="I29" s="94">
        <v>4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4</v>
      </c>
      <c r="H30" s="133">
        <f t="shared" si="0"/>
        <v>1.5735641227380016E-3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 t="shared" si="0"/>
        <v>7.8678206136900079E-4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 t="shared" si="0"/>
        <v>3.9339103068450039E-4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 t="shared" si="0"/>
        <v>3.9339103068450039E-4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107</v>
      </c>
      <c r="F34" s="60" t="s">
        <v>114</v>
      </c>
      <c r="G34" s="47">
        <v>1</v>
      </c>
      <c r="H34" s="133">
        <f t="shared" ref="H34:H65" si="4">IF(B$17=0,0,G34/B$17)</f>
        <v>3.9339103068450039E-4</v>
      </c>
      <c r="I34" s="94">
        <v>2</v>
      </c>
      <c r="K34" s="38">
        <v>32</v>
      </c>
      <c r="L34" s="99">
        <v>4.3000000000000007</v>
      </c>
    </row>
    <row r="35" spans="5:12" x14ac:dyDescent="0.4">
      <c r="E35" s="63" t="s">
        <v>77</v>
      </c>
      <c r="F35" s="60" t="s">
        <v>32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81</v>
      </c>
      <c r="F36" s="60" t="s">
        <v>36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83</v>
      </c>
      <c r="F37" s="60" t="s">
        <v>38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95</v>
      </c>
      <c r="F38" s="60" t="s">
        <v>50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97</v>
      </c>
      <c r="F39" s="60" t="s">
        <v>52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99</v>
      </c>
      <c r="F40" s="60" t="s">
        <v>54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100</v>
      </c>
      <c r="F41" s="60" t="s">
        <v>55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101</v>
      </c>
      <c r="F42" s="60" t="s">
        <v>56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-10.799999999999997</v>
      </c>
    </row>
    <row r="709" spans="11:12" x14ac:dyDescent="0.4">
      <c r="K709" s="38">
        <v>707</v>
      </c>
      <c r="L709" s="99">
        <v>-52</v>
      </c>
    </row>
    <row r="710" spans="11:12" x14ac:dyDescent="0.4">
      <c r="K710" s="38">
        <v>708</v>
      </c>
      <c r="L710" s="99">
        <v>0</v>
      </c>
    </row>
    <row r="711" spans="11:12" x14ac:dyDescent="0.4">
      <c r="K711" s="38">
        <v>709</v>
      </c>
      <c r="L711" s="99">
        <v>5.3</v>
      </c>
    </row>
    <row r="712" spans="11:12" x14ac:dyDescent="0.4">
      <c r="K712" s="38">
        <v>710</v>
      </c>
      <c r="L712" s="99">
        <v>-26.8</v>
      </c>
    </row>
    <row r="713" spans="11:12" x14ac:dyDescent="0.4">
      <c r="K713" s="38">
        <v>711</v>
      </c>
      <c r="L713" s="99">
        <v>0</v>
      </c>
    </row>
    <row r="714" spans="11:12" x14ac:dyDescent="0.4">
      <c r="K714" s="38">
        <v>712</v>
      </c>
      <c r="L714" s="99">
        <v>9.4</v>
      </c>
    </row>
    <row r="715" spans="11:12" x14ac:dyDescent="0.4">
      <c r="K715" s="38">
        <v>713</v>
      </c>
      <c r="L715" s="99">
        <v>-36.4</v>
      </c>
    </row>
    <row r="716" spans="11:12" x14ac:dyDescent="0.4">
      <c r="K716" s="38">
        <v>714</v>
      </c>
      <c r="L716" s="99">
        <v>0</v>
      </c>
    </row>
    <row r="717" spans="11:12" x14ac:dyDescent="0.4">
      <c r="K717" s="38">
        <v>715</v>
      </c>
      <c r="L717" s="99">
        <v>-2.2999999999999998</v>
      </c>
    </row>
    <row r="718" spans="11:12" x14ac:dyDescent="0.4">
      <c r="K718" s="38">
        <v>716</v>
      </c>
      <c r="L718" s="99">
        <v>-58.9</v>
      </c>
    </row>
    <row r="719" spans="11:12" x14ac:dyDescent="0.4">
      <c r="K719" s="38">
        <v>717</v>
      </c>
      <c r="L719" s="99">
        <v>0</v>
      </c>
    </row>
    <row r="720" spans="11:12" x14ac:dyDescent="0.4">
      <c r="K720" s="38">
        <v>718</v>
      </c>
      <c r="L720" s="99">
        <v>-24.5</v>
      </c>
    </row>
    <row r="721" spans="11:12" x14ac:dyDescent="0.4">
      <c r="K721" s="38">
        <v>719</v>
      </c>
      <c r="L721" s="99">
        <v>56.5</v>
      </c>
    </row>
    <row r="722" spans="11:12" x14ac:dyDescent="0.4">
      <c r="K722" s="38">
        <v>720</v>
      </c>
      <c r="L722" s="99">
        <v>0</v>
      </c>
    </row>
    <row r="723" spans="11:12" x14ac:dyDescent="0.4">
      <c r="K723" s="38">
        <v>721</v>
      </c>
      <c r="L723" s="99">
        <v>39.200000000000003</v>
      </c>
    </row>
    <row r="724" spans="11:12" x14ac:dyDescent="0.4">
      <c r="K724" s="38">
        <v>722</v>
      </c>
      <c r="L724" s="99">
        <v>6.3000000000000043</v>
      </c>
    </row>
    <row r="725" spans="11:12" x14ac:dyDescent="0.4">
      <c r="K725" s="38">
        <v>723</v>
      </c>
      <c r="L725" s="99">
        <v>4.4408920985006262E-15</v>
      </c>
    </row>
    <row r="726" spans="11:12" x14ac:dyDescent="0.4">
      <c r="K726" s="38">
        <v>724</v>
      </c>
      <c r="L726" s="99">
        <v>-51.699999999999996</v>
      </c>
    </row>
    <row r="727" spans="11:12" x14ac:dyDescent="0.4">
      <c r="K727" s="38">
        <v>725</v>
      </c>
      <c r="L727" s="99">
        <v>-38.199999999999996</v>
      </c>
    </row>
    <row r="728" spans="11:12" x14ac:dyDescent="0.4">
      <c r="K728" s="38">
        <v>726</v>
      </c>
      <c r="L728" s="99">
        <v>7.1054273576010019E-15</v>
      </c>
    </row>
    <row r="729" spans="11:12" x14ac:dyDescent="0.4">
      <c r="K729" s="38">
        <v>727</v>
      </c>
      <c r="L729" s="99">
        <v>-61.699999999999996</v>
      </c>
    </row>
    <row r="730" spans="11:12" x14ac:dyDescent="0.4">
      <c r="K730" s="38">
        <v>728</v>
      </c>
      <c r="L730" s="99">
        <v>-91.3</v>
      </c>
    </row>
    <row r="731" spans="11:12" x14ac:dyDescent="0.4">
      <c r="K731" s="38">
        <v>729</v>
      </c>
      <c r="L731" s="99">
        <v>0</v>
      </c>
    </row>
    <row r="732" spans="11:12" x14ac:dyDescent="0.4">
      <c r="K732" s="38">
        <v>730</v>
      </c>
      <c r="L732" s="99">
        <v>41.6</v>
      </c>
    </row>
    <row r="733" spans="11:12" x14ac:dyDescent="0.4">
      <c r="K733" s="38">
        <v>731</v>
      </c>
      <c r="L733" s="99">
        <v>8.7000000000000028</v>
      </c>
    </row>
    <row r="734" spans="11:12" x14ac:dyDescent="0.4">
      <c r="K734" s="38">
        <v>732</v>
      </c>
      <c r="L734" s="99">
        <v>3.5527136788005009E-15</v>
      </c>
    </row>
    <row r="735" spans="11:12" x14ac:dyDescent="0.4">
      <c r="K735" s="38">
        <v>733</v>
      </c>
      <c r="L735" s="99">
        <v>-55.899999999999991</v>
      </c>
    </row>
    <row r="736" spans="11:12" x14ac:dyDescent="0.4">
      <c r="K736" s="38">
        <v>734</v>
      </c>
      <c r="L736" s="99">
        <v>-42.199999999999989</v>
      </c>
    </row>
    <row r="737" spans="11:12" x14ac:dyDescent="0.4">
      <c r="K737" s="38">
        <v>735</v>
      </c>
      <c r="L737" s="99">
        <v>1.4210854715202004E-14</v>
      </c>
    </row>
    <row r="738" spans="11:12" x14ac:dyDescent="0.4">
      <c r="K738" s="38">
        <v>736</v>
      </c>
      <c r="L738" s="99">
        <v>62.500000000000014</v>
      </c>
    </row>
    <row r="739" spans="11:12" x14ac:dyDescent="0.4">
      <c r="K739" s="38">
        <v>737</v>
      </c>
      <c r="L739" s="99">
        <v>5.0000000000000142</v>
      </c>
    </row>
    <row r="740" spans="11:12" x14ac:dyDescent="0.4">
      <c r="K740" s="38">
        <v>738</v>
      </c>
      <c r="L740" s="99">
        <v>1.4210854715202004E-14</v>
      </c>
    </row>
    <row r="741" spans="11:12" x14ac:dyDescent="0.4">
      <c r="K741" s="38">
        <v>739</v>
      </c>
      <c r="L741" s="99">
        <v>12.200000000000014</v>
      </c>
    </row>
    <row r="742" spans="11:12" x14ac:dyDescent="0.4">
      <c r="K742" s="38">
        <v>740</v>
      </c>
      <c r="L742" s="99">
        <v>55.100000000000009</v>
      </c>
    </row>
    <row r="743" spans="11:12" x14ac:dyDescent="0.4">
      <c r="K743" s="38">
        <v>741</v>
      </c>
      <c r="L743" s="99">
        <v>7.1054273576010019E-15</v>
      </c>
    </row>
    <row r="744" spans="11:12" x14ac:dyDescent="0.4">
      <c r="K744" s="38">
        <v>742</v>
      </c>
      <c r="L744" s="99">
        <v>9.0000000000000071</v>
      </c>
    </row>
    <row r="745" spans="11:12" x14ac:dyDescent="0.4">
      <c r="K745" s="38">
        <v>743</v>
      </c>
      <c r="L745" s="99">
        <v>-37.699999999999996</v>
      </c>
    </row>
    <row r="746" spans="11:12" x14ac:dyDescent="0.4">
      <c r="K746" s="38">
        <v>744</v>
      </c>
      <c r="L746" s="99">
        <v>7.1054273576010019E-15</v>
      </c>
    </row>
    <row r="747" spans="11:12" x14ac:dyDescent="0.4">
      <c r="K747" s="38">
        <v>745</v>
      </c>
      <c r="L747" s="99">
        <v>-11.999999999999993</v>
      </c>
    </row>
    <row r="748" spans="11:12" x14ac:dyDescent="0.4">
      <c r="K748" s="38">
        <v>746</v>
      </c>
      <c r="L748" s="99">
        <v>65.099999999999994</v>
      </c>
    </row>
    <row r="749" spans="11:12" x14ac:dyDescent="0.4">
      <c r="K749" s="38">
        <v>747</v>
      </c>
      <c r="L749" s="99">
        <v>0</v>
      </c>
    </row>
    <row r="750" spans="11:12" x14ac:dyDescent="0.4">
      <c r="K750" s="38">
        <v>748</v>
      </c>
      <c r="L750" s="99">
        <v>14.7</v>
      </c>
    </row>
    <row r="751" spans="11:12" x14ac:dyDescent="0.4">
      <c r="K751" s="38">
        <v>749</v>
      </c>
      <c r="L751" s="99">
        <v>75.2</v>
      </c>
    </row>
    <row r="752" spans="11:12" x14ac:dyDescent="0.4">
      <c r="K752" s="38">
        <v>750</v>
      </c>
      <c r="L752" s="99">
        <v>0</v>
      </c>
    </row>
    <row r="753" spans="11:12" x14ac:dyDescent="0.4">
      <c r="K753" s="38">
        <v>751</v>
      </c>
      <c r="L753" s="99">
        <v>-43.2</v>
      </c>
    </row>
    <row r="754" spans="11:12" x14ac:dyDescent="0.4">
      <c r="K754" s="38">
        <v>752</v>
      </c>
      <c r="L754" s="99">
        <v>-39.800000000000004</v>
      </c>
    </row>
    <row r="755" spans="11:12" x14ac:dyDescent="0.4">
      <c r="K755" s="38">
        <v>753</v>
      </c>
      <c r="L755" s="99">
        <v>-7.1054273576010019E-15</v>
      </c>
    </row>
    <row r="756" spans="11:12" x14ac:dyDescent="0.4">
      <c r="K756" s="38">
        <v>754</v>
      </c>
      <c r="L756" s="99">
        <v>-53.300000000000004</v>
      </c>
    </row>
    <row r="757" spans="11:12" x14ac:dyDescent="0.4">
      <c r="K757" s="38">
        <v>755</v>
      </c>
      <c r="L757" s="99">
        <v>-61.600000000000009</v>
      </c>
    </row>
    <row r="758" spans="11:12" x14ac:dyDescent="0.4">
      <c r="K758" s="38">
        <v>756</v>
      </c>
      <c r="L758" s="99">
        <v>-7.1054273576010019E-15</v>
      </c>
    </row>
    <row r="759" spans="11:12" x14ac:dyDescent="0.4">
      <c r="K759" s="38">
        <v>757</v>
      </c>
      <c r="L759" s="99">
        <v>31.699999999999992</v>
      </c>
    </row>
    <row r="760" spans="11:12" x14ac:dyDescent="0.4">
      <c r="K760" s="38">
        <v>758</v>
      </c>
      <c r="L760" s="99">
        <v>-10.100000000000005</v>
      </c>
    </row>
    <row r="761" spans="11:12" x14ac:dyDescent="0.4">
      <c r="K761" s="38">
        <v>759</v>
      </c>
      <c r="L761" s="99">
        <v>-5.3290705182007514E-15</v>
      </c>
    </row>
    <row r="762" spans="11:12" x14ac:dyDescent="0.4">
      <c r="K762" s="38">
        <v>760</v>
      </c>
      <c r="L762" s="99">
        <v>42.699999999999996</v>
      </c>
    </row>
    <row r="763" spans="11:12" x14ac:dyDescent="0.4">
      <c r="K763" s="38">
        <v>761</v>
      </c>
      <c r="L763" s="99">
        <v>-2.6000000000000014</v>
      </c>
    </row>
    <row r="764" spans="11:12" x14ac:dyDescent="0.4">
      <c r="K764" s="38">
        <v>762</v>
      </c>
      <c r="L764" s="99">
        <v>-1.3322676295501878E-15</v>
      </c>
    </row>
    <row r="765" spans="11:12" x14ac:dyDescent="0.4">
      <c r="K765" s="38">
        <v>763</v>
      </c>
      <c r="L765" s="99">
        <v>62</v>
      </c>
    </row>
    <row r="766" spans="11:12" x14ac:dyDescent="0.4">
      <c r="K766" s="38">
        <v>764</v>
      </c>
      <c r="L766" s="99">
        <v>3.8999999999999986</v>
      </c>
    </row>
    <row r="767" spans="11:12" x14ac:dyDescent="0.4">
      <c r="K767" s="38">
        <v>765</v>
      </c>
      <c r="L767" s="99">
        <v>-1.3322676295501878E-15</v>
      </c>
    </row>
    <row r="768" spans="11:12" x14ac:dyDescent="0.4">
      <c r="K768" s="38">
        <v>766</v>
      </c>
      <c r="L768" s="99">
        <v>35</v>
      </c>
    </row>
    <row r="769" spans="11:12" x14ac:dyDescent="0.4">
      <c r="K769" s="38">
        <v>767</v>
      </c>
      <c r="L769" s="99">
        <v>-9.6000000000000014</v>
      </c>
    </row>
    <row r="770" spans="11:12" x14ac:dyDescent="0.4">
      <c r="K770" s="38">
        <v>768</v>
      </c>
      <c r="L770" s="99">
        <v>-1.7763568394002505E-15</v>
      </c>
    </row>
    <row r="771" spans="11:12" x14ac:dyDescent="0.4">
      <c r="K771" s="38">
        <v>769</v>
      </c>
      <c r="L771" s="99">
        <v>39.299999999999997</v>
      </c>
    </row>
    <row r="772" spans="11:12" x14ac:dyDescent="0.4">
      <c r="K772" s="38">
        <v>770</v>
      </c>
      <c r="L772" s="99">
        <v>-19</v>
      </c>
    </row>
    <row r="773" spans="11:12" x14ac:dyDescent="0.4">
      <c r="K773" s="38">
        <v>771</v>
      </c>
      <c r="L773" s="99">
        <v>0</v>
      </c>
    </row>
    <row r="774" spans="11:12" x14ac:dyDescent="0.4">
      <c r="K774" s="38">
        <v>772</v>
      </c>
      <c r="L774" s="99">
        <v>1.1000000000000001</v>
      </c>
    </row>
    <row r="775" spans="11:12" x14ac:dyDescent="0.4">
      <c r="K775" s="38">
        <v>773</v>
      </c>
      <c r="L775" s="99">
        <v>-34.699999999999996</v>
      </c>
    </row>
    <row r="776" spans="11:12" x14ac:dyDescent="0.4">
      <c r="K776" s="38">
        <v>774</v>
      </c>
      <c r="L776" s="99">
        <v>7.1054273576010019E-15</v>
      </c>
    </row>
    <row r="777" spans="11:12" x14ac:dyDescent="0.4">
      <c r="K777" s="38">
        <v>775</v>
      </c>
      <c r="L777" s="99">
        <v>-32.099999999999994</v>
      </c>
    </row>
    <row r="778" spans="11:12" x14ac:dyDescent="0.4">
      <c r="K778" s="38">
        <v>776</v>
      </c>
      <c r="L778" s="99">
        <v>-36.399999999999991</v>
      </c>
    </row>
    <row r="779" spans="11:12" x14ac:dyDescent="0.4">
      <c r="K779" s="38">
        <v>777</v>
      </c>
      <c r="L779" s="99">
        <v>7.1054273576010019E-15</v>
      </c>
    </row>
    <row r="780" spans="11:12" x14ac:dyDescent="0.4">
      <c r="K780" s="38">
        <v>778</v>
      </c>
      <c r="L780" s="99">
        <v>-7.3999999999999932</v>
      </c>
    </row>
    <row r="781" spans="11:12" x14ac:dyDescent="0.4">
      <c r="K781" s="38">
        <v>779</v>
      </c>
      <c r="L781" s="99">
        <v>-66</v>
      </c>
    </row>
    <row r="782" spans="11:12" x14ac:dyDescent="0.4">
      <c r="K782" s="38">
        <v>780</v>
      </c>
      <c r="L782" s="99">
        <v>0</v>
      </c>
    </row>
    <row r="783" spans="11:12" x14ac:dyDescent="0.4">
      <c r="K783" s="38">
        <v>781</v>
      </c>
      <c r="L783" s="99">
        <v>-55.4</v>
      </c>
    </row>
    <row r="784" spans="11:12" x14ac:dyDescent="0.4">
      <c r="K784" s="38">
        <v>782</v>
      </c>
      <c r="L784" s="99">
        <v>-42.599999999999994</v>
      </c>
    </row>
    <row r="785" spans="11:12" x14ac:dyDescent="0.4">
      <c r="K785" s="38">
        <v>783</v>
      </c>
      <c r="L785" s="99">
        <v>7.1054273576010019E-15</v>
      </c>
    </row>
    <row r="786" spans="11:12" x14ac:dyDescent="0.4">
      <c r="K786" s="38">
        <v>784</v>
      </c>
      <c r="L786" s="99">
        <v>17.800000000000008</v>
      </c>
    </row>
    <row r="787" spans="11:12" x14ac:dyDescent="0.4">
      <c r="K787" s="38">
        <v>785</v>
      </c>
      <c r="L787" s="99">
        <v>-49.199999999999989</v>
      </c>
    </row>
    <row r="788" spans="11:12" x14ac:dyDescent="0.4">
      <c r="K788" s="38">
        <v>786</v>
      </c>
      <c r="L788" s="99">
        <v>1.4210854715202004E-14</v>
      </c>
    </row>
    <row r="789" spans="11:12" x14ac:dyDescent="0.4">
      <c r="K789" s="38">
        <v>787</v>
      </c>
      <c r="L789" s="99">
        <v>-17.899999999999984</v>
      </c>
    </row>
    <row r="790" spans="11:12" x14ac:dyDescent="0.4">
      <c r="K790" s="38">
        <v>788</v>
      </c>
      <c r="L790" s="99">
        <v>80.400000000000006</v>
      </c>
    </row>
    <row r="791" spans="11:12" x14ac:dyDescent="0.4">
      <c r="K791" s="38">
        <v>789</v>
      </c>
      <c r="L791" s="99">
        <v>0</v>
      </c>
    </row>
    <row r="792" spans="11:12" x14ac:dyDescent="0.4">
      <c r="K792" s="38">
        <v>790</v>
      </c>
      <c r="L792" s="99">
        <v>9.5</v>
      </c>
    </row>
    <row r="793" spans="11:12" x14ac:dyDescent="0.4">
      <c r="K793" s="38">
        <v>791</v>
      </c>
      <c r="L793" s="99">
        <v>-50</v>
      </c>
    </row>
    <row r="794" spans="11:12" x14ac:dyDescent="0.4">
      <c r="K794" s="38">
        <v>792</v>
      </c>
      <c r="L794" s="99">
        <v>0</v>
      </c>
    </row>
    <row r="795" spans="11:12" x14ac:dyDescent="0.4">
      <c r="K795" s="38">
        <v>793</v>
      </c>
      <c r="L795" s="99">
        <v>-55.3</v>
      </c>
    </row>
    <row r="796" spans="11:12" x14ac:dyDescent="0.4">
      <c r="K796" s="38">
        <v>794</v>
      </c>
      <c r="L796" s="99">
        <v>3.5</v>
      </c>
    </row>
    <row r="797" spans="11:12" x14ac:dyDescent="0.4">
      <c r="K797" s="38">
        <v>795</v>
      </c>
      <c r="L797" s="99">
        <v>0</v>
      </c>
    </row>
    <row r="798" spans="11:12" x14ac:dyDescent="0.4">
      <c r="K798" s="38">
        <v>796</v>
      </c>
      <c r="L798" s="99">
        <v>31</v>
      </c>
    </row>
    <row r="799" spans="11:12" x14ac:dyDescent="0.4">
      <c r="K799" s="38">
        <v>797</v>
      </c>
      <c r="L799" s="99">
        <v>-5</v>
      </c>
    </row>
    <row r="800" spans="11:12" x14ac:dyDescent="0.4">
      <c r="K800" s="38">
        <v>798</v>
      </c>
      <c r="L800" s="99">
        <v>0</v>
      </c>
    </row>
    <row r="801" spans="11:12" x14ac:dyDescent="0.4">
      <c r="K801" s="38">
        <v>799</v>
      </c>
      <c r="L801" s="99">
        <v>-35.299999999999997</v>
      </c>
    </row>
    <row r="802" spans="11:12" x14ac:dyDescent="0.4">
      <c r="K802" s="38">
        <v>800</v>
      </c>
      <c r="L802" s="99">
        <v>-38.9</v>
      </c>
    </row>
    <row r="803" spans="11:12" x14ac:dyDescent="0.4">
      <c r="K803" s="38">
        <v>801</v>
      </c>
      <c r="L803" s="99">
        <v>0</v>
      </c>
    </row>
    <row r="804" spans="11:12" x14ac:dyDescent="0.4">
      <c r="K804" s="38">
        <v>802</v>
      </c>
      <c r="L804" s="99">
        <v>41.1</v>
      </c>
    </row>
    <row r="805" spans="11:12" x14ac:dyDescent="0.4">
      <c r="K805" s="38">
        <v>803</v>
      </c>
      <c r="L805" s="99">
        <v>52</v>
      </c>
    </row>
    <row r="806" spans="11:12" x14ac:dyDescent="0.4">
      <c r="K806" s="38">
        <v>804</v>
      </c>
      <c r="L806" s="99">
        <v>0</v>
      </c>
    </row>
    <row r="807" spans="11:12" x14ac:dyDescent="0.4">
      <c r="K807" s="38">
        <v>805</v>
      </c>
      <c r="L807" s="99">
        <v>54.6</v>
      </c>
    </row>
    <row r="808" spans="11:12" x14ac:dyDescent="0.4">
      <c r="K808" s="38">
        <v>806</v>
      </c>
      <c r="L808" s="99">
        <v>55.9</v>
      </c>
    </row>
    <row r="809" spans="11:12" x14ac:dyDescent="0.4">
      <c r="K809" s="38">
        <v>807</v>
      </c>
      <c r="L809" s="99">
        <v>0</v>
      </c>
    </row>
    <row r="810" spans="11:12" x14ac:dyDescent="0.4">
      <c r="K810" s="38">
        <v>808</v>
      </c>
      <c r="L810" s="99">
        <v>27.5</v>
      </c>
    </row>
    <row r="811" spans="11:12" x14ac:dyDescent="0.4">
      <c r="K811" s="38">
        <v>809</v>
      </c>
      <c r="L811" s="99">
        <v>28.5</v>
      </c>
    </row>
    <row r="812" spans="11:12" x14ac:dyDescent="0.4">
      <c r="K812" s="38">
        <v>810</v>
      </c>
      <c r="L812" s="99">
        <v>0</v>
      </c>
    </row>
    <row r="813" spans="11:12" x14ac:dyDescent="0.4">
      <c r="K813" s="38">
        <v>811</v>
      </c>
      <c r="L813" s="99">
        <v>33.4</v>
      </c>
    </row>
    <row r="814" spans="11:12" x14ac:dyDescent="0.4">
      <c r="K814" s="38">
        <v>812</v>
      </c>
      <c r="L814" s="99">
        <v>0.10000000000000142</v>
      </c>
    </row>
    <row r="815" spans="11:12" x14ac:dyDescent="0.4">
      <c r="K815" s="38">
        <v>813</v>
      </c>
      <c r="L815" s="99">
        <v>1.4155343563970746E-15</v>
      </c>
    </row>
    <row r="816" spans="11:12" x14ac:dyDescent="0.4">
      <c r="K816" s="38">
        <v>814</v>
      </c>
      <c r="L816" s="99">
        <v>38.299999999999997</v>
      </c>
    </row>
    <row r="817" spans="11:12" x14ac:dyDescent="0.4">
      <c r="K817" s="38">
        <v>815</v>
      </c>
      <c r="L817" s="99">
        <v>-12.900000000000006</v>
      </c>
    </row>
    <row r="818" spans="11:12" x14ac:dyDescent="0.4">
      <c r="K818" s="38">
        <v>816</v>
      </c>
      <c r="L818" s="99">
        <v>-5.3290705182007514E-15</v>
      </c>
    </row>
    <row r="819" spans="11:12" x14ac:dyDescent="0.4">
      <c r="K819" s="38">
        <v>817</v>
      </c>
      <c r="L819" s="99">
        <v>47.899999999999991</v>
      </c>
    </row>
    <row r="820" spans="11:12" x14ac:dyDescent="0.4">
      <c r="K820" s="38">
        <v>818</v>
      </c>
      <c r="L820" s="99">
        <v>-22.600000000000009</v>
      </c>
    </row>
    <row r="821" spans="11:12" x14ac:dyDescent="0.4">
      <c r="K821" s="38">
        <v>819</v>
      </c>
      <c r="L821" s="99">
        <v>-7.1054273576010019E-15</v>
      </c>
    </row>
    <row r="822" spans="11:12" x14ac:dyDescent="0.4">
      <c r="K822" s="38">
        <v>820</v>
      </c>
      <c r="L822" s="99">
        <v>-7.6000000000000068</v>
      </c>
    </row>
    <row r="823" spans="11:12" x14ac:dyDescent="0.4">
      <c r="K823" s="38">
        <v>821</v>
      </c>
      <c r="L823" s="99">
        <v>-54.600000000000009</v>
      </c>
    </row>
    <row r="824" spans="11:12" x14ac:dyDescent="0.4">
      <c r="K824" s="38">
        <v>822</v>
      </c>
      <c r="L824" s="99">
        <v>-7.1054273576010019E-15</v>
      </c>
    </row>
    <row r="825" spans="11:12" x14ac:dyDescent="0.4">
      <c r="K825" s="38">
        <v>823</v>
      </c>
      <c r="L825" s="99">
        <v>-34.600000000000009</v>
      </c>
    </row>
    <row r="826" spans="11:12" x14ac:dyDescent="0.4">
      <c r="K826" s="38">
        <v>824</v>
      </c>
      <c r="L826" s="99">
        <v>9.0999999999999943</v>
      </c>
    </row>
    <row r="827" spans="11:12" x14ac:dyDescent="0.4">
      <c r="K827" s="38">
        <v>825</v>
      </c>
      <c r="L827" s="99">
        <v>-5.3290705182007514E-15</v>
      </c>
    </row>
    <row r="828" spans="11:12" x14ac:dyDescent="0.4">
      <c r="K828" s="38">
        <v>826</v>
      </c>
      <c r="L828" s="99">
        <v>-29.500000000000007</v>
      </c>
    </row>
    <row r="829" spans="11:12" x14ac:dyDescent="0.4">
      <c r="K829" s="38">
        <v>827</v>
      </c>
      <c r="L829" s="99">
        <v>-30.000000000000007</v>
      </c>
    </row>
    <row r="830" spans="11:12" x14ac:dyDescent="0.4">
      <c r="K830" s="38">
        <v>828</v>
      </c>
      <c r="L830" s="99">
        <v>-7.1054273576010019E-15</v>
      </c>
    </row>
    <row r="831" spans="11:12" x14ac:dyDescent="0.4">
      <c r="K831" s="38">
        <v>829</v>
      </c>
      <c r="L831" s="99">
        <v>0.89999999999999292</v>
      </c>
    </row>
    <row r="832" spans="11:12" x14ac:dyDescent="0.4">
      <c r="K832" s="38">
        <v>830</v>
      </c>
      <c r="L832" s="99">
        <v>49.79999999999999</v>
      </c>
    </row>
    <row r="833" spans="11:12" x14ac:dyDescent="0.4">
      <c r="K833" s="38">
        <v>831</v>
      </c>
      <c r="L833" s="99">
        <v>-7.1054273576010019E-15</v>
      </c>
    </row>
    <row r="834" spans="11:12" x14ac:dyDescent="0.4">
      <c r="K834" s="38">
        <v>832</v>
      </c>
      <c r="L834" s="99">
        <v>-23.700000000000006</v>
      </c>
    </row>
    <row r="835" spans="11:12" x14ac:dyDescent="0.4">
      <c r="K835" s="38">
        <v>833</v>
      </c>
      <c r="L835" s="99">
        <v>-0.60000000000000497</v>
      </c>
    </row>
    <row r="836" spans="11:12" x14ac:dyDescent="0.4">
      <c r="K836" s="38">
        <v>834</v>
      </c>
      <c r="L836" s="99">
        <v>-4.9960036108132044E-15</v>
      </c>
    </row>
    <row r="837" spans="11:12" x14ac:dyDescent="0.4">
      <c r="K837" s="38">
        <v>835</v>
      </c>
      <c r="L837" s="99">
        <v>8.9999999999999947</v>
      </c>
    </row>
    <row r="838" spans="11:12" x14ac:dyDescent="0.4">
      <c r="K838" s="38">
        <v>836</v>
      </c>
      <c r="L838" s="99">
        <v>-31.500000000000007</v>
      </c>
    </row>
    <row r="839" spans="11:12" x14ac:dyDescent="0.4">
      <c r="K839" s="38">
        <v>837</v>
      </c>
      <c r="L839" s="99">
        <v>-7.1054273576010019E-15</v>
      </c>
    </row>
    <row r="840" spans="11:12" x14ac:dyDescent="0.4">
      <c r="K840" s="38">
        <v>838</v>
      </c>
      <c r="L840" s="99">
        <v>26.899999999999991</v>
      </c>
    </row>
    <row r="841" spans="11:12" x14ac:dyDescent="0.4">
      <c r="K841" s="38">
        <v>839</v>
      </c>
      <c r="L841" s="99">
        <v>28.399999999999991</v>
      </c>
    </row>
    <row r="842" spans="11:12" x14ac:dyDescent="0.4">
      <c r="K842" s="38">
        <v>840</v>
      </c>
      <c r="L842" s="99">
        <v>-7.1054273576010019E-15</v>
      </c>
    </row>
    <row r="843" spans="11:12" x14ac:dyDescent="0.4">
      <c r="K843" s="38">
        <v>841</v>
      </c>
      <c r="L843" s="99">
        <v>-33.800000000000004</v>
      </c>
    </row>
    <row r="844" spans="11:12" x14ac:dyDescent="0.4">
      <c r="K844" s="38">
        <v>842</v>
      </c>
      <c r="L844" s="99">
        <v>5.0999999999999943</v>
      </c>
    </row>
    <row r="845" spans="11:12" x14ac:dyDescent="0.4">
      <c r="K845" s="38">
        <v>843</v>
      </c>
      <c r="L845" s="99">
        <v>-5.3290705182007514E-15</v>
      </c>
    </row>
    <row r="846" spans="11:12" x14ac:dyDescent="0.4">
      <c r="K846" s="38">
        <v>844</v>
      </c>
      <c r="L846" s="99">
        <v>-31.800000000000004</v>
      </c>
    </row>
    <row r="847" spans="11:12" x14ac:dyDescent="0.4">
      <c r="K847" s="38">
        <v>845</v>
      </c>
      <c r="L847" s="99">
        <v>-1.5000000000000036</v>
      </c>
    </row>
    <row r="848" spans="11:12" x14ac:dyDescent="0.4">
      <c r="K848" s="38">
        <v>846</v>
      </c>
      <c r="L848" s="99">
        <v>-3.5527136788005009E-15</v>
      </c>
    </row>
    <row r="849" spans="11:12" x14ac:dyDescent="0.4">
      <c r="K849" s="38">
        <v>847</v>
      </c>
      <c r="L849" s="99">
        <v>-0.8000000000000036</v>
      </c>
    </row>
    <row r="850" spans="11:12" x14ac:dyDescent="0.4">
      <c r="K850" s="38">
        <v>848</v>
      </c>
      <c r="L850" s="99">
        <v>26.899999999999995</v>
      </c>
    </row>
    <row r="851" spans="11:12" x14ac:dyDescent="0.4">
      <c r="K851" s="38">
        <v>849</v>
      </c>
      <c r="L851" s="99">
        <v>-3.5527136788005009E-15</v>
      </c>
    </row>
    <row r="852" spans="11:12" x14ac:dyDescent="0.4">
      <c r="K852" s="38">
        <v>850</v>
      </c>
      <c r="L852" s="99">
        <v>72</v>
      </c>
    </row>
    <row r="853" spans="11:12" x14ac:dyDescent="0.4">
      <c r="K853" s="38">
        <v>851</v>
      </c>
      <c r="L853" s="99">
        <v>62</v>
      </c>
    </row>
    <row r="854" spans="11:12" x14ac:dyDescent="0.4">
      <c r="K854" s="38">
        <v>852</v>
      </c>
      <c r="L854" s="99">
        <v>0</v>
      </c>
    </row>
    <row r="855" spans="11:12" x14ac:dyDescent="0.4">
      <c r="K855" s="38">
        <v>853</v>
      </c>
      <c r="L855" s="99">
        <v>-32.700000000000003</v>
      </c>
    </row>
    <row r="856" spans="11:12" x14ac:dyDescent="0.4">
      <c r="K856" s="38">
        <v>854</v>
      </c>
      <c r="L856" s="99">
        <v>-31.1</v>
      </c>
    </row>
    <row r="857" spans="11:12" x14ac:dyDescent="0.4">
      <c r="K857" s="38">
        <v>855</v>
      </c>
      <c r="L857" s="99">
        <v>0</v>
      </c>
    </row>
    <row r="858" spans="11:12" x14ac:dyDescent="0.4">
      <c r="K858" s="38">
        <v>856</v>
      </c>
      <c r="L858" s="99">
        <v>-36.6</v>
      </c>
    </row>
    <row r="859" spans="11:12" x14ac:dyDescent="0.4">
      <c r="K859" s="38">
        <v>857</v>
      </c>
      <c r="L859" s="99">
        <v>-0.80000000000000426</v>
      </c>
    </row>
    <row r="860" spans="11:12" x14ac:dyDescent="0.4">
      <c r="K860" s="38">
        <v>858</v>
      </c>
      <c r="L860" s="99">
        <v>-4.2188474935755949E-15</v>
      </c>
    </row>
    <row r="861" spans="11:12" x14ac:dyDescent="0.4">
      <c r="K861" s="38">
        <v>859</v>
      </c>
      <c r="L861" s="99">
        <v>-29.400000000000002</v>
      </c>
    </row>
    <row r="862" spans="11:12" x14ac:dyDescent="0.4">
      <c r="K862" s="38">
        <v>860</v>
      </c>
      <c r="L862" s="99">
        <v>-37.6</v>
      </c>
    </row>
    <row r="863" spans="11:12" x14ac:dyDescent="0.4">
      <c r="K863" s="38">
        <v>861</v>
      </c>
      <c r="L863" s="99">
        <v>0</v>
      </c>
    </row>
    <row r="864" spans="11:12" x14ac:dyDescent="0.4">
      <c r="K864" s="38">
        <v>862</v>
      </c>
      <c r="L864" s="99">
        <v>-48.3</v>
      </c>
    </row>
    <row r="865" spans="11:12" x14ac:dyDescent="0.4">
      <c r="K865" s="38">
        <v>863</v>
      </c>
      <c r="L865" s="99">
        <v>-53.199999999999996</v>
      </c>
    </row>
    <row r="866" spans="11:12" x14ac:dyDescent="0.4">
      <c r="K866" s="38">
        <v>864</v>
      </c>
      <c r="L866" s="99">
        <v>7.1054273576010019E-15</v>
      </c>
    </row>
    <row r="867" spans="11:12" x14ac:dyDescent="0.4">
      <c r="K867" s="38">
        <v>865</v>
      </c>
      <c r="L867" s="99">
        <v>-32.79999999999999</v>
      </c>
    </row>
    <row r="868" spans="11:12" x14ac:dyDescent="0.4">
      <c r="K868" s="38">
        <v>866</v>
      </c>
      <c r="L868" s="99">
        <v>3.3000000000000114</v>
      </c>
    </row>
    <row r="869" spans="11:12" x14ac:dyDescent="0.4">
      <c r="K869" s="38">
        <v>867</v>
      </c>
      <c r="L869" s="99">
        <v>1.1546319456101628E-14</v>
      </c>
    </row>
    <row r="870" spans="11:12" x14ac:dyDescent="0.4">
      <c r="K870" s="38">
        <v>868</v>
      </c>
      <c r="L870" s="99">
        <v>-1.7999999999999885</v>
      </c>
    </row>
    <row r="871" spans="11:12" x14ac:dyDescent="0.4">
      <c r="K871" s="38">
        <v>869</v>
      </c>
      <c r="L871" s="99">
        <v>-28.199999999999989</v>
      </c>
    </row>
    <row r="872" spans="11:12" x14ac:dyDescent="0.4">
      <c r="K872" s="38">
        <v>870</v>
      </c>
      <c r="L872" s="99">
        <v>1.0658141036401503E-14</v>
      </c>
    </row>
    <row r="873" spans="11:12" x14ac:dyDescent="0.4">
      <c r="K873" s="38">
        <v>871</v>
      </c>
      <c r="L873" s="99">
        <v>-56.799999999999983</v>
      </c>
    </row>
    <row r="874" spans="11:12" x14ac:dyDescent="0.4">
      <c r="K874" s="38">
        <v>872</v>
      </c>
      <c r="L874" s="99">
        <v>4.2000000000000171</v>
      </c>
    </row>
    <row r="875" spans="11:12" x14ac:dyDescent="0.4">
      <c r="K875" s="38">
        <v>873</v>
      </c>
      <c r="L875" s="99">
        <v>1.6875389974302379E-14</v>
      </c>
    </row>
    <row r="876" spans="11:12" x14ac:dyDescent="0.4">
      <c r="K876" s="38">
        <v>874</v>
      </c>
      <c r="L876" s="99">
        <v>-32.499999999999986</v>
      </c>
    </row>
    <row r="877" spans="11:12" x14ac:dyDescent="0.4">
      <c r="K877" s="38">
        <v>875</v>
      </c>
      <c r="L877" s="99">
        <v>2.9000000000000128</v>
      </c>
    </row>
    <row r="878" spans="11:12" x14ac:dyDescent="0.4">
      <c r="K878" s="38">
        <v>876</v>
      </c>
      <c r="L878" s="99">
        <v>1.2878587085651816E-14</v>
      </c>
    </row>
    <row r="879" spans="11:12" x14ac:dyDescent="0.4">
      <c r="K879" s="38">
        <v>877</v>
      </c>
      <c r="L879" s="99">
        <v>-12.699999999999987</v>
      </c>
    </row>
    <row r="880" spans="11:12" x14ac:dyDescent="0.4">
      <c r="K880" s="38">
        <v>878</v>
      </c>
      <c r="L880" s="99">
        <v>42.800000000000011</v>
      </c>
    </row>
    <row r="881" spans="11:12" x14ac:dyDescent="0.4">
      <c r="K881" s="38">
        <v>879</v>
      </c>
      <c r="L881" s="99">
        <v>1.4210854715202004E-14</v>
      </c>
    </row>
    <row r="882" spans="11:12" x14ac:dyDescent="0.4">
      <c r="K882" s="38">
        <v>880</v>
      </c>
      <c r="L882" s="99">
        <v>-43.099999999999987</v>
      </c>
    </row>
    <row r="883" spans="11:12" x14ac:dyDescent="0.4">
      <c r="K883" s="38">
        <v>881</v>
      </c>
      <c r="L883" s="99">
        <v>-9.7999999999999901</v>
      </c>
    </row>
    <row r="884" spans="11:12" x14ac:dyDescent="0.4">
      <c r="K884" s="38">
        <v>882</v>
      </c>
      <c r="L884" s="99">
        <v>1.0658141036401503E-14</v>
      </c>
    </row>
    <row r="885" spans="11:12" x14ac:dyDescent="0.4">
      <c r="K885" s="38">
        <v>883</v>
      </c>
      <c r="L885" s="99">
        <v>26.500000000000011</v>
      </c>
    </row>
    <row r="886" spans="11:12" x14ac:dyDescent="0.4">
      <c r="K886" s="38">
        <v>884</v>
      </c>
      <c r="L886" s="99">
        <v>-0.29999999999999005</v>
      </c>
    </row>
    <row r="887" spans="11:12" x14ac:dyDescent="0.4">
      <c r="K887" s="38">
        <v>885</v>
      </c>
      <c r="L887" s="99">
        <v>9.936496070395151E-15</v>
      </c>
    </row>
    <row r="888" spans="11:12" x14ac:dyDescent="0.4">
      <c r="K888" s="38">
        <v>886</v>
      </c>
      <c r="L888" s="99">
        <v>40.800000000000004</v>
      </c>
    </row>
    <row r="889" spans="11:12" x14ac:dyDescent="0.4">
      <c r="K889" s="38">
        <v>887</v>
      </c>
      <c r="L889" s="99">
        <v>34.1</v>
      </c>
    </row>
    <row r="890" spans="11:12" x14ac:dyDescent="0.4">
      <c r="K890" s="38">
        <v>888</v>
      </c>
      <c r="L890" s="99">
        <v>0</v>
      </c>
    </row>
    <row r="891" spans="11:12" x14ac:dyDescent="0.4">
      <c r="K891" s="38">
        <v>889</v>
      </c>
      <c r="L891" s="99">
        <v>-3</v>
      </c>
    </row>
    <row r="892" spans="11:12" x14ac:dyDescent="0.4">
      <c r="K892" s="38">
        <v>890</v>
      </c>
      <c r="L892" s="99">
        <v>37.4</v>
      </c>
    </row>
    <row r="893" spans="11:12" x14ac:dyDescent="0.4">
      <c r="K893" s="38">
        <v>891</v>
      </c>
      <c r="L893" s="99">
        <v>0</v>
      </c>
    </row>
    <row r="894" spans="11:12" x14ac:dyDescent="0.4">
      <c r="K894" s="38">
        <v>892</v>
      </c>
      <c r="L894" s="99">
        <v>58.8</v>
      </c>
    </row>
    <row r="895" spans="11:12" x14ac:dyDescent="0.4">
      <c r="K895" s="38">
        <v>893</v>
      </c>
      <c r="L895" s="99">
        <v>0.79999999999999716</v>
      </c>
    </row>
    <row r="896" spans="11:12" x14ac:dyDescent="0.4">
      <c r="K896" s="38">
        <v>894</v>
      </c>
      <c r="L896" s="99">
        <v>-2.886579864025407E-15</v>
      </c>
    </row>
    <row r="897" spans="11:12" x14ac:dyDescent="0.4">
      <c r="K897" s="38">
        <v>895</v>
      </c>
      <c r="L897" s="99">
        <v>8.5999999999999961</v>
      </c>
    </row>
    <row r="898" spans="11:12" x14ac:dyDescent="0.4">
      <c r="K898" s="38">
        <v>896</v>
      </c>
      <c r="L898" s="99">
        <v>56.099999999999994</v>
      </c>
    </row>
    <row r="899" spans="11:12" x14ac:dyDescent="0.4">
      <c r="K899" s="38">
        <v>897</v>
      </c>
      <c r="L899" s="99">
        <v>-7.1054273576010019E-15</v>
      </c>
    </row>
    <row r="900" spans="11:12" x14ac:dyDescent="0.4">
      <c r="K900" s="38">
        <v>898</v>
      </c>
      <c r="L900" s="99">
        <v>-35.70000000000001</v>
      </c>
    </row>
    <row r="901" spans="11:12" x14ac:dyDescent="0.4">
      <c r="K901" s="38">
        <v>899</v>
      </c>
      <c r="L901" s="99">
        <v>-37.600000000000009</v>
      </c>
    </row>
    <row r="902" spans="11:12" x14ac:dyDescent="0.4">
      <c r="K902" s="38">
        <v>900</v>
      </c>
      <c r="L902" s="99">
        <v>-7.1054273576010019E-15</v>
      </c>
    </row>
    <row r="903" spans="11:12" x14ac:dyDescent="0.4">
      <c r="K903" s="38">
        <v>901</v>
      </c>
      <c r="L903" s="99">
        <v>5.1999999999999931</v>
      </c>
    </row>
    <row r="904" spans="11:12" x14ac:dyDescent="0.4">
      <c r="K904" s="38">
        <v>902</v>
      </c>
      <c r="L904" s="99">
        <v>59.599999999999994</v>
      </c>
    </row>
    <row r="905" spans="11:12" x14ac:dyDescent="0.4">
      <c r="K905" s="38">
        <v>903</v>
      </c>
      <c r="L905" s="99">
        <v>-7.1054273576010019E-15</v>
      </c>
    </row>
    <row r="906" spans="11:12" x14ac:dyDescent="0.4">
      <c r="K906" s="38">
        <v>904</v>
      </c>
      <c r="L906" s="99">
        <v>29.599999999999994</v>
      </c>
    </row>
    <row r="907" spans="11:12" x14ac:dyDescent="0.4">
      <c r="K907" s="38">
        <v>905</v>
      </c>
      <c r="L907" s="99">
        <v>32.399999999999991</v>
      </c>
    </row>
    <row r="908" spans="11:12" x14ac:dyDescent="0.4">
      <c r="K908" s="38">
        <v>906</v>
      </c>
      <c r="L908" s="99">
        <v>-7.1054273576010019E-15</v>
      </c>
    </row>
    <row r="909" spans="11:12" x14ac:dyDescent="0.4">
      <c r="K909" s="38">
        <v>907</v>
      </c>
      <c r="L909" s="99">
        <v>44.499999999999993</v>
      </c>
    </row>
    <row r="910" spans="11:12" x14ac:dyDescent="0.4">
      <c r="K910" s="38">
        <v>908</v>
      </c>
      <c r="L910" s="99">
        <v>41.399999999999991</v>
      </c>
    </row>
    <row r="911" spans="11:12" x14ac:dyDescent="0.4">
      <c r="K911" s="38">
        <v>909</v>
      </c>
      <c r="L911" s="99">
        <v>-7.1054273576010019E-15</v>
      </c>
    </row>
    <row r="912" spans="11:12" x14ac:dyDescent="0.4">
      <c r="K912" s="38">
        <v>910</v>
      </c>
      <c r="L912" s="99">
        <v>6.9999999999999929</v>
      </c>
    </row>
    <row r="913" spans="11:12" x14ac:dyDescent="0.4">
      <c r="K913" s="38">
        <v>911</v>
      </c>
      <c r="L913" s="99">
        <v>-27.500000000000007</v>
      </c>
    </row>
    <row r="914" spans="11:12" x14ac:dyDescent="0.4">
      <c r="K914" s="38">
        <v>912</v>
      </c>
      <c r="L914" s="99">
        <v>-7.1054273576010019E-15</v>
      </c>
    </row>
    <row r="915" spans="11:12" x14ac:dyDescent="0.4">
      <c r="K915" s="38">
        <v>913</v>
      </c>
      <c r="L915" s="99">
        <v>-4.6000000000000068</v>
      </c>
    </row>
    <row r="916" spans="11:12" x14ac:dyDescent="0.4">
      <c r="K916" s="38">
        <v>914</v>
      </c>
      <c r="L916" s="99">
        <v>46.499999999999993</v>
      </c>
    </row>
    <row r="917" spans="11:12" x14ac:dyDescent="0.4">
      <c r="K917" s="38">
        <v>915</v>
      </c>
      <c r="L917" s="99">
        <v>-7.1054273576010019E-15</v>
      </c>
    </row>
    <row r="918" spans="11:12" x14ac:dyDescent="0.4">
      <c r="K918" s="38">
        <v>916</v>
      </c>
      <c r="L918" s="99">
        <v>-29.100000000000009</v>
      </c>
    </row>
    <row r="919" spans="11:12" x14ac:dyDescent="0.4">
      <c r="K919" s="38">
        <v>917</v>
      </c>
      <c r="L919" s="99">
        <v>-36.500000000000007</v>
      </c>
    </row>
    <row r="920" spans="11:12" x14ac:dyDescent="0.4">
      <c r="K920" s="38">
        <v>918</v>
      </c>
      <c r="L920" s="99">
        <v>-7.1054273576010019E-15</v>
      </c>
    </row>
    <row r="921" spans="11:12" x14ac:dyDescent="0.4">
      <c r="K921" s="38">
        <v>919</v>
      </c>
      <c r="L921" s="99">
        <v>42.499999999999993</v>
      </c>
    </row>
    <row r="922" spans="11:12" x14ac:dyDescent="0.4">
      <c r="K922" s="38">
        <v>920</v>
      </c>
      <c r="L922" s="99">
        <v>34.599999999999994</v>
      </c>
    </row>
    <row r="923" spans="11:12" x14ac:dyDescent="0.4">
      <c r="K923" s="38">
        <v>921</v>
      </c>
      <c r="L923" s="99">
        <v>-7.1054273576010019E-15</v>
      </c>
    </row>
    <row r="924" spans="11:12" x14ac:dyDescent="0.4">
      <c r="K924" s="38">
        <v>922</v>
      </c>
      <c r="L924" s="99">
        <v>-46.100000000000009</v>
      </c>
    </row>
    <row r="925" spans="11:12" x14ac:dyDescent="0.4">
      <c r="K925" s="38">
        <v>923</v>
      </c>
      <c r="L925" s="99">
        <v>-11.600000000000009</v>
      </c>
    </row>
    <row r="926" spans="11:12" x14ac:dyDescent="0.4">
      <c r="K926" s="38">
        <v>924</v>
      </c>
      <c r="L926" s="99">
        <v>-8.8817841970012523E-15</v>
      </c>
    </row>
    <row r="927" spans="11:12" x14ac:dyDescent="0.4">
      <c r="K927" s="38">
        <v>925</v>
      </c>
      <c r="L927" s="99">
        <v>-54.000000000000007</v>
      </c>
    </row>
    <row r="928" spans="11:12" x14ac:dyDescent="0.4">
      <c r="K928" s="38">
        <v>926</v>
      </c>
      <c r="L928" s="99">
        <v>-67.300000000000011</v>
      </c>
    </row>
    <row r="929" spans="11:12" x14ac:dyDescent="0.4">
      <c r="K929" s="38">
        <v>927</v>
      </c>
      <c r="L929" s="99">
        <v>-1.4210854715202004E-14</v>
      </c>
    </row>
    <row r="930" spans="11:12" x14ac:dyDescent="0.4">
      <c r="K930" s="38">
        <v>928</v>
      </c>
      <c r="L930" s="99">
        <v>-34.000000000000014</v>
      </c>
    </row>
    <row r="931" spans="11:12" x14ac:dyDescent="0.4">
      <c r="K931" s="38">
        <v>929</v>
      </c>
      <c r="L931" s="99">
        <v>-32.200000000000017</v>
      </c>
    </row>
    <row r="932" spans="11:12" x14ac:dyDescent="0.4">
      <c r="K932" s="38">
        <v>930</v>
      </c>
      <c r="L932" s="99">
        <v>-1.4210854715202004E-14</v>
      </c>
    </row>
    <row r="933" spans="11:12" x14ac:dyDescent="0.4">
      <c r="K933" s="38">
        <v>931</v>
      </c>
      <c r="L933" s="99">
        <v>47.999999999999986</v>
      </c>
    </row>
    <row r="934" spans="11:12" x14ac:dyDescent="0.4">
      <c r="K934" s="38">
        <v>932</v>
      </c>
      <c r="L934" s="99">
        <v>44.299999999999983</v>
      </c>
    </row>
    <row r="935" spans="11:12" x14ac:dyDescent="0.4">
      <c r="K935" s="38">
        <v>933</v>
      </c>
      <c r="L935" s="99">
        <v>-1.4210854715202004E-14</v>
      </c>
    </row>
    <row r="936" spans="11:12" x14ac:dyDescent="0.4">
      <c r="K936" s="38">
        <v>934</v>
      </c>
      <c r="L936" s="99">
        <v>55.099999999999987</v>
      </c>
    </row>
    <row r="937" spans="11:12" x14ac:dyDescent="0.4">
      <c r="K937" s="38">
        <v>935</v>
      </c>
      <c r="L937" s="99">
        <v>51.099999999999987</v>
      </c>
    </row>
    <row r="938" spans="11:12" x14ac:dyDescent="0.4">
      <c r="K938" s="38">
        <v>936</v>
      </c>
      <c r="L938" s="99">
        <v>-1.4210854715202004E-14</v>
      </c>
    </row>
    <row r="939" spans="11:12" x14ac:dyDescent="0.4">
      <c r="K939" s="38">
        <v>937</v>
      </c>
      <c r="L939" s="99">
        <v>-16.600000000000016</v>
      </c>
    </row>
    <row r="940" spans="11:12" x14ac:dyDescent="0.4">
      <c r="K940" s="38">
        <v>938</v>
      </c>
      <c r="L940" s="99">
        <v>58.599999999999987</v>
      </c>
    </row>
    <row r="941" spans="11:12" x14ac:dyDescent="0.4">
      <c r="K941" s="38">
        <v>939</v>
      </c>
      <c r="L941" s="99">
        <v>-1.4210854715202004E-14</v>
      </c>
    </row>
    <row r="942" spans="11:12" x14ac:dyDescent="0.4">
      <c r="K942" s="38">
        <v>940</v>
      </c>
      <c r="L942" s="99">
        <v>-36.400000000000013</v>
      </c>
    </row>
    <row r="943" spans="11:12" x14ac:dyDescent="0.4">
      <c r="K943" s="38">
        <v>941</v>
      </c>
      <c r="L943" s="99">
        <v>-0.90000000000001279</v>
      </c>
    </row>
    <row r="944" spans="11:12" x14ac:dyDescent="0.4">
      <c r="K944" s="38">
        <v>942</v>
      </c>
      <c r="L944" s="99">
        <v>-1.27675647831893E-14</v>
      </c>
    </row>
    <row r="945" spans="11:12" x14ac:dyDescent="0.4">
      <c r="K945" s="38">
        <v>943</v>
      </c>
      <c r="L945" s="99">
        <v>61.599999999999987</v>
      </c>
    </row>
    <row r="946" spans="11:12" x14ac:dyDescent="0.4">
      <c r="K946" s="38">
        <v>944</v>
      </c>
      <c r="L946" s="99">
        <v>16.79999999999999</v>
      </c>
    </row>
    <row r="947" spans="11:12" x14ac:dyDescent="0.4">
      <c r="K947" s="38">
        <v>945</v>
      </c>
      <c r="L947" s="99">
        <v>-1.0658141036401503E-14</v>
      </c>
    </row>
    <row r="948" spans="11:12" x14ac:dyDescent="0.4">
      <c r="K948" s="38">
        <v>946</v>
      </c>
      <c r="L948" s="99">
        <v>-7.2000000000000108</v>
      </c>
    </row>
    <row r="949" spans="11:12" x14ac:dyDescent="0.4">
      <c r="K949" s="38">
        <v>947</v>
      </c>
      <c r="L949" s="99">
        <v>-79.800000000000011</v>
      </c>
    </row>
    <row r="950" spans="11:12" x14ac:dyDescent="0.4">
      <c r="K950" s="38">
        <v>948</v>
      </c>
      <c r="L950" s="99">
        <v>-1.4210854715202004E-14</v>
      </c>
    </row>
    <row r="951" spans="11:12" x14ac:dyDescent="0.4">
      <c r="K951" s="38">
        <v>949</v>
      </c>
      <c r="L951" s="99">
        <v>47.299999999999983</v>
      </c>
    </row>
    <row r="952" spans="11:12" x14ac:dyDescent="0.4">
      <c r="K952" s="38">
        <v>950</v>
      </c>
      <c r="L952" s="99">
        <v>-8.5000000000000142</v>
      </c>
    </row>
    <row r="953" spans="11:12" x14ac:dyDescent="0.4">
      <c r="K953" s="38">
        <v>951</v>
      </c>
      <c r="L953" s="99">
        <v>-1.4210854715202004E-14</v>
      </c>
    </row>
    <row r="954" spans="11:12" x14ac:dyDescent="0.4">
      <c r="K954" s="38">
        <v>952</v>
      </c>
      <c r="L954" s="99">
        <v>60.999999999999986</v>
      </c>
    </row>
    <row r="955" spans="11:12" x14ac:dyDescent="0.4">
      <c r="K955" s="38">
        <v>953</v>
      </c>
      <c r="L955" s="99">
        <v>13.399999999999984</v>
      </c>
    </row>
    <row r="956" spans="11:12" x14ac:dyDescent="0.4">
      <c r="K956" s="38">
        <v>954</v>
      </c>
      <c r="L956" s="99">
        <v>-1.5987211554602254E-14</v>
      </c>
    </row>
    <row r="957" spans="11:12" x14ac:dyDescent="0.4">
      <c r="K957" s="38">
        <v>955</v>
      </c>
      <c r="L957" s="99">
        <v>44.899999999999984</v>
      </c>
    </row>
    <row r="958" spans="11:12" x14ac:dyDescent="0.4">
      <c r="K958" s="38">
        <v>956</v>
      </c>
      <c r="L958" s="99">
        <v>-19.600000000000016</v>
      </c>
    </row>
    <row r="959" spans="11:12" x14ac:dyDescent="0.4">
      <c r="K959" s="38">
        <v>957</v>
      </c>
      <c r="L959" s="99">
        <v>-1.4210854715202004E-14</v>
      </c>
    </row>
    <row r="960" spans="11:12" x14ac:dyDescent="0.4">
      <c r="K960" s="38">
        <v>958</v>
      </c>
      <c r="L960" s="99">
        <v>51.999999999999986</v>
      </c>
    </row>
    <row r="961" spans="11:12" x14ac:dyDescent="0.4">
      <c r="K961" s="38">
        <v>959</v>
      </c>
      <c r="L961" s="99">
        <v>-7.4000000000000128</v>
      </c>
    </row>
    <row r="962" spans="11:12" x14ac:dyDescent="0.4">
      <c r="K962" s="38">
        <v>960</v>
      </c>
      <c r="L962" s="99">
        <v>-1.2434497875801753E-14</v>
      </c>
    </row>
    <row r="963" spans="11:12" x14ac:dyDescent="0.4">
      <c r="K963" s="38">
        <v>961</v>
      </c>
      <c r="L963" s="99">
        <v>-65.000000000000014</v>
      </c>
    </row>
    <row r="964" spans="11:12" x14ac:dyDescent="0.4">
      <c r="K964" s="38">
        <v>962</v>
      </c>
      <c r="L964" s="99">
        <v>-65.000000000000014</v>
      </c>
    </row>
    <row r="965" spans="11:12" x14ac:dyDescent="0.4">
      <c r="K965" s="38">
        <v>963</v>
      </c>
      <c r="L965" s="99">
        <v>-1.4210854715202004E-14</v>
      </c>
    </row>
    <row r="966" spans="11:12" x14ac:dyDescent="0.4">
      <c r="K966" s="38">
        <v>964</v>
      </c>
      <c r="L966" s="99">
        <v>-10.800000000000015</v>
      </c>
    </row>
    <row r="967" spans="11:12" x14ac:dyDescent="0.4">
      <c r="K967" s="38">
        <v>965</v>
      </c>
      <c r="L967" s="99">
        <v>-57.600000000000009</v>
      </c>
    </row>
    <row r="968" spans="11:12" x14ac:dyDescent="0.4">
      <c r="K968" s="38">
        <v>966</v>
      </c>
      <c r="L968" s="99">
        <v>-7.1054273576010019E-15</v>
      </c>
    </row>
    <row r="969" spans="11:12" x14ac:dyDescent="0.4">
      <c r="K969" s="38">
        <v>967</v>
      </c>
      <c r="L969" s="99">
        <v>-66.5</v>
      </c>
    </row>
    <row r="970" spans="11:12" x14ac:dyDescent="0.4">
      <c r="K970" s="38">
        <v>968</v>
      </c>
      <c r="L970" s="99">
        <v>-19.5</v>
      </c>
    </row>
    <row r="971" spans="11:12" x14ac:dyDescent="0.4">
      <c r="K971" s="38">
        <v>969</v>
      </c>
      <c r="L971" s="99">
        <v>0</v>
      </c>
    </row>
    <row r="972" spans="11:12" x14ac:dyDescent="0.4">
      <c r="K972" s="38">
        <v>970</v>
      </c>
      <c r="L972" s="99">
        <v>11.1</v>
      </c>
    </row>
    <row r="973" spans="11:12" x14ac:dyDescent="0.4">
      <c r="K973" s="38">
        <v>971</v>
      </c>
      <c r="L973" s="99">
        <v>-35.9</v>
      </c>
    </row>
    <row r="974" spans="11:12" x14ac:dyDescent="0.4">
      <c r="K974" s="38">
        <v>972</v>
      </c>
      <c r="L974" s="99">
        <v>0</v>
      </c>
    </row>
    <row r="975" spans="11:12" x14ac:dyDescent="0.4">
      <c r="K975" s="38">
        <v>973</v>
      </c>
      <c r="L975" s="99">
        <v>-0.2</v>
      </c>
    </row>
    <row r="976" spans="11:12" x14ac:dyDescent="0.4">
      <c r="K976" s="38">
        <v>974</v>
      </c>
      <c r="L976" s="99">
        <v>-26.5</v>
      </c>
    </row>
    <row r="977" spans="11:12" x14ac:dyDescent="0.4">
      <c r="K977" s="38">
        <v>975</v>
      </c>
      <c r="L977" s="99">
        <v>0</v>
      </c>
    </row>
    <row r="978" spans="11:12" x14ac:dyDescent="0.4">
      <c r="K978" s="38">
        <v>976</v>
      </c>
      <c r="L978" s="99">
        <v>-7</v>
      </c>
    </row>
    <row r="979" spans="11:12" x14ac:dyDescent="0.4">
      <c r="K979" s="38">
        <v>977</v>
      </c>
      <c r="L979" s="99">
        <v>50.5</v>
      </c>
    </row>
    <row r="980" spans="11:12" x14ac:dyDescent="0.4">
      <c r="K980" s="38">
        <v>978</v>
      </c>
      <c r="L980" s="99">
        <v>0</v>
      </c>
    </row>
    <row r="981" spans="11:12" x14ac:dyDescent="0.4">
      <c r="K981" s="38">
        <v>979</v>
      </c>
      <c r="L981" s="99">
        <v>-0.4</v>
      </c>
    </row>
    <row r="982" spans="11:12" x14ac:dyDescent="0.4">
      <c r="K982" s="38">
        <v>980</v>
      </c>
      <c r="L982" s="99">
        <v>24.400000000000002</v>
      </c>
    </row>
    <row r="983" spans="11:12" x14ac:dyDescent="0.4">
      <c r="K983" s="38">
        <v>981</v>
      </c>
      <c r="L983" s="99">
        <v>3.5527136788005009E-15</v>
      </c>
    </row>
    <row r="984" spans="11:12" x14ac:dyDescent="0.4">
      <c r="K984" s="38">
        <v>982</v>
      </c>
      <c r="L984" s="99">
        <v>-47.099999999999994</v>
      </c>
    </row>
    <row r="985" spans="11:12" x14ac:dyDescent="0.4">
      <c r="K985" s="38">
        <v>983</v>
      </c>
      <c r="L985" s="99">
        <v>-64.199999999999989</v>
      </c>
    </row>
    <row r="986" spans="11:12" x14ac:dyDescent="0.4">
      <c r="K986" s="38">
        <v>984</v>
      </c>
      <c r="L986" s="99">
        <v>1.4210854715202004E-14</v>
      </c>
    </row>
    <row r="987" spans="11:12" x14ac:dyDescent="0.4">
      <c r="K987" s="38">
        <v>985</v>
      </c>
      <c r="L987" s="99">
        <v>-37.699999999999989</v>
      </c>
    </row>
    <row r="988" spans="11:12" x14ac:dyDescent="0.4">
      <c r="K988" s="38">
        <v>986</v>
      </c>
      <c r="L988" s="99">
        <v>15.300000000000011</v>
      </c>
    </row>
    <row r="989" spans="11:12" x14ac:dyDescent="0.4">
      <c r="K989" s="38">
        <v>987</v>
      </c>
      <c r="L989" s="99">
        <v>1.0658141036401503E-14</v>
      </c>
    </row>
    <row r="990" spans="11:12" x14ac:dyDescent="0.4">
      <c r="K990" s="38">
        <v>988</v>
      </c>
      <c r="L990" s="99">
        <v>40.200000000000017</v>
      </c>
    </row>
    <row r="991" spans="11:12" x14ac:dyDescent="0.4">
      <c r="K991" s="38">
        <v>989</v>
      </c>
      <c r="L991" s="99">
        <v>34.800000000000018</v>
      </c>
    </row>
    <row r="992" spans="11:12" x14ac:dyDescent="0.4">
      <c r="K992" s="38">
        <v>990</v>
      </c>
      <c r="L992" s="99">
        <v>2.1316282072803006E-14</v>
      </c>
    </row>
    <row r="993" spans="11:12" x14ac:dyDescent="0.4">
      <c r="K993" s="38">
        <v>991</v>
      </c>
      <c r="L993" s="99">
        <v>0.90000000000002134</v>
      </c>
    </row>
    <row r="994" spans="11:12" x14ac:dyDescent="0.4">
      <c r="K994" s="38">
        <v>992</v>
      </c>
      <c r="L994" s="99">
        <v>-47.499999999999979</v>
      </c>
    </row>
    <row r="995" spans="11:12" x14ac:dyDescent="0.4">
      <c r="K995" s="38">
        <v>993</v>
      </c>
      <c r="L995" s="99">
        <v>2.1316282072803006E-14</v>
      </c>
    </row>
    <row r="996" spans="11:12" x14ac:dyDescent="0.4">
      <c r="K996" s="38">
        <v>994</v>
      </c>
      <c r="L996" s="99">
        <v>-61.59999999999998</v>
      </c>
    </row>
    <row r="997" spans="11:12" x14ac:dyDescent="0.4">
      <c r="K997" s="38">
        <v>995</v>
      </c>
      <c r="L997" s="99">
        <v>-49.499999999999979</v>
      </c>
    </row>
    <row r="998" spans="11:12" x14ac:dyDescent="0.4">
      <c r="K998" s="38">
        <v>996</v>
      </c>
      <c r="L998" s="99">
        <v>2.1316282072803006E-14</v>
      </c>
    </row>
    <row r="999" spans="11:12" x14ac:dyDescent="0.4">
      <c r="K999" s="38">
        <v>997</v>
      </c>
      <c r="L999" s="99">
        <v>-43.899999999999977</v>
      </c>
    </row>
    <row r="1000" spans="11:12" x14ac:dyDescent="0.4">
      <c r="K1000" s="38">
        <v>998</v>
      </c>
      <c r="L1000" s="99">
        <v>-34.699999999999974</v>
      </c>
    </row>
    <row r="1001" spans="11:12" x14ac:dyDescent="0.4">
      <c r="K1001" s="38">
        <v>999</v>
      </c>
      <c r="L1001" s="99">
        <v>2.8421709430404007E-14</v>
      </c>
    </row>
    <row r="1002" spans="11:12" x14ac:dyDescent="0.4">
      <c r="K1002" s="38">
        <v>1000</v>
      </c>
      <c r="L1002" s="99">
        <v>62.700000000000031</v>
      </c>
    </row>
    <row r="1003" spans="11:12" x14ac:dyDescent="0.4">
      <c r="K1003" s="38">
        <v>1001</v>
      </c>
      <c r="L1003" s="99">
        <v>13.900000000000034</v>
      </c>
    </row>
    <row r="1004" spans="11:12" x14ac:dyDescent="0.4">
      <c r="K1004" s="38">
        <v>1002</v>
      </c>
      <c r="L1004" s="99">
        <v>3.3750779948604759E-14</v>
      </c>
    </row>
    <row r="1005" spans="11:12" x14ac:dyDescent="0.4">
      <c r="K1005" s="38">
        <v>1003</v>
      </c>
      <c r="L1005" s="99">
        <v>10.700000000000033</v>
      </c>
    </row>
    <row r="1006" spans="11:12" x14ac:dyDescent="0.4">
      <c r="K1006" s="38">
        <v>1004</v>
      </c>
      <c r="L1006" s="99">
        <v>-46.999999999999972</v>
      </c>
    </row>
    <row r="1007" spans="11:12" x14ac:dyDescent="0.4">
      <c r="K1007" s="38">
        <v>1005</v>
      </c>
      <c r="L1007" s="99">
        <v>2.8421709430404007E-14</v>
      </c>
    </row>
    <row r="1008" spans="11:12" x14ac:dyDescent="0.4">
      <c r="K1008" s="38">
        <v>1006</v>
      </c>
      <c r="L1008" s="99">
        <v>35.700000000000031</v>
      </c>
    </row>
    <row r="1009" spans="11:12" x14ac:dyDescent="0.4">
      <c r="K1009" s="38">
        <v>1007</v>
      </c>
      <c r="L1009" s="99">
        <v>-1.0999999999999659</v>
      </c>
    </row>
    <row r="1010" spans="11:12" x14ac:dyDescent="0.4">
      <c r="K1010" s="38">
        <v>1008</v>
      </c>
      <c r="L1010" s="99">
        <v>3.4194869158454821E-14</v>
      </c>
    </row>
    <row r="1011" spans="11:12" x14ac:dyDescent="0.4">
      <c r="K1011" s="38">
        <v>1009</v>
      </c>
      <c r="L1011" s="99">
        <v>27.200000000000035</v>
      </c>
    </row>
    <row r="1012" spans="11:12" x14ac:dyDescent="0.4">
      <c r="K1012" s="38">
        <v>1010</v>
      </c>
      <c r="L1012" s="99">
        <v>25.300000000000036</v>
      </c>
    </row>
    <row r="1013" spans="11:12" x14ac:dyDescent="0.4">
      <c r="K1013" s="38">
        <v>1011</v>
      </c>
      <c r="L1013" s="99">
        <v>3.5527136788005009E-14</v>
      </c>
    </row>
    <row r="1014" spans="11:12" x14ac:dyDescent="0.4">
      <c r="K1014" s="38">
        <v>1012</v>
      </c>
      <c r="L1014" s="99">
        <v>15.800000000000036</v>
      </c>
    </row>
    <row r="1015" spans="11:12" x14ac:dyDescent="0.4">
      <c r="K1015" s="38">
        <v>1013</v>
      </c>
      <c r="L1015" s="99">
        <v>56.000000000000043</v>
      </c>
    </row>
    <row r="1016" spans="11:12" x14ac:dyDescent="0.4">
      <c r="K1016" s="38">
        <v>1014</v>
      </c>
      <c r="L1016" s="99">
        <v>4.2632564145606011E-14</v>
      </c>
    </row>
    <row r="1017" spans="11:12" x14ac:dyDescent="0.4">
      <c r="K1017" s="38">
        <v>1015</v>
      </c>
      <c r="L1017" s="99">
        <v>25.200000000000042</v>
      </c>
    </row>
    <row r="1018" spans="11:12" x14ac:dyDescent="0.4">
      <c r="K1018" s="38">
        <v>1016</v>
      </c>
      <c r="L1018" s="99">
        <v>-3.5999999999999588</v>
      </c>
    </row>
    <row r="1019" spans="11:12" x14ac:dyDescent="0.4">
      <c r="K1019" s="38">
        <v>1017</v>
      </c>
      <c r="L1019" s="99">
        <v>4.1300296516055823E-14</v>
      </c>
    </row>
    <row r="1020" spans="11:12" x14ac:dyDescent="0.4">
      <c r="K1020" s="38">
        <v>1018</v>
      </c>
      <c r="L1020" s="99">
        <v>-9.2999999999999599</v>
      </c>
    </row>
    <row r="1021" spans="11:12" x14ac:dyDescent="0.4">
      <c r="K1021" s="38">
        <v>1019</v>
      </c>
      <c r="L1021" s="99">
        <v>51.900000000000041</v>
      </c>
    </row>
    <row r="1022" spans="11:12" x14ac:dyDescent="0.4">
      <c r="K1022" s="38">
        <v>1020</v>
      </c>
      <c r="L1022" s="99">
        <v>4.2632564145606011E-14</v>
      </c>
    </row>
    <row r="1023" spans="11:12" x14ac:dyDescent="0.4">
      <c r="K1023" s="38">
        <v>1021</v>
      </c>
      <c r="L1023" s="99">
        <v>3.2000000000000428</v>
      </c>
    </row>
    <row r="1024" spans="11:12" x14ac:dyDescent="0.4">
      <c r="K1024" s="38">
        <v>1022</v>
      </c>
      <c r="L1024" s="99">
        <v>-27.599999999999959</v>
      </c>
    </row>
    <row r="1025" spans="11:12" x14ac:dyDescent="0.4">
      <c r="K1025" s="38">
        <v>1023</v>
      </c>
      <c r="L1025" s="99">
        <v>4.2632564145606011E-14</v>
      </c>
    </row>
    <row r="1026" spans="11:12" x14ac:dyDescent="0.4">
      <c r="K1026" s="38">
        <v>1024</v>
      </c>
      <c r="L1026" s="99">
        <v>-2.7999999999999572</v>
      </c>
    </row>
    <row r="1027" spans="11:12" x14ac:dyDescent="0.4">
      <c r="K1027" s="38">
        <v>1025</v>
      </c>
      <c r="L1027" s="99">
        <v>38.700000000000045</v>
      </c>
    </row>
    <row r="1028" spans="11:12" x14ac:dyDescent="0.4">
      <c r="K1028" s="38">
        <v>1026</v>
      </c>
      <c r="L1028" s="99">
        <v>4.2632564145606011E-14</v>
      </c>
    </row>
  </sheetData>
  <sortState xmlns:xlrd2="http://schemas.microsoft.com/office/spreadsheetml/2017/richdata2" ref="N15:Q2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CCD73-E591-4C27-92E4-ABF5943A5B60}">
  <sheetPr codeName="Sheet7"/>
  <dimension ref="A1:Q22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219</v>
      </c>
      <c r="C2" s="151"/>
      <c r="E2" s="62" t="s">
        <v>67</v>
      </c>
      <c r="F2" s="59" t="s">
        <v>23</v>
      </c>
      <c r="G2" s="46">
        <v>466</v>
      </c>
      <c r="H2" s="132">
        <f t="shared" ref="H2:H33" si="0">IF(B$17=0,0,G2/B$17)</f>
        <v>0.77024793388429758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1">IF(P2=0,0,Q2/P2)</f>
        <v>1200.9174311926606</v>
      </c>
      <c r="P2" s="118">
        <v>218</v>
      </c>
      <c r="Q2" s="102">
        <v>261800</v>
      </c>
    </row>
    <row r="3" spans="1:17" x14ac:dyDescent="0.4">
      <c r="A3" s="55" t="s">
        <v>8</v>
      </c>
      <c r="B3" s="152">
        <v>1793</v>
      </c>
      <c r="C3" s="153"/>
      <c r="E3" s="63" t="s">
        <v>73</v>
      </c>
      <c r="F3" s="60" t="s">
        <v>28</v>
      </c>
      <c r="G3" s="47">
        <v>334</v>
      </c>
      <c r="H3" s="133">
        <f t="shared" si="0"/>
        <v>0.55206611570247932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1"/>
        <v>1853.0516431924882</v>
      </c>
      <c r="P3" s="119">
        <v>213</v>
      </c>
      <c r="Q3" s="103">
        <v>394700</v>
      </c>
    </row>
    <row r="4" spans="1:17" x14ac:dyDescent="0.4">
      <c r="A4" s="55" t="s">
        <v>6</v>
      </c>
      <c r="B4" s="154">
        <v>2746.9</v>
      </c>
      <c r="C4" s="155"/>
      <c r="E4" s="63" t="s">
        <v>65</v>
      </c>
      <c r="F4" s="60" t="s">
        <v>21</v>
      </c>
      <c r="G4" s="47">
        <v>287</v>
      </c>
      <c r="H4" s="133">
        <f t="shared" si="0"/>
        <v>0.47438016528925619</v>
      </c>
      <c r="I4" s="94">
        <v>9</v>
      </c>
      <c r="K4" s="38">
        <v>2</v>
      </c>
      <c r="L4" s="99">
        <v>-2.8999999999999995</v>
      </c>
      <c r="N4" s="115" t="s">
        <v>134</v>
      </c>
      <c r="O4" s="122">
        <f t="shared" si="1"/>
        <v>700.98039215686276</v>
      </c>
      <c r="P4" s="119">
        <v>204</v>
      </c>
      <c r="Q4" s="103">
        <v>143000</v>
      </c>
    </row>
    <row r="5" spans="1:17" x14ac:dyDescent="0.4">
      <c r="A5" s="55" t="s">
        <v>7</v>
      </c>
      <c r="B5" s="156">
        <f>IF(B$2=0,0,B$4/B$2)</f>
        <v>12.542922374429224</v>
      </c>
      <c r="C5" s="157"/>
      <c r="E5" s="63" t="s">
        <v>245</v>
      </c>
      <c r="F5" s="60" t="s">
        <v>246</v>
      </c>
      <c r="G5" s="47">
        <v>241</v>
      </c>
      <c r="H5" s="133">
        <f t="shared" si="0"/>
        <v>0.39834710743801655</v>
      </c>
      <c r="I5" s="94">
        <v>9</v>
      </c>
      <c r="K5" s="38">
        <v>3</v>
      </c>
      <c r="L5" s="99">
        <v>70.399999999999991</v>
      </c>
      <c r="N5" s="115" t="s">
        <v>135</v>
      </c>
      <c r="O5" s="122">
        <f t="shared" si="1"/>
        <v>2811.229946524064</v>
      </c>
      <c r="P5" s="119">
        <v>187</v>
      </c>
      <c r="Q5" s="103">
        <v>525700</v>
      </c>
    </row>
    <row r="6" spans="1:17" x14ac:dyDescent="0.4">
      <c r="A6" s="55" t="s">
        <v>1</v>
      </c>
      <c r="B6" s="146">
        <f>IF(B$2=0,0,(B$7*1+B$8*2+B$9*3)/B$2)</f>
        <v>1.7579908675799087</v>
      </c>
      <c r="C6" s="147"/>
      <c r="E6" s="63" t="s">
        <v>68</v>
      </c>
      <c r="F6" s="60" t="s">
        <v>24</v>
      </c>
      <c r="G6" s="47">
        <v>190</v>
      </c>
      <c r="H6" s="133">
        <f t="shared" si="0"/>
        <v>0.31404958677685951</v>
      </c>
      <c r="I6" s="94">
        <v>6</v>
      </c>
      <c r="K6" s="38">
        <v>4</v>
      </c>
      <c r="L6" s="99">
        <v>110.5</v>
      </c>
      <c r="N6" s="115" t="s">
        <v>136</v>
      </c>
      <c r="O6" s="122">
        <f t="shared" si="1"/>
        <v>1247.5903614457832</v>
      </c>
      <c r="P6" s="119">
        <v>166</v>
      </c>
      <c r="Q6" s="103">
        <v>207100</v>
      </c>
    </row>
    <row r="7" spans="1:17" x14ac:dyDescent="0.4">
      <c r="A7" s="55" t="s">
        <v>2</v>
      </c>
      <c r="B7" s="47">
        <v>106</v>
      </c>
      <c r="C7" s="39">
        <f t="shared" ref="C7:C12" si="2">IF(B$2=0,0,B7/B$2)</f>
        <v>0.48401826484018262</v>
      </c>
      <c r="E7" s="63" t="s">
        <v>69</v>
      </c>
      <c r="F7" s="60" t="s">
        <v>12</v>
      </c>
      <c r="G7" s="47">
        <v>169</v>
      </c>
      <c r="H7" s="133">
        <f t="shared" si="0"/>
        <v>0.27933884297520661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1"/>
        <v>1222.5352112676057</v>
      </c>
      <c r="P7" s="120">
        <v>142</v>
      </c>
      <c r="Q7" s="104">
        <v>173600</v>
      </c>
    </row>
    <row r="8" spans="1:17" x14ac:dyDescent="0.4">
      <c r="A8" s="55" t="s">
        <v>3</v>
      </c>
      <c r="B8" s="47">
        <v>60</v>
      </c>
      <c r="C8" s="39">
        <f t="shared" si="2"/>
        <v>0.27397260273972601</v>
      </c>
      <c r="E8" s="63" t="s">
        <v>90</v>
      </c>
      <c r="F8" s="60" t="s">
        <v>45</v>
      </c>
      <c r="G8" s="47">
        <v>100</v>
      </c>
      <c r="H8" s="133">
        <f t="shared" si="0"/>
        <v>0.16528925619834711</v>
      </c>
      <c r="I8" s="94">
        <v>4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53</v>
      </c>
      <c r="C9" s="40">
        <f t="shared" si="2"/>
        <v>0.24200913242009131</v>
      </c>
      <c r="E9" s="63" t="s">
        <v>70</v>
      </c>
      <c r="F9" s="60" t="s">
        <v>25</v>
      </c>
      <c r="G9" s="47">
        <v>96</v>
      </c>
      <c r="H9" s="133">
        <f t="shared" si="0"/>
        <v>0.15867768595041323</v>
      </c>
      <c r="I9" s="94">
        <v>6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18</v>
      </c>
      <c r="C10" s="40">
        <f t="shared" si="2"/>
        <v>8.2191780821917804E-2</v>
      </c>
      <c r="E10" s="63" t="s">
        <v>66</v>
      </c>
      <c r="F10" s="60" t="s">
        <v>22</v>
      </c>
      <c r="G10" s="47">
        <v>74</v>
      </c>
      <c r="H10" s="133">
        <f t="shared" si="0"/>
        <v>0.12231404958677686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17.361428571428576</v>
      </c>
      <c r="P10" s="118">
        <v>70</v>
      </c>
      <c r="Q10" s="106">
        <v>1215.3000000000004</v>
      </c>
    </row>
    <row r="11" spans="1:17" x14ac:dyDescent="0.4">
      <c r="A11" s="56" t="s">
        <v>140</v>
      </c>
      <c r="B11" s="48">
        <v>37</v>
      </c>
      <c r="C11" s="40">
        <f t="shared" si="2"/>
        <v>0.16894977168949771</v>
      </c>
      <c r="E11" s="63" t="s">
        <v>71</v>
      </c>
      <c r="F11" s="60" t="s">
        <v>26</v>
      </c>
      <c r="G11" s="47">
        <v>47</v>
      </c>
      <c r="H11" s="133">
        <f t="shared" si="0"/>
        <v>7.768595041322314E-2</v>
      </c>
      <c r="I11" s="94">
        <v>8</v>
      </c>
      <c r="K11" s="38">
        <v>9</v>
      </c>
      <c r="L11" s="99">
        <v>277.90000000000003</v>
      </c>
      <c r="N11" s="115" t="s">
        <v>165</v>
      </c>
      <c r="O11" s="125">
        <f>IF(P11=0,0,Q11/P11)</f>
        <v>9.0685714285714294</v>
      </c>
      <c r="P11" s="119">
        <v>70</v>
      </c>
      <c r="Q11" s="107">
        <v>634.80000000000007</v>
      </c>
    </row>
    <row r="12" spans="1:17" x14ac:dyDescent="0.4">
      <c r="A12" s="57" t="s">
        <v>160</v>
      </c>
      <c r="B12" s="49">
        <v>30</v>
      </c>
      <c r="C12" s="42">
        <f t="shared" si="2"/>
        <v>0.13698630136986301</v>
      </c>
      <c r="E12" s="63" t="s">
        <v>87</v>
      </c>
      <c r="F12" s="60" t="s">
        <v>42</v>
      </c>
      <c r="G12" s="47">
        <v>43</v>
      </c>
      <c r="H12" s="133">
        <f t="shared" si="0"/>
        <v>7.1074380165289261E-2</v>
      </c>
      <c r="I12" s="94">
        <v>6</v>
      </c>
      <c r="K12" s="38">
        <v>10</v>
      </c>
      <c r="L12" s="99">
        <v>246.20000000000005</v>
      </c>
      <c r="N12" s="116" t="s">
        <v>166</v>
      </c>
      <c r="O12" s="126">
        <f>IF(P12=0,0,Q12/P12)</f>
        <v>11.351898734177219</v>
      </c>
      <c r="P12" s="120">
        <v>79</v>
      </c>
      <c r="Q12" s="108">
        <v>896.8000000000003</v>
      </c>
    </row>
    <row r="13" spans="1:17" x14ac:dyDescent="0.4">
      <c r="A13" s="58" t="s">
        <v>122</v>
      </c>
      <c r="B13" s="50">
        <v>542</v>
      </c>
      <c r="C13" s="44">
        <f>IF(B$3=0,0,B13/B$3)</f>
        <v>0.30228667038482987</v>
      </c>
      <c r="E13" s="63" t="s">
        <v>72</v>
      </c>
      <c r="F13" s="60" t="s">
        <v>27</v>
      </c>
      <c r="G13" s="47">
        <v>39</v>
      </c>
      <c r="H13" s="133">
        <f t="shared" si="0"/>
        <v>6.4462809917355368E-2</v>
      </c>
      <c r="I13" s="94">
        <v>7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392</v>
      </c>
      <c r="C14" s="39">
        <f>IF(B$3=0,0,B14/B$3)</f>
        <v>0.21862799776910205</v>
      </c>
      <c r="E14" s="63" t="s">
        <v>84</v>
      </c>
      <c r="F14" s="60" t="s">
        <v>39</v>
      </c>
      <c r="G14" s="47">
        <v>29</v>
      </c>
      <c r="H14" s="133">
        <f t="shared" si="0"/>
        <v>4.7933884297520664E-2</v>
      </c>
      <c r="I14" s="94">
        <v>6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317</v>
      </c>
      <c r="C15" s="37">
        <f>IF(B$13=0,0,B15/B$13)</f>
        <v>0.58487084870848705</v>
      </c>
      <c r="E15" s="63" t="s">
        <v>180</v>
      </c>
      <c r="F15" s="60" t="s">
        <v>181</v>
      </c>
      <c r="G15" s="47">
        <v>25</v>
      </c>
      <c r="H15" s="133">
        <f t="shared" si="0"/>
        <v>4.1322314049586778E-2</v>
      </c>
      <c r="I15" s="94">
        <v>2</v>
      </c>
      <c r="K15" s="38">
        <v>13</v>
      </c>
      <c r="L15" s="99">
        <v>418.90000000000003</v>
      </c>
      <c r="N15" s="114" t="s">
        <v>183</v>
      </c>
      <c r="O15" s="124">
        <f t="shared" ref="O15:O25" si="3"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196</v>
      </c>
      <c r="C16" s="37">
        <f>IF(B$14=0,0,B16/B$14)</f>
        <v>0.5</v>
      </c>
      <c r="E16" s="63" t="s">
        <v>79</v>
      </c>
      <c r="F16" s="60" t="s">
        <v>34</v>
      </c>
      <c r="G16" s="47">
        <v>15</v>
      </c>
      <c r="H16" s="133">
        <f t="shared" si="0"/>
        <v>2.4793388429752067E-2</v>
      </c>
      <c r="I16" s="94">
        <v>9</v>
      </c>
      <c r="K16" s="38">
        <v>14</v>
      </c>
      <c r="L16" s="99">
        <v>473.50000000000006</v>
      </c>
      <c r="N16" s="115" t="s">
        <v>222</v>
      </c>
      <c r="O16" s="125">
        <f t="shared" si="3"/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605</v>
      </c>
      <c r="C17" s="37">
        <f>IF(B$3=0,0,B17/B$3)</f>
        <v>0.33742331288343558</v>
      </c>
      <c r="E17" s="63" t="s">
        <v>92</v>
      </c>
      <c r="F17" s="60" t="s">
        <v>47</v>
      </c>
      <c r="G17" s="47">
        <v>14</v>
      </c>
      <c r="H17" s="133">
        <f t="shared" si="0"/>
        <v>2.3140495867768594E-2</v>
      </c>
      <c r="I17" s="94">
        <v>4</v>
      </c>
      <c r="K17" s="38">
        <v>15</v>
      </c>
      <c r="L17" s="99">
        <v>481.50000000000006</v>
      </c>
      <c r="N17" s="115" t="s">
        <v>184</v>
      </c>
      <c r="O17" s="125">
        <f t="shared" si="3"/>
        <v>29.12142857142857</v>
      </c>
      <c r="P17" s="119">
        <v>14</v>
      </c>
      <c r="Q17" s="107">
        <v>407.7</v>
      </c>
    </row>
    <row r="18" spans="1:17" x14ac:dyDescent="0.4">
      <c r="A18" s="55" t="s">
        <v>12</v>
      </c>
      <c r="B18" s="47">
        <v>253</v>
      </c>
      <c r="C18" s="39">
        <f>IF(B$17=0,0,B18/B$17)</f>
        <v>0.41818181818181815</v>
      </c>
      <c r="E18" s="63" t="s">
        <v>82</v>
      </c>
      <c r="F18" s="60" t="s">
        <v>37</v>
      </c>
      <c r="G18" s="47">
        <v>12</v>
      </c>
      <c r="H18" s="133">
        <f t="shared" si="0"/>
        <v>1.9834710743801654E-2</v>
      </c>
      <c r="I18" s="94">
        <v>10</v>
      </c>
      <c r="K18" s="38">
        <v>16</v>
      </c>
      <c r="L18" s="99">
        <v>425.50000000000006</v>
      </c>
      <c r="N18" s="115" t="s">
        <v>173</v>
      </c>
      <c r="O18" s="125">
        <f t="shared" si="3"/>
        <v>27.999999999999996</v>
      </c>
      <c r="P18" s="119">
        <v>29</v>
      </c>
      <c r="Q18" s="107">
        <v>811.99999999999989</v>
      </c>
    </row>
    <row r="19" spans="1:17" x14ac:dyDescent="0.4">
      <c r="A19" s="55" t="s">
        <v>11</v>
      </c>
      <c r="B19" s="47">
        <v>352</v>
      </c>
      <c r="C19" s="39">
        <f>IF(B$17=0,0,B19/B$17)</f>
        <v>0.58181818181818179</v>
      </c>
      <c r="E19" s="63" t="s">
        <v>80</v>
      </c>
      <c r="F19" s="60" t="s">
        <v>35</v>
      </c>
      <c r="G19" s="47">
        <v>9</v>
      </c>
      <c r="H19" s="133">
        <f t="shared" si="0"/>
        <v>1.487603305785124E-2</v>
      </c>
      <c r="I19" s="94">
        <v>8</v>
      </c>
      <c r="K19" s="38">
        <v>17</v>
      </c>
      <c r="L19" s="99">
        <v>427.40000000000003</v>
      </c>
      <c r="N19" s="115" t="s">
        <v>172</v>
      </c>
      <c r="O19" s="125">
        <f t="shared" si="3"/>
        <v>27.732075471698106</v>
      </c>
      <c r="P19" s="119">
        <v>53</v>
      </c>
      <c r="Q19" s="107">
        <v>1469.7999999999997</v>
      </c>
    </row>
    <row r="20" spans="1:17" x14ac:dyDescent="0.4">
      <c r="A20" s="55" t="s">
        <v>13</v>
      </c>
      <c r="B20" s="47">
        <v>268</v>
      </c>
      <c r="C20" s="39">
        <f>IF(B$3=0,0,B20/B$3)</f>
        <v>0.14947016174010039</v>
      </c>
      <c r="E20" s="63" t="s">
        <v>86</v>
      </c>
      <c r="F20" s="60" t="s">
        <v>41</v>
      </c>
      <c r="G20" s="47">
        <v>6</v>
      </c>
      <c r="H20" s="133">
        <f t="shared" si="0"/>
        <v>9.9173553719008271E-3</v>
      </c>
      <c r="I20" s="94">
        <v>2</v>
      </c>
      <c r="K20" s="38">
        <v>18</v>
      </c>
      <c r="L20" s="99">
        <v>429.3</v>
      </c>
      <c r="N20" s="115" t="s">
        <v>129</v>
      </c>
      <c r="O20" s="125">
        <f t="shared" si="3"/>
        <v>21.925000000000008</v>
      </c>
      <c r="P20" s="119">
        <v>108</v>
      </c>
      <c r="Q20" s="107">
        <v>2367.900000000001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74</v>
      </c>
      <c r="F21" s="60" t="s">
        <v>29</v>
      </c>
      <c r="G21" s="47">
        <v>4</v>
      </c>
      <c r="H21" s="133">
        <f t="shared" si="0"/>
        <v>6.6115702479338841E-3</v>
      </c>
      <c r="I21" s="94">
        <v>5</v>
      </c>
      <c r="K21" s="38">
        <v>19</v>
      </c>
      <c r="L21" s="99">
        <v>405.40000000000003</v>
      </c>
      <c r="N21" s="115" t="s">
        <v>177</v>
      </c>
      <c r="O21" s="125">
        <f t="shared" si="3"/>
        <v>21.239215686274516</v>
      </c>
      <c r="P21" s="119">
        <v>51</v>
      </c>
      <c r="Q21" s="107">
        <v>1083.2000000000003</v>
      </c>
    </row>
    <row r="22" spans="1:17" x14ac:dyDescent="0.4">
      <c r="A22" s="55" t="s">
        <v>192</v>
      </c>
      <c r="B22" s="47">
        <v>39</v>
      </c>
      <c r="C22" s="135">
        <v>6</v>
      </c>
      <c r="E22" s="63" t="s">
        <v>78</v>
      </c>
      <c r="F22" s="60" t="s">
        <v>33</v>
      </c>
      <c r="G22" s="47">
        <v>4</v>
      </c>
      <c r="H22" s="133">
        <f t="shared" si="0"/>
        <v>6.6115702479338841E-3</v>
      </c>
      <c r="I22" s="94">
        <v>6</v>
      </c>
      <c r="K22" s="38">
        <v>20</v>
      </c>
      <c r="L22" s="99">
        <v>469.6</v>
      </c>
      <c r="N22" s="115" t="s">
        <v>128</v>
      </c>
      <c r="O22" s="125">
        <f t="shared" si="3"/>
        <v>19.807964601769918</v>
      </c>
      <c r="P22" s="119">
        <v>113</v>
      </c>
      <c r="Q22" s="107">
        <v>2238.3000000000006</v>
      </c>
    </row>
    <row r="23" spans="1:17" x14ac:dyDescent="0.4">
      <c r="A23" s="55" t="s">
        <v>5</v>
      </c>
      <c r="B23" s="51">
        <f>IF(B$17=0,0,C23/B$17)</f>
        <v>9240.6611570247933</v>
      </c>
      <c r="C23" s="41">
        <v>5590600</v>
      </c>
      <c r="E23" s="63" t="s">
        <v>93</v>
      </c>
      <c r="F23" s="60" t="s">
        <v>48</v>
      </c>
      <c r="G23" s="47">
        <v>4</v>
      </c>
      <c r="H23" s="133">
        <f t="shared" si="0"/>
        <v>6.6115702479338841E-3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 t="shared" si="3"/>
        <v>-1.9269841269841288</v>
      </c>
      <c r="P23" s="119">
        <v>63</v>
      </c>
      <c r="Q23" s="107">
        <v>-121.40000000000012</v>
      </c>
    </row>
    <row r="24" spans="1:17" x14ac:dyDescent="0.4">
      <c r="A24" s="57" t="s">
        <v>14</v>
      </c>
      <c r="B24" s="52">
        <f>IF(B$20=0,0,C24/B$20)</f>
        <v>-8208.2089552238813</v>
      </c>
      <c r="C24" s="45">
        <v>-2199800</v>
      </c>
      <c r="E24" s="63" t="s">
        <v>91</v>
      </c>
      <c r="F24" s="60" t="s">
        <v>46</v>
      </c>
      <c r="G24" s="47">
        <v>3</v>
      </c>
      <c r="H24" s="133">
        <f t="shared" si="0"/>
        <v>4.9586776859504135E-3</v>
      </c>
      <c r="I24" s="94">
        <v>2</v>
      </c>
      <c r="K24" s="38">
        <v>22</v>
      </c>
      <c r="L24" s="99">
        <v>519.20000000000005</v>
      </c>
      <c r="N24" s="115" t="s">
        <v>200</v>
      </c>
      <c r="O24" s="125">
        <f t="shared" si="3"/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8</v>
      </c>
      <c r="C25" s="145"/>
      <c r="E25" s="63" t="s">
        <v>89</v>
      </c>
      <c r="F25" s="60" t="s">
        <v>44</v>
      </c>
      <c r="G25" s="47">
        <v>2</v>
      </c>
      <c r="H25" s="133">
        <f t="shared" si="0"/>
        <v>3.3057851239669421E-3</v>
      </c>
      <c r="I25" s="94">
        <v>1</v>
      </c>
      <c r="K25" s="38">
        <v>23</v>
      </c>
      <c r="L25" s="99">
        <v>555.90000000000009</v>
      </c>
      <c r="N25" s="115" t="s">
        <v>223</v>
      </c>
      <c r="O25" s="125">
        <f t="shared" si="3"/>
        <v>-29.566666666666659</v>
      </c>
      <c r="P25" s="119">
        <v>3</v>
      </c>
      <c r="Q25" s="107">
        <v>-88.699999999999974</v>
      </c>
    </row>
    <row r="26" spans="1:17" x14ac:dyDescent="0.4">
      <c r="A26" s="58" t="s">
        <v>152</v>
      </c>
      <c r="B26" s="142">
        <v>116000</v>
      </c>
      <c r="C26" s="143"/>
      <c r="E26" s="63" t="s">
        <v>94</v>
      </c>
      <c r="F26" s="60" t="s">
        <v>49</v>
      </c>
      <c r="G26" s="47">
        <v>2</v>
      </c>
      <c r="H26" s="133">
        <f t="shared" si="0"/>
        <v>3.3057851239669421E-3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5.5772448410485224E-4</v>
      </c>
      <c r="E27" s="63" t="s">
        <v>76</v>
      </c>
      <c r="F27" s="60" t="s">
        <v>31</v>
      </c>
      <c r="G27" s="47">
        <v>1</v>
      </c>
      <c r="H27" s="133">
        <f t="shared" si="0"/>
        <v>1.652892561983471E-3</v>
      </c>
      <c r="I27" s="94">
        <v>8</v>
      </c>
      <c r="K27" s="38">
        <v>25</v>
      </c>
      <c r="L27" s="99">
        <v>655.20000000000005</v>
      </c>
    </row>
    <row r="28" spans="1:17" x14ac:dyDescent="0.4">
      <c r="E28" s="63" t="s">
        <v>85</v>
      </c>
      <c r="F28" s="60" t="s">
        <v>40</v>
      </c>
      <c r="G28" s="47">
        <v>1</v>
      </c>
      <c r="H28" s="133">
        <f t="shared" si="0"/>
        <v>1.652892561983471E-3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88</v>
      </c>
      <c r="F29" s="60" t="s">
        <v>43</v>
      </c>
      <c r="G29" s="47">
        <v>1</v>
      </c>
      <c r="H29" s="133">
        <f t="shared" si="0"/>
        <v>1.652892561983471E-3</v>
      </c>
      <c r="I29" s="94">
        <v>6</v>
      </c>
      <c r="K29" s="38">
        <v>27</v>
      </c>
      <c r="L29" s="99">
        <v>596.30000000000007</v>
      </c>
    </row>
    <row r="30" spans="1:17" x14ac:dyDescent="0.4">
      <c r="E30" s="63" t="s">
        <v>96</v>
      </c>
      <c r="F30" s="60" t="s">
        <v>51</v>
      </c>
      <c r="G30" s="47">
        <v>1</v>
      </c>
      <c r="H30" s="133">
        <f t="shared" si="0"/>
        <v>1.652892561983471E-3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75</v>
      </c>
      <c r="F31" s="60" t="s">
        <v>30</v>
      </c>
      <c r="G31" s="47">
        <v>0</v>
      </c>
      <c r="H31" s="133">
        <f t="shared" si="0"/>
        <v>0</v>
      </c>
      <c r="I31" s="94">
        <v>7</v>
      </c>
      <c r="K31" s="38">
        <v>29</v>
      </c>
      <c r="L31" s="99">
        <v>703.1</v>
      </c>
    </row>
    <row r="32" spans="1:17" x14ac:dyDescent="0.4">
      <c r="E32" s="63" t="s">
        <v>77</v>
      </c>
      <c r="F32" s="60" t="s">
        <v>32</v>
      </c>
      <c r="G32" s="47">
        <v>0</v>
      </c>
      <c r="H32" s="133">
        <f t="shared" si="0"/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 t="shared" si="0"/>
        <v>0</v>
      </c>
      <c r="I33" s="94">
        <v>1</v>
      </c>
      <c r="K33" s="38">
        <v>31</v>
      </c>
      <c r="L33" s="99">
        <v>796.80000000000007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3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3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3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1259.3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  <row r="161" spans="11:12" x14ac:dyDescent="0.4">
      <c r="K161" s="38">
        <v>159</v>
      </c>
      <c r="L161" s="99">
        <v>1932.7000000000005</v>
      </c>
    </row>
    <row r="162" spans="11:12" x14ac:dyDescent="0.4">
      <c r="K162" s="38">
        <v>160</v>
      </c>
      <c r="L162" s="99">
        <v>1899.8000000000004</v>
      </c>
    </row>
    <row r="163" spans="11:12" x14ac:dyDescent="0.4">
      <c r="K163" s="38">
        <v>161</v>
      </c>
      <c r="L163" s="99">
        <v>1913.3000000000004</v>
      </c>
    </row>
    <row r="164" spans="11:12" x14ac:dyDescent="0.4">
      <c r="K164" s="38">
        <v>162</v>
      </c>
      <c r="L164" s="99">
        <v>1955.5000000000005</v>
      </c>
    </row>
    <row r="165" spans="11:12" x14ac:dyDescent="0.4">
      <c r="K165" s="38">
        <v>163</v>
      </c>
      <c r="L165" s="99">
        <v>1950.5000000000005</v>
      </c>
    </row>
    <row r="166" spans="11:12" x14ac:dyDescent="0.4">
      <c r="K166" s="38">
        <v>164</v>
      </c>
      <c r="L166" s="99">
        <v>1985.5000000000005</v>
      </c>
    </row>
    <row r="167" spans="11:12" x14ac:dyDescent="0.4">
      <c r="K167" s="38">
        <v>165</v>
      </c>
      <c r="L167" s="99">
        <v>1995.0000000000005</v>
      </c>
    </row>
    <row r="168" spans="11:12" x14ac:dyDescent="0.4">
      <c r="K168" s="38">
        <v>166</v>
      </c>
      <c r="L168" s="99">
        <v>1939.7000000000005</v>
      </c>
    </row>
    <row r="169" spans="11:12" x14ac:dyDescent="0.4">
      <c r="K169" s="38">
        <v>167</v>
      </c>
      <c r="L169" s="99">
        <v>1970.7000000000005</v>
      </c>
    </row>
    <row r="170" spans="11:12" x14ac:dyDescent="0.4">
      <c r="K170" s="38">
        <v>168</v>
      </c>
      <c r="L170" s="99">
        <v>1935.4000000000005</v>
      </c>
    </row>
    <row r="171" spans="11:12" x14ac:dyDescent="0.4">
      <c r="K171" s="38">
        <v>169</v>
      </c>
      <c r="L171" s="99">
        <v>1976.5000000000005</v>
      </c>
    </row>
    <row r="172" spans="11:12" x14ac:dyDescent="0.4">
      <c r="K172" s="38">
        <v>170</v>
      </c>
      <c r="L172" s="99">
        <v>2031.1000000000004</v>
      </c>
    </row>
    <row r="173" spans="11:12" x14ac:dyDescent="0.4">
      <c r="K173" s="38">
        <v>171</v>
      </c>
      <c r="L173" s="99">
        <v>2031.0000000000005</v>
      </c>
    </row>
    <row r="174" spans="11:12" x14ac:dyDescent="0.4">
      <c r="K174" s="38">
        <v>172</v>
      </c>
      <c r="L174" s="99">
        <v>2043.9000000000005</v>
      </c>
    </row>
    <row r="175" spans="11:12" x14ac:dyDescent="0.4">
      <c r="K175" s="38">
        <v>173</v>
      </c>
      <c r="L175" s="99">
        <v>2066.5000000000005</v>
      </c>
    </row>
    <row r="176" spans="11:12" x14ac:dyDescent="0.4">
      <c r="K176" s="38">
        <v>174</v>
      </c>
      <c r="L176" s="99">
        <v>2121.1000000000004</v>
      </c>
    </row>
    <row r="177" spans="11:12" x14ac:dyDescent="0.4">
      <c r="K177" s="38">
        <v>175</v>
      </c>
      <c r="L177" s="99">
        <v>2087.3000000000002</v>
      </c>
    </row>
    <row r="178" spans="11:12" x14ac:dyDescent="0.4">
      <c r="K178" s="38">
        <v>176</v>
      </c>
      <c r="L178" s="99">
        <v>2055.5</v>
      </c>
    </row>
    <row r="179" spans="11:12" x14ac:dyDescent="0.4">
      <c r="K179" s="38">
        <v>177</v>
      </c>
      <c r="L179" s="99">
        <v>2093.1</v>
      </c>
    </row>
    <row r="180" spans="11:12" x14ac:dyDescent="0.4">
      <c r="K180" s="38">
        <v>178</v>
      </c>
      <c r="L180" s="99">
        <v>2146.2999999999997</v>
      </c>
    </row>
    <row r="181" spans="11:12" x14ac:dyDescent="0.4">
      <c r="K181" s="38">
        <v>179</v>
      </c>
      <c r="L181" s="99">
        <v>2182.3999999999996</v>
      </c>
    </row>
    <row r="182" spans="11:12" x14ac:dyDescent="0.4">
      <c r="K182" s="38">
        <v>180</v>
      </c>
      <c r="L182" s="99">
        <v>2155.9999999999995</v>
      </c>
    </row>
    <row r="183" spans="11:12" x14ac:dyDescent="0.4">
      <c r="K183" s="38">
        <v>181</v>
      </c>
      <c r="L183" s="99">
        <v>2216.9999999999995</v>
      </c>
    </row>
    <row r="184" spans="11:12" x14ac:dyDescent="0.4">
      <c r="K184" s="38">
        <v>182</v>
      </c>
      <c r="L184" s="99">
        <v>2252.3999999999996</v>
      </c>
    </row>
    <row r="185" spans="11:12" x14ac:dyDescent="0.4">
      <c r="K185" s="38">
        <v>183</v>
      </c>
      <c r="L185" s="99">
        <v>2307.8999999999996</v>
      </c>
    </row>
    <row r="186" spans="11:12" x14ac:dyDescent="0.4">
      <c r="K186" s="38">
        <v>184</v>
      </c>
      <c r="L186" s="99">
        <v>2341.1999999999998</v>
      </c>
    </row>
    <row r="187" spans="11:12" x14ac:dyDescent="0.4">
      <c r="K187" s="38">
        <v>185</v>
      </c>
      <c r="L187" s="99">
        <v>2314.3999999999996</v>
      </c>
    </row>
    <row r="188" spans="11:12" x14ac:dyDescent="0.4">
      <c r="K188" s="38">
        <v>186</v>
      </c>
      <c r="L188" s="99">
        <v>2307.6999999999998</v>
      </c>
    </row>
    <row r="189" spans="11:12" x14ac:dyDescent="0.4">
      <c r="K189" s="38">
        <v>187</v>
      </c>
      <c r="L189" s="99">
        <v>2348.1</v>
      </c>
    </row>
    <row r="190" spans="11:12" x14ac:dyDescent="0.4">
      <c r="K190" s="38">
        <v>188</v>
      </c>
      <c r="L190" s="99">
        <v>2290.1</v>
      </c>
    </row>
    <row r="191" spans="11:12" x14ac:dyDescent="0.4">
      <c r="K191" s="38">
        <v>189</v>
      </c>
      <c r="L191" s="99">
        <v>2337.6</v>
      </c>
    </row>
    <row r="192" spans="11:12" x14ac:dyDescent="0.4">
      <c r="K192" s="38">
        <v>190</v>
      </c>
      <c r="L192" s="99">
        <v>2335.6999999999998</v>
      </c>
    </row>
    <row r="193" spans="11:12" x14ac:dyDescent="0.4">
      <c r="K193" s="38">
        <v>191</v>
      </c>
      <c r="L193" s="99">
        <v>2390.1</v>
      </c>
    </row>
    <row r="194" spans="11:12" x14ac:dyDescent="0.4">
      <c r="K194" s="38">
        <v>192</v>
      </c>
      <c r="L194" s="99">
        <v>2392.9</v>
      </c>
    </row>
    <row r="195" spans="11:12" x14ac:dyDescent="0.4">
      <c r="K195" s="38">
        <v>193</v>
      </c>
      <c r="L195" s="99">
        <v>2389.8000000000002</v>
      </c>
    </row>
    <row r="196" spans="11:12" x14ac:dyDescent="0.4">
      <c r="K196" s="38">
        <v>194</v>
      </c>
      <c r="L196" s="99">
        <v>2355.3000000000002</v>
      </c>
    </row>
    <row r="197" spans="11:12" x14ac:dyDescent="0.4">
      <c r="K197" s="38">
        <v>195</v>
      </c>
      <c r="L197" s="99">
        <v>2406.4</v>
      </c>
    </row>
    <row r="198" spans="11:12" x14ac:dyDescent="0.4">
      <c r="K198" s="38">
        <v>196</v>
      </c>
      <c r="L198" s="99">
        <v>2442.9</v>
      </c>
    </row>
    <row r="199" spans="11:12" x14ac:dyDescent="0.4">
      <c r="K199" s="38">
        <v>197</v>
      </c>
      <c r="L199" s="99">
        <v>2485.4</v>
      </c>
    </row>
    <row r="200" spans="11:12" x14ac:dyDescent="0.4">
      <c r="K200" s="38">
        <v>198</v>
      </c>
      <c r="L200" s="99">
        <v>2519.9</v>
      </c>
    </row>
    <row r="201" spans="11:12" x14ac:dyDescent="0.4">
      <c r="K201" s="38">
        <v>199</v>
      </c>
      <c r="L201" s="99">
        <v>2503.3000000000002</v>
      </c>
    </row>
    <row r="202" spans="11:12" x14ac:dyDescent="0.4">
      <c r="K202" s="38">
        <v>200</v>
      </c>
      <c r="L202" s="99">
        <v>2466.9</v>
      </c>
    </row>
    <row r="203" spans="11:12" x14ac:dyDescent="0.4">
      <c r="K203" s="38">
        <v>201</v>
      </c>
      <c r="L203" s="99">
        <v>2528.5</v>
      </c>
    </row>
    <row r="204" spans="11:12" x14ac:dyDescent="0.4">
      <c r="K204" s="38">
        <v>202</v>
      </c>
      <c r="L204" s="99">
        <v>2521.3000000000002</v>
      </c>
    </row>
    <row r="205" spans="11:12" x14ac:dyDescent="0.4">
      <c r="K205" s="38">
        <v>203</v>
      </c>
      <c r="L205" s="99">
        <v>2568.6000000000004</v>
      </c>
    </row>
    <row r="206" spans="11:12" x14ac:dyDescent="0.4">
      <c r="K206" s="38">
        <v>204</v>
      </c>
      <c r="L206" s="99">
        <v>2629.6000000000004</v>
      </c>
    </row>
    <row r="207" spans="11:12" x14ac:dyDescent="0.4">
      <c r="K207" s="38">
        <v>205</v>
      </c>
      <c r="L207" s="99">
        <v>2674.5000000000005</v>
      </c>
    </row>
    <row r="208" spans="11:12" x14ac:dyDescent="0.4">
      <c r="K208" s="38">
        <v>206</v>
      </c>
      <c r="L208" s="99">
        <v>2726.5000000000005</v>
      </c>
    </row>
    <row r="209" spans="11:12" x14ac:dyDescent="0.4">
      <c r="K209" s="38">
        <v>207</v>
      </c>
      <c r="L209" s="99">
        <v>2661.5000000000005</v>
      </c>
    </row>
    <row r="210" spans="11:12" x14ac:dyDescent="0.4">
      <c r="K210" s="38">
        <v>208</v>
      </c>
      <c r="L210" s="99">
        <v>2614.7000000000003</v>
      </c>
    </row>
    <row r="211" spans="11:12" x14ac:dyDescent="0.4">
      <c r="K211" s="38">
        <v>209</v>
      </c>
      <c r="L211" s="99">
        <v>2661.7000000000003</v>
      </c>
    </row>
    <row r="212" spans="11:12" x14ac:dyDescent="0.4">
      <c r="K212" s="38">
        <v>210</v>
      </c>
      <c r="L212" s="99">
        <v>2614.7000000000003</v>
      </c>
    </row>
    <row r="213" spans="11:12" x14ac:dyDescent="0.4">
      <c r="K213" s="38">
        <v>211</v>
      </c>
      <c r="L213" s="99">
        <v>2588.4</v>
      </c>
    </row>
    <row r="214" spans="11:12" x14ac:dyDescent="0.4">
      <c r="K214" s="38">
        <v>212</v>
      </c>
      <c r="L214" s="99">
        <v>2645.9</v>
      </c>
    </row>
    <row r="215" spans="11:12" x14ac:dyDescent="0.4">
      <c r="K215" s="38">
        <v>213</v>
      </c>
      <c r="L215" s="99">
        <v>2670.7000000000003</v>
      </c>
    </row>
    <row r="216" spans="11:12" x14ac:dyDescent="0.4">
      <c r="K216" s="38">
        <v>214</v>
      </c>
      <c r="L216" s="99">
        <v>2623.6000000000004</v>
      </c>
    </row>
    <row r="217" spans="11:12" x14ac:dyDescent="0.4">
      <c r="K217" s="38">
        <v>215</v>
      </c>
      <c r="L217" s="99">
        <v>2676.6000000000004</v>
      </c>
    </row>
    <row r="218" spans="11:12" x14ac:dyDescent="0.4">
      <c r="K218" s="38">
        <v>216</v>
      </c>
      <c r="L218" s="99">
        <v>2671.2000000000003</v>
      </c>
    </row>
    <row r="219" spans="11:12" x14ac:dyDescent="0.4">
      <c r="K219" s="38">
        <v>217</v>
      </c>
      <c r="L219" s="99">
        <v>2672.1000000000004</v>
      </c>
    </row>
    <row r="220" spans="11:12" x14ac:dyDescent="0.4">
      <c r="K220" s="38">
        <v>218</v>
      </c>
      <c r="L220" s="99">
        <v>2684.2000000000003</v>
      </c>
    </row>
    <row r="221" spans="11:12" x14ac:dyDescent="0.4">
      <c r="K221" s="38">
        <v>219</v>
      </c>
      <c r="L221" s="99">
        <v>2746.9</v>
      </c>
    </row>
  </sheetData>
  <sortState xmlns:xlrd2="http://schemas.microsoft.com/office/spreadsheetml/2017/richdata2"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C09F2-F697-410E-904A-9D29E33EB19A}">
  <sheetPr codeName="Sheet9"/>
  <dimension ref="A1:Q16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163</v>
      </c>
      <c r="C2" s="151"/>
      <c r="E2" s="62" t="s">
        <v>67</v>
      </c>
      <c r="F2" s="59" t="s">
        <v>23</v>
      </c>
      <c r="G2" s="46">
        <v>267</v>
      </c>
      <c r="H2" s="132">
        <f t="shared" ref="H2:H33" si="0">IF(B$17=0,0,G2/B$17)</f>
        <v>0.71967654986522911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1">IF(P2=0,0,Q2/P2)</f>
        <v>703.68098159509202</v>
      </c>
      <c r="P2" s="118">
        <v>163</v>
      </c>
      <c r="Q2" s="102">
        <v>114700</v>
      </c>
    </row>
    <row r="3" spans="1:17" x14ac:dyDescent="0.4">
      <c r="A3" s="55" t="s">
        <v>8</v>
      </c>
      <c r="B3" s="152">
        <v>1341</v>
      </c>
      <c r="C3" s="153"/>
      <c r="E3" s="63" t="s">
        <v>65</v>
      </c>
      <c r="F3" s="60" t="s">
        <v>21</v>
      </c>
      <c r="G3" s="47">
        <v>219</v>
      </c>
      <c r="H3" s="133">
        <f t="shared" si="0"/>
        <v>0.59029649595687328</v>
      </c>
      <c r="I3" s="94">
        <v>3</v>
      </c>
      <c r="K3" s="38">
        <v>1</v>
      </c>
      <c r="L3" s="99">
        <v>45.5</v>
      </c>
      <c r="N3" s="115" t="s">
        <v>133</v>
      </c>
      <c r="O3" s="122">
        <f t="shared" si="1"/>
        <v>-1634.1772151898733</v>
      </c>
      <c r="P3" s="119">
        <v>158</v>
      </c>
      <c r="Q3" s="103">
        <v>-258200</v>
      </c>
    </row>
    <row r="4" spans="1:17" x14ac:dyDescent="0.4">
      <c r="A4" s="55" t="s">
        <v>6</v>
      </c>
      <c r="B4" s="154">
        <v>-539.20000000000005</v>
      </c>
      <c r="C4" s="155"/>
      <c r="E4" s="63" t="s">
        <v>73</v>
      </c>
      <c r="F4" s="60" t="s">
        <v>28</v>
      </c>
      <c r="G4" s="47">
        <v>165</v>
      </c>
      <c r="H4" s="133">
        <f t="shared" si="0"/>
        <v>0.44474393530997303</v>
      </c>
      <c r="I4" s="94">
        <v>13</v>
      </c>
      <c r="K4" s="38">
        <v>2</v>
      </c>
      <c r="L4" s="99">
        <v>6.2999999999999972</v>
      </c>
      <c r="N4" s="115" t="s">
        <v>134</v>
      </c>
      <c r="O4" s="122">
        <f t="shared" si="1"/>
        <v>-456.29139072847681</v>
      </c>
      <c r="P4" s="119">
        <v>151</v>
      </c>
      <c r="Q4" s="103">
        <v>-68900</v>
      </c>
    </row>
    <row r="5" spans="1:17" x14ac:dyDescent="0.4">
      <c r="A5" s="55" t="s">
        <v>7</v>
      </c>
      <c r="B5" s="156">
        <f>IF(B$2=0,0,B$4/B$2)</f>
        <v>-3.3079754601226998</v>
      </c>
      <c r="C5" s="157"/>
      <c r="E5" s="63" t="s">
        <v>245</v>
      </c>
      <c r="F5" s="60" t="s">
        <v>246</v>
      </c>
      <c r="G5" s="47">
        <v>157</v>
      </c>
      <c r="H5" s="133">
        <f t="shared" si="0"/>
        <v>0.42318059299191374</v>
      </c>
      <c r="I5" s="94">
        <v>5</v>
      </c>
      <c r="K5" s="38">
        <v>3</v>
      </c>
      <c r="L5" s="99">
        <v>-47.300000000000004</v>
      </c>
      <c r="N5" s="115" t="s">
        <v>135</v>
      </c>
      <c r="O5" s="122">
        <f t="shared" si="1"/>
        <v>-377.20588235294116</v>
      </c>
      <c r="P5" s="119">
        <v>136</v>
      </c>
      <c r="Q5" s="103">
        <v>-51300</v>
      </c>
    </row>
    <row r="6" spans="1:17" x14ac:dyDescent="0.4">
      <c r="A6" s="55" t="s">
        <v>1</v>
      </c>
      <c r="B6" s="146">
        <f>IF(B$2=0,0,(B$7*1+B$8*2+B$9*3)/B$2)</f>
        <v>2.0797546012269938</v>
      </c>
      <c r="C6" s="147"/>
      <c r="E6" s="63" t="s">
        <v>68</v>
      </c>
      <c r="F6" s="60" t="s">
        <v>24</v>
      </c>
      <c r="G6" s="47">
        <v>142</v>
      </c>
      <c r="H6" s="133">
        <f t="shared" si="0"/>
        <v>0.38274932614555257</v>
      </c>
      <c r="I6" s="94">
        <v>4</v>
      </c>
      <c r="K6" s="38">
        <v>4</v>
      </c>
      <c r="L6" s="99">
        <v>13.599999999999994</v>
      </c>
      <c r="N6" s="115" t="s">
        <v>136</v>
      </c>
      <c r="O6" s="122">
        <f t="shared" si="1"/>
        <v>148.33333333333334</v>
      </c>
      <c r="P6" s="119">
        <v>120</v>
      </c>
      <c r="Q6" s="103">
        <v>17800</v>
      </c>
    </row>
    <row r="7" spans="1:17" x14ac:dyDescent="0.4">
      <c r="A7" s="55" t="s">
        <v>2</v>
      </c>
      <c r="B7" s="47">
        <v>44</v>
      </c>
      <c r="C7" s="39">
        <f t="shared" ref="C7:C12" si="2">IF(B$2=0,0,B7/B$2)</f>
        <v>0.26993865030674846</v>
      </c>
      <c r="E7" s="63" t="s">
        <v>69</v>
      </c>
      <c r="F7" s="60" t="s">
        <v>12</v>
      </c>
      <c r="G7" s="47">
        <v>133</v>
      </c>
      <c r="H7" s="133">
        <f t="shared" si="0"/>
        <v>0.35849056603773582</v>
      </c>
      <c r="I7" s="94">
        <v>3</v>
      </c>
      <c r="K7" s="38">
        <v>5</v>
      </c>
      <c r="L7" s="99">
        <v>-16.600000000000005</v>
      </c>
      <c r="N7" s="116" t="s">
        <v>137</v>
      </c>
      <c r="O7" s="123">
        <f t="shared" si="1"/>
        <v>-143.92523364485982</v>
      </c>
      <c r="P7" s="120">
        <v>107</v>
      </c>
      <c r="Q7" s="104">
        <v>-15400</v>
      </c>
    </row>
    <row r="8" spans="1:17" x14ac:dyDescent="0.4">
      <c r="A8" s="55" t="s">
        <v>3</v>
      </c>
      <c r="B8" s="47">
        <v>62</v>
      </c>
      <c r="C8" s="39">
        <f t="shared" si="2"/>
        <v>0.38036809815950923</v>
      </c>
      <c r="E8" s="63" t="s">
        <v>70</v>
      </c>
      <c r="F8" s="60" t="s">
        <v>25</v>
      </c>
      <c r="G8" s="47">
        <v>81</v>
      </c>
      <c r="H8" s="133">
        <f t="shared" si="0"/>
        <v>0.21832884097035041</v>
      </c>
      <c r="I8" s="94">
        <v>1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57</v>
      </c>
      <c r="C9" s="40">
        <f t="shared" si="2"/>
        <v>0.34969325153374231</v>
      </c>
      <c r="E9" s="63" t="s">
        <v>66</v>
      </c>
      <c r="F9" s="60" t="s">
        <v>22</v>
      </c>
      <c r="G9" s="47">
        <v>52</v>
      </c>
      <c r="H9" s="133">
        <f t="shared" si="0"/>
        <v>0.14016172506738545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22</v>
      </c>
      <c r="C10" s="40">
        <f t="shared" si="2"/>
        <v>0.13496932515337423</v>
      </c>
      <c r="E10" s="63" t="s">
        <v>71</v>
      </c>
      <c r="F10" s="60" t="s">
        <v>26</v>
      </c>
      <c r="G10" s="47">
        <v>48</v>
      </c>
      <c r="H10" s="133">
        <f t="shared" si="0"/>
        <v>0.1293800539083558</v>
      </c>
      <c r="I10" s="94">
        <v>3</v>
      </c>
      <c r="K10" s="38">
        <v>8</v>
      </c>
      <c r="L10" s="99">
        <v>-49.6</v>
      </c>
      <c r="N10" s="114" t="s">
        <v>164</v>
      </c>
      <c r="O10" s="124">
        <f>IF(P10=0,0,Q10/P10)</f>
        <v>-6.2922077922077939</v>
      </c>
      <c r="P10" s="118">
        <v>77</v>
      </c>
      <c r="Q10" s="106">
        <v>-484.50000000000011</v>
      </c>
    </row>
    <row r="11" spans="1:17" x14ac:dyDescent="0.4">
      <c r="A11" s="56" t="s">
        <v>140</v>
      </c>
      <c r="B11" s="48">
        <v>16</v>
      </c>
      <c r="C11" s="40">
        <f t="shared" si="2"/>
        <v>9.815950920245399E-2</v>
      </c>
      <c r="E11" s="63" t="s">
        <v>90</v>
      </c>
      <c r="F11" s="60" t="s">
        <v>45</v>
      </c>
      <c r="G11" s="47">
        <v>43</v>
      </c>
      <c r="H11" s="133">
        <f t="shared" si="0"/>
        <v>0.11590296495956873</v>
      </c>
      <c r="I11" s="94">
        <v>9</v>
      </c>
      <c r="K11" s="38">
        <v>9</v>
      </c>
      <c r="L11" s="99">
        <v>-79.5</v>
      </c>
      <c r="N11" s="115" t="s">
        <v>165</v>
      </c>
      <c r="O11" s="125">
        <f>IF(P11=0,0,Q11/P11)</f>
        <v>-4.3977777777777769</v>
      </c>
      <c r="P11" s="119">
        <v>45</v>
      </c>
      <c r="Q11" s="107">
        <v>-197.89999999999998</v>
      </c>
    </row>
    <row r="12" spans="1:17" x14ac:dyDescent="0.4">
      <c r="A12" s="57" t="s">
        <v>160</v>
      </c>
      <c r="B12" s="49">
        <v>9</v>
      </c>
      <c r="C12" s="42">
        <f t="shared" si="2"/>
        <v>5.5214723926380369E-2</v>
      </c>
      <c r="E12" s="63" t="s">
        <v>87</v>
      </c>
      <c r="F12" s="60" t="s">
        <v>42</v>
      </c>
      <c r="G12" s="47">
        <v>20</v>
      </c>
      <c r="H12" s="133">
        <f t="shared" si="0"/>
        <v>5.3908355795148251E-2</v>
      </c>
      <c r="I12" s="94">
        <v>9</v>
      </c>
      <c r="K12" s="38">
        <v>10</v>
      </c>
      <c r="L12" s="99">
        <v>-80.900000000000006</v>
      </c>
      <c r="N12" s="116" t="s">
        <v>166</v>
      </c>
      <c r="O12" s="126">
        <f>IF(P12=0,0,Q12/P12)</f>
        <v>3.4926829268292678</v>
      </c>
      <c r="P12" s="120">
        <v>41</v>
      </c>
      <c r="Q12" s="108">
        <v>143.19999999999999</v>
      </c>
    </row>
    <row r="13" spans="1:17" x14ac:dyDescent="0.4">
      <c r="A13" s="58" t="s">
        <v>122</v>
      </c>
      <c r="B13" s="50">
        <v>397</v>
      </c>
      <c r="C13" s="44">
        <f>IF(B$3=0,0,B13/B$3)</f>
        <v>0.29604772557792691</v>
      </c>
      <c r="E13" s="63" t="s">
        <v>72</v>
      </c>
      <c r="F13" s="60" t="s">
        <v>27</v>
      </c>
      <c r="G13" s="47">
        <v>18</v>
      </c>
      <c r="H13" s="133">
        <f t="shared" si="0"/>
        <v>4.8517520215633422E-2</v>
      </c>
      <c r="I13" s="94">
        <v>10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232</v>
      </c>
      <c r="C14" s="39">
        <f>IF(B$3=0,0,B14/B$3)</f>
        <v>0.17300521998508575</v>
      </c>
      <c r="E14" s="63" t="s">
        <v>84</v>
      </c>
      <c r="F14" s="60" t="s">
        <v>39</v>
      </c>
      <c r="G14" s="47">
        <v>15</v>
      </c>
      <c r="H14" s="133">
        <f t="shared" si="0"/>
        <v>4.0431266846361183E-2</v>
      </c>
      <c r="I14" s="94">
        <v>10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232</v>
      </c>
      <c r="C15" s="37">
        <f>IF(B$13=0,0,B15/B$13)</f>
        <v>0.58438287153652391</v>
      </c>
      <c r="E15" s="63" t="s">
        <v>82</v>
      </c>
      <c r="F15" s="60" t="s">
        <v>37</v>
      </c>
      <c r="G15" s="47">
        <v>11</v>
      </c>
      <c r="H15" s="133">
        <f t="shared" si="0"/>
        <v>2.9649595687331536E-2</v>
      </c>
      <c r="I15" s="94">
        <v>5</v>
      </c>
      <c r="K15" s="38">
        <v>13</v>
      </c>
      <c r="L15" s="99">
        <v>-81.900000000000006</v>
      </c>
      <c r="N15" s="114" t="s">
        <v>184</v>
      </c>
      <c r="O15" s="124">
        <f t="shared" ref="O15:O22" si="3">IF(P15=0,0,Q15/P15)</f>
        <v>21.07</v>
      </c>
      <c r="P15" s="118">
        <v>10</v>
      </c>
      <c r="Q15" s="106">
        <v>210.70000000000002</v>
      </c>
    </row>
    <row r="16" spans="1:17" x14ac:dyDescent="0.4">
      <c r="A16" s="54" t="s">
        <v>125</v>
      </c>
      <c r="B16" s="46">
        <v>73</v>
      </c>
      <c r="C16" s="37">
        <f>IF(B$14=0,0,B16/B$14)</f>
        <v>0.31465517241379309</v>
      </c>
      <c r="E16" s="63" t="s">
        <v>79</v>
      </c>
      <c r="F16" s="60" t="s">
        <v>34</v>
      </c>
      <c r="G16" s="47">
        <v>8</v>
      </c>
      <c r="H16" s="133">
        <f t="shared" si="0"/>
        <v>2.15633423180593E-2</v>
      </c>
      <c r="I16" s="94">
        <v>10</v>
      </c>
      <c r="K16" s="38">
        <v>14</v>
      </c>
      <c r="L16" s="99">
        <v>-25.600000000000009</v>
      </c>
      <c r="N16" s="115" t="s">
        <v>173</v>
      </c>
      <c r="O16" s="125">
        <f t="shared" si="3"/>
        <v>9.2423076923076923</v>
      </c>
      <c r="P16" s="119">
        <v>26</v>
      </c>
      <c r="Q16" s="107">
        <v>240.29999999999998</v>
      </c>
    </row>
    <row r="17" spans="1:17" x14ac:dyDescent="0.4">
      <c r="A17" s="54" t="s">
        <v>10</v>
      </c>
      <c r="B17" s="46">
        <f>B19+B18</f>
        <v>371</v>
      </c>
      <c r="C17" s="37">
        <f>IF(B$3=0,0,B17/B$3)</f>
        <v>0.27665920954511558</v>
      </c>
      <c r="E17" s="63" t="s">
        <v>180</v>
      </c>
      <c r="F17" s="60" t="s">
        <v>181</v>
      </c>
      <c r="G17" s="47">
        <v>8</v>
      </c>
      <c r="H17" s="133">
        <f t="shared" si="0"/>
        <v>2.15633423180593E-2</v>
      </c>
      <c r="I17" s="94">
        <v>4</v>
      </c>
      <c r="K17" s="38">
        <v>15</v>
      </c>
      <c r="L17" s="99">
        <v>47.999999999999986</v>
      </c>
      <c r="N17" s="115" t="s">
        <v>129</v>
      </c>
      <c r="O17" s="125">
        <f t="shared" si="3"/>
        <v>2.8089552238805955</v>
      </c>
      <c r="P17" s="119">
        <v>67</v>
      </c>
      <c r="Q17" s="107">
        <v>188.1999999999999</v>
      </c>
    </row>
    <row r="18" spans="1:17" x14ac:dyDescent="0.4">
      <c r="A18" s="55" t="s">
        <v>12</v>
      </c>
      <c r="B18" s="47">
        <v>165</v>
      </c>
      <c r="C18" s="39">
        <f>IF(B$17=0,0,B18/B$17)</f>
        <v>0.44474393530997303</v>
      </c>
      <c r="E18" s="63" t="s">
        <v>80</v>
      </c>
      <c r="F18" s="60" t="s">
        <v>35</v>
      </c>
      <c r="G18" s="47">
        <v>7</v>
      </c>
      <c r="H18" s="133">
        <f t="shared" si="0"/>
        <v>1.8867924528301886E-2</v>
      </c>
      <c r="I18" s="94">
        <v>5</v>
      </c>
      <c r="K18" s="38">
        <v>16</v>
      </c>
      <c r="L18" s="99">
        <v>41.699999999999989</v>
      </c>
      <c r="N18" s="115" t="s">
        <v>177</v>
      </c>
      <c r="O18" s="125">
        <f t="shared" si="3"/>
        <v>0.50909090909090871</v>
      </c>
      <c r="P18" s="119">
        <v>33</v>
      </c>
      <c r="Q18" s="107">
        <v>16.799999999999986</v>
      </c>
    </row>
    <row r="19" spans="1:17" x14ac:dyDescent="0.4">
      <c r="A19" s="55" t="s">
        <v>11</v>
      </c>
      <c r="B19" s="47">
        <v>206</v>
      </c>
      <c r="C19" s="39">
        <f>IF(B$17=0,0,B19/B$17)</f>
        <v>0.55525606469002697</v>
      </c>
      <c r="E19" s="63" t="s">
        <v>92</v>
      </c>
      <c r="F19" s="60" t="s">
        <v>47</v>
      </c>
      <c r="G19" s="47">
        <v>7</v>
      </c>
      <c r="H19" s="133">
        <f t="shared" si="0"/>
        <v>1.8867924528301886E-2</v>
      </c>
      <c r="I19" s="94">
        <v>6</v>
      </c>
      <c r="K19" s="38">
        <v>17</v>
      </c>
      <c r="L19" s="99">
        <v>94.6</v>
      </c>
      <c r="N19" s="115" t="s">
        <v>171</v>
      </c>
      <c r="O19" s="125">
        <f t="shared" si="3"/>
        <v>-0.24736842105262649</v>
      </c>
      <c r="P19" s="119">
        <v>38</v>
      </c>
      <c r="Q19" s="107">
        <v>-9.3999999999998067</v>
      </c>
    </row>
    <row r="20" spans="1:17" x14ac:dyDescent="0.4">
      <c r="A20" s="55" t="s">
        <v>13</v>
      </c>
      <c r="B20" s="47">
        <v>246</v>
      </c>
      <c r="C20" s="39">
        <f>IF(B$3=0,0,B20/B$3)</f>
        <v>0.18344519015659955</v>
      </c>
      <c r="E20" s="63" t="s">
        <v>76</v>
      </c>
      <c r="F20" s="60" t="s">
        <v>31</v>
      </c>
      <c r="G20" s="47">
        <v>4</v>
      </c>
      <c r="H20" s="133">
        <f t="shared" si="0"/>
        <v>1.078167115902965E-2</v>
      </c>
      <c r="I20" s="94">
        <v>3</v>
      </c>
      <c r="K20" s="38">
        <v>18</v>
      </c>
      <c r="L20" s="99">
        <v>116.69999999999999</v>
      </c>
      <c r="N20" s="115" t="s">
        <v>172</v>
      </c>
      <c r="O20" s="125">
        <f t="shared" si="3"/>
        <v>-0.40270270270270153</v>
      </c>
      <c r="P20" s="119">
        <v>37</v>
      </c>
      <c r="Q20" s="107">
        <v>-14.899999999999956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74</v>
      </c>
      <c r="F21" s="60" t="s">
        <v>29</v>
      </c>
      <c r="G21" s="47">
        <v>3</v>
      </c>
      <c r="H21" s="133">
        <f t="shared" si="0"/>
        <v>8.0862533692722376E-3</v>
      </c>
      <c r="I21" s="94">
        <v>4</v>
      </c>
      <c r="K21" s="38">
        <v>19</v>
      </c>
      <c r="L21" s="99">
        <v>138.79999999999998</v>
      </c>
      <c r="N21" s="115" t="s">
        <v>200</v>
      </c>
      <c r="O21" s="125">
        <f t="shared" si="3"/>
        <v>-5.5000000000000018</v>
      </c>
      <c r="P21" s="119">
        <v>2</v>
      </c>
      <c r="Q21" s="107">
        <v>-11.000000000000004</v>
      </c>
    </row>
    <row r="22" spans="1:17" x14ac:dyDescent="0.4">
      <c r="A22" s="55" t="s">
        <v>192</v>
      </c>
      <c r="B22" s="47">
        <v>24</v>
      </c>
      <c r="C22" s="135">
        <v>6</v>
      </c>
      <c r="E22" s="63" t="s">
        <v>75</v>
      </c>
      <c r="F22" s="60" t="s">
        <v>30</v>
      </c>
      <c r="G22" s="47">
        <v>2</v>
      </c>
      <c r="H22" s="133">
        <f t="shared" si="0"/>
        <v>5.3908355795148251E-3</v>
      </c>
      <c r="I22" s="94">
        <v>5</v>
      </c>
      <c r="K22" s="38">
        <v>20</v>
      </c>
      <c r="L22" s="99">
        <v>164.49999999999997</v>
      </c>
      <c r="N22" s="115" t="s">
        <v>127</v>
      </c>
      <c r="O22" s="125">
        <f t="shared" si="3"/>
        <v>-19.807964601769918</v>
      </c>
      <c r="P22" s="119">
        <v>113</v>
      </c>
      <c r="Q22" s="107">
        <v>-2238.3000000000006</v>
      </c>
    </row>
    <row r="23" spans="1:17" x14ac:dyDescent="0.4">
      <c r="A23" s="55" t="s">
        <v>5</v>
      </c>
      <c r="B23" s="51">
        <f>IF(B$17=0,0,C23/B$17)</f>
        <v>8929.380053908355</v>
      </c>
      <c r="C23" s="41">
        <v>3312800</v>
      </c>
      <c r="E23" s="63" t="s">
        <v>78</v>
      </c>
      <c r="F23" s="60" t="s">
        <v>33</v>
      </c>
      <c r="G23" s="47">
        <v>1</v>
      </c>
      <c r="H23" s="133">
        <f t="shared" si="0"/>
        <v>2.6954177897574125E-3</v>
      </c>
      <c r="I23" s="94">
        <v>8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-7653.6585365853662</v>
      </c>
      <c r="C24" s="45">
        <v>-1882800</v>
      </c>
      <c r="E24" s="63" t="s">
        <v>85</v>
      </c>
      <c r="F24" s="60" t="s">
        <v>40</v>
      </c>
      <c r="G24" s="47">
        <v>1</v>
      </c>
      <c r="H24" s="133">
        <f t="shared" si="0"/>
        <v>2.6954177897574125E-3</v>
      </c>
      <c r="I24" s="94">
        <v>3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89</v>
      </c>
      <c r="F25" s="60" t="s">
        <v>44</v>
      </c>
      <c r="G25" s="47">
        <v>1</v>
      </c>
      <c r="H25" s="133">
        <f t="shared" si="0"/>
        <v>2.6954177897574125E-3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107600</v>
      </c>
      <c r="C26" s="143"/>
      <c r="E26" s="63" t="s">
        <v>93</v>
      </c>
      <c r="F26" s="60" t="s">
        <v>48</v>
      </c>
      <c r="G26" s="47">
        <v>1</v>
      </c>
      <c r="H26" s="133">
        <f t="shared" si="0"/>
        <v>2.6954177897574125E-3</v>
      </c>
      <c r="I26" s="94">
        <v>5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6</v>
      </c>
      <c r="C27" s="42">
        <f>IF(B$3=0,0,B27/B$3)</f>
        <v>4.4742729306487695E-3</v>
      </c>
      <c r="E27" s="63" t="s">
        <v>94</v>
      </c>
      <c r="F27" s="60" t="s">
        <v>49</v>
      </c>
      <c r="G27" s="47">
        <v>1</v>
      </c>
      <c r="H27" s="133">
        <f t="shared" si="0"/>
        <v>2.6954177897574125E-3</v>
      </c>
      <c r="I27" s="94">
        <v>6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 t="shared" si="0"/>
        <v>2.6954177897574125E-3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 t="shared" si="0"/>
        <v>0</v>
      </c>
      <c r="I29" s="94">
        <v>1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 t="shared" si="0"/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 t="shared" si="0"/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 t="shared" si="0"/>
        <v>0</v>
      </c>
      <c r="I32" s="94">
        <v>5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 t="shared" si="0"/>
        <v>0</v>
      </c>
      <c r="I33" s="94">
        <v>7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 t="shared" ref="H34:H65" si="4">IF(B$17=0,0,G34/B$17)</f>
        <v>0</v>
      </c>
      <c r="I34" s="94">
        <v>5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3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3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3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  <row r="133" spans="11:12" x14ac:dyDescent="0.4">
      <c r="K133" s="38">
        <v>131</v>
      </c>
      <c r="L133" s="99">
        <v>-323.3</v>
      </c>
    </row>
    <row r="134" spans="11:12" x14ac:dyDescent="0.4">
      <c r="K134" s="38">
        <v>132</v>
      </c>
      <c r="L134" s="99">
        <v>-347.8</v>
      </c>
    </row>
    <row r="135" spans="11:12" x14ac:dyDescent="0.4">
      <c r="K135" s="38">
        <v>133</v>
      </c>
      <c r="L135" s="99">
        <v>-403.7</v>
      </c>
    </row>
    <row r="136" spans="11:12" x14ac:dyDescent="0.4">
      <c r="K136" s="38">
        <v>134</v>
      </c>
      <c r="L136" s="99">
        <v>-341.2</v>
      </c>
    </row>
    <row r="137" spans="11:12" x14ac:dyDescent="0.4">
      <c r="K137" s="38">
        <v>135</v>
      </c>
      <c r="L137" s="99">
        <v>-373.3</v>
      </c>
    </row>
    <row r="138" spans="11:12" x14ac:dyDescent="0.4">
      <c r="K138" s="38">
        <v>136</v>
      </c>
      <c r="L138" s="99">
        <v>-380.7</v>
      </c>
    </row>
    <row r="139" spans="11:12" x14ac:dyDescent="0.4">
      <c r="K139" s="38">
        <v>137</v>
      </c>
      <c r="L139" s="99">
        <v>-440.2</v>
      </c>
    </row>
    <row r="140" spans="11:12" x14ac:dyDescent="0.4">
      <c r="K140" s="38">
        <v>138</v>
      </c>
      <c r="L140" s="99">
        <v>-381.4</v>
      </c>
    </row>
    <row r="141" spans="11:12" x14ac:dyDescent="0.4">
      <c r="K141" s="38">
        <v>139</v>
      </c>
      <c r="L141" s="99">
        <v>-417.4</v>
      </c>
    </row>
    <row r="142" spans="11:12" x14ac:dyDescent="0.4">
      <c r="K142" s="38">
        <v>140</v>
      </c>
      <c r="L142" s="99">
        <v>-421</v>
      </c>
    </row>
    <row r="143" spans="11:12" x14ac:dyDescent="0.4">
      <c r="K143" s="38">
        <v>141</v>
      </c>
      <c r="L143" s="99">
        <v>-393.5</v>
      </c>
    </row>
    <row r="144" spans="11:12" x14ac:dyDescent="0.4">
      <c r="K144" s="38">
        <v>142</v>
      </c>
      <c r="L144" s="99">
        <v>-360.1</v>
      </c>
    </row>
    <row r="145" spans="11:12" x14ac:dyDescent="0.4">
      <c r="K145" s="38">
        <v>143</v>
      </c>
      <c r="L145" s="99">
        <v>-367.70000000000005</v>
      </c>
    </row>
    <row r="146" spans="11:12" x14ac:dyDescent="0.4">
      <c r="K146" s="38">
        <v>144</v>
      </c>
      <c r="L146" s="99">
        <v>-324.00000000000006</v>
      </c>
    </row>
    <row r="147" spans="11:12" x14ac:dyDescent="0.4">
      <c r="K147" s="38">
        <v>145</v>
      </c>
      <c r="L147" s="99">
        <v>-324.50000000000006</v>
      </c>
    </row>
    <row r="148" spans="11:12" x14ac:dyDescent="0.4">
      <c r="K148" s="38">
        <v>146</v>
      </c>
      <c r="L148" s="99">
        <v>-357.30000000000007</v>
      </c>
    </row>
    <row r="149" spans="11:12" x14ac:dyDescent="0.4">
      <c r="K149" s="38">
        <v>147</v>
      </c>
      <c r="L149" s="99">
        <v>-359.10000000000008</v>
      </c>
    </row>
    <row r="150" spans="11:12" x14ac:dyDescent="0.4">
      <c r="K150" s="38">
        <v>148</v>
      </c>
      <c r="L150" s="99">
        <v>-415.90000000000009</v>
      </c>
    </row>
    <row r="151" spans="11:12" x14ac:dyDescent="0.4">
      <c r="K151" s="38">
        <v>149</v>
      </c>
      <c r="L151" s="99">
        <v>-448.40000000000009</v>
      </c>
    </row>
    <row r="152" spans="11:12" x14ac:dyDescent="0.4">
      <c r="K152" s="38">
        <v>150</v>
      </c>
      <c r="L152" s="99">
        <v>-461.10000000000008</v>
      </c>
    </row>
    <row r="153" spans="11:12" x14ac:dyDescent="0.4">
      <c r="K153" s="38">
        <v>151</v>
      </c>
      <c r="L153" s="99">
        <v>-504.2000000000001</v>
      </c>
    </row>
    <row r="154" spans="11:12" x14ac:dyDescent="0.4">
      <c r="K154" s="38">
        <v>152</v>
      </c>
      <c r="L154" s="99">
        <v>-477.7000000000001</v>
      </c>
    </row>
    <row r="155" spans="11:12" x14ac:dyDescent="0.4">
      <c r="K155" s="38">
        <v>153</v>
      </c>
      <c r="L155" s="99">
        <v>-436.90000000000009</v>
      </c>
    </row>
    <row r="156" spans="11:12" x14ac:dyDescent="0.4">
      <c r="K156" s="38">
        <v>154</v>
      </c>
      <c r="L156" s="99">
        <v>-439.90000000000009</v>
      </c>
    </row>
    <row r="157" spans="11:12" x14ac:dyDescent="0.4">
      <c r="K157" s="38">
        <v>155</v>
      </c>
      <c r="L157" s="99">
        <v>-381.10000000000008</v>
      </c>
    </row>
    <row r="158" spans="11:12" x14ac:dyDescent="0.4">
      <c r="K158" s="38">
        <v>156</v>
      </c>
      <c r="L158" s="99">
        <v>-372.50000000000006</v>
      </c>
    </row>
    <row r="159" spans="11:12" x14ac:dyDescent="0.4">
      <c r="K159" s="38">
        <v>157</v>
      </c>
      <c r="L159" s="99">
        <v>-408.20000000000005</v>
      </c>
    </row>
    <row r="160" spans="11:12" x14ac:dyDescent="0.4">
      <c r="K160" s="38">
        <v>158</v>
      </c>
      <c r="L160" s="99">
        <v>-403.00000000000006</v>
      </c>
    </row>
    <row r="161" spans="11:12" x14ac:dyDescent="0.4">
      <c r="K161" s="38">
        <v>159</v>
      </c>
      <c r="L161" s="99">
        <v>-410.40000000000003</v>
      </c>
    </row>
    <row r="162" spans="11:12" x14ac:dyDescent="0.4">
      <c r="K162" s="38">
        <v>160</v>
      </c>
      <c r="L162" s="99">
        <v>-362.40000000000003</v>
      </c>
    </row>
    <row r="163" spans="11:12" x14ac:dyDescent="0.4">
      <c r="K163" s="38">
        <v>161</v>
      </c>
      <c r="L163" s="99">
        <v>-435</v>
      </c>
    </row>
    <row r="164" spans="11:12" x14ac:dyDescent="0.4">
      <c r="K164" s="38">
        <v>162</v>
      </c>
      <c r="L164" s="99">
        <v>-490.8</v>
      </c>
    </row>
    <row r="165" spans="11:12" x14ac:dyDescent="0.4">
      <c r="K165" s="38">
        <v>163</v>
      </c>
      <c r="L165" s="99">
        <v>-539.20000000000005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F7F5C-16B7-4874-88B9-A15880B02FAC}">
  <sheetPr codeName="Sheet11"/>
  <dimension ref="A1:Q18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179</v>
      </c>
      <c r="C2" s="151"/>
      <c r="E2" s="62" t="s">
        <v>67</v>
      </c>
      <c r="F2" s="59" t="s">
        <v>23</v>
      </c>
      <c r="G2" s="46">
        <v>335</v>
      </c>
      <c r="H2" s="132">
        <f t="shared" ref="H2:H33" si="0">IF(B$17=0,0,G2/B$17)</f>
        <v>0.80335731414868106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-1697.1910112359551</v>
      </c>
      <c r="P2" s="118">
        <v>178</v>
      </c>
      <c r="Q2" s="102">
        <v>-302100</v>
      </c>
    </row>
    <row r="3" spans="1:17" x14ac:dyDescent="0.4">
      <c r="A3" s="55" t="s">
        <v>8</v>
      </c>
      <c r="B3" s="152">
        <v>1508</v>
      </c>
      <c r="C3" s="153"/>
      <c r="E3" s="63" t="s">
        <v>65</v>
      </c>
      <c r="F3" s="60" t="s">
        <v>21</v>
      </c>
      <c r="G3" s="47">
        <v>191</v>
      </c>
      <c r="H3" s="133">
        <f t="shared" si="0"/>
        <v>0.45803357314148679</v>
      </c>
      <c r="I3" s="94">
        <v>10</v>
      </c>
      <c r="K3" s="38">
        <v>1</v>
      </c>
      <c r="L3" s="99">
        <v>-40.4</v>
      </c>
      <c r="N3" s="115" t="s">
        <v>133</v>
      </c>
      <c r="O3" s="122">
        <f t="shared" si="1"/>
        <v>-1649.4252873563219</v>
      </c>
      <c r="P3" s="119">
        <v>174</v>
      </c>
      <c r="Q3" s="103">
        <v>-287000</v>
      </c>
    </row>
    <row r="4" spans="1:17" x14ac:dyDescent="0.4">
      <c r="A4" s="55" t="s">
        <v>6</v>
      </c>
      <c r="B4" s="154">
        <v>-1205.5000000000002</v>
      </c>
      <c r="C4" s="155"/>
      <c r="E4" s="63" t="s">
        <v>73</v>
      </c>
      <c r="F4" s="60" t="s">
        <v>28</v>
      </c>
      <c r="G4" s="47">
        <v>190</v>
      </c>
      <c r="H4" s="133">
        <f t="shared" si="0"/>
        <v>0.45563549160671463</v>
      </c>
      <c r="I4" s="94">
        <v>12</v>
      </c>
      <c r="K4" s="38">
        <v>2</v>
      </c>
      <c r="L4" s="99">
        <v>-3.3999999999999986</v>
      </c>
      <c r="N4" s="115" t="s">
        <v>134</v>
      </c>
      <c r="O4" s="122">
        <f t="shared" si="1"/>
        <v>1036.1445783132531</v>
      </c>
      <c r="P4" s="119">
        <v>166</v>
      </c>
      <c r="Q4" s="103">
        <v>172000</v>
      </c>
    </row>
    <row r="5" spans="1:17" x14ac:dyDescent="0.4">
      <c r="A5" s="55" t="s">
        <v>7</v>
      </c>
      <c r="B5" s="156">
        <f>IF(B$2=0,0,B$4/B$2)</f>
        <v>-6.7346368715083811</v>
      </c>
      <c r="C5" s="157"/>
      <c r="E5" s="63" t="s">
        <v>245</v>
      </c>
      <c r="F5" s="60" t="s">
        <v>246</v>
      </c>
      <c r="G5" s="47">
        <v>160</v>
      </c>
      <c r="H5" s="133">
        <f t="shared" si="0"/>
        <v>0.38369304556354916</v>
      </c>
      <c r="I5" s="94">
        <v>10</v>
      </c>
      <c r="K5" s="38">
        <v>3</v>
      </c>
      <c r="L5" s="99">
        <v>-23.099999999999998</v>
      </c>
      <c r="N5" s="115" t="s">
        <v>135</v>
      </c>
      <c r="O5" s="122">
        <f t="shared" si="1"/>
        <v>-2514.6666666666665</v>
      </c>
      <c r="P5" s="119">
        <v>150</v>
      </c>
      <c r="Q5" s="103">
        <v>-377200</v>
      </c>
    </row>
    <row r="6" spans="1:17" x14ac:dyDescent="0.4">
      <c r="A6" s="55" t="s">
        <v>1</v>
      </c>
      <c r="B6" s="146">
        <f>IF(B$2=0,0,(B$7*1+B$8*2+B$9*3)/B$2)</f>
        <v>2.1061452513966481</v>
      </c>
      <c r="C6" s="147"/>
      <c r="E6" s="63" t="s">
        <v>69</v>
      </c>
      <c r="F6" s="60" t="s">
        <v>12</v>
      </c>
      <c r="G6" s="47">
        <v>136</v>
      </c>
      <c r="H6" s="133">
        <f t="shared" si="0"/>
        <v>0.32613908872901681</v>
      </c>
      <c r="I6" s="94">
        <v>5</v>
      </c>
      <c r="K6" s="38">
        <v>4</v>
      </c>
      <c r="L6" s="99">
        <v>-31.4</v>
      </c>
      <c r="N6" s="115" t="s">
        <v>136</v>
      </c>
      <c r="O6" s="122">
        <f t="shared" si="1"/>
        <v>147.40740740740742</v>
      </c>
      <c r="P6" s="119">
        <v>135</v>
      </c>
      <c r="Q6" s="103">
        <v>19900</v>
      </c>
    </row>
    <row r="7" spans="1:17" x14ac:dyDescent="0.4">
      <c r="A7" s="55" t="s">
        <v>2</v>
      </c>
      <c r="B7" s="47">
        <v>54</v>
      </c>
      <c r="C7" s="39">
        <f t="shared" ref="C7:C12" si="2">IF(B$2=0,0,B7/B$2)</f>
        <v>0.3016759776536313</v>
      </c>
      <c r="E7" s="63" t="s">
        <v>68</v>
      </c>
      <c r="F7" s="60" t="s">
        <v>24</v>
      </c>
      <c r="G7" s="47">
        <v>103</v>
      </c>
      <c r="H7" s="133">
        <f t="shared" si="0"/>
        <v>0.24700239808153476</v>
      </c>
      <c r="I7" s="94">
        <v>10</v>
      </c>
      <c r="K7" s="38">
        <v>5</v>
      </c>
      <c r="L7" s="99">
        <v>-32.199999999999996</v>
      </c>
      <c r="N7" s="116" t="s">
        <v>137</v>
      </c>
      <c r="O7" s="123">
        <f t="shared" si="1"/>
        <v>-552.54237288135596</v>
      </c>
      <c r="P7" s="120">
        <v>118</v>
      </c>
      <c r="Q7" s="104">
        <v>-65200</v>
      </c>
    </row>
    <row r="8" spans="1:17" x14ac:dyDescent="0.4">
      <c r="A8" s="55" t="s">
        <v>3</v>
      </c>
      <c r="B8" s="47">
        <v>52</v>
      </c>
      <c r="C8" s="39">
        <f t="shared" si="2"/>
        <v>0.29050279329608941</v>
      </c>
      <c r="E8" s="63" t="s">
        <v>70</v>
      </c>
      <c r="F8" s="60" t="s">
        <v>25</v>
      </c>
      <c r="G8" s="47">
        <v>61</v>
      </c>
      <c r="H8" s="133">
        <f t="shared" si="0"/>
        <v>0.14628297362110312</v>
      </c>
      <c r="I8" s="94">
        <v>10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73</v>
      </c>
      <c r="C9" s="40">
        <f t="shared" si="2"/>
        <v>0.40782122905027934</v>
      </c>
      <c r="E9" s="63" t="s">
        <v>71</v>
      </c>
      <c r="F9" s="60" t="s">
        <v>26</v>
      </c>
      <c r="G9" s="47">
        <v>61</v>
      </c>
      <c r="H9" s="133">
        <f t="shared" si="0"/>
        <v>0.14628297362110312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25</v>
      </c>
      <c r="C10" s="40">
        <f t="shared" si="2"/>
        <v>0.13966480446927373</v>
      </c>
      <c r="E10" s="63" t="s">
        <v>90</v>
      </c>
      <c r="F10" s="60" t="s">
        <v>45</v>
      </c>
      <c r="G10" s="47">
        <v>49</v>
      </c>
      <c r="H10" s="133">
        <f t="shared" si="0"/>
        <v>0.11750599520383694</v>
      </c>
      <c r="I10" s="94">
        <v>8</v>
      </c>
      <c r="K10" s="38">
        <v>8</v>
      </c>
      <c r="L10" s="99">
        <v>-79.599999999999994</v>
      </c>
      <c r="N10" s="114" t="s">
        <v>164</v>
      </c>
      <c r="O10" s="124">
        <f>IF(P10=0,0,Q10/P10)</f>
        <v>-12.033999999999994</v>
      </c>
      <c r="P10" s="118">
        <v>50</v>
      </c>
      <c r="Q10" s="106">
        <v>-601.6999999999997</v>
      </c>
    </row>
    <row r="11" spans="1:17" x14ac:dyDescent="0.4">
      <c r="A11" s="56" t="s">
        <v>140</v>
      </c>
      <c r="B11" s="48">
        <v>19</v>
      </c>
      <c r="C11" s="40">
        <f t="shared" si="2"/>
        <v>0.10614525139664804</v>
      </c>
      <c r="E11" s="63" t="s">
        <v>72</v>
      </c>
      <c r="F11" s="60" t="s">
        <v>27</v>
      </c>
      <c r="G11" s="47">
        <v>41</v>
      </c>
      <c r="H11" s="133">
        <f t="shared" si="0"/>
        <v>9.8321342925659472E-2</v>
      </c>
      <c r="I11" s="94">
        <v>3</v>
      </c>
      <c r="K11" s="38">
        <v>9</v>
      </c>
      <c r="L11" s="99">
        <v>-127.6</v>
      </c>
      <c r="N11" s="115" t="s">
        <v>165</v>
      </c>
      <c r="O11" s="125">
        <f>IF(P11=0,0,Q11/P11)</f>
        <v>-4.5333333333333359</v>
      </c>
      <c r="P11" s="119">
        <v>63</v>
      </c>
      <c r="Q11" s="107">
        <v>-285.60000000000014</v>
      </c>
    </row>
    <row r="12" spans="1:17" x14ac:dyDescent="0.4">
      <c r="A12" s="57" t="s">
        <v>160</v>
      </c>
      <c r="B12" s="49">
        <v>17</v>
      </c>
      <c r="C12" s="42">
        <f t="shared" si="2"/>
        <v>9.4972067039106142E-2</v>
      </c>
      <c r="E12" s="63" t="s">
        <v>66</v>
      </c>
      <c r="F12" s="60" t="s">
        <v>22</v>
      </c>
      <c r="G12" s="47">
        <v>36</v>
      </c>
      <c r="H12" s="133">
        <f t="shared" si="0"/>
        <v>8.6330935251798566E-2</v>
      </c>
      <c r="I12" s="94">
        <v>9</v>
      </c>
      <c r="K12" s="38">
        <v>10</v>
      </c>
      <c r="L12" s="99">
        <v>-231.39999999999998</v>
      </c>
      <c r="N12" s="116" t="s">
        <v>166</v>
      </c>
      <c r="O12" s="126">
        <f>IF(P12=0,0,Q12/P12)</f>
        <v>-4.8212121212121186</v>
      </c>
      <c r="P12" s="120">
        <v>66</v>
      </c>
      <c r="Q12" s="108">
        <v>-318.19999999999982</v>
      </c>
    </row>
    <row r="13" spans="1:17" x14ac:dyDescent="0.4">
      <c r="A13" s="58" t="s">
        <v>122</v>
      </c>
      <c r="B13" s="50">
        <v>370</v>
      </c>
      <c r="C13" s="44">
        <f>IF(B$3=0,0,B13/B$3)</f>
        <v>0.24535809018567639</v>
      </c>
      <c r="E13" s="63" t="s">
        <v>87</v>
      </c>
      <c r="F13" s="60" t="s">
        <v>42</v>
      </c>
      <c r="G13" s="47">
        <v>22</v>
      </c>
      <c r="H13" s="133">
        <f t="shared" si="0"/>
        <v>5.2757793764988008E-2</v>
      </c>
      <c r="I13" s="94">
        <v>10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305</v>
      </c>
      <c r="C14" s="39">
        <f>IF(B$3=0,0,B14/B$3)</f>
        <v>0.20225464190981432</v>
      </c>
      <c r="E14" s="63" t="s">
        <v>84</v>
      </c>
      <c r="F14" s="60" t="s">
        <v>39</v>
      </c>
      <c r="G14" s="47">
        <v>16</v>
      </c>
      <c r="H14" s="133">
        <f t="shared" si="0"/>
        <v>3.8369304556354913E-2</v>
      </c>
      <c r="I14" s="94">
        <v>11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200</v>
      </c>
      <c r="C15" s="37">
        <f>IF(B$13=0,0,B15/B$13)</f>
        <v>0.54054054054054057</v>
      </c>
      <c r="E15" s="63" t="s">
        <v>79</v>
      </c>
      <c r="F15" s="60" t="s">
        <v>34</v>
      </c>
      <c r="G15" s="47">
        <v>12</v>
      </c>
      <c r="H15" s="133">
        <f t="shared" si="0"/>
        <v>2.8776978417266189E-2</v>
      </c>
      <c r="I15" s="94">
        <v>6</v>
      </c>
      <c r="K15" s="38">
        <v>13</v>
      </c>
      <c r="L15" s="99">
        <v>-369.1</v>
      </c>
      <c r="N15" s="114" t="s">
        <v>223</v>
      </c>
      <c r="O15" s="124">
        <f t="shared" ref="O15:O25" si="3">IF(P15=0,0,Q15/P15)</f>
        <v>42.5</v>
      </c>
      <c r="P15" s="118">
        <v>4</v>
      </c>
      <c r="Q15" s="106">
        <v>170</v>
      </c>
    </row>
    <row r="16" spans="1:17" x14ac:dyDescent="0.4">
      <c r="A16" s="54" t="s">
        <v>125</v>
      </c>
      <c r="B16" s="46">
        <v>109</v>
      </c>
      <c r="C16" s="37">
        <f>IF(B$14=0,0,B16/B$14)</f>
        <v>0.35737704918032787</v>
      </c>
      <c r="E16" s="63" t="s">
        <v>82</v>
      </c>
      <c r="F16" s="60" t="s">
        <v>37</v>
      </c>
      <c r="G16" s="47">
        <v>11</v>
      </c>
      <c r="H16" s="133">
        <f t="shared" si="0"/>
        <v>2.6378896882494004E-2</v>
      </c>
      <c r="I16" s="94">
        <v>6</v>
      </c>
      <c r="K16" s="38">
        <v>14</v>
      </c>
      <c r="L16" s="99">
        <v>-394.6</v>
      </c>
      <c r="N16" s="115" t="s">
        <v>271</v>
      </c>
      <c r="O16" s="125">
        <f t="shared" si="3"/>
        <v>38.15</v>
      </c>
      <c r="P16" s="119">
        <v>6</v>
      </c>
      <c r="Q16" s="107">
        <v>228.89999999999998</v>
      </c>
    </row>
    <row r="17" spans="1:17" x14ac:dyDescent="0.4">
      <c r="A17" s="54" t="s">
        <v>10</v>
      </c>
      <c r="B17" s="46">
        <f>B19+B18</f>
        <v>417</v>
      </c>
      <c r="C17" s="37">
        <f>IF(B$3=0,0,B17/B$3)</f>
        <v>0.27652519893899202</v>
      </c>
      <c r="E17" s="63" t="s">
        <v>78</v>
      </c>
      <c r="F17" s="60" t="s">
        <v>33</v>
      </c>
      <c r="G17" s="47">
        <v>6</v>
      </c>
      <c r="H17" s="133">
        <f t="shared" si="0"/>
        <v>1.4388489208633094E-2</v>
      </c>
      <c r="I17" s="94">
        <v>2</v>
      </c>
      <c r="K17" s="38">
        <v>15</v>
      </c>
      <c r="L17" s="99">
        <v>-424.5</v>
      </c>
      <c r="N17" s="115" t="s">
        <v>200</v>
      </c>
      <c r="O17" s="125">
        <f t="shared" si="3"/>
        <v>36.200000000000003</v>
      </c>
      <c r="P17" s="119">
        <v>6</v>
      </c>
      <c r="Q17" s="107">
        <v>217.20000000000002</v>
      </c>
    </row>
    <row r="18" spans="1:17" x14ac:dyDescent="0.4">
      <c r="A18" s="55" t="s">
        <v>12</v>
      </c>
      <c r="B18" s="47">
        <v>174</v>
      </c>
      <c r="C18" s="39">
        <f>IF(B$17=0,0,B18/B$17)</f>
        <v>0.41726618705035973</v>
      </c>
      <c r="E18" s="63" t="s">
        <v>80</v>
      </c>
      <c r="F18" s="60" t="s">
        <v>35</v>
      </c>
      <c r="G18" s="47">
        <v>6</v>
      </c>
      <c r="H18" s="133">
        <f t="shared" si="0"/>
        <v>1.4388489208633094E-2</v>
      </c>
      <c r="I18" s="94">
        <v>10</v>
      </c>
      <c r="K18" s="38">
        <v>16</v>
      </c>
      <c r="L18" s="99">
        <v>-472</v>
      </c>
      <c r="N18" s="115" t="s">
        <v>301</v>
      </c>
      <c r="O18" s="125">
        <f t="shared" si="3"/>
        <v>5.75</v>
      </c>
      <c r="P18" s="119">
        <v>4</v>
      </c>
      <c r="Q18" s="107">
        <v>23</v>
      </c>
    </row>
    <row r="19" spans="1:17" x14ac:dyDescent="0.4">
      <c r="A19" s="55" t="s">
        <v>11</v>
      </c>
      <c r="B19" s="47">
        <v>243</v>
      </c>
      <c r="C19" s="39">
        <f>IF(B$17=0,0,B19/B$17)</f>
        <v>0.58273381294964033</v>
      </c>
      <c r="E19" s="63" t="s">
        <v>92</v>
      </c>
      <c r="F19" s="60" t="s">
        <v>47</v>
      </c>
      <c r="G19" s="47">
        <v>5</v>
      </c>
      <c r="H19" s="133">
        <f t="shared" si="0"/>
        <v>1.1990407673860911E-2</v>
      </c>
      <c r="I19" s="94">
        <v>9</v>
      </c>
      <c r="K19" s="38">
        <v>17</v>
      </c>
      <c r="L19" s="99">
        <v>-538.29999999999995</v>
      </c>
      <c r="N19" s="115" t="s">
        <v>177</v>
      </c>
      <c r="O19" s="125">
        <f t="shared" si="3"/>
        <v>0.19666666666666779</v>
      </c>
      <c r="P19" s="119">
        <v>60</v>
      </c>
      <c r="Q19" s="107">
        <v>11.800000000000068</v>
      </c>
    </row>
    <row r="20" spans="1:17" x14ac:dyDescent="0.4">
      <c r="A20" s="55" t="s">
        <v>13</v>
      </c>
      <c r="B20" s="47">
        <v>260</v>
      </c>
      <c r="C20" s="39">
        <f>IF(B$3=0,0,B20/B$3)</f>
        <v>0.17241379310344829</v>
      </c>
      <c r="E20" s="63" t="s">
        <v>75</v>
      </c>
      <c r="F20" s="60" t="s">
        <v>30</v>
      </c>
      <c r="G20" s="47">
        <v>3</v>
      </c>
      <c r="H20" s="133">
        <f t="shared" si="0"/>
        <v>7.1942446043165471E-3</v>
      </c>
      <c r="I20" s="94">
        <v>3</v>
      </c>
      <c r="K20" s="38">
        <v>18</v>
      </c>
      <c r="L20" s="99">
        <v>-537.19999999999993</v>
      </c>
      <c r="N20" s="115" t="s">
        <v>173</v>
      </c>
      <c r="O20" s="125">
        <f t="shared" si="3"/>
        <v>-1.1117647058823463</v>
      </c>
      <c r="P20" s="119">
        <v>17</v>
      </c>
      <c r="Q20" s="107">
        <v>-18.899999999999888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76</v>
      </c>
      <c r="F21" s="60" t="s">
        <v>31</v>
      </c>
      <c r="G21" s="47">
        <v>3</v>
      </c>
      <c r="H21" s="133">
        <f t="shared" si="0"/>
        <v>7.1942446043165471E-3</v>
      </c>
      <c r="I21" s="94">
        <v>5</v>
      </c>
      <c r="K21" s="38">
        <v>19</v>
      </c>
      <c r="L21" s="99">
        <v>-569.49999999999989</v>
      </c>
      <c r="N21" s="115" t="s">
        <v>128</v>
      </c>
      <c r="O21" s="125">
        <f t="shared" si="3"/>
        <v>-2.8089552238805964</v>
      </c>
      <c r="P21" s="119">
        <v>67</v>
      </c>
      <c r="Q21" s="107">
        <v>-188.19999999999996</v>
      </c>
    </row>
    <row r="22" spans="1:17" x14ac:dyDescent="0.4">
      <c r="A22" s="55" t="s">
        <v>192</v>
      </c>
      <c r="B22" s="47">
        <v>39</v>
      </c>
      <c r="C22" s="135">
        <v>4</v>
      </c>
      <c r="E22" s="63" t="s">
        <v>88</v>
      </c>
      <c r="F22" s="60" t="s">
        <v>43</v>
      </c>
      <c r="G22" s="47">
        <v>3</v>
      </c>
      <c r="H22" s="133">
        <f t="shared" si="0"/>
        <v>7.1942446043165471E-3</v>
      </c>
      <c r="I22" s="94">
        <v>1</v>
      </c>
      <c r="K22" s="38">
        <v>20</v>
      </c>
      <c r="L22" s="99">
        <v>-632.99999999999989</v>
      </c>
      <c r="N22" s="115" t="s">
        <v>171</v>
      </c>
      <c r="O22" s="125">
        <f t="shared" si="3"/>
        <v>-16.480952380952374</v>
      </c>
      <c r="P22" s="119">
        <v>42</v>
      </c>
      <c r="Q22" s="107">
        <v>-692.1999999999997</v>
      </c>
    </row>
    <row r="23" spans="1:17" x14ac:dyDescent="0.4">
      <c r="A23" s="55" t="s">
        <v>5</v>
      </c>
      <c r="B23" s="51">
        <f>IF(B$17=0,0,C23/B$17)</f>
        <v>8105.035971223022</v>
      </c>
      <c r="C23" s="41">
        <v>3379800</v>
      </c>
      <c r="E23" s="63" t="s">
        <v>85</v>
      </c>
      <c r="F23" s="60" t="s">
        <v>40</v>
      </c>
      <c r="G23" s="47">
        <v>2</v>
      </c>
      <c r="H23" s="133">
        <f t="shared" si="0"/>
        <v>4.7961630695443642E-3</v>
      </c>
      <c r="I23" s="94">
        <v>2</v>
      </c>
      <c r="K23" s="38">
        <v>21</v>
      </c>
      <c r="L23" s="99">
        <v>-629.49999999999989</v>
      </c>
      <c r="N23" s="115" t="s">
        <v>172</v>
      </c>
      <c r="O23" s="125">
        <f t="shared" si="3"/>
        <v>-21.449999999999996</v>
      </c>
      <c r="P23" s="119">
        <v>38</v>
      </c>
      <c r="Q23" s="107">
        <v>-815.0999999999998</v>
      </c>
    </row>
    <row r="24" spans="1:17" x14ac:dyDescent="0.4">
      <c r="A24" s="57" t="s">
        <v>14</v>
      </c>
      <c r="B24" s="52">
        <f>IF(B$20=0,0,C24/B$20)</f>
        <v>-8398.8461538461543</v>
      </c>
      <c r="C24" s="45">
        <v>-2183700</v>
      </c>
      <c r="E24" s="63" t="s">
        <v>94</v>
      </c>
      <c r="F24" s="60" t="s">
        <v>49</v>
      </c>
      <c r="G24" s="47">
        <v>2</v>
      </c>
      <c r="H24" s="133">
        <f t="shared" si="0"/>
        <v>4.7961630695443642E-3</v>
      </c>
      <c r="I24" s="94">
        <v>1</v>
      </c>
      <c r="K24" s="38">
        <v>22</v>
      </c>
      <c r="L24" s="99">
        <v>-670.19999999999993</v>
      </c>
      <c r="N24" s="115" t="s">
        <v>127</v>
      </c>
      <c r="O24" s="125">
        <f t="shared" si="3"/>
        <v>-21.925000000000015</v>
      </c>
      <c r="P24" s="119">
        <v>108</v>
      </c>
      <c r="Q24" s="107">
        <v>-2367.9000000000015</v>
      </c>
    </row>
    <row r="25" spans="1:17" x14ac:dyDescent="0.4">
      <c r="A25" s="90" t="s">
        <v>142</v>
      </c>
      <c r="B25" s="144">
        <v>7</v>
      </c>
      <c r="C25" s="145"/>
      <c r="E25" s="63" t="s">
        <v>180</v>
      </c>
      <c r="F25" s="60" t="s">
        <v>181</v>
      </c>
      <c r="G25" s="47">
        <v>2</v>
      </c>
      <c r="H25" s="133">
        <f t="shared" si="0"/>
        <v>4.7961630695443642E-3</v>
      </c>
      <c r="I25" s="94">
        <v>7</v>
      </c>
      <c r="K25" s="38">
        <v>23</v>
      </c>
      <c r="L25" s="99">
        <v>-737.19999999999993</v>
      </c>
      <c r="N25" s="115" t="s">
        <v>184</v>
      </c>
      <c r="O25" s="125">
        <f t="shared" si="3"/>
        <v>-30.849999999999998</v>
      </c>
      <c r="P25" s="119">
        <v>6</v>
      </c>
      <c r="Q25" s="107">
        <v>-185.1</v>
      </c>
    </row>
    <row r="26" spans="1:17" x14ac:dyDescent="0.4">
      <c r="A26" s="58" t="s">
        <v>152</v>
      </c>
      <c r="B26" s="142">
        <v>96900</v>
      </c>
      <c r="C26" s="143"/>
      <c r="E26" s="63" t="s">
        <v>74</v>
      </c>
      <c r="F26" s="60" t="s">
        <v>29</v>
      </c>
      <c r="G26" s="47">
        <v>1</v>
      </c>
      <c r="H26" s="133">
        <f t="shared" si="0"/>
        <v>2.3980815347721821E-3</v>
      </c>
      <c r="I26" s="94">
        <v>8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3</v>
      </c>
      <c r="C27" s="42">
        <f>IF(B$3=0,0,B27/B$3)</f>
        <v>1.9893899204244032E-3</v>
      </c>
      <c r="E27" s="63" t="s">
        <v>86</v>
      </c>
      <c r="F27" s="60" t="s">
        <v>41</v>
      </c>
      <c r="G27" s="47">
        <v>1</v>
      </c>
      <c r="H27" s="133">
        <f t="shared" si="0"/>
        <v>2.3980815347721821E-3</v>
      </c>
      <c r="I27" s="94">
        <v>4</v>
      </c>
      <c r="K27" s="38">
        <v>25</v>
      </c>
      <c r="L27" s="99">
        <v>-783.69999999999993</v>
      </c>
    </row>
    <row r="28" spans="1:17" x14ac:dyDescent="0.4">
      <c r="E28" s="63" t="s">
        <v>89</v>
      </c>
      <c r="F28" s="60" t="s">
        <v>44</v>
      </c>
      <c r="G28" s="47">
        <v>1</v>
      </c>
      <c r="H28" s="133">
        <f t="shared" si="0"/>
        <v>2.3980815347721821E-3</v>
      </c>
      <c r="I28" s="94">
        <v>3</v>
      </c>
      <c r="K28" s="38">
        <v>26</v>
      </c>
      <c r="L28" s="99">
        <v>-818.49999999999989</v>
      </c>
    </row>
    <row r="29" spans="1:17" x14ac:dyDescent="0.4">
      <c r="E29" s="63" t="s">
        <v>93</v>
      </c>
      <c r="F29" s="60" t="s">
        <v>48</v>
      </c>
      <c r="G29" s="47">
        <v>1</v>
      </c>
      <c r="H29" s="133">
        <f t="shared" si="0"/>
        <v>2.3980815347721821E-3</v>
      </c>
      <c r="I29" s="94">
        <v>6</v>
      </c>
      <c r="K29" s="38">
        <v>27</v>
      </c>
      <c r="L29" s="99">
        <v>-876.19999999999993</v>
      </c>
    </row>
    <row r="30" spans="1:17" x14ac:dyDescent="0.4">
      <c r="E30" s="63" t="s">
        <v>77</v>
      </c>
      <c r="F30" s="60" t="s">
        <v>32</v>
      </c>
      <c r="G30" s="47">
        <v>0</v>
      </c>
      <c r="H30" s="133">
        <f t="shared" si="0"/>
        <v>0</v>
      </c>
      <c r="I30" s="94">
        <v>1</v>
      </c>
      <c r="K30" s="38">
        <v>28</v>
      </c>
      <c r="L30" s="99">
        <v>-931.09999999999991</v>
      </c>
    </row>
    <row r="31" spans="1:17" x14ac:dyDescent="0.4">
      <c r="E31" s="63" t="s">
        <v>81</v>
      </c>
      <c r="F31" s="60" t="s">
        <v>36</v>
      </c>
      <c r="G31" s="47">
        <v>0</v>
      </c>
      <c r="H31" s="133">
        <f t="shared" si="0"/>
        <v>0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83</v>
      </c>
      <c r="F32" s="60" t="s">
        <v>38</v>
      </c>
      <c r="G32" s="47">
        <v>0</v>
      </c>
      <c r="H32" s="133">
        <f t="shared" si="0"/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 t="shared" si="0"/>
        <v>0</v>
      </c>
      <c r="I33" s="94">
        <v>5</v>
      </c>
      <c r="K33" s="38">
        <v>31</v>
      </c>
      <c r="L33" s="99">
        <v>-835.69999999999993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4</v>
      </c>
      <c r="K35" s="38">
        <v>33</v>
      </c>
      <c r="L35" s="99">
        <v>-878.19999999999993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3</v>
      </c>
      <c r="K37" s="38">
        <v>35</v>
      </c>
      <c r="L37" s="99">
        <v>-815.59999999999991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3</v>
      </c>
      <c r="K41" s="38">
        <v>39</v>
      </c>
      <c r="L41" s="99">
        <v>-786.29999999999984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3</v>
      </c>
      <c r="K46" s="38">
        <v>44</v>
      </c>
      <c r="L46" s="99">
        <v>-744.79999999999973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  <row r="100" spans="11:12" x14ac:dyDescent="0.4">
      <c r="K100" s="38">
        <v>98</v>
      </c>
      <c r="L100" s="99">
        <v>-1305.7</v>
      </c>
    </row>
    <row r="101" spans="11:12" x14ac:dyDescent="0.4">
      <c r="K101" s="38">
        <v>99</v>
      </c>
      <c r="L101" s="99">
        <v>-1267.5</v>
      </c>
    </row>
    <row r="102" spans="11:12" x14ac:dyDescent="0.4">
      <c r="K102" s="38">
        <v>100</v>
      </c>
      <c r="L102" s="99">
        <v>-1255.3</v>
      </c>
    </row>
    <row r="103" spans="11:12" x14ac:dyDescent="0.4">
      <c r="K103" s="38">
        <v>101</v>
      </c>
      <c r="L103" s="99">
        <v>-1246.3</v>
      </c>
    </row>
    <row r="104" spans="11:12" x14ac:dyDescent="0.4">
      <c r="K104" s="38">
        <v>102</v>
      </c>
      <c r="L104" s="99">
        <v>-1206.5</v>
      </c>
    </row>
    <row r="105" spans="11:12" x14ac:dyDescent="0.4">
      <c r="K105" s="38">
        <v>103</v>
      </c>
      <c r="L105" s="99">
        <v>-1144.9000000000001</v>
      </c>
    </row>
    <row r="106" spans="11:12" x14ac:dyDescent="0.4">
      <c r="K106" s="38">
        <v>104</v>
      </c>
      <c r="L106" s="99">
        <v>-1134.8000000000002</v>
      </c>
    </row>
    <row r="107" spans="11:12" x14ac:dyDescent="0.4">
      <c r="K107" s="38">
        <v>105</v>
      </c>
      <c r="L107" s="99">
        <v>-1138.7000000000003</v>
      </c>
    </row>
    <row r="108" spans="11:12" x14ac:dyDescent="0.4">
      <c r="K108" s="38">
        <v>106</v>
      </c>
      <c r="L108" s="99">
        <v>-1119.7000000000003</v>
      </c>
    </row>
    <row r="109" spans="11:12" x14ac:dyDescent="0.4">
      <c r="K109" s="38">
        <v>107</v>
      </c>
      <c r="L109" s="99">
        <v>-1085.0000000000002</v>
      </c>
    </row>
    <row r="110" spans="11:12" x14ac:dyDescent="0.4">
      <c r="K110" s="38">
        <v>108</v>
      </c>
      <c r="L110" s="99">
        <v>-1048.6000000000001</v>
      </c>
    </row>
    <row r="111" spans="11:12" x14ac:dyDescent="0.4">
      <c r="K111" s="38">
        <v>109</v>
      </c>
      <c r="L111" s="99">
        <v>-982.60000000000014</v>
      </c>
    </row>
    <row r="112" spans="11:12" x14ac:dyDescent="0.4">
      <c r="K112" s="38">
        <v>110</v>
      </c>
      <c r="L112" s="99">
        <v>-940.00000000000011</v>
      </c>
    </row>
    <row r="113" spans="11:12" x14ac:dyDescent="0.4">
      <c r="K113" s="38">
        <v>111</v>
      </c>
      <c r="L113" s="99">
        <v>-890.80000000000007</v>
      </c>
    </row>
    <row r="114" spans="11:12" x14ac:dyDescent="0.4">
      <c r="K114" s="38">
        <v>112</v>
      </c>
      <c r="L114" s="99">
        <v>-971.2</v>
      </c>
    </row>
    <row r="115" spans="11:12" x14ac:dyDescent="0.4">
      <c r="K115" s="38">
        <v>113</v>
      </c>
      <c r="L115" s="99">
        <v>-921.2</v>
      </c>
    </row>
    <row r="116" spans="11:12" x14ac:dyDescent="0.4">
      <c r="K116" s="38">
        <v>114</v>
      </c>
      <c r="L116" s="99">
        <v>-924.7</v>
      </c>
    </row>
    <row r="117" spans="11:12" x14ac:dyDescent="0.4">
      <c r="K117" s="38">
        <v>115</v>
      </c>
      <c r="L117" s="99">
        <v>-919.7</v>
      </c>
    </row>
    <row r="118" spans="11:12" x14ac:dyDescent="0.4">
      <c r="K118" s="38">
        <v>116</v>
      </c>
      <c r="L118" s="99">
        <v>-880.80000000000007</v>
      </c>
    </row>
    <row r="119" spans="11:12" x14ac:dyDescent="0.4">
      <c r="K119" s="38">
        <v>117</v>
      </c>
      <c r="L119" s="99">
        <v>-932.80000000000007</v>
      </c>
    </row>
    <row r="120" spans="11:12" x14ac:dyDescent="0.4">
      <c r="K120" s="38">
        <v>118</v>
      </c>
      <c r="L120" s="99">
        <v>-988.7</v>
      </c>
    </row>
    <row r="121" spans="11:12" x14ac:dyDescent="0.4">
      <c r="K121" s="38">
        <v>119</v>
      </c>
      <c r="L121" s="99">
        <v>-950.40000000000009</v>
      </c>
    </row>
    <row r="122" spans="11:12" x14ac:dyDescent="0.4">
      <c r="K122" s="38">
        <v>120</v>
      </c>
      <c r="L122" s="99">
        <v>-902.50000000000011</v>
      </c>
    </row>
    <row r="123" spans="11:12" x14ac:dyDescent="0.4">
      <c r="K123" s="38">
        <v>121</v>
      </c>
      <c r="L123" s="99">
        <v>-911.60000000000014</v>
      </c>
    </row>
    <row r="124" spans="11:12" x14ac:dyDescent="0.4">
      <c r="K124" s="38">
        <v>122</v>
      </c>
      <c r="L124" s="99">
        <v>-881.60000000000014</v>
      </c>
    </row>
    <row r="125" spans="11:12" x14ac:dyDescent="0.4">
      <c r="K125" s="38">
        <v>123</v>
      </c>
      <c r="L125" s="99">
        <v>-881.00000000000011</v>
      </c>
    </row>
    <row r="126" spans="11:12" x14ac:dyDescent="0.4">
      <c r="K126" s="38">
        <v>124</v>
      </c>
      <c r="L126" s="99">
        <v>-849.50000000000011</v>
      </c>
    </row>
    <row r="127" spans="11:12" x14ac:dyDescent="0.4">
      <c r="K127" s="38">
        <v>125</v>
      </c>
      <c r="L127" s="99">
        <v>-877.90000000000009</v>
      </c>
    </row>
    <row r="128" spans="11:12" x14ac:dyDescent="0.4">
      <c r="K128" s="38">
        <v>126</v>
      </c>
      <c r="L128" s="99">
        <v>-883.00000000000011</v>
      </c>
    </row>
    <row r="129" spans="11:12" x14ac:dyDescent="0.4">
      <c r="K129" s="38">
        <v>127</v>
      </c>
      <c r="L129" s="99">
        <v>-881.50000000000011</v>
      </c>
    </row>
    <row r="130" spans="11:12" x14ac:dyDescent="0.4">
      <c r="K130" s="38">
        <v>128</v>
      </c>
      <c r="L130" s="99">
        <v>-908.40000000000009</v>
      </c>
    </row>
    <row r="131" spans="11:12" x14ac:dyDescent="0.4">
      <c r="K131" s="38">
        <v>129</v>
      </c>
      <c r="L131" s="99">
        <v>-970.40000000000009</v>
      </c>
    </row>
    <row r="132" spans="11:12" x14ac:dyDescent="0.4">
      <c r="K132" s="38">
        <v>130</v>
      </c>
      <c r="L132" s="99">
        <v>-939.30000000000007</v>
      </c>
    </row>
    <row r="133" spans="11:12" x14ac:dyDescent="0.4">
      <c r="K133" s="38">
        <v>131</v>
      </c>
      <c r="L133" s="99">
        <v>-938.50000000000011</v>
      </c>
    </row>
    <row r="134" spans="11:12" x14ac:dyDescent="0.4">
      <c r="K134" s="38">
        <v>132</v>
      </c>
      <c r="L134" s="99">
        <v>-967.90000000000009</v>
      </c>
    </row>
    <row r="135" spans="11:12" x14ac:dyDescent="0.4">
      <c r="K135" s="38">
        <v>133</v>
      </c>
      <c r="L135" s="99">
        <v>-1016.2</v>
      </c>
    </row>
    <row r="136" spans="11:12" x14ac:dyDescent="0.4">
      <c r="K136" s="38">
        <v>134</v>
      </c>
      <c r="L136" s="99">
        <v>-1019.5</v>
      </c>
    </row>
    <row r="137" spans="11:12" x14ac:dyDescent="0.4">
      <c r="K137" s="38">
        <v>135</v>
      </c>
      <c r="L137" s="99">
        <v>-991.3</v>
      </c>
    </row>
    <row r="138" spans="11:12" x14ac:dyDescent="0.4">
      <c r="K138" s="38">
        <v>136</v>
      </c>
      <c r="L138" s="99">
        <v>-995.5</v>
      </c>
    </row>
    <row r="139" spans="11:12" x14ac:dyDescent="0.4">
      <c r="K139" s="38">
        <v>137</v>
      </c>
      <c r="L139" s="99">
        <v>-998.4</v>
      </c>
    </row>
    <row r="140" spans="11:12" x14ac:dyDescent="0.4">
      <c r="K140" s="38">
        <v>138</v>
      </c>
      <c r="L140" s="99">
        <v>-1041.2</v>
      </c>
    </row>
    <row r="141" spans="11:12" x14ac:dyDescent="0.4">
      <c r="K141" s="38">
        <v>139</v>
      </c>
      <c r="L141" s="99">
        <v>-1031.4000000000001</v>
      </c>
    </row>
    <row r="142" spans="11:12" x14ac:dyDescent="0.4">
      <c r="K142" s="38">
        <v>140</v>
      </c>
      <c r="L142" s="99">
        <v>-1031.1000000000001</v>
      </c>
    </row>
    <row r="143" spans="11:12" x14ac:dyDescent="0.4">
      <c r="K143" s="38">
        <v>141</v>
      </c>
      <c r="L143" s="99">
        <v>-1065.2</v>
      </c>
    </row>
    <row r="144" spans="11:12" x14ac:dyDescent="0.4">
      <c r="K144" s="38">
        <v>142</v>
      </c>
      <c r="L144" s="99">
        <v>-1102.6000000000001</v>
      </c>
    </row>
    <row r="145" spans="11:12" x14ac:dyDescent="0.4">
      <c r="K145" s="38">
        <v>143</v>
      </c>
      <c r="L145" s="99">
        <v>-1103.4000000000001</v>
      </c>
    </row>
    <row r="146" spans="11:12" x14ac:dyDescent="0.4">
      <c r="K146" s="38">
        <v>144</v>
      </c>
      <c r="L146" s="99">
        <v>-1159.5</v>
      </c>
    </row>
    <row r="147" spans="11:12" x14ac:dyDescent="0.4">
      <c r="K147" s="38">
        <v>145</v>
      </c>
      <c r="L147" s="99">
        <v>-1121.9000000000001</v>
      </c>
    </row>
    <row r="148" spans="11:12" x14ac:dyDescent="0.4">
      <c r="K148" s="38">
        <v>146</v>
      </c>
      <c r="L148" s="99">
        <v>-1181.5</v>
      </c>
    </row>
    <row r="149" spans="11:12" x14ac:dyDescent="0.4">
      <c r="K149" s="38">
        <v>147</v>
      </c>
      <c r="L149" s="99">
        <v>-1213.9000000000001</v>
      </c>
    </row>
    <row r="150" spans="11:12" x14ac:dyDescent="0.4">
      <c r="K150" s="38">
        <v>148</v>
      </c>
      <c r="L150" s="99">
        <v>-1255.3000000000002</v>
      </c>
    </row>
    <row r="151" spans="11:12" x14ac:dyDescent="0.4">
      <c r="K151" s="38">
        <v>149</v>
      </c>
      <c r="L151" s="99">
        <v>-1227.8000000000002</v>
      </c>
    </row>
    <row r="152" spans="11:12" x14ac:dyDescent="0.4">
      <c r="K152" s="38">
        <v>150</v>
      </c>
      <c r="L152" s="99">
        <v>-1274.3000000000002</v>
      </c>
    </row>
    <row r="153" spans="11:12" x14ac:dyDescent="0.4">
      <c r="K153" s="38">
        <v>151</v>
      </c>
      <c r="L153" s="99">
        <v>-1320.4</v>
      </c>
    </row>
    <row r="154" spans="11:12" x14ac:dyDescent="0.4">
      <c r="K154" s="38">
        <v>152</v>
      </c>
      <c r="L154" s="99">
        <v>-1364.7</v>
      </c>
    </row>
    <row r="155" spans="11:12" x14ac:dyDescent="0.4">
      <c r="K155" s="38">
        <v>153</v>
      </c>
      <c r="L155" s="99">
        <v>-1415.8</v>
      </c>
    </row>
    <row r="156" spans="11:12" x14ac:dyDescent="0.4">
      <c r="K156" s="38">
        <v>154</v>
      </c>
      <c r="L156" s="99">
        <v>-1432.6</v>
      </c>
    </row>
    <row r="157" spans="11:12" x14ac:dyDescent="0.4">
      <c r="K157" s="38">
        <v>155</v>
      </c>
      <c r="L157" s="99">
        <v>-1352.8</v>
      </c>
    </row>
    <row r="158" spans="11:12" x14ac:dyDescent="0.4">
      <c r="K158" s="38">
        <v>156</v>
      </c>
      <c r="L158" s="99">
        <v>-1344.3</v>
      </c>
    </row>
    <row r="159" spans="11:12" x14ac:dyDescent="0.4">
      <c r="K159" s="38">
        <v>157</v>
      </c>
      <c r="L159" s="99">
        <v>-1357.7</v>
      </c>
    </row>
    <row r="160" spans="11:12" x14ac:dyDescent="0.4">
      <c r="K160" s="38">
        <v>158</v>
      </c>
      <c r="L160" s="99">
        <v>-1338.1000000000001</v>
      </c>
    </row>
    <row r="161" spans="11:12" x14ac:dyDescent="0.4">
      <c r="K161" s="38">
        <v>159</v>
      </c>
      <c r="L161" s="99">
        <v>-1330.7</v>
      </c>
    </row>
    <row r="162" spans="11:12" x14ac:dyDescent="0.4">
      <c r="K162" s="38">
        <v>160</v>
      </c>
      <c r="L162" s="99">
        <v>-1265.7</v>
      </c>
    </row>
    <row r="163" spans="11:12" x14ac:dyDescent="0.4">
      <c r="K163" s="38">
        <v>161</v>
      </c>
      <c r="L163" s="99">
        <v>-1246.2</v>
      </c>
    </row>
    <row r="164" spans="11:12" x14ac:dyDescent="0.4">
      <c r="K164" s="38">
        <v>162</v>
      </c>
      <c r="L164" s="99">
        <v>-1210.3</v>
      </c>
    </row>
    <row r="165" spans="11:12" x14ac:dyDescent="0.4">
      <c r="K165" s="38">
        <v>163</v>
      </c>
      <c r="L165" s="99">
        <v>-1183.8</v>
      </c>
    </row>
    <row r="166" spans="11:12" x14ac:dyDescent="0.4">
      <c r="K166" s="38">
        <v>164</v>
      </c>
      <c r="L166" s="99">
        <v>-1234.3</v>
      </c>
    </row>
    <row r="167" spans="11:12" x14ac:dyDescent="0.4">
      <c r="K167" s="38">
        <v>165</v>
      </c>
      <c r="L167" s="99">
        <v>-1258.7</v>
      </c>
    </row>
    <row r="168" spans="11:12" x14ac:dyDescent="0.4">
      <c r="K168" s="38">
        <v>166</v>
      </c>
      <c r="L168" s="99">
        <v>-1194.5</v>
      </c>
    </row>
    <row r="169" spans="11:12" x14ac:dyDescent="0.4">
      <c r="K169" s="38">
        <v>167</v>
      </c>
      <c r="L169" s="99">
        <v>-1209.8</v>
      </c>
    </row>
    <row r="170" spans="11:12" x14ac:dyDescent="0.4">
      <c r="K170" s="38">
        <v>168</v>
      </c>
      <c r="L170" s="99">
        <v>-1244.5999999999999</v>
      </c>
    </row>
    <row r="171" spans="11:12" x14ac:dyDescent="0.4">
      <c r="K171" s="38">
        <v>169</v>
      </c>
      <c r="L171" s="99">
        <v>-1197.0999999999999</v>
      </c>
    </row>
    <row r="172" spans="11:12" x14ac:dyDescent="0.4">
      <c r="K172" s="38">
        <v>170</v>
      </c>
      <c r="L172" s="99">
        <v>-1147.5999999999999</v>
      </c>
    </row>
    <row r="173" spans="11:12" x14ac:dyDescent="0.4">
      <c r="K173" s="38">
        <v>171</v>
      </c>
      <c r="L173" s="99">
        <v>-1112.8999999999999</v>
      </c>
    </row>
    <row r="174" spans="11:12" x14ac:dyDescent="0.4">
      <c r="K174" s="38">
        <v>172</v>
      </c>
      <c r="L174" s="99">
        <v>-1065.8999999999999</v>
      </c>
    </row>
    <row r="175" spans="11:12" x14ac:dyDescent="0.4">
      <c r="K175" s="38">
        <v>173</v>
      </c>
      <c r="L175" s="99">
        <v>-1064.8</v>
      </c>
    </row>
    <row r="176" spans="11:12" x14ac:dyDescent="0.4">
      <c r="K176" s="38">
        <v>174</v>
      </c>
      <c r="L176" s="99">
        <v>-1090.0999999999999</v>
      </c>
    </row>
    <row r="177" spans="11:12" x14ac:dyDescent="0.4">
      <c r="K177" s="38">
        <v>175</v>
      </c>
      <c r="L177" s="99">
        <v>-1146.0999999999999</v>
      </c>
    </row>
    <row r="178" spans="11:12" x14ac:dyDescent="0.4">
      <c r="K178" s="38">
        <v>176</v>
      </c>
      <c r="L178" s="99">
        <v>-1142.5</v>
      </c>
    </row>
    <row r="179" spans="11:12" x14ac:dyDescent="0.4">
      <c r="K179" s="38">
        <v>177</v>
      </c>
      <c r="L179" s="99">
        <v>-1194.4000000000001</v>
      </c>
    </row>
    <row r="180" spans="11:12" x14ac:dyDescent="0.4">
      <c r="K180" s="38">
        <v>178</v>
      </c>
      <c r="L180" s="99">
        <v>-1166.8000000000002</v>
      </c>
    </row>
    <row r="181" spans="11:12" x14ac:dyDescent="0.4">
      <c r="K181" s="38">
        <v>179</v>
      </c>
      <c r="L181" s="99">
        <v>-1205.5000000000002</v>
      </c>
    </row>
  </sheetData>
  <sortState xmlns:xlrd2="http://schemas.microsoft.com/office/spreadsheetml/2017/richdata2"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8E5B74-6B40-4965-A31E-F004FEB06879}">
  <sheetPr codeName="Sheet13"/>
  <dimension ref="A1:Q11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110</v>
      </c>
      <c r="C2" s="151"/>
      <c r="E2" s="62" t="s">
        <v>67</v>
      </c>
      <c r="F2" s="59" t="s">
        <v>23</v>
      </c>
      <c r="G2" s="46">
        <v>208</v>
      </c>
      <c r="H2" s="132">
        <f t="shared" ref="H2:H33" si="0">IF(B$17=0,0,G2/B$17)</f>
        <v>0.78490566037735854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1">IF(P2=0,0,Q2/P2)</f>
        <v>1039.090909090909</v>
      </c>
      <c r="P2" s="118">
        <v>110</v>
      </c>
      <c r="Q2" s="102">
        <v>114300</v>
      </c>
    </row>
    <row r="3" spans="1:17" x14ac:dyDescent="0.4">
      <c r="A3" s="55" t="s">
        <v>8</v>
      </c>
      <c r="B3" s="152">
        <v>914</v>
      </c>
      <c r="C3" s="153"/>
      <c r="E3" s="63" t="s">
        <v>73</v>
      </c>
      <c r="F3" s="60" t="s">
        <v>28</v>
      </c>
      <c r="G3" s="47">
        <v>148</v>
      </c>
      <c r="H3" s="133">
        <f t="shared" si="0"/>
        <v>0.55849056603773584</v>
      </c>
      <c r="I3" s="94">
        <v>7</v>
      </c>
      <c r="K3" s="38">
        <v>1</v>
      </c>
      <c r="L3" s="99">
        <v>-51.2</v>
      </c>
      <c r="N3" s="115" t="s">
        <v>133</v>
      </c>
      <c r="O3" s="122">
        <f t="shared" si="1"/>
        <v>781.30841121495325</v>
      </c>
      <c r="P3" s="119">
        <v>107</v>
      </c>
      <c r="Q3" s="103">
        <v>83600</v>
      </c>
    </row>
    <row r="4" spans="1:17" x14ac:dyDescent="0.4">
      <c r="A4" s="55" t="s">
        <v>6</v>
      </c>
      <c r="B4" s="154">
        <v>136.29999999999998</v>
      </c>
      <c r="C4" s="155"/>
      <c r="E4" s="63" t="s">
        <v>65</v>
      </c>
      <c r="F4" s="60" t="s">
        <v>21</v>
      </c>
      <c r="G4" s="47">
        <v>137</v>
      </c>
      <c r="H4" s="133">
        <f t="shared" si="0"/>
        <v>0.51698113207547169</v>
      </c>
      <c r="I4" s="94">
        <v>6</v>
      </c>
      <c r="K4" s="38">
        <v>2</v>
      </c>
      <c r="L4" s="99">
        <v>-93.300000000000011</v>
      </c>
      <c r="N4" s="115" t="s">
        <v>134</v>
      </c>
      <c r="O4" s="122">
        <f t="shared" si="1"/>
        <v>1439.795918367347</v>
      </c>
      <c r="P4" s="119">
        <v>98</v>
      </c>
      <c r="Q4" s="103">
        <v>141100</v>
      </c>
    </row>
    <row r="5" spans="1:17" x14ac:dyDescent="0.4">
      <c r="A5" s="55" t="s">
        <v>7</v>
      </c>
      <c r="B5" s="156">
        <f>IF(B$2=0,0,B$4/B$2)</f>
        <v>1.239090909090909</v>
      </c>
      <c r="C5" s="157"/>
      <c r="E5" s="63" t="s">
        <v>245</v>
      </c>
      <c r="F5" s="60" t="s">
        <v>246</v>
      </c>
      <c r="G5" s="47">
        <v>108</v>
      </c>
      <c r="H5" s="133">
        <f t="shared" si="0"/>
        <v>0.40754716981132078</v>
      </c>
      <c r="I5" s="94">
        <v>6</v>
      </c>
      <c r="K5" s="38">
        <v>3</v>
      </c>
      <c r="L5" s="99">
        <v>-60.100000000000009</v>
      </c>
      <c r="N5" s="115" t="s">
        <v>135</v>
      </c>
      <c r="O5" s="122">
        <f t="shared" si="1"/>
        <v>-250.57471264367817</v>
      </c>
      <c r="P5" s="119">
        <v>87</v>
      </c>
      <c r="Q5" s="103">
        <v>-21800</v>
      </c>
    </row>
    <row r="6" spans="1:17" x14ac:dyDescent="0.4">
      <c r="A6" s="55" t="s">
        <v>1</v>
      </c>
      <c r="B6" s="146">
        <f>IF(B$2=0,0,(B$7*1+B$8*2+B$9*3)/B$2)</f>
        <v>2.0181818181818181</v>
      </c>
      <c r="C6" s="147"/>
      <c r="E6" s="63" t="s">
        <v>68</v>
      </c>
      <c r="F6" s="60" t="s">
        <v>24</v>
      </c>
      <c r="G6" s="47">
        <v>88</v>
      </c>
      <c r="H6" s="133">
        <f t="shared" si="0"/>
        <v>0.33207547169811319</v>
      </c>
      <c r="I6" s="94">
        <v>5</v>
      </c>
      <c r="K6" s="38">
        <v>4</v>
      </c>
      <c r="L6" s="99">
        <v>-11.300000000000011</v>
      </c>
      <c r="N6" s="115" t="s">
        <v>136</v>
      </c>
      <c r="O6" s="122">
        <f t="shared" si="1"/>
        <v>-1970.5128205128206</v>
      </c>
      <c r="P6" s="119">
        <v>78</v>
      </c>
      <c r="Q6" s="103">
        <v>-153700</v>
      </c>
    </row>
    <row r="7" spans="1:17" x14ac:dyDescent="0.4">
      <c r="A7" s="55" t="s">
        <v>2</v>
      </c>
      <c r="B7" s="47">
        <v>35</v>
      </c>
      <c r="C7" s="39">
        <f t="shared" ref="C7:C12" si="2">IF(B$2=0,0,B7/B$2)</f>
        <v>0.31818181818181818</v>
      </c>
      <c r="E7" s="63" t="s">
        <v>69</v>
      </c>
      <c r="F7" s="60" t="s">
        <v>12</v>
      </c>
      <c r="G7" s="47">
        <v>78</v>
      </c>
      <c r="H7" s="133">
        <f t="shared" si="0"/>
        <v>0.29433962264150942</v>
      </c>
      <c r="I7" s="94">
        <v>10</v>
      </c>
      <c r="K7" s="38">
        <v>5</v>
      </c>
      <c r="L7" s="99">
        <v>-36.100000000000009</v>
      </c>
      <c r="N7" s="116" t="s">
        <v>137</v>
      </c>
      <c r="O7" s="123">
        <f t="shared" si="1"/>
        <v>-228.16901408450704</v>
      </c>
      <c r="P7" s="120">
        <v>71</v>
      </c>
      <c r="Q7" s="104">
        <v>-16200</v>
      </c>
    </row>
    <row r="8" spans="1:17" x14ac:dyDescent="0.4">
      <c r="A8" s="55" t="s">
        <v>3</v>
      </c>
      <c r="B8" s="47">
        <v>38</v>
      </c>
      <c r="C8" s="39">
        <f t="shared" si="2"/>
        <v>0.34545454545454546</v>
      </c>
      <c r="E8" s="63" t="s">
        <v>70</v>
      </c>
      <c r="F8" s="60" t="s">
        <v>25</v>
      </c>
      <c r="G8" s="47">
        <v>49</v>
      </c>
      <c r="H8" s="133">
        <f t="shared" si="0"/>
        <v>0.18490566037735848</v>
      </c>
      <c r="I8" s="94">
        <v>3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37</v>
      </c>
      <c r="C9" s="40">
        <f t="shared" si="2"/>
        <v>0.33636363636363636</v>
      </c>
      <c r="E9" s="63" t="s">
        <v>90</v>
      </c>
      <c r="F9" s="60" t="s">
        <v>45</v>
      </c>
      <c r="G9" s="47">
        <v>44</v>
      </c>
      <c r="H9" s="133">
        <f t="shared" si="0"/>
        <v>0.16603773584905659</v>
      </c>
      <c r="I9" s="94">
        <v>3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 t="shared" si="2"/>
        <v>0.1</v>
      </c>
      <c r="E10" s="63" t="s">
        <v>66</v>
      </c>
      <c r="F10" s="60" t="s">
        <v>22</v>
      </c>
      <c r="G10" s="47">
        <v>30</v>
      </c>
      <c r="H10" s="133">
        <f t="shared" si="0"/>
        <v>0.11320754716981132</v>
      </c>
      <c r="I10" s="94">
        <v>3</v>
      </c>
      <c r="K10" s="38">
        <v>8</v>
      </c>
      <c r="L10" s="99">
        <v>-1.7000000000000028</v>
      </c>
      <c r="N10" s="114" t="s">
        <v>164</v>
      </c>
      <c r="O10" s="124">
        <f>IF(P10=0,0,Q10/P10)</f>
        <v>3.92</v>
      </c>
      <c r="P10" s="118">
        <v>30</v>
      </c>
      <c r="Q10" s="106">
        <v>117.6</v>
      </c>
    </row>
    <row r="11" spans="1:17" x14ac:dyDescent="0.4">
      <c r="A11" s="56" t="s">
        <v>140</v>
      </c>
      <c r="B11" s="48">
        <v>16</v>
      </c>
      <c r="C11" s="40">
        <f t="shared" si="2"/>
        <v>0.14545454545454545</v>
      </c>
      <c r="E11" s="63" t="s">
        <v>71</v>
      </c>
      <c r="F11" s="60" t="s">
        <v>26</v>
      </c>
      <c r="G11" s="47">
        <v>26</v>
      </c>
      <c r="H11" s="133">
        <f t="shared" si="0"/>
        <v>9.8113207547169817E-2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-1.1846153846153833</v>
      </c>
      <c r="P11" s="119">
        <v>39</v>
      </c>
      <c r="Q11" s="107">
        <v>-46.199999999999946</v>
      </c>
    </row>
    <row r="12" spans="1:17" x14ac:dyDescent="0.4">
      <c r="A12" s="57" t="s">
        <v>160</v>
      </c>
      <c r="B12" s="49">
        <v>7</v>
      </c>
      <c r="C12" s="42">
        <f t="shared" si="2"/>
        <v>6.363636363636363E-2</v>
      </c>
      <c r="E12" s="63" t="s">
        <v>87</v>
      </c>
      <c r="F12" s="60" t="s">
        <v>42</v>
      </c>
      <c r="G12" s="47">
        <v>20</v>
      </c>
      <c r="H12" s="133">
        <f t="shared" si="0"/>
        <v>7.5471698113207544E-2</v>
      </c>
      <c r="I12" s="94">
        <v>5</v>
      </c>
      <c r="K12" s="38">
        <v>10</v>
      </c>
      <c r="L12" s="99">
        <v>-56.500000000000007</v>
      </c>
      <c r="N12" s="116" t="s">
        <v>166</v>
      </c>
      <c r="O12" s="126">
        <f>IF(P12=0,0,Q12/P12)</f>
        <v>1.5829268292682928</v>
      </c>
      <c r="P12" s="120">
        <v>41</v>
      </c>
      <c r="Q12" s="108">
        <v>64.900000000000006</v>
      </c>
    </row>
    <row r="13" spans="1:17" x14ac:dyDescent="0.4">
      <c r="A13" s="58" t="s">
        <v>122</v>
      </c>
      <c r="B13" s="50">
        <v>259</v>
      </c>
      <c r="C13" s="44">
        <f>IF(B$3=0,0,B13/B$3)</f>
        <v>0.28336980306345733</v>
      </c>
      <c r="E13" s="63" t="s">
        <v>72</v>
      </c>
      <c r="F13" s="60" t="s">
        <v>27</v>
      </c>
      <c r="G13" s="47">
        <v>16</v>
      </c>
      <c r="H13" s="133">
        <f t="shared" si="0"/>
        <v>6.0377358490566038E-2</v>
      </c>
      <c r="I13" s="94">
        <v>8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181</v>
      </c>
      <c r="C14" s="39">
        <f>IF(B$3=0,0,B14/B$3)</f>
        <v>0.19803063457330417</v>
      </c>
      <c r="E14" s="63" t="s">
        <v>79</v>
      </c>
      <c r="F14" s="60" t="s">
        <v>34</v>
      </c>
      <c r="G14" s="47">
        <v>12</v>
      </c>
      <c r="H14" s="133">
        <f t="shared" si="0"/>
        <v>4.5283018867924525E-2</v>
      </c>
      <c r="I14" s="94">
        <v>4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146</v>
      </c>
      <c r="C15" s="37">
        <f>IF(B$13=0,0,B15/B$13)</f>
        <v>0.56370656370656369</v>
      </c>
      <c r="E15" s="63" t="s">
        <v>84</v>
      </c>
      <c r="F15" s="60" t="s">
        <v>39</v>
      </c>
      <c r="G15" s="47">
        <v>11</v>
      </c>
      <c r="H15" s="133">
        <f t="shared" si="0"/>
        <v>4.1509433962264149E-2</v>
      </c>
      <c r="I15" s="94">
        <v>9</v>
      </c>
      <c r="K15" s="38">
        <v>13</v>
      </c>
      <c r="L15" s="99">
        <v>-58.7</v>
      </c>
      <c r="N15" s="114" t="s">
        <v>184</v>
      </c>
      <c r="O15" s="124">
        <f t="shared" ref="O15:O23" si="3">IF(P15=0,0,Q15/P15)</f>
        <v>18.200000000000003</v>
      </c>
      <c r="P15" s="118">
        <v>4</v>
      </c>
      <c r="Q15" s="106">
        <v>72.800000000000011</v>
      </c>
    </row>
    <row r="16" spans="1:17" x14ac:dyDescent="0.4">
      <c r="A16" s="54" t="s">
        <v>125</v>
      </c>
      <c r="B16" s="46">
        <v>74</v>
      </c>
      <c r="C16" s="37">
        <f>IF(B$14=0,0,B16/B$14)</f>
        <v>0.40883977900552487</v>
      </c>
      <c r="E16" s="63" t="s">
        <v>92</v>
      </c>
      <c r="F16" s="60" t="s">
        <v>47</v>
      </c>
      <c r="G16" s="47">
        <v>10</v>
      </c>
      <c r="H16" s="133">
        <f t="shared" si="0"/>
        <v>3.7735849056603772E-2</v>
      </c>
      <c r="I16" s="94">
        <v>2</v>
      </c>
      <c r="K16" s="38">
        <v>14</v>
      </c>
      <c r="L16" s="99">
        <v>-29.400000000000002</v>
      </c>
      <c r="N16" s="115" t="s">
        <v>129</v>
      </c>
      <c r="O16" s="125">
        <f t="shared" si="3"/>
        <v>16.48095238095237</v>
      </c>
      <c r="P16" s="119">
        <v>42</v>
      </c>
      <c r="Q16" s="107">
        <v>692.19999999999959</v>
      </c>
    </row>
    <row r="17" spans="1:17" x14ac:dyDescent="0.4">
      <c r="A17" s="54" t="s">
        <v>10</v>
      </c>
      <c r="B17" s="46">
        <f>B19+B18</f>
        <v>265</v>
      </c>
      <c r="C17" s="37">
        <f>IF(B$3=0,0,B17/B$3)</f>
        <v>0.28993435448577681</v>
      </c>
      <c r="E17" s="63" t="s">
        <v>82</v>
      </c>
      <c r="F17" s="60" t="s">
        <v>37</v>
      </c>
      <c r="G17" s="47">
        <v>8</v>
      </c>
      <c r="H17" s="133">
        <f t="shared" si="0"/>
        <v>3.0188679245283019E-2</v>
      </c>
      <c r="I17" s="94">
        <v>4</v>
      </c>
      <c r="K17" s="38">
        <v>15</v>
      </c>
      <c r="L17" s="99">
        <v>-26.3</v>
      </c>
      <c r="N17" s="115" t="s">
        <v>173</v>
      </c>
      <c r="O17" s="125">
        <f t="shared" si="3"/>
        <v>13.94210526315789</v>
      </c>
      <c r="P17" s="119">
        <v>19</v>
      </c>
      <c r="Q17" s="107">
        <v>264.89999999999992</v>
      </c>
    </row>
    <row r="18" spans="1:17" x14ac:dyDescent="0.4">
      <c r="A18" s="55" t="s">
        <v>12</v>
      </c>
      <c r="B18" s="47">
        <v>107</v>
      </c>
      <c r="C18" s="39">
        <f>IF(B$17=0,0,B18/B$17)</f>
        <v>0.4037735849056604</v>
      </c>
      <c r="E18" s="63" t="s">
        <v>80</v>
      </c>
      <c r="F18" s="60" t="s">
        <v>35</v>
      </c>
      <c r="G18" s="47">
        <v>6</v>
      </c>
      <c r="H18" s="133">
        <f t="shared" si="0"/>
        <v>2.2641509433962263E-2</v>
      </c>
      <c r="I18" s="94">
        <v>3</v>
      </c>
      <c r="K18" s="38">
        <v>16</v>
      </c>
      <c r="L18" s="99">
        <v>-50.3</v>
      </c>
      <c r="N18" s="115" t="s">
        <v>172</v>
      </c>
      <c r="O18" s="125">
        <f t="shared" si="3"/>
        <v>7.0136363636363628</v>
      </c>
      <c r="P18" s="119">
        <v>22</v>
      </c>
      <c r="Q18" s="107">
        <v>154.29999999999998</v>
      </c>
    </row>
    <row r="19" spans="1:17" x14ac:dyDescent="0.4">
      <c r="A19" s="55" t="s">
        <v>11</v>
      </c>
      <c r="B19" s="47">
        <v>158</v>
      </c>
      <c r="C19" s="39">
        <f>IF(B$17=0,0,B19/B$17)</f>
        <v>0.5962264150943396</v>
      </c>
      <c r="E19" s="63" t="s">
        <v>180</v>
      </c>
      <c r="F19" s="60" t="s">
        <v>181</v>
      </c>
      <c r="G19" s="47">
        <v>6</v>
      </c>
      <c r="H19" s="133">
        <f t="shared" si="0"/>
        <v>2.2641509433962263E-2</v>
      </c>
      <c r="I19" s="94">
        <v>3</v>
      </c>
      <c r="K19" s="38">
        <v>17</v>
      </c>
      <c r="L19" s="99">
        <v>-74.3</v>
      </c>
      <c r="N19" s="115" t="s">
        <v>127</v>
      </c>
      <c r="O19" s="125">
        <f t="shared" si="3"/>
        <v>1.9269841269841295</v>
      </c>
      <c r="P19" s="119">
        <v>63</v>
      </c>
      <c r="Q19" s="107">
        <v>121.40000000000016</v>
      </c>
    </row>
    <row r="20" spans="1:17" x14ac:dyDescent="0.4">
      <c r="A20" s="55" t="s">
        <v>13</v>
      </c>
      <c r="B20" s="47">
        <v>163</v>
      </c>
      <c r="C20" s="39">
        <f>IF(B$3=0,0,B20/B$3)</f>
        <v>0.17833698030634573</v>
      </c>
      <c r="E20" s="63" t="s">
        <v>74</v>
      </c>
      <c r="F20" s="60" t="s">
        <v>29</v>
      </c>
      <c r="G20" s="47">
        <v>3</v>
      </c>
      <c r="H20" s="133">
        <f t="shared" si="0"/>
        <v>1.1320754716981131E-2</v>
      </c>
      <c r="I20" s="94">
        <v>3</v>
      </c>
      <c r="K20" s="38">
        <v>18</v>
      </c>
      <c r="L20" s="99">
        <v>-76.099999999999994</v>
      </c>
      <c r="N20" s="115" t="s">
        <v>128</v>
      </c>
      <c r="O20" s="125">
        <f t="shared" si="3"/>
        <v>0.24736842105262688</v>
      </c>
      <c r="P20" s="119">
        <v>38</v>
      </c>
      <c r="Q20" s="107">
        <v>9.3999999999998209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76</v>
      </c>
      <c r="F21" s="60" t="s">
        <v>31</v>
      </c>
      <c r="G21" s="47">
        <v>3</v>
      </c>
      <c r="H21" s="133">
        <f t="shared" si="0"/>
        <v>1.1320754716981131E-2</v>
      </c>
      <c r="I21" s="94">
        <v>2</v>
      </c>
      <c r="K21" s="38">
        <v>19</v>
      </c>
      <c r="L21" s="99">
        <v>0.60000000000000853</v>
      </c>
      <c r="N21" s="115" t="s">
        <v>200</v>
      </c>
      <c r="O21" s="125">
        <f t="shared" si="3"/>
        <v>-12.75</v>
      </c>
      <c r="P21" s="119">
        <v>6</v>
      </c>
      <c r="Q21" s="107">
        <v>-76.5</v>
      </c>
    </row>
    <row r="22" spans="1:17" x14ac:dyDescent="0.4">
      <c r="A22" s="55" t="s">
        <v>192</v>
      </c>
      <c r="B22" s="47">
        <v>32</v>
      </c>
      <c r="C22" s="135">
        <v>0</v>
      </c>
      <c r="E22" s="63" t="s">
        <v>78</v>
      </c>
      <c r="F22" s="60" t="s">
        <v>33</v>
      </c>
      <c r="G22" s="47">
        <v>3</v>
      </c>
      <c r="H22" s="133">
        <f t="shared" si="0"/>
        <v>1.1320754716981131E-2</v>
      </c>
      <c r="I22" s="94">
        <v>3</v>
      </c>
      <c r="K22" s="38">
        <v>20</v>
      </c>
      <c r="L22" s="99">
        <v>-3.5999999999999917</v>
      </c>
      <c r="N22" s="115" t="s">
        <v>177</v>
      </c>
      <c r="O22" s="125">
        <f t="shared" si="3"/>
        <v>-30.404</v>
      </c>
      <c r="P22" s="119">
        <v>25</v>
      </c>
      <c r="Q22" s="107">
        <v>-760.1</v>
      </c>
    </row>
    <row r="23" spans="1:17" x14ac:dyDescent="0.4">
      <c r="A23" s="55" t="s">
        <v>5</v>
      </c>
      <c r="B23" s="51">
        <f>IF(B$17=0,0,C23/B$17)</f>
        <v>10015.094339622641</v>
      </c>
      <c r="C23" s="41">
        <v>2654000</v>
      </c>
      <c r="E23" s="63" t="s">
        <v>93</v>
      </c>
      <c r="F23" s="60" t="s">
        <v>48</v>
      </c>
      <c r="G23" s="47">
        <v>3</v>
      </c>
      <c r="H23" s="133">
        <f t="shared" si="0"/>
        <v>1.1320754716981131E-2</v>
      </c>
      <c r="I23" s="94">
        <v>1</v>
      </c>
      <c r="K23" s="38">
        <v>21</v>
      </c>
      <c r="L23" s="99">
        <v>-3.0999999999999917</v>
      </c>
      <c r="N23" s="115" t="s">
        <v>222</v>
      </c>
      <c r="O23" s="125">
        <f t="shared" si="3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-8357.6687116564426</v>
      </c>
      <c r="C24" s="45">
        <v>-1362300</v>
      </c>
      <c r="E24" s="63" t="s">
        <v>85</v>
      </c>
      <c r="F24" s="60" t="s">
        <v>40</v>
      </c>
      <c r="G24" s="47">
        <v>2</v>
      </c>
      <c r="H24" s="133">
        <f t="shared" si="0"/>
        <v>7.5471698113207548E-3</v>
      </c>
      <c r="I24" s="94">
        <v>1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 t="shared" si="0"/>
        <v>3.7735849056603774E-3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96000</v>
      </c>
      <c r="C26" s="143"/>
      <c r="E26" s="63" t="s">
        <v>94</v>
      </c>
      <c r="F26" s="60" t="s">
        <v>49</v>
      </c>
      <c r="G26" s="47">
        <v>1</v>
      </c>
      <c r="H26" s="133">
        <f t="shared" si="0"/>
        <v>3.7735849056603774E-3</v>
      </c>
      <c r="I26" s="94">
        <v>2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2</v>
      </c>
      <c r="C27" s="42">
        <f>IF(B$3=0,0,B27/B$3)</f>
        <v>2.1881838074398249E-3</v>
      </c>
      <c r="E27" s="63" t="s">
        <v>75</v>
      </c>
      <c r="F27" s="60" t="s">
        <v>30</v>
      </c>
      <c r="G27" s="47">
        <v>0</v>
      </c>
      <c r="H27" s="133">
        <f t="shared" si="0"/>
        <v>0</v>
      </c>
      <c r="I27" s="94">
        <v>7</v>
      </c>
      <c r="K27" s="38">
        <v>25</v>
      </c>
      <c r="L27" s="99">
        <v>-39.999999999999986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 t="shared" si="0"/>
        <v>0</v>
      </c>
      <c r="I28" s="94">
        <v>1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 t="shared" si="0"/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 t="shared" si="0"/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 t="shared" si="0"/>
        <v>0</v>
      </c>
      <c r="I31" s="94">
        <v>5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 t="shared" si="0"/>
        <v>0</v>
      </c>
      <c r="I32" s="94">
        <v>5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 t="shared" si="0"/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3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 t="shared" si="4"/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 t="shared" si="4"/>
        <v>0</v>
      </c>
      <c r="I46" s="94">
        <v>3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  <row r="95" spans="11:12" x14ac:dyDescent="0.4">
      <c r="K95" s="38">
        <v>93</v>
      </c>
      <c r="L95" s="99">
        <v>-125.79999999999998</v>
      </c>
    </row>
    <row r="96" spans="11:12" x14ac:dyDescent="0.4">
      <c r="K96" s="38">
        <v>94</v>
      </c>
      <c r="L96" s="99">
        <v>-44.799999999999983</v>
      </c>
    </row>
    <row r="97" spans="11:12" x14ac:dyDescent="0.4">
      <c r="K97" s="38">
        <v>95</v>
      </c>
      <c r="L97" s="99">
        <v>-1.8999999999999844</v>
      </c>
    </row>
    <row r="98" spans="11:12" x14ac:dyDescent="0.4">
      <c r="K98" s="38">
        <v>96</v>
      </c>
      <c r="L98" s="99">
        <v>-48.599999999999987</v>
      </c>
    </row>
    <row r="99" spans="11:12" x14ac:dyDescent="0.4">
      <c r="K99" s="38">
        <v>97</v>
      </c>
      <c r="L99" s="99">
        <v>-49.399999999999984</v>
      </c>
    </row>
    <row r="100" spans="11:12" x14ac:dyDescent="0.4">
      <c r="K100" s="38">
        <v>98</v>
      </c>
      <c r="L100" s="99">
        <v>22.600000000000016</v>
      </c>
    </row>
    <row r="101" spans="11:12" x14ac:dyDescent="0.4">
      <c r="K101" s="38">
        <v>99</v>
      </c>
      <c r="L101" s="99">
        <v>-10.099999999999987</v>
      </c>
    </row>
    <row r="102" spans="11:12" x14ac:dyDescent="0.4">
      <c r="K102" s="38">
        <v>100</v>
      </c>
      <c r="L102" s="99">
        <v>-46.699999999999989</v>
      </c>
    </row>
    <row r="103" spans="11:12" x14ac:dyDescent="0.4">
      <c r="K103" s="38">
        <v>101</v>
      </c>
      <c r="L103" s="99">
        <v>-17.099999999999987</v>
      </c>
    </row>
    <row r="104" spans="11:12" x14ac:dyDescent="0.4">
      <c r="K104" s="38">
        <v>102</v>
      </c>
      <c r="L104" s="99">
        <v>27.400000000000013</v>
      </c>
    </row>
    <row r="105" spans="11:12" x14ac:dyDescent="0.4">
      <c r="K105" s="38">
        <v>103</v>
      </c>
      <c r="L105" s="99">
        <v>34.400000000000013</v>
      </c>
    </row>
    <row r="106" spans="11:12" x14ac:dyDescent="0.4">
      <c r="K106" s="38">
        <v>104</v>
      </c>
      <c r="L106" s="99">
        <v>29.800000000000011</v>
      </c>
    </row>
    <row r="107" spans="11:12" x14ac:dyDescent="0.4">
      <c r="K107" s="38">
        <v>105</v>
      </c>
      <c r="L107" s="99">
        <v>105.00000000000001</v>
      </c>
    </row>
    <row r="108" spans="11:12" x14ac:dyDescent="0.4">
      <c r="K108" s="38">
        <v>106</v>
      </c>
      <c r="L108" s="99">
        <v>140.5</v>
      </c>
    </row>
    <row r="109" spans="11:12" x14ac:dyDescent="0.4">
      <c r="K109" s="38">
        <v>107</v>
      </c>
      <c r="L109" s="99">
        <v>198.1</v>
      </c>
    </row>
    <row r="110" spans="11:12" x14ac:dyDescent="0.4">
      <c r="K110" s="38">
        <v>108</v>
      </c>
      <c r="L110" s="99">
        <v>181</v>
      </c>
    </row>
    <row r="111" spans="11:12" x14ac:dyDescent="0.4">
      <c r="K111" s="38">
        <v>109</v>
      </c>
      <c r="L111" s="99">
        <v>167.1</v>
      </c>
    </row>
    <row r="112" spans="11:12" x14ac:dyDescent="0.4">
      <c r="K112" s="38">
        <v>110</v>
      </c>
      <c r="L112" s="99">
        <v>136.29999999999998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39599-F99B-432E-8C51-DFDC0C27D392}">
  <sheetPr codeName="Sheet15"/>
  <dimension ref="A1:Q10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105</v>
      </c>
      <c r="C2" s="151"/>
      <c r="E2" s="62" t="s">
        <v>67</v>
      </c>
      <c r="F2" s="59" t="s">
        <v>23</v>
      </c>
      <c r="G2" s="46">
        <v>190</v>
      </c>
      <c r="H2" s="132">
        <f t="shared" ref="H2:H33" si="0">IF(B$17=0,0,G2/B$17)</f>
        <v>0.64189189189189189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1">IF(P2=0,0,Q2/P2)</f>
        <v>37.142857142857146</v>
      </c>
      <c r="P2" s="118">
        <v>105</v>
      </c>
      <c r="Q2" s="102">
        <v>3900</v>
      </c>
    </row>
    <row r="3" spans="1:17" x14ac:dyDescent="0.4">
      <c r="A3" s="55" t="s">
        <v>8</v>
      </c>
      <c r="B3" s="152">
        <v>890</v>
      </c>
      <c r="C3" s="153"/>
      <c r="E3" s="63" t="s">
        <v>73</v>
      </c>
      <c r="F3" s="60" t="s">
        <v>28</v>
      </c>
      <c r="G3" s="47">
        <v>168</v>
      </c>
      <c r="H3" s="133">
        <f t="shared" si="0"/>
        <v>0.56756756756756754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1"/>
        <v>-963.80952380952385</v>
      </c>
      <c r="P3" s="119">
        <v>105</v>
      </c>
      <c r="Q3" s="103">
        <v>-101200</v>
      </c>
    </row>
    <row r="4" spans="1:17" x14ac:dyDescent="0.4">
      <c r="A4" s="55" t="s">
        <v>6</v>
      </c>
      <c r="B4" s="154">
        <v>-243.50000000000006</v>
      </c>
      <c r="C4" s="155"/>
      <c r="E4" s="63" t="s">
        <v>245</v>
      </c>
      <c r="F4" s="60" t="s">
        <v>246</v>
      </c>
      <c r="G4" s="47">
        <v>126</v>
      </c>
      <c r="H4" s="133">
        <f t="shared" si="0"/>
        <v>0.42567567567567566</v>
      </c>
      <c r="I4" s="94">
        <v>4</v>
      </c>
      <c r="K4" s="38">
        <v>2</v>
      </c>
      <c r="L4" s="99">
        <v>-7.7000000000000011</v>
      </c>
      <c r="N4" s="115" t="s">
        <v>134</v>
      </c>
      <c r="O4" s="122">
        <f t="shared" si="1"/>
        <v>-1045.2631578947369</v>
      </c>
      <c r="P4" s="119">
        <v>95</v>
      </c>
      <c r="Q4" s="103">
        <v>-99300</v>
      </c>
    </row>
    <row r="5" spans="1:17" x14ac:dyDescent="0.4">
      <c r="A5" s="55" t="s">
        <v>7</v>
      </c>
      <c r="B5" s="156">
        <f>IF(B$2=0,0,B$4/B$2)</f>
        <v>-2.3190476190476197</v>
      </c>
      <c r="C5" s="157"/>
      <c r="E5" s="63" t="s">
        <v>65</v>
      </c>
      <c r="F5" s="60" t="s">
        <v>21</v>
      </c>
      <c r="G5" s="47">
        <v>105</v>
      </c>
      <c r="H5" s="133">
        <f t="shared" si="0"/>
        <v>0.35472972972972971</v>
      </c>
      <c r="I5" s="94">
        <v>14</v>
      </c>
      <c r="K5" s="38">
        <v>3</v>
      </c>
      <c r="L5" s="99">
        <v>1.7999999999999989</v>
      </c>
      <c r="N5" s="115" t="s">
        <v>135</v>
      </c>
      <c r="O5" s="122">
        <f t="shared" si="1"/>
        <v>1017.7777777777778</v>
      </c>
      <c r="P5" s="119">
        <v>90</v>
      </c>
      <c r="Q5" s="103">
        <v>91600</v>
      </c>
    </row>
    <row r="6" spans="1:17" x14ac:dyDescent="0.4">
      <c r="A6" s="55" t="s">
        <v>1</v>
      </c>
      <c r="B6" s="146">
        <f>IF(B$2=0,0,(B$7*1+B$8*2+B$9*3)/B$2)</f>
        <v>2.0571428571428569</v>
      </c>
      <c r="C6" s="147"/>
      <c r="E6" s="63" t="s">
        <v>69</v>
      </c>
      <c r="F6" s="60" t="s">
        <v>12</v>
      </c>
      <c r="G6" s="47">
        <v>73</v>
      </c>
      <c r="H6" s="133">
        <f t="shared" si="0"/>
        <v>0.24662162162162163</v>
      </c>
      <c r="I6" s="94">
        <v>13</v>
      </c>
      <c r="K6" s="38">
        <v>4</v>
      </c>
      <c r="L6" s="99">
        <v>34.9</v>
      </c>
      <c r="N6" s="115" t="s">
        <v>136</v>
      </c>
      <c r="O6" s="122">
        <f t="shared" si="1"/>
        <v>-176.1904761904762</v>
      </c>
      <c r="P6" s="119">
        <v>84</v>
      </c>
      <c r="Q6" s="103">
        <v>-14800</v>
      </c>
    </row>
    <row r="7" spans="1:17" x14ac:dyDescent="0.4">
      <c r="A7" s="55" t="s">
        <v>2</v>
      </c>
      <c r="B7" s="47">
        <v>26</v>
      </c>
      <c r="C7" s="39">
        <f t="shared" ref="C7:C12" si="2">IF(B$2=0,0,B7/B$2)</f>
        <v>0.24761904761904763</v>
      </c>
      <c r="E7" s="63" t="s">
        <v>68</v>
      </c>
      <c r="F7" s="60" t="s">
        <v>24</v>
      </c>
      <c r="G7" s="47">
        <v>53</v>
      </c>
      <c r="H7" s="133">
        <f t="shared" si="0"/>
        <v>0.17905405405405406</v>
      </c>
      <c r="I7" s="94">
        <v>13</v>
      </c>
      <c r="K7" s="38">
        <v>5</v>
      </c>
      <c r="L7" s="99">
        <v>29.4</v>
      </c>
      <c r="N7" s="116" t="s">
        <v>137</v>
      </c>
      <c r="O7" s="123">
        <f t="shared" si="1"/>
        <v>-549.29577464788736</v>
      </c>
      <c r="P7" s="120">
        <v>71</v>
      </c>
      <c r="Q7" s="104">
        <v>-39000</v>
      </c>
    </row>
    <row r="8" spans="1:17" x14ac:dyDescent="0.4">
      <c r="A8" s="55" t="s">
        <v>3</v>
      </c>
      <c r="B8" s="47">
        <v>47</v>
      </c>
      <c r="C8" s="39">
        <f t="shared" si="2"/>
        <v>0.44761904761904764</v>
      </c>
      <c r="E8" s="63" t="s">
        <v>70</v>
      </c>
      <c r="F8" s="60" t="s">
        <v>25</v>
      </c>
      <c r="G8" s="47">
        <v>46</v>
      </c>
      <c r="H8" s="133">
        <f t="shared" si="0"/>
        <v>0.1554054054054054</v>
      </c>
      <c r="I8" s="94">
        <v>7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32</v>
      </c>
      <c r="C9" s="40">
        <f t="shared" si="2"/>
        <v>0.30476190476190479</v>
      </c>
      <c r="E9" s="63" t="s">
        <v>66</v>
      </c>
      <c r="F9" s="60" t="s">
        <v>22</v>
      </c>
      <c r="G9" s="47">
        <v>31</v>
      </c>
      <c r="H9" s="133">
        <f t="shared" si="0"/>
        <v>0.10472972972972973</v>
      </c>
      <c r="I9" s="94">
        <v>7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 t="shared" si="2"/>
        <v>5.7142857142857141E-2</v>
      </c>
      <c r="E10" s="63" t="s">
        <v>90</v>
      </c>
      <c r="F10" s="60" t="s">
        <v>45</v>
      </c>
      <c r="G10" s="47">
        <v>24</v>
      </c>
      <c r="H10" s="133">
        <f t="shared" si="0"/>
        <v>8.1081081081081086E-2</v>
      </c>
      <c r="I10" s="94">
        <v>13</v>
      </c>
      <c r="K10" s="38">
        <v>8</v>
      </c>
      <c r="L10" s="99">
        <v>-29.5</v>
      </c>
      <c r="N10" s="114" t="s">
        <v>164</v>
      </c>
      <c r="O10" s="124">
        <f>IF(P10=0,0,Q10/P10)</f>
        <v>-4.161764705882355</v>
      </c>
      <c r="P10" s="118">
        <v>34</v>
      </c>
      <c r="Q10" s="106">
        <v>-141.50000000000009</v>
      </c>
    </row>
    <row r="11" spans="1:17" x14ac:dyDescent="0.4">
      <c r="A11" s="56" t="s">
        <v>140</v>
      </c>
      <c r="B11" s="48">
        <v>10</v>
      </c>
      <c r="C11" s="40">
        <f t="shared" si="2"/>
        <v>9.5238095238095233E-2</v>
      </c>
      <c r="E11" s="63" t="s">
        <v>72</v>
      </c>
      <c r="F11" s="60" t="s">
        <v>27</v>
      </c>
      <c r="G11" s="47">
        <v>23</v>
      </c>
      <c r="H11" s="133">
        <f t="shared" si="0"/>
        <v>7.77027027027027E-2</v>
      </c>
      <c r="I11" s="94">
        <v>4</v>
      </c>
      <c r="K11" s="38">
        <v>9</v>
      </c>
      <c r="L11" s="99">
        <v>-56.5</v>
      </c>
      <c r="N11" s="115" t="s">
        <v>165</v>
      </c>
      <c r="O11" s="125">
        <f>IF(P11=0,0,Q11/P11)</f>
        <v>1.9129032258064516</v>
      </c>
      <c r="P11" s="119">
        <v>31</v>
      </c>
      <c r="Q11" s="107">
        <v>59.3</v>
      </c>
    </row>
    <row r="12" spans="1:17" x14ac:dyDescent="0.4">
      <c r="A12" s="57" t="s">
        <v>160</v>
      </c>
      <c r="B12" s="49">
        <v>9</v>
      </c>
      <c r="C12" s="42">
        <f t="shared" si="2"/>
        <v>8.5714285714285715E-2</v>
      </c>
      <c r="E12" s="63" t="s">
        <v>71</v>
      </c>
      <c r="F12" s="60" t="s">
        <v>26</v>
      </c>
      <c r="G12" s="47">
        <v>21</v>
      </c>
      <c r="H12" s="133">
        <f t="shared" si="0"/>
        <v>7.0945945945945943E-2</v>
      </c>
      <c r="I12" s="94">
        <v>9</v>
      </c>
      <c r="K12" s="38">
        <v>10</v>
      </c>
      <c r="L12" s="99">
        <v>24.200000000000003</v>
      </c>
      <c r="N12" s="116" t="s">
        <v>166</v>
      </c>
      <c r="O12" s="126">
        <f>IF(P12=0,0,Q12/P12)</f>
        <v>-4.0325000000000006</v>
      </c>
      <c r="P12" s="120">
        <v>40</v>
      </c>
      <c r="Q12" s="108">
        <v>-161.30000000000001</v>
      </c>
    </row>
    <row r="13" spans="1:17" x14ac:dyDescent="0.4">
      <c r="A13" s="58" t="s">
        <v>122</v>
      </c>
      <c r="B13" s="50">
        <v>189</v>
      </c>
      <c r="C13" s="44">
        <f>IF(B$3=0,0,B13/B$3)</f>
        <v>0.21235955056179776</v>
      </c>
      <c r="E13" s="63" t="s">
        <v>84</v>
      </c>
      <c r="F13" s="60" t="s">
        <v>39</v>
      </c>
      <c r="G13" s="47">
        <v>21</v>
      </c>
      <c r="H13" s="133">
        <f t="shared" si="0"/>
        <v>7.0945945945945943E-2</v>
      </c>
      <c r="I13" s="94">
        <v>3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254</v>
      </c>
      <c r="C14" s="39">
        <f>IF(B$3=0,0,B14/B$3)</f>
        <v>0.28539325842696628</v>
      </c>
      <c r="E14" s="63" t="s">
        <v>87</v>
      </c>
      <c r="F14" s="60" t="s">
        <v>42</v>
      </c>
      <c r="G14" s="47">
        <v>13</v>
      </c>
      <c r="H14" s="133">
        <f t="shared" si="0"/>
        <v>4.3918918918918921E-2</v>
      </c>
      <c r="I14" s="94">
        <v>12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104</v>
      </c>
      <c r="C15" s="37">
        <f>IF(B$13=0,0,B15/B$13)</f>
        <v>0.55026455026455023</v>
      </c>
      <c r="E15" s="63" t="s">
        <v>82</v>
      </c>
      <c r="F15" s="60" t="s">
        <v>37</v>
      </c>
      <c r="G15" s="47">
        <v>9</v>
      </c>
      <c r="H15" s="133">
        <f t="shared" si="0"/>
        <v>3.0405405405405407E-2</v>
      </c>
      <c r="I15" s="94">
        <v>3</v>
      </c>
      <c r="K15" s="38">
        <v>13</v>
      </c>
      <c r="L15" s="99">
        <v>-3</v>
      </c>
      <c r="N15" s="114" t="s">
        <v>184</v>
      </c>
      <c r="O15" s="124">
        <f t="shared" ref="O15:O23" si="3">IF(P15=0,0,Q15/P15)</f>
        <v>44.424999999999997</v>
      </c>
      <c r="P15" s="118">
        <v>4</v>
      </c>
      <c r="Q15" s="106">
        <v>177.7</v>
      </c>
    </row>
    <row r="16" spans="1:17" x14ac:dyDescent="0.4">
      <c r="A16" s="54" t="s">
        <v>125</v>
      </c>
      <c r="B16" s="46">
        <v>107</v>
      </c>
      <c r="C16" s="37">
        <f>IF(B$14=0,0,B16/B$14)</f>
        <v>0.42125984251968501</v>
      </c>
      <c r="E16" s="63" t="s">
        <v>79</v>
      </c>
      <c r="F16" s="60" t="s">
        <v>34</v>
      </c>
      <c r="G16" s="47">
        <v>4</v>
      </c>
      <c r="H16" s="133">
        <f t="shared" si="0"/>
        <v>1.3513513513513514E-2</v>
      </c>
      <c r="I16" s="94">
        <v>11</v>
      </c>
      <c r="K16" s="38">
        <v>14</v>
      </c>
      <c r="L16" s="99">
        <v>-12.3</v>
      </c>
      <c r="N16" s="115" t="s">
        <v>129</v>
      </c>
      <c r="O16" s="125">
        <f t="shared" si="3"/>
        <v>21.449999999999992</v>
      </c>
      <c r="P16" s="119">
        <v>38</v>
      </c>
      <c r="Q16" s="107">
        <v>815.09999999999968</v>
      </c>
    </row>
    <row r="17" spans="1:17" x14ac:dyDescent="0.4">
      <c r="A17" s="54" t="s">
        <v>10</v>
      </c>
      <c r="B17" s="46">
        <f>B19+B18</f>
        <v>296</v>
      </c>
      <c r="C17" s="37">
        <f>IF(B$3=0,0,B17/B$3)</f>
        <v>0.33258426966292137</v>
      </c>
      <c r="E17" s="63" t="s">
        <v>92</v>
      </c>
      <c r="F17" s="60" t="s">
        <v>47</v>
      </c>
      <c r="G17" s="47">
        <v>4</v>
      </c>
      <c r="H17" s="133">
        <f t="shared" si="0"/>
        <v>1.3513513513513514E-2</v>
      </c>
      <c r="I17" s="94">
        <v>8</v>
      </c>
      <c r="K17" s="38">
        <v>15</v>
      </c>
      <c r="L17" s="99">
        <v>-80.3</v>
      </c>
      <c r="N17" s="115" t="s">
        <v>173</v>
      </c>
      <c r="O17" s="125">
        <f t="shared" si="3"/>
        <v>4.0692307692307663</v>
      </c>
      <c r="P17" s="119">
        <v>13</v>
      </c>
      <c r="Q17" s="107">
        <v>52.899999999999963</v>
      </c>
    </row>
    <row r="18" spans="1:17" x14ac:dyDescent="0.4">
      <c r="A18" s="55" t="s">
        <v>12</v>
      </c>
      <c r="B18" s="47">
        <v>117</v>
      </c>
      <c r="C18" s="39">
        <f>IF(B$17=0,0,B18/B$17)</f>
        <v>0.39527027027027029</v>
      </c>
      <c r="E18" s="63" t="s">
        <v>80</v>
      </c>
      <c r="F18" s="60" t="s">
        <v>35</v>
      </c>
      <c r="G18" s="47">
        <v>3</v>
      </c>
      <c r="H18" s="133">
        <f t="shared" si="0"/>
        <v>1.0135135135135136E-2</v>
      </c>
      <c r="I18" s="94">
        <v>11</v>
      </c>
      <c r="K18" s="38">
        <v>16</v>
      </c>
      <c r="L18" s="99">
        <v>-87.6</v>
      </c>
      <c r="N18" s="115" t="s">
        <v>177</v>
      </c>
      <c r="O18" s="125">
        <f t="shared" si="3"/>
        <v>1.6363636363636347</v>
      </c>
      <c r="P18" s="119">
        <v>33</v>
      </c>
      <c r="Q18" s="107">
        <v>53.999999999999943</v>
      </c>
    </row>
    <row r="19" spans="1:17" x14ac:dyDescent="0.4">
      <c r="A19" s="55" t="s">
        <v>11</v>
      </c>
      <c r="B19" s="47">
        <v>179</v>
      </c>
      <c r="C19" s="39">
        <f>IF(B$17=0,0,B19/B$17)</f>
        <v>0.60472972972972971</v>
      </c>
      <c r="E19" s="63" t="s">
        <v>75</v>
      </c>
      <c r="F19" s="60" t="s">
        <v>30</v>
      </c>
      <c r="G19" s="47">
        <v>2</v>
      </c>
      <c r="H19" s="133">
        <f t="shared" si="0"/>
        <v>6.7567567567567571E-3</v>
      </c>
      <c r="I19" s="94">
        <v>4</v>
      </c>
      <c r="K19" s="38">
        <v>17</v>
      </c>
      <c r="L19" s="99">
        <v>-55.099999999999994</v>
      </c>
      <c r="N19" s="115" t="s">
        <v>128</v>
      </c>
      <c r="O19" s="125">
        <f t="shared" si="3"/>
        <v>0.40270270270270248</v>
      </c>
      <c r="P19" s="119">
        <v>37</v>
      </c>
      <c r="Q19" s="107">
        <v>14.899999999999991</v>
      </c>
    </row>
    <row r="20" spans="1:17" x14ac:dyDescent="0.4">
      <c r="A20" s="55" t="s">
        <v>13</v>
      </c>
      <c r="B20" s="47">
        <v>130</v>
      </c>
      <c r="C20" s="39">
        <f>IF(B$3=0,0,B20/B$3)</f>
        <v>0.14606741573033707</v>
      </c>
      <c r="E20" s="63" t="s">
        <v>74</v>
      </c>
      <c r="F20" s="60" t="s">
        <v>29</v>
      </c>
      <c r="G20" s="47">
        <v>1</v>
      </c>
      <c r="H20" s="133">
        <f t="shared" si="0"/>
        <v>3.3783783783783786E-3</v>
      </c>
      <c r="I20" s="94">
        <v>7</v>
      </c>
      <c r="K20" s="38">
        <v>18</v>
      </c>
      <c r="L20" s="99">
        <v>-28.199999999999996</v>
      </c>
      <c r="N20" s="115" t="s">
        <v>171</v>
      </c>
      <c r="O20" s="125">
        <f t="shared" si="3"/>
        <v>-7.0136363636363646</v>
      </c>
      <c r="P20" s="119">
        <v>22</v>
      </c>
      <c r="Q20" s="107">
        <v>-154.30000000000001</v>
      </c>
    </row>
    <row r="21" spans="1:17" x14ac:dyDescent="0.4">
      <c r="A21" s="55" t="s">
        <v>191</v>
      </c>
      <c r="B21" s="47">
        <v>10</v>
      </c>
      <c r="C21" s="135">
        <v>0</v>
      </c>
      <c r="E21" s="63" t="s">
        <v>76</v>
      </c>
      <c r="F21" s="60" t="s">
        <v>31</v>
      </c>
      <c r="G21" s="47">
        <v>1</v>
      </c>
      <c r="H21" s="133">
        <f t="shared" si="0"/>
        <v>3.3783783783783786E-3</v>
      </c>
      <c r="I21" s="94">
        <v>7</v>
      </c>
      <c r="K21" s="38">
        <v>19</v>
      </c>
      <c r="L21" s="99">
        <v>29.200000000000003</v>
      </c>
      <c r="N21" s="115" t="s">
        <v>200</v>
      </c>
      <c r="O21" s="125">
        <f t="shared" si="3"/>
        <v>-16.62857142857143</v>
      </c>
      <c r="P21" s="119">
        <v>7</v>
      </c>
      <c r="Q21" s="107">
        <v>-116.40000000000002</v>
      </c>
    </row>
    <row r="22" spans="1:17" x14ac:dyDescent="0.4">
      <c r="A22" s="55" t="s">
        <v>192</v>
      </c>
      <c r="B22" s="47">
        <v>23</v>
      </c>
      <c r="C22" s="135">
        <v>1</v>
      </c>
      <c r="E22" s="63" t="s">
        <v>78</v>
      </c>
      <c r="F22" s="60" t="s">
        <v>33</v>
      </c>
      <c r="G22" s="47">
        <v>1</v>
      </c>
      <c r="H22" s="133">
        <f t="shared" si="0"/>
        <v>3.3783783783783786E-3</v>
      </c>
      <c r="I22" s="94">
        <v>7</v>
      </c>
      <c r="K22" s="38">
        <v>20</v>
      </c>
      <c r="L22" s="99">
        <v>43</v>
      </c>
      <c r="N22" s="115" t="s">
        <v>127</v>
      </c>
      <c r="O22" s="125">
        <f t="shared" si="3"/>
        <v>-27.732075471698106</v>
      </c>
      <c r="P22" s="119">
        <v>53</v>
      </c>
      <c r="Q22" s="107">
        <v>-1469.7999999999997</v>
      </c>
    </row>
    <row r="23" spans="1:17" x14ac:dyDescent="0.4">
      <c r="A23" s="55" t="s">
        <v>5</v>
      </c>
      <c r="B23" s="51">
        <f>IF(B$17=0,0,C23/B$17)</f>
        <v>6762.5</v>
      </c>
      <c r="C23" s="41">
        <v>2001700</v>
      </c>
      <c r="E23" s="63" t="s">
        <v>88</v>
      </c>
      <c r="F23" s="60" t="s">
        <v>43</v>
      </c>
      <c r="G23" s="47">
        <v>1</v>
      </c>
      <c r="H23" s="133">
        <f t="shared" si="0"/>
        <v>3.3783783783783786E-3</v>
      </c>
      <c r="I23" s="94">
        <v>4</v>
      </c>
      <c r="K23" s="38">
        <v>21</v>
      </c>
      <c r="L23" s="99">
        <v>89.9</v>
      </c>
      <c r="N23" s="115" t="s">
        <v>223</v>
      </c>
      <c r="O23" s="125">
        <f t="shared" si="3"/>
        <v>-34.866666666666667</v>
      </c>
      <c r="P23" s="119">
        <v>3</v>
      </c>
      <c r="Q23" s="107">
        <v>-104.6</v>
      </c>
    </row>
    <row r="24" spans="1:17" x14ac:dyDescent="0.4">
      <c r="A24" s="57" t="s">
        <v>14</v>
      </c>
      <c r="B24" s="52">
        <f>IF(B$20=0,0,C24/B$20)</f>
        <v>-8148.4615384615381</v>
      </c>
      <c r="C24" s="45">
        <v>-1059300</v>
      </c>
      <c r="E24" s="63" t="s">
        <v>91</v>
      </c>
      <c r="F24" s="60" t="s">
        <v>46</v>
      </c>
      <c r="G24" s="47">
        <v>1</v>
      </c>
      <c r="H24" s="133">
        <f t="shared" si="0"/>
        <v>3.3783783783783786E-3</v>
      </c>
      <c r="I24" s="94">
        <v>3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77</v>
      </c>
      <c r="F25" s="60" t="s">
        <v>32</v>
      </c>
      <c r="G25" s="47">
        <v>0</v>
      </c>
      <c r="H25" s="133">
        <f t="shared" si="0"/>
        <v>0</v>
      </c>
      <c r="I25" s="94">
        <v>1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81</v>
      </c>
      <c r="F26" s="60" t="s">
        <v>36</v>
      </c>
      <c r="G26" s="47">
        <v>0</v>
      </c>
      <c r="H26" s="133">
        <f t="shared" si="0"/>
        <v>0</v>
      </c>
      <c r="I26" s="94">
        <v>1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1.1235955056179776E-3</v>
      </c>
      <c r="E27" s="63" t="s">
        <v>83</v>
      </c>
      <c r="F27" s="60" t="s">
        <v>38</v>
      </c>
      <c r="G27" s="47">
        <v>0</v>
      </c>
      <c r="H27" s="133">
        <f t="shared" si="0"/>
        <v>0</v>
      </c>
      <c r="I27" s="94">
        <v>1</v>
      </c>
      <c r="K27" s="38">
        <v>25</v>
      </c>
      <c r="L27" s="99">
        <v>30.400000000000006</v>
      </c>
    </row>
    <row r="28" spans="1:17" x14ac:dyDescent="0.4">
      <c r="E28" s="63" t="s">
        <v>85</v>
      </c>
      <c r="F28" s="60" t="s">
        <v>40</v>
      </c>
      <c r="G28" s="47">
        <v>0</v>
      </c>
      <c r="H28" s="133">
        <f t="shared" si="0"/>
        <v>0</v>
      </c>
      <c r="I28" s="94">
        <v>6</v>
      </c>
      <c r="K28" s="38">
        <v>26</v>
      </c>
      <c r="L28" s="99">
        <v>32.900000000000006</v>
      </c>
    </row>
    <row r="29" spans="1:17" x14ac:dyDescent="0.4">
      <c r="E29" s="63" t="s">
        <v>86</v>
      </c>
      <c r="F29" s="60" t="s">
        <v>41</v>
      </c>
      <c r="G29" s="47">
        <v>0</v>
      </c>
      <c r="H29" s="133">
        <f t="shared" si="0"/>
        <v>0</v>
      </c>
      <c r="I29" s="94">
        <v>5</v>
      </c>
      <c r="K29" s="38">
        <v>27</v>
      </c>
      <c r="L29" s="99">
        <v>40.400000000000006</v>
      </c>
    </row>
    <row r="30" spans="1:17" x14ac:dyDescent="0.4">
      <c r="E30" s="63" t="s">
        <v>89</v>
      </c>
      <c r="F30" s="60" t="s">
        <v>44</v>
      </c>
      <c r="G30" s="47">
        <v>0</v>
      </c>
      <c r="H30" s="133">
        <f t="shared" si="0"/>
        <v>0</v>
      </c>
      <c r="I30" s="94">
        <v>5</v>
      </c>
      <c r="K30" s="38">
        <v>28</v>
      </c>
      <c r="L30" s="99">
        <v>8.3000000000000043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7</v>
      </c>
      <c r="K32" s="38">
        <v>30</v>
      </c>
      <c r="L32" s="99">
        <v>63.300000000000011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  <c r="K33" s="38">
        <v>31</v>
      </c>
      <c r="L33" s="99">
        <v>114.4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 t="shared" ref="H34:H65" si="4">IF(B$17=0,0,G34/B$17)</f>
        <v>0</v>
      </c>
      <c r="I34" s="94">
        <v>4</v>
      </c>
      <c r="K34" s="38">
        <v>32</v>
      </c>
      <c r="L34" s="99">
        <v>76.900000000000006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 t="shared" si="4"/>
        <v>0</v>
      </c>
      <c r="I36" s="94">
        <v>3</v>
      </c>
      <c r="K36" s="38">
        <v>34</v>
      </c>
      <c r="L36" s="99">
        <v>9.8000000000000043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 t="shared" si="4"/>
        <v>0</v>
      </c>
      <c r="I40" s="94">
        <v>3</v>
      </c>
      <c r="K40" s="38">
        <v>38</v>
      </c>
      <c r="L40" s="99">
        <v>32.100000000000009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3</v>
      </c>
      <c r="K45" s="38">
        <v>43</v>
      </c>
      <c r="L45" s="99">
        <v>-32.999999999999993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111.4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 t="shared" si="4"/>
        <v>0</v>
      </c>
      <c r="I51" s="139">
        <v>8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  <row r="86" spans="11:12" x14ac:dyDescent="0.4">
      <c r="K86" s="38">
        <v>84</v>
      </c>
      <c r="L86" s="99">
        <v>-162.90000000000003</v>
      </c>
    </row>
    <row r="87" spans="11:12" x14ac:dyDescent="0.4">
      <c r="K87" s="38">
        <v>85</v>
      </c>
      <c r="L87" s="99">
        <v>-121.30000000000004</v>
      </c>
    </row>
    <row r="88" spans="11:12" x14ac:dyDescent="0.4">
      <c r="K88" s="38">
        <v>86</v>
      </c>
      <c r="L88" s="99">
        <v>-133.30000000000004</v>
      </c>
    </row>
    <row r="89" spans="11:12" x14ac:dyDescent="0.4">
      <c r="K89" s="38">
        <v>87</v>
      </c>
      <c r="L89" s="99">
        <v>-118.60000000000004</v>
      </c>
    </row>
    <row r="90" spans="11:12" x14ac:dyDescent="0.4">
      <c r="K90" s="38">
        <v>88</v>
      </c>
      <c r="L90" s="99">
        <v>-163.20000000000005</v>
      </c>
    </row>
    <row r="91" spans="11:12" x14ac:dyDescent="0.4">
      <c r="K91" s="38">
        <v>89</v>
      </c>
      <c r="L91" s="99">
        <v>-123.90000000000005</v>
      </c>
    </row>
    <row r="92" spans="11:12" x14ac:dyDescent="0.4">
      <c r="K92" s="38">
        <v>90</v>
      </c>
      <c r="L92" s="99">
        <v>-122.80000000000005</v>
      </c>
    </row>
    <row r="93" spans="11:12" x14ac:dyDescent="0.4">
      <c r="K93" s="38">
        <v>91</v>
      </c>
      <c r="L93" s="99">
        <v>-121.50000000000006</v>
      </c>
    </row>
    <row r="94" spans="11:12" x14ac:dyDescent="0.4">
      <c r="K94" s="38">
        <v>92</v>
      </c>
      <c r="L94" s="99">
        <v>-120.50000000000006</v>
      </c>
    </row>
    <row r="95" spans="11:12" x14ac:dyDescent="0.4">
      <c r="K95" s="38">
        <v>93</v>
      </c>
      <c r="L95" s="99">
        <v>-155.10000000000005</v>
      </c>
    </row>
    <row r="96" spans="11:12" x14ac:dyDescent="0.4">
      <c r="K96" s="38">
        <v>94</v>
      </c>
      <c r="L96" s="99">
        <v>-184.60000000000005</v>
      </c>
    </row>
    <row r="97" spans="11:12" x14ac:dyDescent="0.4">
      <c r="K97" s="38">
        <v>95</v>
      </c>
      <c r="L97" s="99">
        <v>-161.50000000000006</v>
      </c>
    </row>
    <row r="98" spans="11:12" x14ac:dyDescent="0.4">
      <c r="K98" s="38">
        <v>96</v>
      </c>
      <c r="L98" s="99">
        <v>-202.00000000000006</v>
      </c>
    </row>
    <row r="99" spans="11:12" x14ac:dyDescent="0.4">
      <c r="K99" s="38">
        <v>97</v>
      </c>
      <c r="L99" s="99">
        <v>-200.50000000000006</v>
      </c>
    </row>
    <row r="100" spans="11:12" x14ac:dyDescent="0.4">
      <c r="K100" s="38">
        <v>98</v>
      </c>
      <c r="L100" s="99">
        <v>-164.70000000000005</v>
      </c>
    </row>
    <row r="101" spans="11:12" x14ac:dyDescent="0.4">
      <c r="K101" s="38">
        <v>99</v>
      </c>
      <c r="L101" s="99">
        <v>-172.90000000000003</v>
      </c>
    </row>
    <row r="102" spans="11:12" x14ac:dyDescent="0.4">
      <c r="K102" s="38">
        <v>100</v>
      </c>
      <c r="L102" s="99">
        <v>-177.80000000000004</v>
      </c>
    </row>
    <row r="103" spans="11:12" x14ac:dyDescent="0.4">
      <c r="K103" s="38">
        <v>101</v>
      </c>
      <c r="L103" s="99">
        <v>-212.40000000000003</v>
      </c>
    </row>
    <row r="104" spans="11:12" x14ac:dyDescent="0.4">
      <c r="K104" s="38">
        <v>102</v>
      </c>
      <c r="L104" s="99">
        <v>-200.80000000000004</v>
      </c>
    </row>
    <row r="105" spans="11:12" x14ac:dyDescent="0.4">
      <c r="K105" s="38">
        <v>103</v>
      </c>
      <c r="L105" s="99">
        <v>-259.40000000000003</v>
      </c>
    </row>
    <row r="106" spans="11:12" x14ac:dyDescent="0.4">
      <c r="K106" s="38">
        <v>104</v>
      </c>
      <c r="L106" s="99">
        <v>-234.20000000000005</v>
      </c>
    </row>
    <row r="107" spans="11:12" x14ac:dyDescent="0.4">
      <c r="K107" s="38">
        <v>105</v>
      </c>
      <c r="L107" s="99">
        <v>-243.50000000000006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136792-7BC9-42B0-A9A4-495F108C7C6F}">
  <sheetPr codeName="Sheet17"/>
  <dimension ref="A1:Q6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61</v>
      </c>
      <c r="C2" s="151"/>
      <c r="E2" s="62" t="s">
        <v>67</v>
      </c>
      <c r="F2" s="59" t="s">
        <v>23</v>
      </c>
      <c r="G2" s="46">
        <v>96</v>
      </c>
      <c r="H2" s="132">
        <f t="shared" ref="H2:H33" si="0">IF(B$17=0,0,G2/B$17)</f>
        <v>0.65306122448979587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-3171.6666666666665</v>
      </c>
      <c r="P2" s="118">
        <v>60</v>
      </c>
      <c r="Q2" s="102">
        <v>-190300</v>
      </c>
    </row>
    <row r="3" spans="1:17" x14ac:dyDescent="0.4">
      <c r="A3" s="55" t="s">
        <v>8</v>
      </c>
      <c r="B3" s="152">
        <v>529</v>
      </c>
      <c r="C3" s="153"/>
      <c r="E3" s="63" t="s">
        <v>73</v>
      </c>
      <c r="F3" s="60" t="s">
        <v>28</v>
      </c>
      <c r="G3" s="47">
        <v>70</v>
      </c>
      <c r="H3" s="133">
        <f t="shared" si="0"/>
        <v>0.47619047619047616</v>
      </c>
      <c r="I3" s="94">
        <v>10</v>
      </c>
      <c r="K3" s="38">
        <v>1</v>
      </c>
      <c r="L3" s="99">
        <v>-82.6</v>
      </c>
      <c r="N3" s="115" t="s">
        <v>133</v>
      </c>
      <c r="O3" s="122">
        <f t="shared" si="1"/>
        <v>1775</v>
      </c>
      <c r="P3" s="119">
        <v>60</v>
      </c>
      <c r="Q3" s="103">
        <v>106500</v>
      </c>
    </row>
    <row r="4" spans="1:17" x14ac:dyDescent="0.4">
      <c r="A4" s="55" t="s">
        <v>6</v>
      </c>
      <c r="B4" s="154">
        <v>-560.6</v>
      </c>
      <c r="C4" s="155"/>
      <c r="E4" s="63" t="s">
        <v>65</v>
      </c>
      <c r="F4" s="60" t="s">
        <v>21</v>
      </c>
      <c r="G4" s="47">
        <v>65</v>
      </c>
      <c r="H4" s="133">
        <f t="shared" si="0"/>
        <v>0.44217687074829931</v>
      </c>
      <c r="I4" s="94">
        <v>12</v>
      </c>
      <c r="K4" s="38">
        <v>2</v>
      </c>
      <c r="L4" s="99">
        <v>-122.3</v>
      </c>
      <c r="N4" s="115" t="s">
        <v>134</v>
      </c>
      <c r="O4" s="122">
        <f t="shared" si="1"/>
        <v>-1696.4912280701753</v>
      </c>
      <c r="P4" s="119">
        <v>57</v>
      </c>
      <c r="Q4" s="103">
        <v>-96700</v>
      </c>
    </row>
    <row r="5" spans="1:17" x14ac:dyDescent="0.4">
      <c r="A5" s="55" t="s">
        <v>7</v>
      </c>
      <c r="B5" s="156">
        <f>IF(B$2=0,0,B$4/B$2)</f>
        <v>-9.1901639344262307</v>
      </c>
      <c r="C5" s="157"/>
      <c r="E5" s="63" t="s">
        <v>69</v>
      </c>
      <c r="F5" s="60" t="s">
        <v>12</v>
      </c>
      <c r="G5" s="47">
        <v>58</v>
      </c>
      <c r="H5" s="133">
        <f t="shared" si="0"/>
        <v>0.39455782312925169</v>
      </c>
      <c r="I5" s="94">
        <v>2</v>
      </c>
      <c r="K5" s="38">
        <v>3</v>
      </c>
      <c r="L5" s="99">
        <v>-149</v>
      </c>
      <c r="N5" s="115" t="s">
        <v>135</v>
      </c>
      <c r="O5" s="122">
        <f t="shared" si="1"/>
        <v>-4115.3846153846152</v>
      </c>
      <c r="P5" s="119">
        <v>52</v>
      </c>
      <c r="Q5" s="103">
        <v>-214000</v>
      </c>
    </row>
    <row r="6" spans="1:17" x14ac:dyDescent="0.4">
      <c r="A6" s="55" t="s">
        <v>1</v>
      </c>
      <c r="B6" s="146">
        <f>IF(B$2=0,0,(B$7*1+B$8*2+B$9*3)/B$2)</f>
        <v>2.1475409836065573</v>
      </c>
      <c r="C6" s="147"/>
      <c r="E6" s="63" t="s">
        <v>245</v>
      </c>
      <c r="F6" s="60" t="s">
        <v>246</v>
      </c>
      <c r="G6" s="47">
        <v>55</v>
      </c>
      <c r="H6" s="133">
        <f t="shared" si="0"/>
        <v>0.37414965986394561</v>
      </c>
      <c r="I6" s="94">
        <v>12</v>
      </c>
      <c r="K6" s="38">
        <v>4</v>
      </c>
      <c r="L6" s="99">
        <v>-150.6</v>
      </c>
      <c r="N6" s="115" t="s">
        <v>136</v>
      </c>
      <c r="O6" s="122">
        <f t="shared" si="1"/>
        <v>10.869565217391305</v>
      </c>
      <c r="P6" s="119">
        <v>46</v>
      </c>
      <c r="Q6" s="103">
        <v>500</v>
      </c>
    </row>
    <row r="7" spans="1:17" x14ac:dyDescent="0.4">
      <c r="A7" s="55" t="s">
        <v>2</v>
      </c>
      <c r="B7" s="47">
        <v>16</v>
      </c>
      <c r="C7" s="39">
        <f t="shared" ref="C7:C12" si="2">IF(B$2=0,0,B7/B$2)</f>
        <v>0.26229508196721313</v>
      </c>
      <c r="E7" s="63" t="s">
        <v>68</v>
      </c>
      <c r="F7" s="60" t="s">
        <v>24</v>
      </c>
      <c r="G7" s="47">
        <v>31</v>
      </c>
      <c r="H7" s="133">
        <f t="shared" si="0"/>
        <v>0.21088435374149661</v>
      </c>
      <c r="I7" s="94">
        <v>12</v>
      </c>
      <c r="K7" s="38">
        <v>5</v>
      </c>
      <c r="L7" s="99">
        <v>-184.89999999999998</v>
      </c>
      <c r="N7" s="116" t="s">
        <v>137</v>
      </c>
      <c r="O7" s="123">
        <f t="shared" si="1"/>
        <v>-281.39534883720933</v>
      </c>
      <c r="P7" s="120">
        <v>43</v>
      </c>
      <c r="Q7" s="104">
        <v>-12100</v>
      </c>
    </row>
    <row r="8" spans="1:17" x14ac:dyDescent="0.4">
      <c r="A8" s="55" t="s">
        <v>3</v>
      </c>
      <c r="B8" s="47">
        <v>20</v>
      </c>
      <c r="C8" s="39">
        <f t="shared" si="2"/>
        <v>0.32786885245901637</v>
      </c>
      <c r="E8" s="63" t="s">
        <v>70</v>
      </c>
      <c r="F8" s="60" t="s">
        <v>25</v>
      </c>
      <c r="G8" s="47">
        <v>19</v>
      </c>
      <c r="H8" s="133">
        <f t="shared" si="0"/>
        <v>0.12925170068027211</v>
      </c>
      <c r="I8" s="94">
        <v>11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25</v>
      </c>
      <c r="C9" s="40">
        <f t="shared" si="2"/>
        <v>0.4098360655737705</v>
      </c>
      <c r="E9" s="63" t="s">
        <v>90</v>
      </c>
      <c r="F9" s="60" t="s">
        <v>45</v>
      </c>
      <c r="G9" s="47">
        <v>18</v>
      </c>
      <c r="H9" s="133">
        <f t="shared" si="0"/>
        <v>0.12244897959183673</v>
      </c>
      <c r="I9" s="94">
        <v>7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10</v>
      </c>
      <c r="C10" s="40">
        <f t="shared" si="2"/>
        <v>0.16393442622950818</v>
      </c>
      <c r="E10" s="63" t="s">
        <v>71</v>
      </c>
      <c r="F10" s="60" t="s">
        <v>26</v>
      </c>
      <c r="G10" s="47">
        <v>17</v>
      </c>
      <c r="H10" s="133">
        <f t="shared" si="0"/>
        <v>0.11564625850340136</v>
      </c>
      <c r="I10" s="94">
        <v>4</v>
      </c>
      <c r="K10" s="38">
        <v>8</v>
      </c>
      <c r="L10" s="99">
        <v>-219.59999999999997</v>
      </c>
      <c r="N10" s="114" t="s">
        <v>164</v>
      </c>
      <c r="O10" s="124">
        <f>IF(P10=0,0,Q10/P10)</f>
        <v>-13.678571428571429</v>
      </c>
      <c r="P10" s="118">
        <v>14</v>
      </c>
      <c r="Q10" s="106">
        <v>-191.5</v>
      </c>
    </row>
    <row r="11" spans="1:17" x14ac:dyDescent="0.4">
      <c r="A11" s="56" t="s">
        <v>140</v>
      </c>
      <c r="B11" s="48">
        <v>4</v>
      </c>
      <c r="C11" s="40">
        <f t="shared" si="2"/>
        <v>6.5573770491803282E-2</v>
      </c>
      <c r="E11" s="63" t="s">
        <v>66</v>
      </c>
      <c r="F11" s="60" t="s">
        <v>22</v>
      </c>
      <c r="G11" s="47">
        <v>11</v>
      </c>
      <c r="H11" s="133">
        <f t="shared" si="0"/>
        <v>7.4829931972789115E-2</v>
      </c>
      <c r="I11" s="94">
        <v>12</v>
      </c>
      <c r="K11" s="38">
        <v>9</v>
      </c>
      <c r="L11" s="99">
        <v>-260.59999999999997</v>
      </c>
      <c r="N11" s="115" t="s">
        <v>165</v>
      </c>
      <c r="O11" s="125">
        <f>IF(P11=0,0,Q11/P11)</f>
        <v>-7.2064516129032263</v>
      </c>
      <c r="P11" s="119">
        <v>31</v>
      </c>
      <c r="Q11" s="107">
        <v>-223.4</v>
      </c>
    </row>
    <row r="12" spans="1:17" x14ac:dyDescent="0.4">
      <c r="A12" s="57" t="s">
        <v>160</v>
      </c>
      <c r="B12" s="49">
        <v>3</v>
      </c>
      <c r="C12" s="42">
        <f t="shared" si="2"/>
        <v>4.9180327868852458E-2</v>
      </c>
      <c r="E12" s="63" t="s">
        <v>87</v>
      </c>
      <c r="F12" s="60" t="s">
        <v>42</v>
      </c>
      <c r="G12" s="47">
        <v>8</v>
      </c>
      <c r="H12" s="133">
        <f t="shared" si="0"/>
        <v>5.4421768707482991E-2</v>
      </c>
      <c r="I12" s="94">
        <v>8</v>
      </c>
      <c r="K12" s="38">
        <v>10</v>
      </c>
      <c r="L12" s="99">
        <v>-318.39999999999998</v>
      </c>
      <c r="N12" s="116" t="s">
        <v>166</v>
      </c>
      <c r="O12" s="126">
        <f>IF(P12=0,0,Q12/P12)</f>
        <v>-9.1062499999999993</v>
      </c>
      <c r="P12" s="120">
        <v>16</v>
      </c>
      <c r="Q12" s="108">
        <v>-145.69999999999999</v>
      </c>
    </row>
    <row r="13" spans="1:17" x14ac:dyDescent="0.4">
      <c r="A13" s="58" t="s">
        <v>122</v>
      </c>
      <c r="B13" s="50">
        <v>118</v>
      </c>
      <c r="C13" s="44">
        <f>IF(B$3=0,0,B13/B$3)</f>
        <v>0.22306238185255198</v>
      </c>
      <c r="E13" s="63" t="s">
        <v>72</v>
      </c>
      <c r="F13" s="60" t="s">
        <v>27</v>
      </c>
      <c r="G13" s="47">
        <v>7</v>
      </c>
      <c r="H13" s="133">
        <f t="shared" si="0"/>
        <v>4.7619047619047616E-2</v>
      </c>
      <c r="I13" s="94">
        <v>11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114</v>
      </c>
      <c r="C14" s="39">
        <f>IF(B$3=0,0,B14/B$3)</f>
        <v>0.21550094517958412</v>
      </c>
      <c r="E14" s="63" t="s">
        <v>79</v>
      </c>
      <c r="F14" s="60" t="s">
        <v>34</v>
      </c>
      <c r="G14" s="47">
        <v>4</v>
      </c>
      <c r="H14" s="133">
        <f t="shared" si="0"/>
        <v>2.7210884353741496E-2</v>
      </c>
      <c r="I14" s="94">
        <v>8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68</v>
      </c>
      <c r="C15" s="37">
        <f>IF(B$13=0,0,B15/B$13)</f>
        <v>0.57627118644067798</v>
      </c>
      <c r="E15" s="63" t="s">
        <v>74</v>
      </c>
      <c r="F15" s="60" t="s">
        <v>29</v>
      </c>
      <c r="G15" s="47">
        <v>3</v>
      </c>
      <c r="H15" s="133">
        <f t="shared" si="0"/>
        <v>2.0408163265306121E-2</v>
      </c>
      <c r="I15" s="94">
        <v>1</v>
      </c>
      <c r="K15" s="38">
        <v>13</v>
      </c>
      <c r="L15" s="99">
        <v>-302.59999999999997</v>
      </c>
      <c r="N15" s="114" t="s">
        <v>271</v>
      </c>
      <c r="O15" s="124">
        <f t="shared" ref="O15:O24" si="3">IF(P15=0,0,Q15/P15)</f>
        <v>83.449999999999989</v>
      </c>
      <c r="P15" s="118">
        <v>2</v>
      </c>
      <c r="Q15" s="106">
        <v>166.89999999999998</v>
      </c>
    </row>
    <row r="16" spans="1:17" x14ac:dyDescent="0.4">
      <c r="A16" s="54" t="s">
        <v>125</v>
      </c>
      <c r="B16" s="46">
        <v>38</v>
      </c>
      <c r="C16" s="37">
        <f>IF(B$14=0,0,B16/B$14)</f>
        <v>0.33333333333333331</v>
      </c>
      <c r="E16" s="63" t="s">
        <v>80</v>
      </c>
      <c r="F16" s="60" t="s">
        <v>35</v>
      </c>
      <c r="G16" s="47">
        <v>3</v>
      </c>
      <c r="H16" s="133">
        <f t="shared" si="0"/>
        <v>2.0408163265306121E-2</v>
      </c>
      <c r="I16" s="94">
        <v>4</v>
      </c>
      <c r="K16" s="38">
        <v>14</v>
      </c>
      <c r="L16" s="99">
        <v>-269.99999999999994</v>
      </c>
      <c r="N16" s="115" t="s">
        <v>129</v>
      </c>
      <c r="O16" s="125">
        <f t="shared" si="3"/>
        <v>1.1117647058823532</v>
      </c>
      <c r="P16" s="119">
        <v>17</v>
      </c>
      <c r="Q16" s="107">
        <v>18.900000000000006</v>
      </c>
    </row>
    <row r="17" spans="1:17" x14ac:dyDescent="0.4">
      <c r="A17" s="54" t="s">
        <v>10</v>
      </c>
      <c r="B17" s="46">
        <f>B19+B18</f>
        <v>147</v>
      </c>
      <c r="C17" s="37">
        <f>IF(B$3=0,0,B17/B$3)</f>
        <v>0.27788279773156899</v>
      </c>
      <c r="E17" s="63" t="s">
        <v>84</v>
      </c>
      <c r="F17" s="60" t="s">
        <v>39</v>
      </c>
      <c r="G17" s="47">
        <v>3</v>
      </c>
      <c r="H17" s="133">
        <f t="shared" si="0"/>
        <v>2.0408163265306121E-2</v>
      </c>
      <c r="I17" s="94">
        <v>12</v>
      </c>
      <c r="K17" s="38">
        <v>15</v>
      </c>
      <c r="L17" s="99">
        <v>-264.59999999999997</v>
      </c>
      <c r="N17" s="115" t="s">
        <v>172</v>
      </c>
      <c r="O17" s="125">
        <f t="shared" si="3"/>
        <v>-4.0692307692307681</v>
      </c>
      <c r="P17" s="119">
        <v>13</v>
      </c>
      <c r="Q17" s="107">
        <v>-52.899999999999984</v>
      </c>
    </row>
    <row r="18" spans="1:17" x14ac:dyDescent="0.4">
      <c r="A18" s="55" t="s">
        <v>12</v>
      </c>
      <c r="B18" s="47">
        <v>74</v>
      </c>
      <c r="C18" s="39">
        <f>IF(B$17=0,0,B18/B$17)</f>
        <v>0.50340136054421769</v>
      </c>
      <c r="E18" s="63" t="s">
        <v>180</v>
      </c>
      <c r="F18" s="60" t="s">
        <v>181</v>
      </c>
      <c r="G18" s="47">
        <v>3</v>
      </c>
      <c r="H18" s="133">
        <f t="shared" si="0"/>
        <v>2.0408163265306121E-2</v>
      </c>
      <c r="I18" s="94">
        <v>5</v>
      </c>
      <c r="K18" s="38">
        <v>16</v>
      </c>
      <c r="L18" s="99">
        <v>-292.79999999999995</v>
      </c>
      <c r="N18" s="115" t="s">
        <v>128</v>
      </c>
      <c r="O18" s="125">
        <f t="shared" si="3"/>
        <v>-9.2423076923076888</v>
      </c>
      <c r="P18" s="119">
        <v>26</v>
      </c>
      <c r="Q18" s="107">
        <v>-240.29999999999993</v>
      </c>
    </row>
    <row r="19" spans="1:17" x14ac:dyDescent="0.4">
      <c r="A19" s="55" t="s">
        <v>11</v>
      </c>
      <c r="B19" s="47">
        <v>73</v>
      </c>
      <c r="C19" s="39">
        <f>IF(B$17=0,0,B19/B$17)</f>
        <v>0.49659863945578231</v>
      </c>
      <c r="E19" s="63" t="s">
        <v>92</v>
      </c>
      <c r="F19" s="60" t="s">
        <v>47</v>
      </c>
      <c r="G19" s="47">
        <v>2</v>
      </c>
      <c r="H19" s="133">
        <f t="shared" si="0"/>
        <v>1.3605442176870748E-2</v>
      </c>
      <c r="I19" s="94">
        <v>7</v>
      </c>
      <c r="K19" s="38">
        <v>17</v>
      </c>
      <c r="L19" s="99">
        <v>-248.89999999999995</v>
      </c>
      <c r="N19" s="115" t="s">
        <v>177</v>
      </c>
      <c r="O19" s="125">
        <f t="shared" si="3"/>
        <v>-10.354545454545455</v>
      </c>
      <c r="P19" s="119">
        <v>11</v>
      </c>
      <c r="Q19" s="107">
        <v>-113.9</v>
      </c>
    </row>
    <row r="20" spans="1:17" x14ac:dyDescent="0.4">
      <c r="A20" s="55" t="s">
        <v>13</v>
      </c>
      <c r="B20" s="47">
        <v>103</v>
      </c>
      <c r="C20" s="39">
        <f>IF(B$3=0,0,B20/B$3)</f>
        <v>0.19470699432892249</v>
      </c>
      <c r="E20" s="63" t="s">
        <v>82</v>
      </c>
      <c r="F20" s="60" t="s">
        <v>37</v>
      </c>
      <c r="G20" s="47">
        <v>1</v>
      </c>
      <c r="H20" s="133">
        <f t="shared" si="0"/>
        <v>6.8027210884353739E-3</v>
      </c>
      <c r="I20" s="94">
        <v>12</v>
      </c>
      <c r="K20" s="38">
        <v>18</v>
      </c>
      <c r="L20" s="99">
        <v>-218.99999999999994</v>
      </c>
      <c r="N20" s="115" t="s">
        <v>171</v>
      </c>
      <c r="O20" s="125">
        <f t="shared" si="3"/>
        <v>-13.942105263157893</v>
      </c>
      <c r="P20" s="119">
        <v>19</v>
      </c>
      <c r="Q20" s="107">
        <v>-264.89999999999998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88</v>
      </c>
      <c r="F21" s="60" t="s">
        <v>43</v>
      </c>
      <c r="G21" s="47">
        <v>1</v>
      </c>
      <c r="H21" s="133">
        <f t="shared" si="0"/>
        <v>6.8027210884353739E-3</v>
      </c>
      <c r="I21" s="94">
        <v>2</v>
      </c>
      <c r="K21" s="38">
        <v>19</v>
      </c>
      <c r="L21" s="99">
        <v>-188.59999999999994</v>
      </c>
      <c r="N21" s="115" t="s">
        <v>127</v>
      </c>
      <c r="O21" s="125">
        <f t="shared" si="3"/>
        <v>-28</v>
      </c>
      <c r="P21" s="119">
        <v>29</v>
      </c>
      <c r="Q21" s="107">
        <v>-812</v>
      </c>
    </row>
    <row r="22" spans="1:17" x14ac:dyDescent="0.4">
      <c r="A22" s="55" t="s">
        <v>192</v>
      </c>
      <c r="B22" s="47">
        <v>24</v>
      </c>
      <c r="C22" s="135">
        <v>7</v>
      </c>
      <c r="E22" s="63" t="s">
        <v>107</v>
      </c>
      <c r="F22" s="60" t="s">
        <v>114</v>
      </c>
      <c r="G22" s="47">
        <v>1</v>
      </c>
      <c r="H22" s="133">
        <f t="shared" si="0"/>
        <v>6.8027210884353739E-3</v>
      </c>
      <c r="I22" s="94">
        <v>1</v>
      </c>
      <c r="K22" s="38">
        <v>20</v>
      </c>
      <c r="L22" s="99">
        <v>-182.79999999999993</v>
      </c>
      <c r="N22" s="115" t="s">
        <v>183</v>
      </c>
      <c r="O22" s="125">
        <f t="shared" si="3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7610.2040816326535</v>
      </c>
      <c r="C23" s="41">
        <v>1118700</v>
      </c>
      <c r="E23" s="63" t="s">
        <v>75</v>
      </c>
      <c r="F23" s="60" t="s">
        <v>30</v>
      </c>
      <c r="G23" s="47">
        <v>0</v>
      </c>
      <c r="H23" s="133">
        <f t="shared" si="0"/>
        <v>0</v>
      </c>
      <c r="I23" s="94">
        <v>7</v>
      </c>
      <c r="K23" s="38">
        <v>21</v>
      </c>
      <c r="L23" s="99">
        <v>-203.79999999999993</v>
      </c>
      <c r="N23" s="115" t="s">
        <v>200</v>
      </c>
      <c r="O23" s="125">
        <f t="shared" si="3"/>
        <v>-59.70000000000001</v>
      </c>
      <c r="P23" s="119">
        <v>3</v>
      </c>
      <c r="Q23" s="107">
        <v>-179.10000000000002</v>
      </c>
    </row>
    <row r="24" spans="1:17" x14ac:dyDescent="0.4">
      <c r="A24" s="57" t="s">
        <v>14</v>
      </c>
      <c r="B24" s="52">
        <f>IF(B$20=0,0,C24/B$20)</f>
        <v>-8151.4563106796113</v>
      </c>
      <c r="C24" s="45">
        <v>-839600</v>
      </c>
      <c r="E24" s="63" t="s">
        <v>76</v>
      </c>
      <c r="F24" s="60" t="s">
        <v>31</v>
      </c>
      <c r="G24" s="47">
        <v>0</v>
      </c>
      <c r="H24" s="133">
        <f t="shared" si="0"/>
        <v>0</v>
      </c>
      <c r="I24" s="94">
        <v>9</v>
      </c>
      <c r="K24" s="38">
        <v>22</v>
      </c>
      <c r="L24" s="99">
        <v>-262.49999999999994</v>
      </c>
      <c r="N24" s="115" t="s">
        <v>184</v>
      </c>
      <c r="O24" s="125">
        <f t="shared" si="3"/>
        <v>-159</v>
      </c>
      <c r="P24" s="119">
        <v>1</v>
      </c>
      <c r="Q24" s="107">
        <v>-159</v>
      </c>
    </row>
    <row r="25" spans="1:17" x14ac:dyDescent="0.4">
      <c r="A25" s="90" t="s">
        <v>142</v>
      </c>
      <c r="B25" s="144">
        <v>6</v>
      </c>
      <c r="C25" s="145"/>
      <c r="E25" s="63" t="s">
        <v>77</v>
      </c>
      <c r="F25" s="60" t="s">
        <v>32</v>
      </c>
      <c r="G25" s="47">
        <v>0</v>
      </c>
      <c r="H25" s="133">
        <f t="shared" si="0"/>
        <v>0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113300</v>
      </c>
      <c r="C26" s="143"/>
      <c r="E26" s="63" t="s">
        <v>78</v>
      </c>
      <c r="F26" s="60" t="s">
        <v>33</v>
      </c>
      <c r="G26" s="47">
        <v>0</v>
      </c>
      <c r="H26" s="133">
        <f t="shared" si="0"/>
        <v>0</v>
      </c>
      <c r="I26" s="94">
        <v>9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3.780718336483932E-3</v>
      </c>
      <c r="E27" s="63" t="s">
        <v>81</v>
      </c>
      <c r="F27" s="60" t="s">
        <v>36</v>
      </c>
      <c r="G27" s="47">
        <v>0</v>
      </c>
      <c r="H27" s="133">
        <f t="shared" si="0"/>
        <v>0</v>
      </c>
      <c r="I27" s="94">
        <v>1</v>
      </c>
      <c r="K27" s="38">
        <v>25</v>
      </c>
      <c r="L27" s="99">
        <v>-344.29999999999995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 t="shared" si="0"/>
        <v>0</v>
      </c>
      <c r="I28" s="94">
        <v>1</v>
      </c>
      <c r="K28" s="38">
        <v>26</v>
      </c>
      <c r="L28" s="99">
        <v>-285.09999999999997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 t="shared" si="0"/>
        <v>0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 t="shared" si="0"/>
        <v>0</v>
      </c>
      <c r="I30" s="94">
        <v>5</v>
      </c>
      <c r="K30" s="38">
        <v>28</v>
      </c>
      <c r="L30" s="99">
        <v>-248.2</v>
      </c>
    </row>
    <row r="31" spans="1:17" x14ac:dyDescent="0.4">
      <c r="E31" s="63" t="s">
        <v>89</v>
      </c>
      <c r="F31" s="60" t="s">
        <v>44</v>
      </c>
      <c r="G31" s="47">
        <v>0</v>
      </c>
      <c r="H31" s="133">
        <f t="shared" si="0"/>
        <v>0</v>
      </c>
      <c r="I31" s="94">
        <v>5</v>
      </c>
      <c r="K31" s="38">
        <v>29</v>
      </c>
      <c r="L31" s="99">
        <v>-177.29999999999998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 t="shared" si="0"/>
        <v>0</v>
      </c>
      <c r="I32" s="94">
        <v>5</v>
      </c>
      <c r="K32" s="38">
        <v>30</v>
      </c>
      <c r="L32" s="99">
        <v>-202.79999999999998</v>
      </c>
    </row>
    <row r="33" spans="5:12" x14ac:dyDescent="0.4">
      <c r="E33" s="63" t="s">
        <v>93</v>
      </c>
      <c r="F33" s="60" t="s">
        <v>48</v>
      </c>
      <c r="G33" s="47">
        <v>0</v>
      </c>
      <c r="H33" s="133">
        <f t="shared" si="0"/>
        <v>0</v>
      </c>
      <c r="I33" s="94">
        <v>7</v>
      </c>
      <c r="K33" s="38">
        <v>31</v>
      </c>
      <c r="L33" s="99">
        <v>-226.29999999999998</v>
      </c>
    </row>
    <row r="34" spans="5:12" x14ac:dyDescent="0.4">
      <c r="E34" s="63" t="s">
        <v>94</v>
      </c>
      <c r="F34" s="60" t="s">
        <v>49</v>
      </c>
      <c r="G34" s="47">
        <v>0</v>
      </c>
      <c r="H34" s="133">
        <f t="shared" ref="H34:H65" si="4">IF(B$17=0,0,G34/B$17)</f>
        <v>0</v>
      </c>
      <c r="I34" s="94">
        <v>7</v>
      </c>
      <c r="K34" s="38">
        <v>32</v>
      </c>
      <c r="L34" s="99">
        <v>-193.79999999999998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 t="shared" si="4"/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96</v>
      </c>
      <c r="F36" s="60" t="s">
        <v>51</v>
      </c>
      <c r="G36" s="47">
        <v>0</v>
      </c>
      <c r="H36" s="133">
        <f t="shared" si="4"/>
        <v>0</v>
      </c>
      <c r="I36" s="94">
        <v>4</v>
      </c>
      <c r="K36" s="38">
        <v>34</v>
      </c>
      <c r="L36" s="99">
        <v>-224.6</v>
      </c>
    </row>
    <row r="37" spans="5:12" x14ac:dyDescent="0.4">
      <c r="E37" s="63" t="s">
        <v>97</v>
      </c>
      <c r="F37" s="60" t="s">
        <v>52</v>
      </c>
      <c r="G37" s="47">
        <v>0</v>
      </c>
      <c r="H37" s="133">
        <f t="shared" si="4"/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98</v>
      </c>
      <c r="F38" s="60" t="s">
        <v>53</v>
      </c>
      <c r="G38" s="47">
        <v>0</v>
      </c>
      <c r="H38" s="133">
        <f t="shared" si="4"/>
        <v>0</v>
      </c>
      <c r="I38" s="94">
        <v>3</v>
      </c>
      <c r="K38" s="38">
        <v>36</v>
      </c>
      <c r="L38" s="99">
        <v>-190.5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102</v>
      </c>
      <c r="F42" s="60" t="s">
        <v>57</v>
      </c>
      <c r="G42" s="47">
        <v>0</v>
      </c>
      <c r="H42" s="133">
        <f t="shared" si="4"/>
        <v>0</v>
      </c>
      <c r="I42" s="94">
        <v>3</v>
      </c>
      <c r="K42" s="38">
        <v>40</v>
      </c>
      <c r="L42" s="99">
        <v>-279.89999999999998</v>
      </c>
    </row>
    <row r="43" spans="5:12" x14ac:dyDescent="0.4">
      <c r="E43" s="63" t="s">
        <v>103</v>
      </c>
      <c r="F43" s="60" t="s">
        <v>58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104</v>
      </c>
      <c r="F44" s="60" t="s">
        <v>59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105</v>
      </c>
      <c r="F45" s="60" t="s">
        <v>60</v>
      </c>
      <c r="G45" s="47">
        <v>0</v>
      </c>
      <c r="H45" s="133">
        <f t="shared" si="4"/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106</v>
      </c>
      <c r="F46" s="60" t="s">
        <v>113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-387.7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 t="shared" si="4"/>
        <v>0</v>
      </c>
      <c r="I51" s="139">
        <v>1</v>
      </c>
      <c r="K51" s="38">
        <v>49</v>
      </c>
      <c r="L51" s="99">
        <v>-433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-437.3</v>
      </c>
    </row>
    <row r="53" spans="5:12" x14ac:dyDescent="0.4">
      <c r="K53" s="38">
        <v>51</v>
      </c>
      <c r="L53" s="99">
        <v>-495.90000000000003</v>
      </c>
    </row>
    <row r="54" spans="5:12" x14ac:dyDescent="0.4">
      <c r="K54" s="38">
        <v>52</v>
      </c>
      <c r="L54" s="99">
        <v>-397.6</v>
      </c>
    </row>
    <row r="55" spans="5:12" x14ac:dyDescent="0.4">
      <c r="K55" s="38">
        <v>53</v>
      </c>
      <c r="L55" s="99">
        <v>-396.70000000000005</v>
      </c>
    </row>
    <row r="56" spans="5:12" x14ac:dyDescent="0.4">
      <c r="K56" s="38">
        <v>54</v>
      </c>
      <c r="L56" s="99">
        <v>-404.6</v>
      </c>
    </row>
    <row r="57" spans="5:12" x14ac:dyDescent="0.4">
      <c r="K57" s="38">
        <v>55</v>
      </c>
      <c r="L57" s="99">
        <v>-349.5</v>
      </c>
    </row>
    <row r="58" spans="5:12" x14ac:dyDescent="0.4">
      <c r="K58" s="38">
        <v>56</v>
      </c>
      <c r="L58" s="99">
        <v>-397.1</v>
      </c>
    </row>
    <row r="59" spans="5:12" x14ac:dyDescent="0.4">
      <c r="K59" s="38">
        <v>57</v>
      </c>
      <c r="L59" s="99">
        <v>-461.6</v>
      </c>
    </row>
    <row r="60" spans="5:12" x14ac:dyDescent="0.4">
      <c r="K60" s="38">
        <v>58</v>
      </c>
      <c r="L60" s="99">
        <v>-521</v>
      </c>
    </row>
    <row r="61" spans="5:12" x14ac:dyDescent="0.4">
      <c r="K61" s="38">
        <v>59</v>
      </c>
      <c r="L61" s="99">
        <v>-521</v>
      </c>
    </row>
    <row r="62" spans="5:12" x14ac:dyDescent="0.4">
      <c r="K62" s="38">
        <v>60</v>
      </c>
      <c r="L62" s="99">
        <v>-511.8</v>
      </c>
    </row>
    <row r="63" spans="5:12" x14ac:dyDescent="0.4">
      <c r="K63" s="38">
        <v>61</v>
      </c>
      <c r="L63" s="99">
        <v>-560.6</v>
      </c>
    </row>
  </sheetData>
  <sortState xmlns:xlrd2="http://schemas.microsoft.com/office/spreadsheetml/2017/richdata2"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3054E-AA32-4FCE-A871-2DBFDF4AEF06}">
  <sheetPr codeName="Sheet19"/>
  <dimension ref="A1:Q12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121</v>
      </c>
      <c r="C2" s="151"/>
      <c r="E2" s="62" t="s">
        <v>67</v>
      </c>
      <c r="F2" s="59" t="s">
        <v>23</v>
      </c>
      <c r="G2" s="46">
        <v>165</v>
      </c>
      <c r="H2" s="132">
        <f t="shared" ref="H2:H33" si="0">IF(B$17=0,0,G2/B$17)</f>
        <v>0.6021897810218978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1">IF(P2=0,0,Q2/P2)</f>
        <v>379.3388429752066</v>
      </c>
      <c r="P2" s="118">
        <v>121</v>
      </c>
      <c r="Q2" s="102">
        <v>45900</v>
      </c>
    </row>
    <row r="3" spans="1:17" x14ac:dyDescent="0.4">
      <c r="A3" s="55" t="s">
        <v>8</v>
      </c>
      <c r="B3" s="152">
        <v>1007</v>
      </c>
      <c r="C3" s="153"/>
      <c r="E3" s="63" t="s">
        <v>65</v>
      </c>
      <c r="F3" s="60" t="s">
        <v>21</v>
      </c>
      <c r="G3" s="47">
        <v>162</v>
      </c>
      <c r="H3" s="133">
        <f t="shared" si="0"/>
        <v>0.59124087591240881</v>
      </c>
      <c r="I3" s="94">
        <v>2</v>
      </c>
      <c r="K3" s="38">
        <v>1</v>
      </c>
      <c r="L3" s="99">
        <v>-1.9</v>
      </c>
      <c r="N3" s="115" t="s">
        <v>133</v>
      </c>
      <c r="O3" s="122">
        <f t="shared" si="1"/>
        <v>842.73504273504273</v>
      </c>
      <c r="P3" s="119">
        <v>117</v>
      </c>
      <c r="Q3" s="103">
        <v>98600</v>
      </c>
    </row>
    <row r="4" spans="1:17" x14ac:dyDescent="0.4">
      <c r="A4" s="55" t="s">
        <v>6</v>
      </c>
      <c r="B4" s="154">
        <v>57.399999999999935</v>
      </c>
      <c r="C4" s="155"/>
      <c r="E4" s="63" t="s">
        <v>73</v>
      </c>
      <c r="F4" s="60" t="s">
        <v>28</v>
      </c>
      <c r="G4" s="47">
        <v>126</v>
      </c>
      <c r="H4" s="133">
        <f t="shared" si="0"/>
        <v>0.45985401459854014</v>
      </c>
      <c r="I4" s="94">
        <v>11</v>
      </c>
      <c r="K4" s="38">
        <v>2</v>
      </c>
      <c r="L4" s="99">
        <v>30</v>
      </c>
      <c r="N4" s="115" t="s">
        <v>134</v>
      </c>
      <c r="O4" s="122">
        <f t="shared" si="1"/>
        <v>-144.54545454545453</v>
      </c>
      <c r="P4" s="119">
        <v>110</v>
      </c>
      <c r="Q4" s="103">
        <v>-15900</v>
      </c>
    </row>
    <row r="5" spans="1:17" x14ac:dyDescent="0.4">
      <c r="A5" s="55" t="s">
        <v>7</v>
      </c>
      <c r="B5" s="156">
        <f>IF(B$2=0,0,B$4/B$2)</f>
        <v>0.47438016528925564</v>
      </c>
      <c r="C5" s="157"/>
      <c r="E5" s="63" t="s">
        <v>245</v>
      </c>
      <c r="F5" s="60" t="s">
        <v>246</v>
      </c>
      <c r="G5" s="47">
        <v>120</v>
      </c>
      <c r="H5" s="133">
        <f t="shared" si="0"/>
        <v>0.43795620437956206</v>
      </c>
      <c r="I5" s="94">
        <v>3</v>
      </c>
      <c r="K5" s="38">
        <v>3</v>
      </c>
      <c r="L5" s="99">
        <v>-10</v>
      </c>
      <c r="N5" s="115" t="s">
        <v>135</v>
      </c>
      <c r="O5" s="122">
        <f t="shared" si="1"/>
        <v>460.57692307692309</v>
      </c>
      <c r="P5" s="119">
        <v>104</v>
      </c>
      <c r="Q5" s="103">
        <v>47900</v>
      </c>
    </row>
    <row r="6" spans="1:17" x14ac:dyDescent="0.4">
      <c r="A6" s="55" t="s">
        <v>1</v>
      </c>
      <c r="B6" s="146">
        <f>IF(B$2=0,0,(B$7*1+B$8*2+B$9*3)/B$2)</f>
        <v>1.9834710743801653</v>
      </c>
      <c r="C6" s="147"/>
      <c r="E6" s="63" t="s">
        <v>68</v>
      </c>
      <c r="F6" s="60" t="s">
        <v>24</v>
      </c>
      <c r="G6" s="47">
        <v>111</v>
      </c>
      <c r="H6" s="133">
        <f t="shared" si="0"/>
        <v>0.4051094890510949</v>
      </c>
      <c r="I6" s="94">
        <v>2</v>
      </c>
      <c r="K6" s="38">
        <v>4</v>
      </c>
      <c r="L6" s="99">
        <v>40</v>
      </c>
      <c r="N6" s="115" t="s">
        <v>136</v>
      </c>
      <c r="O6" s="122">
        <f t="shared" si="1"/>
        <v>-1934.7368421052631</v>
      </c>
      <c r="P6" s="119">
        <v>95</v>
      </c>
      <c r="Q6" s="103">
        <v>-183800</v>
      </c>
    </row>
    <row r="7" spans="1:17" x14ac:dyDescent="0.4">
      <c r="A7" s="55" t="s">
        <v>2</v>
      </c>
      <c r="B7" s="47">
        <v>40</v>
      </c>
      <c r="C7" s="39">
        <f t="shared" ref="C7:C12" si="2">IF(B$2=0,0,B7/B$2)</f>
        <v>0.33057851239669422</v>
      </c>
      <c r="E7" s="63" t="s">
        <v>69</v>
      </c>
      <c r="F7" s="60" t="s">
        <v>12</v>
      </c>
      <c r="G7" s="47">
        <v>89</v>
      </c>
      <c r="H7" s="133">
        <f t="shared" si="0"/>
        <v>0.32481751824817517</v>
      </c>
      <c r="I7" s="94">
        <v>6</v>
      </c>
      <c r="K7" s="38">
        <v>5</v>
      </c>
      <c r="L7" s="99">
        <v>35.4</v>
      </c>
      <c r="N7" s="116" t="s">
        <v>137</v>
      </c>
      <c r="O7" s="123">
        <f t="shared" si="1"/>
        <v>902.56410256410254</v>
      </c>
      <c r="P7" s="120">
        <v>78</v>
      </c>
      <c r="Q7" s="104">
        <v>70400</v>
      </c>
    </row>
    <row r="8" spans="1:17" x14ac:dyDescent="0.4">
      <c r="A8" s="55" t="s">
        <v>3</v>
      </c>
      <c r="B8" s="47">
        <v>43</v>
      </c>
      <c r="C8" s="39">
        <f t="shared" si="2"/>
        <v>0.35537190082644626</v>
      </c>
      <c r="E8" s="63" t="s">
        <v>70</v>
      </c>
      <c r="F8" s="60" t="s">
        <v>25</v>
      </c>
      <c r="G8" s="47">
        <v>41</v>
      </c>
      <c r="H8" s="133">
        <f t="shared" si="0"/>
        <v>0.14963503649635038</v>
      </c>
      <c r="I8" s="94">
        <v>9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38</v>
      </c>
      <c r="C9" s="40">
        <f t="shared" si="2"/>
        <v>0.31404958677685951</v>
      </c>
      <c r="E9" s="63" t="s">
        <v>66</v>
      </c>
      <c r="F9" s="60" t="s">
        <v>22</v>
      </c>
      <c r="G9" s="47">
        <v>31</v>
      </c>
      <c r="H9" s="133">
        <f t="shared" si="0"/>
        <v>0.11313868613138686</v>
      </c>
      <c r="I9" s="94">
        <v>4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 t="shared" si="2"/>
        <v>0.12396694214876033</v>
      </c>
      <c r="E10" s="63" t="s">
        <v>90</v>
      </c>
      <c r="F10" s="60" t="s">
        <v>45</v>
      </c>
      <c r="G10" s="47">
        <v>31</v>
      </c>
      <c r="H10" s="133">
        <f t="shared" si="0"/>
        <v>0.11313868613138686</v>
      </c>
      <c r="I10" s="94">
        <v>10</v>
      </c>
      <c r="K10" s="38">
        <v>8</v>
      </c>
      <c r="L10" s="99">
        <v>-87.1</v>
      </c>
      <c r="N10" s="114" t="s">
        <v>164</v>
      </c>
      <c r="O10" s="124">
        <f>IF(P10=0,0,Q10/P10)</f>
        <v>-3.8090909090909095</v>
      </c>
      <c r="P10" s="118">
        <v>44</v>
      </c>
      <c r="Q10" s="106">
        <v>-167.60000000000002</v>
      </c>
    </row>
    <row r="11" spans="1:17" x14ac:dyDescent="0.4">
      <c r="A11" s="56" t="s">
        <v>140</v>
      </c>
      <c r="B11" s="48">
        <v>11</v>
      </c>
      <c r="C11" s="40">
        <f t="shared" si="2"/>
        <v>9.0909090909090912E-2</v>
      </c>
      <c r="E11" s="63" t="s">
        <v>71</v>
      </c>
      <c r="F11" s="60" t="s">
        <v>26</v>
      </c>
      <c r="G11" s="47">
        <v>23</v>
      </c>
      <c r="H11" s="133">
        <f t="shared" si="0"/>
        <v>8.3941605839416053E-2</v>
      </c>
      <c r="I11" s="94">
        <v>7</v>
      </c>
      <c r="K11" s="38">
        <v>9</v>
      </c>
      <c r="L11" s="99">
        <v>-128.6</v>
      </c>
      <c r="N11" s="115" t="s">
        <v>165</v>
      </c>
      <c r="O11" s="125">
        <f>IF(P11=0,0,Q11/P11)</f>
        <v>2.5756097560975606</v>
      </c>
      <c r="P11" s="119">
        <v>41</v>
      </c>
      <c r="Q11" s="107">
        <v>105.59999999999998</v>
      </c>
    </row>
    <row r="12" spans="1:17" x14ac:dyDescent="0.4">
      <c r="A12" s="57" t="s">
        <v>160</v>
      </c>
      <c r="B12" s="49">
        <v>8</v>
      </c>
      <c r="C12" s="42">
        <f t="shared" si="2"/>
        <v>6.6115702479338845E-2</v>
      </c>
      <c r="E12" s="63" t="s">
        <v>72</v>
      </c>
      <c r="F12" s="60" t="s">
        <v>27</v>
      </c>
      <c r="G12" s="47">
        <v>21</v>
      </c>
      <c r="H12" s="133">
        <f t="shared" si="0"/>
        <v>7.6642335766423361E-2</v>
      </c>
      <c r="I12" s="94">
        <v>5</v>
      </c>
      <c r="K12" s="38">
        <v>10</v>
      </c>
      <c r="L12" s="99">
        <v>-183.7</v>
      </c>
      <c r="N12" s="116" t="s">
        <v>166</v>
      </c>
      <c r="O12" s="126">
        <f>IF(P12=0,0,Q12/P12)</f>
        <v>3.316666666666666</v>
      </c>
      <c r="P12" s="120">
        <v>36</v>
      </c>
      <c r="Q12" s="108">
        <v>119.39999999999998</v>
      </c>
    </row>
    <row r="13" spans="1:17" x14ac:dyDescent="0.4">
      <c r="A13" s="58" t="s">
        <v>122</v>
      </c>
      <c r="B13" s="50">
        <v>265</v>
      </c>
      <c r="C13" s="44">
        <f>IF(B$3=0,0,B13/B$3)</f>
        <v>0.26315789473684209</v>
      </c>
      <c r="E13" s="63" t="s">
        <v>84</v>
      </c>
      <c r="F13" s="60" t="s">
        <v>39</v>
      </c>
      <c r="G13" s="47">
        <v>15</v>
      </c>
      <c r="H13" s="133">
        <f t="shared" si="0"/>
        <v>5.4744525547445258E-2</v>
      </c>
      <c r="I13" s="94">
        <v>5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194</v>
      </c>
      <c r="C14" s="39">
        <f>IF(B$3=0,0,B14/B$3)</f>
        <v>0.19265143992055611</v>
      </c>
      <c r="E14" s="63" t="s">
        <v>87</v>
      </c>
      <c r="F14" s="60" t="s">
        <v>42</v>
      </c>
      <c r="G14" s="47">
        <v>13</v>
      </c>
      <c r="H14" s="133">
        <f t="shared" si="0"/>
        <v>4.7445255474452552E-2</v>
      </c>
      <c r="I14" s="94">
        <v>11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161</v>
      </c>
      <c r="C15" s="37">
        <f>IF(B$13=0,0,B15/B$13)</f>
        <v>0.60754716981132073</v>
      </c>
      <c r="E15" s="63" t="s">
        <v>79</v>
      </c>
      <c r="F15" s="60" t="s">
        <v>34</v>
      </c>
      <c r="G15" s="47">
        <v>9</v>
      </c>
      <c r="H15" s="133">
        <f t="shared" si="0"/>
        <v>3.2846715328467155E-2</v>
      </c>
      <c r="I15" s="94">
        <v>5</v>
      </c>
      <c r="K15" s="38">
        <v>13</v>
      </c>
      <c r="L15" s="99">
        <v>-209.59999999999997</v>
      </c>
      <c r="N15" s="114" t="s">
        <v>271</v>
      </c>
      <c r="O15" s="124">
        <f t="shared" ref="O15:O25" si="3">IF(P15=0,0,Q15/P15)</f>
        <v>64.679999999999993</v>
      </c>
      <c r="P15" s="118">
        <v>5</v>
      </c>
      <c r="Q15" s="106">
        <v>323.39999999999998</v>
      </c>
    </row>
    <row r="16" spans="1:17" x14ac:dyDescent="0.4">
      <c r="A16" s="54" t="s">
        <v>125</v>
      </c>
      <c r="B16" s="46">
        <v>69</v>
      </c>
      <c r="C16" s="37">
        <f>IF(B$14=0,0,B16/B$14)</f>
        <v>0.35567010309278352</v>
      </c>
      <c r="E16" s="63" t="s">
        <v>92</v>
      </c>
      <c r="F16" s="60" t="s">
        <v>47</v>
      </c>
      <c r="G16" s="47">
        <v>9</v>
      </c>
      <c r="H16" s="133">
        <f t="shared" si="0"/>
        <v>3.2846715328467155E-2</v>
      </c>
      <c r="I16" s="94">
        <v>3</v>
      </c>
      <c r="K16" s="38">
        <v>14</v>
      </c>
      <c r="L16" s="99">
        <v>-178.49999999999997</v>
      </c>
      <c r="N16" s="115" t="s">
        <v>301</v>
      </c>
      <c r="O16" s="125">
        <f t="shared" si="3"/>
        <v>36.400000000000006</v>
      </c>
      <c r="P16" s="119">
        <v>4</v>
      </c>
      <c r="Q16" s="107">
        <v>145.60000000000002</v>
      </c>
    </row>
    <row r="17" spans="1:17" x14ac:dyDescent="0.4">
      <c r="A17" s="54" t="s">
        <v>10</v>
      </c>
      <c r="B17" s="46">
        <f>B19+B18</f>
        <v>274</v>
      </c>
      <c r="C17" s="37">
        <f>IF(B$3=0,0,B17/B$3)</f>
        <v>0.27209533267130087</v>
      </c>
      <c r="E17" s="63" t="s">
        <v>82</v>
      </c>
      <c r="F17" s="60" t="s">
        <v>37</v>
      </c>
      <c r="G17" s="47">
        <v>7</v>
      </c>
      <c r="H17" s="133">
        <f t="shared" si="0"/>
        <v>2.5547445255474453E-2</v>
      </c>
      <c r="I17" s="94">
        <v>7</v>
      </c>
      <c r="K17" s="38">
        <v>15</v>
      </c>
      <c r="L17" s="99">
        <v>-146.19999999999999</v>
      </c>
      <c r="N17" s="115" t="s">
        <v>171</v>
      </c>
      <c r="O17" s="125">
        <f t="shared" si="3"/>
        <v>30.404000000000007</v>
      </c>
      <c r="P17" s="119">
        <v>25</v>
      </c>
      <c r="Q17" s="107">
        <v>760.10000000000014</v>
      </c>
    </row>
    <row r="18" spans="1:17" x14ac:dyDescent="0.4">
      <c r="A18" s="55" t="s">
        <v>12</v>
      </c>
      <c r="B18" s="47">
        <v>121</v>
      </c>
      <c r="C18" s="39">
        <f>IF(B$17=0,0,B18/B$17)</f>
        <v>0.44160583941605841</v>
      </c>
      <c r="E18" s="63" t="s">
        <v>86</v>
      </c>
      <c r="F18" s="60" t="s">
        <v>41</v>
      </c>
      <c r="G18" s="47">
        <v>5</v>
      </c>
      <c r="H18" s="133">
        <f t="shared" si="0"/>
        <v>1.824817518248175E-2</v>
      </c>
      <c r="I18" s="94">
        <v>1</v>
      </c>
      <c r="K18" s="38">
        <v>16</v>
      </c>
      <c r="L18" s="99">
        <v>-153.29999999999998</v>
      </c>
      <c r="N18" s="115" t="s">
        <v>173</v>
      </c>
      <c r="O18" s="125">
        <f t="shared" si="3"/>
        <v>10.354545454545457</v>
      </c>
      <c r="P18" s="119">
        <v>11</v>
      </c>
      <c r="Q18" s="107">
        <v>113.90000000000002</v>
      </c>
    </row>
    <row r="19" spans="1:17" x14ac:dyDescent="0.4">
      <c r="A19" s="55" t="s">
        <v>11</v>
      </c>
      <c r="B19" s="47">
        <v>153</v>
      </c>
      <c r="C19" s="39">
        <f>IF(B$17=0,0,B19/B$17)</f>
        <v>0.55839416058394165</v>
      </c>
      <c r="E19" s="63" t="s">
        <v>80</v>
      </c>
      <c r="F19" s="60" t="s">
        <v>35</v>
      </c>
      <c r="G19" s="47">
        <v>4</v>
      </c>
      <c r="H19" s="133">
        <f t="shared" si="0"/>
        <v>1.4598540145985401E-2</v>
      </c>
      <c r="I19" s="94">
        <v>9</v>
      </c>
      <c r="K19" s="38">
        <v>17</v>
      </c>
      <c r="L19" s="99">
        <v>-161.19999999999999</v>
      </c>
      <c r="N19" s="115" t="s">
        <v>200</v>
      </c>
      <c r="O19" s="125">
        <f t="shared" si="3"/>
        <v>9.3545454545454572</v>
      </c>
      <c r="P19" s="119">
        <v>11</v>
      </c>
      <c r="Q19" s="107">
        <v>102.90000000000002</v>
      </c>
    </row>
    <row r="20" spans="1:17" x14ac:dyDescent="0.4">
      <c r="A20" s="55" t="s">
        <v>13</v>
      </c>
      <c r="B20" s="47">
        <v>151</v>
      </c>
      <c r="C20" s="39">
        <f>IF(B$3=0,0,B20/B$3)</f>
        <v>0.1499503475670308</v>
      </c>
      <c r="E20" s="63" t="s">
        <v>75</v>
      </c>
      <c r="F20" s="60" t="s">
        <v>30</v>
      </c>
      <c r="G20" s="47">
        <v>2</v>
      </c>
      <c r="H20" s="133">
        <f t="shared" si="0"/>
        <v>7.2992700729927005E-3</v>
      </c>
      <c r="I20" s="94">
        <v>2</v>
      </c>
      <c r="K20" s="38">
        <v>18</v>
      </c>
      <c r="L20" s="99">
        <v>-159</v>
      </c>
      <c r="N20" s="115" t="s">
        <v>184</v>
      </c>
      <c r="O20" s="125">
        <f t="shared" si="3"/>
        <v>4.8666666666666698</v>
      </c>
      <c r="P20" s="119">
        <v>6</v>
      </c>
      <c r="Q20" s="107">
        <v>29.200000000000017</v>
      </c>
    </row>
    <row r="21" spans="1:17" x14ac:dyDescent="0.4">
      <c r="A21" s="55" t="s">
        <v>191</v>
      </c>
      <c r="B21" s="47">
        <v>4</v>
      </c>
      <c r="C21" s="135">
        <v>1</v>
      </c>
      <c r="E21" s="63" t="s">
        <v>76</v>
      </c>
      <c r="F21" s="60" t="s">
        <v>31</v>
      </c>
      <c r="G21" s="47">
        <v>2</v>
      </c>
      <c r="H21" s="133">
        <f t="shared" si="0"/>
        <v>7.2992700729927005E-3</v>
      </c>
      <c r="I21" s="94">
        <v>4</v>
      </c>
      <c r="K21" s="38">
        <v>19</v>
      </c>
      <c r="L21" s="99">
        <v>-235.6</v>
      </c>
      <c r="N21" s="115" t="s">
        <v>129</v>
      </c>
      <c r="O21" s="125">
        <f t="shared" si="3"/>
        <v>-0.1966666666666671</v>
      </c>
      <c r="P21" s="119">
        <v>60</v>
      </c>
      <c r="Q21" s="107">
        <v>-11.800000000000026</v>
      </c>
    </row>
    <row r="22" spans="1:17" x14ac:dyDescent="0.4">
      <c r="A22" s="55" t="s">
        <v>192</v>
      </c>
      <c r="B22" s="47">
        <v>45</v>
      </c>
      <c r="C22" s="135">
        <v>3</v>
      </c>
      <c r="E22" s="63" t="s">
        <v>78</v>
      </c>
      <c r="F22" s="60" t="s">
        <v>33</v>
      </c>
      <c r="G22" s="47">
        <v>2</v>
      </c>
      <c r="H22" s="133">
        <f t="shared" si="0"/>
        <v>7.2992700729927005E-3</v>
      </c>
      <c r="I22" s="94">
        <v>5</v>
      </c>
      <c r="K22" s="38">
        <v>20</v>
      </c>
      <c r="L22" s="99">
        <v>-200.8</v>
      </c>
      <c r="N22" s="115" t="s">
        <v>128</v>
      </c>
      <c r="O22" s="125">
        <f t="shared" si="3"/>
        <v>-0.50909090909090871</v>
      </c>
      <c r="P22" s="119">
        <v>33</v>
      </c>
      <c r="Q22" s="107">
        <v>-16.799999999999986</v>
      </c>
    </row>
    <row r="23" spans="1:17" x14ac:dyDescent="0.4">
      <c r="A23" s="55" t="s">
        <v>5</v>
      </c>
      <c r="B23" s="51">
        <f>IF(B$17=0,0,C23/B$17)</f>
        <v>8750.7299270072999</v>
      </c>
      <c r="C23" s="41">
        <v>2397700</v>
      </c>
      <c r="E23" s="63" t="s">
        <v>91</v>
      </c>
      <c r="F23" s="60" t="s">
        <v>46</v>
      </c>
      <c r="G23" s="47">
        <v>2</v>
      </c>
      <c r="H23" s="133">
        <f t="shared" si="0"/>
        <v>7.2992700729927005E-3</v>
      </c>
      <c r="I23" s="94">
        <v>1</v>
      </c>
      <c r="K23" s="38">
        <v>21</v>
      </c>
      <c r="L23" s="99">
        <v>-188.60000000000002</v>
      </c>
      <c r="N23" s="115" t="s">
        <v>172</v>
      </c>
      <c r="O23" s="125">
        <f t="shared" si="3"/>
        <v>-1.6363636363636371</v>
      </c>
      <c r="P23" s="119">
        <v>33</v>
      </c>
      <c r="Q23" s="107">
        <v>-54.000000000000028</v>
      </c>
    </row>
    <row r="24" spans="1:17" x14ac:dyDescent="0.4">
      <c r="A24" s="57" t="s">
        <v>14</v>
      </c>
      <c r="B24" s="52">
        <f>IF(B$20=0,0,C24/B$20)</f>
        <v>-7062.9139072847684</v>
      </c>
      <c r="C24" s="45">
        <v>-1066500</v>
      </c>
      <c r="E24" s="63" t="s">
        <v>93</v>
      </c>
      <c r="F24" s="60" t="s">
        <v>48</v>
      </c>
      <c r="G24" s="47">
        <v>1</v>
      </c>
      <c r="H24" s="133">
        <f t="shared" si="0"/>
        <v>3.6496350364963502E-3</v>
      </c>
      <c r="I24" s="94">
        <v>4</v>
      </c>
      <c r="K24" s="38">
        <v>22</v>
      </c>
      <c r="L24" s="99">
        <v>-142.60000000000002</v>
      </c>
      <c r="N24" s="115" t="s">
        <v>127</v>
      </c>
      <c r="O24" s="125">
        <f t="shared" si="3"/>
        <v>-21.239215686274516</v>
      </c>
      <c r="P24" s="119">
        <v>51</v>
      </c>
      <c r="Q24" s="107">
        <v>-1083.2000000000003</v>
      </c>
    </row>
    <row r="25" spans="1:17" x14ac:dyDescent="0.4">
      <c r="A25" s="90" t="s">
        <v>142</v>
      </c>
      <c r="B25" s="144">
        <v>8</v>
      </c>
      <c r="C25" s="145"/>
      <c r="E25" s="63" t="s">
        <v>94</v>
      </c>
      <c r="F25" s="60" t="s">
        <v>49</v>
      </c>
      <c r="G25" s="47">
        <v>1</v>
      </c>
      <c r="H25" s="133">
        <f t="shared" si="0"/>
        <v>3.6496350364963502E-3</v>
      </c>
      <c r="I25" s="94">
        <v>3</v>
      </c>
      <c r="K25" s="38">
        <v>23</v>
      </c>
      <c r="L25" s="99">
        <v>-145.80000000000001</v>
      </c>
      <c r="N25" s="115" t="s">
        <v>183</v>
      </c>
      <c r="O25" s="125">
        <f t="shared" si="3"/>
        <v>-45.699999999999996</v>
      </c>
      <c r="P25" s="119">
        <v>3</v>
      </c>
      <c r="Q25" s="107">
        <v>-137.1</v>
      </c>
    </row>
    <row r="26" spans="1:17" x14ac:dyDescent="0.4">
      <c r="A26" s="58" t="s">
        <v>152</v>
      </c>
      <c r="B26" s="142">
        <v>103000</v>
      </c>
      <c r="C26" s="143"/>
      <c r="E26" s="63" t="s">
        <v>102</v>
      </c>
      <c r="F26" s="60" t="s">
        <v>57</v>
      </c>
      <c r="G26" s="47">
        <v>1</v>
      </c>
      <c r="H26" s="133">
        <f t="shared" si="0"/>
        <v>3.6496350364963502E-3</v>
      </c>
      <c r="I26" s="94">
        <v>1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4</v>
      </c>
      <c r="C27" s="42">
        <f>IF(B$3=0,0,B27/B$3)</f>
        <v>3.9721946375372392E-3</v>
      </c>
      <c r="E27" s="63" t="s">
        <v>74</v>
      </c>
      <c r="F27" s="60" t="s">
        <v>29</v>
      </c>
      <c r="G27" s="47">
        <v>0</v>
      </c>
      <c r="H27" s="133">
        <f t="shared" si="0"/>
        <v>0</v>
      </c>
      <c r="I27" s="94">
        <v>9</v>
      </c>
      <c r="K27" s="38">
        <v>25</v>
      </c>
      <c r="L27" s="99">
        <v>-151.5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 t="shared" si="0"/>
        <v>0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 t="shared" si="0"/>
        <v>0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 t="shared" si="0"/>
        <v>0</v>
      </c>
      <c r="I30" s="94">
        <v>1</v>
      </c>
      <c r="K30" s="38">
        <v>28</v>
      </c>
      <c r="L30" s="99">
        <v>7.2000000000000028</v>
      </c>
    </row>
    <row r="31" spans="1:17" x14ac:dyDescent="0.4">
      <c r="E31" s="63" t="s">
        <v>85</v>
      </c>
      <c r="F31" s="60" t="s">
        <v>40</v>
      </c>
      <c r="G31" s="47">
        <v>0</v>
      </c>
      <c r="H31" s="133">
        <f t="shared" si="0"/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88</v>
      </c>
      <c r="F32" s="60" t="s">
        <v>43</v>
      </c>
      <c r="G32" s="47">
        <v>0</v>
      </c>
      <c r="H32" s="133">
        <f t="shared" si="0"/>
        <v>0</v>
      </c>
      <c r="I32" s="94">
        <v>7</v>
      </c>
      <c r="K32" s="38">
        <v>30</v>
      </c>
      <c r="L32" s="99">
        <v>-99.6</v>
      </c>
    </row>
    <row r="33" spans="5:12" x14ac:dyDescent="0.4">
      <c r="E33" s="63" t="s">
        <v>89</v>
      </c>
      <c r="F33" s="60" t="s">
        <v>44</v>
      </c>
      <c r="G33" s="47">
        <v>0</v>
      </c>
      <c r="H33" s="133">
        <f t="shared" si="0"/>
        <v>0</v>
      </c>
      <c r="I33" s="94">
        <v>5</v>
      </c>
      <c r="K33" s="38">
        <v>31</v>
      </c>
      <c r="L33" s="99">
        <v>-54.199999999999996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 t="shared" ref="H34:H65" si="4"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4</v>
      </c>
      <c r="K35" s="38">
        <v>33</v>
      </c>
      <c r="L35" s="99">
        <v>-107.4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 t="shared" si="4"/>
        <v>0</v>
      </c>
      <c r="I37" s="94">
        <v>3</v>
      </c>
      <c r="K37" s="38">
        <v>35</v>
      </c>
      <c r="L37" s="99">
        <v>19.399999999999999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 t="shared" si="4"/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 t="shared" si="4"/>
        <v>0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 t="shared" si="4"/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3</v>
      </c>
      <c r="K45" s="38">
        <v>43</v>
      </c>
      <c r="L45" s="99">
        <v>103.10000000000001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  <c r="K50" s="38">
        <v>48</v>
      </c>
      <c r="L50" s="99">
        <v>40.899999999999991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 t="shared" si="4"/>
        <v>0</v>
      </c>
      <c r="I51" s="139">
        <v>8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  <row r="75" spans="11:12" x14ac:dyDescent="0.4">
      <c r="K75" s="38">
        <v>73</v>
      </c>
      <c r="L75" s="99">
        <v>275</v>
      </c>
    </row>
    <row r="76" spans="11:12" x14ac:dyDescent="0.4">
      <c r="K76" s="38">
        <v>74</v>
      </c>
      <c r="L76" s="99">
        <v>242.1</v>
      </c>
    </row>
    <row r="77" spans="11:12" x14ac:dyDescent="0.4">
      <c r="K77" s="38">
        <v>75</v>
      </c>
      <c r="L77" s="99">
        <v>255.79999999999998</v>
      </c>
    </row>
    <row r="78" spans="11:12" x14ac:dyDescent="0.4">
      <c r="K78" s="38">
        <v>76</v>
      </c>
      <c r="L78" s="99">
        <v>198.29999999999998</v>
      </c>
    </row>
    <row r="79" spans="11:12" x14ac:dyDescent="0.4">
      <c r="K79" s="38">
        <v>77</v>
      </c>
      <c r="L79" s="99">
        <v>201.7</v>
      </c>
    </row>
    <row r="80" spans="11:12" x14ac:dyDescent="0.4">
      <c r="K80" s="38">
        <v>78</v>
      </c>
      <c r="L80" s="99">
        <v>193.39999999999998</v>
      </c>
    </row>
    <row r="81" spans="11:12" x14ac:dyDescent="0.4">
      <c r="K81" s="38">
        <v>79</v>
      </c>
      <c r="L81" s="99">
        <v>151.59999999999997</v>
      </c>
    </row>
    <row r="82" spans="11:12" x14ac:dyDescent="0.4">
      <c r="K82" s="38">
        <v>80</v>
      </c>
      <c r="L82" s="99">
        <v>154.19999999999996</v>
      </c>
    </row>
    <row r="83" spans="11:12" x14ac:dyDescent="0.4">
      <c r="K83" s="38">
        <v>81</v>
      </c>
      <c r="L83" s="99">
        <v>216.19999999999996</v>
      </c>
    </row>
    <row r="84" spans="11:12" x14ac:dyDescent="0.4">
      <c r="K84" s="38">
        <v>82</v>
      </c>
      <c r="L84" s="99">
        <v>225.79999999999995</v>
      </c>
    </row>
    <row r="85" spans="11:12" x14ac:dyDescent="0.4">
      <c r="K85" s="38">
        <v>83</v>
      </c>
      <c r="L85" s="99">
        <v>167.49999999999994</v>
      </c>
    </row>
    <row r="86" spans="11:12" x14ac:dyDescent="0.4">
      <c r="K86" s="38">
        <v>84</v>
      </c>
      <c r="L86" s="99">
        <v>131.69999999999993</v>
      </c>
    </row>
    <row r="87" spans="11:12" x14ac:dyDescent="0.4">
      <c r="K87" s="38">
        <v>85</v>
      </c>
      <c r="L87" s="99">
        <v>103.19999999999993</v>
      </c>
    </row>
    <row r="88" spans="11:12" x14ac:dyDescent="0.4">
      <c r="K88" s="38">
        <v>86</v>
      </c>
      <c r="L88" s="99">
        <v>69.899999999999935</v>
      </c>
    </row>
    <row r="89" spans="11:12" x14ac:dyDescent="0.4">
      <c r="K89" s="38">
        <v>87</v>
      </c>
      <c r="L89" s="99">
        <v>18.699999999999932</v>
      </c>
    </row>
    <row r="90" spans="11:12" x14ac:dyDescent="0.4">
      <c r="K90" s="38">
        <v>88</v>
      </c>
      <c r="L90" s="99">
        <v>-51.800000000000068</v>
      </c>
    </row>
    <row r="91" spans="11:12" x14ac:dyDescent="0.4">
      <c r="K91" s="38">
        <v>89</v>
      </c>
      <c r="L91" s="99">
        <v>-75.500000000000071</v>
      </c>
    </row>
    <row r="92" spans="11:12" x14ac:dyDescent="0.4">
      <c r="K92" s="38">
        <v>90</v>
      </c>
      <c r="L92" s="99">
        <v>-66.500000000000071</v>
      </c>
    </row>
    <row r="93" spans="11:12" x14ac:dyDescent="0.4">
      <c r="K93" s="38">
        <v>91</v>
      </c>
      <c r="L93" s="99">
        <v>-39.600000000000072</v>
      </c>
    </row>
    <row r="94" spans="11:12" x14ac:dyDescent="0.4">
      <c r="K94" s="38">
        <v>92</v>
      </c>
      <c r="L94" s="99">
        <v>-0.7000000000000739</v>
      </c>
    </row>
    <row r="95" spans="11:12" x14ac:dyDescent="0.4">
      <c r="K95" s="38">
        <v>93</v>
      </c>
      <c r="L95" s="99">
        <v>29.599999999999927</v>
      </c>
    </row>
    <row r="96" spans="11:12" x14ac:dyDescent="0.4">
      <c r="K96" s="38">
        <v>94</v>
      </c>
      <c r="L96" s="99">
        <v>57.299999999999926</v>
      </c>
    </row>
    <row r="97" spans="11:12" x14ac:dyDescent="0.4">
      <c r="K97" s="38">
        <v>95</v>
      </c>
      <c r="L97" s="99">
        <v>47.299999999999926</v>
      </c>
    </row>
    <row r="98" spans="11:12" x14ac:dyDescent="0.4">
      <c r="K98" s="38">
        <v>96</v>
      </c>
      <c r="L98" s="99">
        <v>48.899999999999928</v>
      </c>
    </row>
    <row r="99" spans="11:12" x14ac:dyDescent="0.4">
      <c r="K99" s="38">
        <v>97</v>
      </c>
      <c r="L99" s="99">
        <v>19.799999999999926</v>
      </c>
    </row>
    <row r="100" spans="11:12" x14ac:dyDescent="0.4">
      <c r="K100" s="38">
        <v>98</v>
      </c>
      <c r="L100" s="99">
        <v>87.099999999999923</v>
      </c>
    </row>
    <row r="101" spans="11:12" x14ac:dyDescent="0.4">
      <c r="K101" s="38">
        <v>99</v>
      </c>
      <c r="L101" s="99">
        <v>119.29999999999993</v>
      </c>
    </row>
    <row r="102" spans="11:12" x14ac:dyDescent="0.4">
      <c r="K102" s="38">
        <v>100</v>
      </c>
      <c r="L102" s="99">
        <v>115.59999999999992</v>
      </c>
    </row>
    <row r="103" spans="11:12" x14ac:dyDescent="0.4">
      <c r="K103" s="38">
        <v>101</v>
      </c>
      <c r="L103" s="99">
        <v>111.59999999999992</v>
      </c>
    </row>
    <row r="104" spans="11:12" x14ac:dyDescent="0.4">
      <c r="K104" s="38">
        <v>102</v>
      </c>
      <c r="L104" s="99">
        <v>112.49999999999993</v>
      </c>
    </row>
    <row r="105" spans="11:12" x14ac:dyDescent="0.4">
      <c r="K105" s="38">
        <v>103</v>
      </c>
      <c r="L105" s="99">
        <v>67.699999999999932</v>
      </c>
    </row>
    <row r="106" spans="11:12" x14ac:dyDescent="0.4">
      <c r="K106" s="38">
        <v>104</v>
      </c>
      <c r="L106" s="99">
        <v>56.899999999999935</v>
      </c>
    </row>
    <row r="107" spans="11:12" x14ac:dyDescent="0.4">
      <c r="K107" s="38">
        <v>105</v>
      </c>
      <c r="L107" s="99">
        <v>-9.6000000000000654</v>
      </c>
    </row>
    <row r="108" spans="11:12" x14ac:dyDescent="0.4">
      <c r="K108" s="38">
        <v>106</v>
      </c>
      <c r="L108" s="99">
        <v>1.4999999999999343</v>
      </c>
    </row>
    <row r="109" spans="11:12" x14ac:dyDescent="0.4">
      <c r="K109" s="38">
        <v>107</v>
      </c>
      <c r="L109" s="99">
        <v>1.2999999999999343</v>
      </c>
    </row>
    <row r="110" spans="11:12" x14ac:dyDescent="0.4">
      <c r="K110" s="38">
        <v>108</v>
      </c>
      <c r="L110" s="99">
        <v>-5.7000000000000659</v>
      </c>
    </row>
    <row r="111" spans="11:12" x14ac:dyDescent="0.4">
      <c r="K111" s="38">
        <v>109</v>
      </c>
      <c r="L111" s="99">
        <v>-6.1000000000000663</v>
      </c>
    </row>
    <row r="112" spans="11:12" x14ac:dyDescent="0.4">
      <c r="K112" s="38">
        <v>110</v>
      </c>
      <c r="L112" s="99">
        <v>-43.800000000000068</v>
      </c>
    </row>
    <row r="113" spans="11:12" x14ac:dyDescent="0.4">
      <c r="K113" s="38">
        <v>111</v>
      </c>
      <c r="L113" s="99">
        <v>-3.6000000000000654</v>
      </c>
    </row>
    <row r="114" spans="11:12" x14ac:dyDescent="0.4">
      <c r="K114" s="38">
        <v>112</v>
      </c>
      <c r="L114" s="99">
        <v>-65.200000000000074</v>
      </c>
    </row>
    <row r="115" spans="11:12" x14ac:dyDescent="0.4">
      <c r="K115" s="38">
        <v>113</v>
      </c>
      <c r="L115" s="99">
        <v>-109.10000000000008</v>
      </c>
    </row>
    <row r="116" spans="11:12" x14ac:dyDescent="0.4">
      <c r="K116" s="38">
        <v>114</v>
      </c>
      <c r="L116" s="99">
        <v>-98.400000000000077</v>
      </c>
    </row>
    <row r="117" spans="11:12" x14ac:dyDescent="0.4">
      <c r="K117" s="38">
        <v>115</v>
      </c>
      <c r="L117" s="99">
        <v>-62.700000000000074</v>
      </c>
    </row>
    <row r="118" spans="11:12" x14ac:dyDescent="0.4">
      <c r="K118" s="38">
        <v>116</v>
      </c>
      <c r="L118" s="99">
        <v>-35.500000000000071</v>
      </c>
    </row>
    <row r="119" spans="11:12" x14ac:dyDescent="0.4">
      <c r="K119" s="38">
        <v>117</v>
      </c>
      <c r="L119" s="99">
        <v>-19.70000000000007</v>
      </c>
    </row>
    <row r="120" spans="11:12" x14ac:dyDescent="0.4">
      <c r="K120" s="38">
        <v>118</v>
      </c>
      <c r="L120" s="99">
        <v>-48.500000000000071</v>
      </c>
    </row>
    <row r="121" spans="11:12" x14ac:dyDescent="0.4">
      <c r="K121" s="38">
        <v>119</v>
      </c>
      <c r="L121" s="99">
        <v>12.699999999999932</v>
      </c>
    </row>
    <row r="122" spans="11:12" x14ac:dyDescent="0.4">
      <c r="K122" s="38">
        <v>120</v>
      </c>
      <c r="L122" s="99">
        <v>15.899999999999931</v>
      </c>
    </row>
    <row r="123" spans="11:12" x14ac:dyDescent="0.4">
      <c r="K123" s="38">
        <v>121</v>
      </c>
      <c r="L123" s="99">
        <v>57.399999999999935</v>
      </c>
    </row>
  </sheetData>
  <sortState xmlns:xlrd2="http://schemas.microsoft.com/office/spreadsheetml/2017/richdata2" ref="N15:Q25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76958-EC2A-4AA4-8C29-E17275C69546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 t="shared" ref="H2:H33" si="0">IF(B$17=0,0,G2/B$17)</f>
        <v>0.6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1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67</v>
      </c>
      <c r="F3" s="60" t="s">
        <v>23</v>
      </c>
      <c r="G3" s="47">
        <v>3</v>
      </c>
      <c r="H3" s="133">
        <f t="shared" si="0"/>
        <v>0.6</v>
      </c>
      <c r="I3" s="94">
        <v>12</v>
      </c>
      <c r="K3" s="38">
        <v>1</v>
      </c>
      <c r="L3" s="99">
        <v>-14.6</v>
      </c>
      <c r="N3" s="115" t="s">
        <v>133</v>
      </c>
      <c r="O3" s="122">
        <f t="shared" si="1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73</v>
      </c>
      <c r="F4" s="60" t="s">
        <v>28</v>
      </c>
      <c r="G4" s="47">
        <v>3</v>
      </c>
      <c r="H4" s="133">
        <f t="shared" si="0"/>
        <v>0.6</v>
      </c>
      <c r="I4" s="94">
        <v>4</v>
      </c>
      <c r="K4" s="38">
        <v>2</v>
      </c>
      <c r="L4" s="99">
        <v>22.5</v>
      </c>
      <c r="N4" s="115" t="s">
        <v>134</v>
      </c>
      <c r="O4" s="122">
        <f t="shared" si="1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 t="shared" si="0"/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1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90</v>
      </c>
      <c r="F6" s="60" t="s">
        <v>45</v>
      </c>
      <c r="G6" s="47">
        <v>2</v>
      </c>
      <c r="H6" s="133">
        <f t="shared" si="0"/>
        <v>0.4</v>
      </c>
      <c r="I6" s="94">
        <v>1</v>
      </c>
      <c r="N6" s="115" t="s">
        <v>136</v>
      </c>
      <c r="O6" s="122">
        <f t="shared" si="1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 t="shared" ref="C7:C12" si="2">IF(B$2=0,0,B7/B$2)</f>
        <v>0.66666666666666663</v>
      </c>
      <c r="E7" s="63" t="s">
        <v>245</v>
      </c>
      <c r="F7" s="60" t="s">
        <v>246</v>
      </c>
      <c r="G7" s="47">
        <v>2</v>
      </c>
      <c r="H7" s="133">
        <f t="shared" si="0"/>
        <v>0.4</v>
      </c>
      <c r="I7" s="94">
        <v>8</v>
      </c>
      <c r="N7" s="116" t="s">
        <v>137</v>
      </c>
      <c r="O7" s="123">
        <f t="shared" si="1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 t="shared" si="2"/>
        <v>0.33333333333333331</v>
      </c>
      <c r="E8" s="63" t="s">
        <v>69</v>
      </c>
      <c r="F8" s="60" t="s">
        <v>12</v>
      </c>
      <c r="G8" s="47">
        <v>1</v>
      </c>
      <c r="H8" s="133">
        <f t="shared" si="0"/>
        <v>0.2</v>
      </c>
      <c r="I8" s="94">
        <v>14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2"/>
        <v>0</v>
      </c>
      <c r="E9" s="63" t="s">
        <v>70</v>
      </c>
      <c r="F9" s="60" t="s">
        <v>25</v>
      </c>
      <c r="G9" s="47">
        <v>1</v>
      </c>
      <c r="H9" s="133">
        <f t="shared" si="0"/>
        <v>0.2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 t="shared" si="2"/>
        <v>0</v>
      </c>
      <c r="E10" s="63" t="s">
        <v>72</v>
      </c>
      <c r="F10" s="60" t="s">
        <v>27</v>
      </c>
      <c r="G10" s="47">
        <v>1</v>
      </c>
      <c r="H10" s="133">
        <f t="shared" si="0"/>
        <v>0.2</v>
      </c>
      <c r="I10" s="94">
        <v>1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 t="shared" si="2"/>
        <v>0</v>
      </c>
      <c r="E11" s="63" t="s">
        <v>87</v>
      </c>
      <c r="F11" s="60" t="s">
        <v>42</v>
      </c>
      <c r="G11" s="47">
        <v>1</v>
      </c>
      <c r="H11" s="133">
        <f t="shared" si="0"/>
        <v>0.2</v>
      </c>
      <c r="I11" s="94">
        <v>1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 t="shared" si="2"/>
        <v>0</v>
      </c>
      <c r="E12" s="63" t="s">
        <v>66</v>
      </c>
      <c r="F12" s="60" t="s">
        <v>22</v>
      </c>
      <c r="G12" s="47">
        <v>0</v>
      </c>
      <c r="H12" s="133">
        <f t="shared" si="0"/>
        <v>0</v>
      </c>
      <c r="I12" s="94">
        <v>14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71</v>
      </c>
      <c r="F13" s="60" t="s">
        <v>26</v>
      </c>
      <c r="G13" s="47">
        <v>0</v>
      </c>
      <c r="H13" s="133">
        <f t="shared" si="0"/>
        <v>0</v>
      </c>
      <c r="I13" s="94">
        <v>13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74</v>
      </c>
      <c r="F14" s="60" t="s">
        <v>29</v>
      </c>
      <c r="G14" s="47">
        <v>0</v>
      </c>
      <c r="H14" s="133">
        <f t="shared" si="0"/>
        <v>0</v>
      </c>
      <c r="I14" s="94">
        <v>9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75</v>
      </c>
      <c r="F15" s="60" t="s">
        <v>30</v>
      </c>
      <c r="G15" s="47">
        <v>0</v>
      </c>
      <c r="H15" s="133">
        <f t="shared" si="0"/>
        <v>0</v>
      </c>
      <c r="I15" s="94">
        <v>7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76</v>
      </c>
      <c r="F16" s="60" t="s">
        <v>31</v>
      </c>
      <c r="G16" s="47">
        <v>0</v>
      </c>
      <c r="H16" s="133">
        <f t="shared" si="0"/>
        <v>0</v>
      </c>
      <c r="I16" s="94">
        <v>9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77</v>
      </c>
      <c r="F17" s="60" t="s">
        <v>32</v>
      </c>
      <c r="G17" s="47">
        <v>0</v>
      </c>
      <c r="H17" s="133">
        <f t="shared" si="0"/>
        <v>0</v>
      </c>
      <c r="I17" s="94">
        <v>1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78</v>
      </c>
      <c r="F18" s="60" t="s">
        <v>33</v>
      </c>
      <c r="G18" s="47">
        <v>0</v>
      </c>
      <c r="H18" s="133">
        <f t="shared" si="0"/>
        <v>0</v>
      </c>
      <c r="I18" s="94">
        <v>9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79</v>
      </c>
      <c r="F19" s="60" t="s">
        <v>34</v>
      </c>
      <c r="G19" s="47">
        <v>0</v>
      </c>
      <c r="H19" s="133">
        <f t="shared" si="0"/>
        <v>0</v>
      </c>
      <c r="I19" s="94">
        <v>12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80</v>
      </c>
      <c r="F20" s="60" t="s">
        <v>35</v>
      </c>
      <c r="G20" s="47">
        <v>0</v>
      </c>
      <c r="H20" s="133">
        <f t="shared" si="0"/>
        <v>0</v>
      </c>
      <c r="I20" s="94">
        <v>12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81</v>
      </c>
      <c r="F21" s="60" t="s">
        <v>36</v>
      </c>
      <c r="G21" s="47">
        <v>0</v>
      </c>
      <c r="H21" s="133">
        <f t="shared" si="0"/>
        <v>0</v>
      </c>
      <c r="I21" s="94">
        <v>1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82</v>
      </c>
      <c r="F22" s="60" t="s">
        <v>37</v>
      </c>
      <c r="G22" s="47">
        <v>0</v>
      </c>
      <c r="H22" s="133">
        <f t="shared" si="0"/>
        <v>0</v>
      </c>
      <c r="I22" s="94">
        <v>13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83</v>
      </c>
      <c r="F23" s="60" t="s">
        <v>38</v>
      </c>
      <c r="G23" s="47">
        <v>0</v>
      </c>
      <c r="H23" s="133">
        <f t="shared" si="0"/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84</v>
      </c>
      <c r="F24" s="60" t="s">
        <v>39</v>
      </c>
      <c r="G24" s="47">
        <v>0</v>
      </c>
      <c r="H24" s="133">
        <f t="shared" si="0"/>
        <v>0</v>
      </c>
      <c r="I24" s="94">
        <v>13</v>
      </c>
    </row>
    <row r="25" spans="1:17" x14ac:dyDescent="0.4">
      <c r="A25" s="90" t="s">
        <v>142</v>
      </c>
      <c r="B25" s="144">
        <v>3</v>
      </c>
      <c r="C25" s="145"/>
      <c r="E25" s="63" t="s">
        <v>85</v>
      </c>
      <c r="F25" s="60" t="s">
        <v>40</v>
      </c>
      <c r="G25" s="47">
        <v>0</v>
      </c>
      <c r="H25" s="133">
        <f t="shared" si="0"/>
        <v>0</v>
      </c>
      <c r="I25" s="94">
        <v>6</v>
      </c>
    </row>
    <row r="26" spans="1:17" x14ac:dyDescent="0.4">
      <c r="A26" s="58" t="s">
        <v>152</v>
      </c>
      <c r="B26" s="142">
        <v>53500</v>
      </c>
      <c r="C26" s="143"/>
      <c r="E26" s="63" t="s">
        <v>86</v>
      </c>
      <c r="F26" s="60" t="s">
        <v>41</v>
      </c>
      <c r="G26" s="47">
        <v>0</v>
      </c>
      <c r="H26" s="133">
        <f t="shared" si="0"/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 t="shared" si="0"/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 t="shared" si="0"/>
        <v>0</v>
      </c>
      <c r="I28" s="94">
        <v>5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 t="shared" si="0"/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 t="shared" si="0"/>
        <v>0</v>
      </c>
      <c r="I30" s="94">
        <v>10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65" si="3"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3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3"/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3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3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3"/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3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3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3"/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3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3"/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 t="shared" si="3"/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129C0-A6B5-49FF-BD84-ED7489736299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24</v>
      </c>
      <c r="C2" s="151"/>
      <c r="E2" s="62" t="s">
        <v>67</v>
      </c>
      <c r="F2" s="59" t="s">
        <v>23</v>
      </c>
      <c r="G2" s="46">
        <v>43</v>
      </c>
      <c r="H2" s="132">
        <f t="shared" ref="H2:H33" si="0">IF(B$17=0,0,G2/B$17)</f>
        <v>0.86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-408.33333333333331</v>
      </c>
      <c r="P2" s="118">
        <v>24</v>
      </c>
      <c r="Q2" s="102">
        <v>-9800</v>
      </c>
    </row>
    <row r="3" spans="1:17" x14ac:dyDescent="0.4">
      <c r="A3" s="55" t="s">
        <v>8</v>
      </c>
      <c r="B3" s="152">
        <v>181</v>
      </c>
      <c r="C3" s="153"/>
      <c r="E3" s="63" t="s">
        <v>73</v>
      </c>
      <c r="F3" s="60" t="s">
        <v>28</v>
      </c>
      <c r="G3" s="47">
        <v>30</v>
      </c>
      <c r="H3" s="133">
        <f t="shared" si="0"/>
        <v>0.6</v>
      </c>
      <c r="I3" s="94">
        <v>4</v>
      </c>
      <c r="K3" s="38">
        <v>1</v>
      </c>
      <c r="L3" s="99">
        <v>-43.7</v>
      </c>
      <c r="N3" s="115" t="s">
        <v>133</v>
      </c>
      <c r="O3" s="122">
        <f t="shared" si="1"/>
        <v>-4537.5</v>
      </c>
      <c r="P3" s="119">
        <v>24</v>
      </c>
      <c r="Q3" s="103">
        <v>-108900</v>
      </c>
    </row>
    <row r="4" spans="1:17" x14ac:dyDescent="0.4">
      <c r="A4" s="55" t="s">
        <v>6</v>
      </c>
      <c r="B4" s="154">
        <v>-300.5</v>
      </c>
      <c r="C4" s="155"/>
      <c r="E4" s="63" t="s">
        <v>65</v>
      </c>
      <c r="F4" s="60" t="s">
        <v>21</v>
      </c>
      <c r="G4" s="47">
        <v>27</v>
      </c>
      <c r="H4" s="133">
        <f t="shared" si="0"/>
        <v>0.54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1"/>
        <v>-70</v>
      </c>
      <c r="P4" s="119">
        <v>20</v>
      </c>
      <c r="Q4" s="103">
        <v>-1400</v>
      </c>
    </row>
    <row r="5" spans="1:17" x14ac:dyDescent="0.4">
      <c r="A5" s="55" t="s">
        <v>7</v>
      </c>
      <c r="B5" s="156">
        <f>IF(B$2=0,0,B$4/B$2)</f>
        <v>-12.520833333333334</v>
      </c>
      <c r="C5" s="157"/>
      <c r="E5" s="63" t="s">
        <v>245</v>
      </c>
      <c r="F5" s="60" t="s">
        <v>246</v>
      </c>
      <c r="G5" s="47">
        <v>16</v>
      </c>
      <c r="H5" s="133">
        <f t="shared" si="0"/>
        <v>0.32</v>
      </c>
      <c r="I5" s="94">
        <v>14</v>
      </c>
      <c r="K5" s="38">
        <v>3</v>
      </c>
      <c r="L5" s="99">
        <v>-78.400000000000006</v>
      </c>
      <c r="N5" s="115" t="s">
        <v>135</v>
      </c>
      <c r="O5" s="122">
        <f t="shared" si="1"/>
        <v>-3300</v>
      </c>
      <c r="P5" s="119">
        <v>20</v>
      </c>
      <c r="Q5" s="103">
        <v>-66000</v>
      </c>
    </row>
    <row r="6" spans="1:17" x14ac:dyDescent="0.4">
      <c r="A6" s="55" t="s">
        <v>1</v>
      </c>
      <c r="B6" s="146">
        <f>IF(B$2=0,0,(B$7*1+B$8*2+B$9*3)/B$2)</f>
        <v>2.2083333333333335</v>
      </c>
      <c r="C6" s="147"/>
      <c r="E6" s="63" t="s">
        <v>69</v>
      </c>
      <c r="F6" s="60" t="s">
        <v>12</v>
      </c>
      <c r="G6" s="47">
        <v>15</v>
      </c>
      <c r="H6" s="133">
        <f t="shared" si="0"/>
        <v>0.3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1"/>
        <v>-1533.3333333333333</v>
      </c>
      <c r="P6" s="119">
        <v>18</v>
      </c>
      <c r="Q6" s="103">
        <v>-27600</v>
      </c>
    </row>
    <row r="7" spans="1:17" x14ac:dyDescent="0.4">
      <c r="A7" s="55" t="s">
        <v>2</v>
      </c>
      <c r="B7" s="47">
        <v>8</v>
      </c>
      <c r="C7" s="39">
        <f t="shared" ref="C7:C12" si="2">IF(B$2=0,0,B7/B$2)</f>
        <v>0.33333333333333331</v>
      </c>
      <c r="E7" s="63" t="s">
        <v>68</v>
      </c>
      <c r="F7" s="60" t="s">
        <v>24</v>
      </c>
      <c r="G7" s="47">
        <v>12</v>
      </c>
      <c r="H7" s="133">
        <f t="shared" si="0"/>
        <v>0.24</v>
      </c>
      <c r="I7" s="94">
        <v>11</v>
      </c>
      <c r="K7" s="38">
        <v>5</v>
      </c>
      <c r="L7" s="99">
        <v>-121</v>
      </c>
      <c r="N7" s="116" t="s">
        <v>137</v>
      </c>
      <c r="O7" s="123">
        <f t="shared" si="1"/>
        <v>-3320</v>
      </c>
      <c r="P7" s="120">
        <v>15</v>
      </c>
      <c r="Q7" s="104">
        <v>-49800</v>
      </c>
    </row>
    <row r="8" spans="1:17" x14ac:dyDescent="0.4">
      <c r="A8" s="55" t="s">
        <v>3</v>
      </c>
      <c r="B8" s="47">
        <v>3</v>
      </c>
      <c r="C8" s="39">
        <f t="shared" si="2"/>
        <v>0.125</v>
      </c>
      <c r="E8" s="63" t="s">
        <v>70</v>
      </c>
      <c r="F8" s="60" t="s">
        <v>25</v>
      </c>
      <c r="G8" s="47">
        <v>8</v>
      </c>
      <c r="H8" s="133">
        <f t="shared" si="0"/>
        <v>0.16</v>
      </c>
      <c r="I8" s="94">
        <v>5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si="2"/>
        <v>0.54166666666666663</v>
      </c>
      <c r="E9" s="63" t="s">
        <v>71</v>
      </c>
      <c r="F9" s="60" t="s">
        <v>26</v>
      </c>
      <c r="G9" s="47">
        <v>8</v>
      </c>
      <c r="H9" s="133">
        <f t="shared" si="0"/>
        <v>0.16</v>
      </c>
      <c r="I9" s="94">
        <v>1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 t="shared" si="2"/>
        <v>0.29166666666666669</v>
      </c>
      <c r="E10" s="63" t="s">
        <v>84</v>
      </c>
      <c r="F10" s="60" t="s">
        <v>39</v>
      </c>
      <c r="G10" s="47">
        <v>6</v>
      </c>
      <c r="H10" s="133">
        <f t="shared" si="0"/>
        <v>0.12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-7.8777777777777755</v>
      </c>
      <c r="P10" s="118">
        <v>9</v>
      </c>
      <c r="Q10" s="106">
        <v>-70.899999999999977</v>
      </c>
    </row>
    <row r="11" spans="1:17" x14ac:dyDescent="0.4">
      <c r="A11" s="56" t="s">
        <v>140</v>
      </c>
      <c r="B11" s="48">
        <v>2</v>
      </c>
      <c r="C11" s="40">
        <f t="shared" si="2"/>
        <v>8.3333333333333329E-2</v>
      </c>
      <c r="E11" s="63" t="s">
        <v>90</v>
      </c>
      <c r="F11" s="60" t="s">
        <v>45</v>
      </c>
      <c r="G11" s="47">
        <v>5</v>
      </c>
      <c r="H11" s="133">
        <f t="shared" si="0"/>
        <v>0.1</v>
      </c>
      <c r="I11" s="94">
        <v>11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3</v>
      </c>
      <c r="C12" s="42">
        <f t="shared" si="2"/>
        <v>0.125</v>
      </c>
      <c r="E12" s="63" t="s">
        <v>66</v>
      </c>
      <c r="F12" s="60" t="s">
        <v>22</v>
      </c>
      <c r="G12" s="47">
        <v>4</v>
      </c>
      <c r="H12" s="133">
        <f t="shared" si="0"/>
        <v>0.08</v>
      </c>
      <c r="I12" s="94">
        <v>10</v>
      </c>
      <c r="K12" s="38">
        <v>10</v>
      </c>
      <c r="L12" s="99">
        <v>-197.5</v>
      </c>
      <c r="N12" s="116" t="s">
        <v>166</v>
      </c>
      <c r="O12" s="126">
        <f>IF(P12=0,0,Q12/P12)</f>
        <v>-17.677777777777777</v>
      </c>
      <c r="P12" s="120">
        <v>9</v>
      </c>
      <c r="Q12" s="108">
        <v>-159.1</v>
      </c>
    </row>
    <row r="13" spans="1:17" x14ac:dyDescent="0.4">
      <c r="A13" s="58" t="s">
        <v>122</v>
      </c>
      <c r="B13" s="50">
        <v>42</v>
      </c>
      <c r="C13" s="44">
        <f>IF(B$3=0,0,B13/B$3)</f>
        <v>0.23204419889502761</v>
      </c>
      <c r="E13" s="63" t="s">
        <v>72</v>
      </c>
      <c r="F13" s="60" t="s">
        <v>27</v>
      </c>
      <c r="G13" s="47">
        <v>3</v>
      </c>
      <c r="H13" s="133">
        <f t="shared" si="0"/>
        <v>0.06</v>
      </c>
      <c r="I13" s="94">
        <v>9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45</v>
      </c>
      <c r="C14" s="39">
        <f>IF(B$3=0,0,B14/B$3)</f>
        <v>0.24861878453038674</v>
      </c>
      <c r="E14" s="63" t="s">
        <v>80</v>
      </c>
      <c r="F14" s="60" t="s">
        <v>35</v>
      </c>
      <c r="G14" s="47">
        <v>3</v>
      </c>
      <c r="H14" s="133">
        <f t="shared" si="0"/>
        <v>0.06</v>
      </c>
      <c r="I14" s="94">
        <v>2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28</v>
      </c>
      <c r="C15" s="37">
        <f>IF(B$13=0,0,B15/B$13)</f>
        <v>0.66666666666666663</v>
      </c>
      <c r="E15" s="63" t="s">
        <v>74</v>
      </c>
      <c r="F15" s="60" t="s">
        <v>29</v>
      </c>
      <c r="G15" s="47">
        <v>1</v>
      </c>
      <c r="H15" s="133">
        <f t="shared" si="0"/>
        <v>0.02</v>
      </c>
      <c r="I15" s="94">
        <v>2</v>
      </c>
      <c r="K15" s="38">
        <v>13</v>
      </c>
      <c r="L15" s="99">
        <v>-144.79999999999998</v>
      </c>
      <c r="N15" s="114" t="s">
        <v>173</v>
      </c>
      <c r="O15" s="124">
        <f t="shared" ref="O15:O23" si="3"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17</v>
      </c>
      <c r="C16" s="37">
        <f>IF(B$14=0,0,B16/B$14)</f>
        <v>0.37777777777777777</v>
      </c>
      <c r="E16" s="63" t="s">
        <v>75</v>
      </c>
      <c r="F16" s="60" t="s">
        <v>30</v>
      </c>
      <c r="G16" s="47">
        <v>1</v>
      </c>
      <c r="H16" s="133">
        <f t="shared" si="0"/>
        <v>0.02</v>
      </c>
      <c r="I16" s="94">
        <v>1</v>
      </c>
      <c r="K16" s="38">
        <v>14</v>
      </c>
      <c r="L16" s="99">
        <v>-138.69999999999999</v>
      </c>
      <c r="N16" s="115" t="s">
        <v>129</v>
      </c>
      <c r="O16" s="125">
        <f t="shared" si="3"/>
        <v>30.850000000000005</v>
      </c>
      <c r="P16" s="119">
        <v>6</v>
      </c>
      <c r="Q16" s="107">
        <v>185.10000000000002</v>
      </c>
    </row>
    <row r="17" spans="1:17" x14ac:dyDescent="0.4">
      <c r="A17" s="54" t="s">
        <v>10</v>
      </c>
      <c r="B17" s="46">
        <f>B19+B18</f>
        <v>50</v>
      </c>
      <c r="C17" s="37">
        <f>IF(B$3=0,0,B17/B$3)</f>
        <v>0.27624309392265195</v>
      </c>
      <c r="E17" s="63" t="s">
        <v>76</v>
      </c>
      <c r="F17" s="60" t="s">
        <v>31</v>
      </c>
      <c r="G17" s="47">
        <v>1</v>
      </c>
      <c r="H17" s="133">
        <f t="shared" si="0"/>
        <v>0.02</v>
      </c>
      <c r="I17" s="94">
        <v>1</v>
      </c>
      <c r="K17" s="38">
        <v>15</v>
      </c>
      <c r="L17" s="99">
        <v>-84.399999999999991</v>
      </c>
      <c r="N17" s="115" t="s">
        <v>177</v>
      </c>
      <c r="O17" s="125">
        <f t="shared" si="3"/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24</v>
      </c>
      <c r="C18" s="39">
        <f>IF(B$17=0,0,B18/B$17)</f>
        <v>0.48</v>
      </c>
      <c r="E18" s="63" t="s">
        <v>82</v>
      </c>
      <c r="F18" s="60" t="s">
        <v>37</v>
      </c>
      <c r="G18" s="47">
        <v>1</v>
      </c>
      <c r="H18" s="133">
        <f t="shared" si="0"/>
        <v>0.02</v>
      </c>
      <c r="I18" s="94">
        <v>9</v>
      </c>
      <c r="K18" s="38">
        <v>16</v>
      </c>
      <c r="L18" s="99">
        <v>-139.79999999999998</v>
      </c>
      <c r="N18" s="115" t="s">
        <v>171</v>
      </c>
      <c r="O18" s="125">
        <f t="shared" si="3"/>
        <v>-18.200000000000003</v>
      </c>
      <c r="P18" s="119">
        <v>4</v>
      </c>
      <c r="Q18" s="107">
        <v>-72.800000000000011</v>
      </c>
    </row>
    <row r="19" spans="1:17" x14ac:dyDescent="0.4">
      <c r="A19" s="55" t="s">
        <v>11</v>
      </c>
      <c r="B19" s="47">
        <v>26</v>
      </c>
      <c r="C19" s="39">
        <f>IF(B$17=0,0,B19/B$17)</f>
        <v>0.52</v>
      </c>
      <c r="E19" s="63" t="s">
        <v>98</v>
      </c>
      <c r="F19" s="60" t="s">
        <v>53</v>
      </c>
      <c r="G19" s="47">
        <v>1</v>
      </c>
      <c r="H19" s="133">
        <f t="shared" si="0"/>
        <v>0.02</v>
      </c>
      <c r="I19" s="94">
        <v>1</v>
      </c>
      <c r="K19" s="38">
        <v>17</v>
      </c>
      <c r="L19" s="99">
        <v>-203.5</v>
      </c>
      <c r="N19" s="115" t="s">
        <v>128</v>
      </c>
      <c r="O19" s="125">
        <f t="shared" si="3"/>
        <v>-21.07</v>
      </c>
      <c r="P19" s="119">
        <v>10</v>
      </c>
      <c r="Q19" s="107">
        <v>-210.7</v>
      </c>
    </row>
    <row r="20" spans="1:17" x14ac:dyDescent="0.4">
      <c r="A20" s="55" t="s">
        <v>13</v>
      </c>
      <c r="B20" s="47">
        <v>41</v>
      </c>
      <c r="C20" s="39">
        <f>IF(B$3=0,0,B20/B$3)</f>
        <v>0.22651933701657459</v>
      </c>
      <c r="E20" s="63" t="s">
        <v>77</v>
      </c>
      <c r="F20" s="60" t="s">
        <v>32</v>
      </c>
      <c r="G20" s="47">
        <v>0</v>
      </c>
      <c r="H20" s="133">
        <f t="shared" si="0"/>
        <v>0</v>
      </c>
      <c r="I20" s="94">
        <v>1</v>
      </c>
      <c r="K20" s="38">
        <v>18</v>
      </c>
      <c r="L20" s="99">
        <v>-126.5</v>
      </c>
      <c r="N20" s="115" t="s">
        <v>127</v>
      </c>
      <c r="O20" s="125">
        <f t="shared" si="3"/>
        <v>-29.121428571428577</v>
      </c>
      <c r="P20" s="119">
        <v>14</v>
      </c>
      <c r="Q20" s="107">
        <v>-407.7000000000001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78</v>
      </c>
      <c r="F21" s="60" t="s">
        <v>33</v>
      </c>
      <c r="G21" s="47">
        <v>0</v>
      </c>
      <c r="H21" s="133">
        <f t="shared" si="0"/>
        <v>0</v>
      </c>
      <c r="I21" s="94">
        <v>9</v>
      </c>
      <c r="K21" s="38">
        <v>19</v>
      </c>
      <c r="L21" s="99">
        <v>-67.599999999999994</v>
      </c>
      <c r="N21" s="115" t="s">
        <v>172</v>
      </c>
      <c r="O21" s="125">
        <f t="shared" si="3"/>
        <v>-44.424999999999997</v>
      </c>
      <c r="P21" s="119">
        <v>4</v>
      </c>
      <c r="Q21" s="107">
        <v>-177.7</v>
      </c>
    </row>
    <row r="22" spans="1:17" x14ac:dyDescent="0.4">
      <c r="A22" s="55" t="s">
        <v>192</v>
      </c>
      <c r="B22" s="47">
        <v>17</v>
      </c>
      <c r="C22" s="135">
        <v>1</v>
      </c>
      <c r="E22" s="63" t="s">
        <v>79</v>
      </c>
      <c r="F22" s="60" t="s">
        <v>34</v>
      </c>
      <c r="G22" s="47">
        <v>0</v>
      </c>
      <c r="H22" s="133">
        <f t="shared" si="0"/>
        <v>0</v>
      </c>
      <c r="I22" s="94">
        <v>12</v>
      </c>
      <c r="K22" s="38">
        <v>20</v>
      </c>
      <c r="L22" s="99">
        <v>-124.1</v>
      </c>
      <c r="N22" s="115" t="s">
        <v>183</v>
      </c>
      <c r="O22" s="125">
        <f t="shared" si="3"/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8434</v>
      </c>
      <c r="C23" s="41">
        <v>421700</v>
      </c>
      <c r="E23" s="63" t="s">
        <v>81</v>
      </c>
      <c r="F23" s="60" t="s">
        <v>36</v>
      </c>
      <c r="G23" s="47">
        <v>0</v>
      </c>
      <c r="H23" s="133">
        <f t="shared" si="0"/>
        <v>0</v>
      </c>
      <c r="I23" s="94">
        <v>1</v>
      </c>
      <c r="K23" s="38">
        <v>21</v>
      </c>
      <c r="L23" s="99">
        <v>-189.2</v>
      </c>
      <c r="N23" s="115" t="s">
        <v>223</v>
      </c>
      <c r="O23" s="125">
        <f t="shared" si="3"/>
        <v>-138.94999999999999</v>
      </c>
      <c r="P23" s="119">
        <v>2</v>
      </c>
      <c r="Q23" s="107">
        <v>-277.89999999999998</v>
      </c>
    </row>
    <row r="24" spans="1:17" x14ac:dyDescent="0.4">
      <c r="A24" s="57" t="s">
        <v>14</v>
      </c>
      <c r="B24" s="52">
        <f>IF(B$20=0,0,C24/B$20)</f>
        <v>-9878.0487804878048</v>
      </c>
      <c r="C24" s="45">
        <v>-405000</v>
      </c>
      <c r="E24" s="63" t="s">
        <v>83</v>
      </c>
      <c r="F24" s="60" t="s">
        <v>38</v>
      </c>
      <c r="G24" s="47">
        <v>0</v>
      </c>
      <c r="H24" s="133">
        <f t="shared" si="0"/>
        <v>0</v>
      </c>
      <c r="I24" s="94">
        <v>1</v>
      </c>
      <c r="K24" s="38">
        <v>22</v>
      </c>
      <c r="L24" s="99">
        <v>-264.39999999999998</v>
      </c>
    </row>
    <row r="25" spans="1:17" x14ac:dyDescent="0.4">
      <c r="A25" s="90" t="s">
        <v>142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 t="shared" si="0"/>
        <v>0</v>
      </c>
      <c r="I25" s="94">
        <v>6</v>
      </c>
      <c r="K25" s="38">
        <v>23</v>
      </c>
      <c r="L25" s="99">
        <v>-253.49999999999997</v>
      </c>
    </row>
    <row r="26" spans="1:17" x14ac:dyDescent="0.4">
      <c r="A26" s="58" t="s">
        <v>152</v>
      </c>
      <c r="B26" s="142">
        <v>92000</v>
      </c>
      <c r="C26" s="143"/>
      <c r="E26" s="63" t="s">
        <v>86</v>
      </c>
      <c r="F26" s="60" t="s">
        <v>41</v>
      </c>
      <c r="G26" s="47">
        <v>0</v>
      </c>
      <c r="H26" s="133">
        <f t="shared" si="0"/>
        <v>0</v>
      </c>
      <c r="I26" s="94">
        <v>5</v>
      </c>
      <c r="K26" s="38">
        <v>24</v>
      </c>
      <c r="L26" s="99">
        <v>-300.5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87</v>
      </c>
      <c r="F27" s="60" t="s">
        <v>42</v>
      </c>
      <c r="G27" s="47">
        <v>0</v>
      </c>
      <c r="H27" s="133">
        <f t="shared" si="0"/>
        <v>0</v>
      </c>
      <c r="I27" s="94">
        <v>13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 t="shared" si="0"/>
        <v>0</v>
      </c>
      <c r="I28" s="94">
        <v>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 t="shared" si="0"/>
        <v>0</v>
      </c>
      <c r="I29" s="94">
        <v>5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 t="shared" si="0"/>
        <v>0</v>
      </c>
      <c r="I30" s="94">
        <v>5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 t="shared" si="0"/>
        <v>0</v>
      </c>
      <c r="I31" s="94">
        <v>10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 t="shared" si="0"/>
        <v>0</v>
      </c>
      <c r="I32" s="94">
        <v>7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 t="shared" si="0"/>
        <v>0</v>
      </c>
      <c r="I33" s="94">
        <v>7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 t="shared" ref="H34:H65" si="4"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 t="shared" si="4"/>
        <v>0</v>
      </c>
      <c r="I35" s="94">
        <v>4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 t="shared" si="4"/>
        <v>0</v>
      </c>
      <c r="I36" s="94">
        <v>1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4"/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 t="shared" si="4"/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226C46-F0D4-4C4E-8EA1-F5B21E442D7D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21</v>
      </c>
      <c r="C2" s="151"/>
      <c r="E2" s="62" t="s">
        <v>73</v>
      </c>
      <c r="F2" s="59" t="s">
        <v>28</v>
      </c>
      <c r="G2" s="46">
        <v>48</v>
      </c>
      <c r="H2" s="132">
        <f t="shared" ref="H2:H33" si="0">IF(B$17=0,0,G2/B$17)</f>
        <v>0.7384615384615385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-1095.2380952380952</v>
      </c>
      <c r="P2" s="118">
        <v>21</v>
      </c>
      <c r="Q2" s="102">
        <v>-23000</v>
      </c>
    </row>
    <row r="3" spans="1:17" x14ac:dyDescent="0.4">
      <c r="A3" s="55" t="s">
        <v>8</v>
      </c>
      <c r="B3" s="152">
        <v>191</v>
      </c>
      <c r="C3" s="153"/>
      <c r="E3" s="63" t="s">
        <v>67</v>
      </c>
      <c r="F3" s="60" t="s">
        <v>23</v>
      </c>
      <c r="G3" s="47">
        <v>34</v>
      </c>
      <c r="H3" s="133">
        <f t="shared" si="0"/>
        <v>0.52307692307692311</v>
      </c>
      <c r="I3" s="94">
        <v>13</v>
      </c>
      <c r="K3" s="38">
        <v>1</v>
      </c>
      <c r="L3" s="99">
        <v>-12.5</v>
      </c>
      <c r="N3" s="115" t="s">
        <v>133</v>
      </c>
      <c r="O3" s="122">
        <f t="shared" si="1"/>
        <v>2014.2857142857142</v>
      </c>
      <c r="P3" s="119">
        <v>21</v>
      </c>
      <c r="Q3" s="103">
        <v>42300</v>
      </c>
    </row>
    <row r="4" spans="1:17" x14ac:dyDescent="0.4">
      <c r="A4" s="55" t="s">
        <v>6</v>
      </c>
      <c r="B4" s="154">
        <v>82.799999999999983</v>
      </c>
      <c r="C4" s="155"/>
      <c r="E4" s="63" t="s">
        <v>65</v>
      </c>
      <c r="F4" s="60" t="s">
        <v>21</v>
      </c>
      <c r="G4" s="47">
        <v>29</v>
      </c>
      <c r="H4" s="133">
        <f t="shared" si="0"/>
        <v>0.44615384615384618</v>
      </c>
      <c r="I4" s="94">
        <v>11</v>
      </c>
      <c r="K4" s="38">
        <v>2</v>
      </c>
      <c r="L4" s="99">
        <v>-28.1</v>
      </c>
      <c r="N4" s="115" t="s">
        <v>134</v>
      </c>
      <c r="O4" s="122">
        <f t="shared" si="1"/>
        <v>-6390</v>
      </c>
      <c r="P4" s="119">
        <v>20</v>
      </c>
      <c r="Q4" s="103">
        <v>-127800</v>
      </c>
    </row>
    <row r="5" spans="1:17" x14ac:dyDescent="0.4">
      <c r="A5" s="55" t="s">
        <v>7</v>
      </c>
      <c r="B5" s="156">
        <f>IF(B$2=0,0,B$4/B$2)</f>
        <v>3.9428571428571422</v>
      </c>
      <c r="C5" s="157"/>
      <c r="E5" s="63" t="s">
        <v>69</v>
      </c>
      <c r="F5" s="60" t="s">
        <v>12</v>
      </c>
      <c r="G5" s="47">
        <v>23</v>
      </c>
      <c r="H5" s="133">
        <f t="shared" si="0"/>
        <v>0.35384615384615387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1"/>
        <v>-755</v>
      </c>
      <c r="P5" s="119">
        <v>20</v>
      </c>
      <c r="Q5" s="103">
        <v>-15100</v>
      </c>
    </row>
    <row r="6" spans="1:17" x14ac:dyDescent="0.4">
      <c r="A6" s="55" t="s">
        <v>1</v>
      </c>
      <c r="B6" s="146">
        <f>IF(B$2=0,0,(B$7*1+B$8*2+B$9*3)/B$2)</f>
        <v>1.8571428571428572</v>
      </c>
      <c r="C6" s="147"/>
      <c r="E6" s="63" t="s">
        <v>245</v>
      </c>
      <c r="F6" s="60" t="s">
        <v>246</v>
      </c>
      <c r="G6" s="47">
        <v>21</v>
      </c>
      <c r="H6" s="133">
        <f t="shared" si="0"/>
        <v>0.32307692307692309</v>
      </c>
      <c r="I6" s="94">
        <v>13</v>
      </c>
      <c r="K6" s="38">
        <v>4</v>
      </c>
      <c r="L6" s="99">
        <v>19.399999999999995</v>
      </c>
      <c r="N6" s="115" t="s">
        <v>136</v>
      </c>
      <c r="O6" s="122">
        <f t="shared" si="1"/>
        <v>9129.4117647058829</v>
      </c>
      <c r="P6" s="119">
        <v>17</v>
      </c>
      <c r="Q6" s="103">
        <v>155200</v>
      </c>
    </row>
    <row r="7" spans="1:17" x14ac:dyDescent="0.4">
      <c r="A7" s="55" t="s">
        <v>2</v>
      </c>
      <c r="B7" s="47">
        <v>7</v>
      </c>
      <c r="C7" s="39">
        <f t="shared" ref="C7:C12" si="2">IF(B$2=0,0,B7/B$2)</f>
        <v>0.33333333333333331</v>
      </c>
      <c r="E7" s="63" t="s">
        <v>68</v>
      </c>
      <c r="F7" s="60" t="s">
        <v>24</v>
      </c>
      <c r="G7" s="47">
        <v>20</v>
      </c>
      <c r="H7" s="133">
        <f t="shared" si="0"/>
        <v>0.30769230769230771</v>
      </c>
      <c r="I7" s="94">
        <v>7</v>
      </c>
      <c r="K7" s="38">
        <v>5</v>
      </c>
      <c r="L7" s="99">
        <v>-16.100000000000005</v>
      </c>
      <c r="N7" s="116" t="s">
        <v>137</v>
      </c>
      <c r="O7" s="123">
        <f t="shared" si="1"/>
        <v>2073.3333333333335</v>
      </c>
      <c r="P7" s="120">
        <v>15</v>
      </c>
      <c r="Q7" s="104">
        <v>31100</v>
      </c>
    </row>
    <row r="8" spans="1:17" x14ac:dyDescent="0.4">
      <c r="A8" s="55" t="s">
        <v>3</v>
      </c>
      <c r="B8" s="47">
        <v>10</v>
      </c>
      <c r="C8" s="39">
        <f t="shared" si="2"/>
        <v>0.47619047619047616</v>
      </c>
      <c r="E8" s="63" t="s">
        <v>70</v>
      </c>
      <c r="F8" s="60" t="s">
        <v>25</v>
      </c>
      <c r="G8" s="47">
        <v>10</v>
      </c>
      <c r="H8" s="133">
        <f t="shared" si="0"/>
        <v>0.15384615384615385</v>
      </c>
      <c r="I8" s="94">
        <v>8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4</v>
      </c>
      <c r="C9" s="40">
        <f t="shared" si="2"/>
        <v>0.19047619047619047</v>
      </c>
      <c r="E9" s="63" t="s">
        <v>90</v>
      </c>
      <c r="F9" s="60" t="s">
        <v>45</v>
      </c>
      <c r="G9" s="47">
        <v>10</v>
      </c>
      <c r="H9" s="133">
        <f t="shared" si="0"/>
        <v>0.15384615384615385</v>
      </c>
      <c r="I9" s="94">
        <v>5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 t="shared" si="2"/>
        <v>0.14285714285714285</v>
      </c>
      <c r="E10" s="63" t="s">
        <v>87</v>
      </c>
      <c r="F10" s="60" t="s">
        <v>42</v>
      </c>
      <c r="G10" s="47">
        <v>7</v>
      </c>
      <c r="H10" s="133">
        <f t="shared" si="0"/>
        <v>0.1076923076923077</v>
      </c>
      <c r="I10" s="94">
        <v>3</v>
      </c>
      <c r="K10" s="38">
        <v>8</v>
      </c>
      <c r="L10" s="99">
        <v>9.5999999999999943</v>
      </c>
      <c r="N10" s="114" t="s">
        <v>164</v>
      </c>
      <c r="O10" s="124">
        <f>IF(P10=0,0,Q10/P10)</f>
        <v>-10.033333333333333</v>
      </c>
      <c r="P10" s="118">
        <v>6</v>
      </c>
      <c r="Q10" s="106">
        <v>-60.2</v>
      </c>
    </row>
    <row r="11" spans="1:17" x14ac:dyDescent="0.4">
      <c r="A11" s="56" t="s">
        <v>140</v>
      </c>
      <c r="B11" s="48">
        <v>1</v>
      </c>
      <c r="C11" s="40">
        <f t="shared" si="2"/>
        <v>4.7619047619047616E-2</v>
      </c>
      <c r="E11" s="63" t="s">
        <v>66</v>
      </c>
      <c r="F11" s="60" t="s">
        <v>22</v>
      </c>
      <c r="G11" s="47">
        <v>5</v>
      </c>
      <c r="H11" s="133">
        <f t="shared" si="0"/>
        <v>7.6923076923076927E-2</v>
      </c>
      <c r="I11" s="94">
        <v>11</v>
      </c>
      <c r="K11" s="38">
        <v>9</v>
      </c>
      <c r="L11" s="99">
        <v>18.099999999999994</v>
      </c>
      <c r="N11" s="115" t="s">
        <v>165</v>
      </c>
      <c r="O11" s="125">
        <f>IF(P11=0,0,Q11/P11)</f>
        <v>9.5285714285714267</v>
      </c>
      <c r="P11" s="119">
        <v>7</v>
      </c>
      <c r="Q11" s="107">
        <v>66.699999999999989</v>
      </c>
    </row>
    <row r="12" spans="1:17" x14ac:dyDescent="0.4">
      <c r="A12" s="57" t="s">
        <v>160</v>
      </c>
      <c r="B12" s="49">
        <v>2</v>
      </c>
      <c r="C12" s="42">
        <f t="shared" si="2"/>
        <v>9.5238095238095233E-2</v>
      </c>
      <c r="E12" s="63" t="s">
        <v>79</v>
      </c>
      <c r="F12" s="60" t="s">
        <v>34</v>
      </c>
      <c r="G12" s="47">
        <v>4</v>
      </c>
      <c r="H12" s="133">
        <f t="shared" si="0"/>
        <v>6.1538461538461542E-2</v>
      </c>
      <c r="I12" s="94">
        <v>3</v>
      </c>
      <c r="K12" s="38">
        <v>10</v>
      </c>
      <c r="L12" s="99">
        <v>109.39999999999999</v>
      </c>
      <c r="N12" s="116" t="s">
        <v>166</v>
      </c>
      <c r="O12" s="126">
        <f>IF(P12=0,0,Q12/P12)</f>
        <v>9.5374999999999996</v>
      </c>
      <c r="P12" s="120">
        <v>8</v>
      </c>
      <c r="Q12" s="108">
        <v>76.3</v>
      </c>
    </row>
    <row r="13" spans="1:17" x14ac:dyDescent="0.4">
      <c r="A13" s="58" t="s">
        <v>122</v>
      </c>
      <c r="B13" s="50">
        <v>48</v>
      </c>
      <c r="C13" s="44">
        <f>IF(B$3=0,0,B13/B$3)</f>
        <v>0.2513089005235602</v>
      </c>
      <c r="E13" s="63" t="s">
        <v>71</v>
      </c>
      <c r="F13" s="60" t="s">
        <v>26</v>
      </c>
      <c r="G13" s="47">
        <v>3</v>
      </c>
      <c r="H13" s="133">
        <f t="shared" si="0"/>
        <v>4.6153846153846156E-2</v>
      </c>
      <c r="I13" s="94">
        <v>12</v>
      </c>
      <c r="K13" s="38">
        <v>11</v>
      </c>
      <c r="L13" s="99">
        <v>100.69999999999999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62</v>
      </c>
      <c r="C14" s="39">
        <f>IF(B$3=0,0,B14/B$3)</f>
        <v>0.32460732984293195</v>
      </c>
      <c r="E14" s="63" t="s">
        <v>78</v>
      </c>
      <c r="F14" s="60" t="s">
        <v>33</v>
      </c>
      <c r="G14" s="47">
        <v>3</v>
      </c>
      <c r="H14" s="133">
        <f t="shared" si="0"/>
        <v>4.6153846153846156E-2</v>
      </c>
      <c r="I14" s="94">
        <v>1</v>
      </c>
      <c r="K14" s="38">
        <v>12</v>
      </c>
      <c r="L14" s="99">
        <v>45.599999999999987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29</v>
      </c>
      <c r="C15" s="37">
        <f>IF(B$13=0,0,B15/B$13)</f>
        <v>0.60416666666666663</v>
      </c>
      <c r="E15" s="63" t="s">
        <v>84</v>
      </c>
      <c r="F15" s="60" t="s">
        <v>39</v>
      </c>
      <c r="G15" s="47">
        <v>3</v>
      </c>
      <c r="H15" s="133">
        <f t="shared" si="0"/>
        <v>4.6153846153846156E-2</v>
      </c>
      <c r="I15" s="94">
        <v>8</v>
      </c>
      <c r="K15" s="38">
        <v>13</v>
      </c>
      <c r="L15" s="99">
        <v>83.299999999999983</v>
      </c>
      <c r="N15" s="114" t="s">
        <v>173</v>
      </c>
      <c r="O15" s="124">
        <f t="shared" ref="O15:O22" si="3">IF(P15=0,0,Q15/P15)</f>
        <v>59.70000000000001</v>
      </c>
      <c r="P15" s="118">
        <v>3</v>
      </c>
      <c r="Q15" s="106">
        <v>179.10000000000002</v>
      </c>
    </row>
    <row r="16" spans="1:17" x14ac:dyDescent="0.4">
      <c r="A16" s="54" t="s">
        <v>125</v>
      </c>
      <c r="B16" s="46">
        <v>27</v>
      </c>
      <c r="C16" s="37">
        <f>IF(B$14=0,0,B16/B$14)</f>
        <v>0.43548387096774194</v>
      </c>
      <c r="E16" s="63" t="s">
        <v>72</v>
      </c>
      <c r="F16" s="60" t="s">
        <v>27</v>
      </c>
      <c r="G16" s="47">
        <v>1</v>
      </c>
      <c r="H16" s="133">
        <f t="shared" si="0"/>
        <v>1.5384615384615385E-2</v>
      </c>
      <c r="I16" s="94">
        <v>12</v>
      </c>
      <c r="K16" s="38">
        <v>14</v>
      </c>
      <c r="L16" s="99">
        <v>114.99999999999999</v>
      </c>
      <c r="N16" s="115" t="s">
        <v>271</v>
      </c>
      <c r="O16" s="125">
        <f t="shared" si="3"/>
        <v>31.72</v>
      </c>
      <c r="P16" s="119">
        <v>5</v>
      </c>
      <c r="Q16" s="107">
        <v>158.6</v>
      </c>
    </row>
    <row r="17" spans="1:17" x14ac:dyDescent="0.4">
      <c r="A17" s="54" t="s">
        <v>10</v>
      </c>
      <c r="B17" s="46">
        <f>B19+B18</f>
        <v>65</v>
      </c>
      <c r="C17" s="37">
        <f>IF(B$3=0,0,B17/B$3)</f>
        <v>0.34031413612565448</v>
      </c>
      <c r="E17" s="63" t="s">
        <v>80</v>
      </c>
      <c r="F17" s="60" t="s">
        <v>35</v>
      </c>
      <c r="G17" s="47">
        <v>1</v>
      </c>
      <c r="H17" s="133">
        <f t="shared" si="0"/>
        <v>1.5384615384615385E-2</v>
      </c>
      <c r="I17" s="94">
        <v>7</v>
      </c>
      <c r="K17" s="38">
        <v>15</v>
      </c>
      <c r="L17" s="99">
        <v>157.69999999999999</v>
      </c>
      <c r="N17" s="115" t="s">
        <v>172</v>
      </c>
      <c r="O17" s="125">
        <f t="shared" si="3"/>
        <v>16.62857142857143</v>
      </c>
      <c r="P17" s="119">
        <v>7</v>
      </c>
      <c r="Q17" s="107">
        <v>116.4</v>
      </c>
    </row>
    <row r="18" spans="1:17" x14ac:dyDescent="0.4">
      <c r="A18" s="55" t="s">
        <v>12</v>
      </c>
      <c r="B18" s="47">
        <v>36</v>
      </c>
      <c r="C18" s="39">
        <f>IF(B$17=0,0,B18/B$17)</f>
        <v>0.55384615384615388</v>
      </c>
      <c r="E18" s="63" t="s">
        <v>82</v>
      </c>
      <c r="F18" s="60" t="s">
        <v>37</v>
      </c>
      <c r="G18" s="47">
        <v>1</v>
      </c>
      <c r="H18" s="133">
        <f t="shared" si="0"/>
        <v>1.5384615384615385E-2</v>
      </c>
      <c r="I18" s="94">
        <v>11</v>
      </c>
      <c r="K18" s="38">
        <v>16</v>
      </c>
      <c r="L18" s="99">
        <v>99.6</v>
      </c>
      <c r="N18" s="115" t="s">
        <v>127</v>
      </c>
      <c r="O18" s="125">
        <f t="shared" si="3"/>
        <v>13.45</v>
      </c>
      <c r="P18" s="119">
        <v>2</v>
      </c>
      <c r="Q18" s="107">
        <v>26.9</v>
      </c>
    </row>
    <row r="19" spans="1:17" x14ac:dyDescent="0.4">
      <c r="A19" s="55" t="s">
        <v>11</v>
      </c>
      <c r="B19" s="47">
        <v>29</v>
      </c>
      <c r="C19" s="39">
        <f>IF(B$17=0,0,B19/B$17)</f>
        <v>0.44615384615384618</v>
      </c>
      <c r="E19" s="63" t="s">
        <v>74</v>
      </c>
      <c r="F19" s="60" t="s">
        <v>29</v>
      </c>
      <c r="G19" s="47">
        <v>0</v>
      </c>
      <c r="H19" s="133">
        <f t="shared" si="0"/>
        <v>0</v>
      </c>
      <c r="I19" s="94">
        <v>9</v>
      </c>
      <c r="K19" s="38">
        <v>17</v>
      </c>
      <c r="L19" s="99">
        <v>112.39999999999999</v>
      </c>
      <c r="N19" s="115" t="s">
        <v>171</v>
      </c>
      <c r="O19" s="125">
        <f t="shared" si="3"/>
        <v>12.75</v>
      </c>
      <c r="P19" s="119">
        <v>6</v>
      </c>
      <c r="Q19" s="107">
        <v>76.5</v>
      </c>
    </row>
    <row r="20" spans="1:17" x14ac:dyDescent="0.4">
      <c r="A20" s="55" t="s">
        <v>13</v>
      </c>
      <c r="B20" s="47">
        <v>31</v>
      </c>
      <c r="C20" s="39">
        <f>IF(B$3=0,0,B20/B$3)</f>
        <v>0.16230366492146597</v>
      </c>
      <c r="E20" s="63" t="s">
        <v>75</v>
      </c>
      <c r="F20" s="60" t="s">
        <v>30</v>
      </c>
      <c r="G20" s="47">
        <v>0</v>
      </c>
      <c r="H20" s="133">
        <f t="shared" si="0"/>
        <v>0</v>
      </c>
      <c r="I20" s="94">
        <v>7</v>
      </c>
      <c r="K20" s="38">
        <v>18</v>
      </c>
      <c r="L20" s="99">
        <v>45.399999999999991</v>
      </c>
      <c r="N20" s="115" t="s">
        <v>128</v>
      </c>
      <c r="O20" s="125">
        <f t="shared" si="3"/>
        <v>5.5000000000000018</v>
      </c>
      <c r="P20" s="119">
        <v>2</v>
      </c>
      <c r="Q20" s="107">
        <v>11.000000000000004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76</v>
      </c>
      <c r="F21" s="60" t="s">
        <v>31</v>
      </c>
      <c r="G21" s="47">
        <v>0</v>
      </c>
      <c r="H21" s="133">
        <f t="shared" si="0"/>
        <v>0</v>
      </c>
      <c r="I21" s="94">
        <v>9</v>
      </c>
      <c r="K21" s="38">
        <v>19</v>
      </c>
      <c r="L21" s="99">
        <v>94.299999999999983</v>
      </c>
      <c r="N21" s="115" t="s">
        <v>177</v>
      </c>
      <c r="O21" s="125">
        <f t="shared" si="3"/>
        <v>-9.3545454545454518</v>
      </c>
      <c r="P21" s="119">
        <v>11</v>
      </c>
      <c r="Q21" s="107">
        <v>-102.89999999999998</v>
      </c>
    </row>
    <row r="22" spans="1:17" x14ac:dyDescent="0.4">
      <c r="A22" s="55" t="s">
        <v>192</v>
      </c>
      <c r="B22" s="47">
        <v>14</v>
      </c>
      <c r="C22" s="135">
        <v>0</v>
      </c>
      <c r="E22" s="63" t="s">
        <v>77</v>
      </c>
      <c r="F22" s="60" t="s">
        <v>32</v>
      </c>
      <c r="G22" s="47">
        <v>0</v>
      </c>
      <c r="H22" s="133">
        <f t="shared" si="0"/>
        <v>0</v>
      </c>
      <c r="I22" s="94">
        <v>1</v>
      </c>
      <c r="K22" s="38">
        <v>20</v>
      </c>
      <c r="L22" s="99">
        <v>80.999999999999986</v>
      </c>
      <c r="N22" s="115" t="s">
        <v>129</v>
      </c>
      <c r="O22" s="125">
        <f t="shared" si="3"/>
        <v>-36.199999999999996</v>
      </c>
      <c r="P22" s="119">
        <v>6</v>
      </c>
      <c r="Q22" s="107">
        <v>-217.2</v>
      </c>
    </row>
    <row r="23" spans="1:17" x14ac:dyDescent="0.4">
      <c r="A23" s="55" t="s">
        <v>5</v>
      </c>
      <c r="B23" s="51">
        <f>IF(B$17=0,0,C23/B$17)</f>
        <v>8000</v>
      </c>
      <c r="C23" s="41">
        <v>520000</v>
      </c>
      <c r="E23" s="63" t="s">
        <v>81</v>
      </c>
      <c r="F23" s="60" t="s">
        <v>36</v>
      </c>
      <c r="G23" s="47">
        <v>0</v>
      </c>
      <c r="H23" s="133">
        <f t="shared" si="0"/>
        <v>0</v>
      </c>
      <c r="I23" s="94">
        <v>1</v>
      </c>
      <c r="K23" s="38">
        <v>21</v>
      </c>
      <c r="L23" s="99">
        <v>82.799999999999983</v>
      </c>
    </row>
    <row r="24" spans="1:17" x14ac:dyDescent="0.4">
      <c r="A24" s="57" t="s">
        <v>14</v>
      </c>
      <c r="B24" s="52">
        <f>IF(B$20=0,0,C24/B$20)</f>
        <v>-8645.1612903225814</v>
      </c>
      <c r="C24" s="45">
        <v>-268000</v>
      </c>
      <c r="E24" s="63" t="s">
        <v>83</v>
      </c>
      <c r="F24" s="60" t="s">
        <v>38</v>
      </c>
      <c r="G24" s="47">
        <v>0</v>
      </c>
      <c r="H24" s="133">
        <f t="shared" si="0"/>
        <v>0</v>
      </c>
      <c r="I24" s="94">
        <v>1</v>
      </c>
    </row>
    <row r="25" spans="1:17" x14ac:dyDescent="0.4">
      <c r="A25" s="90" t="s">
        <v>142</v>
      </c>
      <c r="B25" s="144">
        <v>4</v>
      </c>
      <c r="C25" s="145"/>
      <c r="E25" s="63" t="s">
        <v>85</v>
      </c>
      <c r="F25" s="60" t="s">
        <v>40</v>
      </c>
      <c r="G25" s="47">
        <v>0</v>
      </c>
      <c r="H25" s="133">
        <f t="shared" si="0"/>
        <v>0</v>
      </c>
      <c r="I25" s="94">
        <v>6</v>
      </c>
    </row>
    <row r="26" spans="1:17" x14ac:dyDescent="0.4">
      <c r="A26" s="58" t="s">
        <v>152</v>
      </c>
      <c r="B26" s="142">
        <v>106300</v>
      </c>
      <c r="C26" s="143"/>
      <c r="E26" s="63" t="s">
        <v>86</v>
      </c>
      <c r="F26" s="60" t="s">
        <v>41</v>
      </c>
      <c r="G26" s="47">
        <v>0</v>
      </c>
      <c r="H26" s="133">
        <f t="shared" si="0"/>
        <v>0</v>
      </c>
      <c r="I26" s="94">
        <v>5</v>
      </c>
    </row>
    <row r="27" spans="1:17" x14ac:dyDescent="0.4">
      <c r="A27" s="57" t="s">
        <v>143</v>
      </c>
      <c r="B27" s="65">
        <v>2</v>
      </c>
      <c r="C27" s="42">
        <f>IF(B$3=0,0,B27/B$3)</f>
        <v>1.0471204188481676E-2</v>
      </c>
      <c r="E27" s="63" t="s">
        <v>88</v>
      </c>
      <c r="F27" s="60" t="s">
        <v>43</v>
      </c>
      <c r="G27" s="47">
        <v>0</v>
      </c>
      <c r="H27" s="133">
        <f t="shared" si="0"/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 t="shared" si="0"/>
        <v>0</v>
      </c>
      <c r="I28" s="94">
        <v>5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 t="shared" si="0"/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 t="shared" si="0"/>
        <v>0</v>
      </c>
      <c r="I30" s="94">
        <v>10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65" si="4"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4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4"/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4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4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4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4"/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4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4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4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4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4"/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4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4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4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4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4"/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 t="shared" si="4"/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 t="shared" si="4"/>
        <v>0</v>
      </c>
      <c r="I52" s="95">
        <v>1</v>
      </c>
    </row>
  </sheetData>
  <sortState xmlns:xlrd2="http://schemas.microsoft.com/office/spreadsheetml/2017/richdata2"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08F9FA-CC13-450A-98C8-368E426C2FB4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67</v>
      </c>
      <c r="F2" s="59" t="s">
        <v>23</v>
      </c>
      <c r="G2" s="46">
        <v>3</v>
      </c>
      <c r="H2" s="132">
        <f t="shared" ref="H2:H33" si="0">IF(B$17=0,0,G2/B$17)</f>
        <v>1.5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1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65</v>
      </c>
      <c r="F3" s="60" t="s">
        <v>21</v>
      </c>
      <c r="G3" s="47">
        <v>1</v>
      </c>
      <c r="H3" s="133">
        <f t="shared" si="0"/>
        <v>0.5</v>
      </c>
      <c r="I3" s="94">
        <v>7</v>
      </c>
      <c r="K3" s="38">
        <v>1</v>
      </c>
      <c r="L3" s="99">
        <v>13.3</v>
      </c>
      <c r="N3" s="115" t="s">
        <v>133</v>
      </c>
      <c r="O3" s="122">
        <f t="shared" si="1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68</v>
      </c>
      <c r="F4" s="60" t="s">
        <v>24</v>
      </c>
      <c r="G4" s="47">
        <v>1</v>
      </c>
      <c r="H4" s="133">
        <f t="shared" si="0"/>
        <v>0.5</v>
      </c>
      <c r="I4" s="94">
        <v>1</v>
      </c>
      <c r="N4" s="115" t="s">
        <v>134</v>
      </c>
      <c r="O4" s="122">
        <f t="shared" si="1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69</v>
      </c>
      <c r="F5" s="60" t="s">
        <v>12</v>
      </c>
      <c r="G5" s="47">
        <v>1</v>
      </c>
      <c r="H5" s="133">
        <f t="shared" si="0"/>
        <v>0.5</v>
      </c>
      <c r="I5" s="94">
        <v>1</v>
      </c>
      <c r="N5" s="115" t="s">
        <v>135</v>
      </c>
      <c r="O5" s="122">
        <f t="shared" si="1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82</v>
      </c>
      <c r="F6" s="60" t="s">
        <v>37</v>
      </c>
      <c r="G6" s="47">
        <v>1</v>
      </c>
      <c r="H6" s="133">
        <f t="shared" si="0"/>
        <v>0.5</v>
      </c>
      <c r="I6" s="94">
        <v>1</v>
      </c>
      <c r="N6" s="115" t="s">
        <v>136</v>
      </c>
      <c r="O6" s="122">
        <f t="shared" si="1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 t="shared" ref="C7:C12" si="2">IF(B$2=0,0,B7/B$2)</f>
        <v>0</v>
      </c>
      <c r="E7" s="63" t="s">
        <v>245</v>
      </c>
      <c r="F7" s="60" t="s">
        <v>246</v>
      </c>
      <c r="G7" s="47">
        <v>1</v>
      </c>
      <c r="H7" s="133">
        <f t="shared" si="0"/>
        <v>0.5</v>
      </c>
      <c r="I7" s="94">
        <v>1</v>
      </c>
      <c r="N7" s="116" t="s">
        <v>137</v>
      </c>
      <c r="O7" s="123">
        <f t="shared" si="1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 t="shared" si="2"/>
        <v>1</v>
      </c>
      <c r="E8" s="63" t="s">
        <v>66</v>
      </c>
      <c r="F8" s="60" t="s">
        <v>22</v>
      </c>
      <c r="G8" s="47">
        <v>0</v>
      </c>
      <c r="H8" s="133">
        <f t="shared" si="0"/>
        <v>0</v>
      </c>
      <c r="I8" s="94">
        <v>14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si="2"/>
        <v>0</v>
      </c>
      <c r="E9" s="63" t="s">
        <v>70</v>
      </c>
      <c r="F9" s="60" t="s">
        <v>25</v>
      </c>
      <c r="G9" s="47">
        <v>0</v>
      </c>
      <c r="H9" s="133">
        <f t="shared" si="0"/>
        <v>0</v>
      </c>
      <c r="I9" s="94">
        <v>15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 t="shared" si="2"/>
        <v>0</v>
      </c>
      <c r="E10" s="63" t="s">
        <v>71</v>
      </c>
      <c r="F10" s="60" t="s">
        <v>26</v>
      </c>
      <c r="G10" s="47">
        <v>0</v>
      </c>
      <c r="H10" s="133">
        <f t="shared" si="0"/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 t="shared" si="2"/>
        <v>0</v>
      </c>
      <c r="E11" s="63" t="s">
        <v>72</v>
      </c>
      <c r="F11" s="60" t="s">
        <v>27</v>
      </c>
      <c r="G11" s="47">
        <v>0</v>
      </c>
      <c r="H11" s="133">
        <f t="shared" si="0"/>
        <v>0</v>
      </c>
      <c r="I11" s="94">
        <v>13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 t="shared" si="2"/>
        <v>0</v>
      </c>
      <c r="E12" s="63" t="s">
        <v>73</v>
      </c>
      <c r="F12" s="60" t="s">
        <v>28</v>
      </c>
      <c r="G12" s="47">
        <v>0</v>
      </c>
      <c r="H12" s="133">
        <f t="shared" si="0"/>
        <v>0</v>
      </c>
      <c r="I12" s="94">
        <v>15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74</v>
      </c>
      <c r="F13" s="60" t="s">
        <v>29</v>
      </c>
      <c r="G13" s="47">
        <v>0</v>
      </c>
      <c r="H13" s="133">
        <f t="shared" si="0"/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75</v>
      </c>
      <c r="F14" s="60" t="s">
        <v>30</v>
      </c>
      <c r="G14" s="47">
        <v>0</v>
      </c>
      <c r="H14" s="133">
        <f t="shared" si="0"/>
        <v>0</v>
      </c>
      <c r="I14" s="94">
        <v>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76</v>
      </c>
      <c r="F15" s="60" t="s">
        <v>31</v>
      </c>
      <c r="G15" s="47">
        <v>0</v>
      </c>
      <c r="H15" s="133">
        <f t="shared" si="0"/>
        <v>0</v>
      </c>
      <c r="I15" s="94">
        <v>9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77</v>
      </c>
      <c r="F16" s="60" t="s">
        <v>32</v>
      </c>
      <c r="G16" s="47">
        <v>0</v>
      </c>
      <c r="H16" s="133">
        <f t="shared" si="0"/>
        <v>0</v>
      </c>
      <c r="I16" s="94">
        <v>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78</v>
      </c>
      <c r="F17" s="60" t="s">
        <v>33</v>
      </c>
      <c r="G17" s="47">
        <v>0</v>
      </c>
      <c r="H17" s="133">
        <f t="shared" si="0"/>
        <v>0</v>
      </c>
      <c r="I17" s="94">
        <v>9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79</v>
      </c>
      <c r="F18" s="60" t="s">
        <v>34</v>
      </c>
      <c r="G18" s="47">
        <v>0</v>
      </c>
      <c r="H18" s="133">
        <f t="shared" si="0"/>
        <v>0</v>
      </c>
      <c r="I18" s="94">
        <v>12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80</v>
      </c>
      <c r="F19" s="60" t="s">
        <v>35</v>
      </c>
      <c r="G19" s="47">
        <v>0</v>
      </c>
      <c r="H19" s="133">
        <f t="shared" si="0"/>
        <v>0</v>
      </c>
      <c r="I19" s="94">
        <v>12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81</v>
      </c>
      <c r="F20" s="60" t="s">
        <v>36</v>
      </c>
      <c r="G20" s="47">
        <v>0</v>
      </c>
      <c r="H20" s="133">
        <f t="shared" si="0"/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83</v>
      </c>
      <c r="F21" s="60" t="s">
        <v>38</v>
      </c>
      <c r="G21" s="47">
        <v>0</v>
      </c>
      <c r="H21" s="133">
        <f t="shared" si="0"/>
        <v>0</v>
      </c>
      <c r="I21" s="94">
        <v>1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84</v>
      </c>
      <c r="F22" s="60" t="s">
        <v>39</v>
      </c>
      <c r="G22" s="47">
        <v>0</v>
      </c>
      <c r="H22" s="133">
        <f t="shared" si="0"/>
        <v>0</v>
      </c>
      <c r="I22" s="94">
        <v>13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85</v>
      </c>
      <c r="F23" s="60" t="s">
        <v>40</v>
      </c>
      <c r="G23" s="47">
        <v>0</v>
      </c>
      <c r="H23" s="133">
        <f t="shared" si="0"/>
        <v>0</v>
      </c>
      <c r="I23" s="94">
        <v>6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86</v>
      </c>
      <c r="F24" s="60" t="s">
        <v>41</v>
      </c>
      <c r="G24" s="47">
        <v>0</v>
      </c>
      <c r="H24" s="133">
        <f t="shared" si="0"/>
        <v>0</v>
      </c>
      <c r="I24" s="94">
        <v>5</v>
      </c>
    </row>
    <row r="25" spans="1:9" x14ac:dyDescent="0.4">
      <c r="A25" s="90" t="s">
        <v>142</v>
      </c>
      <c r="B25" s="144">
        <v>5</v>
      </c>
      <c r="C25" s="145"/>
      <c r="E25" s="63" t="s">
        <v>87</v>
      </c>
      <c r="F25" s="60" t="s">
        <v>42</v>
      </c>
      <c r="G25" s="47">
        <v>0</v>
      </c>
      <c r="H25" s="133">
        <f t="shared" si="0"/>
        <v>0</v>
      </c>
      <c r="I25" s="94">
        <v>13</v>
      </c>
    </row>
    <row r="26" spans="1:9" x14ac:dyDescent="0.4">
      <c r="A26" s="58" t="s">
        <v>152</v>
      </c>
      <c r="B26" s="142">
        <v>48300</v>
      </c>
      <c r="C26" s="143"/>
      <c r="E26" s="63" t="s">
        <v>88</v>
      </c>
      <c r="F26" s="60" t="s">
        <v>43</v>
      </c>
      <c r="G26" s="47">
        <v>0</v>
      </c>
      <c r="H26" s="133">
        <f t="shared" si="0"/>
        <v>0</v>
      </c>
      <c r="I26" s="94">
        <v>7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89</v>
      </c>
      <c r="F27" s="60" t="s">
        <v>44</v>
      </c>
      <c r="G27" s="47">
        <v>0</v>
      </c>
      <c r="H27" s="133">
        <f t="shared" si="0"/>
        <v>0</v>
      </c>
      <c r="I27" s="94">
        <v>5</v>
      </c>
    </row>
    <row r="28" spans="1:9" x14ac:dyDescent="0.4">
      <c r="E28" s="63" t="s">
        <v>90</v>
      </c>
      <c r="F28" s="60" t="s">
        <v>45</v>
      </c>
      <c r="G28" s="47">
        <v>0</v>
      </c>
      <c r="H28" s="133">
        <f t="shared" si="0"/>
        <v>0</v>
      </c>
      <c r="I28" s="94">
        <v>15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 t="shared" si="0"/>
        <v>0</v>
      </c>
      <c r="I29" s="94">
        <v>5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 t="shared" si="0"/>
        <v>0</v>
      </c>
      <c r="I30" s="94">
        <v>10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7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65" si="3"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3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3"/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3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3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3"/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3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3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3"/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3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3"/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 t="shared" si="3"/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44F8F-8C8C-4BFE-8AF6-C386B5B48284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</v>
      </c>
      <c r="C2" s="151"/>
      <c r="E2" s="62" t="s">
        <v>67</v>
      </c>
      <c r="F2" s="59" t="s">
        <v>23</v>
      </c>
      <c r="G2" s="46">
        <v>16</v>
      </c>
      <c r="H2" s="132">
        <f t="shared" ref="H2:H33" si="0">IF(B$17=0,0,G2/B$17)</f>
        <v>1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-1083.3333333333333</v>
      </c>
      <c r="P2" s="118">
        <v>6</v>
      </c>
      <c r="Q2" s="102">
        <v>-6500</v>
      </c>
    </row>
    <row r="3" spans="1:17" x14ac:dyDescent="0.4">
      <c r="A3" s="55" t="s">
        <v>8</v>
      </c>
      <c r="B3" s="152">
        <v>46</v>
      </c>
      <c r="C3" s="153"/>
      <c r="E3" s="63" t="s">
        <v>73</v>
      </c>
      <c r="F3" s="60" t="s">
        <v>28</v>
      </c>
      <c r="G3" s="47">
        <v>14</v>
      </c>
      <c r="H3" s="133">
        <f t="shared" si="0"/>
        <v>0.875</v>
      </c>
      <c r="I3" s="94">
        <v>1</v>
      </c>
      <c r="K3" s="38">
        <v>1</v>
      </c>
      <c r="L3" s="99">
        <v>-37</v>
      </c>
      <c r="N3" s="115" t="s">
        <v>133</v>
      </c>
      <c r="O3" s="122">
        <f t="shared" si="1"/>
        <v>10800</v>
      </c>
      <c r="P3" s="119">
        <v>6</v>
      </c>
      <c r="Q3" s="103">
        <v>64800</v>
      </c>
    </row>
    <row r="4" spans="1:17" x14ac:dyDescent="0.4">
      <c r="A4" s="55" t="s">
        <v>6</v>
      </c>
      <c r="B4" s="154">
        <v>100.39999999999999</v>
      </c>
      <c r="C4" s="155"/>
      <c r="E4" s="63" t="s">
        <v>245</v>
      </c>
      <c r="F4" s="60" t="s">
        <v>246</v>
      </c>
      <c r="G4" s="47">
        <v>6</v>
      </c>
      <c r="H4" s="133">
        <f t="shared" si="0"/>
        <v>0.375</v>
      </c>
      <c r="I4" s="94">
        <v>11</v>
      </c>
      <c r="K4" s="38">
        <v>2</v>
      </c>
      <c r="L4" s="99">
        <v>-24.7</v>
      </c>
      <c r="N4" s="115" t="s">
        <v>134</v>
      </c>
      <c r="O4" s="122">
        <f t="shared" si="1"/>
        <v>-3000</v>
      </c>
      <c r="P4" s="119">
        <v>5</v>
      </c>
      <c r="Q4" s="103">
        <v>-15000</v>
      </c>
    </row>
    <row r="5" spans="1:17" x14ac:dyDescent="0.4">
      <c r="A5" s="55" t="s">
        <v>7</v>
      </c>
      <c r="B5" s="156">
        <f>IF(B$2=0,0,B$4/B$2)</f>
        <v>16.733333333333331</v>
      </c>
      <c r="C5" s="157"/>
      <c r="E5" s="63" t="s">
        <v>69</v>
      </c>
      <c r="F5" s="60" t="s">
        <v>12</v>
      </c>
      <c r="G5" s="47">
        <v>5</v>
      </c>
      <c r="H5" s="133">
        <f t="shared" si="0"/>
        <v>0.3125</v>
      </c>
      <c r="I5" s="94">
        <v>7</v>
      </c>
      <c r="K5" s="38">
        <v>3</v>
      </c>
      <c r="L5" s="99">
        <v>14.500000000000004</v>
      </c>
      <c r="N5" s="115" t="s">
        <v>135</v>
      </c>
      <c r="O5" s="122">
        <f t="shared" si="1"/>
        <v>6360</v>
      </c>
      <c r="P5" s="119">
        <v>5</v>
      </c>
      <c r="Q5" s="103">
        <v>31800</v>
      </c>
    </row>
    <row r="6" spans="1:17" x14ac:dyDescent="0.4">
      <c r="A6" s="55" t="s">
        <v>1</v>
      </c>
      <c r="B6" s="146">
        <f>IF(B$2=0,0,(B$7*1+B$8*2+B$9*3)/B$2)</f>
        <v>1.8333333333333333</v>
      </c>
      <c r="C6" s="147"/>
      <c r="E6" s="63" t="s">
        <v>65</v>
      </c>
      <c r="F6" s="60" t="s">
        <v>21</v>
      </c>
      <c r="G6" s="47">
        <v>4</v>
      </c>
      <c r="H6" s="133">
        <f t="shared" si="0"/>
        <v>0.25</v>
      </c>
      <c r="I6" s="94">
        <v>15</v>
      </c>
      <c r="K6" s="38">
        <v>4</v>
      </c>
      <c r="L6" s="99">
        <v>-37.200000000000003</v>
      </c>
      <c r="N6" s="115" t="s">
        <v>136</v>
      </c>
      <c r="O6" s="122">
        <f t="shared" si="1"/>
        <v>-50</v>
      </c>
      <c r="P6" s="119">
        <v>4</v>
      </c>
      <c r="Q6" s="103">
        <v>-200</v>
      </c>
    </row>
    <row r="7" spans="1:17" x14ac:dyDescent="0.4">
      <c r="A7" s="55" t="s">
        <v>2</v>
      </c>
      <c r="B7" s="47">
        <v>3</v>
      </c>
      <c r="C7" s="39">
        <f t="shared" ref="C7:C12" si="2">IF(B$2=0,0,B7/B$2)</f>
        <v>0.5</v>
      </c>
      <c r="E7" s="63" t="s">
        <v>68</v>
      </c>
      <c r="F7" s="60" t="s">
        <v>24</v>
      </c>
      <c r="G7" s="47">
        <v>4</v>
      </c>
      <c r="H7" s="133">
        <f t="shared" si="0"/>
        <v>0.25</v>
      </c>
      <c r="I7" s="94">
        <v>9</v>
      </c>
      <c r="K7" s="38">
        <v>5</v>
      </c>
      <c r="L7" s="99">
        <v>39.899999999999991</v>
      </c>
      <c r="N7" s="116" t="s">
        <v>137</v>
      </c>
      <c r="O7" s="123">
        <f t="shared" si="1"/>
        <v>1833.3333333333333</v>
      </c>
      <c r="P7" s="120">
        <v>3</v>
      </c>
      <c r="Q7" s="104">
        <v>5500</v>
      </c>
    </row>
    <row r="8" spans="1:17" x14ac:dyDescent="0.4">
      <c r="A8" s="55" t="s">
        <v>3</v>
      </c>
      <c r="B8" s="47">
        <v>1</v>
      </c>
      <c r="C8" s="39">
        <f t="shared" si="2"/>
        <v>0.16666666666666666</v>
      </c>
      <c r="E8" s="63" t="s">
        <v>90</v>
      </c>
      <c r="F8" s="60" t="s">
        <v>45</v>
      </c>
      <c r="G8" s="47">
        <v>3</v>
      </c>
      <c r="H8" s="133">
        <f t="shared" si="0"/>
        <v>0.1875</v>
      </c>
      <c r="I8" s="94">
        <v>2</v>
      </c>
      <c r="K8" s="38">
        <v>6</v>
      </c>
      <c r="L8" s="99">
        <v>100.39999999999999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2"/>
        <v>0.33333333333333331</v>
      </c>
      <c r="E9" s="63" t="s">
        <v>72</v>
      </c>
      <c r="F9" s="60" t="s">
        <v>27</v>
      </c>
      <c r="G9" s="47">
        <v>2</v>
      </c>
      <c r="H9" s="133">
        <f t="shared" si="0"/>
        <v>0.125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 t="shared" si="2"/>
        <v>0</v>
      </c>
      <c r="E10" s="63" t="s">
        <v>180</v>
      </c>
      <c r="F10" s="60" t="s">
        <v>181</v>
      </c>
      <c r="G10" s="47">
        <v>2</v>
      </c>
      <c r="H10" s="133">
        <f t="shared" si="0"/>
        <v>0.125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2</v>
      </c>
      <c r="C11" s="40">
        <f t="shared" si="2"/>
        <v>0.33333333333333331</v>
      </c>
      <c r="E11" s="63" t="s">
        <v>66</v>
      </c>
      <c r="F11" s="60" t="s">
        <v>22</v>
      </c>
      <c r="G11" s="47">
        <v>1</v>
      </c>
      <c r="H11" s="133">
        <f t="shared" si="0"/>
        <v>6.25E-2</v>
      </c>
      <c r="I11" s="94">
        <v>13</v>
      </c>
      <c r="N11" s="115" t="s">
        <v>165</v>
      </c>
      <c r="O11" s="125">
        <f>IF(P11=0,0,Q11/P11)</f>
        <v>58.933333333333337</v>
      </c>
      <c r="P11" s="119">
        <v>3</v>
      </c>
      <c r="Q11" s="107">
        <v>176.8</v>
      </c>
    </row>
    <row r="12" spans="1:17" x14ac:dyDescent="0.4">
      <c r="A12" s="57" t="s">
        <v>160</v>
      </c>
      <c r="B12" s="49">
        <v>1</v>
      </c>
      <c r="C12" s="42">
        <f t="shared" si="2"/>
        <v>0.16666666666666666</v>
      </c>
      <c r="E12" s="63" t="s">
        <v>70</v>
      </c>
      <c r="F12" s="60" t="s">
        <v>25</v>
      </c>
      <c r="G12" s="47">
        <v>1</v>
      </c>
      <c r="H12" s="133">
        <f t="shared" si="0"/>
        <v>6.25E-2</v>
      </c>
      <c r="I12" s="94">
        <v>14</v>
      </c>
      <c r="N12" s="116" t="s">
        <v>166</v>
      </c>
      <c r="O12" s="126">
        <f>IF(P12=0,0,Q12/P12)</f>
        <v>-19.700000000000003</v>
      </c>
      <c r="P12" s="120">
        <v>2</v>
      </c>
      <c r="Q12" s="108">
        <v>-39.400000000000006</v>
      </c>
    </row>
    <row r="13" spans="1:17" x14ac:dyDescent="0.4">
      <c r="A13" s="58" t="s">
        <v>122</v>
      </c>
      <c r="B13" s="50">
        <v>7</v>
      </c>
      <c r="C13" s="44">
        <f>IF(B$3=0,0,B13/B$3)</f>
        <v>0.15217391304347827</v>
      </c>
      <c r="E13" s="63" t="s">
        <v>71</v>
      </c>
      <c r="F13" s="60" t="s">
        <v>26</v>
      </c>
      <c r="G13" s="47">
        <v>1</v>
      </c>
      <c r="H13" s="133">
        <f t="shared" si="0"/>
        <v>6.25E-2</v>
      </c>
      <c r="I13" s="94">
        <v>10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0.36956521739130432</v>
      </c>
      <c r="E14" s="63" t="s">
        <v>79</v>
      </c>
      <c r="F14" s="60" t="s">
        <v>34</v>
      </c>
      <c r="G14" s="47">
        <v>1</v>
      </c>
      <c r="H14" s="133">
        <f t="shared" si="0"/>
        <v>6.25E-2</v>
      </c>
      <c r="I14" s="94">
        <v>2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80</v>
      </c>
      <c r="F15" s="60" t="s">
        <v>35</v>
      </c>
      <c r="G15" s="47">
        <v>1</v>
      </c>
      <c r="H15" s="133">
        <f t="shared" si="0"/>
        <v>6.25E-2</v>
      </c>
      <c r="I15" s="94">
        <v>1</v>
      </c>
      <c r="N15" s="114" t="s">
        <v>184</v>
      </c>
      <c r="O15" s="124">
        <f>IF(P15=0,0,Q15/P15)</f>
        <v>138.94999999999999</v>
      </c>
      <c r="P15" s="118">
        <v>2</v>
      </c>
      <c r="Q15" s="106">
        <v>277.89999999999998</v>
      </c>
    </row>
    <row r="16" spans="1:17" x14ac:dyDescent="0.4">
      <c r="A16" s="54" t="s">
        <v>125</v>
      </c>
      <c r="B16" s="46">
        <v>9</v>
      </c>
      <c r="C16" s="37">
        <f>IF(B$14=0,0,B16/B$14)</f>
        <v>0.52941176470588236</v>
      </c>
      <c r="E16" s="63" t="s">
        <v>84</v>
      </c>
      <c r="F16" s="60" t="s">
        <v>39</v>
      </c>
      <c r="G16" s="47">
        <v>1</v>
      </c>
      <c r="H16" s="133">
        <f t="shared" si="0"/>
        <v>6.25E-2</v>
      </c>
      <c r="I16" s="94">
        <v>4</v>
      </c>
      <c r="N16" s="115" t="s">
        <v>172</v>
      </c>
      <c r="O16" s="125">
        <f>IF(P16=0,0,Q16/P16)</f>
        <v>34.866666666666667</v>
      </c>
      <c r="P16" s="119">
        <v>3</v>
      </c>
      <c r="Q16" s="107">
        <v>104.6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0.34782608695652173</v>
      </c>
      <c r="E17" s="63" t="s">
        <v>74</v>
      </c>
      <c r="F17" s="60" t="s">
        <v>29</v>
      </c>
      <c r="G17" s="47">
        <v>0</v>
      </c>
      <c r="H17" s="133">
        <f t="shared" si="0"/>
        <v>0</v>
      </c>
      <c r="I17" s="94">
        <v>9</v>
      </c>
      <c r="N17" s="115" t="s">
        <v>127</v>
      </c>
      <c r="O17" s="125">
        <f>IF(P17=0,0,Q17/P17)</f>
        <v>29.566666666666666</v>
      </c>
      <c r="P17" s="119">
        <v>3</v>
      </c>
      <c r="Q17" s="107">
        <v>88.7</v>
      </c>
    </row>
    <row r="18" spans="1:17" x14ac:dyDescent="0.4">
      <c r="A18" s="55" t="s">
        <v>12</v>
      </c>
      <c r="B18" s="47">
        <v>10</v>
      </c>
      <c r="C18" s="39">
        <f>IF(B$17=0,0,B18/B$17)</f>
        <v>0.625</v>
      </c>
      <c r="E18" s="63" t="s">
        <v>75</v>
      </c>
      <c r="F18" s="60" t="s">
        <v>30</v>
      </c>
      <c r="G18" s="47">
        <v>0</v>
      </c>
      <c r="H18" s="133">
        <f t="shared" si="0"/>
        <v>0</v>
      </c>
      <c r="I18" s="94">
        <v>7</v>
      </c>
      <c r="N18" s="115" t="s">
        <v>129</v>
      </c>
      <c r="O18" s="125">
        <f>IF(P18=0,0,Q18/P18)</f>
        <v>-42.5</v>
      </c>
      <c r="P18" s="119">
        <v>4</v>
      </c>
      <c r="Q18" s="107">
        <v>-170</v>
      </c>
    </row>
    <row r="19" spans="1:17" x14ac:dyDescent="0.4">
      <c r="A19" s="55" t="s">
        <v>11</v>
      </c>
      <c r="B19" s="47">
        <v>6</v>
      </c>
      <c r="C19" s="39">
        <f>IF(B$17=0,0,B19/B$17)</f>
        <v>0.375</v>
      </c>
      <c r="E19" s="63" t="s">
        <v>76</v>
      </c>
      <c r="F19" s="60" t="s">
        <v>31</v>
      </c>
      <c r="G19" s="47">
        <v>0</v>
      </c>
      <c r="H19" s="133">
        <f t="shared" si="0"/>
        <v>0</v>
      </c>
      <c r="I19" s="94">
        <v>9</v>
      </c>
    </row>
    <row r="20" spans="1:17" x14ac:dyDescent="0.4">
      <c r="A20" s="55" t="s">
        <v>13</v>
      </c>
      <c r="B20" s="47">
        <v>6</v>
      </c>
      <c r="C20" s="39">
        <f>IF(B$3=0,0,B20/B$3)</f>
        <v>0.13043478260869565</v>
      </c>
      <c r="E20" s="63" t="s">
        <v>77</v>
      </c>
      <c r="F20" s="60" t="s">
        <v>32</v>
      </c>
      <c r="G20" s="47">
        <v>0</v>
      </c>
      <c r="H20" s="133">
        <f t="shared" si="0"/>
        <v>0</v>
      </c>
      <c r="I20" s="94">
        <v>1</v>
      </c>
    </row>
    <row r="21" spans="1:17" x14ac:dyDescent="0.4">
      <c r="A21" s="55" t="s">
        <v>191</v>
      </c>
      <c r="B21" s="47">
        <v>4</v>
      </c>
      <c r="C21" s="135">
        <v>2</v>
      </c>
      <c r="E21" s="63" t="s">
        <v>78</v>
      </c>
      <c r="F21" s="60" t="s">
        <v>33</v>
      </c>
      <c r="G21" s="47">
        <v>0</v>
      </c>
      <c r="H21" s="133">
        <f t="shared" si="0"/>
        <v>0</v>
      </c>
      <c r="I21" s="94">
        <v>9</v>
      </c>
    </row>
    <row r="22" spans="1:17" x14ac:dyDescent="0.4">
      <c r="A22" s="55" t="s">
        <v>192</v>
      </c>
      <c r="B22" s="47">
        <v>16</v>
      </c>
      <c r="C22" s="135">
        <v>11</v>
      </c>
      <c r="E22" s="63" t="s">
        <v>81</v>
      </c>
      <c r="F22" s="60" t="s">
        <v>36</v>
      </c>
      <c r="G22" s="47">
        <v>0</v>
      </c>
      <c r="H22" s="133">
        <f t="shared" si="0"/>
        <v>0</v>
      </c>
      <c r="I22" s="94">
        <v>1</v>
      </c>
    </row>
    <row r="23" spans="1:17" x14ac:dyDescent="0.4">
      <c r="A23" s="55" t="s">
        <v>5</v>
      </c>
      <c r="B23" s="51">
        <f>IF(B$17=0,0,C23/B$17)</f>
        <v>12143.75</v>
      </c>
      <c r="C23" s="41">
        <v>194300</v>
      </c>
      <c r="E23" s="63" t="s">
        <v>82</v>
      </c>
      <c r="F23" s="60" t="s">
        <v>37</v>
      </c>
      <c r="G23" s="47">
        <v>0</v>
      </c>
      <c r="H23" s="133">
        <f t="shared" si="0"/>
        <v>0</v>
      </c>
      <c r="I23" s="94">
        <v>13</v>
      </c>
    </row>
    <row r="24" spans="1:17" x14ac:dyDescent="0.4">
      <c r="A24" s="57" t="s">
        <v>14</v>
      </c>
      <c r="B24" s="52">
        <f>IF(B$20=0,0,C24/B$20)</f>
        <v>-10583.333333333334</v>
      </c>
      <c r="C24" s="45">
        <v>-63500</v>
      </c>
      <c r="E24" s="63" t="s">
        <v>83</v>
      </c>
      <c r="F24" s="60" t="s">
        <v>38</v>
      </c>
      <c r="G24" s="47">
        <v>0</v>
      </c>
      <c r="H24" s="133">
        <f t="shared" si="0"/>
        <v>0</v>
      </c>
      <c r="I24" s="94">
        <v>1</v>
      </c>
    </row>
    <row r="25" spans="1:17" x14ac:dyDescent="0.4">
      <c r="A25" s="90" t="s">
        <v>142</v>
      </c>
      <c r="B25" s="144">
        <v>6</v>
      </c>
      <c r="C25" s="145"/>
      <c r="E25" s="63" t="s">
        <v>85</v>
      </c>
      <c r="F25" s="60" t="s">
        <v>40</v>
      </c>
      <c r="G25" s="47">
        <v>0</v>
      </c>
      <c r="H25" s="133">
        <f t="shared" si="0"/>
        <v>0</v>
      </c>
      <c r="I25" s="94">
        <v>6</v>
      </c>
    </row>
    <row r="26" spans="1:17" x14ac:dyDescent="0.4">
      <c r="A26" s="58" t="s">
        <v>152</v>
      </c>
      <c r="B26" s="142">
        <v>92100</v>
      </c>
      <c r="C26" s="143"/>
      <c r="E26" s="63" t="s">
        <v>86</v>
      </c>
      <c r="F26" s="60" t="s">
        <v>41</v>
      </c>
      <c r="G26" s="47">
        <v>0</v>
      </c>
      <c r="H26" s="133">
        <f t="shared" si="0"/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87</v>
      </c>
      <c r="F27" s="60" t="s">
        <v>42</v>
      </c>
      <c r="G27" s="47">
        <v>0</v>
      </c>
      <c r="H27" s="133">
        <f t="shared" si="0"/>
        <v>0</v>
      </c>
      <c r="I27" s="94">
        <v>13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 t="shared" si="0"/>
        <v>0</v>
      </c>
      <c r="I28" s="94">
        <v>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 t="shared" si="0"/>
        <v>0</v>
      </c>
      <c r="I29" s="94">
        <v>5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 t="shared" si="0"/>
        <v>0</v>
      </c>
      <c r="I30" s="94">
        <v>5</v>
      </c>
    </row>
    <row r="31" spans="1:17" x14ac:dyDescent="0.4">
      <c r="E31" s="63" t="s">
        <v>92</v>
      </c>
      <c r="F31" s="60" t="s">
        <v>47</v>
      </c>
      <c r="G31" s="47">
        <v>0</v>
      </c>
      <c r="H31" s="133">
        <f t="shared" si="0"/>
        <v>0</v>
      </c>
      <c r="I31" s="94">
        <v>10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 t="shared" si="0"/>
        <v>0</v>
      </c>
      <c r="I32" s="94">
        <v>7</v>
      </c>
    </row>
    <row r="33" spans="5:9" x14ac:dyDescent="0.4">
      <c r="E33" s="63" t="s">
        <v>94</v>
      </c>
      <c r="F33" s="60" t="s">
        <v>49</v>
      </c>
      <c r="G33" s="47">
        <v>0</v>
      </c>
      <c r="H33" s="133">
        <f t="shared" si="0"/>
        <v>0</v>
      </c>
      <c r="I33" s="94">
        <v>7</v>
      </c>
    </row>
    <row r="34" spans="5:9" x14ac:dyDescent="0.4">
      <c r="E34" s="63" t="s">
        <v>95</v>
      </c>
      <c r="F34" s="60" t="s">
        <v>50</v>
      </c>
      <c r="G34" s="47">
        <v>0</v>
      </c>
      <c r="H34" s="133">
        <f t="shared" ref="H34:H65" si="3">IF(B$17=0,0,G34/B$17)</f>
        <v>0</v>
      </c>
      <c r="I34" s="94">
        <v>1</v>
      </c>
    </row>
    <row r="35" spans="5:9" x14ac:dyDescent="0.4">
      <c r="E35" s="63" t="s">
        <v>96</v>
      </c>
      <c r="F35" s="60" t="s">
        <v>51</v>
      </c>
      <c r="G35" s="47">
        <v>0</v>
      </c>
      <c r="H35" s="133">
        <f t="shared" si="3"/>
        <v>0</v>
      </c>
      <c r="I35" s="94">
        <v>4</v>
      </c>
    </row>
    <row r="36" spans="5:9" x14ac:dyDescent="0.4">
      <c r="E36" s="63" t="s">
        <v>97</v>
      </c>
      <c r="F36" s="60" t="s">
        <v>52</v>
      </c>
      <c r="G36" s="47">
        <v>0</v>
      </c>
      <c r="H36" s="133">
        <f t="shared" si="3"/>
        <v>0</v>
      </c>
      <c r="I36" s="94">
        <v>1</v>
      </c>
    </row>
    <row r="37" spans="5:9" x14ac:dyDescent="0.4">
      <c r="E37" s="63" t="s">
        <v>98</v>
      </c>
      <c r="F37" s="60" t="s">
        <v>53</v>
      </c>
      <c r="G37" s="47">
        <v>0</v>
      </c>
      <c r="H37" s="133">
        <f t="shared" si="3"/>
        <v>0</v>
      </c>
      <c r="I37" s="94">
        <v>3</v>
      </c>
    </row>
    <row r="38" spans="5:9" x14ac:dyDescent="0.4">
      <c r="E38" s="63" t="s">
        <v>99</v>
      </c>
      <c r="F38" s="60" t="s">
        <v>54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100</v>
      </c>
      <c r="F39" s="60" t="s">
        <v>55</v>
      </c>
      <c r="G39" s="47">
        <v>0</v>
      </c>
      <c r="H39" s="133">
        <f t="shared" si="3"/>
        <v>0</v>
      </c>
      <c r="I39" s="94">
        <v>1</v>
      </c>
    </row>
    <row r="40" spans="5:9" x14ac:dyDescent="0.4">
      <c r="E40" s="63" t="s">
        <v>101</v>
      </c>
      <c r="F40" s="60" t="s">
        <v>56</v>
      </c>
      <c r="G40" s="47">
        <v>0</v>
      </c>
      <c r="H40" s="133">
        <f t="shared" si="3"/>
        <v>0</v>
      </c>
      <c r="I40" s="94">
        <v>1</v>
      </c>
    </row>
    <row r="41" spans="5:9" x14ac:dyDescent="0.4">
      <c r="E41" s="63" t="s">
        <v>102</v>
      </c>
      <c r="F41" s="60" t="s">
        <v>57</v>
      </c>
      <c r="G41" s="47">
        <v>0</v>
      </c>
      <c r="H41" s="133">
        <f t="shared" si="3"/>
        <v>0</v>
      </c>
      <c r="I41" s="94">
        <v>3</v>
      </c>
    </row>
    <row r="42" spans="5:9" x14ac:dyDescent="0.4">
      <c r="E42" s="63" t="s">
        <v>103</v>
      </c>
      <c r="F42" s="60" t="s">
        <v>58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104</v>
      </c>
      <c r="F43" s="60" t="s">
        <v>59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105</v>
      </c>
      <c r="F44" s="60" t="s">
        <v>60</v>
      </c>
      <c r="G44" s="47">
        <v>0</v>
      </c>
      <c r="H44" s="133">
        <f t="shared" si="3"/>
        <v>0</v>
      </c>
      <c r="I44" s="94">
        <v>1</v>
      </c>
    </row>
    <row r="45" spans="5:9" x14ac:dyDescent="0.4">
      <c r="E45" s="63" t="s">
        <v>106</v>
      </c>
      <c r="F45" s="60" t="s">
        <v>113</v>
      </c>
      <c r="G45" s="47">
        <v>0</v>
      </c>
      <c r="H45" s="133">
        <f t="shared" si="3"/>
        <v>0</v>
      </c>
      <c r="I45" s="94">
        <v>1</v>
      </c>
    </row>
    <row r="46" spans="5:9" x14ac:dyDescent="0.4">
      <c r="E46" s="63" t="s">
        <v>107</v>
      </c>
      <c r="F46" s="60" t="s">
        <v>114</v>
      </c>
      <c r="G46" s="47">
        <v>0</v>
      </c>
      <c r="H46" s="133">
        <f t="shared" si="3"/>
        <v>0</v>
      </c>
      <c r="I46" s="94">
        <v>3</v>
      </c>
    </row>
    <row r="47" spans="5:9" x14ac:dyDescent="0.4">
      <c r="E47" s="63" t="s">
        <v>108</v>
      </c>
      <c r="F47" s="60" t="s">
        <v>115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109</v>
      </c>
      <c r="F48" s="60" t="s">
        <v>61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110</v>
      </c>
      <c r="F49" s="60" t="s">
        <v>62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111</v>
      </c>
      <c r="F50" s="60" t="s">
        <v>63</v>
      </c>
      <c r="G50" s="47">
        <v>0</v>
      </c>
      <c r="H50" s="133">
        <f t="shared" si="3"/>
        <v>0</v>
      </c>
      <c r="I50" s="94">
        <v>1</v>
      </c>
    </row>
    <row r="51" spans="5:9" x14ac:dyDescent="0.4">
      <c r="E51" s="136" t="s">
        <v>112</v>
      </c>
      <c r="F51" s="137" t="s">
        <v>64</v>
      </c>
      <c r="G51" s="48">
        <v>0</v>
      </c>
      <c r="H51" s="138">
        <f t="shared" si="3"/>
        <v>0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D9E8F-97C1-4402-A340-FA5B06F2B7F8}">
  <sheetPr codeName="Sheet32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</v>
      </c>
      <c r="C2" s="151"/>
      <c r="E2" s="62" t="s">
        <v>65</v>
      </c>
      <c r="F2" s="59" t="s">
        <v>21</v>
      </c>
      <c r="G2" s="46">
        <v>10</v>
      </c>
      <c r="H2" s="132">
        <f t="shared" ref="H2:H33" si="0">IF(B$17=0,0,G2/B$17)</f>
        <v>0.52631578947368418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1">IF(P2=0,0,Q2/P2)</f>
        <v>-5455.5555555555557</v>
      </c>
      <c r="P2" s="118">
        <v>9</v>
      </c>
      <c r="Q2" s="102">
        <v>-49100</v>
      </c>
    </row>
    <row r="3" spans="1:17" x14ac:dyDescent="0.4">
      <c r="A3" s="55" t="s">
        <v>8</v>
      </c>
      <c r="B3" s="152">
        <v>80</v>
      </c>
      <c r="C3" s="153"/>
      <c r="E3" s="63" t="s">
        <v>67</v>
      </c>
      <c r="F3" s="60" t="s">
        <v>23</v>
      </c>
      <c r="G3" s="47">
        <v>9</v>
      </c>
      <c r="H3" s="133">
        <f t="shared" si="0"/>
        <v>0.47368421052631576</v>
      </c>
      <c r="I3" s="94">
        <v>14</v>
      </c>
      <c r="K3" s="38">
        <v>1</v>
      </c>
      <c r="L3" s="99">
        <v>-43.2</v>
      </c>
      <c r="N3" s="115" t="s">
        <v>133</v>
      </c>
      <c r="O3" s="122">
        <f t="shared" si="1"/>
        <v>-3577.7777777777778</v>
      </c>
      <c r="P3" s="119">
        <v>9</v>
      </c>
      <c r="Q3" s="103">
        <v>-32200</v>
      </c>
    </row>
    <row r="4" spans="1:17" x14ac:dyDescent="0.4">
      <c r="A4" s="55" t="s">
        <v>6</v>
      </c>
      <c r="B4" s="154">
        <v>-292.60000000000002</v>
      </c>
      <c r="C4" s="155"/>
      <c r="E4" s="63" t="s">
        <v>245</v>
      </c>
      <c r="F4" s="60" t="s">
        <v>246</v>
      </c>
      <c r="G4" s="47">
        <v>9</v>
      </c>
      <c r="H4" s="133">
        <f t="shared" si="0"/>
        <v>0.47368421052631576</v>
      </c>
      <c r="I4" s="94">
        <v>2</v>
      </c>
      <c r="K4" s="38">
        <v>2</v>
      </c>
      <c r="L4" s="99">
        <v>-96.5</v>
      </c>
      <c r="N4" s="115" t="s">
        <v>134</v>
      </c>
      <c r="O4" s="122">
        <f t="shared" si="1"/>
        <v>37.5</v>
      </c>
      <c r="P4" s="119">
        <v>8</v>
      </c>
      <c r="Q4" s="103">
        <v>300</v>
      </c>
    </row>
    <row r="5" spans="1:17" x14ac:dyDescent="0.4">
      <c r="A5" s="55" t="s">
        <v>7</v>
      </c>
      <c r="B5" s="156">
        <f>IF(B$2=0,0,B$4/B$2)</f>
        <v>-32.511111111111113</v>
      </c>
      <c r="C5" s="157"/>
      <c r="E5" s="63" t="s">
        <v>73</v>
      </c>
      <c r="F5" s="60" t="s">
        <v>28</v>
      </c>
      <c r="G5" s="47">
        <v>7</v>
      </c>
      <c r="H5" s="133">
        <f t="shared" si="0"/>
        <v>0.36842105263157893</v>
      </c>
      <c r="I5" s="94">
        <v>14</v>
      </c>
      <c r="K5" s="38">
        <v>3</v>
      </c>
      <c r="L5" s="99">
        <v>-151.9</v>
      </c>
      <c r="N5" s="115" t="s">
        <v>135</v>
      </c>
      <c r="O5" s="122">
        <f t="shared" si="1"/>
        <v>3050</v>
      </c>
      <c r="P5" s="119">
        <v>8</v>
      </c>
      <c r="Q5" s="103">
        <v>24400</v>
      </c>
    </row>
    <row r="6" spans="1:17" x14ac:dyDescent="0.4">
      <c r="A6" s="55" t="s">
        <v>1</v>
      </c>
      <c r="B6" s="146">
        <f>IF(B$2=0,0,(B$7*1+B$8*2+B$9*3)/B$2)</f>
        <v>2.6666666666666665</v>
      </c>
      <c r="C6" s="147"/>
      <c r="E6" s="63" t="s">
        <v>69</v>
      </c>
      <c r="F6" s="60" t="s">
        <v>12</v>
      </c>
      <c r="G6" s="47">
        <v>5</v>
      </c>
      <c r="H6" s="133">
        <f t="shared" si="0"/>
        <v>0.26315789473684209</v>
      </c>
      <c r="I6" s="94">
        <v>12</v>
      </c>
      <c r="K6" s="38">
        <v>4</v>
      </c>
      <c r="L6" s="99">
        <v>-134.1</v>
      </c>
      <c r="N6" s="115" t="s">
        <v>136</v>
      </c>
      <c r="O6" s="122">
        <f t="shared" si="1"/>
        <v>-3828.5714285714284</v>
      </c>
      <c r="P6" s="119">
        <v>7</v>
      </c>
      <c r="Q6" s="103">
        <v>-26800</v>
      </c>
    </row>
    <row r="7" spans="1:17" x14ac:dyDescent="0.4">
      <c r="A7" s="55" t="s">
        <v>2</v>
      </c>
      <c r="B7" s="47">
        <v>0</v>
      </c>
      <c r="C7" s="39">
        <f t="shared" ref="C7:C12" si="2">IF(B$2=0,0,B7/B$2)</f>
        <v>0</v>
      </c>
      <c r="E7" s="63" t="s">
        <v>87</v>
      </c>
      <c r="F7" s="60" t="s">
        <v>42</v>
      </c>
      <c r="G7" s="47">
        <v>3</v>
      </c>
      <c r="H7" s="133">
        <f t="shared" si="0"/>
        <v>0.15789473684210525</v>
      </c>
      <c r="I7" s="94">
        <v>2</v>
      </c>
      <c r="K7" s="38">
        <v>5</v>
      </c>
      <c r="L7" s="99">
        <v>-152</v>
      </c>
      <c r="N7" s="116" t="s">
        <v>137</v>
      </c>
      <c r="O7" s="123">
        <f t="shared" si="1"/>
        <v>-6450</v>
      </c>
      <c r="P7" s="120">
        <v>6</v>
      </c>
      <c r="Q7" s="104">
        <v>-38700</v>
      </c>
    </row>
    <row r="8" spans="1:17" x14ac:dyDescent="0.4">
      <c r="A8" s="55" t="s">
        <v>3</v>
      </c>
      <c r="B8" s="47">
        <v>3</v>
      </c>
      <c r="C8" s="39">
        <f t="shared" si="2"/>
        <v>0.33333333333333331</v>
      </c>
      <c r="E8" s="63" t="s">
        <v>66</v>
      </c>
      <c r="F8" s="60" t="s">
        <v>22</v>
      </c>
      <c r="G8" s="47">
        <v>2</v>
      </c>
      <c r="H8" s="133">
        <f t="shared" si="0"/>
        <v>0.10526315789473684</v>
      </c>
      <c r="I8" s="94">
        <v>6</v>
      </c>
      <c r="K8" s="38">
        <v>6</v>
      </c>
      <c r="L8" s="99">
        <v>-201.8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si="2"/>
        <v>0.66666666666666663</v>
      </c>
      <c r="E9" s="63" t="s">
        <v>70</v>
      </c>
      <c r="F9" s="60" t="s">
        <v>25</v>
      </c>
      <c r="G9" s="47">
        <v>2</v>
      </c>
      <c r="H9" s="133">
        <f t="shared" si="0"/>
        <v>0.10526315789473684</v>
      </c>
      <c r="I9" s="94">
        <v>12</v>
      </c>
      <c r="K9" s="38">
        <v>7</v>
      </c>
      <c r="L9" s="99">
        <v>-255.8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 t="shared" si="2"/>
        <v>0.1111111111111111</v>
      </c>
      <c r="E10" s="63" t="s">
        <v>79</v>
      </c>
      <c r="F10" s="60" t="s">
        <v>34</v>
      </c>
      <c r="G10" s="47">
        <v>2</v>
      </c>
      <c r="H10" s="133">
        <f t="shared" si="0"/>
        <v>0.10526315789473684</v>
      </c>
      <c r="I10" s="94">
        <v>1</v>
      </c>
      <c r="K10" s="38">
        <v>8</v>
      </c>
      <c r="L10" s="99">
        <v>-289.8</v>
      </c>
      <c r="N10" s="114" t="s">
        <v>164</v>
      </c>
      <c r="O10" s="124">
        <f>IF(P10=0,0,Q10/P10)</f>
        <v>-30.183333333333334</v>
      </c>
      <c r="P10" s="118">
        <v>6</v>
      </c>
      <c r="Q10" s="106">
        <v>-181.1</v>
      </c>
    </row>
    <row r="11" spans="1:17" x14ac:dyDescent="0.4">
      <c r="A11" s="56" t="s">
        <v>140</v>
      </c>
      <c r="B11" s="48">
        <v>0</v>
      </c>
      <c r="C11" s="40">
        <f t="shared" si="2"/>
        <v>0</v>
      </c>
      <c r="E11" s="63" t="s">
        <v>68</v>
      </c>
      <c r="F11" s="60" t="s">
        <v>24</v>
      </c>
      <c r="G11" s="47">
        <v>1</v>
      </c>
      <c r="H11" s="133">
        <f t="shared" si="0"/>
        <v>5.2631578947368418E-2</v>
      </c>
      <c r="I11" s="94">
        <v>15</v>
      </c>
      <c r="K11" s="38">
        <v>9</v>
      </c>
      <c r="L11" s="99">
        <v>-292.60000000000002</v>
      </c>
      <c r="N11" s="115" t="s">
        <v>165</v>
      </c>
      <c r="O11" s="125">
        <f>IF(P11=0,0,Q11/P11)</f>
        <v>-54.349999999999994</v>
      </c>
      <c r="P11" s="119">
        <v>2</v>
      </c>
      <c r="Q11" s="107">
        <v>-108.69999999999999</v>
      </c>
    </row>
    <row r="12" spans="1:17" x14ac:dyDescent="0.4">
      <c r="A12" s="57" t="s">
        <v>160</v>
      </c>
      <c r="B12" s="49">
        <v>0</v>
      </c>
      <c r="C12" s="42">
        <f t="shared" si="2"/>
        <v>0</v>
      </c>
      <c r="E12" s="63" t="s">
        <v>71</v>
      </c>
      <c r="F12" s="60" t="s">
        <v>26</v>
      </c>
      <c r="G12" s="47">
        <v>1</v>
      </c>
      <c r="H12" s="133">
        <f t="shared" si="0"/>
        <v>5.2631578947368418E-2</v>
      </c>
      <c r="I12" s="94">
        <v>11</v>
      </c>
      <c r="N12" s="116" t="s">
        <v>166</v>
      </c>
      <c r="O12" s="126">
        <f>IF(P12=0,0,Q12/P12)</f>
        <v>-2.8</v>
      </c>
      <c r="P12" s="120">
        <v>1</v>
      </c>
      <c r="Q12" s="108">
        <v>-2.8</v>
      </c>
    </row>
    <row r="13" spans="1:17" x14ac:dyDescent="0.4">
      <c r="A13" s="58" t="s">
        <v>122</v>
      </c>
      <c r="B13" s="50">
        <v>14</v>
      </c>
      <c r="C13" s="44">
        <f>IF(B$3=0,0,B13/B$3)</f>
        <v>0.17499999999999999</v>
      </c>
      <c r="E13" s="63" t="s">
        <v>90</v>
      </c>
      <c r="F13" s="60" t="s">
        <v>45</v>
      </c>
      <c r="G13" s="47">
        <v>1</v>
      </c>
      <c r="H13" s="133">
        <f t="shared" si="0"/>
        <v>5.2631578947368418E-2</v>
      </c>
      <c r="I13" s="94">
        <v>14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24</v>
      </c>
      <c r="C14" s="39">
        <f>IF(B$3=0,0,B14/B$3)</f>
        <v>0.3</v>
      </c>
      <c r="E14" s="63" t="s">
        <v>92</v>
      </c>
      <c r="F14" s="60" t="s">
        <v>47</v>
      </c>
      <c r="G14" s="47">
        <v>1</v>
      </c>
      <c r="H14" s="133">
        <f t="shared" si="0"/>
        <v>5.2631578947368418E-2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</v>
      </c>
      <c r="C15" s="37">
        <f>IF(B$13=0,0,B15/B$13)</f>
        <v>0.7142857142857143</v>
      </c>
      <c r="E15" s="63" t="s">
        <v>72</v>
      </c>
      <c r="F15" s="60" t="s">
        <v>27</v>
      </c>
      <c r="G15" s="47">
        <v>0</v>
      </c>
      <c r="H15" s="133">
        <f t="shared" si="0"/>
        <v>0</v>
      </c>
      <c r="I15" s="94">
        <v>13</v>
      </c>
      <c r="N15" s="114" t="s">
        <v>200</v>
      </c>
      <c r="O15" s="124">
        <f>IF(P15=0,0,Q15/P15)</f>
        <v>-31.720000000000006</v>
      </c>
      <c r="P15" s="118">
        <v>5</v>
      </c>
      <c r="Q15" s="106">
        <v>-158.60000000000002</v>
      </c>
    </row>
    <row r="16" spans="1:17" x14ac:dyDescent="0.4">
      <c r="A16" s="54" t="s">
        <v>125</v>
      </c>
      <c r="B16" s="46">
        <v>6</v>
      </c>
      <c r="C16" s="37">
        <f>IF(B$14=0,0,B16/B$14)</f>
        <v>0.25</v>
      </c>
      <c r="E16" s="63" t="s">
        <v>74</v>
      </c>
      <c r="F16" s="60" t="s">
        <v>29</v>
      </c>
      <c r="G16" s="47">
        <v>0</v>
      </c>
      <c r="H16" s="133">
        <f t="shared" si="0"/>
        <v>0</v>
      </c>
      <c r="I16" s="94">
        <v>9</v>
      </c>
      <c r="N16" s="115" t="s">
        <v>129</v>
      </c>
      <c r="O16" s="125">
        <f>IF(P16=0,0,Q16/P16)</f>
        <v>-38.15</v>
      </c>
      <c r="P16" s="119">
        <v>6</v>
      </c>
      <c r="Q16" s="107">
        <v>-228.89999999999998</v>
      </c>
    </row>
    <row r="17" spans="1:17" x14ac:dyDescent="0.4">
      <c r="A17" s="54" t="s">
        <v>10</v>
      </c>
      <c r="B17" s="46">
        <f>B19+B18</f>
        <v>19</v>
      </c>
      <c r="C17" s="37">
        <f>IF(B$3=0,0,B17/B$3)</f>
        <v>0.23749999999999999</v>
      </c>
      <c r="E17" s="63" t="s">
        <v>75</v>
      </c>
      <c r="F17" s="60" t="s">
        <v>30</v>
      </c>
      <c r="G17" s="47">
        <v>0</v>
      </c>
      <c r="H17" s="133">
        <f t="shared" si="0"/>
        <v>0</v>
      </c>
      <c r="I17" s="94">
        <v>7</v>
      </c>
      <c r="N17" s="115" t="s">
        <v>177</v>
      </c>
      <c r="O17" s="125">
        <f>IF(P17=0,0,Q17/P17)</f>
        <v>-64.680000000000007</v>
      </c>
      <c r="P17" s="119">
        <v>5</v>
      </c>
      <c r="Q17" s="107">
        <v>-323.40000000000003</v>
      </c>
    </row>
    <row r="18" spans="1:17" x14ac:dyDescent="0.4">
      <c r="A18" s="55" t="s">
        <v>12</v>
      </c>
      <c r="B18" s="47">
        <v>8</v>
      </c>
      <c r="C18" s="39">
        <f>IF(B$17=0,0,B18/B$17)</f>
        <v>0.42105263157894735</v>
      </c>
      <c r="E18" s="63" t="s">
        <v>76</v>
      </c>
      <c r="F18" s="60" t="s">
        <v>31</v>
      </c>
      <c r="G18" s="47">
        <v>0</v>
      </c>
      <c r="H18" s="133">
        <f t="shared" si="0"/>
        <v>0</v>
      </c>
      <c r="I18" s="94">
        <v>9</v>
      </c>
      <c r="N18" s="115" t="s">
        <v>173</v>
      </c>
      <c r="O18" s="125">
        <f>IF(P18=0,0,Q18/P18)</f>
        <v>-83.45</v>
      </c>
      <c r="P18" s="119">
        <v>2</v>
      </c>
      <c r="Q18" s="107">
        <v>-166.9</v>
      </c>
    </row>
    <row r="19" spans="1:17" x14ac:dyDescent="0.4">
      <c r="A19" s="55" t="s">
        <v>11</v>
      </c>
      <c r="B19" s="47">
        <v>11</v>
      </c>
      <c r="C19" s="39">
        <f>IF(B$17=0,0,B19/B$17)</f>
        <v>0.57894736842105265</v>
      </c>
      <c r="E19" s="63" t="s">
        <v>77</v>
      </c>
      <c r="F19" s="60" t="s">
        <v>32</v>
      </c>
      <c r="G19" s="47">
        <v>0</v>
      </c>
      <c r="H19" s="133">
        <f t="shared" si="0"/>
        <v>0</v>
      </c>
      <c r="I19" s="94">
        <v>1</v>
      </c>
    </row>
    <row r="20" spans="1:17" x14ac:dyDescent="0.4">
      <c r="A20" s="55" t="s">
        <v>13</v>
      </c>
      <c r="B20" s="47">
        <v>21</v>
      </c>
      <c r="C20" s="39">
        <f>IF(B$3=0,0,B20/B$3)</f>
        <v>0.26250000000000001</v>
      </c>
      <c r="E20" s="63" t="s">
        <v>78</v>
      </c>
      <c r="F20" s="60" t="s">
        <v>33</v>
      </c>
      <c r="G20" s="47">
        <v>0</v>
      </c>
      <c r="H20" s="133">
        <f t="shared" si="0"/>
        <v>0</v>
      </c>
      <c r="I20" s="94">
        <v>9</v>
      </c>
    </row>
    <row r="21" spans="1:17" x14ac:dyDescent="0.4">
      <c r="A21" s="55" t="s">
        <v>191</v>
      </c>
      <c r="B21" s="47">
        <v>3</v>
      </c>
      <c r="C21" s="135">
        <v>0</v>
      </c>
      <c r="E21" s="63" t="s">
        <v>80</v>
      </c>
      <c r="F21" s="60" t="s">
        <v>35</v>
      </c>
      <c r="G21" s="47">
        <v>0</v>
      </c>
      <c r="H21" s="133">
        <f t="shared" si="0"/>
        <v>0</v>
      </c>
      <c r="I21" s="94">
        <v>12</v>
      </c>
    </row>
    <row r="22" spans="1:17" x14ac:dyDescent="0.4">
      <c r="A22" s="55" t="s">
        <v>192</v>
      </c>
      <c r="B22" s="47">
        <v>8</v>
      </c>
      <c r="C22" s="135">
        <v>0</v>
      </c>
      <c r="E22" s="63" t="s">
        <v>81</v>
      </c>
      <c r="F22" s="60" t="s">
        <v>36</v>
      </c>
      <c r="G22" s="47">
        <v>0</v>
      </c>
      <c r="H22" s="133">
        <f t="shared" si="0"/>
        <v>0</v>
      </c>
      <c r="I22" s="94">
        <v>1</v>
      </c>
    </row>
    <row r="23" spans="1:17" x14ac:dyDescent="0.4">
      <c r="A23" s="55" t="s">
        <v>5</v>
      </c>
      <c r="B23" s="51">
        <f>IF(B$17=0,0,C23/B$17)</f>
        <v>6821.0526315789475</v>
      </c>
      <c r="C23" s="41">
        <v>129600</v>
      </c>
      <c r="E23" s="63" t="s">
        <v>82</v>
      </c>
      <c r="F23" s="60" t="s">
        <v>37</v>
      </c>
      <c r="G23" s="47">
        <v>0</v>
      </c>
      <c r="H23" s="133">
        <f t="shared" si="0"/>
        <v>0</v>
      </c>
      <c r="I23" s="94">
        <v>13</v>
      </c>
    </row>
    <row r="24" spans="1:17" x14ac:dyDescent="0.4">
      <c r="A24" s="57" t="s">
        <v>14</v>
      </c>
      <c r="B24" s="52">
        <f>IF(B$20=0,0,C24/B$20)</f>
        <v>-7042.8571428571431</v>
      </c>
      <c r="C24" s="45">
        <v>-147900</v>
      </c>
      <c r="E24" s="63" t="s">
        <v>83</v>
      </c>
      <c r="F24" s="60" t="s">
        <v>38</v>
      </c>
      <c r="G24" s="47">
        <v>0</v>
      </c>
      <c r="H24" s="133">
        <f t="shared" si="0"/>
        <v>0</v>
      </c>
      <c r="I24" s="94">
        <v>1</v>
      </c>
    </row>
    <row r="25" spans="1:17" x14ac:dyDescent="0.4">
      <c r="A25" s="90" t="s">
        <v>142</v>
      </c>
      <c r="B25" s="144">
        <v>4</v>
      </c>
      <c r="C25" s="145"/>
      <c r="E25" s="63" t="s">
        <v>84</v>
      </c>
      <c r="F25" s="60" t="s">
        <v>39</v>
      </c>
      <c r="G25" s="47">
        <v>0</v>
      </c>
      <c r="H25" s="133">
        <f t="shared" si="0"/>
        <v>0</v>
      </c>
      <c r="I25" s="94">
        <v>13</v>
      </c>
    </row>
    <row r="26" spans="1:17" x14ac:dyDescent="0.4">
      <c r="A26" s="58" t="s">
        <v>152</v>
      </c>
      <c r="B26" s="142">
        <v>52800</v>
      </c>
      <c r="C26" s="143"/>
      <c r="E26" s="63" t="s">
        <v>85</v>
      </c>
      <c r="F26" s="60" t="s">
        <v>40</v>
      </c>
      <c r="G26" s="47">
        <v>0</v>
      </c>
      <c r="H26" s="133">
        <f t="shared" si="0"/>
        <v>0</v>
      </c>
      <c r="I26" s="94">
        <v>6</v>
      </c>
    </row>
    <row r="27" spans="1:17" x14ac:dyDescent="0.4">
      <c r="A27" s="57" t="s">
        <v>143</v>
      </c>
      <c r="B27" s="65">
        <v>1</v>
      </c>
      <c r="C27" s="42">
        <f>IF(B$3=0,0,B27/B$3)</f>
        <v>1.2500000000000001E-2</v>
      </c>
      <c r="E27" s="63" t="s">
        <v>86</v>
      </c>
      <c r="F27" s="60" t="s">
        <v>41</v>
      </c>
      <c r="G27" s="47">
        <v>0</v>
      </c>
      <c r="H27" s="133">
        <f t="shared" si="0"/>
        <v>0</v>
      </c>
      <c r="I27" s="94">
        <v>5</v>
      </c>
    </row>
    <row r="28" spans="1:17" x14ac:dyDescent="0.4">
      <c r="E28" s="63" t="s">
        <v>88</v>
      </c>
      <c r="F28" s="60" t="s">
        <v>43</v>
      </c>
      <c r="G28" s="47">
        <v>0</v>
      </c>
      <c r="H28" s="133">
        <f t="shared" si="0"/>
        <v>0</v>
      </c>
      <c r="I28" s="94">
        <v>7</v>
      </c>
    </row>
    <row r="29" spans="1:17" x14ac:dyDescent="0.4">
      <c r="E29" s="63" t="s">
        <v>89</v>
      </c>
      <c r="F29" s="60" t="s">
        <v>44</v>
      </c>
      <c r="G29" s="47">
        <v>0</v>
      </c>
      <c r="H29" s="133">
        <f t="shared" si="0"/>
        <v>0</v>
      </c>
      <c r="I29" s="94">
        <v>5</v>
      </c>
    </row>
    <row r="30" spans="1:17" x14ac:dyDescent="0.4">
      <c r="E30" s="63" t="s">
        <v>91</v>
      </c>
      <c r="F30" s="60" t="s">
        <v>46</v>
      </c>
      <c r="G30" s="47">
        <v>0</v>
      </c>
      <c r="H30" s="133">
        <f t="shared" si="0"/>
        <v>0</v>
      </c>
      <c r="I30" s="94">
        <v>5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65" si="3"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3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3"/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3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3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3"/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3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3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3"/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3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3"/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 t="shared" si="3"/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N15:Q18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CC661-62C3-4E8D-8DB0-599A215D6574}">
  <sheetPr codeName="Sheet34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301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</v>
      </c>
      <c r="C2" s="151"/>
      <c r="E2" s="62" t="s">
        <v>73</v>
      </c>
      <c r="F2" s="59" t="s">
        <v>28</v>
      </c>
      <c r="G2" s="46">
        <v>7</v>
      </c>
      <c r="H2" s="132">
        <f t="shared" ref="H2:H33" si="0">IF(B$17=0,0,G2/B$17)</f>
        <v>0.7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1">IF(P2=0,0,Q2/P2)</f>
        <v>2675</v>
      </c>
      <c r="P2" s="118">
        <v>4</v>
      </c>
      <c r="Q2" s="102">
        <v>10700</v>
      </c>
    </row>
    <row r="3" spans="1:17" x14ac:dyDescent="0.4">
      <c r="A3" s="55" t="s">
        <v>8</v>
      </c>
      <c r="B3" s="152">
        <v>32</v>
      </c>
      <c r="C3" s="153"/>
      <c r="E3" s="63" t="s">
        <v>65</v>
      </c>
      <c r="F3" s="60" t="s">
        <v>21</v>
      </c>
      <c r="G3" s="47">
        <v>4</v>
      </c>
      <c r="H3" s="133">
        <f t="shared" si="0"/>
        <v>0.4</v>
      </c>
      <c r="I3" s="94">
        <v>13</v>
      </c>
      <c r="K3" s="38">
        <v>1</v>
      </c>
      <c r="L3" s="99">
        <v>-57.7</v>
      </c>
      <c r="N3" s="115" t="s">
        <v>133</v>
      </c>
      <c r="O3" s="122">
        <f t="shared" si="1"/>
        <v>-7300</v>
      </c>
      <c r="P3" s="119">
        <v>4</v>
      </c>
      <c r="Q3" s="103">
        <v>-29200</v>
      </c>
    </row>
    <row r="4" spans="1:17" x14ac:dyDescent="0.4">
      <c r="A4" s="55" t="s">
        <v>6</v>
      </c>
      <c r="B4" s="154">
        <v>-56.2</v>
      </c>
      <c r="C4" s="155"/>
      <c r="E4" s="63" t="s">
        <v>67</v>
      </c>
      <c r="F4" s="60" t="s">
        <v>23</v>
      </c>
      <c r="G4" s="47">
        <v>2</v>
      </c>
      <c r="H4" s="133">
        <f t="shared" si="0"/>
        <v>0.2</v>
      </c>
      <c r="I4" s="94">
        <v>15</v>
      </c>
      <c r="K4" s="38">
        <v>2</v>
      </c>
      <c r="L4" s="99">
        <v>-94.5</v>
      </c>
      <c r="N4" s="115" t="s">
        <v>134</v>
      </c>
      <c r="O4" s="122">
        <f t="shared" si="1"/>
        <v>-100</v>
      </c>
      <c r="P4" s="119">
        <v>4</v>
      </c>
      <c r="Q4" s="103">
        <v>-400</v>
      </c>
    </row>
    <row r="5" spans="1:17" x14ac:dyDescent="0.4">
      <c r="A5" s="55" t="s">
        <v>7</v>
      </c>
      <c r="B5" s="156">
        <f>IF(B$2=0,0,B$4/B$2)</f>
        <v>-14.05</v>
      </c>
      <c r="C5" s="157"/>
      <c r="E5" s="63" t="s">
        <v>245</v>
      </c>
      <c r="F5" s="60" t="s">
        <v>246</v>
      </c>
      <c r="G5" s="47">
        <v>2</v>
      </c>
      <c r="H5" s="133">
        <f t="shared" si="0"/>
        <v>0.2</v>
      </c>
      <c r="I5" s="94">
        <v>15</v>
      </c>
      <c r="K5" s="38">
        <v>3</v>
      </c>
      <c r="L5" s="99">
        <v>-96.4</v>
      </c>
      <c r="N5" s="115" t="s">
        <v>135</v>
      </c>
      <c r="O5" s="122">
        <f t="shared" si="1"/>
        <v>3025</v>
      </c>
      <c r="P5" s="119">
        <v>4</v>
      </c>
      <c r="Q5" s="103">
        <v>12100</v>
      </c>
    </row>
    <row r="6" spans="1:17" x14ac:dyDescent="0.4">
      <c r="A6" s="55" t="s">
        <v>1</v>
      </c>
      <c r="B6" s="146">
        <f>IF(B$2=0,0,(B$7*1+B$8*2+B$9*3)/B$2)</f>
        <v>2.25</v>
      </c>
      <c r="C6" s="147"/>
      <c r="E6" s="63" t="s">
        <v>66</v>
      </c>
      <c r="F6" s="60" t="s">
        <v>22</v>
      </c>
      <c r="G6" s="47">
        <v>1</v>
      </c>
      <c r="H6" s="133">
        <f t="shared" si="0"/>
        <v>0.1</v>
      </c>
      <c r="I6" s="94">
        <v>8</v>
      </c>
      <c r="K6" s="38">
        <v>4</v>
      </c>
      <c r="L6" s="99">
        <v>-56.2</v>
      </c>
      <c r="N6" s="115" t="s">
        <v>136</v>
      </c>
      <c r="O6" s="122">
        <f t="shared" si="1"/>
        <v>-6000</v>
      </c>
      <c r="P6" s="119">
        <v>3</v>
      </c>
      <c r="Q6" s="103">
        <v>-18000</v>
      </c>
    </row>
    <row r="7" spans="1:17" x14ac:dyDescent="0.4">
      <c r="A7" s="55" t="s">
        <v>2</v>
      </c>
      <c r="B7" s="47">
        <v>1</v>
      </c>
      <c r="C7" s="39">
        <f t="shared" ref="C7:C12" si="2">IF(B$2=0,0,B7/B$2)</f>
        <v>0.25</v>
      </c>
      <c r="E7" s="63" t="s">
        <v>68</v>
      </c>
      <c r="F7" s="60" t="s">
        <v>24</v>
      </c>
      <c r="G7" s="47">
        <v>1</v>
      </c>
      <c r="H7" s="133">
        <f t="shared" si="0"/>
        <v>0.1</v>
      </c>
      <c r="I7" s="94">
        <v>14</v>
      </c>
      <c r="N7" s="116" t="s">
        <v>137</v>
      </c>
      <c r="O7" s="123">
        <f t="shared" si="1"/>
        <v>-5833.333333333333</v>
      </c>
      <c r="P7" s="120">
        <v>3</v>
      </c>
      <c r="Q7" s="104">
        <v>-17500</v>
      </c>
    </row>
    <row r="8" spans="1:17" x14ac:dyDescent="0.4">
      <c r="A8" s="55" t="s">
        <v>3</v>
      </c>
      <c r="B8" s="47">
        <v>1</v>
      </c>
      <c r="C8" s="39">
        <f t="shared" si="2"/>
        <v>0.25</v>
      </c>
      <c r="E8" s="63" t="s">
        <v>69</v>
      </c>
      <c r="F8" s="60" t="s">
        <v>12</v>
      </c>
      <c r="G8" s="47">
        <v>1</v>
      </c>
      <c r="H8" s="133">
        <f t="shared" si="0"/>
        <v>0.1</v>
      </c>
      <c r="I8" s="94">
        <v>15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si="2"/>
        <v>0.5</v>
      </c>
      <c r="E9" s="63" t="s">
        <v>70</v>
      </c>
      <c r="F9" s="60" t="s">
        <v>25</v>
      </c>
      <c r="G9" s="47">
        <v>1</v>
      </c>
      <c r="H9" s="133">
        <f t="shared" si="0"/>
        <v>0.1</v>
      </c>
      <c r="I9" s="94">
        <v>13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 t="shared" si="2"/>
        <v>0.25</v>
      </c>
      <c r="E10" s="63" t="s">
        <v>82</v>
      </c>
      <c r="F10" s="60" t="s">
        <v>37</v>
      </c>
      <c r="G10" s="47">
        <v>1</v>
      </c>
      <c r="H10" s="133">
        <f t="shared" si="0"/>
        <v>0.1</v>
      </c>
      <c r="I10" s="94">
        <v>2</v>
      </c>
      <c r="N10" s="114" t="s">
        <v>164</v>
      </c>
      <c r="O10" s="124">
        <f>IF(P10=0,0,Q10/P10)</f>
        <v>-57.7</v>
      </c>
      <c r="P10" s="118">
        <v>1</v>
      </c>
      <c r="Q10" s="106">
        <v>-57.7</v>
      </c>
    </row>
    <row r="11" spans="1:17" x14ac:dyDescent="0.4">
      <c r="A11" s="56" t="s">
        <v>140</v>
      </c>
      <c r="B11" s="48">
        <v>1</v>
      </c>
      <c r="C11" s="40">
        <f t="shared" si="2"/>
        <v>0.25</v>
      </c>
      <c r="E11" s="63" t="s">
        <v>84</v>
      </c>
      <c r="F11" s="60" t="s">
        <v>39</v>
      </c>
      <c r="G11" s="47">
        <v>1</v>
      </c>
      <c r="H11" s="133">
        <f t="shared" si="0"/>
        <v>0.1</v>
      </c>
      <c r="I11" s="94">
        <v>2</v>
      </c>
      <c r="N11" s="115" t="s">
        <v>165</v>
      </c>
      <c r="O11" s="125">
        <f>IF(P11=0,0,Q11/P11)</f>
        <v>0.50000000000000233</v>
      </c>
      <c r="P11" s="119">
        <v>3</v>
      </c>
      <c r="Q11" s="107">
        <v>1.5000000000000071</v>
      </c>
    </row>
    <row r="12" spans="1:17" x14ac:dyDescent="0.4">
      <c r="A12" s="57" t="s">
        <v>160</v>
      </c>
      <c r="B12" s="49">
        <v>1</v>
      </c>
      <c r="C12" s="42">
        <f t="shared" si="2"/>
        <v>0.25</v>
      </c>
      <c r="E12" s="63" t="s">
        <v>87</v>
      </c>
      <c r="F12" s="60" t="s">
        <v>42</v>
      </c>
      <c r="G12" s="47">
        <v>1</v>
      </c>
      <c r="H12" s="133">
        <f t="shared" si="0"/>
        <v>0.1</v>
      </c>
      <c r="I12" s="94">
        <v>4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7</v>
      </c>
      <c r="C13" s="44">
        <f>IF(B$3=0,0,B13/B$3)</f>
        <v>0.21875</v>
      </c>
      <c r="E13" s="63" t="s">
        <v>90</v>
      </c>
      <c r="F13" s="60" t="s">
        <v>45</v>
      </c>
      <c r="G13" s="47">
        <v>1</v>
      </c>
      <c r="H13" s="133">
        <f t="shared" si="0"/>
        <v>0.1</v>
      </c>
      <c r="I13" s="94">
        <v>11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</v>
      </c>
      <c r="C14" s="39">
        <f>IF(B$3=0,0,B14/B$3)</f>
        <v>0.375</v>
      </c>
      <c r="E14" s="63" t="s">
        <v>71</v>
      </c>
      <c r="F14" s="60" t="s">
        <v>26</v>
      </c>
      <c r="G14" s="47">
        <v>0</v>
      </c>
      <c r="H14" s="133">
        <f t="shared" si="0"/>
        <v>0</v>
      </c>
      <c r="I14" s="94">
        <v>13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0.42857142857142855</v>
      </c>
      <c r="E15" s="63" t="s">
        <v>72</v>
      </c>
      <c r="F15" s="60" t="s">
        <v>27</v>
      </c>
      <c r="G15" s="47">
        <v>0</v>
      </c>
      <c r="H15" s="133">
        <f t="shared" si="0"/>
        <v>0</v>
      </c>
      <c r="I15" s="94">
        <v>13</v>
      </c>
      <c r="N15" s="114" t="s">
        <v>129</v>
      </c>
      <c r="O15" s="124">
        <f>IF(P15=0,0,Q15/P15)</f>
        <v>-5.75</v>
      </c>
      <c r="P15" s="118">
        <v>4</v>
      </c>
      <c r="Q15" s="106">
        <v>-23</v>
      </c>
    </row>
    <row r="16" spans="1:17" x14ac:dyDescent="0.4">
      <c r="A16" s="54" t="s">
        <v>125</v>
      </c>
      <c r="B16" s="46">
        <v>3</v>
      </c>
      <c r="C16" s="37">
        <f>IF(B$14=0,0,B16/B$14)</f>
        <v>0.25</v>
      </c>
      <c r="E16" s="63" t="s">
        <v>74</v>
      </c>
      <c r="F16" s="60" t="s">
        <v>29</v>
      </c>
      <c r="G16" s="47">
        <v>0</v>
      </c>
      <c r="H16" s="133">
        <f t="shared" si="0"/>
        <v>0</v>
      </c>
      <c r="I16" s="94">
        <v>9</v>
      </c>
      <c r="N16" s="115" t="s">
        <v>177</v>
      </c>
      <c r="O16" s="125">
        <f>IF(P16=0,0,Q16/P16)</f>
        <v>-36.400000000000006</v>
      </c>
      <c r="P16" s="119">
        <v>4</v>
      </c>
      <c r="Q16" s="107">
        <v>-145.60000000000002</v>
      </c>
    </row>
    <row r="17" spans="1:9" x14ac:dyDescent="0.4">
      <c r="A17" s="54" t="s">
        <v>10</v>
      </c>
      <c r="B17" s="46">
        <f>B19+B18</f>
        <v>10</v>
      </c>
      <c r="C17" s="37">
        <f>IF(B$3=0,0,B17/B$3)</f>
        <v>0.3125</v>
      </c>
      <c r="E17" s="63" t="s">
        <v>75</v>
      </c>
      <c r="F17" s="60" t="s">
        <v>30</v>
      </c>
      <c r="G17" s="47">
        <v>0</v>
      </c>
      <c r="H17" s="133">
        <f t="shared" si="0"/>
        <v>0</v>
      </c>
      <c r="I17" s="94">
        <v>7</v>
      </c>
    </row>
    <row r="18" spans="1:9" x14ac:dyDescent="0.4">
      <c r="A18" s="55" t="s">
        <v>12</v>
      </c>
      <c r="B18" s="47">
        <v>3</v>
      </c>
      <c r="C18" s="39">
        <f>IF(B$17=0,0,B18/B$17)</f>
        <v>0.3</v>
      </c>
      <c r="E18" s="63" t="s">
        <v>76</v>
      </c>
      <c r="F18" s="60" t="s">
        <v>31</v>
      </c>
      <c r="G18" s="47">
        <v>0</v>
      </c>
      <c r="H18" s="133">
        <f t="shared" si="0"/>
        <v>0</v>
      </c>
      <c r="I18" s="94">
        <v>9</v>
      </c>
    </row>
    <row r="19" spans="1:9" x14ac:dyDescent="0.4">
      <c r="A19" s="55" t="s">
        <v>11</v>
      </c>
      <c r="B19" s="47">
        <v>7</v>
      </c>
      <c r="C19" s="39">
        <f>IF(B$17=0,0,B19/B$17)</f>
        <v>0.7</v>
      </c>
      <c r="E19" s="63" t="s">
        <v>77</v>
      </c>
      <c r="F19" s="60" t="s">
        <v>32</v>
      </c>
      <c r="G19" s="47">
        <v>0</v>
      </c>
      <c r="H19" s="133">
        <f t="shared" si="0"/>
        <v>0</v>
      </c>
      <c r="I19" s="94">
        <v>1</v>
      </c>
    </row>
    <row r="20" spans="1:9" x14ac:dyDescent="0.4">
      <c r="A20" s="55" t="s">
        <v>13</v>
      </c>
      <c r="B20" s="47">
        <v>5</v>
      </c>
      <c r="C20" s="39">
        <f>IF(B$3=0,0,B20/B$3)</f>
        <v>0.15625</v>
      </c>
      <c r="E20" s="63" t="s">
        <v>78</v>
      </c>
      <c r="F20" s="60" t="s">
        <v>33</v>
      </c>
      <c r="G20" s="47">
        <v>0</v>
      </c>
      <c r="H20" s="133">
        <f t="shared" si="0"/>
        <v>0</v>
      </c>
      <c r="I20" s="94">
        <v>9</v>
      </c>
    </row>
    <row r="21" spans="1:9" x14ac:dyDescent="0.4">
      <c r="A21" s="55" t="s">
        <v>191</v>
      </c>
      <c r="B21" s="47">
        <v>4</v>
      </c>
      <c r="C21" s="135">
        <v>4</v>
      </c>
      <c r="E21" s="63" t="s">
        <v>79</v>
      </c>
      <c r="F21" s="60" t="s">
        <v>34</v>
      </c>
      <c r="G21" s="47">
        <v>0</v>
      </c>
      <c r="H21" s="133">
        <f t="shared" si="0"/>
        <v>0</v>
      </c>
      <c r="I21" s="94">
        <v>12</v>
      </c>
    </row>
    <row r="22" spans="1:9" x14ac:dyDescent="0.4">
      <c r="A22" s="55" t="s">
        <v>192</v>
      </c>
      <c r="B22" s="47">
        <v>12</v>
      </c>
      <c r="C22" s="135">
        <v>12</v>
      </c>
      <c r="E22" s="63" t="s">
        <v>80</v>
      </c>
      <c r="F22" s="60" t="s">
        <v>35</v>
      </c>
      <c r="G22" s="47">
        <v>0</v>
      </c>
      <c r="H22" s="133">
        <f t="shared" si="0"/>
        <v>0</v>
      </c>
      <c r="I22" s="94">
        <v>12</v>
      </c>
    </row>
    <row r="23" spans="1:9" x14ac:dyDescent="0.4">
      <c r="A23" s="55" t="s">
        <v>5</v>
      </c>
      <c r="B23" s="51">
        <f>IF(B$17=0,0,C23/B$17)</f>
        <v>4940</v>
      </c>
      <c r="C23" s="41">
        <v>49400</v>
      </c>
      <c r="E23" s="63" t="s">
        <v>81</v>
      </c>
      <c r="F23" s="60" t="s">
        <v>36</v>
      </c>
      <c r="G23" s="47">
        <v>0</v>
      </c>
      <c r="H23" s="133">
        <f t="shared" si="0"/>
        <v>0</v>
      </c>
      <c r="I23" s="94">
        <v>1</v>
      </c>
    </row>
    <row r="24" spans="1:9" x14ac:dyDescent="0.4">
      <c r="A24" s="57" t="s">
        <v>14</v>
      </c>
      <c r="B24" s="52">
        <f>IF(B$20=0,0,C24/B$20)</f>
        <v>-11280</v>
      </c>
      <c r="C24" s="45">
        <v>-56400</v>
      </c>
      <c r="E24" s="63" t="s">
        <v>83</v>
      </c>
      <c r="F24" s="60" t="s">
        <v>38</v>
      </c>
      <c r="G24" s="47">
        <v>0</v>
      </c>
      <c r="H24" s="133">
        <f t="shared" si="0"/>
        <v>0</v>
      </c>
      <c r="I24" s="94">
        <v>1</v>
      </c>
    </row>
    <row r="25" spans="1:9" x14ac:dyDescent="0.4">
      <c r="A25" s="90" t="s">
        <v>142</v>
      </c>
      <c r="B25" s="144">
        <v>2</v>
      </c>
      <c r="C25" s="145"/>
      <c r="E25" s="63" t="s">
        <v>85</v>
      </c>
      <c r="F25" s="60" t="s">
        <v>40</v>
      </c>
      <c r="G25" s="47">
        <v>0</v>
      </c>
      <c r="H25" s="133">
        <f t="shared" si="0"/>
        <v>0</v>
      </c>
      <c r="I25" s="94">
        <v>6</v>
      </c>
    </row>
    <row r="26" spans="1:9" x14ac:dyDescent="0.4">
      <c r="A26" s="58" t="s">
        <v>152</v>
      </c>
      <c r="B26" s="142">
        <v>55200</v>
      </c>
      <c r="C26" s="143"/>
      <c r="E26" s="63" t="s">
        <v>86</v>
      </c>
      <c r="F26" s="60" t="s">
        <v>41</v>
      </c>
      <c r="G26" s="47">
        <v>0</v>
      </c>
      <c r="H26" s="133">
        <f t="shared" si="0"/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 t="shared" si="0"/>
        <v>0</v>
      </c>
      <c r="I27" s="94">
        <v>7</v>
      </c>
    </row>
    <row r="28" spans="1:9" x14ac:dyDescent="0.4">
      <c r="E28" s="63" t="s">
        <v>89</v>
      </c>
      <c r="F28" s="60" t="s">
        <v>44</v>
      </c>
      <c r="G28" s="47">
        <v>0</v>
      </c>
      <c r="H28" s="133">
        <f t="shared" si="0"/>
        <v>0</v>
      </c>
      <c r="I28" s="94">
        <v>5</v>
      </c>
    </row>
    <row r="29" spans="1:9" x14ac:dyDescent="0.4">
      <c r="E29" s="63" t="s">
        <v>91</v>
      </c>
      <c r="F29" s="60" t="s">
        <v>46</v>
      </c>
      <c r="G29" s="47">
        <v>0</v>
      </c>
      <c r="H29" s="133">
        <f t="shared" si="0"/>
        <v>0</v>
      </c>
      <c r="I29" s="94">
        <v>5</v>
      </c>
    </row>
    <row r="30" spans="1:9" x14ac:dyDescent="0.4">
      <c r="E30" s="63" t="s">
        <v>92</v>
      </c>
      <c r="F30" s="60" t="s">
        <v>47</v>
      </c>
      <c r="G30" s="47">
        <v>0</v>
      </c>
      <c r="H30" s="133">
        <f t="shared" si="0"/>
        <v>0</v>
      </c>
      <c r="I30" s="94">
        <v>10</v>
      </c>
    </row>
    <row r="31" spans="1:9" x14ac:dyDescent="0.4">
      <c r="E31" s="63" t="s">
        <v>93</v>
      </c>
      <c r="F31" s="60" t="s">
        <v>48</v>
      </c>
      <c r="G31" s="47">
        <v>0</v>
      </c>
      <c r="H31" s="133">
        <f t="shared" si="0"/>
        <v>0</v>
      </c>
      <c r="I31" s="94">
        <v>7</v>
      </c>
    </row>
    <row r="32" spans="1:9" x14ac:dyDescent="0.4">
      <c r="E32" s="63" t="s">
        <v>94</v>
      </c>
      <c r="F32" s="60" t="s">
        <v>49</v>
      </c>
      <c r="G32" s="47">
        <v>0</v>
      </c>
      <c r="H32" s="133">
        <f t="shared" si="0"/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 t="shared" si="0"/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 t="shared" ref="H34:H65" si="3"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 t="shared" si="3"/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 t="shared" si="3"/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 t="shared" si="3"/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 t="shared" si="3"/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 t="shared" si="3"/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 t="shared" si="3"/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 t="shared" si="3"/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 t="shared" si="3"/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 t="shared" si="3"/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 t="shared" si="3"/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 t="shared" si="3"/>
        <v>0</v>
      </c>
      <c r="I45" s="94">
        <v>3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 t="shared" si="3"/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 t="shared" si="3"/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 t="shared" si="3"/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 t="shared" si="3"/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 t="shared" si="3"/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 t="shared" si="3"/>
        <v>0</v>
      </c>
      <c r="I51" s="139">
        <v>8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 t="shared" si="3"/>
        <v>0</v>
      </c>
      <c r="I52" s="95">
        <v>1</v>
      </c>
    </row>
  </sheetData>
  <sortState xmlns:xlrd2="http://schemas.microsoft.com/office/spreadsheetml/2017/richdata2" ref="N15:Q1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4860F-BC67-4FAB-8315-11C485EEFE68}">
  <sheetPr codeName="Sheet35"/>
  <dimension ref="A1:Q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301</v>
      </c>
      <c r="B1" s="70" t="s">
        <v>301</v>
      </c>
      <c r="C1" s="70" t="s">
        <v>301</v>
      </c>
      <c r="D1" s="71" t="s">
        <v>301</v>
      </c>
      <c r="E1" s="70" t="s">
        <v>301</v>
      </c>
      <c r="F1" s="70" t="s">
        <v>301</v>
      </c>
      <c r="G1" s="70" t="s">
        <v>301</v>
      </c>
      <c r="H1" s="70" t="s">
        <v>301</v>
      </c>
      <c r="I1" s="70" t="s">
        <v>301</v>
      </c>
      <c r="J1" s="70" t="s">
        <v>301</v>
      </c>
      <c r="K1" s="70" t="s">
        <v>301</v>
      </c>
      <c r="L1" s="70" t="s">
        <v>301</v>
      </c>
      <c r="M1" s="70" t="s">
        <v>301</v>
      </c>
      <c r="N1" s="70" t="s">
        <v>301</v>
      </c>
      <c r="O1" s="70" t="s">
        <v>301</v>
      </c>
      <c r="P1" s="70" t="s">
        <v>301</v>
      </c>
      <c r="Q1" s="70" t="s">
        <v>301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-57.7</v>
      </c>
      <c r="C4" s="66">
        <v>-57.7</v>
      </c>
      <c r="D4" s="71">
        <v>3</v>
      </c>
      <c r="E4" s="67">
        <v>0</v>
      </c>
      <c r="F4" s="67">
        <v>1</v>
      </c>
      <c r="G4" s="67">
        <v>0.27272727272727271</v>
      </c>
      <c r="H4" s="67">
        <v>0.36363636363636365</v>
      </c>
      <c r="I4" s="68">
        <v>4566.666666666667</v>
      </c>
      <c r="J4" s="68">
        <v>-11100</v>
      </c>
      <c r="K4" s="67">
        <v>1</v>
      </c>
      <c r="L4" s="67">
        <v>0</v>
      </c>
      <c r="M4" s="67">
        <v>0.18181818181818182</v>
      </c>
      <c r="N4" s="67">
        <v>0.27272727272727271</v>
      </c>
      <c r="O4" s="67">
        <v>0.5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-94.5</v>
      </c>
      <c r="C5" s="66">
        <v>-47.25</v>
      </c>
      <c r="D5" s="71">
        <v>3</v>
      </c>
      <c r="E5" s="67">
        <v>0</v>
      </c>
      <c r="F5" s="67">
        <v>1</v>
      </c>
      <c r="G5" s="67">
        <v>0.17647058823529413</v>
      </c>
      <c r="H5" s="67">
        <v>0.23529411764705882</v>
      </c>
      <c r="I5" s="68">
        <v>4566.666666666667</v>
      </c>
      <c r="J5" s="68">
        <v>-11100</v>
      </c>
      <c r="K5" s="67">
        <v>0.5</v>
      </c>
      <c r="L5" s="67">
        <v>0</v>
      </c>
      <c r="M5" s="67">
        <v>0.23529411764705882</v>
      </c>
      <c r="N5" s="67">
        <v>0.35294117647058826</v>
      </c>
      <c r="O5" s="67">
        <v>0.25</v>
      </c>
      <c r="P5" s="67">
        <v>0</v>
      </c>
      <c r="Q5" s="67">
        <v>0.33333333333333331</v>
      </c>
    </row>
    <row r="6" spans="1:17" x14ac:dyDescent="0.4">
      <c r="A6" s="69">
        <v>3</v>
      </c>
      <c r="B6" s="66">
        <v>-96.4</v>
      </c>
      <c r="C6" s="66">
        <v>-32.133333333333333</v>
      </c>
      <c r="D6" s="71">
        <v>2.6666666666666665</v>
      </c>
      <c r="E6" s="67">
        <v>0</v>
      </c>
      <c r="F6" s="67">
        <v>0.66666666666666663</v>
      </c>
      <c r="G6" s="67">
        <v>0.24</v>
      </c>
      <c r="H6" s="67">
        <v>0.2</v>
      </c>
      <c r="I6" s="68">
        <v>5616.666666666667</v>
      </c>
      <c r="J6" s="68">
        <v>-11280</v>
      </c>
      <c r="K6" s="67">
        <v>0.33333333333333331</v>
      </c>
      <c r="L6" s="67">
        <v>0</v>
      </c>
      <c r="M6" s="67">
        <v>0.24</v>
      </c>
      <c r="N6" s="67">
        <v>0.36</v>
      </c>
      <c r="O6" s="67">
        <v>0.5</v>
      </c>
      <c r="P6" s="67">
        <v>0.1111111111111111</v>
      </c>
      <c r="Q6" s="67">
        <v>0.33333333333333331</v>
      </c>
    </row>
    <row r="7" spans="1:17" x14ac:dyDescent="0.4">
      <c r="A7" s="69">
        <v>4</v>
      </c>
      <c r="B7" s="66">
        <v>-56.2</v>
      </c>
      <c r="C7" s="66">
        <v>-14.05</v>
      </c>
      <c r="D7" s="71">
        <v>2.25</v>
      </c>
      <c r="E7" s="67">
        <v>0.25</v>
      </c>
      <c r="F7" s="67">
        <v>0.5</v>
      </c>
      <c r="G7" s="67">
        <v>0.3125</v>
      </c>
      <c r="H7" s="67">
        <v>0.15625</v>
      </c>
      <c r="I7" s="68">
        <v>4940</v>
      </c>
      <c r="J7" s="68">
        <v>-11280</v>
      </c>
      <c r="K7" s="67">
        <v>0.25</v>
      </c>
      <c r="L7" s="67">
        <v>0.25</v>
      </c>
      <c r="M7" s="67">
        <v>0.21875</v>
      </c>
      <c r="N7" s="67">
        <v>0.375</v>
      </c>
      <c r="O7" s="67">
        <v>0.42857142857142855</v>
      </c>
      <c r="P7" s="67">
        <v>0.25</v>
      </c>
      <c r="Q7" s="67">
        <v>0.3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40799-FC5C-4FE2-B91C-CA2574E3268C}">
  <sheetPr codeName="Sheet33"/>
  <dimension ref="A1:Q1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271</v>
      </c>
      <c r="B1" s="70" t="s">
        <v>271</v>
      </c>
      <c r="C1" s="70" t="s">
        <v>271</v>
      </c>
      <c r="D1" s="71" t="s">
        <v>271</v>
      </c>
      <c r="E1" s="70" t="s">
        <v>271</v>
      </c>
      <c r="F1" s="70" t="s">
        <v>271</v>
      </c>
      <c r="G1" s="70" t="s">
        <v>271</v>
      </c>
      <c r="H1" s="70" t="s">
        <v>271</v>
      </c>
      <c r="I1" s="70" t="s">
        <v>271</v>
      </c>
      <c r="J1" s="70" t="s">
        <v>271</v>
      </c>
      <c r="K1" s="70" t="s">
        <v>271</v>
      </c>
      <c r="L1" s="70" t="s">
        <v>271</v>
      </c>
      <c r="M1" s="70" t="s">
        <v>271</v>
      </c>
      <c r="N1" s="70" t="s">
        <v>271</v>
      </c>
      <c r="O1" s="70" t="s">
        <v>271</v>
      </c>
      <c r="P1" s="70" t="s">
        <v>271</v>
      </c>
      <c r="Q1" s="70" t="s">
        <v>271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-43.2</v>
      </c>
      <c r="C4" s="66">
        <v>-43.2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0.14285714285714285</v>
      </c>
      <c r="I4" s="68">
        <v>3900</v>
      </c>
      <c r="J4" s="68">
        <v>-3200</v>
      </c>
      <c r="K4" s="67">
        <v>0</v>
      </c>
      <c r="L4" s="67">
        <v>0</v>
      </c>
      <c r="M4" s="67">
        <v>0</v>
      </c>
      <c r="N4" s="67">
        <v>0.2857142857142857</v>
      </c>
      <c r="O4" s="67">
        <v>0</v>
      </c>
      <c r="P4" s="67">
        <v>0.5</v>
      </c>
      <c r="Q4" s="67">
        <v>0</v>
      </c>
    </row>
    <row r="5" spans="1:17" x14ac:dyDescent="0.4">
      <c r="A5" s="69">
        <v>2</v>
      </c>
      <c r="B5" s="66">
        <v>-96.5</v>
      </c>
      <c r="C5" s="66">
        <v>-48.25</v>
      </c>
      <c r="D5" s="71">
        <v>3</v>
      </c>
      <c r="E5" s="67">
        <v>0</v>
      </c>
      <c r="F5" s="67">
        <v>1</v>
      </c>
      <c r="G5" s="67">
        <v>0.19047619047619047</v>
      </c>
      <c r="H5" s="67">
        <v>0.23809523809523808</v>
      </c>
      <c r="I5" s="68">
        <v>4475</v>
      </c>
      <c r="J5" s="68">
        <v>-6140</v>
      </c>
      <c r="K5" s="67">
        <v>0</v>
      </c>
      <c r="L5" s="67">
        <v>0</v>
      </c>
      <c r="M5" s="67">
        <v>4.7619047619047616E-2</v>
      </c>
      <c r="N5" s="67">
        <v>0.47619047619047616</v>
      </c>
      <c r="O5" s="67">
        <v>1</v>
      </c>
      <c r="P5" s="67">
        <v>0.2</v>
      </c>
      <c r="Q5" s="67">
        <v>0.25</v>
      </c>
    </row>
    <row r="6" spans="1:17" x14ac:dyDescent="0.4">
      <c r="A6" s="69">
        <v>3</v>
      </c>
      <c r="B6" s="66">
        <v>-151.9</v>
      </c>
      <c r="C6" s="66">
        <v>-50.633333333333333</v>
      </c>
      <c r="D6" s="71">
        <v>3</v>
      </c>
      <c r="E6" s="67">
        <v>0</v>
      </c>
      <c r="F6" s="67">
        <v>1</v>
      </c>
      <c r="G6" s="67">
        <v>0.16</v>
      </c>
      <c r="H6" s="67">
        <v>0.28000000000000003</v>
      </c>
      <c r="I6" s="68">
        <v>4475</v>
      </c>
      <c r="J6" s="68">
        <v>-6514.2857142857147</v>
      </c>
      <c r="K6" s="67">
        <v>0.33333333333333331</v>
      </c>
      <c r="L6" s="67">
        <v>0</v>
      </c>
      <c r="M6" s="67">
        <v>0.04</v>
      </c>
      <c r="N6" s="67">
        <v>0.48</v>
      </c>
      <c r="O6" s="67">
        <v>1</v>
      </c>
      <c r="P6" s="67">
        <v>0.16666666666666666</v>
      </c>
      <c r="Q6" s="67">
        <v>0.25</v>
      </c>
    </row>
    <row r="7" spans="1:17" x14ac:dyDescent="0.4">
      <c r="A7" s="69">
        <v>4</v>
      </c>
      <c r="B7" s="66">
        <v>-134.1</v>
      </c>
      <c r="C7" s="66">
        <v>-33.524999999999999</v>
      </c>
      <c r="D7" s="71">
        <v>2.75</v>
      </c>
      <c r="E7" s="67">
        <v>0</v>
      </c>
      <c r="F7" s="67">
        <v>0.75</v>
      </c>
      <c r="G7" s="67">
        <v>0.2</v>
      </c>
      <c r="H7" s="67">
        <v>0.22857142857142856</v>
      </c>
      <c r="I7" s="68">
        <v>5157.1428571428569</v>
      </c>
      <c r="J7" s="68">
        <v>-6187.5</v>
      </c>
      <c r="K7" s="67">
        <v>0.25</v>
      </c>
      <c r="L7" s="67">
        <v>0</v>
      </c>
      <c r="M7" s="67">
        <v>5.7142857142857141E-2</v>
      </c>
      <c r="N7" s="67">
        <v>0.4</v>
      </c>
      <c r="O7" s="67">
        <v>1</v>
      </c>
      <c r="P7" s="67">
        <v>0.21428571428571427</v>
      </c>
      <c r="Q7" s="67">
        <v>0.42857142857142855</v>
      </c>
    </row>
    <row r="8" spans="1:17" x14ac:dyDescent="0.4">
      <c r="A8" s="69">
        <v>5</v>
      </c>
      <c r="B8" s="66">
        <v>-152</v>
      </c>
      <c r="C8" s="66">
        <v>-30.4</v>
      </c>
      <c r="D8" s="71">
        <v>2.6</v>
      </c>
      <c r="E8" s="67">
        <v>0</v>
      </c>
      <c r="F8" s="67">
        <v>0.6</v>
      </c>
      <c r="G8" s="67">
        <v>0.24444444444444444</v>
      </c>
      <c r="H8" s="67">
        <v>0.2</v>
      </c>
      <c r="I8" s="68">
        <v>6727.272727272727</v>
      </c>
      <c r="J8" s="68">
        <v>-6077.7777777777774</v>
      </c>
      <c r="K8" s="67">
        <v>0.2</v>
      </c>
      <c r="L8" s="67">
        <v>0</v>
      </c>
      <c r="M8" s="67">
        <v>0.13333333333333333</v>
      </c>
      <c r="N8" s="67">
        <v>0.35555555555555557</v>
      </c>
      <c r="O8" s="67">
        <v>0.83333333333333337</v>
      </c>
      <c r="P8" s="67">
        <v>0.25</v>
      </c>
      <c r="Q8" s="67">
        <v>0.36363636363636365</v>
      </c>
    </row>
    <row r="9" spans="1:17" x14ac:dyDescent="0.4">
      <c r="A9" s="69">
        <v>6</v>
      </c>
      <c r="B9" s="66">
        <v>-201.8</v>
      </c>
      <c r="C9" s="66">
        <v>-33.633333333333333</v>
      </c>
      <c r="D9" s="71">
        <v>2.6666666666666665</v>
      </c>
      <c r="E9" s="67">
        <v>0</v>
      </c>
      <c r="F9" s="67">
        <v>0.66666666666666663</v>
      </c>
      <c r="G9" s="67">
        <v>0.25</v>
      </c>
      <c r="H9" s="67">
        <v>0.21428571428571427</v>
      </c>
      <c r="I9" s="68">
        <v>6614.2857142857147</v>
      </c>
      <c r="J9" s="68">
        <v>-6825</v>
      </c>
      <c r="K9" s="67">
        <v>0.16666666666666666</v>
      </c>
      <c r="L9" s="67">
        <v>0</v>
      </c>
      <c r="M9" s="67">
        <v>0.17857142857142858</v>
      </c>
      <c r="N9" s="67">
        <v>0.35714285714285715</v>
      </c>
      <c r="O9" s="67">
        <v>0.7</v>
      </c>
      <c r="P9" s="67">
        <v>0.25</v>
      </c>
      <c r="Q9" s="67">
        <v>0.42857142857142855</v>
      </c>
    </row>
    <row r="10" spans="1:17" x14ac:dyDescent="0.4">
      <c r="A10" s="69">
        <v>7</v>
      </c>
      <c r="B10" s="66">
        <v>-255.8</v>
      </c>
      <c r="C10" s="66">
        <v>-36.542857142857144</v>
      </c>
      <c r="D10" s="71">
        <v>2.7142857142857144</v>
      </c>
      <c r="E10" s="67">
        <v>0</v>
      </c>
      <c r="F10" s="67">
        <v>0.7142857142857143</v>
      </c>
      <c r="G10" s="67">
        <v>0.23809523809523808</v>
      </c>
      <c r="H10" s="67">
        <v>0.23809523809523808</v>
      </c>
      <c r="I10" s="68">
        <v>6706.666666666667</v>
      </c>
      <c r="J10" s="68">
        <v>-7593.333333333333</v>
      </c>
      <c r="K10" s="67">
        <v>0.14285714285714285</v>
      </c>
      <c r="L10" s="67">
        <v>0</v>
      </c>
      <c r="M10" s="67">
        <v>0.17460317460317459</v>
      </c>
      <c r="N10" s="67">
        <v>0.33333333333333331</v>
      </c>
      <c r="O10" s="67">
        <v>0.72727272727272729</v>
      </c>
      <c r="P10" s="67">
        <v>0.23809523809523808</v>
      </c>
      <c r="Q10" s="67">
        <v>0.4</v>
      </c>
    </row>
    <row r="11" spans="1:17" x14ac:dyDescent="0.4">
      <c r="A11" s="69">
        <v>8</v>
      </c>
      <c r="B11" s="66">
        <v>-289.8</v>
      </c>
      <c r="C11" s="66">
        <v>-36.225000000000001</v>
      </c>
      <c r="D11" s="71">
        <v>2.75</v>
      </c>
      <c r="E11" s="67">
        <v>0</v>
      </c>
      <c r="F11" s="67">
        <v>0.75</v>
      </c>
      <c r="G11" s="67">
        <v>0.2361111111111111</v>
      </c>
      <c r="H11" s="67">
        <v>0.2638888888888889</v>
      </c>
      <c r="I11" s="68">
        <v>6776.4705882352937</v>
      </c>
      <c r="J11" s="68">
        <v>-7089.4736842105267</v>
      </c>
      <c r="K11" s="67">
        <v>0.125</v>
      </c>
      <c r="L11" s="67">
        <v>0</v>
      </c>
      <c r="M11" s="67">
        <v>0.18055555555555555</v>
      </c>
      <c r="N11" s="67">
        <v>0.33333333333333331</v>
      </c>
      <c r="O11" s="67">
        <v>0.69230769230769229</v>
      </c>
      <c r="P11" s="67">
        <v>0.25</v>
      </c>
      <c r="Q11" s="67">
        <v>0.41176470588235292</v>
      </c>
    </row>
    <row r="12" spans="1:17" x14ac:dyDescent="0.4">
      <c r="A12" s="69">
        <v>9</v>
      </c>
      <c r="B12" s="66">
        <v>-292.60000000000002</v>
      </c>
      <c r="C12" s="66">
        <v>-32.511111111111113</v>
      </c>
      <c r="D12" s="71">
        <v>2.6666666666666665</v>
      </c>
      <c r="E12" s="67">
        <v>0</v>
      </c>
      <c r="F12" s="67">
        <v>0.66666666666666663</v>
      </c>
      <c r="G12" s="67">
        <v>0.23749999999999999</v>
      </c>
      <c r="H12" s="67">
        <v>0.26250000000000001</v>
      </c>
      <c r="I12" s="68">
        <v>6821.0526315789475</v>
      </c>
      <c r="J12" s="68">
        <v>-7042.8571428571431</v>
      </c>
      <c r="K12" s="67">
        <v>0.1111111111111111</v>
      </c>
      <c r="L12" s="67">
        <v>0</v>
      </c>
      <c r="M12" s="67">
        <v>0.17499999999999999</v>
      </c>
      <c r="N12" s="67">
        <v>0.3</v>
      </c>
      <c r="O12" s="67">
        <v>0.7142857142857143</v>
      </c>
      <c r="P12" s="67">
        <v>0.25</v>
      </c>
      <c r="Q12" s="67">
        <v>0.42105263157894735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2B2EF-74EA-4908-84BD-D4C65E1A1FF5}">
  <sheetPr codeName="Sheet3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  <row r="6" spans="1:17" x14ac:dyDescent="0.4">
      <c r="A6" s="69">
        <v>3</v>
      </c>
      <c r="B6" s="66">
        <v>14.500000000000004</v>
      </c>
      <c r="C6" s="66">
        <v>4.8333333333333348</v>
      </c>
      <c r="D6" s="71">
        <v>2</v>
      </c>
      <c r="E6" s="67">
        <v>0.33333333333333331</v>
      </c>
      <c r="F6" s="67">
        <v>0.33333333333333331</v>
      </c>
      <c r="G6" s="67">
        <v>0.33333333333333331</v>
      </c>
      <c r="H6" s="67">
        <v>0.16666666666666666</v>
      </c>
      <c r="I6" s="68">
        <v>9270</v>
      </c>
      <c r="J6" s="68">
        <v>-11540</v>
      </c>
      <c r="K6" s="67">
        <v>0</v>
      </c>
      <c r="L6" s="67">
        <v>0</v>
      </c>
      <c r="M6" s="67">
        <v>0.13333333333333333</v>
      </c>
      <c r="N6" s="67">
        <v>0.33333333333333331</v>
      </c>
      <c r="O6" s="67">
        <v>0.75</v>
      </c>
      <c r="P6" s="67">
        <v>0.6</v>
      </c>
      <c r="Q6" s="67">
        <v>0.7</v>
      </c>
    </row>
    <row r="7" spans="1:17" x14ac:dyDescent="0.4">
      <c r="A7" s="69">
        <v>4</v>
      </c>
      <c r="B7" s="66">
        <v>-37.200000000000003</v>
      </c>
      <c r="C7" s="66">
        <v>-9.3000000000000007</v>
      </c>
      <c r="D7" s="71">
        <v>2.25</v>
      </c>
      <c r="E7" s="67">
        <v>0.25</v>
      </c>
      <c r="F7" s="67">
        <v>0.5</v>
      </c>
      <c r="G7" s="67">
        <v>0.26315789473684209</v>
      </c>
      <c r="H7" s="67">
        <v>0.15789473684210525</v>
      </c>
      <c r="I7" s="68">
        <v>9270</v>
      </c>
      <c r="J7" s="68">
        <v>-10583.333333333334</v>
      </c>
      <c r="K7" s="67">
        <v>0</v>
      </c>
      <c r="L7" s="67">
        <v>0</v>
      </c>
      <c r="M7" s="67">
        <v>0.13157894736842105</v>
      </c>
      <c r="N7" s="67">
        <v>0.36842105263157893</v>
      </c>
      <c r="O7" s="67">
        <v>0.6</v>
      </c>
      <c r="P7" s="67">
        <v>0.42857142857142855</v>
      </c>
      <c r="Q7" s="67">
        <v>0.7</v>
      </c>
    </row>
    <row r="8" spans="1:17" x14ac:dyDescent="0.4">
      <c r="A8" s="69">
        <v>5</v>
      </c>
      <c r="B8" s="66">
        <v>39.899999999999991</v>
      </c>
      <c r="C8" s="66">
        <v>7.9799999999999986</v>
      </c>
      <c r="D8" s="71">
        <v>2</v>
      </c>
      <c r="E8" s="67">
        <v>0.4</v>
      </c>
      <c r="F8" s="67">
        <v>0.4</v>
      </c>
      <c r="G8" s="67">
        <v>0.30952380952380953</v>
      </c>
      <c r="H8" s="67">
        <v>0.14285714285714285</v>
      </c>
      <c r="I8" s="68">
        <v>11253.846153846154</v>
      </c>
      <c r="J8" s="68">
        <v>-10583.333333333334</v>
      </c>
      <c r="K8" s="67">
        <v>0</v>
      </c>
      <c r="L8" s="67">
        <v>0.2</v>
      </c>
      <c r="M8" s="67">
        <v>0.14285714285714285</v>
      </c>
      <c r="N8" s="67">
        <v>0.38095238095238093</v>
      </c>
      <c r="O8" s="67">
        <v>0.66666666666666663</v>
      </c>
      <c r="P8" s="67">
        <v>0.5</v>
      </c>
      <c r="Q8" s="67">
        <v>0.69230769230769229</v>
      </c>
    </row>
    <row r="9" spans="1:17" x14ac:dyDescent="0.4">
      <c r="A9" s="69">
        <v>6</v>
      </c>
      <c r="B9" s="66">
        <v>100.39999999999999</v>
      </c>
      <c r="C9" s="66">
        <v>16.733333333333331</v>
      </c>
      <c r="D9" s="71">
        <v>1.8333333333333333</v>
      </c>
      <c r="E9" s="67">
        <v>0.5</v>
      </c>
      <c r="F9" s="67">
        <v>0.33333333333333331</v>
      </c>
      <c r="G9" s="67">
        <v>0.34782608695652173</v>
      </c>
      <c r="H9" s="67">
        <v>0.13043478260869565</v>
      </c>
      <c r="I9" s="68">
        <v>12143.75</v>
      </c>
      <c r="J9" s="68">
        <v>-10583.333333333334</v>
      </c>
      <c r="K9" s="67">
        <v>0</v>
      </c>
      <c r="L9" s="67">
        <v>0.33333333333333331</v>
      </c>
      <c r="M9" s="67">
        <v>0.15217391304347827</v>
      </c>
      <c r="N9" s="67">
        <v>0.36956521739130432</v>
      </c>
      <c r="O9" s="67">
        <v>0.7142857142857143</v>
      </c>
      <c r="P9" s="67">
        <v>0.52941176470588236</v>
      </c>
      <c r="Q9" s="67">
        <v>0.625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2BFF5-D1A0-42E2-9EEF-47ADC4CEAD73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30BFF-CD55-45A7-87BD-2C726C440E8E}">
  <sheetPr codeName="Sheet26"/>
  <dimension ref="A1:Q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109.39999999999999</v>
      </c>
      <c r="C13" s="66">
        <v>10.94</v>
      </c>
      <c r="D13" s="71">
        <v>1.8</v>
      </c>
      <c r="E13" s="67">
        <v>0.3</v>
      </c>
      <c r="F13" s="67">
        <v>0.1</v>
      </c>
      <c r="G13" s="67">
        <v>0.38297872340425532</v>
      </c>
      <c r="H13" s="67">
        <v>0.1702127659574468</v>
      </c>
      <c r="I13" s="68">
        <v>7680.5555555555557</v>
      </c>
      <c r="J13" s="68">
        <v>-6831.25</v>
      </c>
      <c r="K13" s="67">
        <v>0</v>
      </c>
      <c r="L13" s="67">
        <v>0.1</v>
      </c>
      <c r="M13" s="67">
        <v>0.24468085106382978</v>
      </c>
      <c r="N13" s="67">
        <v>0.31914893617021278</v>
      </c>
      <c r="O13" s="67">
        <v>0.69565217391304346</v>
      </c>
      <c r="P13" s="67">
        <v>0.53333333333333333</v>
      </c>
      <c r="Q13" s="67">
        <v>0.63888888888888884</v>
      </c>
    </row>
    <row r="14" spans="1:17" x14ac:dyDescent="0.4">
      <c r="A14" s="69">
        <v>11</v>
      </c>
      <c r="B14" s="66">
        <v>100.69999999999999</v>
      </c>
      <c r="C14" s="66">
        <v>9.1545454545454543</v>
      </c>
      <c r="D14" s="71">
        <v>1.8181818181818181</v>
      </c>
      <c r="E14" s="67">
        <v>0.27272727272727271</v>
      </c>
      <c r="F14" s="67">
        <v>9.0909090909090912E-2</v>
      </c>
      <c r="G14" s="67">
        <v>0.38613861386138615</v>
      </c>
      <c r="H14" s="67">
        <v>0.17821782178217821</v>
      </c>
      <c r="I14" s="68">
        <v>7551.2820512820517</v>
      </c>
      <c r="J14" s="68">
        <v>-7388.8888888888887</v>
      </c>
      <c r="K14" s="67">
        <v>0</v>
      </c>
      <c r="L14" s="67">
        <v>9.0909090909090912E-2</v>
      </c>
      <c r="M14" s="67">
        <v>0.22772277227722773</v>
      </c>
      <c r="N14" s="67">
        <v>0.34653465346534651</v>
      </c>
      <c r="O14" s="67">
        <v>0.69565217391304346</v>
      </c>
      <c r="P14" s="67">
        <v>0.51428571428571423</v>
      </c>
      <c r="Q14" s="67">
        <v>0.61538461538461542</v>
      </c>
    </row>
    <row r="15" spans="1:17" x14ac:dyDescent="0.4">
      <c r="A15" s="69">
        <v>12</v>
      </c>
      <c r="B15" s="66">
        <v>45.599999999999987</v>
      </c>
      <c r="C15" s="66">
        <v>3.7999999999999989</v>
      </c>
      <c r="D15" s="71">
        <v>1.9166666666666667</v>
      </c>
      <c r="E15" s="67">
        <v>0.25</v>
      </c>
      <c r="F15" s="67">
        <v>0.16666666666666666</v>
      </c>
      <c r="G15" s="67">
        <v>0.3783783783783784</v>
      </c>
      <c r="H15" s="67">
        <v>0.18018018018018017</v>
      </c>
      <c r="I15" s="68">
        <v>7535.7142857142853</v>
      </c>
      <c r="J15" s="68">
        <v>-8280</v>
      </c>
      <c r="K15" s="67">
        <v>8.3333333333333329E-2</v>
      </c>
      <c r="L15" s="67">
        <v>8.3333333333333329E-2</v>
      </c>
      <c r="M15" s="67">
        <v>0.22522522522522523</v>
      </c>
      <c r="N15" s="67">
        <v>0.34234234234234234</v>
      </c>
      <c r="O15" s="67">
        <v>0.72</v>
      </c>
      <c r="P15" s="67">
        <v>0.47368421052631576</v>
      </c>
      <c r="Q15" s="67">
        <v>0.61904761904761907</v>
      </c>
    </row>
    <row r="16" spans="1:17" x14ac:dyDescent="0.4">
      <c r="A16" s="69">
        <v>13</v>
      </c>
      <c r="B16" s="66">
        <v>83.299999999999983</v>
      </c>
      <c r="C16" s="66">
        <v>6.4076923076923062</v>
      </c>
      <c r="D16" s="71">
        <v>1.8461538461538463</v>
      </c>
      <c r="E16" s="67">
        <v>0.30769230769230771</v>
      </c>
      <c r="F16" s="67">
        <v>0.15384615384615385</v>
      </c>
      <c r="G16" s="67">
        <v>0.36585365853658536</v>
      </c>
      <c r="H16" s="67">
        <v>0.17073170731707318</v>
      </c>
      <c r="I16" s="68">
        <v>7880</v>
      </c>
      <c r="J16" s="68">
        <v>-8071.4285714285716</v>
      </c>
      <c r="K16" s="67">
        <v>7.6923076923076927E-2</v>
      </c>
      <c r="L16" s="67">
        <v>7.6923076923076927E-2</v>
      </c>
      <c r="M16" s="67">
        <v>0.23577235772357724</v>
      </c>
      <c r="N16" s="67">
        <v>0.32520325203252032</v>
      </c>
      <c r="O16" s="67">
        <v>0.68965517241379315</v>
      </c>
      <c r="P16" s="67">
        <v>0.45</v>
      </c>
      <c r="Q16" s="67">
        <v>0.62222222222222223</v>
      </c>
    </row>
    <row r="17" spans="1:17" x14ac:dyDescent="0.4">
      <c r="A17" s="69">
        <v>14</v>
      </c>
      <c r="B17" s="66">
        <v>114.99999999999999</v>
      </c>
      <c r="C17" s="66">
        <v>8.2142857142857135</v>
      </c>
      <c r="D17" s="71">
        <v>1.7857142857142858</v>
      </c>
      <c r="E17" s="67">
        <v>0.35714285714285715</v>
      </c>
      <c r="F17" s="67">
        <v>0.14285714285714285</v>
      </c>
      <c r="G17" s="67">
        <v>0.36363636363636365</v>
      </c>
      <c r="H17" s="67">
        <v>0.15909090909090909</v>
      </c>
      <c r="I17" s="68">
        <v>7858.333333333333</v>
      </c>
      <c r="J17" s="68">
        <v>-8071.4285714285716</v>
      </c>
      <c r="K17" s="67">
        <v>7.1428571428571425E-2</v>
      </c>
      <c r="L17" s="67">
        <v>7.1428571428571425E-2</v>
      </c>
      <c r="M17" s="67">
        <v>0.22727272727272727</v>
      </c>
      <c r="N17" s="67">
        <v>0.34090909090909088</v>
      </c>
      <c r="O17" s="67">
        <v>0.66666666666666663</v>
      </c>
      <c r="P17" s="67">
        <v>0.46666666666666667</v>
      </c>
      <c r="Q17" s="67">
        <v>0.60416666666666663</v>
      </c>
    </row>
    <row r="18" spans="1:17" x14ac:dyDescent="0.4">
      <c r="A18" s="69">
        <v>15</v>
      </c>
      <c r="B18" s="66">
        <v>157.69999999999999</v>
      </c>
      <c r="C18" s="66">
        <v>10.513333333333332</v>
      </c>
      <c r="D18" s="71">
        <v>1.7333333333333334</v>
      </c>
      <c r="E18" s="67">
        <v>0.4</v>
      </c>
      <c r="F18" s="67">
        <v>0.13333333333333333</v>
      </c>
      <c r="G18" s="67">
        <v>0.36690647482014388</v>
      </c>
      <c r="H18" s="67">
        <v>0.15827338129496402</v>
      </c>
      <c r="I18" s="68">
        <v>7968.6274509803925</v>
      </c>
      <c r="J18" s="68">
        <v>-8068.181818181818</v>
      </c>
      <c r="K18" s="67">
        <v>6.6666666666666666E-2</v>
      </c>
      <c r="L18" s="67">
        <v>6.6666666666666666E-2</v>
      </c>
      <c r="M18" s="67">
        <v>0.22302158273381295</v>
      </c>
      <c r="N18" s="67">
        <v>0.34532374100719426</v>
      </c>
      <c r="O18" s="67">
        <v>0.67741935483870963</v>
      </c>
      <c r="P18" s="67">
        <v>0.45833333333333331</v>
      </c>
      <c r="Q18" s="67">
        <v>0.60784313725490191</v>
      </c>
    </row>
    <row r="19" spans="1:17" x14ac:dyDescent="0.4">
      <c r="A19" s="69">
        <v>16</v>
      </c>
      <c r="B19" s="66">
        <v>99.6</v>
      </c>
      <c r="C19" s="66">
        <v>6.2249999999999996</v>
      </c>
      <c r="D19" s="71">
        <v>1.8125</v>
      </c>
      <c r="E19" s="67">
        <v>0.375</v>
      </c>
      <c r="F19" s="67">
        <v>0.1875</v>
      </c>
      <c r="G19" s="67">
        <v>0.35333333333333333</v>
      </c>
      <c r="H19" s="67">
        <v>0.16666666666666666</v>
      </c>
      <c r="I19" s="68">
        <v>8041.5094339622638</v>
      </c>
      <c r="J19" s="68">
        <v>-8416</v>
      </c>
      <c r="K19" s="67">
        <v>0.125</v>
      </c>
      <c r="L19" s="67">
        <v>6.25E-2</v>
      </c>
      <c r="M19" s="67">
        <v>0.24</v>
      </c>
      <c r="N19" s="67">
        <v>0.33333333333333331</v>
      </c>
      <c r="O19" s="67">
        <v>0.63888888888888884</v>
      </c>
      <c r="P19" s="67">
        <v>0.44</v>
      </c>
      <c r="Q19" s="67">
        <v>0.60377358490566035</v>
      </c>
    </row>
    <row r="20" spans="1:17" x14ac:dyDescent="0.4">
      <c r="A20" s="69">
        <v>17</v>
      </c>
      <c r="B20" s="66">
        <v>112.39999999999999</v>
      </c>
      <c r="C20" s="66">
        <v>6.6117647058823525</v>
      </c>
      <c r="D20" s="71">
        <v>1.8235294117647058</v>
      </c>
      <c r="E20" s="67">
        <v>0.35294117647058826</v>
      </c>
      <c r="F20" s="67">
        <v>0.17647058823529413</v>
      </c>
      <c r="G20" s="67">
        <v>0.35714285714285715</v>
      </c>
      <c r="H20" s="67">
        <v>0.16233766233766234</v>
      </c>
      <c r="I20" s="68">
        <v>8063.636363636364</v>
      </c>
      <c r="J20" s="68">
        <v>-8416</v>
      </c>
      <c r="K20" s="67">
        <v>0.11764705882352941</v>
      </c>
      <c r="L20" s="67">
        <v>5.8823529411764705E-2</v>
      </c>
      <c r="M20" s="67">
        <v>0.24025974025974026</v>
      </c>
      <c r="N20" s="67">
        <v>0.32467532467532467</v>
      </c>
      <c r="O20" s="67">
        <v>0.64864864864864868</v>
      </c>
      <c r="P20" s="67">
        <v>0.44</v>
      </c>
      <c r="Q20" s="67">
        <v>0.6</v>
      </c>
    </row>
    <row r="21" spans="1:17" x14ac:dyDescent="0.4">
      <c r="A21" s="69">
        <v>18</v>
      </c>
      <c r="B21" s="66">
        <v>45.399999999999991</v>
      </c>
      <c r="C21" s="66">
        <v>2.5222222222222217</v>
      </c>
      <c r="D21" s="71">
        <v>1.8888888888888888</v>
      </c>
      <c r="E21" s="67">
        <v>0.33333333333333331</v>
      </c>
      <c r="F21" s="67">
        <v>0.22222222222222221</v>
      </c>
      <c r="G21" s="67">
        <v>0.33536585365853661</v>
      </c>
      <c r="H21" s="67">
        <v>0.17073170731707318</v>
      </c>
      <c r="I21" s="68">
        <v>8063.636363636364</v>
      </c>
      <c r="J21" s="68">
        <v>-8367.8571428571431</v>
      </c>
      <c r="K21" s="67">
        <v>0.16666666666666666</v>
      </c>
      <c r="L21" s="67">
        <v>5.5555555555555552E-2</v>
      </c>
      <c r="M21" s="67">
        <v>0.23170731707317074</v>
      </c>
      <c r="N21" s="67">
        <v>0.31707317073170732</v>
      </c>
      <c r="O21" s="67">
        <v>0.63157894736842102</v>
      </c>
      <c r="P21" s="67">
        <v>0.42307692307692307</v>
      </c>
      <c r="Q21" s="67">
        <v>0.6</v>
      </c>
    </row>
    <row r="22" spans="1:17" x14ac:dyDescent="0.4">
      <c r="A22" s="69">
        <v>19</v>
      </c>
      <c r="B22" s="66">
        <v>94.299999999999983</v>
      </c>
      <c r="C22" s="66">
        <v>4.9631578947368409</v>
      </c>
      <c r="D22" s="71">
        <v>1.8421052631578947</v>
      </c>
      <c r="E22" s="67">
        <v>0.36842105263157893</v>
      </c>
      <c r="F22" s="67">
        <v>0.21052631578947367</v>
      </c>
      <c r="G22" s="67">
        <v>0.34285714285714286</v>
      </c>
      <c r="H22" s="67">
        <v>0.16</v>
      </c>
      <c r="I22" s="68">
        <v>8058.333333333333</v>
      </c>
      <c r="J22" s="68">
        <v>-8367.8571428571431</v>
      </c>
      <c r="K22" s="67">
        <v>0.15789473684210525</v>
      </c>
      <c r="L22" s="67">
        <v>5.2631578947368418E-2</v>
      </c>
      <c r="M22" s="67">
        <v>0.24571428571428572</v>
      </c>
      <c r="N22" s="67">
        <v>0.31428571428571428</v>
      </c>
      <c r="O22" s="67">
        <v>0.62790697674418605</v>
      </c>
      <c r="P22" s="67">
        <v>0.43636363636363634</v>
      </c>
      <c r="Q22" s="67">
        <v>0.58333333333333337</v>
      </c>
    </row>
    <row r="23" spans="1:17" x14ac:dyDescent="0.4">
      <c r="A23" s="69">
        <v>20</v>
      </c>
      <c r="B23" s="66">
        <v>80.999999999999986</v>
      </c>
      <c r="C23" s="66">
        <v>4.0499999999999989</v>
      </c>
      <c r="D23" s="71">
        <v>1.85</v>
      </c>
      <c r="E23" s="67">
        <v>0.35</v>
      </c>
      <c r="F23" s="67">
        <v>0.2</v>
      </c>
      <c r="G23" s="67">
        <v>0.34065934065934067</v>
      </c>
      <c r="H23" s="67">
        <v>0.15934065934065933</v>
      </c>
      <c r="I23" s="68">
        <v>7943.5483870967746</v>
      </c>
      <c r="J23" s="68">
        <v>-8355.1724137931033</v>
      </c>
      <c r="K23" s="67">
        <v>0.15</v>
      </c>
      <c r="L23" s="67">
        <v>0.05</v>
      </c>
      <c r="M23" s="67">
        <v>0.25274725274725274</v>
      </c>
      <c r="N23" s="67">
        <v>0.31318681318681318</v>
      </c>
      <c r="O23" s="67">
        <v>0.60869565217391308</v>
      </c>
      <c r="P23" s="67">
        <v>0.43859649122807015</v>
      </c>
      <c r="Q23" s="67">
        <v>0.56451612903225812</v>
      </c>
    </row>
    <row r="24" spans="1:17" x14ac:dyDescent="0.4">
      <c r="A24" s="69">
        <v>21</v>
      </c>
      <c r="B24" s="66">
        <v>82.799999999999983</v>
      </c>
      <c r="C24" s="66">
        <v>3.9428571428571422</v>
      </c>
      <c r="D24" s="71">
        <v>1.8571428571428572</v>
      </c>
      <c r="E24" s="67">
        <v>0.33333333333333331</v>
      </c>
      <c r="F24" s="67">
        <v>0.19047619047619047</v>
      </c>
      <c r="G24" s="67">
        <v>0.34031413612565448</v>
      </c>
      <c r="H24" s="67">
        <v>0.16230366492146597</v>
      </c>
      <c r="I24" s="68">
        <v>8000</v>
      </c>
      <c r="J24" s="68">
        <v>-8645.1612903225814</v>
      </c>
      <c r="K24" s="67">
        <v>0.14285714285714285</v>
      </c>
      <c r="L24" s="67">
        <v>4.7619047619047616E-2</v>
      </c>
      <c r="M24" s="67">
        <v>0.2513089005235602</v>
      </c>
      <c r="N24" s="67">
        <v>0.32460732984293195</v>
      </c>
      <c r="O24" s="67">
        <v>0.60416666666666663</v>
      </c>
      <c r="P24" s="67">
        <v>0.43548387096774194</v>
      </c>
      <c r="Q24" s="67">
        <v>0.55384615384615388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6FB59-6861-4349-8608-00DBD96B4F33}">
  <sheetPr codeName="Sheet24"/>
  <dimension ref="A1:Q2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  <row r="22" spans="1:17" x14ac:dyDescent="0.4">
      <c r="A22" s="69">
        <v>19</v>
      </c>
      <c r="B22" s="66">
        <v>-67.599999999999994</v>
      </c>
      <c r="C22" s="66">
        <v>-3.5578947368421048</v>
      </c>
      <c r="D22" s="71">
        <v>2.0526315789473686</v>
      </c>
      <c r="E22" s="67">
        <v>0.42105263157894735</v>
      </c>
      <c r="F22" s="67">
        <v>0.47368421052631576</v>
      </c>
      <c r="G22" s="67">
        <v>0.29870129870129869</v>
      </c>
      <c r="H22" s="67">
        <v>0.22727272727272727</v>
      </c>
      <c r="I22" s="68">
        <v>8621.7391304347821</v>
      </c>
      <c r="J22" s="68">
        <v>-8285.7142857142862</v>
      </c>
      <c r="K22" s="67">
        <v>0.21052631578947367</v>
      </c>
      <c r="L22" s="67">
        <v>0.10526315789473684</v>
      </c>
      <c r="M22" s="67">
        <v>0.24675324675324675</v>
      </c>
      <c r="N22" s="67">
        <v>0.22727272727272727</v>
      </c>
      <c r="O22" s="67">
        <v>0.65789473684210531</v>
      </c>
      <c r="P22" s="67">
        <v>0.45714285714285713</v>
      </c>
      <c r="Q22" s="67">
        <v>0.47826086956521741</v>
      </c>
    </row>
    <row r="23" spans="1:17" x14ac:dyDescent="0.4">
      <c r="A23" s="69">
        <v>20</v>
      </c>
      <c r="B23" s="66">
        <v>-124.1</v>
      </c>
      <c r="C23" s="66">
        <v>-6.2050000000000001</v>
      </c>
      <c r="D23" s="71">
        <v>2.1</v>
      </c>
      <c r="E23" s="67">
        <v>0.4</v>
      </c>
      <c r="F23" s="67">
        <v>0.5</v>
      </c>
      <c r="G23" s="67">
        <v>0.2929936305732484</v>
      </c>
      <c r="H23" s="67">
        <v>0.22929936305732485</v>
      </c>
      <c r="I23" s="68">
        <v>8621.7391304347821</v>
      </c>
      <c r="J23" s="68">
        <v>-8722.2222222222226</v>
      </c>
      <c r="K23" s="67">
        <v>0.25</v>
      </c>
      <c r="L23" s="67">
        <v>0.1</v>
      </c>
      <c r="M23" s="67">
        <v>0.24203821656050956</v>
      </c>
      <c r="N23" s="67">
        <v>0.24203821656050956</v>
      </c>
      <c r="O23" s="67">
        <v>0.65789473684210531</v>
      </c>
      <c r="P23" s="67">
        <v>0.42105263157894735</v>
      </c>
      <c r="Q23" s="67">
        <v>0.47826086956521741</v>
      </c>
    </row>
    <row r="24" spans="1:17" x14ac:dyDescent="0.4">
      <c r="A24" s="69">
        <v>21</v>
      </c>
      <c r="B24" s="66">
        <v>-189.2</v>
      </c>
      <c r="C24" s="66">
        <v>-9.0095238095238095</v>
      </c>
      <c r="D24" s="71">
        <v>2.1428571428571428</v>
      </c>
      <c r="E24" s="67">
        <v>0.38095238095238093</v>
      </c>
      <c r="F24" s="67">
        <v>0.52380952380952384</v>
      </c>
      <c r="G24" s="67">
        <v>0.2857142857142857</v>
      </c>
      <c r="H24" s="67">
        <v>0.22981366459627328</v>
      </c>
      <c r="I24" s="68">
        <v>8621.7391304347821</v>
      </c>
      <c r="J24" s="68">
        <v>-9124.3243243243251</v>
      </c>
      <c r="K24" s="67">
        <v>0.2857142857142857</v>
      </c>
      <c r="L24" s="67">
        <v>9.5238095238095233E-2</v>
      </c>
      <c r="M24" s="67">
        <v>0.2360248447204969</v>
      </c>
      <c r="N24" s="67">
        <v>0.24223602484472051</v>
      </c>
      <c r="O24" s="67">
        <v>0.65789473684210531</v>
      </c>
      <c r="P24" s="67">
        <v>0.41025641025641024</v>
      </c>
      <c r="Q24" s="67">
        <v>0.47826086956521741</v>
      </c>
    </row>
    <row r="25" spans="1:17" x14ac:dyDescent="0.4">
      <c r="A25" s="69">
        <v>22</v>
      </c>
      <c r="B25" s="66">
        <v>-264.39999999999998</v>
      </c>
      <c r="C25" s="66">
        <v>-12.018181818181818</v>
      </c>
      <c r="D25" s="71">
        <v>2.1818181818181817</v>
      </c>
      <c r="E25" s="67">
        <v>0.36363636363636365</v>
      </c>
      <c r="F25" s="67">
        <v>0.54545454545454541</v>
      </c>
      <c r="G25" s="67">
        <v>0.27878787878787881</v>
      </c>
      <c r="H25" s="67">
        <v>0.23636363636363636</v>
      </c>
      <c r="I25" s="68">
        <v>8621.7391304347821</v>
      </c>
      <c r="J25" s="68">
        <v>-9879.4871794871797</v>
      </c>
      <c r="K25" s="67">
        <v>0.31818181818181818</v>
      </c>
      <c r="L25" s="67">
        <v>9.0909090909090912E-2</v>
      </c>
      <c r="M25" s="67">
        <v>0.23030303030303031</v>
      </c>
      <c r="N25" s="67">
        <v>0.24848484848484848</v>
      </c>
      <c r="O25" s="67">
        <v>0.65789473684210531</v>
      </c>
      <c r="P25" s="67">
        <v>0.3902439024390244</v>
      </c>
      <c r="Q25" s="67">
        <v>0.47826086956521741</v>
      </c>
    </row>
    <row r="26" spans="1:17" x14ac:dyDescent="0.4">
      <c r="A26" s="69">
        <v>23</v>
      </c>
      <c r="B26" s="66">
        <v>-253.49999999999997</v>
      </c>
      <c r="C26" s="66">
        <v>-11.021739130434781</v>
      </c>
      <c r="D26" s="71">
        <v>2.1739130434782608</v>
      </c>
      <c r="E26" s="67">
        <v>0.34782608695652173</v>
      </c>
      <c r="F26" s="67">
        <v>0.52173913043478259</v>
      </c>
      <c r="G26" s="67">
        <v>0.28735632183908044</v>
      </c>
      <c r="H26" s="67">
        <v>0.22988505747126436</v>
      </c>
      <c r="I26" s="68">
        <v>8434</v>
      </c>
      <c r="J26" s="68">
        <v>-9825</v>
      </c>
      <c r="K26" s="67">
        <v>0.30434782608695654</v>
      </c>
      <c r="L26" s="67">
        <v>8.6956521739130432E-2</v>
      </c>
      <c r="M26" s="67">
        <v>0.23563218390804597</v>
      </c>
      <c r="N26" s="67">
        <v>0.25287356321839083</v>
      </c>
      <c r="O26" s="67">
        <v>0.68292682926829273</v>
      </c>
      <c r="P26" s="67">
        <v>0.38636363636363635</v>
      </c>
      <c r="Q26" s="67">
        <v>0.48</v>
      </c>
    </row>
    <row r="27" spans="1:17" x14ac:dyDescent="0.4">
      <c r="A27" s="69">
        <v>24</v>
      </c>
      <c r="B27" s="66">
        <v>-300.5</v>
      </c>
      <c r="C27" s="66">
        <v>-12.520833333333334</v>
      </c>
      <c r="D27" s="71">
        <v>2.2083333333333335</v>
      </c>
      <c r="E27" s="67">
        <v>0.33333333333333331</v>
      </c>
      <c r="F27" s="67">
        <v>0.54166666666666663</v>
      </c>
      <c r="G27" s="67">
        <v>0.27624309392265195</v>
      </c>
      <c r="H27" s="67">
        <v>0.22651933701657459</v>
      </c>
      <c r="I27" s="68">
        <v>8434</v>
      </c>
      <c r="J27" s="68">
        <v>-9878.0487804878048</v>
      </c>
      <c r="K27" s="67">
        <v>0.29166666666666669</v>
      </c>
      <c r="L27" s="67">
        <v>8.3333333333333329E-2</v>
      </c>
      <c r="M27" s="67">
        <v>0.23204419889502761</v>
      </c>
      <c r="N27" s="67">
        <v>0.24861878453038674</v>
      </c>
      <c r="O27" s="67">
        <v>0.66666666666666663</v>
      </c>
      <c r="P27" s="67">
        <v>0.37777777777777777</v>
      </c>
      <c r="Q27" s="67">
        <v>0.48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5294E5-B5A3-4B85-8B7C-66A32284B101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0FAA7-DC64-4343-B058-354208E9F3F8}">
  <sheetPr codeName="Sheet20"/>
  <dimension ref="A1:Q12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  <row r="76" spans="1:17" x14ac:dyDescent="0.4">
      <c r="A76" s="69">
        <v>73</v>
      </c>
      <c r="B76" s="66">
        <v>275</v>
      </c>
      <c r="C76" s="66">
        <v>3.7671232876712328</v>
      </c>
      <c r="D76" s="71">
        <v>1.904109589041096</v>
      </c>
      <c r="E76" s="67">
        <v>0.38356164383561642</v>
      </c>
      <c r="F76" s="67">
        <v>0.28767123287671231</v>
      </c>
      <c r="G76" s="67">
        <v>0.29194630872483224</v>
      </c>
      <c r="H76" s="67">
        <v>0.1476510067114094</v>
      </c>
      <c r="I76" s="68">
        <v>8979.310344827587</v>
      </c>
      <c r="J76" s="68">
        <v>-7112.5</v>
      </c>
      <c r="K76" s="67">
        <v>0.13698630136986301</v>
      </c>
      <c r="L76" s="67">
        <v>0.13698630136986301</v>
      </c>
      <c r="M76" s="67">
        <v>0.29026845637583892</v>
      </c>
      <c r="N76" s="67">
        <v>0.18456375838926176</v>
      </c>
      <c r="O76" s="67">
        <v>0.63583815028901736</v>
      </c>
      <c r="P76" s="67">
        <v>0.33636363636363636</v>
      </c>
      <c r="Q76" s="67">
        <v>0.44252873563218392</v>
      </c>
    </row>
    <row r="77" spans="1:17" x14ac:dyDescent="0.4">
      <c r="A77" s="69">
        <v>74</v>
      </c>
      <c r="B77" s="66">
        <v>242.1</v>
      </c>
      <c r="C77" s="66">
        <v>3.2716216216216214</v>
      </c>
      <c r="D77" s="71">
        <v>1.9189189189189189</v>
      </c>
      <c r="E77" s="67">
        <v>0.3783783783783784</v>
      </c>
      <c r="F77" s="67">
        <v>0.29729729729729731</v>
      </c>
      <c r="G77" s="67">
        <v>0.28855721393034828</v>
      </c>
      <c r="H77" s="67">
        <v>0.14925373134328357</v>
      </c>
      <c r="I77" s="68">
        <v>8979.310344827587</v>
      </c>
      <c r="J77" s="68">
        <v>-7047.7777777777774</v>
      </c>
      <c r="K77" s="67">
        <v>0.13513513513513514</v>
      </c>
      <c r="L77" s="67">
        <v>0.13513513513513514</v>
      </c>
      <c r="M77" s="67">
        <v>0.29021558872305142</v>
      </c>
      <c r="N77" s="67">
        <v>0.18573797678275289</v>
      </c>
      <c r="O77" s="67">
        <v>0.62857142857142856</v>
      </c>
      <c r="P77" s="67">
        <v>0.33035714285714285</v>
      </c>
      <c r="Q77" s="67">
        <v>0.44252873563218392</v>
      </c>
    </row>
    <row r="78" spans="1:17" x14ac:dyDescent="0.4">
      <c r="A78" s="69">
        <v>75</v>
      </c>
      <c r="B78" s="66">
        <v>255.79999999999998</v>
      </c>
      <c r="C78" s="66">
        <v>3.4106666666666663</v>
      </c>
      <c r="D78" s="71">
        <v>1.92</v>
      </c>
      <c r="E78" s="67">
        <v>0.37333333333333335</v>
      </c>
      <c r="F78" s="67">
        <v>0.29333333333333333</v>
      </c>
      <c r="G78" s="67">
        <v>0.28852459016393445</v>
      </c>
      <c r="H78" s="67">
        <v>0.14754098360655737</v>
      </c>
      <c r="I78" s="68">
        <v>8982.954545454546</v>
      </c>
      <c r="J78" s="68">
        <v>-7047.7777777777774</v>
      </c>
      <c r="K78" s="67">
        <v>0.13333333333333333</v>
      </c>
      <c r="L78" s="67">
        <v>0.13333333333333333</v>
      </c>
      <c r="M78" s="67">
        <v>0.29180327868852457</v>
      </c>
      <c r="N78" s="67">
        <v>0.18360655737704917</v>
      </c>
      <c r="O78" s="67">
        <v>0.6292134831460674</v>
      </c>
      <c r="P78" s="67">
        <v>0.33035714285714285</v>
      </c>
      <c r="Q78" s="67">
        <v>0.4375</v>
      </c>
    </row>
    <row r="79" spans="1:17" x14ac:dyDescent="0.4">
      <c r="A79" s="69">
        <v>76</v>
      </c>
      <c r="B79" s="66">
        <v>198.29999999999998</v>
      </c>
      <c r="C79" s="66">
        <v>2.6092105263157892</v>
      </c>
      <c r="D79" s="71">
        <v>1.9342105263157894</v>
      </c>
      <c r="E79" s="67">
        <v>0.36842105263157893</v>
      </c>
      <c r="F79" s="67">
        <v>0.30263157894736842</v>
      </c>
      <c r="G79" s="67">
        <v>0.2861788617886179</v>
      </c>
      <c r="H79" s="67">
        <v>0.14959349593495935</v>
      </c>
      <c r="I79" s="68">
        <v>8982.954545454546</v>
      </c>
      <c r="J79" s="68">
        <v>-7155.434782608696</v>
      </c>
      <c r="K79" s="67">
        <v>0.14473684210526316</v>
      </c>
      <c r="L79" s="67">
        <v>0.13157894736842105</v>
      </c>
      <c r="M79" s="67">
        <v>0.2943089430894309</v>
      </c>
      <c r="N79" s="67">
        <v>0.1821138211382114</v>
      </c>
      <c r="O79" s="67">
        <v>0.61878453038674031</v>
      </c>
      <c r="P79" s="67">
        <v>0.33035714285714285</v>
      </c>
      <c r="Q79" s="67">
        <v>0.4375</v>
      </c>
    </row>
    <row r="80" spans="1:17" x14ac:dyDescent="0.4">
      <c r="A80" s="69">
        <v>77</v>
      </c>
      <c r="B80" s="66">
        <v>201.7</v>
      </c>
      <c r="C80" s="66">
        <v>2.6194805194805193</v>
      </c>
      <c r="D80" s="71">
        <v>1.9350649350649352</v>
      </c>
      <c r="E80" s="67">
        <v>0.36363636363636365</v>
      </c>
      <c r="F80" s="67">
        <v>0.29870129870129869</v>
      </c>
      <c r="G80" s="67">
        <v>0.2861736334405145</v>
      </c>
      <c r="H80" s="67">
        <v>0.14790996784565916</v>
      </c>
      <c r="I80" s="68">
        <v>8989.8876404494385</v>
      </c>
      <c r="J80" s="68">
        <v>-7155.434782608696</v>
      </c>
      <c r="K80" s="67">
        <v>0.14285714285714285</v>
      </c>
      <c r="L80" s="67">
        <v>0.12987012987012986</v>
      </c>
      <c r="M80" s="67">
        <v>0.297427652733119</v>
      </c>
      <c r="N80" s="67">
        <v>0.18006430868167203</v>
      </c>
      <c r="O80" s="67">
        <v>0.61621621621621625</v>
      </c>
      <c r="P80" s="67">
        <v>0.33035714285714285</v>
      </c>
      <c r="Q80" s="67">
        <v>0.43820224719101125</v>
      </c>
    </row>
    <row r="81" spans="1:17" x14ac:dyDescent="0.4">
      <c r="A81" s="69">
        <v>78</v>
      </c>
      <c r="B81" s="66">
        <v>193.39999999999998</v>
      </c>
      <c r="C81" s="66">
        <v>2.4794871794871791</v>
      </c>
      <c r="D81" s="71">
        <v>1.9358974358974359</v>
      </c>
      <c r="E81" s="67">
        <v>0.35897435897435898</v>
      </c>
      <c r="F81" s="67">
        <v>0.29487179487179488</v>
      </c>
      <c r="G81" s="67">
        <v>0.28459119496855345</v>
      </c>
      <c r="H81" s="67">
        <v>0.14622641509433962</v>
      </c>
      <c r="I81" s="68">
        <v>8916.5745856353587</v>
      </c>
      <c r="J81" s="68">
        <v>-7161.2903225806449</v>
      </c>
      <c r="K81" s="67">
        <v>0.14102564102564102</v>
      </c>
      <c r="L81" s="67">
        <v>0.12820512820512819</v>
      </c>
      <c r="M81" s="67">
        <v>0.29402515723270439</v>
      </c>
      <c r="N81" s="67">
        <v>0.17767295597484276</v>
      </c>
      <c r="O81" s="67">
        <v>0.60962566844919786</v>
      </c>
      <c r="P81" s="67">
        <v>0.33628318584070799</v>
      </c>
      <c r="Q81" s="67">
        <v>0.43646408839779005</v>
      </c>
    </row>
    <row r="82" spans="1:17" x14ac:dyDescent="0.4">
      <c r="A82" s="69">
        <v>79</v>
      </c>
      <c r="B82" s="66">
        <v>151.59999999999997</v>
      </c>
      <c r="C82" s="66">
        <v>1.9189873417721515</v>
      </c>
      <c r="D82" s="71">
        <v>1.9493670886075949</v>
      </c>
      <c r="E82" s="67">
        <v>0.35443037974683544</v>
      </c>
      <c r="F82" s="67">
        <v>0.30379746835443039</v>
      </c>
      <c r="G82" s="67">
        <v>0.28217054263565894</v>
      </c>
      <c r="H82" s="67">
        <v>0.14728682170542637</v>
      </c>
      <c r="I82" s="68">
        <v>8910.4395604395613</v>
      </c>
      <c r="J82" s="68">
        <v>-7164.2105263157891</v>
      </c>
      <c r="K82" s="67">
        <v>0.13924050632911392</v>
      </c>
      <c r="L82" s="67">
        <v>0.12658227848101267</v>
      </c>
      <c r="M82" s="67">
        <v>0.29457364341085274</v>
      </c>
      <c r="N82" s="67">
        <v>0.17674418604651163</v>
      </c>
      <c r="O82" s="67">
        <v>0.60526315789473684</v>
      </c>
      <c r="P82" s="67">
        <v>0.33333333333333331</v>
      </c>
      <c r="Q82" s="67">
        <v>0.43956043956043955</v>
      </c>
    </row>
    <row r="83" spans="1:17" x14ac:dyDescent="0.4">
      <c r="A83" s="69">
        <v>80</v>
      </c>
      <c r="B83" s="66">
        <v>154.19999999999996</v>
      </c>
      <c r="C83" s="66">
        <v>1.9274999999999995</v>
      </c>
      <c r="D83" s="71">
        <v>1.95</v>
      </c>
      <c r="E83" s="67">
        <v>0.35</v>
      </c>
      <c r="F83" s="67">
        <v>0.3</v>
      </c>
      <c r="G83" s="67">
        <v>0.28374233128834359</v>
      </c>
      <c r="H83" s="67">
        <v>0.14723926380368099</v>
      </c>
      <c r="I83" s="68">
        <v>8837.8378378378384</v>
      </c>
      <c r="J83" s="68">
        <v>-7110.416666666667</v>
      </c>
      <c r="K83" s="67">
        <v>0.13750000000000001</v>
      </c>
      <c r="L83" s="67">
        <v>0.125</v>
      </c>
      <c r="M83" s="67">
        <v>0.29754601226993865</v>
      </c>
      <c r="N83" s="67">
        <v>0.17484662576687116</v>
      </c>
      <c r="O83" s="67">
        <v>0.60309278350515461</v>
      </c>
      <c r="P83" s="67">
        <v>0.33333333333333331</v>
      </c>
      <c r="Q83" s="67">
        <v>0.43783783783783786</v>
      </c>
    </row>
    <row r="84" spans="1:17" x14ac:dyDescent="0.4">
      <c r="A84" s="69">
        <v>81</v>
      </c>
      <c r="B84" s="66">
        <v>216.19999999999996</v>
      </c>
      <c r="C84" s="66">
        <v>2.6691358024691354</v>
      </c>
      <c r="D84" s="71">
        <v>1.9382716049382716</v>
      </c>
      <c r="E84" s="67">
        <v>0.35802469135802467</v>
      </c>
      <c r="F84" s="67">
        <v>0.29629629629629628</v>
      </c>
      <c r="G84" s="67">
        <v>0.28657616892911009</v>
      </c>
      <c r="H84" s="67">
        <v>0.14630467571644043</v>
      </c>
      <c r="I84" s="68">
        <v>8883.6842105263149</v>
      </c>
      <c r="J84" s="68">
        <v>-7119.5876288659792</v>
      </c>
      <c r="K84" s="67">
        <v>0.13580246913580246</v>
      </c>
      <c r="L84" s="67">
        <v>0.13580246913580246</v>
      </c>
      <c r="M84" s="67">
        <v>0.29864253393665158</v>
      </c>
      <c r="N84" s="67">
        <v>0.17496229260935142</v>
      </c>
      <c r="O84" s="67">
        <v>0.61111111111111116</v>
      </c>
      <c r="P84" s="67">
        <v>0.33620689655172414</v>
      </c>
      <c r="Q84" s="67">
        <v>0.43157894736842106</v>
      </c>
    </row>
    <row r="85" spans="1:17" x14ac:dyDescent="0.4">
      <c r="A85" s="69">
        <v>82</v>
      </c>
      <c r="B85" s="66">
        <v>225.79999999999995</v>
      </c>
      <c r="C85" s="66">
        <v>2.7536585365853652</v>
      </c>
      <c r="D85" s="71">
        <v>1.9390243902439024</v>
      </c>
      <c r="E85" s="67">
        <v>0.35365853658536583</v>
      </c>
      <c r="F85" s="67">
        <v>0.29268292682926828</v>
      </c>
      <c r="G85" s="67">
        <v>0.28528974739970281</v>
      </c>
      <c r="H85" s="67">
        <v>0.14710252600297177</v>
      </c>
      <c r="I85" s="68">
        <v>8895.3125</v>
      </c>
      <c r="J85" s="68">
        <v>-7015.151515151515</v>
      </c>
      <c r="K85" s="67">
        <v>0.13414634146341464</v>
      </c>
      <c r="L85" s="67">
        <v>0.13414634146341464</v>
      </c>
      <c r="M85" s="67">
        <v>0.29569093610698366</v>
      </c>
      <c r="N85" s="67">
        <v>0.17533432392273401</v>
      </c>
      <c r="O85" s="67">
        <v>0.60804020100502509</v>
      </c>
      <c r="P85" s="67">
        <v>0.34745762711864409</v>
      </c>
      <c r="Q85" s="67">
        <v>0.42708333333333331</v>
      </c>
    </row>
    <row r="86" spans="1:17" x14ac:dyDescent="0.4">
      <c r="A86" s="69">
        <v>83</v>
      </c>
      <c r="B86" s="66">
        <v>167.49999999999994</v>
      </c>
      <c r="C86" s="66">
        <v>2.0180722891566258</v>
      </c>
      <c r="D86" s="71">
        <v>1.9518072289156627</v>
      </c>
      <c r="E86" s="67">
        <v>0.3493975903614458</v>
      </c>
      <c r="F86" s="67">
        <v>0.30120481927710846</v>
      </c>
      <c r="G86" s="67">
        <v>0.28193832599118945</v>
      </c>
      <c r="H86" s="67">
        <v>0.14831130690161526</v>
      </c>
      <c r="I86" s="68">
        <v>8895.3125</v>
      </c>
      <c r="J86" s="68">
        <v>-7092.0792079207922</v>
      </c>
      <c r="K86" s="67">
        <v>0.14457831325301204</v>
      </c>
      <c r="L86" s="67">
        <v>0.13253012048192772</v>
      </c>
      <c r="M86" s="67">
        <v>0.29368575624082233</v>
      </c>
      <c r="N86" s="67">
        <v>0.17474302496328928</v>
      </c>
      <c r="O86" s="67">
        <v>0.60499999999999998</v>
      </c>
      <c r="P86" s="67">
        <v>0.34453781512605042</v>
      </c>
      <c r="Q86" s="67">
        <v>0.42708333333333331</v>
      </c>
    </row>
    <row r="87" spans="1:17" x14ac:dyDescent="0.4">
      <c r="A87" s="69">
        <v>84</v>
      </c>
      <c r="B87" s="66">
        <v>131.69999999999993</v>
      </c>
      <c r="C87" s="66">
        <v>1.5678571428571419</v>
      </c>
      <c r="D87" s="71">
        <v>1.9642857142857142</v>
      </c>
      <c r="E87" s="67">
        <v>0.34523809523809523</v>
      </c>
      <c r="F87" s="67">
        <v>0.30952380952380953</v>
      </c>
      <c r="G87" s="67">
        <v>0.27971014492753621</v>
      </c>
      <c r="H87" s="67">
        <v>0.14927536231884059</v>
      </c>
      <c r="I87" s="68">
        <v>8861.6580310880836</v>
      </c>
      <c r="J87" s="68">
        <v>-7048.5436893203887</v>
      </c>
      <c r="K87" s="67">
        <v>0.14285714285714285</v>
      </c>
      <c r="L87" s="67">
        <v>0.13095238095238096</v>
      </c>
      <c r="M87" s="67">
        <v>0.28985507246376813</v>
      </c>
      <c r="N87" s="67">
        <v>0.17681159420289855</v>
      </c>
      <c r="O87" s="67">
        <v>0.60499999999999998</v>
      </c>
      <c r="P87" s="67">
        <v>0.33606557377049179</v>
      </c>
      <c r="Q87" s="67">
        <v>0.42487046632124353</v>
      </c>
    </row>
    <row r="88" spans="1:17" x14ac:dyDescent="0.4">
      <c r="A88" s="69">
        <v>85</v>
      </c>
      <c r="B88" s="66">
        <v>103.19999999999993</v>
      </c>
      <c r="C88" s="66">
        <v>1.2141176470588226</v>
      </c>
      <c r="D88" s="71">
        <v>1.9764705882352942</v>
      </c>
      <c r="E88" s="67">
        <v>0.3411764705882353</v>
      </c>
      <c r="F88" s="67">
        <v>0.31764705882352939</v>
      </c>
      <c r="G88" s="67">
        <v>0.27873563218390807</v>
      </c>
      <c r="H88" s="67">
        <v>0.14942528735632185</v>
      </c>
      <c r="I88" s="68">
        <v>8855.6701030927834</v>
      </c>
      <c r="J88" s="68">
        <v>-7030.7692307692305</v>
      </c>
      <c r="K88" s="67">
        <v>0.14117647058823529</v>
      </c>
      <c r="L88" s="67">
        <v>0.12941176470588237</v>
      </c>
      <c r="M88" s="67">
        <v>0.28879310344827586</v>
      </c>
      <c r="N88" s="67">
        <v>0.17816091954022989</v>
      </c>
      <c r="O88" s="67">
        <v>0.60199004975124382</v>
      </c>
      <c r="P88" s="67">
        <v>0.33870967741935482</v>
      </c>
      <c r="Q88" s="67">
        <v>0.42268041237113402</v>
      </c>
    </row>
    <row r="89" spans="1:17" x14ac:dyDescent="0.4">
      <c r="A89" s="69">
        <v>86</v>
      </c>
      <c r="B89" s="66">
        <v>69.899999999999935</v>
      </c>
      <c r="C89" s="66">
        <v>0.81279069767441781</v>
      </c>
      <c r="D89" s="71">
        <v>1.9883720930232558</v>
      </c>
      <c r="E89" s="67">
        <v>0.33720930232558138</v>
      </c>
      <c r="F89" s="67">
        <v>0.32558139534883723</v>
      </c>
      <c r="G89" s="67">
        <v>0.27620396600566571</v>
      </c>
      <c r="H89" s="67">
        <v>0.14730878186968838</v>
      </c>
      <c r="I89" s="68">
        <v>8892.3076923076915</v>
      </c>
      <c r="J89" s="68">
        <v>-7030.7692307692305</v>
      </c>
      <c r="K89" s="67">
        <v>0.13953488372093023</v>
      </c>
      <c r="L89" s="67">
        <v>0.12790697674418605</v>
      </c>
      <c r="M89" s="67">
        <v>0.28611898016997167</v>
      </c>
      <c r="N89" s="67">
        <v>0.17705382436260622</v>
      </c>
      <c r="O89" s="67">
        <v>0.60396039603960394</v>
      </c>
      <c r="P89" s="67">
        <v>0.33600000000000002</v>
      </c>
      <c r="Q89" s="67">
        <v>0.42051282051282052</v>
      </c>
    </row>
    <row r="90" spans="1:17" x14ac:dyDescent="0.4">
      <c r="A90" s="69">
        <v>87</v>
      </c>
      <c r="B90" s="66">
        <v>18.699999999999932</v>
      </c>
      <c r="C90" s="66">
        <v>0.21494252873563141</v>
      </c>
      <c r="D90" s="71">
        <v>2</v>
      </c>
      <c r="E90" s="67">
        <v>0.33333333333333331</v>
      </c>
      <c r="F90" s="67">
        <v>0.33333333333333331</v>
      </c>
      <c r="G90" s="67">
        <v>0.27489481065918653</v>
      </c>
      <c r="H90" s="67">
        <v>0.15007012622720897</v>
      </c>
      <c r="I90" s="68">
        <v>8861.224489795919</v>
      </c>
      <c r="J90" s="68">
        <v>-7076.6355140186915</v>
      </c>
      <c r="K90" s="67">
        <v>0.13793103448275862</v>
      </c>
      <c r="L90" s="67">
        <v>0.12643678160919541</v>
      </c>
      <c r="M90" s="67">
        <v>0.28611500701262271</v>
      </c>
      <c r="N90" s="67">
        <v>0.17671809256661991</v>
      </c>
      <c r="O90" s="67">
        <v>0.6029411764705882</v>
      </c>
      <c r="P90" s="67">
        <v>0.33333333333333331</v>
      </c>
      <c r="Q90" s="67">
        <v>0.42346938775510207</v>
      </c>
    </row>
    <row r="91" spans="1:17" x14ac:dyDescent="0.4">
      <c r="A91" s="69">
        <v>88</v>
      </c>
      <c r="B91" s="66">
        <v>-51.800000000000068</v>
      </c>
      <c r="C91" s="66">
        <v>-0.5886363636363644</v>
      </c>
      <c r="D91" s="71">
        <v>2.0113636363636362</v>
      </c>
      <c r="E91" s="67">
        <v>0.32954545454545453</v>
      </c>
      <c r="F91" s="67">
        <v>0.34090909090909088</v>
      </c>
      <c r="G91" s="67">
        <v>0.27323162274618584</v>
      </c>
      <c r="H91" s="67">
        <v>0.15117891816920942</v>
      </c>
      <c r="I91" s="68">
        <v>8845.6852791878173</v>
      </c>
      <c r="J91" s="68">
        <v>-7214.6788990825689</v>
      </c>
      <c r="K91" s="67">
        <v>0.14772727272727273</v>
      </c>
      <c r="L91" s="67">
        <v>0.125</v>
      </c>
      <c r="M91" s="67">
        <v>0.28294036061026351</v>
      </c>
      <c r="N91" s="67">
        <v>0.17891816920943135</v>
      </c>
      <c r="O91" s="67">
        <v>0.6029411764705882</v>
      </c>
      <c r="P91" s="67">
        <v>0.33333333333333331</v>
      </c>
      <c r="Q91" s="67">
        <v>0.42131979695431471</v>
      </c>
    </row>
    <row r="92" spans="1:17" x14ac:dyDescent="0.4">
      <c r="A92" s="69">
        <v>89</v>
      </c>
      <c r="B92" s="66">
        <v>-75.500000000000071</v>
      </c>
      <c r="C92" s="66">
        <v>-0.84831460674157388</v>
      </c>
      <c r="D92" s="71">
        <v>2.0224719101123596</v>
      </c>
      <c r="E92" s="67">
        <v>0.3258426966292135</v>
      </c>
      <c r="F92" s="67">
        <v>0.34831460674157305</v>
      </c>
      <c r="G92" s="67">
        <v>0.27235213204951858</v>
      </c>
      <c r="H92" s="67">
        <v>0.1499312242090784</v>
      </c>
      <c r="I92" s="68">
        <v>8841.4141414141413</v>
      </c>
      <c r="J92" s="68">
        <v>-7214.6788990825689</v>
      </c>
      <c r="K92" s="67">
        <v>0.14606741573033707</v>
      </c>
      <c r="L92" s="67">
        <v>0.12359550561797752</v>
      </c>
      <c r="M92" s="67">
        <v>0.28198074277854196</v>
      </c>
      <c r="N92" s="67">
        <v>0.17744154057771663</v>
      </c>
      <c r="O92" s="67">
        <v>0.60487804878048779</v>
      </c>
      <c r="P92" s="67">
        <v>0.33333333333333331</v>
      </c>
      <c r="Q92" s="67">
        <v>0.42424242424242425</v>
      </c>
    </row>
    <row r="93" spans="1:17" x14ac:dyDescent="0.4">
      <c r="A93" s="69">
        <v>90</v>
      </c>
      <c r="B93" s="66">
        <v>-66.500000000000071</v>
      </c>
      <c r="C93" s="66">
        <v>-0.73888888888888971</v>
      </c>
      <c r="D93" s="71">
        <v>2.0222222222222221</v>
      </c>
      <c r="E93" s="67">
        <v>0.32222222222222224</v>
      </c>
      <c r="F93" s="67">
        <v>0.34444444444444444</v>
      </c>
      <c r="G93" s="67">
        <v>0.27309782608695654</v>
      </c>
      <c r="H93" s="67">
        <v>0.15081521739130435</v>
      </c>
      <c r="I93" s="68">
        <v>8868.6567164179105</v>
      </c>
      <c r="J93" s="68">
        <v>-7185.5855855855852</v>
      </c>
      <c r="K93" s="67">
        <v>0.14444444444444443</v>
      </c>
      <c r="L93" s="67">
        <v>0.12222222222222222</v>
      </c>
      <c r="M93" s="67">
        <v>0.27989130434782611</v>
      </c>
      <c r="N93" s="67">
        <v>0.18070652173913043</v>
      </c>
      <c r="O93" s="67">
        <v>0.60679611650485432</v>
      </c>
      <c r="P93" s="67">
        <v>0.33834586466165412</v>
      </c>
      <c r="Q93" s="67">
        <v>0.42786069651741293</v>
      </c>
    </row>
    <row r="94" spans="1:17" x14ac:dyDescent="0.4">
      <c r="A94" s="69">
        <v>91</v>
      </c>
      <c r="B94" s="66">
        <v>-39.600000000000072</v>
      </c>
      <c r="C94" s="66">
        <v>-0.43516483516483595</v>
      </c>
      <c r="D94" s="71">
        <v>2.0109890109890109</v>
      </c>
      <c r="E94" s="67">
        <v>0.32967032967032966</v>
      </c>
      <c r="F94" s="67">
        <v>0.34065934065934067</v>
      </c>
      <c r="G94" s="67">
        <v>0.2767379679144385</v>
      </c>
      <c r="H94" s="67">
        <v>0.15240641711229946</v>
      </c>
      <c r="I94" s="68">
        <v>8809.6618357487914</v>
      </c>
      <c r="J94" s="68">
        <v>-7247.3684210526317</v>
      </c>
      <c r="K94" s="67">
        <v>0.14285714285714285</v>
      </c>
      <c r="L94" s="67">
        <v>0.12087912087912088</v>
      </c>
      <c r="M94" s="67">
        <v>0.28074866310160429</v>
      </c>
      <c r="N94" s="67">
        <v>0.18449197860962566</v>
      </c>
      <c r="O94" s="67">
        <v>0.61428571428571432</v>
      </c>
      <c r="P94" s="67">
        <v>0.34057971014492755</v>
      </c>
      <c r="Q94" s="67">
        <v>0.43961352657004832</v>
      </c>
    </row>
    <row r="95" spans="1:17" x14ac:dyDescent="0.4">
      <c r="A95" s="69">
        <v>92</v>
      </c>
      <c r="B95" s="66">
        <v>-0.7000000000000739</v>
      </c>
      <c r="C95" s="66">
        <v>-7.6086956521747165E-3</v>
      </c>
      <c r="D95" s="71">
        <v>2</v>
      </c>
      <c r="E95" s="67">
        <v>0.33695652173913043</v>
      </c>
      <c r="F95" s="67">
        <v>0.33695652173913043</v>
      </c>
      <c r="G95" s="67">
        <v>0.27777777777777779</v>
      </c>
      <c r="H95" s="67">
        <v>0.15079365079365079</v>
      </c>
      <c r="I95" s="68">
        <v>8806.1904761904771</v>
      </c>
      <c r="J95" s="68">
        <v>-7247.3684210526317</v>
      </c>
      <c r="K95" s="67">
        <v>0.14130434782608695</v>
      </c>
      <c r="L95" s="67">
        <v>0.11956521739130435</v>
      </c>
      <c r="M95" s="67">
        <v>0.28042328042328041</v>
      </c>
      <c r="N95" s="67">
        <v>0.18386243386243387</v>
      </c>
      <c r="O95" s="67">
        <v>0.61792452830188682</v>
      </c>
      <c r="P95" s="67">
        <v>0.33812949640287771</v>
      </c>
      <c r="Q95" s="67">
        <v>0.44761904761904764</v>
      </c>
    </row>
    <row r="96" spans="1:17" x14ac:dyDescent="0.4">
      <c r="A96" s="69">
        <v>93</v>
      </c>
      <c r="B96" s="66">
        <v>29.599999999999927</v>
      </c>
      <c r="C96" s="66">
        <v>0.31827956989247236</v>
      </c>
      <c r="D96" s="71">
        <v>1.989247311827957</v>
      </c>
      <c r="E96" s="67">
        <v>0.34408602150537637</v>
      </c>
      <c r="F96" s="67">
        <v>0.33333333333333331</v>
      </c>
      <c r="G96" s="67">
        <v>0.27748691099476441</v>
      </c>
      <c r="H96" s="67">
        <v>0.15052356020942409</v>
      </c>
      <c r="I96" s="68">
        <v>8836.3207547169804</v>
      </c>
      <c r="J96" s="68">
        <v>-7251.304347826087</v>
      </c>
      <c r="K96" s="67">
        <v>0.13978494623655913</v>
      </c>
      <c r="L96" s="67">
        <v>0.11827956989247312</v>
      </c>
      <c r="M96" s="67">
        <v>0.281413612565445</v>
      </c>
      <c r="N96" s="67">
        <v>0.18324607329842932</v>
      </c>
      <c r="O96" s="67">
        <v>0.61395348837209307</v>
      </c>
      <c r="P96" s="67">
        <v>0.33571428571428569</v>
      </c>
      <c r="Q96" s="67">
        <v>0.44811320754716982</v>
      </c>
    </row>
    <row r="97" spans="1:17" x14ac:dyDescent="0.4">
      <c r="A97" s="69">
        <v>94</v>
      </c>
      <c r="B97" s="66">
        <v>57.299999999999926</v>
      </c>
      <c r="C97" s="66">
        <v>0.60957446808510563</v>
      </c>
      <c r="D97" s="71">
        <v>1.9787234042553192</v>
      </c>
      <c r="E97" s="67">
        <v>0.35106382978723405</v>
      </c>
      <c r="F97" s="67">
        <v>0.32978723404255317</v>
      </c>
      <c r="G97" s="67">
        <v>0.2779220779220779</v>
      </c>
      <c r="H97" s="67">
        <v>0.15064935064935064</v>
      </c>
      <c r="I97" s="68">
        <v>8841.5887850467298</v>
      </c>
      <c r="J97" s="68">
        <v>-7257.7586206896549</v>
      </c>
      <c r="K97" s="67">
        <v>0.13829787234042554</v>
      </c>
      <c r="L97" s="67">
        <v>0.11702127659574468</v>
      </c>
      <c r="M97" s="67">
        <v>0.2818181818181818</v>
      </c>
      <c r="N97" s="67">
        <v>0.18311688311688312</v>
      </c>
      <c r="O97" s="67">
        <v>0.61290322580645162</v>
      </c>
      <c r="P97" s="67">
        <v>0.34042553191489361</v>
      </c>
      <c r="Q97" s="67">
        <v>0.45327102803738317</v>
      </c>
    </row>
    <row r="98" spans="1:17" x14ac:dyDescent="0.4">
      <c r="A98" s="69">
        <v>95</v>
      </c>
      <c r="B98" s="66">
        <v>47.299999999999926</v>
      </c>
      <c r="C98" s="66">
        <v>0.4978947368421045</v>
      </c>
      <c r="D98" s="71">
        <v>1.9789473684210526</v>
      </c>
      <c r="E98" s="67">
        <v>0.3473684210526316</v>
      </c>
      <c r="F98" s="67">
        <v>0.32631578947368423</v>
      </c>
      <c r="G98" s="67">
        <v>0.27684346701164297</v>
      </c>
      <c r="H98" s="67">
        <v>0.1500646830530401</v>
      </c>
      <c r="I98" s="68">
        <v>8841.5887850467298</v>
      </c>
      <c r="J98" s="68">
        <v>-7257.7586206896549</v>
      </c>
      <c r="K98" s="67">
        <v>0.1368421052631579</v>
      </c>
      <c r="L98" s="67">
        <v>0.11578947368421053</v>
      </c>
      <c r="M98" s="67">
        <v>0.28072445019404918</v>
      </c>
      <c r="N98" s="67">
        <v>0.18240620957309184</v>
      </c>
      <c r="O98" s="67">
        <v>0.61290322580645162</v>
      </c>
      <c r="P98" s="67">
        <v>0.34042553191489361</v>
      </c>
      <c r="Q98" s="67">
        <v>0.45327102803738317</v>
      </c>
    </row>
    <row r="99" spans="1:17" x14ac:dyDescent="0.4">
      <c r="A99" s="69">
        <v>96</v>
      </c>
      <c r="B99" s="66">
        <v>48.899999999999928</v>
      </c>
      <c r="C99" s="66">
        <v>0.50937499999999925</v>
      </c>
      <c r="D99" s="71">
        <v>1.9791666666666667</v>
      </c>
      <c r="E99" s="67">
        <v>0.34375</v>
      </c>
      <c r="F99" s="67">
        <v>0.32291666666666669</v>
      </c>
      <c r="G99" s="67">
        <v>0.27458492975734355</v>
      </c>
      <c r="H99" s="67">
        <v>0.14942528735632185</v>
      </c>
      <c r="I99" s="68">
        <v>8874.8837209302328</v>
      </c>
      <c r="J99" s="68">
        <v>-7229.0598290598291</v>
      </c>
      <c r="K99" s="67">
        <v>0.13541666666666666</v>
      </c>
      <c r="L99" s="67">
        <v>0.11458333333333333</v>
      </c>
      <c r="M99" s="67">
        <v>0.27713920817369092</v>
      </c>
      <c r="N99" s="67">
        <v>0.18135376756066413</v>
      </c>
      <c r="O99" s="67">
        <v>0.61290322580645162</v>
      </c>
      <c r="P99" s="67">
        <v>0.3380281690140845</v>
      </c>
      <c r="Q99" s="67">
        <v>0.45581395348837211</v>
      </c>
    </row>
    <row r="100" spans="1:17" x14ac:dyDescent="0.4">
      <c r="A100" s="69">
        <v>97</v>
      </c>
      <c r="B100" s="66">
        <v>19.799999999999926</v>
      </c>
      <c r="C100" s="66">
        <v>0.20412371134020543</v>
      </c>
      <c r="D100" s="71">
        <v>1.9896907216494846</v>
      </c>
      <c r="E100" s="67">
        <v>0.34020618556701032</v>
      </c>
      <c r="F100" s="67">
        <v>0.32989690721649484</v>
      </c>
      <c r="G100" s="67">
        <v>0.27490542244640603</v>
      </c>
      <c r="H100" s="67">
        <v>0.15006305170239598</v>
      </c>
      <c r="I100" s="68">
        <v>8802.2935779816507</v>
      </c>
      <c r="J100" s="68">
        <v>-7187.3949579831933</v>
      </c>
      <c r="K100" s="67">
        <v>0.13402061855670103</v>
      </c>
      <c r="L100" s="67">
        <v>0.1134020618556701</v>
      </c>
      <c r="M100" s="67">
        <v>0.27742749054224464</v>
      </c>
      <c r="N100" s="67">
        <v>0.1828499369482976</v>
      </c>
      <c r="O100" s="67">
        <v>0.60909090909090913</v>
      </c>
      <c r="P100" s="67">
        <v>0.33793103448275863</v>
      </c>
      <c r="Q100" s="67">
        <v>0.45871559633027525</v>
      </c>
    </row>
    <row r="101" spans="1:17" x14ac:dyDescent="0.4">
      <c r="A101" s="69">
        <v>98</v>
      </c>
      <c r="B101" s="66">
        <v>87.099999999999923</v>
      </c>
      <c r="C101" s="66">
        <v>0.88877551020408085</v>
      </c>
      <c r="D101" s="71">
        <v>1.9795918367346939</v>
      </c>
      <c r="E101" s="67">
        <v>0.34693877551020408</v>
      </c>
      <c r="F101" s="67">
        <v>0.32653061224489793</v>
      </c>
      <c r="G101" s="67">
        <v>0.27750000000000002</v>
      </c>
      <c r="H101" s="67">
        <v>0.15</v>
      </c>
      <c r="I101" s="68">
        <v>8856.7567567567567</v>
      </c>
      <c r="J101" s="68">
        <v>-7135.833333333333</v>
      </c>
      <c r="K101" s="67">
        <v>0.1326530612244898</v>
      </c>
      <c r="L101" s="67">
        <v>0.11224489795918367</v>
      </c>
      <c r="M101" s="67">
        <v>0.28000000000000003</v>
      </c>
      <c r="N101" s="67">
        <v>0.1825</v>
      </c>
      <c r="O101" s="67">
        <v>0.6116071428571429</v>
      </c>
      <c r="P101" s="67">
        <v>0.34246575342465752</v>
      </c>
      <c r="Q101" s="67">
        <v>0.45945945945945948</v>
      </c>
    </row>
    <row r="102" spans="1:17" x14ac:dyDescent="0.4">
      <c r="A102" s="69">
        <v>99</v>
      </c>
      <c r="B102" s="66">
        <v>119.29999999999993</v>
      </c>
      <c r="C102" s="66">
        <v>1.2050505050505043</v>
      </c>
      <c r="D102" s="71">
        <v>1.9696969696969697</v>
      </c>
      <c r="E102" s="67">
        <v>0.35353535353535354</v>
      </c>
      <c r="F102" s="67">
        <v>0.32323232323232326</v>
      </c>
      <c r="G102" s="67">
        <v>0.27935723114956734</v>
      </c>
      <c r="H102" s="67">
        <v>0.14956736711990112</v>
      </c>
      <c r="I102" s="68">
        <v>8835.3982300884963</v>
      </c>
      <c r="J102" s="68">
        <v>-7172.727272727273</v>
      </c>
      <c r="K102" s="67">
        <v>0.13131313131313133</v>
      </c>
      <c r="L102" s="67">
        <v>0.1111111111111111</v>
      </c>
      <c r="M102" s="67">
        <v>0.27812113720642767</v>
      </c>
      <c r="N102" s="67">
        <v>0.18665018541409148</v>
      </c>
      <c r="O102" s="67">
        <v>0.61333333333333329</v>
      </c>
      <c r="P102" s="67">
        <v>0.35099337748344372</v>
      </c>
      <c r="Q102" s="67">
        <v>0.45132743362831856</v>
      </c>
    </row>
    <row r="103" spans="1:17" x14ac:dyDescent="0.4">
      <c r="A103" s="69">
        <v>100</v>
      </c>
      <c r="B103" s="66">
        <v>115.59999999999992</v>
      </c>
      <c r="C103" s="66">
        <v>1.1559999999999993</v>
      </c>
      <c r="D103" s="71">
        <v>1.97</v>
      </c>
      <c r="E103" s="67">
        <v>0.35</v>
      </c>
      <c r="F103" s="67">
        <v>0.32</v>
      </c>
      <c r="G103" s="67">
        <v>0.27892813641900122</v>
      </c>
      <c r="H103" s="67">
        <v>0.15103532277710111</v>
      </c>
      <c r="I103" s="68">
        <v>8838.427947598253</v>
      </c>
      <c r="J103" s="68">
        <v>-7139.5161290322585</v>
      </c>
      <c r="K103" s="67">
        <v>0.13</v>
      </c>
      <c r="L103" s="67">
        <v>0.11</v>
      </c>
      <c r="M103" s="67">
        <v>0.27771010962241172</v>
      </c>
      <c r="N103" s="67">
        <v>0.18635809987819732</v>
      </c>
      <c r="O103" s="67">
        <v>0.61403508771929827</v>
      </c>
      <c r="P103" s="67">
        <v>0.34640522875816993</v>
      </c>
      <c r="Q103" s="67">
        <v>0.45851528384279477</v>
      </c>
    </row>
    <row r="104" spans="1:17" x14ac:dyDescent="0.4">
      <c r="A104" s="69">
        <v>101</v>
      </c>
      <c r="B104" s="66">
        <v>111.59999999999992</v>
      </c>
      <c r="C104" s="66">
        <v>1.1049504950495042</v>
      </c>
      <c r="D104" s="71">
        <v>1.9702970297029703</v>
      </c>
      <c r="E104" s="67">
        <v>0.34653465346534651</v>
      </c>
      <c r="F104" s="67">
        <v>0.31683168316831684</v>
      </c>
      <c r="G104" s="67">
        <v>0.27677496991576411</v>
      </c>
      <c r="H104" s="67">
        <v>0.15042117930204574</v>
      </c>
      <c r="I104" s="68">
        <v>8806.95652173913</v>
      </c>
      <c r="J104" s="68">
        <v>-7092.8</v>
      </c>
      <c r="K104" s="67">
        <v>0.12871287128712872</v>
      </c>
      <c r="L104" s="67">
        <v>0.10891089108910891</v>
      </c>
      <c r="M104" s="67">
        <v>0.27557160048134777</v>
      </c>
      <c r="N104" s="67">
        <v>0.18772563176895307</v>
      </c>
      <c r="O104" s="67">
        <v>0.611353711790393</v>
      </c>
      <c r="P104" s="67">
        <v>0.34615384615384615</v>
      </c>
      <c r="Q104" s="67">
        <v>0.46086956521739131</v>
      </c>
    </row>
    <row r="105" spans="1:17" x14ac:dyDescent="0.4">
      <c r="A105" s="69">
        <v>102</v>
      </c>
      <c r="B105" s="66">
        <v>112.49999999999993</v>
      </c>
      <c r="C105" s="66">
        <v>1.1029411764705876</v>
      </c>
      <c r="D105" s="71">
        <v>1.9705882352941178</v>
      </c>
      <c r="E105" s="67">
        <v>0.34313725490196079</v>
      </c>
      <c r="F105" s="67">
        <v>0.31372549019607843</v>
      </c>
      <c r="G105" s="67">
        <v>0.27824019024970276</v>
      </c>
      <c r="H105" s="67">
        <v>0.14982164090368608</v>
      </c>
      <c r="I105" s="68">
        <v>8729.9145299145293</v>
      </c>
      <c r="J105" s="68">
        <v>-7128.5714285714284</v>
      </c>
      <c r="K105" s="67">
        <v>0.12745098039215685</v>
      </c>
      <c r="L105" s="67">
        <v>0.10784313725490197</v>
      </c>
      <c r="M105" s="67">
        <v>0.27586206896551724</v>
      </c>
      <c r="N105" s="67">
        <v>0.18549346016646848</v>
      </c>
      <c r="O105" s="67">
        <v>0.61637931034482762</v>
      </c>
      <c r="P105" s="67">
        <v>0.34615384615384615</v>
      </c>
      <c r="Q105" s="67">
        <v>0.45726495726495725</v>
      </c>
    </row>
    <row r="106" spans="1:17" x14ac:dyDescent="0.4">
      <c r="A106" s="69">
        <v>103</v>
      </c>
      <c r="B106" s="66">
        <v>67.699999999999932</v>
      </c>
      <c r="C106" s="66">
        <v>0.65728155339805761</v>
      </c>
      <c r="D106" s="71">
        <v>1.9805825242718447</v>
      </c>
      <c r="E106" s="67">
        <v>0.33980582524271846</v>
      </c>
      <c r="F106" s="67">
        <v>0.32038834951456313</v>
      </c>
      <c r="G106" s="67">
        <v>0.2752941176470588</v>
      </c>
      <c r="H106" s="67">
        <v>0.14941176470588236</v>
      </c>
      <c r="I106" s="68">
        <v>8729.9145299145293</v>
      </c>
      <c r="J106" s="68">
        <v>-7113.3858267716532</v>
      </c>
      <c r="K106" s="67">
        <v>0.12621359223300971</v>
      </c>
      <c r="L106" s="67">
        <v>0.10679611650485436</v>
      </c>
      <c r="M106" s="67">
        <v>0.27294117647058824</v>
      </c>
      <c r="N106" s="67">
        <v>0.18588235294117647</v>
      </c>
      <c r="O106" s="67">
        <v>0.61637931034482762</v>
      </c>
      <c r="P106" s="67">
        <v>0.34177215189873417</v>
      </c>
      <c r="Q106" s="67">
        <v>0.45726495726495725</v>
      </c>
    </row>
    <row r="107" spans="1:17" x14ac:dyDescent="0.4">
      <c r="A107" s="69">
        <v>104</v>
      </c>
      <c r="B107" s="66">
        <v>56.899999999999935</v>
      </c>
      <c r="C107" s="66">
        <v>0.547115384615384</v>
      </c>
      <c r="D107" s="71">
        <v>1.9807692307692308</v>
      </c>
      <c r="E107" s="67">
        <v>0.33653846153846156</v>
      </c>
      <c r="F107" s="67">
        <v>0.31730769230769229</v>
      </c>
      <c r="G107" s="67">
        <v>0.27336448598130841</v>
      </c>
      <c r="H107" s="67">
        <v>0.14836448598130841</v>
      </c>
      <c r="I107" s="68">
        <v>8729.9145299145293</v>
      </c>
      <c r="J107" s="68">
        <v>-7113.3858267716532</v>
      </c>
      <c r="K107" s="67">
        <v>0.125</v>
      </c>
      <c r="L107" s="67">
        <v>0.10576923076923077</v>
      </c>
      <c r="M107" s="67">
        <v>0.27336448598130841</v>
      </c>
      <c r="N107" s="67">
        <v>0.18457943925233644</v>
      </c>
      <c r="O107" s="67">
        <v>0.61111111111111116</v>
      </c>
      <c r="P107" s="67">
        <v>0.34177215189873417</v>
      </c>
      <c r="Q107" s="67">
        <v>0.45726495726495725</v>
      </c>
    </row>
    <row r="108" spans="1:17" x14ac:dyDescent="0.4">
      <c r="A108" s="69">
        <v>105</v>
      </c>
      <c r="B108" s="66">
        <v>-9.6000000000000654</v>
      </c>
      <c r="C108" s="66">
        <v>-9.1428571428572053E-2</v>
      </c>
      <c r="D108" s="71">
        <v>1.9904761904761905</v>
      </c>
      <c r="E108" s="67">
        <v>0.33333333333333331</v>
      </c>
      <c r="F108" s="67">
        <v>0.32380952380952382</v>
      </c>
      <c r="G108" s="67">
        <v>0.27293844367015097</v>
      </c>
      <c r="H108" s="67">
        <v>0.15098722415795587</v>
      </c>
      <c r="I108" s="68">
        <v>8705.5319148936178</v>
      </c>
      <c r="J108" s="68">
        <v>-7287.6923076923076</v>
      </c>
      <c r="K108" s="67">
        <v>0.13333333333333333</v>
      </c>
      <c r="L108" s="67">
        <v>0.10476190476190476</v>
      </c>
      <c r="M108" s="67">
        <v>0.27177700348432055</v>
      </c>
      <c r="N108" s="67">
        <v>0.18466898954703834</v>
      </c>
      <c r="O108" s="67">
        <v>0.61111111111111116</v>
      </c>
      <c r="P108" s="67">
        <v>0.34591194968553457</v>
      </c>
      <c r="Q108" s="67">
        <v>0.45957446808510638</v>
      </c>
    </row>
    <row r="109" spans="1:17" x14ac:dyDescent="0.4">
      <c r="A109" s="69">
        <v>106</v>
      </c>
      <c r="B109" s="66">
        <v>1.4999999999999343</v>
      </c>
      <c r="C109" s="66">
        <v>1.4150943396225794E-2</v>
      </c>
      <c r="D109" s="71">
        <v>1.9905660377358489</v>
      </c>
      <c r="E109" s="67">
        <v>0.330188679245283</v>
      </c>
      <c r="F109" s="67">
        <v>0.32075471698113206</v>
      </c>
      <c r="G109" s="67">
        <v>0.27304147465437789</v>
      </c>
      <c r="H109" s="67">
        <v>0.15092165898617513</v>
      </c>
      <c r="I109" s="68">
        <v>8733.3333333333339</v>
      </c>
      <c r="J109" s="68">
        <v>-7251.9083969465646</v>
      </c>
      <c r="K109" s="67">
        <v>0.13207547169811321</v>
      </c>
      <c r="L109" s="67">
        <v>0.10377358490566038</v>
      </c>
      <c r="M109" s="67">
        <v>0.27188940092165897</v>
      </c>
      <c r="N109" s="67">
        <v>0.18317972350230416</v>
      </c>
      <c r="O109" s="67">
        <v>0.61016949152542377</v>
      </c>
      <c r="P109" s="67">
        <v>0.34591194968553457</v>
      </c>
      <c r="Q109" s="67">
        <v>0.46413502109704641</v>
      </c>
    </row>
    <row r="110" spans="1:17" x14ac:dyDescent="0.4">
      <c r="A110" s="69">
        <v>107</v>
      </c>
      <c r="B110" s="66">
        <v>1.2999999999999343</v>
      </c>
      <c r="C110" s="66">
        <v>1.214953271027976E-2</v>
      </c>
      <c r="D110" s="71">
        <v>1.9906542056074767</v>
      </c>
      <c r="E110" s="67">
        <v>0.32710280373831774</v>
      </c>
      <c r="F110" s="67">
        <v>0.31775700934579437</v>
      </c>
      <c r="G110" s="67">
        <v>0.27324263038548752</v>
      </c>
      <c r="H110" s="67">
        <v>0.15192743764172337</v>
      </c>
      <c r="I110" s="68">
        <v>8734.8547717842321</v>
      </c>
      <c r="J110" s="68">
        <v>-7208.9552238805973</v>
      </c>
      <c r="K110" s="67">
        <v>0.13084112149532709</v>
      </c>
      <c r="L110" s="67">
        <v>0.10280373831775701</v>
      </c>
      <c r="M110" s="67">
        <v>0.27324263038548752</v>
      </c>
      <c r="N110" s="67">
        <v>0.18367346938775511</v>
      </c>
      <c r="O110" s="67">
        <v>0.60580912863070535</v>
      </c>
      <c r="P110" s="67">
        <v>0.35185185185185186</v>
      </c>
      <c r="Q110" s="67">
        <v>0.46058091286307051</v>
      </c>
    </row>
    <row r="111" spans="1:17" x14ac:dyDescent="0.4">
      <c r="A111" s="69">
        <v>108</v>
      </c>
      <c r="B111" s="66">
        <v>-5.7000000000000659</v>
      </c>
      <c r="C111" s="66">
        <v>-5.2777777777778388E-2</v>
      </c>
      <c r="D111" s="71">
        <v>1.9907407407407407</v>
      </c>
      <c r="E111" s="67">
        <v>0.32407407407407407</v>
      </c>
      <c r="F111" s="67">
        <v>0.31481481481481483</v>
      </c>
      <c r="G111" s="67">
        <v>0.27130044843049328</v>
      </c>
      <c r="H111" s="67">
        <v>0.15022421524663676</v>
      </c>
      <c r="I111" s="68">
        <v>8748.3471074380159</v>
      </c>
      <c r="J111" s="68">
        <v>-7208.9552238805973</v>
      </c>
      <c r="K111" s="67">
        <v>0.12962962962962962</v>
      </c>
      <c r="L111" s="67">
        <v>0.10185185185185185</v>
      </c>
      <c r="M111" s="67">
        <v>0.273542600896861</v>
      </c>
      <c r="N111" s="67">
        <v>0.18273542600896861</v>
      </c>
      <c r="O111" s="67">
        <v>0.60245901639344257</v>
      </c>
      <c r="P111" s="67">
        <v>0.34969325153374231</v>
      </c>
      <c r="Q111" s="67">
        <v>0.45867768595041325</v>
      </c>
    </row>
    <row r="112" spans="1:17" x14ac:dyDescent="0.4">
      <c r="A112" s="69">
        <v>109</v>
      </c>
      <c r="B112" s="66">
        <v>-6.1000000000000663</v>
      </c>
      <c r="C112" s="66">
        <v>-5.5963302752294185E-2</v>
      </c>
      <c r="D112" s="71">
        <v>1.9908256880733946</v>
      </c>
      <c r="E112" s="67">
        <v>0.32110091743119268</v>
      </c>
      <c r="F112" s="67">
        <v>0.31192660550458717</v>
      </c>
      <c r="G112" s="67">
        <v>0.27081021087680357</v>
      </c>
      <c r="H112" s="67">
        <v>0.15094339622641509</v>
      </c>
      <c r="I112" s="68">
        <v>8807.7868852459014</v>
      </c>
      <c r="J112" s="68">
        <v>-7219.8529411764703</v>
      </c>
      <c r="K112" s="67">
        <v>0.12844036697247707</v>
      </c>
      <c r="L112" s="67">
        <v>0.10091743119266056</v>
      </c>
      <c r="M112" s="67">
        <v>0.27192008879023305</v>
      </c>
      <c r="N112" s="67">
        <v>0.18201997780244172</v>
      </c>
      <c r="O112" s="67">
        <v>0.60408163265306125</v>
      </c>
      <c r="P112" s="67">
        <v>0.34756097560975607</v>
      </c>
      <c r="Q112" s="67">
        <v>0.45901639344262296</v>
      </c>
    </row>
    <row r="113" spans="1:17" x14ac:dyDescent="0.4">
      <c r="A113" s="69">
        <v>110</v>
      </c>
      <c r="B113" s="66">
        <v>-43.800000000000068</v>
      </c>
      <c r="C113" s="66">
        <v>-0.3981818181818188</v>
      </c>
      <c r="D113" s="71">
        <v>2</v>
      </c>
      <c r="E113" s="67">
        <v>0.31818181818181818</v>
      </c>
      <c r="F113" s="67">
        <v>0.31818181818181818</v>
      </c>
      <c r="G113" s="67">
        <v>0.27012127894156562</v>
      </c>
      <c r="H113" s="67">
        <v>0.15104740904079383</v>
      </c>
      <c r="I113" s="68">
        <v>8793.0612244897966</v>
      </c>
      <c r="J113" s="68">
        <v>-7205.1094890510949</v>
      </c>
      <c r="K113" s="67">
        <v>0.12727272727272726</v>
      </c>
      <c r="L113" s="67">
        <v>0.1</v>
      </c>
      <c r="M113" s="67">
        <v>0.27012127894156562</v>
      </c>
      <c r="N113" s="67">
        <v>0.18412348401323042</v>
      </c>
      <c r="O113" s="67">
        <v>0.60408163265306125</v>
      </c>
      <c r="P113" s="67">
        <v>0.3413173652694611</v>
      </c>
      <c r="Q113" s="67">
        <v>0.45714285714285713</v>
      </c>
    </row>
    <row r="114" spans="1:17" x14ac:dyDescent="0.4">
      <c r="A114" s="69">
        <v>111</v>
      </c>
      <c r="B114" s="66">
        <v>-3.6000000000000654</v>
      </c>
      <c r="C114" s="66">
        <v>-3.2432432432433024E-2</v>
      </c>
      <c r="D114" s="71">
        <v>1.9909909909909911</v>
      </c>
      <c r="E114" s="67">
        <v>0.32432432432432434</v>
      </c>
      <c r="F114" s="67">
        <v>0.31531531531531531</v>
      </c>
      <c r="G114" s="67">
        <v>0.2735229759299781</v>
      </c>
      <c r="H114" s="67">
        <v>0.14989059080962802</v>
      </c>
      <c r="I114" s="68">
        <v>8717.2000000000007</v>
      </c>
      <c r="J114" s="68">
        <v>-7205.1094890510949</v>
      </c>
      <c r="K114" s="67">
        <v>0.12612612612612611</v>
      </c>
      <c r="L114" s="67">
        <v>9.90990990990991E-2</v>
      </c>
      <c r="M114" s="67">
        <v>0.26805251641137856</v>
      </c>
      <c r="N114" s="67">
        <v>0.18927789934354486</v>
      </c>
      <c r="O114" s="67">
        <v>0.60408163265306125</v>
      </c>
      <c r="P114" s="67">
        <v>0.3583815028901734</v>
      </c>
      <c r="Q114" s="67">
        <v>0.45600000000000002</v>
      </c>
    </row>
    <row r="115" spans="1:17" x14ac:dyDescent="0.4">
      <c r="A115" s="69">
        <v>112</v>
      </c>
      <c r="B115" s="66">
        <v>-65.200000000000074</v>
      </c>
      <c r="C115" s="66">
        <v>-0.58214285714285785</v>
      </c>
      <c r="D115" s="71">
        <v>2</v>
      </c>
      <c r="E115" s="67">
        <v>0.32142857142857145</v>
      </c>
      <c r="F115" s="67">
        <v>0.32142857142857145</v>
      </c>
      <c r="G115" s="67">
        <v>0.27114967462039047</v>
      </c>
      <c r="H115" s="67">
        <v>0.15292841648590022</v>
      </c>
      <c r="I115" s="68">
        <v>8717.2000000000007</v>
      </c>
      <c r="J115" s="68">
        <v>-7217.7304964539007</v>
      </c>
      <c r="K115" s="67">
        <v>0.13392857142857142</v>
      </c>
      <c r="L115" s="67">
        <v>9.8214285714285712E-2</v>
      </c>
      <c r="M115" s="67">
        <v>0.26789587852494579</v>
      </c>
      <c r="N115" s="67">
        <v>0.18872017353579176</v>
      </c>
      <c r="O115" s="67">
        <v>0.59919028340080971</v>
      </c>
      <c r="P115" s="67">
        <v>0.35632183908045978</v>
      </c>
      <c r="Q115" s="67">
        <v>0.45600000000000002</v>
      </c>
    </row>
    <row r="116" spans="1:17" x14ac:dyDescent="0.4">
      <c r="A116" s="69">
        <v>113</v>
      </c>
      <c r="B116" s="66">
        <v>-109.10000000000008</v>
      </c>
      <c r="C116" s="66">
        <v>-0.96548672566371752</v>
      </c>
      <c r="D116" s="71">
        <v>2.0088495575221237</v>
      </c>
      <c r="E116" s="67">
        <v>0.31858407079646017</v>
      </c>
      <c r="F116" s="67">
        <v>0.32743362831858408</v>
      </c>
      <c r="G116" s="67">
        <v>0.27058823529411763</v>
      </c>
      <c r="H116" s="67">
        <v>0.15187165775401071</v>
      </c>
      <c r="I116" s="68">
        <v>8655.3359683794461</v>
      </c>
      <c r="J116" s="68">
        <v>-7200.7042253521131</v>
      </c>
      <c r="K116" s="67">
        <v>0.13274336283185842</v>
      </c>
      <c r="L116" s="67">
        <v>9.7345132743362831E-2</v>
      </c>
      <c r="M116" s="67">
        <v>0.26631016042780747</v>
      </c>
      <c r="N116" s="67">
        <v>0.19251336898395721</v>
      </c>
      <c r="O116" s="67">
        <v>0.59839357429718876</v>
      </c>
      <c r="P116" s="67">
        <v>0.35555555555555557</v>
      </c>
      <c r="Q116" s="67">
        <v>0.45059288537549408</v>
      </c>
    </row>
    <row r="117" spans="1:17" x14ac:dyDescent="0.4">
      <c r="A117" s="69">
        <v>114</v>
      </c>
      <c r="B117" s="66">
        <v>-98.400000000000077</v>
      </c>
      <c r="C117" s="66">
        <v>-0.86315789473684279</v>
      </c>
      <c r="D117" s="71">
        <v>2.0087719298245612</v>
      </c>
      <c r="E117" s="67">
        <v>0.31578947368421051</v>
      </c>
      <c r="F117" s="67">
        <v>0.32456140350877194</v>
      </c>
      <c r="G117" s="67">
        <v>0.27061310782241016</v>
      </c>
      <c r="H117" s="67">
        <v>0.15221987315010571</v>
      </c>
      <c r="I117" s="68">
        <v>8657.03125</v>
      </c>
      <c r="J117" s="68">
        <v>-7183.333333333333</v>
      </c>
      <c r="K117" s="67">
        <v>0.13157894736842105</v>
      </c>
      <c r="L117" s="67">
        <v>9.6491228070175433E-2</v>
      </c>
      <c r="M117" s="67">
        <v>0.26532769556025371</v>
      </c>
      <c r="N117" s="67">
        <v>0.193446088794926</v>
      </c>
      <c r="O117" s="67">
        <v>0.60159362549800799</v>
      </c>
      <c r="P117" s="67">
        <v>0.3551912568306011</v>
      </c>
      <c r="Q117" s="67">
        <v>0.4453125</v>
      </c>
    </row>
    <row r="118" spans="1:17" x14ac:dyDescent="0.4">
      <c r="A118" s="69">
        <v>115</v>
      </c>
      <c r="B118" s="66">
        <v>-62.700000000000074</v>
      </c>
      <c r="C118" s="66">
        <v>-0.54521739130434843</v>
      </c>
      <c r="D118" s="71">
        <v>2</v>
      </c>
      <c r="E118" s="67">
        <v>0.32173913043478258</v>
      </c>
      <c r="F118" s="67">
        <v>0.32173913043478258</v>
      </c>
      <c r="G118" s="67">
        <v>0.27205882352941174</v>
      </c>
      <c r="H118" s="67">
        <v>0.15126050420168066</v>
      </c>
      <c r="I118" s="68">
        <v>8636.6795366795359</v>
      </c>
      <c r="J118" s="68">
        <v>-7183.333333333333</v>
      </c>
      <c r="K118" s="67">
        <v>0.13043478260869565</v>
      </c>
      <c r="L118" s="67">
        <v>9.5652173913043481E-2</v>
      </c>
      <c r="M118" s="67">
        <v>0.2657563025210084</v>
      </c>
      <c r="N118" s="67">
        <v>0.19222689075630253</v>
      </c>
      <c r="O118" s="67">
        <v>0.60474308300395252</v>
      </c>
      <c r="P118" s="67">
        <v>0.3551912568306011</v>
      </c>
      <c r="Q118" s="67">
        <v>0.44787644787644787</v>
      </c>
    </row>
    <row r="119" spans="1:17" x14ac:dyDescent="0.4">
      <c r="A119" s="69">
        <v>116</v>
      </c>
      <c r="B119" s="66">
        <v>-35.500000000000071</v>
      </c>
      <c r="C119" s="66">
        <v>-0.30603448275862133</v>
      </c>
      <c r="D119" s="71">
        <v>1.9913793103448276</v>
      </c>
      <c r="E119" s="67">
        <v>0.32758620689655171</v>
      </c>
      <c r="F119" s="67">
        <v>0.31896551724137934</v>
      </c>
      <c r="G119" s="67">
        <v>0.27291666666666664</v>
      </c>
      <c r="H119" s="67">
        <v>0.15104166666666666</v>
      </c>
      <c r="I119" s="68">
        <v>8644.6564885496191</v>
      </c>
      <c r="J119" s="68">
        <v>-7216.5517241379312</v>
      </c>
      <c r="K119" s="67">
        <v>0.12931034482758622</v>
      </c>
      <c r="L119" s="67">
        <v>9.4827586206896547E-2</v>
      </c>
      <c r="M119" s="67">
        <v>0.26458333333333334</v>
      </c>
      <c r="N119" s="67">
        <v>0.19375000000000001</v>
      </c>
      <c r="O119" s="67">
        <v>0.60629921259842523</v>
      </c>
      <c r="P119" s="67">
        <v>0.35483870967741937</v>
      </c>
      <c r="Q119" s="67">
        <v>0.45038167938931295</v>
      </c>
    </row>
    <row r="120" spans="1:17" x14ac:dyDescent="0.4">
      <c r="A120" s="69">
        <v>117</v>
      </c>
      <c r="B120" s="66">
        <v>-19.70000000000007</v>
      </c>
      <c r="C120" s="66">
        <v>-0.16837606837606897</v>
      </c>
      <c r="D120" s="71">
        <v>1.9914529914529915</v>
      </c>
      <c r="E120" s="67">
        <v>0.3247863247863248</v>
      </c>
      <c r="F120" s="67">
        <v>0.31623931623931623</v>
      </c>
      <c r="G120" s="67">
        <v>0.27197518097207857</v>
      </c>
      <c r="H120" s="67">
        <v>0.15098241985522234</v>
      </c>
      <c r="I120" s="68">
        <v>8672.6235741444871</v>
      </c>
      <c r="J120" s="68">
        <v>-7184.9315068493152</v>
      </c>
      <c r="K120" s="67">
        <v>0.12820512820512819</v>
      </c>
      <c r="L120" s="67">
        <v>9.4017094017094016E-2</v>
      </c>
      <c r="M120" s="67">
        <v>0.26370217166494314</v>
      </c>
      <c r="N120" s="67">
        <v>0.19338159255429163</v>
      </c>
      <c r="O120" s="67">
        <v>0.60392156862745094</v>
      </c>
      <c r="P120" s="67">
        <v>0.35828877005347592</v>
      </c>
      <c r="Q120" s="67">
        <v>0.44866920152091255</v>
      </c>
    </row>
    <row r="121" spans="1:17" x14ac:dyDescent="0.4">
      <c r="A121" s="69">
        <v>118</v>
      </c>
      <c r="B121" s="66">
        <v>-48.500000000000071</v>
      </c>
      <c r="C121" s="66">
        <v>-0.411016949152543</v>
      </c>
      <c r="D121" s="71">
        <v>2</v>
      </c>
      <c r="E121" s="67">
        <v>0.32203389830508472</v>
      </c>
      <c r="F121" s="67">
        <v>0.32203389830508472</v>
      </c>
      <c r="G121" s="67">
        <v>0.27049180327868855</v>
      </c>
      <c r="H121" s="67">
        <v>0.15061475409836064</v>
      </c>
      <c r="I121" s="68">
        <v>8659.8484848484841</v>
      </c>
      <c r="J121" s="68">
        <v>-7162.5850340136058</v>
      </c>
      <c r="K121" s="67">
        <v>0.1271186440677966</v>
      </c>
      <c r="L121" s="67">
        <v>9.3220338983050849E-2</v>
      </c>
      <c r="M121" s="67">
        <v>0.26331967213114754</v>
      </c>
      <c r="N121" s="67">
        <v>0.19262295081967212</v>
      </c>
      <c r="O121" s="67">
        <v>0.59922178988326846</v>
      </c>
      <c r="P121" s="67">
        <v>0.36170212765957449</v>
      </c>
      <c r="Q121" s="67">
        <v>0.45075757575757575</v>
      </c>
    </row>
    <row r="122" spans="1:17" x14ac:dyDescent="0.4">
      <c r="A122" s="69">
        <v>119</v>
      </c>
      <c r="B122" s="66">
        <v>12.699999999999932</v>
      </c>
      <c r="C122" s="66">
        <v>0.10672268907562968</v>
      </c>
      <c r="D122" s="71">
        <v>1.9915966386554622</v>
      </c>
      <c r="E122" s="67">
        <v>0.32773109243697479</v>
      </c>
      <c r="F122" s="67">
        <v>0.31932773109243695</v>
      </c>
      <c r="G122" s="67">
        <v>0.27190332326283989</v>
      </c>
      <c r="H122" s="67">
        <v>0.15005035246727089</v>
      </c>
      <c r="I122" s="68">
        <v>8703.7037037037044</v>
      </c>
      <c r="J122" s="68">
        <v>-7090.6040268456372</v>
      </c>
      <c r="K122" s="67">
        <v>0.12605042016806722</v>
      </c>
      <c r="L122" s="67">
        <v>9.2436974789915971E-2</v>
      </c>
      <c r="M122" s="67">
        <v>0.26384692849949648</v>
      </c>
      <c r="N122" s="67">
        <v>0.19234642497482377</v>
      </c>
      <c r="O122" s="67">
        <v>0.60687022900763354</v>
      </c>
      <c r="P122" s="67">
        <v>0.35602094240837695</v>
      </c>
      <c r="Q122" s="67">
        <v>0.44444444444444442</v>
      </c>
    </row>
    <row r="123" spans="1:17" x14ac:dyDescent="0.4">
      <c r="A123" s="69">
        <v>120</v>
      </c>
      <c r="B123" s="66">
        <v>15.899999999999931</v>
      </c>
      <c r="C123" s="66">
        <v>0.13249999999999942</v>
      </c>
      <c r="D123" s="71">
        <v>1.9916666666666667</v>
      </c>
      <c r="E123" s="67">
        <v>0.32500000000000001</v>
      </c>
      <c r="F123" s="67">
        <v>0.31666666666666665</v>
      </c>
      <c r="G123" s="67">
        <v>0.27127127127127126</v>
      </c>
      <c r="H123" s="67">
        <v>0.15015015015015015</v>
      </c>
      <c r="I123" s="68">
        <v>8700</v>
      </c>
      <c r="J123" s="68">
        <v>-7056.666666666667</v>
      </c>
      <c r="K123" s="67">
        <v>0.125</v>
      </c>
      <c r="L123" s="67">
        <v>9.166666666666666E-2</v>
      </c>
      <c r="M123" s="67">
        <v>0.26226226226226224</v>
      </c>
      <c r="N123" s="67">
        <v>0.19119119119119118</v>
      </c>
      <c r="O123" s="67">
        <v>0.60687022900763354</v>
      </c>
      <c r="P123" s="67">
        <v>0.35602094240837695</v>
      </c>
      <c r="Q123" s="67">
        <v>0.44649446494464945</v>
      </c>
    </row>
    <row r="124" spans="1:17" x14ac:dyDescent="0.4">
      <c r="A124" s="69">
        <v>121</v>
      </c>
      <c r="B124" s="66">
        <v>57.399999999999935</v>
      </c>
      <c r="C124" s="66">
        <v>0.47438016528925564</v>
      </c>
      <c r="D124" s="71">
        <v>1.9834710743801653</v>
      </c>
      <c r="E124" s="67">
        <v>0.33057851239669422</v>
      </c>
      <c r="F124" s="67">
        <v>0.31404958677685951</v>
      </c>
      <c r="G124" s="67">
        <v>0.27209533267130087</v>
      </c>
      <c r="H124" s="67">
        <v>0.1499503475670308</v>
      </c>
      <c r="I124" s="68">
        <v>8750.7299270072999</v>
      </c>
      <c r="J124" s="68">
        <v>-7062.9139072847684</v>
      </c>
      <c r="K124" s="67">
        <v>0.12396694214876033</v>
      </c>
      <c r="L124" s="67">
        <v>9.0909090909090912E-2</v>
      </c>
      <c r="M124" s="67">
        <v>0.26315789473684209</v>
      </c>
      <c r="N124" s="67">
        <v>0.19265143992055611</v>
      </c>
      <c r="O124" s="67">
        <v>0.60754716981132073</v>
      </c>
      <c r="P124" s="67">
        <v>0.35567010309278352</v>
      </c>
      <c r="Q124" s="67">
        <v>0.44160583941605841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82B2E-D621-4BB1-9F87-C664D55B1C5B}">
  <sheetPr codeName="Sheet18"/>
  <dimension ref="A1:Q6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  <row r="52" spans="1:17" x14ac:dyDescent="0.4">
      <c r="A52" s="69">
        <v>49</v>
      </c>
      <c r="B52" s="66">
        <v>-433</v>
      </c>
      <c r="C52" s="66">
        <v>-8.8367346938775508</v>
      </c>
      <c r="D52" s="71">
        <v>2.1224489795918369</v>
      </c>
      <c r="E52" s="67">
        <v>0.2857142857142857</v>
      </c>
      <c r="F52" s="67">
        <v>0.40816326530612246</v>
      </c>
      <c r="G52" s="67">
        <v>0.29146919431279622</v>
      </c>
      <c r="H52" s="67">
        <v>0.1872037914691943</v>
      </c>
      <c r="I52" s="68">
        <v>6913.8211382113823</v>
      </c>
      <c r="J52" s="68">
        <v>-8300</v>
      </c>
      <c r="K52" s="67">
        <v>0.14285714285714285</v>
      </c>
      <c r="L52" s="67">
        <v>6.1224489795918366E-2</v>
      </c>
      <c r="M52" s="67">
        <v>0.22274881516587677</v>
      </c>
      <c r="N52" s="67">
        <v>0.24881516587677724</v>
      </c>
      <c r="O52" s="67">
        <v>0.58510638297872342</v>
      </c>
      <c r="P52" s="67">
        <v>0.33333333333333331</v>
      </c>
      <c r="Q52" s="67">
        <v>0.50406504065040647</v>
      </c>
    </row>
    <row r="53" spans="1:17" x14ac:dyDescent="0.4">
      <c r="A53" s="69">
        <v>50</v>
      </c>
      <c r="B53" s="66">
        <v>-437.3</v>
      </c>
      <c r="C53" s="66">
        <v>-8.7460000000000004</v>
      </c>
      <c r="D53" s="71">
        <v>2.12</v>
      </c>
      <c r="E53" s="67">
        <v>0.28000000000000003</v>
      </c>
      <c r="F53" s="67">
        <v>0.4</v>
      </c>
      <c r="G53" s="67">
        <v>0.28868360277136257</v>
      </c>
      <c r="H53" s="67">
        <v>0.18706697459584296</v>
      </c>
      <c r="I53" s="68">
        <v>6941.6</v>
      </c>
      <c r="J53" s="68">
        <v>-8225.9259259259252</v>
      </c>
      <c r="K53" s="67">
        <v>0.14000000000000001</v>
      </c>
      <c r="L53" s="67">
        <v>0.06</v>
      </c>
      <c r="M53" s="67">
        <v>0.22632794457274827</v>
      </c>
      <c r="N53" s="67">
        <v>0.24249422632794457</v>
      </c>
      <c r="O53" s="67">
        <v>0.5714285714285714</v>
      </c>
      <c r="P53" s="67">
        <v>0.33333333333333331</v>
      </c>
      <c r="Q53" s="67">
        <v>0.504</v>
      </c>
    </row>
    <row r="54" spans="1:17" x14ac:dyDescent="0.4">
      <c r="A54" s="69">
        <v>51</v>
      </c>
      <c r="B54" s="66">
        <v>-495.90000000000003</v>
      </c>
      <c r="C54" s="66">
        <v>-9.7235294117647069</v>
      </c>
      <c r="D54" s="71">
        <v>2.1372549019607843</v>
      </c>
      <c r="E54" s="67">
        <v>0.27450980392156865</v>
      </c>
      <c r="F54" s="67">
        <v>0.41176470588235292</v>
      </c>
      <c r="G54" s="67">
        <v>0.28636363636363638</v>
      </c>
      <c r="H54" s="67">
        <v>0.18409090909090908</v>
      </c>
      <c r="I54" s="68">
        <v>6917.4603174603171</v>
      </c>
      <c r="J54" s="68">
        <v>-8225.9259259259252</v>
      </c>
      <c r="K54" s="67">
        <v>0.15686274509803921</v>
      </c>
      <c r="L54" s="67">
        <v>5.8823529411764705E-2</v>
      </c>
      <c r="M54" s="67">
        <v>0.22272727272727272</v>
      </c>
      <c r="N54" s="67">
        <v>0.24318181818181819</v>
      </c>
      <c r="O54" s="67">
        <v>0.5714285714285714</v>
      </c>
      <c r="P54" s="67">
        <v>0.32710280373831774</v>
      </c>
      <c r="Q54" s="67">
        <v>0.5</v>
      </c>
    </row>
    <row r="55" spans="1:17" x14ac:dyDescent="0.4">
      <c r="A55" s="69">
        <v>52</v>
      </c>
      <c r="B55" s="66">
        <v>-397.6</v>
      </c>
      <c r="C55" s="66">
        <v>-7.6461538461538465</v>
      </c>
      <c r="D55" s="71">
        <v>2.1153846153846154</v>
      </c>
      <c r="E55" s="67">
        <v>0.28846153846153844</v>
      </c>
      <c r="F55" s="67">
        <v>0.40384615384615385</v>
      </c>
      <c r="G55" s="67">
        <v>0.28666666666666668</v>
      </c>
      <c r="H55" s="67">
        <v>0.18222222222222223</v>
      </c>
      <c r="I55" s="68">
        <v>7534.1085271317834</v>
      </c>
      <c r="J55" s="68">
        <v>-8271.9512195121952</v>
      </c>
      <c r="K55" s="67">
        <v>0.15384615384615385</v>
      </c>
      <c r="L55" s="67">
        <v>7.6923076923076927E-2</v>
      </c>
      <c r="M55" s="67">
        <v>0.22666666666666666</v>
      </c>
      <c r="N55" s="67">
        <v>0.24</v>
      </c>
      <c r="O55" s="67">
        <v>0.55882352941176472</v>
      </c>
      <c r="P55" s="67">
        <v>0.33333333333333331</v>
      </c>
      <c r="Q55" s="67">
        <v>0.50387596899224807</v>
      </c>
    </row>
    <row r="56" spans="1:17" x14ac:dyDescent="0.4">
      <c r="A56" s="69">
        <v>53</v>
      </c>
      <c r="B56" s="66">
        <v>-396.70000000000005</v>
      </c>
      <c r="C56" s="66">
        <v>-7.4849056603773594</v>
      </c>
      <c r="D56" s="71">
        <v>2.1132075471698113</v>
      </c>
      <c r="E56" s="67">
        <v>0.28301886792452829</v>
      </c>
      <c r="F56" s="67">
        <v>0.39622641509433965</v>
      </c>
      <c r="G56" s="67">
        <v>0.2841648590021692</v>
      </c>
      <c r="H56" s="67">
        <v>0.1822125813449024</v>
      </c>
      <c r="I56" s="68">
        <v>7648.0916030534354</v>
      </c>
      <c r="J56" s="68">
        <v>-8327.3809523809523</v>
      </c>
      <c r="K56" s="67">
        <v>0.15094339622641509</v>
      </c>
      <c r="L56" s="67">
        <v>7.5471698113207544E-2</v>
      </c>
      <c r="M56" s="67">
        <v>0.22342733188720174</v>
      </c>
      <c r="N56" s="67">
        <v>0.23644251626898047</v>
      </c>
      <c r="O56" s="67">
        <v>0.55339805825242716</v>
      </c>
      <c r="P56" s="67">
        <v>0.33944954128440369</v>
      </c>
      <c r="Q56" s="67">
        <v>0.50381679389312972</v>
      </c>
    </row>
    <row r="57" spans="1:17" x14ac:dyDescent="0.4">
      <c r="A57" s="69">
        <v>54</v>
      </c>
      <c r="B57" s="66">
        <v>-404.6</v>
      </c>
      <c r="C57" s="66">
        <v>-7.4925925925925929</v>
      </c>
      <c r="D57" s="71">
        <v>2.1111111111111112</v>
      </c>
      <c r="E57" s="67">
        <v>0.27777777777777779</v>
      </c>
      <c r="F57" s="67">
        <v>0.3888888888888889</v>
      </c>
      <c r="G57" s="67">
        <v>0.28358208955223879</v>
      </c>
      <c r="H57" s="67">
        <v>0.18336886993603413</v>
      </c>
      <c r="I57" s="68">
        <v>7569.1729323308273</v>
      </c>
      <c r="J57" s="68">
        <v>-8275.5813953488378</v>
      </c>
      <c r="K57" s="67">
        <v>0.14814814814814814</v>
      </c>
      <c r="L57" s="67">
        <v>7.407407407407407E-2</v>
      </c>
      <c r="M57" s="67">
        <v>0.21961620469083157</v>
      </c>
      <c r="N57" s="67">
        <v>0.23454157782515991</v>
      </c>
      <c r="O57" s="67">
        <v>0.55339805825242716</v>
      </c>
      <c r="P57" s="67">
        <v>0.34545454545454546</v>
      </c>
      <c r="Q57" s="67">
        <v>0.50375939849624063</v>
      </c>
    </row>
    <row r="58" spans="1:17" x14ac:dyDescent="0.4">
      <c r="A58" s="69">
        <v>55</v>
      </c>
      <c r="B58" s="66">
        <v>-349.5</v>
      </c>
      <c r="C58" s="66">
        <v>-6.3545454545454545</v>
      </c>
      <c r="D58" s="71">
        <v>2.0909090909090908</v>
      </c>
      <c r="E58" s="67">
        <v>0.29090909090909089</v>
      </c>
      <c r="F58" s="67">
        <v>0.38181818181818183</v>
      </c>
      <c r="G58" s="67">
        <v>0.2881002087682672</v>
      </c>
      <c r="H58" s="67">
        <v>0.17954070981210857</v>
      </c>
      <c r="I58" s="68">
        <v>7540.579710144928</v>
      </c>
      <c r="J58" s="68">
        <v>-8275.5813953488378</v>
      </c>
      <c r="K58" s="67">
        <v>0.14545454545454545</v>
      </c>
      <c r="L58" s="67">
        <v>7.2727272727272724E-2</v>
      </c>
      <c r="M58" s="67">
        <v>0.22129436325678498</v>
      </c>
      <c r="N58" s="67">
        <v>0.23173277661795408</v>
      </c>
      <c r="O58" s="67">
        <v>0.56603773584905659</v>
      </c>
      <c r="P58" s="67">
        <v>0.34234234234234234</v>
      </c>
      <c r="Q58" s="67">
        <v>0.5</v>
      </c>
    </row>
    <row r="59" spans="1:17" x14ac:dyDescent="0.4">
      <c r="A59" s="69">
        <v>56</v>
      </c>
      <c r="B59" s="66">
        <v>-397.1</v>
      </c>
      <c r="C59" s="66">
        <v>-7.0910714285714294</v>
      </c>
      <c r="D59" s="71">
        <v>2.1071428571428572</v>
      </c>
      <c r="E59" s="67">
        <v>0.2857142857142857</v>
      </c>
      <c r="F59" s="67">
        <v>0.39285714285714285</v>
      </c>
      <c r="G59" s="67">
        <v>0.2857142857142857</v>
      </c>
      <c r="H59" s="67">
        <v>0.18571428571428572</v>
      </c>
      <c r="I59" s="68">
        <v>7573.5714285714284</v>
      </c>
      <c r="J59" s="68">
        <v>-8203.2967032967026</v>
      </c>
      <c r="K59" s="67">
        <v>0.14285714285714285</v>
      </c>
      <c r="L59" s="67">
        <v>7.1428571428571425E-2</v>
      </c>
      <c r="M59" s="67">
        <v>0.22040816326530613</v>
      </c>
      <c r="N59" s="67">
        <v>0.22653061224489796</v>
      </c>
      <c r="O59" s="67">
        <v>0.57407407407407407</v>
      </c>
      <c r="P59" s="67">
        <v>0.34234234234234234</v>
      </c>
      <c r="Q59" s="67">
        <v>0.5</v>
      </c>
    </row>
    <row r="60" spans="1:17" x14ac:dyDescent="0.4">
      <c r="A60" s="69">
        <v>57</v>
      </c>
      <c r="B60" s="66">
        <v>-461.6</v>
      </c>
      <c r="C60" s="66">
        <v>-8.098245614035088</v>
      </c>
      <c r="D60" s="71">
        <v>2.1228070175438596</v>
      </c>
      <c r="E60" s="67">
        <v>0.2807017543859649</v>
      </c>
      <c r="F60" s="67">
        <v>0.40350877192982454</v>
      </c>
      <c r="G60" s="67">
        <v>0.28370221327967809</v>
      </c>
      <c r="H60" s="67">
        <v>0.1891348088531187</v>
      </c>
      <c r="I60" s="68">
        <v>7531.2056737588655</v>
      </c>
      <c r="J60" s="68">
        <v>-8229.7872340425529</v>
      </c>
      <c r="K60" s="67">
        <v>0.15789473684210525</v>
      </c>
      <c r="L60" s="67">
        <v>7.0175438596491224E-2</v>
      </c>
      <c r="M60" s="67">
        <v>0.22132796780684105</v>
      </c>
      <c r="N60" s="67">
        <v>0.22535211267605634</v>
      </c>
      <c r="O60" s="67">
        <v>0.5636363636363636</v>
      </c>
      <c r="P60" s="67">
        <v>0.3392857142857143</v>
      </c>
      <c r="Q60" s="67">
        <v>0.50354609929078009</v>
      </c>
    </row>
    <row r="61" spans="1:17" x14ac:dyDescent="0.4">
      <c r="A61" s="69">
        <v>58</v>
      </c>
      <c r="B61" s="66">
        <v>-521</v>
      </c>
      <c r="C61" s="66">
        <v>-8.9827586206896548</v>
      </c>
      <c r="D61" s="71">
        <v>2.1379310344827585</v>
      </c>
      <c r="E61" s="67">
        <v>0.27586206896551724</v>
      </c>
      <c r="F61" s="67">
        <v>0.41379310344827586</v>
      </c>
      <c r="G61" s="67">
        <v>0.28031809145129227</v>
      </c>
      <c r="H61" s="67">
        <v>0.19284294234592445</v>
      </c>
      <c r="I61" s="68">
        <v>7531.2056737588655</v>
      </c>
      <c r="J61" s="68">
        <v>-8221.649484536083</v>
      </c>
      <c r="K61" s="67">
        <v>0.17241379310344829</v>
      </c>
      <c r="L61" s="67">
        <v>6.8965517241379309E-2</v>
      </c>
      <c r="M61" s="67">
        <v>0.21868787276341947</v>
      </c>
      <c r="N61" s="67">
        <v>0.22465208747514911</v>
      </c>
      <c r="O61" s="67">
        <v>0.5636363636363636</v>
      </c>
      <c r="P61" s="67">
        <v>0.33628318584070799</v>
      </c>
      <c r="Q61" s="67">
        <v>0.50354609929078009</v>
      </c>
    </row>
    <row r="62" spans="1:17" x14ac:dyDescent="0.4">
      <c r="A62" s="69">
        <v>59</v>
      </c>
      <c r="B62" s="66">
        <v>-521</v>
      </c>
      <c r="C62" s="66">
        <v>-8.8305084745762716</v>
      </c>
      <c r="D62" s="71">
        <v>2.1355932203389831</v>
      </c>
      <c r="E62" s="67">
        <v>0.2711864406779661</v>
      </c>
      <c r="F62" s="67">
        <v>0.40677966101694918</v>
      </c>
      <c r="G62" s="67">
        <v>0.27920792079207923</v>
      </c>
      <c r="H62" s="67">
        <v>0.19207920792079208</v>
      </c>
      <c r="I62" s="68">
        <v>7531.2056737588655</v>
      </c>
      <c r="J62" s="68">
        <v>-8221.649484536083</v>
      </c>
      <c r="K62" s="67">
        <v>0.16949152542372881</v>
      </c>
      <c r="L62" s="67">
        <v>6.7796610169491525E-2</v>
      </c>
      <c r="M62" s="67">
        <v>0.21782178217821782</v>
      </c>
      <c r="N62" s="67">
        <v>0.22376237623762377</v>
      </c>
      <c r="O62" s="67">
        <v>0.5636363636363636</v>
      </c>
      <c r="P62" s="67">
        <v>0.33628318584070799</v>
      </c>
      <c r="Q62" s="67">
        <v>0.50354609929078009</v>
      </c>
    </row>
    <row r="63" spans="1:17" x14ac:dyDescent="0.4">
      <c r="A63" s="69">
        <v>60</v>
      </c>
      <c r="B63" s="66">
        <v>-511.8</v>
      </c>
      <c r="C63" s="66">
        <v>-8.5299999999999994</v>
      </c>
      <c r="D63" s="71">
        <v>2.1333333333333333</v>
      </c>
      <c r="E63" s="67">
        <v>0.26666666666666666</v>
      </c>
      <c r="F63" s="67">
        <v>0.4</v>
      </c>
      <c r="G63" s="67">
        <v>0.27799227799227799</v>
      </c>
      <c r="H63" s="67">
        <v>0.19498069498069498</v>
      </c>
      <c r="I63" s="68">
        <v>7632.6388888888887</v>
      </c>
      <c r="J63" s="68">
        <v>-8019.8019801980199</v>
      </c>
      <c r="K63" s="67">
        <v>0.16666666666666666</v>
      </c>
      <c r="L63" s="67">
        <v>6.6666666666666666E-2</v>
      </c>
      <c r="M63" s="67">
        <v>0.21814671814671815</v>
      </c>
      <c r="N63" s="67">
        <v>0.21814671814671815</v>
      </c>
      <c r="O63" s="67">
        <v>0.5752212389380531</v>
      </c>
      <c r="P63" s="67">
        <v>0.33628318584070799</v>
      </c>
      <c r="Q63" s="67">
        <v>0.51388888888888884</v>
      </c>
    </row>
    <row r="64" spans="1:17" x14ac:dyDescent="0.4">
      <c r="A64" s="69">
        <v>61</v>
      </c>
      <c r="B64" s="66">
        <v>-560.6</v>
      </c>
      <c r="C64" s="66">
        <v>-9.1901639344262307</v>
      </c>
      <c r="D64" s="71">
        <v>2.1475409836065573</v>
      </c>
      <c r="E64" s="67">
        <v>0.26229508196721313</v>
      </c>
      <c r="F64" s="67">
        <v>0.4098360655737705</v>
      </c>
      <c r="G64" s="67">
        <v>0.27788279773156899</v>
      </c>
      <c r="H64" s="67">
        <v>0.19470699432892249</v>
      </c>
      <c r="I64" s="68">
        <v>7610.2040816326535</v>
      </c>
      <c r="J64" s="68">
        <v>-8151.4563106796113</v>
      </c>
      <c r="K64" s="67">
        <v>0.16393442622950818</v>
      </c>
      <c r="L64" s="67">
        <v>6.5573770491803282E-2</v>
      </c>
      <c r="M64" s="67">
        <v>0.22306238185255198</v>
      </c>
      <c r="N64" s="67">
        <v>0.21550094517958412</v>
      </c>
      <c r="O64" s="67">
        <v>0.57627118644067798</v>
      </c>
      <c r="P64" s="67">
        <v>0.33333333333333331</v>
      </c>
      <c r="Q64" s="67">
        <v>0.50340136054421769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319DA-1A59-4945-A3F7-1A69F5F0F13C}">
  <sheetPr codeName="Sheet16"/>
  <dimension ref="A1:Q10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  <row r="87" spans="1:17" x14ac:dyDescent="0.4">
      <c r="A87" s="69">
        <v>84</v>
      </c>
      <c r="B87" s="66">
        <v>-162.90000000000003</v>
      </c>
      <c r="C87" s="66">
        <v>-1.9392857142857147</v>
      </c>
      <c r="D87" s="71">
        <v>2.0595238095238093</v>
      </c>
      <c r="E87" s="67">
        <v>0.25</v>
      </c>
      <c r="F87" s="67">
        <v>0.30952380952380953</v>
      </c>
      <c r="G87" s="67">
        <v>0.34401114206128136</v>
      </c>
      <c r="H87" s="67">
        <v>0.13788300835654596</v>
      </c>
      <c r="I87" s="68">
        <v>6827.9352226720648</v>
      </c>
      <c r="J87" s="68">
        <v>-8638.3838383838392</v>
      </c>
      <c r="K87" s="67">
        <v>5.9523809523809521E-2</v>
      </c>
      <c r="L87" s="67">
        <v>0.10714285714285714</v>
      </c>
      <c r="M87" s="67">
        <v>0.2116991643454039</v>
      </c>
      <c r="N87" s="67">
        <v>0.29247910863509752</v>
      </c>
      <c r="O87" s="67">
        <v>0.55263157894736847</v>
      </c>
      <c r="P87" s="67">
        <v>0.4238095238095238</v>
      </c>
      <c r="Q87" s="67">
        <v>0.40890688259109309</v>
      </c>
    </row>
    <row r="88" spans="1:17" x14ac:dyDescent="0.4">
      <c r="A88" s="69">
        <v>85</v>
      </c>
      <c r="B88" s="66">
        <v>-121.30000000000004</v>
      </c>
      <c r="C88" s="66">
        <v>-1.4270588235294122</v>
      </c>
      <c r="D88" s="71">
        <v>2.0470588235294116</v>
      </c>
      <c r="E88" s="67">
        <v>0.25882352941176473</v>
      </c>
      <c r="F88" s="67">
        <v>0.30588235294117649</v>
      </c>
      <c r="G88" s="67">
        <v>0.34482758620689657</v>
      </c>
      <c r="H88" s="67">
        <v>0.13793103448275862</v>
      </c>
      <c r="I88" s="68">
        <v>6866.4</v>
      </c>
      <c r="J88" s="68">
        <v>-8632</v>
      </c>
      <c r="K88" s="67">
        <v>5.8823529411764705E-2</v>
      </c>
      <c r="L88" s="67">
        <v>0.10588235294117647</v>
      </c>
      <c r="M88" s="67">
        <v>0.21241379310344827</v>
      </c>
      <c r="N88" s="67">
        <v>0.29103448275862071</v>
      </c>
      <c r="O88" s="67">
        <v>0.55194805194805197</v>
      </c>
      <c r="P88" s="67">
        <v>0.42654028436018959</v>
      </c>
      <c r="Q88" s="67">
        <v>0.40400000000000003</v>
      </c>
    </row>
    <row r="89" spans="1:17" x14ac:dyDescent="0.4">
      <c r="A89" s="69">
        <v>86</v>
      </c>
      <c r="B89" s="66">
        <v>-133.30000000000004</v>
      </c>
      <c r="C89" s="66">
        <v>-1.5500000000000005</v>
      </c>
      <c r="D89" s="71">
        <v>2.0465116279069768</v>
      </c>
      <c r="E89" s="67">
        <v>0.2558139534883721</v>
      </c>
      <c r="F89" s="67">
        <v>0.30232558139534882</v>
      </c>
      <c r="G89" s="67">
        <v>0.34430727023319618</v>
      </c>
      <c r="H89" s="67">
        <v>0.13717421124828533</v>
      </c>
      <c r="I89" s="68">
        <v>6886.852589641434</v>
      </c>
      <c r="J89" s="68">
        <v>-8632</v>
      </c>
      <c r="K89" s="67">
        <v>5.8139534883720929E-2</v>
      </c>
      <c r="L89" s="67">
        <v>0.10465116279069768</v>
      </c>
      <c r="M89" s="67">
        <v>0.21262002743484226</v>
      </c>
      <c r="N89" s="67">
        <v>0.29218106995884774</v>
      </c>
      <c r="O89" s="67">
        <v>0.55483870967741933</v>
      </c>
      <c r="P89" s="67">
        <v>0.42253521126760563</v>
      </c>
      <c r="Q89" s="67">
        <v>0.40239043824701193</v>
      </c>
    </row>
    <row r="90" spans="1:17" x14ac:dyDescent="0.4">
      <c r="A90" s="69">
        <v>87</v>
      </c>
      <c r="B90" s="66">
        <v>-118.60000000000004</v>
      </c>
      <c r="C90" s="66">
        <v>-1.3632183908045981</v>
      </c>
      <c r="D90" s="71">
        <v>2.0459770114942528</v>
      </c>
      <c r="E90" s="67">
        <v>0.25287356321839083</v>
      </c>
      <c r="F90" s="67">
        <v>0.2988505747126437</v>
      </c>
      <c r="G90" s="67">
        <v>0.34515688949522511</v>
      </c>
      <c r="H90" s="67">
        <v>0.13642564802182811</v>
      </c>
      <c r="I90" s="68">
        <v>6910.276679841897</v>
      </c>
      <c r="J90" s="68">
        <v>-8632</v>
      </c>
      <c r="K90" s="67">
        <v>5.7471264367816091E-2</v>
      </c>
      <c r="L90" s="67">
        <v>0.10344827586206896</v>
      </c>
      <c r="M90" s="67">
        <v>0.21282401091405184</v>
      </c>
      <c r="N90" s="67">
        <v>0.29195088676671216</v>
      </c>
      <c r="O90" s="67">
        <v>0.55769230769230771</v>
      </c>
      <c r="P90" s="67">
        <v>0.42523364485981308</v>
      </c>
      <c r="Q90" s="67">
        <v>0.40316205533596838</v>
      </c>
    </row>
    <row r="91" spans="1:17" x14ac:dyDescent="0.4">
      <c r="A91" s="69">
        <v>88</v>
      </c>
      <c r="B91" s="66">
        <v>-163.20000000000005</v>
      </c>
      <c r="C91" s="66">
        <v>-1.8545454545454552</v>
      </c>
      <c r="D91" s="71">
        <v>2.0568181818181817</v>
      </c>
      <c r="E91" s="67">
        <v>0.25</v>
      </c>
      <c r="F91" s="67">
        <v>0.30681818181818182</v>
      </c>
      <c r="G91" s="67">
        <v>0.34454912516823688</v>
      </c>
      <c r="H91" s="67">
        <v>0.13728129205921938</v>
      </c>
      <c r="I91" s="68">
        <v>6866.015625</v>
      </c>
      <c r="J91" s="68">
        <v>-8717.6470588235297</v>
      </c>
      <c r="K91" s="67">
        <v>5.6818181818181816E-2</v>
      </c>
      <c r="L91" s="67">
        <v>0.10227272727272728</v>
      </c>
      <c r="M91" s="67">
        <v>0.20995962314939434</v>
      </c>
      <c r="N91" s="67">
        <v>0.29340511440107669</v>
      </c>
      <c r="O91" s="67">
        <v>0.55769230769230771</v>
      </c>
      <c r="P91" s="67">
        <v>0.42660550458715596</v>
      </c>
      <c r="Q91" s="67">
        <v>0.3984375</v>
      </c>
    </row>
    <row r="92" spans="1:17" x14ac:dyDescent="0.4">
      <c r="A92" s="69">
        <v>89</v>
      </c>
      <c r="B92" s="66">
        <v>-123.90000000000005</v>
      </c>
      <c r="C92" s="66">
        <v>-1.3921348314606747</v>
      </c>
      <c r="D92" s="71">
        <v>2.0449438202247192</v>
      </c>
      <c r="E92" s="67">
        <v>0.25842696629213485</v>
      </c>
      <c r="F92" s="67">
        <v>0.30337078651685395</v>
      </c>
      <c r="G92" s="67">
        <v>0.34487350199733691</v>
      </c>
      <c r="H92" s="67">
        <v>0.1384820239680426</v>
      </c>
      <c r="I92" s="68">
        <v>6886.1003861003865</v>
      </c>
      <c r="J92" s="68">
        <v>-8679.8076923076915</v>
      </c>
      <c r="K92" s="67">
        <v>5.6179775280898875E-2</v>
      </c>
      <c r="L92" s="67">
        <v>0.11235955056179775</v>
      </c>
      <c r="M92" s="67">
        <v>0.2103861517976032</v>
      </c>
      <c r="N92" s="67">
        <v>0.29294274300932088</v>
      </c>
      <c r="O92" s="67">
        <v>0.55696202531645567</v>
      </c>
      <c r="P92" s="67">
        <v>0.42727272727272725</v>
      </c>
      <c r="Q92" s="67">
        <v>0.39382239382239381</v>
      </c>
    </row>
    <row r="93" spans="1:17" x14ac:dyDescent="0.4">
      <c r="A93" s="69">
        <v>90</v>
      </c>
      <c r="B93" s="66">
        <v>-122.80000000000005</v>
      </c>
      <c r="C93" s="66">
        <v>-1.364444444444445</v>
      </c>
      <c r="D93" s="71">
        <v>2.0444444444444443</v>
      </c>
      <c r="E93" s="67">
        <v>0.25555555555555554</v>
      </c>
      <c r="F93" s="67">
        <v>0.3</v>
      </c>
      <c r="G93" s="67">
        <v>0.34473684210526317</v>
      </c>
      <c r="H93" s="67">
        <v>0.14210526315789473</v>
      </c>
      <c r="I93" s="68">
        <v>6890.0763358778622</v>
      </c>
      <c r="J93" s="68">
        <v>-8488.8888888888887</v>
      </c>
      <c r="K93" s="67">
        <v>5.5555555555555552E-2</v>
      </c>
      <c r="L93" s="67">
        <v>0.1111111111111111</v>
      </c>
      <c r="M93" s="67">
        <v>0.21447368421052632</v>
      </c>
      <c r="N93" s="67">
        <v>0.29078947368421054</v>
      </c>
      <c r="O93" s="67">
        <v>0.55828220858895705</v>
      </c>
      <c r="P93" s="67">
        <v>0.42533936651583709</v>
      </c>
      <c r="Q93" s="67">
        <v>0.3931297709923664</v>
      </c>
    </row>
    <row r="94" spans="1:17" x14ac:dyDescent="0.4">
      <c r="A94" s="69">
        <v>91</v>
      </c>
      <c r="B94" s="66">
        <v>-121.50000000000006</v>
      </c>
      <c r="C94" s="66">
        <v>-1.3351648351648358</v>
      </c>
      <c r="D94" s="71">
        <v>2.0439560439560438</v>
      </c>
      <c r="E94" s="67">
        <v>0.25274725274725274</v>
      </c>
      <c r="F94" s="67">
        <v>0.2967032967032967</v>
      </c>
      <c r="G94" s="67">
        <v>0.3433420365535248</v>
      </c>
      <c r="H94" s="67">
        <v>0.14229765013054829</v>
      </c>
      <c r="I94" s="68">
        <v>6894.2965779467677</v>
      </c>
      <c r="J94" s="68">
        <v>-8425.6880733944963</v>
      </c>
      <c r="K94" s="67">
        <v>5.4945054945054944E-2</v>
      </c>
      <c r="L94" s="67">
        <v>0.10989010989010989</v>
      </c>
      <c r="M94" s="67">
        <v>0.21279373368146215</v>
      </c>
      <c r="N94" s="67">
        <v>0.28851174934725848</v>
      </c>
      <c r="O94" s="67">
        <v>0.55828220858895705</v>
      </c>
      <c r="P94" s="67">
        <v>0.42533936651583709</v>
      </c>
      <c r="Q94" s="67">
        <v>0.39163498098859317</v>
      </c>
    </row>
    <row r="95" spans="1:17" x14ac:dyDescent="0.4">
      <c r="A95" s="69">
        <v>92</v>
      </c>
      <c r="B95" s="66">
        <v>-120.50000000000006</v>
      </c>
      <c r="C95" s="66">
        <v>-1.3097826086956528</v>
      </c>
      <c r="D95" s="71">
        <v>2.0434782608695654</v>
      </c>
      <c r="E95" s="67">
        <v>0.25</v>
      </c>
      <c r="F95" s="67">
        <v>0.29347826086956524</v>
      </c>
      <c r="G95" s="67">
        <v>0.34326424870466321</v>
      </c>
      <c r="H95" s="67">
        <v>0.14119170984455959</v>
      </c>
      <c r="I95" s="68">
        <v>6872.4528301886794</v>
      </c>
      <c r="J95" s="68">
        <v>-8425.6880733944963</v>
      </c>
      <c r="K95" s="67">
        <v>5.434782608695652E-2</v>
      </c>
      <c r="L95" s="67">
        <v>0.10869565217391304</v>
      </c>
      <c r="M95" s="67">
        <v>0.21243523316062177</v>
      </c>
      <c r="N95" s="67">
        <v>0.28756476683937826</v>
      </c>
      <c r="O95" s="67">
        <v>0.56097560975609762</v>
      </c>
      <c r="P95" s="67">
        <v>0.42792792792792794</v>
      </c>
      <c r="Q95" s="67">
        <v>0.39622641509433965</v>
      </c>
    </row>
    <row r="96" spans="1:17" x14ac:dyDescent="0.4">
      <c r="A96" s="69">
        <v>93</v>
      </c>
      <c r="B96" s="66">
        <v>-155.10000000000005</v>
      </c>
      <c r="C96" s="66">
        <v>-1.6677419354838716</v>
      </c>
      <c r="D96" s="71">
        <v>2.053763440860215</v>
      </c>
      <c r="E96" s="67">
        <v>0.24731182795698925</v>
      </c>
      <c r="F96" s="67">
        <v>0.30107526881720431</v>
      </c>
      <c r="G96" s="67">
        <v>0.34058898847631242</v>
      </c>
      <c r="H96" s="67">
        <v>0.14084507042253522</v>
      </c>
      <c r="I96" s="68">
        <v>6856.3909774436088</v>
      </c>
      <c r="J96" s="68">
        <v>-8396.363636363636</v>
      </c>
      <c r="K96" s="67">
        <v>5.3763440860215055E-2</v>
      </c>
      <c r="L96" s="67">
        <v>0.10752688172043011</v>
      </c>
      <c r="M96" s="67">
        <v>0.21510883482714468</v>
      </c>
      <c r="N96" s="67">
        <v>0.28681177976952626</v>
      </c>
      <c r="O96" s="67">
        <v>0.5535714285714286</v>
      </c>
      <c r="P96" s="67">
        <v>0.42410714285714285</v>
      </c>
      <c r="Q96" s="67">
        <v>0.39473684210526316</v>
      </c>
    </row>
    <row r="97" spans="1:17" x14ac:dyDescent="0.4">
      <c r="A97" s="69">
        <v>94</v>
      </c>
      <c r="B97" s="66">
        <v>-184.60000000000005</v>
      </c>
      <c r="C97" s="66">
        <v>-1.9638297872340431</v>
      </c>
      <c r="D97" s="71">
        <v>2.0638297872340425</v>
      </c>
      <c r="E97" s="67">
        <v>0.24468085106382978</v>
      </c>
      <c r="F97" s="67">
        <v>0.30851063829787234</v>
      </c>
      <c r="G97" s="67">
        <v>0.34007585335018964</v>
      </c>
      <c r="H97" s="67">
        <v>0.14412136536030343</v>
      </c>
      <c r="I97" s="68">
        <v>6815.613382899628</v>
      </c>
      <c r="J97" s="68">
        <v>-8238.5964912280706</v>
      </c>
      <c r="K97" s="67">
        <v>5.3191489361702128E-2</v>
      </c>
      <c r="L97" s="67">
        <v>0.10638297872340426</v>
      </c>
      <c r="M97" s="67">
        <v>0.21744627054361568</v>
      </c>
      <c r="N97" s="67">
        <v>0.28445006321112515</v>
      </c>
      <c r="O97" s="67">
        <v>0.54651162790697672</v>
      </c>
      <c r="P97" s="67">
        <v>0.42666666666666669</v>
      </c>
      <c r="Q97" s="67">
        <v>0.39405204460966542</v>
      </c>
    </row>
    <row r="98" spans="1:17" x14ac:dyDescent="0.4">
      <c r="A98" s="69">
        <v>95</v>
      </c>
      <c r="B98" s="66">
        <v>-161.50000000000006</v>
      </c>
      <c r="C98" s="66">
        <v>-1.7000000000000006</v>
      </c>
      <c r="D98" s="71">
        <v>2.0526315789473686</v>
      </c>
      <c r="E98" s="67">
        <v>0.25263157894736843</v>
      </c>
      <c r="F98" s="67">
        <v>0.30526315789473685</v>
      </c>
      <c r="G98" s="67">
        <v>0.34127979924717694</v>
      </c>
      <c r="H98" s="67">
        <v>0.14303638644918445</v>
      </c>
      <c r="I98" s="68">
        <v>6786.7647058823532</v>
      </c>
      <c r="J98" s="68">
        <v>-8238.5964912280706</v>
      </c>
      <c r="K98" s="67">
        <v>5.2631578947368418E-2</v>
      </c>
      <c r="L98" s="67">
        <v>0.10526315789473684</v>
      </c>
      <c r="M98" s="67">
        <v>0.21580928481806774</v>
      </c>
      <c r="N98" s="67">
        <v>0.28356336260978671</v>
      </c>
      <c r="O98" s="67">
        <v>0.54651162790697672</v>
      </c>
      <c r="P98" s="67">
        <v>0.42920353982300885</v>
      </c>
      <c r="Q98" s="67">
        <v>0.40073529411764708</v>
      </c>
    </row>
    <row r="99" spans="1:17" x14ac:dyDescent="0.4">
      <c r="A99" s="69">
        <v>96</v>
      </c>
      <c r="B99" s="66">
        <v>-202.00000000000006</v>
      </c>
      <c r="C99" s="66">
        <v>-2.1041666666666674</v>
      </c>
      <c r="D99" s="71">
        <v>2.0625</v>
      </c>
      <c r="E99" s="67">
        <v>0.25</v>
      </c>
      <c r="F99" s="67">
        <v>0.3125</v>
      </c>
      <c r="G99" s="67">
        <v>0.33995037220843671</v>
      </c>
      <c r="H99" s="67">
        <v>0.14392059553349876</v>
      </c>
      <c r="I99" s="68">
        <v>6774.8175182481755</v>
      </c>
      <c r="J99" s="68">
        <v>-8190.5172413793107</v>
      </c>
      <c r="K99" s="67">
        <v>5.2083333333333336E-2</v>
      </c>
      <c r="L99" s="67">
        <v>0.10416666666666667</v>
      </c>
      <c r="M99" s="67">
        <v>0.21588089330024815</v>
      </c>
      <c r="N99" s="67">
        <v>0.28411910669975188</v>
      </c>
      <c r="O99" s="67">
        <v>0.54597701149425293</v>
      </c>
      <c r="P99" s="67">
        <v>0.42794759825327511</v>
      </c>
      <c r="Q99" s="67">
        <v>0.3978102189781022</v>
      </c>
    </row>
    <row r="100" spans="1:17" x14ac:dyDescent="0.4">
      <c r="A100" s="69">
        <v>97</v>
      </c>
      <c r="B100" s="66">
        <v>-200.50000000000006</v>
      </c>
      <c r="C100" s="66">
        <v>-2.0670103092783512</v>
      </c>
      <c r="D100" s="71">
        <v>2.0618556701030926</v>
      </c>
      <c r="E100" s="67">
        <v>0.24742268041237114</v>
      </c>
      <c r="F100" s="67">
        <v>0.30927835051546393</v>
      </c>
      <c r="G100" s="67">
        <v>0.33740831295843521</v>
      </c>
      <c r="H100" s="67">
        <v>0.14180929095354522</v>
      </c>
      <c r="I100" s="68">
        <v>6819.927536231884</v>
      </c>
      <c r="J100" s="68">
        <v>-8190.5172413793107</v>
      </c>
      <c r="K100" s="67">
        <v>5.1546391752577317E-2</v>
      </c>
      <c r="L100" s="67">
        <v>0.10309278350515463</v>
      </c>
      <c r="M100" s="67">
        <v>0.2139364303178484</v>
      </c>
      <c r="N100" s="67">
        <v>0.2823960880195599</v>
      </c>
      <c r="O100" s="67">
        <v>0.5485714285714286</v>
      </c>
      <c r="P100" s="67">
        <v>0.42857142857142855</v>
      </c>
      <c r="Q100" s="67">
        <v>0.39855072463768115</v>
      </c>
    </row>
    <row r="101" spans="1:17" x14ac:dyDescent="0.4">
      <c r="A101" s="69">
        <v>98</v>
      </c>
      <c r="B101" s="66">
        <v>-164.70000000000005</v>
      </c>
      <c r="C101" s="66">
        <v>-1.6806122448979597</v>
      </c>
      <c r="D101" s="71">
        <v>2.0510204081632653</v>
      </c>
      <c r="E101" s="67">
        <v>0.25510204081632654</v>
      </c>
      <c r="F101" s="67">
        <v>0.30612244897959184</v>
      </c>
      <c r="G101" s="67">
        <v>0.3385731559854897</v>
      </c>
      <c r="H101" s="67">
        <v>0.14147521160822249</v>
      </c>
      <c r="I101" s="68">
        <v>6786.7857142857147</v>
      </c>
      <c r="J101" s="68">
        <v>-8153.8461538461543</v>
      </c>
      <c r="K101" s="67">
        <v>5.1020408163265307E-2</v>
      </c>
      <c r="L101" s="67">
        <v>0.10204081632653061</v>
      </c>
      <c r="M101" s="67">
        <v>0.21402660217654171</v>
      </c>
      <c r="N101" s="67">
        <v>0.2841596130592503</v>
      </c>
      <c r="O101" s="67">
        <v>0.5536723163841808</v>
      </c>
      <c r="P101" s="67">
        <v>0.42553191489361702</v>
      </c>
      <c r="Q101" s="67">
        <v>0.4</v>
      </c>
    </row>
    <row r="102" spans="1:17" x14ac:dyDescent="0.4">
      <c r="A102" s="69">
        <v>99</v>
      </c>
      <c r="B102" s="66">
        <v>-172.90000000000003</v>
      </c>
      <c r="C102" s="66">
        <v>-1.7464646464646467</v>
      </c>
      <c r="D102" s="71">
        <v>2.0505050505050506</v>
      </c>
      <c r="E102" s="67">
        <v>0.25252525252525254</v>
      </c>
      <c r="F102" s="67">
        <v>0.30303030303030304</v>
      </c>
      <c r="G102" s="67">
        <v>0.33693045563549162</v>
      </c>
      <c r="H102" s="67">
        <v>0.14028776978417265</v>
      </c>
      <c r="I102" s="68">
        <v>6766.9039145907473</v>
      </c>
      <c r="J102" s="68">
        <v>-8153.8461538461543</v>
      </c>
      <c r="K102" s="67">
        <v>5.0505050505050504E-2</v>
      </c>
      <c r="L102" s="67">
        <v>0.10101010101010101</v>
      </c>
      <c r="M102" s="67">
        <v>0.21223021582733814</v>
      </c>
      <c r="N102" s="67">
        <v>0.28776978417266186</v>
      </c>
      <c r="O102" s="67">
        <v>0.5536723163841808</v>
      </c>
      <c r="P102" s="67">
        <v>0.42083333333333334</v>
      </c>
      <c r="Q102" s="67">
        <v>0.40213523131672596</v>
      </c>
    </row>
    <row r="103" spans="1:17" x14ac:dyDescent="0.4">
      <c r="A103" s="69">
        <v>100</v>
      </c>
      <c r="B103" s="66">
        <v>-177.80000000000004</v>
      </c>
      <c r="C103" s="66">
        <v>-1.7780000000000005</v>
      </c>
      <c r="D103" s="71">
        <v>2.0499999999999998</v>
      </c>
      <c r="E103" s="67">
        <v>0.25</v>
      </c>
      <c r="F103" s="67">
        <v>0.3</v>
      </c>
      <c r="G103" s="67">
        <v>0.33847980997624705</v>
      </c>
      <c r="H103" s="67">
        <v>0.14133016627078385</v>
      </c>
      <c r="I103" s="68">
        <v>6753.333333333333</v>
      </c>
      <c r="J103" s="68">
        <v>-8181.5126050420167</v>
      </c>
      <c r="K103" s="67">
        <v>0.05</v>
      </c>
      <c r="L103" s="67">
        <v>0.1</v>
      </c>
      <c r="M103" s="67">
        <v>0.21377672209026127</v>
      </c>
      <c r="N103" s="67">
        <v>0.28978622327790976</v>
      </c>
      <c r="O103" s="67">
        <v>0.55555555555555558</v>
      </c>
      <c r="P103" s="67">
        <v>0.42213114754098363</v>
      </c>
      <c r="Q103" s="67">
        <v>0.4</v>
      </c>
    </row>
    <row r="104" spans="1:17" x14ac:dyDescent="0.4">
      <c r="A104" s="69">
        <v>101</v>
      </c>
      <c r="B104" s="66">
        <v>-212.40000000000003</v>
      </c>
      <c r="C104" s="66">
        <v>-2.1029702970297035</v>
      </c>
      <c r="D104" s="71">
        <v>2.0594059405940595</v>
      </c>
      <c r="E104" s="67">
        <v>0.24752475247524752</v>
      </c>
      <c r="F104" s="67">
        <v>0.30693069306930693</v>
      </c>
      <c r="G104" s="67">
        <v>0.33647058823529413</v>
      </c>
      <c r="H104" s="67">
        <v>0.14117647058823529</v>
      </c>
      <c r="I104" s="68">
        <v>6763.2867132867132</v>
      </c>
      <c r="J104" s="68">
        <v>-8246.6666666666661</v>
      </c>
      <c r="K104" s="67">
        <v>4.9504950495049507E-2</v>
      </c>
      <c r="L104" s="67">
        <v>9.9009900990099015E-2</v>
      </c>
      <c r="M104" s="67">
        <v>0.21294117647058824</v>
      </c>
      <c r="N104" s="67">
        <v>0.28705882352941176</v>
      </c>
      <c r="O104" s="67">
        <v>0.5524861878453039</v>
      </c>
      <c r="P104" s="67">
        <v>0.42213114754098363</v>
      </c>
      <c r="Q104" s="67">
        <v>0.39860139860139859</v>
      </c>
    </row>
    <row r="105" spans="1:17" x14ac:dyDescent="0.4">
      <c r="A105" s="69">
        <v>102</v>
      </c>
      <c r="B105" s="66">
        <v>-200.80000000000004</v>
      </c>
      <c r="C105" s="66">
        <v>-1.9686274509803925</v>
      </c>
      <c r="D105" s="71">
        <v>2.0588235294117645</v>
      </c>
      <c r="E105" s="67">
        <v>0.24509803921568626</v>
      </c>
      <c r="F105" s="67">
        <v>0.30392156862745096</v>
      </c>
      <c r="G105" s="67">
        <v>0.3368298368298368</v>
      </c>
      <c r="H105" s="67">
        <v>0.14102564102564102</v>
      </c>
      <c r="I105" s="68">
        <v>6779.2387543252598</v>
      </c>
      <c r="J105" s="68">
        <v>-8226.446280991735</v>
      </c>
      <c r="K105" s="67">
        <v>4.9019607843137254E-2</v>
      </c>
      <c r="L105" s="67">
        <v>9.8039215686274508E-2</v>
      </c>
      <c r="M105" s="67">
        <v>0.21212121212121213</v>
      </c>
      <c r="N105" s="67">
        <v>0.28904428904428903</v>
      </c>
      <c r="O105" s="67">
        <v>0.55494505494505497</v>
      </c>
      <c r="P105" s="67">
        <v>0.42338709677419356</v>
      </c>
      <c r="Q105" s="67">
        <v>0.39792387543252594</v>
      </c>
    </row>
    <row r="106" spans="1:17" x14ac:dyDescent="0.4">
      <c r="A106" s="69">
        <v>103</v>
      </c>
      <c r="B106" s="66">
        <v>-259.40000000000003</v>
      </c>
      <c r="C106" s="66">
        <v>-2.518446601941748</v>
      </c>
      <c r="D106" s="71">
        <v>2.0679611650485437</v>
      </c>
      <c r="E106" s="67">
        <v>0.24271844660194175</v>
      </c>
      <c r="F106" s="67">
        <v>0.31067961165048541</v>
      </c>
      <c r="G106" s="67">
        <v>0.33564814814814814</v>
      </c>
      <c r="H106" s="67">
        <v>0.14351851851851852</v>
      </c>
      <c r="I106" s="68">
        <v>6773.7931034482763</v>
      </c>
      <c r="J106" s="68">
        <v>-8308.0645161290322</v>
      </c>
      <c r="K106" s="67">
        <v>5.8252427184466021E-2</v>
      </c>
      <c r="L106" s="67">
        <v>9.7087378640776698E-2</v>
      </c>
      <c r="M106" s="67">
        <v>0.21180555555555555</v>
      </c>
      <c r="N106" s="67">
        <v>0.28703703703703703</v>
      </c>
      <c r="O106" s="67">
        <v>0.55737704918032782</v>
      </c>
      <c r="P106" s="67">
        <v>0.42338709677419356</v>
      </c>
      <c r="Q106" s="67">
        <v>0.39655172413793105</v>
      </c>
    </row>
    <row r="107" spans="1:17" x14ac:dyDescent="0.4">
      <c r="A107" s="69">
        <v>104</v>
      </c>
      <c r="B107" s="66">
        <v>-234.20000000000005</v>
      </c>
      <c r="C107" s="66">
        <v>-2.2519230769230774</v>
      </c>
      <c r="D107" s="71">
        <v>2.0576923076923075</v>
      </c>
      <c r="E107" s="67">
        <v>0.25</v>
      </c>
      <c r="F107" s="67">
        <v>0.30769230769230771</v>
      </c>
      <c r="G107" s="67">
        <v>0.3356242840778923</v>
      </c>
      <c r="H107" s="67">
        <v>0.14432989690721648</v>
      </c>
      <c r="I107" s="68">
        <v>6765.5290102389081</v>
      </c>
      <c r="J107" s="68">
        <v>-8262.6984126984134</v>
      </c>
      <c r="K107" s="67">
        <v>5.7692307692307696E-2</v>
      </c>
      <c r="L107" s="67">
        <v>9.6153846153846159E-2</v>
      </c>
      <c r="M107" s="67">
        <v>0.21191294387170675</v>
      </c>
      <c r="N107" s="67">
        <v>0.28751431844215347</v>
      </c>
      <c r="O107" s="67">
        <v>0.56216216216216219</v>
      </c>
      <c r="P107" s="67">
        <v>0.41832669322709165</v>
      </c>
      <c r="Q107" s="67">
        <v>0.39590443686006827</v>
      </c>
    </row>
    <row r="108" spans="1:17" x14ac:dyDescent="0.4">
      <c r="A108" s="69">
        <v>105</v>
      </c>
      <c r="B108" s="66">
        <v>-243.50000000000006</v>
      </c>
      <c r="C108" s="66">
        <v>-2.3190476190476197</v>
      </c>
      <c r="D108" s="71">
        <v>2.0571428571428569</v>
      </c>
      <c r="E108" s="67">
        <v>0.24761904761904763</v>
      </c>
      <c r="F108" s="67">
        <v>0.30476190476190479</v>
      </c>
      <c r="G108" s="67">
        <v>0.33258426966292137</v>
      </c>
      <c r="H108" s="67">
        <v>0.14606741573033707</v>
      </c>
      <c r="I108" s="68">
        <v>6762.5</v>
      </c>
      <c r="J108" s="68">
        <v>-8148.4615384615381</v>
      </c>
      <c r="K108" s="67">
        <v>5.7142857142857141E-2</v>
      </c>
      <c r="L108" s="67">
        <v>9.5238095238095233E-2</v>
      </c>
      <c r="M108" s="67">
        <v>0.21235955056179776</v>
      </c>
      <c r="N108" s="67">
        <v>0.28539325842696628</v>
      </c>
      <c r="O108" s="67">
        <v>0.55026455026455023</v>
      </c>
      <c r="P108" s="67">
        <v>0.42125984251968501</v>
      </c>
      <c r="Q108" s="67">
        <v>0.39527027027027029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4DF20-892D-4342-BF33-95DE7284AF93}">
  <sheetPr codeName="Sheet14"/>
  <dimension ref="A1:Q1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  <row r="96" spans="1:17" x14ac:dyDescent="0.4">
      <c r="A96" s="69">
        <v>93</v>
      </c>
      <c r="B96" s="66">
        <v>-125.79999999999998</v>
      </c>
      <c r="C96" s="66">
        <v>-1.3526881720430106</v>
      </c>
      <c r="D96" s="71">
        <v>2.064516129032258</v>
      </c>
      <c r="E96" s="67">
        <v>0.29032258064516131</v>
      </c>
      <c r="F96" s="67">
        <v>0.35483870967741937</v>
      </c>
      <c r="G96" s="67">
        <v>0.27963917525773196</v>
      </c>
      <c r="H96" s="67">
        <v>0.17912371134020619</v>
      </c>
      <c r="I96" s="68">
        <v>9790.7834101382487</v>
      </c>
      <c r="J96" s="68">
        <v>-8467.625899280576</v>
      </c>
      <c r="K96" s="67">
        <v>0.11827956989247312</v>
      </c>
      <c r="L96" s="67">
        <v>0.12903225806451613</v>
      </c>
      <c r="M96" s="67">
        <v>0.29123711340206188</v>
      </c>
      <c r="N96" s="67">
        <v>0.19072164948453607</v>
      </c>
      <c r="O96" s="67">
        <v>0.55752212389380529</v>
      </c>
      <c r="P96" s="67">
        <v>0.40540540540540543</v>
      </c>
      <c r="Q96" s="67">
        <v>0.41013824884792627</v>
      </c>
    </row>
    <row r="97" spans="1:17" x14ac:dyDescent="0.4">
      <c r="A97" s="69">
        <v>94</v>
      </c>
      <c r="B97" s="66">
        <v>-44.799999999999983</v>
      </c>
      <c r="C97" s="66">
        <v>-0.47659574468085086</v>
      </c>
      <c r="D97" s="71">
        <v>2.0531914893617023</v>
      </c>
      <c r="E97" s="67">
        <v>0.2978723404255319</v>
      </c>
      <c r="F97" s="67">
        <v>0.35106382978723405</v>
      </c>
      <c r="G97" s="67">
        <v>0.28241335044929394</v>
      </c>
      <c r="H97" s="67">
        <v>0.17843388960205392</v>
      </c>
      <c r="I97" s="68">
        <v>9930</v>
      </c>
      <c r="J97" s="68">
        <v>-8467.625899280576</v>
      </c>
      <c r="K97" s="67">
        <v>0.11702127659574468</v>
      </c>
      <c r="L97" s="67">
        <v>0.13829787234042554</v>
      </c>
      <c r="M97" s="67">
        <v>0.29396662387676509</v>
      </c>
      <c r="N97" s="67">
        <v>0.18998716302952504</v>
      </c>
      <c r="O97" s="67">
        <v>0.5633187772925764</v>
      </c>
      <c r="P97" s="67">
        <v>0.40540540540540543</v>
      </c>
      <c r="Q97" s="67">
        <v>0.40909090909090912</v>
      </c>
    </row>
    <row r="98" spans="1:17" x14ac:dyDescent="0.4">
      <c r="A98" s="69">
        <v>95</v>
      </c>
      <c r="B98" s="66">
        <v>-1.8999999999999844</v>
      </c>
      <c r="C98" s="66">
        <v>-1.9999999999999834E-2</v>
      </c>
      <c r="D98" s="71">
        <v>2.0421052631578949</v>
      </c>
      <c r="E98" s="67">
        <v>0.30526315789473685</v>
      </c>
      <c r="F98" s="67">
        <v>0.3473684210526316</v>
      </c>
      <c r="G98" s="67">
        <v>0.28517110266159695</v>
      </c>
      <c r="H98" s="67">
        <v>0.17870722433460076</v>
      </c>
      <c r="I98" s="68">
        <v>9938.6666666666661</v>
      </c>
      <c r="J98" s="68">
        <v>-8431.9148936170204</v>
      </c>
      <c r="K98" s="67">
        <v>0.11578947368421053</v>
      </c>
      <c r="L98" s="67">
        <v>0.14736842105263157</v>
      </c>
      <c r="M98" s="67">
        <v>0.29404309252217997</v>
      </c>
      <c r="N98" s="67">
        <v>0.1926489226869455</v>
      </c>
      <c r="O98" s="67">
        <v>0.56465517241379315</v>
      </c>
      <c r="P98" s="67">
        <v>0.40789473684210525</v>
      </c>
      <c r="Q98" s="67">
        <v>0.40888888888888891</v>
      </c>
    </row>
    <row r="99" spans="1:17" x14ac:dyDescent="0.4">
      <c r="A99" s="69">
        <v>96</v>
      </c>
      <c r="B99" s="66">
        <v>-48.599999999999987</v>
      </c>
      <c r="C99" s="66">
        <v>-0.50624999999999987</v>
      </c>
      <c r="D99" s="71">
        <v>2.0520833333333335</v>
      </c>
      <c r="E99" s="67">
        <v>0.30208333333333331</v>
      </c>
      <c r="F99" s="67">
        <v>0.35416666666666669</v>
      </c>
      <c r="G99" s="67">
        <v>0.28339575530586769</v>
      </c>
      <c r="H99" s="67">
        <v>0.17852684144818975</v>
      </c>
      <c r="I99" s="68">
        <v>9990.7488986784138</v>
      </c>
      <c r="J99" s="68">
        <v>-8548.9510489510485</v>
      </c>
      <c r="K99" s="67">
        <v>0.11458333333333333</v>
      </c>
      <c r="L99" s="67">
        <v>0.14583333333333334</v>
      </c>
      <c r="M99" s="67">
        <v>0.2908863920099875</v>
      </c>
      <c r="N99" s="67">
        <v>0.19475655430711611</v>
      </c>
      <c r="O99" s="67">
        <v>0.5622317596566524</v>
      </c>
      <c r="P99" s="67">
        <v>0.41025641025641024</v>
      </c>
      <c r="Q99" s="67">
        <v>0.40528634361233479</v>
      </c>
    </row>
    <row r="100" spans="1:17" x14ac:dyDescent="0.4">
      <c r="A100" s="69">
        <v>97</v>
      </c>
      <c r="B100" s="66">
        <v>-49.399999999999984</v>
      </c>
      <c r="C100" s="66">
        <v>-0.50927835051546377</v>
      </c>
      <c r="D100" s="71">
        <v>2.0515463917525771</v>
      </c>
      <c r="E100" s="67">
        <v>0.29896907216494845</v>
      </c>
      <c r="F100" s="67">
        <v>0.35051546391752575</v>
      </c>
      <c r="G100" s="67">
        <v>0.28252788104089221</v>
      </c>
      <c r="H100" s="67">
        <v>0.17719950433705081</v>
      </c>
      <c r="I100" s="68">
        <v>9982.0175438596489</v>
      </c>
      <c r="J100" s="68">
        <v>-8548.9510489510485</v>
      </c>
      <c r="K100" s="67">
        <v>0.1134020618556701</v>
      </c>
      <c r="L100" s="67">
        <v>0.14432989690721648</v>
      </c>
      <c r="M100" s="67">
        <v>0.29120198265179675</v>
      </c>
      <c r="N100" s="67">
        <v>0.19454770755885997</v>
      </c>
      <c r="O100" s="67">
        <v>0.5617021276595745</v>
      </c>
      <c r="P100" s="67">
        <v>0.40764331210191085</v>
      </c>
      <c r="Q100" s="67">
        <v>0.40350877192982454</v>
      </c>
    </row>
    <row r="101" spans="1:17" x14ac:dyDescent="0.4">
      <c r="A101" s="69">
        <v>98</v>
      </c>
      <c r="B101" s="66">
        <v>22.600000000000016</v>
      </c>
      <c r="C101" s="66">
        <v>0.23061224489795934</v>
      </c>
      <c r="D101" s="71">
        <v>2.0408163265306123</v>
      </c>
      <c r="E101" s="67">
        <v>0.30612244897959184</v>
      </c>
      <c r="F101" s="67">
        <v>0.34693877551020408</v>
      </c>
      <c r="G101" s="67">
        <v>0.28518518518518521</v>
      </c>
      <c r="H101" s="67">
        <v>0.17654320987654321</v>
      </c>
      <c r="I101" s="68">
        <v>10060.173160173161</v>
      </c>
      <c r="J101" s="68">
        <v>-8548.9510489510485</v>
      </c>
      <c r="K101" s="67">
        <v>0.11224489795918367</v>
      </c>
      <c r="L101" s="67">
        <v>0.15306122448979592</v>
      </c>
      <c r="M101" s="67">
        <v>0.29259259259259257</v>
      </c>
      <c r="N101" s="67">
        <v>0.19382716049382717</v>
      </c>
      <c r="O101" s="67">
        <v>0.56540084388185652</v>
      </c>
      <c r="P101" s="67">
        <v>0.40764331210191085</v>
      </c>
      <c r="Q101" s="67">
        <v>0.40259740259740262</v>
      </c>
    </row>
    <row r="102" spans="1:17" x14ac:dyDescent="0.4">
      <c r="A102" s="69">
        <v>99</v>
      </c>
      <c r="B102" s="66">
        <v>-10.099999999999987</v>
      </c>
      <c r="C102" s="66">
        <v>-0.10202020202020189</v>
      </c>
      <c r="D102" s="71">
        <v>2.0505050505050506</v>
      </c>
      <c r="E102" s="67">
        <v>0.30303030303030304</v>
      </c>
      <c r="F102" s="67">
        <v>0.35353535353535354</v>
      </c>
      <c r="G102" s="67">
        <v>0.28414634146341461</v>
      </c>
      <c r="H102" s="67">
        <v>0.17682926829268292</v>
      </c>
      <c r="I102" s="68">
        <v>10025.321888412018</v>
      </c>
      <c r="J102" s="68">
        <v>-8497.9310344827591</v>
      </c>
      <c r="K102" s="67">
        <v>0.1111111111111111</v>
      </c>
      <c r="L102" s="67">
        <v>0.15151515151515152</v>
      </c>
      <c r="M102" s="67">
        <v>0.28902439024390242</v>
      </c>
      <c r="N102" s="67">
        <v>0.19390243902439025</v>
      </c>
      <c r="O102" s="67">
        <v>0.56540084388185652</v>
      </c>
      <c r="P102" s="67">
        <v>0.41509433962264153</v>
      </c>
      <c r="Q102" s="67">
        <v>0.40772532188841204</v>
      </c>
    </row>
    <row r="103" spans="1:17" x14ac:dyDescent="0.4">
      <c r="A103" s="69">
        <v>100</v>
      </c>
      <c r="B103" s="66">
        <v>-46.699999999999989</v>
      </c>
      <c r="C103" s="66">
        <v>-0.46699999999999986</v>
      </c>
      <c r="D103" s="71">
        <v>2.06</v>
      </c>
      <c r="E103" s="67">
        <v>0.3</v>
      </c>
      <c r="F103" s="67">
        <v>0.36</v>
      </c>
      <c r="G103" s="67">
        <v>0.28226779252110978</v>
      </c>
      <c r="H103" s="67">
        <v>0.1773220747889023</v>
      </c>
      <c r="I103" s="68">
        <v>9999.1452991452988</v>
      </c>
      <c r="J103" s="68">
        <v>-8448.299319727892</v>
      </c>
      <c r="K103" s="67">
        <v>0.11</v>
      </c>
      <c r="L103" s="67">
        <v>0.15</v>
      </c>
      <c r="M103" s="67">
        <v>0.28829915560916769</v>
      </c>
      <c r="N103" s="67">
        <v>0.19662243667068757</v>
      </c>
      <c r="O103" s="67">
        <v>0.56485355648535562</v>
      </c>
      <c r="P103" s="67">
        <v>0.40490797546012269</v>
      </c>
      <c r="Q103" s="67">
        <v>0.40598290598290598</v>
      </c>
    </row>
    <row r="104" spans="1:17" x14ac:dyDescent="0.4">
      <c r="A104" s="69">
        <v>101</v>
      </c>
      <c r="B104" s="66">
        <v>-17.099999999999987</v>
      </c>
      <c r="C104" s="66">
        <v>-0.16930693069306918</v>
      </c>
      <c r="D104" s="71">
        <v>2.0495049504950495</v>
      </c>
      <c r="E104" s="67">
        <v>0.30693069306930693</v>
      </c>
      <c r="F104" s="67">
        <v>0.35643564356435642</v>
      </c>
      <c r="G104" s="67">
        <v>0.28229665071770332</v>
      </c>
      <c r="H104" s="67">
        <v>0.17822966507177032</v>
      </c>
      <c r="I104" s="68">
        <v>10024.576271186441</v>
      </c>
      <c r="J104" s="68">
        <v>-8423.4899328859065</v>
      </c>
      <c r="K104" s="67">
        <v>0.10891089108910891</v>
      </c>
      <c r="L104" s="67">
        <v>0.14851485148514851</v>
      </c>
      <c r="M104" s="67">
        <v>0.28708133971291866</v>
      </c>
      <c r="N104" s="67">
        <v>0.19856459330143542</v>
      </c>
      <c r="O104" s="67">
        <v>0.5625</v>
      </c>
      <c r="P104" s="67">
        <v>0.40361445783132532</v>
      </c>
      <c r="Q104" s="67">
        <v>0.40677966101694918</v>
      </c>
    </row>
    <row r="105" spans="1:17" x14ac:dyDescent="0.4">
      <c r="A105" s="69">
        <v>102</v>
      </c>
      <c r="B105" s="66">
        <v>27.400000000000013</v>
      </c>
      <c r="C105" s="66">
        <v>0.26862745098039226</v>
      </c>
      <c r="D105" s="71">
        <v>2.0392156862745097</v>
      </c>
      <c r="E105" s="67">
        <v>0.31372549019607843</v>
      </c>
      <c r="F105" s="67">
        <v>0.35294117647058826</v>
      </c>
      <c r="G105" s="67">
        <v>0.28436018957345971</v>
      </c>
      <c r="H105" s="67">
        <v>0.17772511848341233</v>
      </c>
      <c r="I105" s="68">
        <v>10017.083333333334</v>
      </c>
      <c r="J105" s="68">
        <v>-8399.3333333333339</v>
      </c>
      <c r="K105" s="67">
        <v>0.10784313725490197</v>
      </c>
      <c r="L105" s="67">
        <v>0.14705882352941177</v>
      </c>
      <c r="M105" s="67">
        <v>0.28554502369668244</v>
      </c>
      <c r="N105" s="67">
        <v>0.1990521327014218</v>
      </c>
      <c r="O105" s="67">
        <v>0.56431535269709543</v>
      </c>
      <c r="P105" s="67">
        <v>0.40476190476190477</v>
      </c>
      <c r="Q105" s="67">
        <v>0.40416666666666667</v>
      </c>
    </row>
    <row r="106" spans="1:17" x14ac:dyDescent="0.4">
      <c r="A106" s="69">
        <v>103</v>
      </c>
      <c r="B106" s="66">
        <v>34.400000000000013</v>
      </c>
      <c r="C106" s="66">
        <v>0.33398058252427199</v>
      </c>
      <c r="D106" s="71">
        <v>2.0388349514563107</v>
      </c>
      <c r="E106" s="67">
        <v>0.31067961165048541</v>
      </c>
      <c r="F106" s="67">
        <v>0.34951456310679613</v>
      </c>
      <c r="G106" s="67">
        <v>0.2847058823529412</v>
      </c>
      <c r="H106" s="67">
        <v>0.17647058823529413</v>
      </c>
      <c r="I106" s="68">
        <v>10000.413223140496</v>
      </c>
      <c r="J106" s="68">
        <v>-8399.3333333333339</v>
      </c>
      <c r="K106" s="67">
        <v>0.10679611650485436</v>
      </c>
      <c r="L106" s="67">
        <v>0.14563106796116504</v>
      </c>
      <c r="M106" s="67">
        <v>0.28352941176470586</v>
      </c>
      <c r="N106" s="67">
        <v>0.1976470588235294</v>
      </c>
      <c r="O106" s="67">
        <v>0.56431535269709543</v>
      </c>
      <c r="P106" s="67">
        <v>0.40476190476190477</v>
      </c>
      <c r="Q106" s="67">
        <v>0.4049586776859504</v>
      </c>
    </row>
    <row r="107" spans="1:17" x14ac:dyDescent="0.4">
      <c r="A107" s="69">
        <v>104</v>
      </c>
      <c r="B107" s="66">
        <v>29.800000000000011</v>
      </c>
      <c r="C107" s="66">
        <v>0.28653846153846163</v>
      </c>
      <c r="D107" s="71">
        <v>2.0384615384615383</v>
      </c>
      <c r="E107" s="67">
        <v>0.30769230769230771</v>
      </c>
      <c r="F107" s="67">
        <v>0.34615384615384615</v>
      </c>
      <c r="G107" s="67">
        <v>0.28587962962962965</v>
      </c>
      <c r="H107" s="67">
        <v>0.17476851851851852</v>
      </c>
      <c r="I107" s="68">
        <v>9887.4493927125513</v>
      </c>
      <c r="J107" s="68">
        <v>-8369.5364238410602</v>
      </c>
      <c r="K107" s="67">
        <v>0.10576923076923077</v>
      </c>
      <c r="L107" s="67">
        <v>0.14423076923076922</v>
      </c>
      <c r="M107" s="67">
        <v>0.28356481481481483</v>
      </c>
      <c r="N107" s="67">
        <v>0.19675925925925927</v>
      </c>
      <c r="O107" s="67">
        <v>0.56326530612244896</v>
      </c>
      <c r="P107" s="67">
        <v>0.4</v>
      </c>
      <c r="Q107" s="67">
        <v>0.40485829959514169</v>
      </c>
    </row>
    <row r="108" spans="1:17" x14ac:dyDescent="0.4">
      <c r="A108" s="69">
        <v>105</v>
      </c>
      <c r="B108" s="66">
        <v>105.00000000000001</v>
      </c>
      <c r="C108" s="66">
        <v>1.0000000000000002</v>
      </c>
      <c r="D108" s="71">
        <v>2.0285714285714285</v>
      </c>
      <c r="E108" s="67">
        <v>0.31428571428571428</v>
      </c>
      <c r="F108" s="67">
        <v>0.34285714285714286</v>
      </c>
      <c r="G108" s="67">
        <v>0.28965517241379313</v>
      </c>
      <c r="H108" s="67">
        <v>0.17471264367816092</v>
      </c>
      <c r="I108" s="68">
        <v>9907.1428571428569</v>
      </c>
      <c r="J108" s="68">
        <v>-8348.6842105263149</v>
      </c>
      <c r="K108" s="67">
        <v>0.10476190476190476</v>
      </c>
      <c r="L108" s="67">
        <v>0.15238095238095239</v>
      </c>
      <c r="M108" s="67">
        <v>0.28620689655172415</v>
      </c>
      <c r="N108" s="67">
        <v>0.19770114942528735</v>
      </c>
      <c r="O108" s="67">
        <v>0.5662650602409639</v>
      </c>
      <c r="P108" s="67">
        <v>0.40697674418604651</v>
      </c>
      <c r="Q108" s="67">
        <v>0.40079365079365081</v>
      </c>
    </row>
    <row r="109" spans="1:17" x14ac:dyDescent="0.4">
      <c r="A109" s="69">
        <v>106</v>
      </c>
      <c r="B109" s="66">
        <v>140.5</v>
      </c>
      <c r="C109" s="66">
        <v>1.3254716981132075</v>
      </c>
      <c r="D109" s="71">
        <v>2.0188679245283021</v>
      </c>
      <c r="E109" s="67">
        <v>0.32075471698113206</v>
      </c>
      <c r="F109" s="67">
        <v>0.33962264150943394</v>
      </c>
      <c r="G109" s="67">
        <v>0.29090909090909089</v>
      </c>
      <c r="H109" s="67">
        <v>0.17613636363636365</v>
      </c>
      <c r="I109" s="68">
        <v>9913.671875</v>
      </c>
      <c r="J109" s="68">
        <v>-8313.5483870967746</v>
      </c>
      <c r="K109" s="67">
        <v>0.10377358490566038</v>
      </c>
      <c r="L109" s="67">
        <v>0.15094339622641509</v>
      </c>
      <c r="M109" s="67">
        <v>0.28409090909090912</v>
      </c>
      <c r="N109" s="67">
        <v>0.19886363636363635</v>
      </c>
      <c r="O109" s="67">
        <v>0.56799999999999995</v>
      </c>
      <c r="P109" s="67">
        <v>0.41714285714285715</v>
      </c>
      <c r="Q109" s="67">
        <v>0.40234375</v>
      </c>
    </row>
    <row r="110" spans="1:17" x14ac:dyDescent="0.4">
      <c r="A110" s="69">
        <v>107</v>
      </c>
      <c r="B110" s="66">
        <v>198.1</v>
      </c>
      <c r="C110" s="66">
        <v>1.8514018691588785</v>
      </c>
      <c r="D110" s="71">
        <v>2.0093457943925235</v>
      </c>
      <c r="E110" s="67">
        <v>0.32710280373831774</v>
      </c>
      <c r="F110" s="67">
        <v>0.3364485981308411</v>
      </c>
      <c r="G110" s="67">
        <v>0.29232505643340856</v>
      </c>
      <c r="H110" s="67">
        <v>0.17494356659142213</v>
      </c>
      <c r="I110" s="68">
        <v>9976.8339768339774</v>
      </c>
      <c r="J110" s="68">
        <v>-8313.5483870967746</v>
      </c>
      <c r="K110" s="67">
        <v>0.10280373831775701</v>
      </c>
      <c r="L110" s="67">
        <v>0.14953271028037382</v>
      </c>
      <c r="M110" s="67">
        <v>0.28329571106094809</v>
      </c>
      <c r="N110" s="67">
        <v>0.19864559819413091</v>
      </c>
      <c r="O110" s="67">
        <v>0.56573705179282874</v>
      </c>
      <c r="P110" s="67">
        <v>0.41477272727272729</v>
      </c>
      <c r="Q110" s="67">
        <v>0.40154440154440152</v>
      </c>
    </row>
    <row r="111" spans="1:17" x14ac:dyDescent="0.4">
      <c r="A111" s="69">
        <v>108</v>
      </c>
      <c r="B111" s="66">
        <v>181</v>
      </c>
      <c r="C111" s="66">
        <v>1.6759259259259258</v>
      </c>
      <c r="D111" s="71">
        <v>2.0092592592592591</v>
      </c>
      <c r="E111" s="67">
        <v>0.32407407407407407</v>
      </c>
      <c r="F111" s="67">
        <v>0.33333333333333331</v>
      </c>
      <c r="G111" s="67">
        <v>0.29208472686733555</v>
      </c>
      <c r="H111" s="67">
        <v>0.17725752508361203</v>
      </c>
      <c r="I111" s="68">
        <v>10000</v>
      </c>
      <c r="J111" s="68">
        <v>-8353.4591194968561</v>
      </c>
      <c r="K111" s="67">
        <v>0.10185185185185185</v>
      </c>
      <c r="L111" s="67">
        <v>0.14814814814814814</v>
      </c>
      <c r="M111" s="67">
        <v>0.28205128205128205</v>
      </c>
      <c r="N111" s="67">
        <v>0.1995540691192865</v>
      </c>
      <c r="O111" s="67">
        <v>0.56916996047430835</v>
      </c>
      <c r="P111" s="67">
        <v>0.40782122905027934</v>
      </c>
      <c r="Q111" s="67">
        <v>0.40458015267175573</v>
      </c>
    </row>
    <row r="112" spans="1:17" x14ac:dyDescent="0.4">
      <c r="A112" s="69">
        <v>109</v>
      </c>
      <c r="B112" s="66">
        <v>167.1</v>
      </c>
      <c r="C112" s="66">
        <v>1.5330275229357797</v>
      </c>
      <c r="D112" s="71">
        <v>2.0091743119266057</v>
      </c>
      <c r="E112" s="67">
        <v>0.32110091743119268</v>
      </c>
      <c r="F112" s="67">
        <v>0.33027522935779818</v>
      </c>
      <c r="G112" s="67">
        <v>0.29074889867841408</v>
      </c>
      <c r="H112" s="67">
        <v>0.17841409691629956</v>
      </c>
      <c r="I112" s="68">
        <v>10022.727272727272</v>
      </c>
      <c r="J112" s="68">
        <v>-8335.1851851851843</v>
      </c>
      <c r="K112" s="67">
        <v>0.10091743119266056</v>
      </c>
      <c r="L112" s="67">
        <v>0.14678899082568808</v>
      </c>
      <c r="M112" s="67">
        <v>0.28303964757709249</v>
      </c>
      <c r="N112" s="67">
        <v>0.19713656387665199</v>
      </c>
      <c r="O112" s="67">
        <v>0.56809338521400776</v>
      </c>
      <c r="P112" s="67">
        <v>0.40782122905027934</v>
      </c>
      <c r="Q112" s="67">
        <v>0.40530303030303028</v>
      </c>
    </row>
    <row r="113" spans="1:17" x14ac:dyDescent="0.4">
      <c r="A113" s="69">
        <v>110</v>
      </c>
      <c r="B113" s="66">
        <v>136.29999999999998</v>
      </c>
      <c r="C113" s="66">
        <v>1.239090909090909</v>
      </c>
      <c r="D113" s="71">
        <v>2.0181818181818181</v>
      </c>
      <c r="E113" s="67">
        <v>0.31818181818181818</v>
      </c>
      <c r="F113" s="67">
        <v>0.33636363636363636</v>
      </c>
      <c r="G113" s="67">
        <v>0.28993435448577681</v>
      </c>
      <c r="H113" s="67">
        <v>0.17833698030634573</v>
      </c>
      <c r="I113" s="68">
        <v>10015.094339622641</v>
      </c>
      <c r="J113" s="68">
        <v>-8357.6687116564426</v>
      </c>
      <c r="K113" s="67">
        <v>0.1</v>
      </c>
      <c r="L113" s="67">
        <v>0.14545454545454545</v>
      </c>
      <c r="M113" s="67">
        <v>0.28336980306345733</v>
      </c>
      <c r="N113" s="67">
        <v>0.19803063457330417</v>
      </c>
      <c r="O113" s="67">
        <v>0.56370656370656369</v>
      </c>
      <c r="P113" s="67">
        <v>0.40883977900552487</v>
      </c>
      <c r="Q113" s="67">
        <v>0.4037735849056604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0B1A9-D090-4811-8BD7-8580222685B3}">
  <sheetPr codeName="Sheet12"/>
  <dimension ref="A1:Q18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  <row r="101" spans="1:17" x14ac:dyDescent="0.4">
      <c r="A101" s="69">
        <v>98</v>
      </c>
      <c r="B101" s="66">
        <v>-1305.7</v>
      </c>
      <c r="C101" s="66">
        <v>-13.323469387755102</v>
      </c>
      <c r="D101" s="71">
        <v>2.2142857142857144</v>
      </c>
      <c r="E101" s="67">
        <v>0.26530612244897961</v>
      </c>
      <c r="F101" s="67">
        <v>0.47959183673469385</v>
      </c>
      <c r="G101" s="67">
        <v>0.24725943970767356</v>
      </c>
      <c r="H101" s="67">
        <v>0.1900121802679659</v>
      </c>
      <c r="I101" s="68">
        <v>8733.9901477832518</v>
      </c>
      <c r="J101" s="68">
        <v>-9167.3076923076915</v>
      </c>
      <c r="K101" s="67">
        <v>0.19387755102040816</v>
      </c>
      <c r="L101" s="67">
        <v>0.10204081632653061</v>
      </c>
      <c r="M101" s="67">
        <v>0.27161997563946405</v>
      </c>
      <c r="N101" s="67">
        <v>0.17052375152253349</v>
      </c>
      <c r="O101" s="67">
        <v>0.52017937219730936</v>
      </c>
      <c r="P101" s="67">
        <v>0.27857142857142858</v>
      </c>
      <c r="Q101" s="67">
        <v>0.43842364532019706</v>
      </c>
    </row>
    <row r="102" spans="1:17" x14ac:dyDescent="0.4">
      <c r="A102" s="69">
        <v>99</v>
      </c>
      <c r="B102" s="66">
        <v>-1267.5</v>
      </c>
      <c r="C102" s="66">
        <v>-12.803030303030303</v>
      </c>
      <c r="D102" s="71">
        <v>2.202020202020202</v>
      </c>
      <c r="E102" s="67">
        <v>0.27272727272727271</v>
      </c>
      <c r="F102" s="67">
        <v>0.47474747474747475</v>
      </c>
      <c r="G102" s="67">
        <v>0.24849215922798554</v>
      </c>
      <c r="H102" s="67">
        <v>0.1881785283474065</v>
      </c>
      <c r="I102" s="68">
        <v>8741.2621359223303</v>
      </c>
      <c r="J102" s="68">
        <v>-9167.3076923076915</v>
      </c>
      <c r="K102" s="67">
        <v>0.19191919191919191</v>
      </c>
      <c r="L102" s="67">
        <v>0.10101010101010101</v>
      </c>
      <c r="M102" s="67">
        <v>0.27382388419782872</v>
      </c>
      <c r="N102" s="67">
        <v>0.17008443908323281</v>
      </c>
      <c r="O102" s="67">
        <v>0.51982378854625555</v>
      </c>
      <c r="P102" s="67">
        <v>0.27659574468085107</v>
      </c>
      <c r="Q102" s="67">
        <v>0.44660194174757284</v>
      </c>
    </row>
    <row r="103" spans="1:17" x14ac:dyDescent="0.4">
      <c r="A103" s="69">
        <v>100</v>
      </c>
      <c r="B103" s="66">
        <v>-1255.3</v>
      </c>
      <c r="C103" s="66">
        <v>-12.552999999999999</v>
      </c>
      <c r="D103" s="71">
        <v>2.2000000000000002</v>
      </c>
      <c r="E103" s="67">
        <v>0.27</v>
      </c>
      <c r="F103" s="67">
        <v>0.47</v>
      </c>
      <c r="G103" s="67">
        <v>0.24910607866507747</v>
      </c>
      <c r="H103" s="67">
        <v>0.18712753277711561</v>
      </c>
      <c r="I103" s="68">
        <v>8788.0382775119615</v>
      </c>
      <c r="J103" s="68">
        <v>-9115.2866242038217</v>
      </c>
      <c r="K103" s="67">
        <v>0.19</v>
      </c>
      <c r="L103" s="67">
        <v>0.1</v>
      </c>
      <c r="M103" s="67">
        <v>0.27413587604290823</v>
      </c>
      <c r="N103" s="67">
        <v>0.17401668653158522</v>
      </c>
      <c r="O103" s="67">
        <v>0.52173913043478259</v>
      </c>
      <c r="P103" s="67">
        <v>0.27397260273972601</v>
      </c>
      <c r="Q103" s="67">
        <v>0.44497607655502391</v>
      </c>
    </row>
    <row r="104" spans="1:17" x14ac:dyDescent="0.4">
      <c r="A104" s="69">
        <v>101</v>
      </c>
      <c r="B104" s="66">
        <v>-1246.3</v>
      </c>
      <c r="C104" s="66">
        <v>-12.339603960396039</v>
      </c>
      <c r="D104" s="71">
        <v>2.1980198019801982</v>
      </c>
      <c r="E104" s="67">
        <v>0.26732673267326734</v>
      </c>
      <c r="F104" s="67">
        <v>0.46534653465346537</v>
      </c>
      <c r="G104" s="67">
        <v>0.25146886016451236</v>
      </c>
      <c r="H104" s="67">
        <v>0.18683901292596944</v>
      </c>
      <c r="I104" s="68">
        <v>8814.0186915887843</v>
      </c>
      <c r="J104" s="68">
        <v>-9200</v>
      </c>
      <c r="K104" s="67">
        <v>0.18811881188118812</v>
      </c>
      <c r="L104" s="67">
        <v>9.9009900990099015E-2</v>
      </c>
      <c r="M104" s="67">
        <v>0.27262044653348999</v>
      </c>
      <c r="N104" s="67">
        <v>0.1762632197414806</v>
      </c>
      <c r="O104" s="67">
        <v>0.52586206896551724</v>
      </c>
      <c r="P104" s="67">
        <v>0.28000000000000003</v>
      </c>
      <c r="Q104" s="67">
        <v>0.44859813084112149</v>
      </c>
    </row>
    <row r="105" spans="1:17" x14ac:dyDescent="0.4">
      <c r="A105" s="69">
        <v>102</v>
      </c>
      <c r="B105" s="66">
        <v>-1206.5</v>
      </c>
      <c r="C105" s="66">
        <v>-11.828431372549019</v>
      </c>
      <c r="D105" s="71">
        <v>2.1862745098039214</v>
      </c>
      <c r="E105" s="67">
        <v>0.27450980392156865</v>
      </c>
      <c r="F105" s="67">
        <v>0.46078431372549017</v>
      </c>
      <c r="G105" s="67">
        <v>0.25407925407925408</v>
      </c>
      <c r="H105" s="67">
        <v>0.18648018648018649</v>
      </c>
      <c r="I105" s="68">
        <v>8779.3577981651379</v>
      </c>
      <c r="J105" s="68">
        <v>-9166.875</v>
      </c>
      <c r="K105" s="67">
        <v>0.18627450980392157</v>
      </c>
      <c r="L105" s="67">
        <v>9.8039215686274508E-2</v>
      </c>
      <c r="M105" s="67">
        <v>0.27272727272727271</v>
      </c>
      <c r="N105" s="67">
        <v>0.17482517482517482</v>
      </c>
      <c r="O105" s="67">
        <v>0.52991452991452992</v>
      </c>
      <c r="P105" s="67">
        <v>0.28000000000000003</v>
      </c>
      <c r="Q105" s="67">
        <v>0.45871559633027525</v>
      </c>
    </row>
    <row r="106" spans="1:17" x14ac:dyDescent="0.4">
      <c r="A106" s="69">
        <v>103</v>
      </c>
      <c r="B106" s="66">
        <v>-1144.9000000000001</v>
      </c>
      <c r="C106" s="66">
        <v>-11.115533980582525</v>
      </c>
      <c r="D106" s="71">
        <v>2.174757281553398</v>
      </c>
      <c r="E106" s="67">
        <v>0.28155339805825241</v>
      </c>
      <c r="F106" s="67">
        <v>0.4563106796116505</v>
      </c>
      <c r="G106" s="67">
        <v>0.25573394495412843</v>
      </c>
      <c r="H106" s="67">
        <v>0.18692660550458715</v>
      </c>
      <c r="I106" s="68">
        <v>8813.4529147982066</v>
      </c>
      <c r="J106" s="68">
        <v>-9095.0920245398775</v>
      </c>
      <c r="K106" s="67">
        <v>0.18446601941747573</v>
      </c>
      <c r="L106" s="67">
        <v>9.7087378640776698E-2</v>
      </c>
      <c r="M106" s="67">
        <v>0.26949541284403672</v>
      </c>
      <c r="N106" s="67">
        <v>0.17545871559633028</v>
      </c>
      <c r="O106" s="67">
        <v>0.53191489361702127</v>
      </c>
      <c r="P106" s="67">
        <v>0.28104575163398693</v>
      </c>
      <c r="Q106" s="67">
        <v>0.452914798206278</v>
      </c>
    </row>
    <row r="107" spans="1:17" x14ac:dyDescent="0.4">
      <c r="A107" s="69">
        <v>104</v>
      </c>
      <c r="B107" s="66">
        <v>-1134.8000000000002</v>
      </c>
      <c r="C107" s="66">
        <v>-10.911538461538463</v>
      </c>
      <c r="D107" s="71">
        <v>2.1730769230769229</v>
      </c>
      <c r="E107" s="67">
        <v>0.27884615384615385</v>
      </c>
      <c r="F107" s="67">
        <v>0.45192307692307693</v>
      </c>
      <c r="G107" s="67">
        <v>0.25539160045402953</v>
      </c>
      <c r="H107" s="67">
        <v>0.18501702610669693</v>
      </c>
      <c r="I107" s="68">
        <v>8806.2222222222226</v>
      </c>
      <c r="J107" s="68">
        <v>-9095.0920245398775</v>
      </c>
      <c r="K107" s="67">
        <v>0.18269230769230768</v>
      </c>
      <c r="L107" s="67">
        <v>9.6153846153846159E-2</v>
      </c>
      <c r="M107" s="67">
        <v>0.26787741203178206</v>
      </c>
      <c r="N107" s="67">
        <v>0.17593643586833144</v>
      </c>
      <c r="O107" s="67">
        <v>0.52966101694915257</v>
      </c>
      <c r="P107" s="67">
        <v>0.27741935483870966</v>
      </c>
      <c r="Q107" s="67">
        <v>0.45777777777777778</v>
      </c>
    </row>
    <row r="108" spans="1:17" x14ac:dyDescent="0.4">
      <c r="A108" s="69">
        <v>105</v>
      </c>
      <c r="B108" s="66">
        <v>-1138.7000000000003</v>
      </c>
      <c r="C108" s="66">
        <v>-10.844761904761908</v>
      </c>
      <c r="D108" s="71">
        <v>2.1714285714285713</v>
      </c>
      <c r="E108" s="67">
        <v>0.27619047619047621</v>
      </c>
      <c r="F108" s="67">
        <v>0.44761904761904764</v>
      </c>
      <c r="G108" s="67">
        <v>0.2556053811659193</v>
      </c>
      <c r="H108" s="67">
        <v>0.18497757847533633</v>
      </c>
      <c r="I108" s="68">
        <v>8817.105263157895</v>
      </c>
      <c r="J108" s="68">
        <v>-9147.878787878788</v>
      </c>
      <c r="K108" s="67">
        <v>0.18095238095238095</v>
      </c>
      <c r="L108" s="67">
        <v>9.5238095238095233E-2</v>
      </c>
      <c r="M108" s="67">
        <v>0.26905829596412556</v>
      </c>
      <c r="N108" s="67">
        <v>0.17713004484304934</v>
      </c>
      <c r="O108" s="67">
        <v>0.52916666666666667</v>
      </c>
      <c r="P108" s="67">
        <v>0.27848101265822783</v>
      </c>
      <c r="Q108" s="67">
        <v>0.45614035087719296</v>
      </c>
    </row>
    <row r="109" spans="1:17" x14ac:dyDescent="0.4">
      <c r="A109" s="69">
        <v>106</v>
      </c>
      <c r="B109" s="66">
        <v>-1119.7000000000003</v>
      </c>
      <c r="C109" s="66">
        <v>-10.563207547169814</v>
      </c>
      <c r="D109" s="71">
        <v>2.1698113207547172</v>
      </c>
      <c r="E109" s="67">
        <v>0.27358490566037735</v>
      </c>
      <c r="F109" s="67">
        <v>0.44339622641509435</v>
      </c>
      <c r="G109" s="67">
        <v>0.25777777777777777</v>
      </c>
      <c r="H109" s="67">
        <v>0.18555555555555556</v>
      </c>
      <c r="I109" s="68">
        <v>8818.1034482758623</v>
      </c>
      <c r="J109" s="68">
        <v>-9158.0838323353291</v>
      </c>
      <c r="K109" s="67">
        <v>0.17924528301886791</v>
      </c>
      <c r="L109" s="67">
        <v>9.4339622641509441E-2</v>
      </c>
      <c r="M109" s="67">
        <v>0.26777777777777778</v>
      </c>
      <c r="N109" s="67">
        <v>0.17888888888888888</v>
      </c>
      <c r="O109" s="67">
        <v>0.53112033195020747</v>
      </c>
      <c r="P109" s="67">
        <v>0.2857142857142857</v>
      </c>
      <c r="Q109" s="67">
        <v>0.45258620689655171</v>
      </c>
    </row>
    <row r="110" spans="1:17" x14ac:dyDescent="0.4">
      <c r="A110" s="69">
        <v>107</v>
      </c>
      <c r="B110" s="66">
        <v>-1085.0000000000002</v>
      </c>
      <c r="C110" s="66">
        <v>-10.140186915887853</v>
      </c>
      <c r="D110" s="71">
        <v>2.1588785046728973</v>
      </c>
      <c r="E110" s="67">
        <v>0.28037383177570091</v>
      </c>
      <c r="F110" s="67">
        <v>0.43925233644859812</v>
      </c>
      <c r="G110" s="67">
        <v>0.25962596259625964</v>
      </c>
      <c r="H110" s="67">
        <v>0.18371837183718373</v>
      </c>
      <c r="I110" s="68">
        <v>8735.1694915254229</v>
      </c>
      <c r="J110" s="68">
        <v>-9158.0838323353291</v>
      </c>
      <c r="K110" s="67">
        <v>0.17757009345794392</v>
      </c>
      <c r="L110" s="67">
        <v>9.3457943925233641E-2</v>
      </c>
      <c r="M110" s="67">
        <v>0.26622662266226621</v>
      </c>
      <c r="N110" s="67">
        <v>0.18041804180418042</v>
      </c>
      <c r="O110" s="67">
        <v>0.53305785123966942</v>
      </c>
      <c r="P110" s="67">
        <v>0.29268292682926828</v>
      </c>
      <c r="Q110" s="67">
        <v>0.44915254237288138</v>
      </c>
    </row>
    <row r="111" spans="1:17" x14ac:dyDescent="0.4">
      <c r="A111" s="69">
        <v>108</v>
      </c>
      <c r="B111" s="66">
        <v>-1048.6000000000001</v>
      </c>
      <c r="C111" s="66">
        <v>-9.7092592592592606</v>
      </c>
      <c r="D111" s="71">
        <v>2.1481481481481484</v>
      </c>
      <c r="E111" s="67">
        <v>0.28703703703703703</v>
      </c>
      <c r="F111" s="67">
        <v>0.43518518518518517</v>
      </c>
      <c r="G111" s="67">
        <v>0.26195652173913042</v>
      </c>
      <c r="H111" s="67">
        <v>0.18260869565217391</v>
      </c>
      <c r="I111" s="68">
        <v>8658.9211618257268</v>
      </c>
      <c r="J111" s="68">
        <v>-9126.7857142857138</v>
      </c>
      <c r="K111" s="67">
        <v>0.17592592592592593</v>
      </c>
      <c r="L111" s="67">
        <v>9.2592592592592587E-2</v>
      </c>
      <c r="M111" s="67">
        <v>0.26521739130434785</v>
      </c>
      <c r="N111" s="67">
        <v>0.18260869565217391</v>
      </c>
      <c r="O111" s="67">
        <v>0.53688524590163933</v>
      </c>
      <c r="P111" s="67">
        <v>0.29761904761904762</v>
      </c>
      <c r="Q111" s="67">
        <v>0.44398340248962653</v>
      </c>
    </row>
    <row r="112" spans="1:17" x14ac:dyDescent="0.4">
      <c r="A112" s="69">
        <v>109</v>
      </c>
      <c r="B112" s="66">
        <v>-982.60000000000014</v>
      </c>
      <c r="C112" s="66">
        <v>-9.0146788990825701</v>
      </c>
      <c r="D112" s="71">
        <v>2.1376146788990824</v>
      </c>
      <c r="E112" s="67">
        <v>0.29357798165137616</v>
      </c>
      <c r="F112" s="67">
        <v>0.43119266055045874</v>
      </c>
      <c r="G112" s="67">
        <v>0.26213592233009708</v>
      </c>
      <c r="H112" s="67">
        <v>0.18446601941747573</v>
      </c>
      <c r="I112" s="68">
        <v>8883.9506172839501</v>
      </c>
      <c r="J112" s="68">
        <v>-9054.3859649122805</v>
      </c>
      <c r="K112" s="67">
        <v>0.1743119266055046</v>
      </c>
      <c r="L112" s="67">
        <v>0.10091743119266056</v>
      </c>
      <c r="M112" s="67">
        <v>0.26429341963322545</v>
      </c>
      <c r="N112" s="67">
        <v>0.18230852211434737</v>
      </c>
      <c r="O112" s="67">
        <v>0.53877551020408165</v>
      </c>
      <c r="P112" s="67">
        <v>0.29585798816568049</v>
      </c>
      <c r="Q112" s="67">
        <v>0.44855967078189302</v>
      </c>
    </row>
    <row r="113" spans="1:17" x14ac:dyDescent="0.4">
      <c r="A113" s="69">
        <v>110</v>
      </c>
      <c r="B113" s="66">
        <v>-940.00000000000011</v>
      </c>
      <c r="C113" s="66">
        <v>-8.5454545454545467</v>
      </c>
      <c r="D113" s="71">
        <v>2.1272727272727274</v>
      </c>
      <c r="E113" s="67">
        <v>0.3</v>
      </c>
      <c r="F113" s="67">
        <v>0.42727272727272725</v>
      </c>
      <c r="G113" s="67">
        <v>0.26315789473684209</v>
      </c>
      <c r="H113" s="67">
        <v>0.18367346938775511</v>
      </c>
      <c r="I113" s="68">
        <v>8896.7346938775518</v>
      </c>
      <c r="J113" s="68">
        <v>-9054.3859649122805</v>
      </c>
      <c r="K113" s="67">
        <v>0.17272727272727273</v>
      </c>
      <c r="L113" s="67">
        <v>0.10909090909090909</v>
      </c>
      <c r="M113" s="67">
        <v>0.26423200859291085</v>
      </c>
      <c r="N113" s="67">
        <v>0.18259935553168635</v>
      </c>
      <c r="O113" s="67">
        <v>0.54065040650406504</v>
      </c>
      <c r="P113" s="67">
        <v>0.3</v>
      </c>
      <c r="Q113" s="67">
        <v>0.44897959183673469</v>
      </c>
    </row>
    <row r="114" spans="1:17" x14ac:dyDescent="0.4">
      <c r="A114" s="69">
        <v>111</v>
      </c>
      <c r="B114" s="66">
        <v>-890.80000000000007</v>
      </c>
      <c r="C114" s="66">
        <v>-8.0252252252252259</v>
      </c>
      <c r="D114" s="71">
        <v>2.1171171171171173</v>
      </c>
      <c r="E114" s="67">
        <v>0.30630630630630629</v>
      </c>
      <c r="F114" s="67">
        <v>0.42342342342342343</v>
      </c>
      <c r="G114" s="67">
        <v>0.26567481402763016</v>
      </c>
      <c r="H114" s="67">
        <v>0.18278427205100956</v>
      </c>
      <c r="I114" s="68">
        <v>8854</v>
      </c>
      <c r="J114" s="68">
        <v>-9071.5116279069771</v>
      </c>
      <c r="K114" s="67">
        <v>0.17117117117117117</v>
      </c>
      <c r="L114" s="67">
        <v>0.11711711711711711</v>
      </c>
      <c r="M114" s="67">
        <v>0.26673751328374068</v>
      </c>
      <c r="N114" s="67">
        <v>0.18172157279489903</v>
      </c>
      <c r="O114" s="67">
        <v>0.53784860557768921</v>
      </c>
      <c r="P114" s="67">
        <v>0.30409356725146197</v>
      </c>
      <c r="Q114" s="67">
        <v>0.44400000000000001</v>
      </c>
    </row>
    <row r="115" spans="1:17" x14ac:dyDescent="0.4">
      <c r="A115" s="69">
        <v>112</v>
      </c>
      <c r="B115" s="66">
        <v>-971.2</v>
      </c>
      <c r="C115" s="66">
        <v>-8.6714285714285726</v>
      </c>
      <c r="D115" s="71">
        <v>2.125</v>
      </c>
      <c r="E115" s="67">
        <v>0.30357142857142855</v>
      </c>
      <c r="F115" s="67">
        <v>0.42857142857142855</v>
      </c>
      <c r="G115" s="67">
        <v>0.26498422712933756</v>
      </c>
      <c r="H115" s="67">
        <v>0.18506834910620398</v>
      </c>
      <c r="I115" s="68">
        <v>8851.9841269841272</v>
      </c>
      <c r="J115" s="68">
        <v>-8952.8409090909099</v>
      </c>
      <c r="K115" s="67">
        <v>0.17857142857142858</v>
      </c>
      <c r="L115" s="67">
        <v>0.11607142857142858</v>
      </c>
      <c r="M115" s="67">
        <v>0.26498422712933756</v>
      </c>
      <c r="N115" s="67">
        <v>0.18191377497371189</v>
      </c>
      <c r="O115" s="67">
        <v>0.53968253968253965</v>
      </c>
      <c r="P115" s="67">
        <v>0.30635838150289019</v>
      </c>
      <c r="Q115" s="67">
        <v>0.44047619047619047</v>
      </c>
    </row>
    <row r="116" spans="1:17" x14ac:dyDescent="0.4">
      <c r="A116" s="69">
        <v>113</v>
      </c>
      <c r="B116" s="66">
        <v>-921.2</v>
      </c>
      <c r="C116" s="66">
        <v>-8.1522123893805318</v>
      </c>
      <c r="D116" s="71">
        <v>2.1150442477876106</v>
      </c>
      <c r="E116" s="67">
        <v>0.30973451327433627</v>
      </c>
      <c r="F116" s="67">
        <v>0.4247787610619469</v>
      </c>
      <c r="G116" s="67">
        <v>0.2664576802507837</v>
      </c>
      <c r="H116" s="67">
        <v>0.18390804597701149</v>
      </c>
      <c r="I116" s="68">
        <v>8873.3333333333339</v>
      </c>
      <c r="J116" s="68">
        <v>-8952.8409090909099</v>
      </c>
      <c r="K116" s="67">
        <v>0.17699115044247787</v>
      </c>
      <c r="L116" s="67">
        <v>0.12389380530973451</v>
      </c>
      <c r="M116" s="67">
        <v>0.26436781609195403</v>
      </c>
      <c r="N116" s="67">
        <v>0.18181818181818182</v>
      </c>
      <c r="O116" s="67">
        <v>0.54150197628458496</v>
      </c>
      <c r="P116" s="67">
        <v>0.3045977011494253</v>
      </c>
      <c r="Q116" s="67">
        <v>0.4392156862745098</v>
      </c>
    </row>
    <row r="117" spans="1:17" x14ac:dyDescent="0.4">
      <c r="A117" s="69">
        <v>114</v>
      </c>
      <c r="B117" s="66">
        <v>-924.7</v>
      </c>
      <c r="C117" s="66">
        <v>-8.1114035087719305</v>
      </c>
      <c r="D117" s="71">
        <v>2.1140350877192984</v>
      </c>
      <c r="E117" s="67">
        <v>0.30701754385964913</v>
      </c>
      <c r="F117" s="67">
        <v>0.42105263157894735</v>
      </c>
      <c r="G117" s="67">
        <v>0.265625</v>
      </c>
      <c r="H117" s="67">
        <v>0.18333333333333332</v>
      </c>
      <c r="I117" s="68">
        <v>8873.3333333333339</v>
      </c>
      <c r="J117" s="68">
        <v>-8952.8409090909099</v>
      </c>
      <c r="K117" s="67">
        <v>0.17543859649122806</v>
      </c>
      <c r="L117" s="67">
        <v>0.12280701754385964</v>
      </c>
      <c r="M117" s="67">
        <v>0.26354166666666667</v>
      </c>
      <c r="N117" s="67">
        <v>0.18124999999999999</v>
      </c>
      <c r="O117" s="67">
        <v>0.54150197628458496</v>
      </c>
      <c r="P117" s="67">
        <v>0.3045977011494253</v>
      </c>
      <c r="Q117" s="67">
        <v>0.4392156862745098</v>
      </c>
    </row>
    <row r="118" spans="1:17" x14ac:dyDescent="0.4">
      <c r="A118" s="69">
        <v>115</v>
      </c>
      <c r="B118" s="66">
        <v>-919.7</v>
      </c>
      <c r="C118" s="66">
        <v>-7.9973913043478264</v>
      </c>
      <c r="D118" s="71">
        <v>2.1130434782608694</v>
      </c>
      <c r="E118" s="67">
        <v>0.30434782608695654</v>
      </c>
      <c r="F118" s="67">
        <v>0.41739130434782606</v>
      </c>
      <c r="G118" s="67">
        <v>0.26646090534979422</v>
      </c>
      <c r="H118" s="67">
        <v>0.18415637860082304</v>
      </c>
      <c r="I118" s="68">
        <v>8866.0231660231657</v>
      </c>
      <c r="J118" s="68">
        <v>-8887.7094972067043</v>
      </c>
      <c r="K118" s="67">
        <v>0.17391304347826086</v>
      </c>
      <c r="L118" s="67">
        <v>0.12173913043478261</v>
      </c>
      <c r="M118" s="67">
        <v>0.26131687242798352</v>
      </c>
      <c r="N118" s="67">
        <v>0.18209876543209877</v>
      </c>
      <c r="O118" s="67">
        <v>0.54330708661417326</v>
      </c>
      <c r="P118" s="67">
        <v>0.30508474576271188</v>
      </c>
      <c r="Q118" s="67">
        <v>0.44015444015444016</v>
      </c>
    </row>
    <row r="119" spans="1:17" x14ac:dyDescent="0.4">
      <c r="A119" s="69">
        <v>116</v>
      </c>
      <c r="B119" s="66">
        <v>-880.80000000000007</v>
      </c>
      <c r="C119" s="66">
        <v>-7.5931034482758628</v>
      </c>
      <c r="D119" s="71">
        <v>2.103448275862069</v>
      </c>
      <c r="E119" s="67">
        <v>0.31034482758620691</v>
      </c>
      <c r="F119" s="67">
        <v>0.41379310344827586</v>
      </c>
      <c r="G119" s="67">
        <v>0.26653102746693796</v>
      </c>
      <c r="H119" s="67">
        <v>0.18413021363173956</v>
      </c>
      <c r="I119" s="68">
        <v>8908.0152671755732</v>
      </c>
      <c r="J119" s="68">
        <v>-8871.8232044198903</v>
      </c>
      <c r="K119" s="67">
        <v>0.17241379310344829</v>
      </c>
      <c r="L119" s="67">
        <v>0.1206896551724138</v>
      </c>
      <c r="M119" s="67">
        <v>0.26144455747711087</v>
      </c>
      <c r="N119" s="67">
        <v>0.18107833163784334</v>
      </c>
      <c r="O119" s="67">
        <v>0.54474708171206221</v>
      </c>
      <c r="P119" s="67">
        <v>0.3089887640449438</v>
      </c>
      <c r="Q119" s="67">
        <v>0.43893129770992367</v>
      </c>
    </row>
    <row r="120" spans="1:17" x14ac:dyDescent="0.4">
      <c r="A120" s="69">
        <v>117</v>
      </c>
      <c r="B120" s="66">
        <v>-932.80000000000007</v>
      </c>
      <c r="C120" s="66">
        <v>-7.9726495726495736</v>
      </c>
      <c r="D120" s="71">
        <v>2.1111111111111112</v>
      </c>
      <c r="E120" s="67">
        <v>0.30769230769230771</v>
      </c>
      <c r="F120" s="67">
        <v>0.41880341880341881</v>
      </c>
      <c r="G120" s="67">
        <v>0.2651209677419355</v>
      </c>
      <c r="H120" s="67">
        <v>0.18548387096774194</v>
      </c>
      <c r="I120" s="68">
        <v>8903.4220532319396</v>
      </c>
      <c r="J120" s="68">
        <v>-8885.8695652173919</v>
      </c>
      <c r="K120" s="67">
        <v>0.17094017094017094</v>
      </c>
      <c r="L120" s="67">
        <v>0.11965811965811966</v>
      </c>
      <c r="M120" s="67">
        <v>0.26008064516129031</v>
      </c>
      <c r="N120" s="67">
        <v>0.17943548387096775</v>
      </c>
      <c r="O120" s="67">
        <v>0.54263565891472865</v>
      </c>
      <c r="P120" s="67">
        <v>0.3089887640449438</v>
      </c>
      <c r="Q120" s="67">
        <v>0.43726235741444869</v>
      </c>
    </row>
    <row r="121" spans="1:17" x14ac:dyDescent="0.4">
      <c r="A121" s="69">
        <v>118</v>
      </c>
      <c r="B121" s="66">
        <v>-988.7</v>
      </c>
      <c r="C121" s="66">
        <v>-8.378813559322035</v>
      </c>
      <c r="D121" s="71">
        <v>2.1186440677966103</v>
      </c>
      <c r="E121" s="67">
        <v>0.30508474576271188</v>
      </c>
      <c r="F121" s="67">
        <v>0.42372881355932202</v>
      </c>
      <c r="G121" s="67">
        <v>0.26352705410821642</v>
      </c>
      <c r="H121" s="67">
        <v>0.18637274549098196</v>
      </c>
      <c r="I121" s="68">
        <v>8903.4220532319396</v>
      </c>
      <c r="J121" s="68">
        <v>-8930.1075268817203</v>
      </c>
      <c r="K121" s="67">
        <v>0.17796610169491525</v>
      </c>
      <c r="L121" s="67">
        <v>0.11864406779661017</v>
      </c>
      <c r="M121" s="67">
        <v>0.25851703406813625</v>
      </c>
      <c r="N121" s="67">
        <v>0.18136272545090179</v>
      </c>
      <c r="O121" s="67">
        <v>0.54263565891472865</v>
      </c>
      <c r="P121" s="67">
        <v>0.30386740331491713</v>
      </c>
      <c r="Q121" s="67">
        <v>0.43726235741444869</v>
      </c>
    </row>
    <row r="122" spans="1:17" x14ac:dyDescent="0.4">
      <c r="A122" s="69">
        <v>119</v>
      </c>
      <c r="B122" s="66">
        <v>-950.40000000000009</v>
      </c>
      <c r="C122" s="66">
        <v>-7.9865546218487404</v>
      </c>
      <c r="D122" s="71">
        <v>2.1092436974789917</v>
      </c>
      <c r="E122" s="67">
        <v>0.31092436974789917</v>
      </c>
      <c r="F122" s="67">
        <v>0.42016806722689076</v>
      </c>
      <c r="G122" s="67">
        <v>0.26467661691542288</v>
      </c>
      <c r="H122" s="67">
        <v>0.18507462686567164</v>
      </c>
      <c r="I122" s="68">
        <v>8885.7142857142862</v>
      </c>
      <c r="J122" s="68">
        <v>-8930.1075268817203</v>
      </c>
      <c r="K122" s="67">
        <v>0.17647058823529413</v>
      </c>
      <c r="L122" s="67">
        <v>0.11764705882352941</v>
      </c>
      <c r="M122" s="67">
        <v>0.25870646766169153</v>
      </c>
      <c r="N122" s="67">
        <v>0.18308457711442785</v>
      </c>
      <c r="O122" s="67">
        <v>0.5461538461538461</v>
      </c>
      <c r="P122" s="67">
        <v>0.30434782608695654</v>
      </c>
      <c r="Q122" s="67">
        <v>0.43233082706766918</v>
      </c>
    </row>
    <row r="123" spans="1:17" x14ac:dyDescent="0.4">
      <c r="A123" s="69">
        <v>120</v>
      </c>
      <c r="B123" s="66">
        <v>-902.50000000000011</v>
      </c>
      <c r="C123" s="66">
        <v>-7.5208333333333339</v>
      </c>
      <c r="D123" s="71">
        <v>2.1</v>
      </c>
      <c r="E123" s="67">
        <v>0.31666666666666665</v>
      </c>
      <c r="F123" s="67">
        <v>0.41666666666666669</v>
      </c>
      <c r="G123" s="67">
        <v>0.26554787759131293</v>
      </c>
      <c r="H123" s="67">
        <v>0.18361303060217177</v>
      </c>
      <c r="I123" s="68">
        <v>8920.4460966542756</v>
      </c>
      <c r="J123" s="68">
        <v>-8930.1075268817203</v>
      </c>
      <c r="K123" s="67">
        <v>0.17499999999999999</v>
      </c>
      <c r="L123" s="67">
        <v>0.125</v>
      </c>
      <c r="M123" s="67">
        <v>0.26061204343534056</v>
      </c>
      <c r="N123" s="67">
        <v>0.18262586377097728</v>
      </c>
      <c r="O123" s="67">
        <v>0.5492424242424242</v>
      </c>
      <c r="P123" s="67">
        <v>0.30270270270270272</v>
      </c>
      <c r="Q123" s="67">
        <v>0.43122676579925651</v>
      </c>
    </row>
    <row r="124" spans="1:17" x14ac:dyDescent="0.4">
      <c r="A124" s="69">
        <v>121</v>
      </c>
      <c r="B124" s="66">
        <v>-911.60000000000014</v>
      </c>
      <c r="C124" s="66">
        <v>-7.5338842975206619</v>
      </c>
      <c r="D124" s="71">
        <v>2.0991735537190084</v>
      </c>
      <c r="E124" s="67">
        <v>0.31404958677685951</v>
      </c>
      <c r="F124" s="67">
        <v>0.41322314049586778</v>
      </c>
      <c r="G124" s="67">
        <v>0.26516634050880628</v>
      </c>
      <c r="H124" s="67">
        <v>0.18493150684931506</v>
      </c>
      <c r="I124" s="68">
        <v>8898.8929889298888</v>
      </c>
      <c r="J124" s="68">
        <v>-8870.8994708994705</v>
      </c>
      <c r="K124" s="67">
        <v>0.17355371900826447</v>
      </c>
      <c r="L124" s="67">
        <v>0.12396694214876033</v>
      </c>
      <c r="M124" s="67">
        <v>0.26027397260273971</v>
      </c>
      <c r="N124" s="67">
        <v>0.18199608610567514</v>
      </c>
      <c r="O124" s="67">
        <v>0.54511278195488722</v>
      </c>
      <c r="P124" s="67">
        <v>0.30645161290322581</v>
      </c>
      <c r="Q124" s="67">
        <v>0.43542435424354242</v>
      </c>
    </row>
    <row r="125" spans="1:17" x14ac:dyDescent="0.4">
      <c r="A125" s="69">
        <v>122</v>
      </c>
      <c r="B125" s="66">
        <v>-881.60000000000014</v>
      </c>
      <c r="C125" s="66">
        <v>-7.2262295081967221</v>
      </c>
      <c r="D125" s="71">
        <v>2.0901639344262297</v>
      </c>
      <c r="E125" s="67">
        <v>0.31967213114754101</v>
      </c>
      <c r="F125" s="67">
        <v>0.4098360655737705</v>
      </c>
      <c r="G125" s="67">
        <v>0.26647286821705424</v>
      </c>
      <c r="H125" s="67">
        <v>0.18507751937984496</v>
      </c>
      <c r="I125" s="68">
        <v>8826.181818181818</v>
      </c>
      <c r="J125" s="68">
        <v>-8796.8586387434552</v>
      </c>
      <c r="K125" s="67">
        <v>0.1721311475409836</v>
      </c>
      <c r="L125" s="67">
        <v>0.12295081967213115</v>
      </c>
      <c r="M125" s="67">
        <v>0.25775193798449614</v>
      </c>
      <c r="N125" s="67">
        <v>0.18217054263565891</v>
      </c>
      <c r="O125" s="67">
        <v>0.54511278195488722</v>
      </c>
      <c r="P125" s="67">
        <v>0.31382978723404253</v>
      </c>
      <c r="Q125" s="67">
        <v>0.42909090909090908</v>
      </c>
    </row>
    <row r="126" spans="1:17" x14ac:dyDescent="0.4">
      <c r="A126" s="69">
        <v>123</v>
      </c>
      <c r="B126" s="66">
        <v>-881.00000000000011</v>
      </c>
      <c r="C126" s="66">
        <v>-7.1626016260162615</v>
      </c>
      <c r="D126" s="71">
        <v>2.089430894308943</v>
      </c>
      <c r="E126" s="67">
        <v>0.31707317073170732</v>
      </c>
      <c r="F126" s="67">
        <v>0.4065040650406504</v>
      </c>
      <c r="G126" s="67">
        <v>0.26685934489402696</v>
      </c>
      <c r="H126" s="67">
        <v>0.18400770712909442</v>
      </c>
      <c r="I126" s="68">
        <v>8805.7761732851977</v>
      </c>
      <c r="J126" s="68">
        <v>-8796.8586387434552</v>
      </c>
      <c r="K126" s="67">
        <v>0.17073170731707318</v>
      </c>
      <c r="L126" s="67">
        <v>0.12195121951219512</v>
      </c>
      <c r="M126" s="67">
        <v>0.25722543352601157</v>
      </c>
      <c r="N126" s="67">
        <v>0.1811175337186898</v>
      </c>
      <c r="O126" s="67">
        <v>0.54307116104868913</v>
      </c>
      <c r="P126" s="67">
        <v>0.31382978723404253</v>
      </c>
      <c r="Q126" s="67">
        <v>0.43321299638989169</v>
      </c>
    </row>
    <row r="127" spans="1:17" x14ac:dyDescent="0.4">
      <c r="A127" s="69">
        <v>124</v>
      </c>
      <c r="B127" s="66">
        <v>-849.50000000000011</v>
      </c>
      <c r="C127" s="66">
        <v>-6.8508064516129039</v>
      </c>
      <c r="D127" s="71">
        <v>2.0806451612903225</v>
      </c>
      <c r="E127" s="67">
        <v>0.32258064516129031</v>
      </c>
      <c r="F127" s="67">
        <v>0.40322580645161288</v>
      </c>
      <c r="G127" s="67">
        <v>0.26838586437440304</v>
      </c>
      <c r="H127" s="67">
        <v>0.18338108882521489</v>
      </c>
      <c r="I127" s="68">
        <v>8777.9359430604982</v>
      </c>
      <c r="J127" s="68">
        <v>-8771.3541666666661</v>
      </c>
      <c r="K127" s="67">
        <v>0.16935483870967741</v>
      </c>
      <c r="L127" s="67">
        <v>0.12096774193548387</v>
      </c>
      <c r="M127" s="67">
        <v>0.25692454632282713</v>
      </c>
      <c r="N127" s="67">
        <v>0.18051575931232092</v>
      </c>
      <c r="O127" s="67">
        <v>0.54275092936802971</v>
      </c>
      <c r="P127" s="67">
        <v>0.31746031746031744</v>
      </c>
      <c r="Q127" s="67">
        <v>0.43416370106761565</v>
      </c>
    </row>
    <row r="128" spans="1:17" x14ac:dyDescent="0.4">
      <c r="A128" s="69">
        <v>125</v>
      </c>
      <c r="B128" s="66">
        <v>-877.90000000000009</v>
      </c>
      <c r="C128" s="66">
        <v>-7.023200000000001</v>
      </c>
      <c r="D128" s="71">
        <v>2.0880000000000001</v>
      </c>
      <c r="E128" s="67">
        <v>0.32</v>
      </c>
      <c r="F128" s="67">
        <v>0.40799999999999997</v>
      </c>
      <c r="G128" s="67">
        <v>0.26817752596789424</v>
      </c>
      <c r="H128" s="67">
        <v>0.182247403210576</v>
      </c>
      <c r="I128" s="68">
        <v>8736.6197183098593</v>
      </c>
      <c r="J128" s="68">
        <v>-8732.6424870466326</v>
      </c>
      <c r="K128" s="67">
        <v>0.16800000000000001</v>
      </c>
      <c r="L128" s="67">
        <v>0.12</v>
      </c>
      <c r="M128" s="67">
        <v>0.25590179414542019</v>
      </c>
      <c r="N128" s="67">
        <v>0.17941454202077431</v>
      </c>
      <c r="O128" s="67">
        <v>0.54612546125461259</v>
      </c>
      <c r="P128" s="67">
        <v>0.31578947368421051</v>
      </c>
      <c r="Q128" s="67">
        <v>0.43309859154929575</v>
      </c>
    </row>
    <row r="129" spans="1:17" x14ac:dyDescent="0.4">
      <c r="A129" s="69">
        <v>126</v>
      </c>
      <c r="B129" s="66">
        <v>-883.00000000000011</v>
      </c>
      <c r="C129" s="66">
        <v>-7.0079365079365088</v>
      </c>
      <c r="D129" s="71">
        <v>2.0873015873015874</v>
      </c>
      <c r="E129" s="67">
        <v>0.31746031746031744</v>
      </c>
      <c r="F129" s="67">
        <v>0.40476190476190477</v>
      </c>
      <c r="G129" s="67">
        <v>0.26897844423617617</v>
      </c>
      <c r="H129" s="67">
        <v>0.18088097469540768</v>
      </c>
      <c r="I129" s="68">
        <v>8700</v>
      </c>
      <c r="J129" s="68">
        <v>-8732.6424870466326</v>
      </c>
      <c r="K129" s="67">
        <v>0.16666666666666666</v>
      </c>
      <c r="L129" s="67">
        <v>0.11904761904761904</v>
      </c>
      <c r="M129" s="67">
        <v>0.25585754451733833</v>
      </c>
      <c r="N129" s="67">
        <v>0.17900656044985941</v>
      </c>
      <c r="O129" s="67">
        <v>0.54578754578754574</v>
      </c>
      <c r="P129" s="67">
        <v>0.31413612565445026</v>
      </c>
      <c r="Q129" s="67">
        <v>0.43554006968641112</v>
      </c>
    </row>
    <row r="130" spans="1:17" x14ac:dyDescent="0.4">
      <c r="A130" s="69">
        <v>127</v>
      </c>
      <c r="B130" s="66">
        <v>-881.50000000000011</v>
      </c>
      <c r="C130" s="66">
        <v>-6.9409448818897648</v>
      </c>
      <c r="D130" s="71">
        <v>2.0866141732283463</v>
      </c>
      <c r="E130" s="67">
        <v>0.31496062992125984</v>
      </c>
      <c r="F130" s="67">
        <v>0.40157480314960631</v>
      </c>
      <c r="G130" s="67">
        <v>0.26976744186046514</v>
      </c>
      <c r="H130" s="67">
        <v>0.18046511627906978</v>
      </c>
      <c r="I130" s="68">
        <v>8663.4482758620688</v>
      </c>
      <c r="J130" s="68">
        <v>-8728.865979381444</v>
      </c>
      <c r="K130" s="67">
        <v>0.16535433070866143</v>
      </c>
      <c r="L130" s="67">
        <v>0.11811023622047244</v>
      </c>
      <c r="M130" s="67">
        <v>0.25674418604651161</v>
      </c>
      <c r="N130" s="67">
        <v>0.17767441860465116</v>
      </c>
      <c r="O130" s="67">
        <v>0.54710144927536231</v>
      </c>
      <c r="P130" s="67">
        <v>0.31413612565445026</v>
      </c>
      <c r="Q130" s="67">
        <v>0.43103448275862066</v>
      </c>
    </row>
    <row r="131" spans="1:17" x14ac:dyDescent="0.4">
      <c r="A131" s="69">
        <v>128</v>
      </c>
      <c r="B131" s="66">
        <v>-908.40000000000009</v>
      </c>
      <c r="C131" s="66">
        <v>-7.0968750000000007</v>
      </c>
      <c r="D131" s="71">
        <v>2.09375</v>
      </c>
      <c r="E131" s="67">
        <v>0.3125</v>
      </c>
      <c r="F131" s="67">
        <v>0.40625</v>
      </c>
      <c r="G131" s="67">
        <v>0.27012025901942643</v>
      </c>
      <c r="H131" s="67">
        <v>0.17946345975948197</v>
      </c>
      <c r="I131" s="68">
        <v>8627.3972602739723</v>
      </c>
      <c r="J131" s="68">
        <v>-8728.865979381444</v>
      </c>
      <c r="K131" s="67">
        <v>0.1640625</v>
      </c>
      <c r="L131" s="67">
        <v>0.1171875</v>
      </c>
      <c r="M131" s="67">
        <v>0.25531914893617019</v>
      </c>
      <c r="N131" s="67">
        <v>0.17853839037927843</v>
      </c>
      <c r="O131" s="67">
        <v>0.54710144927536231</v>
      </c>
      <c r="P131" s="67">
        <v>0.31606217616580312</v>
      </c>
      <c r="Q131" s="67">
        <v>0.43493150684931509</v>
      </c>
    </row>
    <row r="132" spans="1:17" x14ac:dyDescent="0.4">
      <c r="A132" s="69">
        <v>129</v>
      </c>
      <c r="B132" s="66">
        <v>-970.40000000000009</v>
      </c>
      <c r="C132" s="66">
        <v>-7.5224806201550392</v>
      </c>
      <c r="D132" s="71">
        <v>2.1007751937984498</v>
      </c>
      <c r="E132" s="67">
        <v>0.31007751937984496</v>
      </c>
      <c r="F132" s="67">
        <v>0.41085271317829458</v>
      </c>
      <c r="G132" s="67">
        <v>0.26937269372693728</v>
      </c>
      <c r="H132" s="67">
        <v>0.18081180811808117</v>
      </c>
      <c r="I132" s="68">
        <v>8627.3972602739723</v>
      </c>
      <c r="J132" s="68">
        <v>-8792.8571428571431</v>
      </c>
      <c r="K132" s="67">
        <v>0.17054263565891473</v>
      </c>
      <c r="L132" s="67">
        <v>0.11627906976744186</v>
      </c>
      <c r="M132" s="67">
        <v>0.25553505535055349</v>
      </c>
      <c r="N132" s="67">
        <v>0.17896678966789667</v>
      </c>
      <c r="O132" s="67">
        <v>0.54512635379061369</v>
      </c>
      <c r="P132" s="67">
        <v>0.31443298969072164</v>
      </c>
      <c r="Q132" s="67">
        <v>0.43493150684931509</v>
      </c>
    </row>
    <row r="133" spans="1:17" x14ac:dyDescent="0.4">
      <c r="A133" s="69">
        <v>130</v>
      </c>
      <c r="B133" s="66">
        <v>-939.30000000000007</v>
      </c>
      <c r="C133" s="66">
        <v>-7.2253846153846162</v>
      </c>
      <c r="D133" s="71">
        <v>2.0923076923076924</v>
      </c>
      <c r="E133" s="67">
        <v>0.31538461538461537</v>
      </c>
      <c r="F133" s="67">
        <v>0.40769230769230769</v>
      </c>
      <c r="G133" s="67">
        <v>0.27056672760511885</v>
      </c>
      <c r="H133" s="67">
        <v>0.17915904936014626</v>
      </c>
      <c r="I133" s="68">
        <v>8597.2972972972966</v>
      </c>
      <c r="J133" s="68">
        <v>-8792.8571428571431</v>
      </c>
      <c r="K133" s="67">
        <v>0.16923076923076924</v>
      </c>
      <c r="L133" s="67">
        <v>0.11538461538461539</v>
      </c>
      <c r="M133" s="67">
        <v>0.25959780621572209</v>
      </c>
      <c r="N133" s="67">
        <v>0.18007312614259599</v>
      </c>
      <c r="O133" s="67">
        <v>0.53873239436619713</v>
      </c>
      <c r="P133" s="67">
        <v>0.31979695431472083</v>
      </c>
      <c r="Q133" s="67">
        <v>0.43243243243243246</v>
      </c>
    </row>
    <row r="134" spans="1:17" x14ac:dyDescent="0.4">
      <c r="A134" s="69">
        <v>131</v>
      </c>
      <c r="B134" s="66">
        <v>-938.50000000000011</v>
      </c>
      <c r="C134" s="66">
        <v>-7.1641221374045809</v>
      </c>
      <c r="D134" s="71">
        <v>2.0916030534351147</v>
      </c>
      <c r="E134" s="67">
        <v>0.31297709923664124</v>
      </c>
      <c r="F134" s="67">
        <v>0.40458015267175573</v>
      </c>
      <c r="G134" s="67">
        <v>0.27017225747960111</v>
      </c>
      <c r="H134" s="67">
        <v>0.17769718948322757</v>
      </c>
      <c r="I134" s="68">
        <v>8558.3892617449656</v>
      </c>
      <c r="J134" s="68">
        <v>-8792.8571428571431</v>
      </c>
      <c r="K134" s="67">
        <v>0.16793893129770993</v>
      </c>
      <c r="L134" s="67">
        <v>0.11450381679389313</v>
      </c>
      <c r="M134" s="67">
        <v>0.25929283771532186</v>
      </c>
      <c r="N134" s="67">
        <v>0.18041704442429737</v>
      </c>
      <c r="O134" s="67">
        <v>0.534965034965035</v>
      </c>
      <c r="P134" s="67">
        <v>0.32160804020100503</v>
      </c>
      <c r="Q134" s="67">
        <v>0.43624161073825501</v>
      </c>
    </row>
    <row r="135" spans="1:17" x14ac:dyDescent="0.4">
      <c r="A135" s="69">
        <v>132</v>
      </c>
      <c r="B135" s="66">
        <v>-967.90000000000009</v>
      </c>
      <c r="C135" s="66">
        <v>-7.332575757575758</v>
      </c>
      <c r="D135" s="71">
        <v>2.0984848484848486</v>
      </c>
      <c r="E135" s="67">
        <v>0.31060606060606061</v>
      </c>
      <c r="F135" s="67">
        <v>0.40909090909090912</v>
      </c>
      <c r="G135" s="67">
        <v>0.26936936936936939</v>
      </c>
      <c r="H135" s="67">
        <v>0.17747747747747747</v>
      </c>
      <c r="I135" s="68">
        <v>8555.5183946488287</v>
      </c>
      <c r="J135" s="68">
        <v>-8787.3096446700511</v>
      </c>
      <c r="K135" s="67">
        <v>0.16666666666666666</v>
      </c>
      <c r="L135" s="67">
        <v>0.11363636363636363</v>
      </c>
      <c r="M135" s="67">
        <v>0.25765765765765763</v>
      </c>
      <c r="N135" s="67">
        <v>0.18378378378378379</v>
      </c>
      <c r="O135" s="67">
        <v>0.534965034965035</v>
      </c>
      <c r="P135" s="67">
        <v>0.31862745098039214</v>
      </c>
      <c r="Q135" s="67">
        <v>0.43812709030100333</v>
      </c>
    </row>
    <row r="136" spans="1:17" x14ac:dyDescent="0.4">
      <c r="A136" s="69">
        <v>133</v>
      </c>
      <c r="B136" s="66">
        <v>-1016.2</v>
      </c>
      <c r="C136" s="66">
        <v>-7.6406015037593988</v>
      </c>
      <c r="D136" s="71">
        <v>2.1052631578947367</v>
      </c>
      <c r="E136" s="67">
        <v>0.30827067669172931</v>
      </c>
      <c r="F136" s="67">
        <v>0.41353383458646614</v>
      </c>
      <c r="G136" s="67">
        <v>0.26744186046511625</v>
      </c>
      <c r="H136" s="67">
        <v>0.17889087656529518</v>
      </c>
      <c r="I136" s="68">
        <v>8555.5183946488287</v>
      </c>
      <c r="J136" s="68">
        <v>-8740.5</v>
      </c>
      <c r="K136" s="67">
        <v>0.16541353383458646</v>
      </c>
      <c r="L136" s="67">
        <v>0.11278195488721804</v>
      </c>
      <c r="M136" s="67">
        <v>0.2558139534883721</v>
      </c>
      <c r="N136" s="67">
        <v>0.18515205724508049</v>
      </c>
      <c r="O136" s="67">
        <v>0.534965034965035</v>
      </c>
      <c r="P136" s="67">
        <v>0.3140096618357488</v>
      </c>
      <c r="Q136" s="67">
        <v>0.43812709030100333</v>
      </c>
    </row>
    <row r="137" spans="1:17" x14ac:dyDescent="0.4">
      <c r="A137" s="69">
        <v>134</v>
      </c>
      <c r="B137" s="66">
        <v>-1019.5</v>
      </c>
      <c r="C137" s="66">
        <v>-7.6082089552238807</v>
      </c>
      <c r="D137" s="71">
        <v>2.1044776119402986</v>
      </c>
      <c r="E137" s="67">
        <v>0.30597014925373134</v>
      </c>
      <c r="F137" s="67">
        <v>0.41044776119402987</v>
      </c>
      <c r="G137" s="67">
        <v>0.26885536823425021</v>
      </c>
      <c r="H137" s="67">
        <v>0.17923691215616683</v>
      </c>
      <c r="I137" s="68">
        <v>8540.924092409241</v>
      </c>
      <c r="J137" s="68">
        <v>-8726.2376237623757</v>
      </c>
      <c r="K137" s="67">
        <v>0.16417910447761194</v>
      </c>
      <c r="L137" s="67">
        <v>0.11194029850746269</v>
      </c>
      <c r="M137" s="67">
        <v>0.25554569653948533</v>
      </c>
      <c r="N137" s="67">
        <v>0.18633540372670807</v>
      </c>
      <c r="O137" s="67">
        <v>0.53819444444444442</v>
      </c>
      <c r="P137" s="67">
        <v>0.31904761904761902</v>
      </c>
      <c r="Q137" s="67">
        <v>0.43564356435643564</v>
      </c>
    </row>
    <row r="138" spans="1:17" x14ac:dyDescent="0.4">
      <c r="A138" s="69">
        <v>135</v>
      </c>
      <c r="B138" s="66">
        <v>-991.3</v>
      </c>
      <c r="C138" s="66">
        <v>-7.3429629629629627</v>
      </c>
      <c r="D138" s="71">
        <v>2.0962962962962961</v>
      </c>
      <c r="E138" s="67">
        <v>0.31111111111111112</v>
      </c>
      <c r="F138" s="67">
        <v>0.40740740740740738</v>
      </c>
      <c r="G138" s="67">
        <v>0.26919682259488087</v>
      </c>
      <c r="H138" s="67">
        <v>0.18005295675198588</v>
      </c>
      <c r="I138" s="68">
        <v>8541.3114754098369</v>
      </c>
      <c r="J138" s="68">
        <v>-8684.8039215686276</v>
      </c>
      <c r="K138" s="67">
        <v>0.16296296296296298</v>
      </c>
      <c r="L138" s="67">
        <v>0.1111111111111111</v>
      </c>
      <c r="M138" s="67">
        <v>0.25595763459841131</v>
      </c>
      <c r="N138" s="67">
        <v>0.18534863195057369</v>
      </c>
      <c r="O138" s="67">
        <v>0.54137931034482756</v>
      </c>
      <c r="P138" s="67">
        <v>0.31904761904761902</v>
      </c>
      <c r="Q138" s="67">
        <v>0.43606557377049182</v>
      </c>
    </row>
    <row r="139" spans="1:17" x14ac:dyDescent="0.4">
      <c r="A139" s="69">
        <v>136</v>
      </c>
      <c r="B139" s="66">
        <v>-995.5</v>
      </c>
      <c r="C139" s="66">
        <v>-7.319852941176471</v>
      </c>
      <c r="D139" s="71">
        <v>2.0955882352941178</v>
      </c>
      <c r="E139" s="67">
        <v>0.30882352941176472</v>
      </c>
      <c r="F139" s="67">
        <v>0.40441176470588236</v>
      </c>
      <c r="G139" s="67">
        <v>0.27017543859649124</v>
      </c>
      <c r="H139" s="67">
        <v>0.17894736842105263</v>
      </c>
      <c r="I139" s="68">
        <v>8486.6883116883109</v>
      </c>
      <c r="J139" s="68">
        <v>-8684.8039215686276</v>
      </c>
      <c r="K139" s="67">
        <v>0.16176470588235295</v>
      </c>
      <c r="L139" s="67">
        <v>0.11029411764705882</v>
      </c>
      <c r="M139" s="67">
        <v>0.256140350877193</v>
      </c>
      <c r="N139" s="67">
        <v>0.18684210526315789</v>
      </c>
      <c r="O139" s="67">
        <v>0.54109589041095896</v>
      </c>
      <c r="P139" s="67">
        <v>0.323943661971831</v>
      </c>
      <c r="Q139" s="67">
        <v>0.43181818181818182</v>
      </c>
    </row>
    <row r="140" spans="1:17" x14ac:dyDescent="0.4">
      <c r="A140" s="69">
        <v>137</v>
      </c>
      <c r="B140" s="66">
        <v>-998.4</v>
      </c>
      <c r="C140" s="66">
        <v>-7.287591240875912</v>
      </c>
      <c r="D140" s="71">
        <v>2.0948905109489053</v>
      </c>
      <c r="E140" s="67">
        <v>0.30656934306569344</v>
      </c>
      <c r="F140" s="67">
        <v>0.40145985401459855</v>
      </c>
      <c r="G140" s="67">
        <v>0.27050610820244331</v>
      </c>
      <c r="H140" s="67">
        <v>0.17975567190226877</v>
      </c>
      <c r="I140" s="68">
        <v>8467.0967741935492</v>
      </c>
      <c r="J140" s="68">
        <v>-8638.3495145631059</v>
      </c>
      <c r="K140" s="67">
        <v>0.16058394160583941</v>
      </c>
      <c r="L140" s="67">
        <v>0.10948905109489052</v>
      </c>
      <c r="M140" s="67">
        <v>0.25654450261780104</v>
      </c>
      <c r="N140" s="67">
        <v>0.18673647469458987</v>
      </c>
      <c r="O140" s="67">
        <v>0.54081632653061229</v>
      </c>
      <c r="P140" s="67">
        <v>0.32710280373831774</v>
      </c>
      <c r="Q140" s="67">
        <v>0.42903225806451611</v>
      </c>
    </row>
    <row r="141" spans="1:17" x14ac:dyDescent="0.4">
      <c r="A141" s="69">
        <v>138</v>
      </c>
      <c r="B141" s="66">
        <v>-1041.2</v>
      </c>
      <c r="C141" s="66">
        <v>-7.5449275362318842</v>
      </c>
      <c r="D141" s="71">
        <v>2.1014492753623188</v>
      </c>
      <c r="E141" s="67">
        <v>0.30434782608695654</v>
      </c>
      <c r="F141" s="67">
        <v>0.40579710144927539</v>
      </c>
      <c r="G141" s="67">
        <v>0.26973113616652211</v>
      </c>
      <c r="H141" s="67">
        <v>0.1795316565481353</v>
      </c>
      <c r="I141" s="68">
        <v>8456.5916398713834</v>
      </c>
      <c r="J141" s="68">
        <v>-8635.2657004830926</v>
      </c>
      <c r="K141" s="67">
        <v>0.15942028985507245</v>
      </c>
      <c r="L141" s="67">
        <v>0.10869565217391304</v>
      </c>
      <c r="M141" s="67">
        <v>0.25498699045967044</v>
      </c>
      <c r="N141" s="67">
        <v>0.18647007805724197</v>
      </c>
      <c r="O141" s="67">
        <v>0.54081632653061229</v>
      </c>
      <c r="P141" s="67">
        <v>0.32558139534883723</v>
      </c>
      <c r="Q141" s="67">
        <v>0.42765273311897106</v>
      </c>
    </row>
    <row r="142" spans="1:17" x14ac:dyDescent="0.4">
      <c r="A142" s="69">
        <v>139</v>
      </c>
      <c r="B142" s="66">
        <v>-1031.4000000000001</v>
      </c>
      <c r="C142" s="66">
        <v>-7.4201438848920871</v>
      </c>
      <c r="D142" s="71">
        <v>2.1007194244604315</v>
      </c>
      <c r="E142" s="67">
        <v>0.30215827338129497</v>
      </c>
      <c r="F142" s="67">
        <v>0.40287769784172661</v>
      </c>
      <c r="G142" s="67">
        <v>0.27131782945736432</v>
      </c>
      <c r="H142" s="67">
        <v>0.17915590008613264</v>
      </c>
      <c r="I142" s="68">
        <v>8415.2380952380954</v>
      </c>
      <c r="J142" s="68">
        <v>-8651.4423076923085</v>
      </c>
      <c r="K142" s="67">
        <v>0.15827338129496402</v>
      </c>
      <c r="L142" s="67">
        <v>0.1079136690647482</v>
      </c>
      <c r="M142" s="67">
        <v>0.2558139534883721</v>
      </c>
      <c r="N142" s="67">
        <v>0.18518518518518517</v>
      </c>
      <c r="O142" s="67">
        <v>0.54208754208754206</v>
      </c>
      <c r="P142" s="67">
        <v>0.32558139534883723</v>
      </c>
      <c r="Q142" s="67">
        <v>0.42857142857142855</v>
      </c>
    </row>
    <row r="143" spans="1:17" x14ac:dyDescent="0.4">
      <c r="A143" s="69">
        <v>140</v>
      </c>
      <c r="B143" s="66">
        <v>-1031.1000000000001</v>
      </c>
      <c r="C143" s="66">
        <v>-7.3650000000000011</v>
      </c>
      <c r="D143" s="71">
        <v>2.1</v>
      </c>
      <c r="E143" s="67">
        <v>0.3</v>
      </c>
      <c r="F143" s="67">
        <v>0.4</v>
      </c>
      <c r="G143" s="67">
        <v>0.27241673783091375</v>
      </c>
      <c r="H143" s="67">
        <v>0.17847993168232279</v>
      </c>
      <c r="I143" s="68">
        <v>8410.9717868338557</v>
      </c>
      <c r="J143" s="68">
        <v>-8667.4641148325354</v>
      </c>
      <c r="K143" s="67">
        <v>0.15714285714285714</v>
      </c>
      <c r="L143" s="67">
        <v>0.10714285714285714</v>
      </c>
      <c r="M143" s="67">
        <v>0.25533731853116992</v>
      </c>
      <c r="N143" s="67">
        <v>0.18616567036720752</v>
      </c>
      <c r="O143" s="67">
        <v>0.54515050167224077</v>
      </c>
      <c r="P143" s="67">
        <v>0.3256880733944954</v>
      </c>
      <c r="Q143" s="67">
        <v>0.42946708463949845</v>
      </c>
    </row>
    <row r="144" spans="1:17" x14ac:dyDescent="0.4">
      <c r="A144" s="69">
        <v>141</v>
      </c>
      <c r="B144" s="66">
        <v>-1065.2</v>
      </c>
      <c r="C144" s="66">
        <v>-7.5546099290780147</v>
      </c>
      <c r="D144" s="71">
        <v>2.1063829787234041</v>
      </c>
      <c r="E144" s="67">
        <v>0.2978723404255319</v>
      </c>
      <c r="F144" s="67">
        <v>0.40425531914893614</v>
      </c>
      <c r="G144" s="67">
        <v>0.27241962774957701</v>
      </c>
      <c r="H144" s="67">
        <v>0.17851099830795261</v>
      </c>
      <c r="I144" s="68">
        <v>8377.6397515527951</v>
      </c>
      <c r="J144" s="68">
        <v>-8659.7156398104271</v>
      </c>
      <c r="K144" s="67">
        <v>0.15602836879432624</v>
      </c>
      <c r="L144" s="67">
        <v>0.10638297872340426</v>
      </c>
      <c r="M144" s="67">
        <v>0.25380710659898476</v>
      </c>
      <c r="N144" s="67">
        <v>0.18612521150592218</v>
      </c>
      <c r="O144" s="67">
        <v>0.54666666666666663</v>
      </c>
      <c r="P144" s="67">
        <v>0.33181818181818185</v>
      </c>
      <c r="Q144" s="67">
        <v>0.42857142857142855</v>
      </c>
    </row>
    <row r="145" spans="1:17" x14ac:dyDescent="0.4">
      <c r="A145" s="69">
        <v>142</v>
      </c>
      <c r="B145" s="66">
        <v>-1102.6000000000001</v>
      </c>
      <c r="C145" s="66">
        <v>-7.7647887323943667</v>
      </c>
      <c r="D145" s="71">
        <v>2.112676056338028</v>
      </c>
      <c r="E145" s="67">
        <v>0.29577464788732394</v>
      </c>
      <c r="F145" s="67">
        <v>0.40845070422535212</v>
      </c>
      <c r="G145" s="67">
        <v>0.27348993288590606</v>
      </c>
      <c r="H145" s="67">
        <v>0.17785234899328858</v>
      </c>
      <c r="I145" s="68">
        <v>8320.2453987730059</v>
      </c>
      <c r="J145" s="68">
        <v>-8656.6037735849059</v>
      </c>
      <c r="K145" s="67">
        <v>0.15492957746478872</v>
      </c>
      <c r="L145" s="67">
        <v>0.10563380281690141</v>
      </c>
      <c r="M145" s="67">
        <v>0.25419463087248323</v>
      </c>
      <c r="N145" s="67">
        <v>0.18624161073825504</v>
      </c>
      <c r="O145" s="67">
        <v>0.54785478547854782</v>
      </c>
      <c r="P145" s="67">
        <v>0.33333333333333331</v>
      </c>
      <c r="Q145" s="67">
        <v>0.42944785276073622</v>
      </c>
    </row>
    <row r="146" spans="1:17" x14ac:dyDescent="0.4">
      <c r="A146" s="69">
        <v>143</v>
      </c>
      <c r="B146" s="66">
        <v>-1103.4000000000001</v>
      </c>
      <c r="C146" s="66">
        <v>-7.7160839160839165</v>
      </c>
      <c r="D146" s="71">
        <v>2.1118881118881121</v>
      </c>
      <c r="E146" s="67">
        <v>0.2937062937062937</v>
      </c>
      <c r="F146" s="67">
        <v>0.40559440559440557</v>
      </c>
      <c r="G146" s="67">
        <v>0.27341137123745818</v>
      </c>
      <c r="H146" s="67">
        <v>0.17809364548494983</v>
      </c>
      <c r="I146" s="68">
        <v>8331.4984709480123</v>
      </c>
      <c r="J146" s="68">
        <v>-8638.4976525821603</v>
      </c>
      <c r="K146" s="67">
        <v>0.15384615384615385</v>
      </c>
      <c r="L146" s="67">
        <v>0.1048951048951049</v>
      </c>
      <c r="M146" s="67">
        <v>0.25501672240802675</v>
      </c>
      <c r="N146" s="67">
        <v>0.18561872909698995</v>
      </c>
      <c r="O146" s="67">
        <v>0.54754098360655734</v>
      </c>
      <c r="P146" s="67">
        <v>0.33333333333333331</v>
      </c>
      <c r="Q146" s="67">
        <v>0.42813455657492355</v>
      </c>
    </row>
    <row r="147" spans="1:17" x14ac:dyDescent="0.4">
      <c r="A147" s="69">
        <v>144</v>
      </c>
      <c r="B147" s="66">
        <v>-1159.5</v>
      </c>
      <c r="C147" s="66">
        <v>-8.0520833333333339</v>
      </c>
      <c r="D147" s="71">
        <v>2.1180555555555554</v>
      </c>
      <c r="E147" s="67">
        <v>0.29166666666666669</v>
      </c>
      <c r="F147" s="67">
        <v>0.40972222222222221</v>
      </c>
      <c r="G147" s="67">
        <v>0.27129859387923905</v>
      </c>
      <c r="H147" s="67">
        <v>0.17866004962779156</v>
      </c>
      <c r="I147" s="68">
        <v>8317.9878048780483</v>
      </c>
      <c r="J147" s="68">
        <v>-8584.7222222222226</v>
      </c>
      <c r="K147" s="67">
        <v>0.15972222222222221</v>
      </c>
      <c r="L147" s="67">
        <v>0.10416666666666667</v>
      </c>
      <c r="M147" s="67">
        <v>0.25392886683209265</v>
      </c>
      <c r="N147" s="67">
        <v>0.18610421836228289</v>
      </c>
      <c r="O147" s="67">
        <v>0.54723127035830621</v>
      </c>
      <c r="P147" s="67">
        <v>0.3288888888888889</v>
      </c>
      <c r="Q147" s="67">
        <v>0.42682926829268292</v>
      </c>
    </row>
    <row r="148" spans="1:17" x14ac:dyDescent="0.4">
      <c r="A148" s="69">
        <v>145</v>
      </c>
      <c r="B148" s="66">
        <v>-1121.9000000000001</v>
      </c>
      <c r="C148" s="66">
        <v>-7.7372413793103458</v>
      </c>
      <c r="D148" s="71">
        <v>2.1103448275862071</v>
      </c>
      <c r="E148" s="67">
        <v>0.29655172413793102</v>
      </c>
      <c r="F148" s="67">
        <v>0.40689655172413791</v>
      </c>
      <c r="G148" s="67">
        <v>0.27220394736842107</v>
      </c>
      <c r="H148" s="67">
        <v>0.17763157894736842</v>
      </c>
      <c r="I148" s="68">
        <v>8294.2598187311178</v>
      </c>
      <c r="J148" s="68">
        <v>-8584.7222222222226</v>
      </c>
      <c r="K148" s="67">
        <v>0.15862068965517243</v>
      </c>
      <c r="L148" s="67">
        <v>0.10344827586206896</v>
      </c>
      <c r="M148" s="67">
        <v>0.25657894736842107</v>
      </c>
      <c r="N148" s="67">
        <v>0.18667763157894737</v>
      </c>
      <c r="O148" s="67">
        <v>0.54487179487179482</v>
      </c>
      <c r="P148" s="67">
        <v>0.33039647577092512</v>
      </c>
      <c r="Q148" s="67">
        <v>0.42598187311178248</v>
      </c>
    </row>
    <row r="149" spans="1:17" x14ac:dyDescent="0.4">
      <c r="A149" s="69">
        <v>146</v>
      </c>
      <c r="B149" s="66">
        <v>-1181.5</v>
      </c>
      <c r="C149" s="66">
        <v>-8.0924657534246567</v>
      </c>
      <c r="D149" s="71">
        <v>2.1164383561643834</v>
      </c>
      <c r="E149" s="67">
        <v>0.29452054794520549</v>
      </c>
      <c r="F149" s="67">
        <v>0.41095890410958902</v>
      </c>
      <c r="G149" s="67">
        <v>0.27146361406377761</v>
      </c>
      <c r="H149" s="67">
        <v>0.17988552739165986</v>
      </c>
      <c r="I149" s="68">
        <v>8275.3012048192777</v>
      </c>
      <c r="J149" s="68">
        <v>-8580</v>
      </c>
      <c r="K149" s="67">
        <v>0.16438356164383561</v>
      </c>
      <c r="L149" s="67">
        <v>0.10273972602739725</v>
      </c>
      <c r="M149" s="67">
        <v>0.25592804578904332</v>
      </c>
      <c r="N149" s="67">
        <v>0.18642681929681112</v>
      </c>
      <c r="O149" s="67">
        <v>0.54313099041533541</v>
      </c>
      <c r="P149" s="67">
        <v>0.33333333333333331</v>
      </c>
      <c r="Q149" s="67">
        <v>0.4246987951807229</v>
      </c>
    </row>
    <row r="150" spans="1:17" x14ac:dyDescent="0.4">
      <c r="A150" s="69">
        <v>147</v>
      </c>
      <c r="B150" s="66">
        <v>-1213.9000000000001</v>
      </c>
      <c r="C150" s="66">
        <v>-8.257823129251701</v>
      </c>
      <c r="D150" s="71">
        <v>2.1224489795918369</v>
      </c>
      <c r="E150" s="67">
        <v>0.29251700680272108</v>
      </c>
      <c r="F150" s="67">
        <v>0.41496598639455784</v>
      </c>
      <c r="G150" s="67">
        <v>0.27154471544715447</v>
      </c>
      <c r="H150" s="67">
        <v>0.17967479674796749</v>
      </c>
      <c r="I150" s="68">
        <v>8265.2694610778435</v>
      </c>
      <c r="J150" s="68">
        <v>-8595.4751131221728</v>
      </c>
      <c r="K150" s="67">
        <v>0.16326530612244897</v>
      </c>
      <c r="L150" s="67">
        <v>0.10204081632653061</v>
      </c>
      <c r="M150" s="67">
        <v>0.25447154471544714</v>
      </c>
      <c r="N150" s="67">
        <v>0.1886178861788618</v>
      </c>
      <c r="O150" s="67">
        <v>0.54313099041533541</v>
      </c>
      <c r="P150" s="67">
        <v>0.33620689655172414</v>
      </c>
      <c r="Q150" s="67">
        <v>0.42215568862275449</v>
      </c>
    </row>
    <row r="151" spans="1:17" x14ac:dyDescent="0.4">
      <c r="A151" s="69">
        <v>148</v>
      </c>
      <c r="B151" s="66">
        <v>-1255.3000000000002</v>
      </c>
      <c r="C151" s="66">
        <v>-8.4817567567567576</v>
      </c>
      <c r="D151" s="71">
        <v>2.1283783783783785</v>
      </c>
      <c r="E151" s="67">
        <v>0.29054054054054052</v>
      </c>
      <c r="F151" s="67">
        <v>0.41891891891891891</v>
      </c>
      <c r="G151" s="67">
        <v>0.27059773828756056</v>
      </c>
      <c r="H151" s="67">
        <v>0.1801292407108239</v>
      </c>
      <c r="I151" s="68">
        <v>8264.4776119402977</v>
      </c>
      <c r="J151" s="68">
        <v>-8589.686098654709</v>
      </c>
      <c r="K151" s="67">
        <v>0.16216216216216217</v>
      </c>
      <c r="L151" s="67">
        <v>0.10135135135135136</v>
      </c>
      <c r="M151" s="67">
        <v>0.25282714054927302</v>
      </c>
      <c r="N151" s="67">
        <v>0.19063004846526657</v>
      </c>
      <c r="O151" s="67">
        <v>0.54313099041533541</v>
      </c>
      <c r="P151" s="67">
        <v>0.3347457627118644</v>
      </c>
      <c r="Q151" s="67">
        <v>0.42388059701492536</v>
      </c>
    </row>
    <row r="152" spans="1:17" x14ac:dyDescent="0.4">
      <c r="A152" s="69">
        <v>149</v>
      </c>
      <c r="B152" s="66">
        <v>-1227.8000000000002</v>
      </c>
      <c r="C152" s="66">
        <v>-8.2402684563758406</v>
      </c>
      <c r="D152" s="71">
        <v>2.1208053691275168</v>
      </c>
      <c r="E152" s="67">
        <v>0.29530201342281881</v>
      </c>
      <c r="F152" s="67">
        <v>0.41610738255033558</v>
      </c>
      <c r="G152" s="67">
        <v>0.27090032154340837</v>
      </c>
      <c r="H152" s="67">
        <v>0.17926045016077172</v>
      </c>
      <c r="I152" s="68">
        <v>8262.9080118694365</v>
      </c>
      <c r="J152" s="68">
        <v>-8589.686098654709</v>
      </c>
      <c r="K152" s="67">
        <v>0.16107382550335569</v>
      </c>
      <c r="L152" s="67">
        <v>0.10067114093959731</v>
      </c>
      <c r="M152" s="67">
        <v>0.25241157556270094</v>
      </c>
      <c r="N152" s="67">
        <v>0.19131832797427653</v>
      </c>
      <c r="O152" s="67">
        <v>0.54458598726114649</v>
      </c>
      <c r="P152" s="67">
        <v>0.33613445378151263</v>
      </c>
      <c r="Q152" s="67">
        <v>0.42433234421364985</v>
      </c>
    </row>
    <row r="153" spans="1:17" x14ac:dyDescent="0.4">
      <c r="A153" s="69">
        <v>150</v>
      </c>
      <c r="B153" s="66">
        <v>-1274.3000000000002</v>
      </c>
      <c r="C153" s="66">
        <v>-8.4953333333333347</v>
      </c>
      <c r="D153" s="71">
        <v>2.1266666666666665</v>
      </c>
      <c r="E153" s="67">
        <v>0.29333333333333333</v>
      </c>
      <c r="F153" s="67">
        <v>0.42</v>
      </c>
      <c r="G153" s="67">
        <v>0.27027027027027029</v>
      </c>
      <c r="H153" s="67">
        <v>0.17885532591414943</v>
      </c>
      <c r="I153" s="68">
        <v>8236.4705882352937</v>
      </c>
      <c r="J153" s="68">
        <v>-8550.6666666666661</v>
      </c>
      <c r="K153" s="67">
        <v>0.16</v>
      </c>
      <c r="L153" s="67">
        <v>0.1</v>
      </c>
      <c r="M153" s="67">
        <v>0.25437201907790141</v>
      </c>
      <c r="N153" s="67">
        <v>0.1915739268680445</v>
      </c>
      <c r="O153" s="67">
        <v>0.53749999999999998</v>
      </c>
      <c r="P153" s="67">
        <v>0.33609958506224069</v>
      </c>
      <c r="Q153" s="67">
        <v>0.42352941176470588</v>
      </c>
    </row>
    <row r="154" spans="1:17" x14ac:dyDescent="0.4">
      <c r="A154" s="69">
        <v>151</v>
      </c>
      <c r="B154" s="66">
        <v>-1320.4</v>
      </c>
      <c r="C154" s="66">
        <v>-8.7443708609271535</v>
      </c>
      <c r="D154" s="71">
        <v>2.1324503311258276</v>
      </c>
      <c r="E154" s="67">
        <v>0.29139072847682118</v>
      </c>
      <c r="F154" s="67">
        <v>0.42384105960264901</v>
      </c>
      <c r="G154" s="67">
        <v>0.26856240126382308</v>
      </c>
      <c r="H154" s="67">
        <v>0.18009478672985782</v>
      </c>
      <c r="I154" s="68">
        <v>8236.4705882352937</v>
      </c>
      <c r="J154" s="68">
        <v>-8504.8245614035095</v>
      </c>
      <c r="K154" s="67">
        <v>0.15894039735099338</v>
      </c>
      <c r="L154" s="67">
        <v>9.9337748344370855E-2</v>
      </c>
      <c r="M154" s="67">
        <v>0.25434439178515006</v>
      </c>
      <c r="N154" s="67">
        <v>0.19115323854660349</v>
      </c>
      <c r="O154" s="67">
        <v>0.53416149068322982</v>
      </c>
      <c r="P154" s="67">
        <v>0.33471074380165289</v>
      </c>
      <c r="Q154" s="67">
        <v>0.42352941176470588</v>
      </c>
    </row>
    <row r="155" spans="1:17" x14ac:dyDescent="0.4">
      <c r="A155" s="69">
        <v>152</v>
      </c>
      <c r="B155" s="66">
        <v>-1364.7</v>
      </c>
      <c r="C155" s="66">
        <v>-8.9782894736842103</v>
      </c>
      <c r="D155" s="71">
        <v>2.138157894736842</v>
      </c>
      <c r="E155" s="67">
        <v>0.28947368421052633</v>
      </c>
      <c r="F155" s="67">
        <v>0.42763157894736842</v>
      </c>
      <c r="G155" s="67">
        <v>0.26760563380281688</v>
      </c>
      <c r="H155" s="67">
        <v>0.17840375586854459</v>
      </c>
      <c r="I155" s="68">
        <v>8214.6198830409357</v>
      </c>
      <c r="J155" s="68">
        <v>-8504.8245614035095</v>
      </c>
      <c r="K155" s="67">
        <v>0.15789473684210525</v>
      </c>
      <c r="L155" s="67">
        <v>9.8684210526315791E-2</v>
      </c>
      <c r="M155" s="67">
        <v>0.25273865414710484</v>
      </c>
      <c r="N155" s="67">
        <v>0.19327073552425664</v>
      </c>
      <c r="O155" s="67">
        <v>0.5356037151702786</v>
      </c>
      <c r="P155" s="67">
        <v>0.33198380566801622</v>
      </c>
      <c r="Q155" s="67">
        <v>0.42105263157894735</v>
      </c>
    </row>
    <row r="156" spans="1:17" x14ac:dyDescent="0.4">
      <c r="A156" s="69">
        <v>153</v>
      </c>
      <c r="B156" s="66">
        <v>-1415.8</v>
      </c>
      <c r="C156" s="66">
        <v>-9.2535947712418292</v>
      </c>
      <c r="D156" s="71">
        <v>2.1437908496732025</v>
      </c>
      <c r="E156" s="67">
        <v>0.28758169934640521</v>
      </c>
      <c r="F156" s="67">
        <v>0.43137254901960786</v>
      </c>
      <c r="G156" s="67">
        <v>0.26552795031055898</v>
      </c>
      <c r="H156" s="67">
        <v>0.17857142857142858</v>
      </c>
      <c r="I156" s="68">
        <v>8214.6198830409357</v>
      </c>
      <c r="J156" s="68">
        <v>-8487.391304347826</v>
      </c>
      <c r="K156" s="67">
        <v>0.15686274509803921</v>
      </c>
      <c r="L156" s="67">
        <v>9.8039215686274508E-2</v>
      </c>
      <c r="M156" s="67">
        <v>0.25232919254658387</v>
      </c>
      <c r="N156" s="67">
        <v>0.19332298136645962</v>
      </c>
      <c r="O156" s="67">
        <v>0.53230769230769226</v>
      </c>
      <c r="P156" s="67">
        <v>0.32931726907630521</v>
      </c>
      <c r="Q156" s="67">
        <v>0.42105263157894735</v>
      </c>
    </row>
    <row r="157" spans="1:17" x14ac:dyDescent="0.4">
      <c r="A157" s="69">
        <v>154</v>
      </c>
      <c r="B157" s="66">
        <v>-1432.6</v>
      </c>
      <c r="C157" s="66">
        <v>-9.3025974025974012</v>
      </c>
      <c r="D157" s="71">
        <v>2.1428571428571428</v>
      </c>
      <c r="E157" s="67">
        <v>0.2857142857142857</v>
      </c>
      <c r="F157" s="67">
        <v>0.42857142857142855</v>
      </c>
      <c r="G157" s="67">
        <v>0.26445643793369311</v>
      </c>
      <c r="H157" s="67">
        <v>0.17810331534309945</v>
      </c>
      <c r="I157" s="68">
        <v>8198.8338192419833</v>
      </c>
      <c r="J157" s="68">
        <v>-8475.757575757576</v>
      </c>
      <c r="K157" s="67">
        <v>0.15584415584415584</v>
      </c>
      <c r="L157" s="67">
        <v>9.7402597402597407E-2</v>
      </c>
      <c r="M157" s="67">
        <v>0.25366229760986891</v>
      </c>
      <c r="N157" s="67">
        <v>0.19352351580570548</v>
      </c>
      <c r="O157" s="67">
        <v>0.52583586626139822</v>
      </c>
      <c r="P157" s="67">
        <v>0.33067729083665337</v>
      </c>
      <c r="Q157" s="67">
        <v>0.42274052478134111</v>
      </c>
    </row>
    <row r="158" spans="1:17" x14ac:dyDescent="0.4">
      <c r="A158" s="69">
        <v>155</v>
      </c>
      <c r="B158" s="66">
        <v>-1352.8</v>
      </c>
      <c r="C158" s="66">
        <v>-8.7277419354838699</v>
      </c>
      <c r="D158" s="71">
        <v>2.1354838709677417</v>
      </c>
      <c r="E158" s="67">
        <v>0.29032258064516131</v>
      </c>
      <c r="F158" s="67">
        <v>0.4258064516129032</v>
      </c>
      <c r="G158" s="67">
        <v>0.26610429447852763</v>
      </c>
      <c r="H158" s="67">
        <v>0.17714723926380369</v>
      </c>
      <c r="I158" s="68">
        <v>8299.1354466858793</v>
      </c>
      <c r="J158" s="68">
        <v>-8475.757575757576</v>
      </c>
      <c r="K158" s="67">
        <v>0.15483870967741936</v>
      </c>
      <c r="L158" s="67">
        <v>0.1032258064516129</v>
      </c>
      <c r="M158" s="67">
        <v>0.25383435582822084</v>
      </c>
      <c r="N158" s="67">
        <v>0.19325153374233128</v>
      </c>
      <c r="O158" s="67">
        <v>0.52870090634441091</v>
      </c>
      <c r="P158" s="67">
        <v>0.33333333333333331</v>
      </c>
      <c r="Q158" s="67">
        <v>0.42363112391930835</v>
      </c>
    </row>
    <row r="159" spans="1:17" x14ac:dyDescent="0.4">
      <c r="A159" s="69">
        <v>156</v>
      </c>
      <c r="B159" s="66">
        <v>-1344.3</v>
      </c>
      <c r="C159" s="66">
        <v>-8.6173076923076923</v>
      </c>
      <c r="D159" s="71">
        <v>2.1346153846153846</v>
      </c>
      <c r="E159" s="67">
        <v>0.28846153846153844</v>
      </c>
      <c r="F159" s="67">
        <v>0.42307692307692307</v>
      </c>
      <c r="G159" s="67">
        <v>0.26585179526355995</v>
      </c>
      <c r="H159" s="67">
        <v>0.17647058823529413</v>
      </c>
      <c r="I159" s="68">
        <v>8298.2758620689656</v>
      </c>
      <c r="J159" s="68">
        <v>-8475.757575757576</v>
      </c>
      <c r="K159" s="67">
        <v>0.15384615384615385</v>
      </c>
      <c r="L159" s="67">
        <v>0.10256410256410256</v>
      </c>
      <c r="M159" s="67">
        <v>0.25286478227654696</v>
      </c>
      <c r="N159" s="67">
        <v>0.19327731092436976</v>
      </c>
      <c r="O159" s="67">
        <v>0.52870090634441091</v>
      </c>
      <c r="P159" s="67">
        <v>0.33201581027667987</v>
      </c>
      <c r="Q159" s="67">
        <v>0.42241379310344829</v>
      </c>
    </row>
    <row r="160" spans="1:17" x14ac:dyDescent="0.4">
      <c r="A160" s="69">
        <v>157</v>
      </c>
      <c r="B160" s="66">
        <v>-1357.7</v>
      </c>
      <c r="C160" s="66">
        <v>-8.6477707006369435</v>
      </c>
      <c r="D160" s="71">
        <v>2.1337579617834397</v>
      </c>
      <c r="E160" s="67">
        <v>0.28662420382165604</v>
      </c>
      <c r="F160" s="67">
        <v>0.42038216560509556</v>
      </c>
      <c r="G160" s="67">
        <v>0.26590909090909093</v>
      </c>
      <c r="H160" s="67">
        <v>0.17651515151515151</v>
      </c>
      <c r="I160" s="68">
        <v>8256.9800569800573</v>
      </c>
      <c r="J160" s="68">
        <v>-8471.2446351931339</v>
      </c>
      <c r="K160" s="67">
        <v>0.15286624203821655</v>
      </c>
      <c r="L160" s="67">
        <v>0.10191082802547771</v>
      </c>
      <c r="M160" s="67">
        <v>0.25151515151515152</v>
      </c>
      <c r="N160" s="67">
        <v>0.19242424242424241</v>
      </c>
      <c r="O160" s="67">
        <v>0.53012048192771088</v>
      </c>
      <c r="P160" s="67">
        <v>0.3346456692913386</v>
      </c>
      <c r="Q160" s="67">
        <v>0.41880341880341881</v>
      </c>
    </row>
    <row r="161" spans="1:17" x14ac:dyDescent="0.4">
      <c r="A161" s="69">
        <v>158</v>
      </c>
      <c r="B161" s="66">
        <v>-1338.1000000000001</v>
      </c>
      <c r="C161" s="66">
        <v>-8.4689873417721522</v>
      </c>
      <c r="D161" s="71">
        <v>2.1329113924050631</v>
      </c>
      <c r="E161" s="67">
        <v>0.2848101265822785</v>
      </c>
      <c r="F161" s="67">
        <v>0.41772151898734178</v>
      </c>
      <c r="G161" s="67">
        <v>0.266767143933685</v>
      </c>
      <c r="H161" s="67">
        <v>0.17558402411454407</v>
      </c>
      <c r="I161" s="68">
        <v>8267.2316384180795</v>
      </c>
      <c r="J161" s="68">
        <v>-8471.2446351931339</v>
      </c>
      <c r="K161" s="67">
        <v>0.15189873417721519</v>
      </c>
      <c r="L161" s="67">
        <v>0.10126582278481013</v>
      </c>
      <c r="M161" s="67">
        <v>0.25320271288620949</v>
      </c>
      <c r="N161" s="67">
        <v>0.19140919366993217</v>
      </c>
      <c r="O161" s="67">
        <v>0.53273809523809523</v>
      </c>
      <c r="P161" s="67">
        <v>0.3346456692913386</v>
      </c>
      <c r="Q161" s="67">
        <v>0.4152542372881356</v>
      </c>
    </row>
    <row r="162" spans="1:17" x14ac:dyDescent="0.4">
      <c r="A162" s="69">
        <v>159</v>
      </c>
      <c r="B162" s="66">
        <v>-1330.7</v>
      </c>
      <c r="C162" s="66">
        <v>-8.3691823899371069</v>
      </c>
      <c r="D162" s="71">
        <v>2.1320754716981134</v>
      </c>
      <c r="E162" s="67">
        <v>0.28301886792452829</v>
      </c>
      <c r="F162" s="67">
        <v>0.41509433962264153</v>
      </c>
      <c r="G162" s="67">
        <v>0.2670667666916729</v>
      </c>
      <c r="H162" s="67">
        <v>0.17479369842460615</v>
      </c>
      <c r="I162" s="68">
        <v>8254.213483146068</v>
      </c>
      <c r="J162" s="68">
        <v>-8471.2446351931339</v>
      </c>
      <c r="K162" s="67">
        <v>0.15094339622641509</v>
      </c>
      <c r="L162" s="67">
        <v>0.10062893081761007</v>
      </c>
      <c r="M162" s="67">
        <v>0.25281320330082518</v>
      </c>
      <c r="N162" s="67">
        <v>0.19279819954988747</v>
      </c>
      <c r="O162" s="67">
        <v>0.53412462908011871</v>
      </c>
      <c r="P162" s="67">
        <v>0.33463035019455251</v>
      </c>
      <c r="Q162" s="67">
        <v>0.4157303370786517</v>
      </c>
    </row>
    <row r="163" spans="1:17" x14ac:dyDescent="0.4">
      <c r="A163" s="69">
        <v>160</v>
      </c>
      <c r="B163" s="66">
        <v>-1265.7</v>
      </c>
      <c r="C163" s="66">
        <v>-7.9106250000000005</v>
      </c>
      <c r="D163" s="71">
        <v>2.125</v>
      </c>
      <c r="E163" s="67">
        <v>0.28749999999999998</v>
      </c>
      <c r="F163" s="67">
        <v>0.41249999999999998</v>
      </c>
      <c r="G163" s="67">
        <v>0.26816479400749066</v>
      </c>
      <c r="H163" s="67">
        <v>0.1745318352059925</v>
      </c>
      <c r="I163" s="68">
        <v>8325.4189944134087</v>
      </c>
      <c r="J163" s="68">
        <v>-8471.2446351931339</v>
      </c>
      <c r="K163" s="67">
        <v>0.15</v>
      </c>
      <c r="L163" s="67">
        <v>0.10625</v>
      </c>
      <c r="M163" s="67">
        <v>0.25243445692883892</v>
      </c>
      <c r="N163" s="67">
        <v>0.19325842696629214</v>
      </c>
      <c r="O163" s="67">
        <v>0.53412462908011871</v>
      </c>
      <c r="P163" s="67">
        <v>0.33720930232558138</v>
      </c>
      <c r="Q163" s="67">
        <v>0.41340782122905029</v>
      </c>
    </row>
    <row r="164" spans="1:17" x14ac:dyDescent="0.4">
      <c r="A164" s="69">
        <v>161</v>
      </c>
      <c r="B164" s="66">
        <v>-1246.2</v>
      </c>
      <c r="C164" s="66">
        <v>-7.7403726708074538</v>
      </c>
      <c r="D164" s="71">
        <v>2.1242236024844718</v>
      </c>
      <c r="E164" s="67">
        <v>0.2857142857142857</v>
      </c>
      <c r="F164" s="67">
        <v>0.40993788819875776</v>
      </c>
      <c r="G164" s="67">
        <v>0.26865671641791045</v>
      </c>
      <c r="H164" s="67">
        <v>0.17388059701492536</v>
      </c>
      <c r="I164" s="68">
        <v>8334.7222222222226</v>
      </c>
      <c r="J164" s="68">
        <v>-8471.2446351931339</v>
      </c>
      <c r="K164" s="67">
        <v>0.14906832298136646</v>
      </c>
      <c r="L164" s="67">
        <v>0.10559006211180125</v>
      </c>
      <c r="M164" s="67">
        <v>0.25149253731343285</v>
      </c>
      <c r="N164" s="67">
        <v>0.19402985074626866</v>
      </c>
      <c r="O164" s="67">
        <v>0.53412462908011871</v>
      </c>
      <c r="P164" s="67">
        <v>0.34230769230769231</v>
      </c>
      <c r="Q164" s="67">
        <v>0.41388888888888886</v>
      </c>
    </row>
    <row r="165" spans="1:17" x14ac:dyDescent="0.4">
      <c r="A165" s="69">
        <v>162</v>
      </c>
      <c r="B165" s="66">
        <v>-1210.3</v>
      </c>
      <c r="C165" s="66">
        <v>-7.4709876543209877</v>
      </c>
      <c r="D165" s="71">
        <v>2.117283950617284</v>
      </c>
      <c r="E165" s="67">
        <v>0.29012345679012347</v>
      </c>
      <c r="F165" s="67">
        <v>0.40740740740740738</v>
      </c>
      <c r="G165" s="67">
        <v>0.27023014105419452</v>
      </c>
      <c r="H165" s="67">
        <v>0.17297698589458055</v>
      </c>
      <c r="I165" s="68">
        <v>8330.7692307692305</v>
      </c>
      <c r="J165" s="68">
        <v>-8471.2446351931339</v>
      </c>
      <c r="K165" s="67">
        <v>0.14814814814814814</v>
      </c>
      <c r="L165" s="67">
        <v>0.10493827160493827</v>
      </c>
      <c r="M165" s="67">
        <v>0.25092798812175204</v>
      </c>
      <c r="N165" s="67">
        <v>0.19376391982182628</v>
      </c>
      <c r="O165" s="67">
        <v>0.53550295857988162</v>
      </c>
      <c r="P165" s="67">
        <v>0.34482758620689657</v>
      </c>
      <c r="Q165" s="67">
        <v>0.41483516483516486</v>
      </c>
    </row>
    <row r="166" spans="1:17" x14ac:dyDescent="0.4">
      <c r="A166" s="69">
        <v>163</v>
      </c>
      <c r="B166" s="66">
        <v>-1183.8</v>
      </c>
      <c r="C166" s="66">
        <v>-7.2625766871165638</v>
      </c>
      <c r="D166" s="71">
        <v>2.1104294478527605</v>
      </c>
      <c r="E166" s="67">
        <v>0.29447852760736198</v>
      </c>
      <c r="F166" s="67">
        <v>0.40490797546012269</v>
      </c>
      <c r="G166" s="67">
        <v>0.27112417340191036</v>
      </c>
      <c r="H166" s="67">
        <v>0.17193240264511389</v>
      </c>
      <c r="I166" s="68">
        <v>8310.0271002710033</v>
      </c>
      <c r="J166" s="68">
        <v>-8469.2307692307695</v>
      </c>
      <c r="K166" s="67">
        <v>0.14723926380368099</v>
      </c>
      <c r="L166" s="67">
        <v>0.10429447852760736</v>
      </c>
      <c r="M166" s="67">
        <v>0.24981631153563555</v>
      </c>
      <c r="N166" s="67">
        <v>0.19397501836884642</v>
      </c>
      <c r="O166" s="67">
        <v>0.53529411764705881</v>
      </c>
      <c r="P166" s="67">
        <v>0.34469696969696972</v>
      </c>
      <c r="Q166" s="67">
        <v>0.41734417344173441</v>
      </c>
    </row>
    <row r="167" spans="1:17" x14ac:dyDescent="0.4">
      <c r="A167" s="69">
        <v>164</v>
      </c>
      <c r="B167" s="66">
        <v>-1234.3</v>
      </c>
      <c r="C167" s="66">
        <v>-7.5262195121951221</v>
      </c>
      <c r="D167" s="71">
        <v>2.1158536585365852</v>
      </c>
      <c r="E167" s="67">
        <v>0.29268292682926828</v>
      </c>
      <c r="F167" s="67">
        <v>0.40853658536585363</v>
      </c>
      <c r="G167" s="67">
        <v>0.27060539752005836</v>
      </c>
      <c r="H167" s="67">
        <v>0.17213712618526622</v>
      </c>
      <c r="I167" s="68">
        <v>8294.8787061994608</v>
      </c>
      <c r="J167" s="68">
        <v>-8499.1525423728817</v>
      </c>
      <c r="K167" s="67">
        <v>0.14634146341463414</v>
      </c>
      <c r="L167" s="67">
        <v>0.10365853658536585</v>
      </c>
      <c r="M167" s="67">
        <v>0.24945295404814005</v>
      </c>
      <c r="N167" s="67">
        <v>0.19620714806710429</v>
      </c>
      <c r="O167" s="67">
        <v>0.53508771929824561</v>
      </c>
      <c r="P167" s="67">
        <v>0.34200743494423791</v>
      </c>
      <c r="Q167" s="67">
        <v>0.41778975741239893</v>
      </c>
    </row>
    <row r="168" spans="1:17" x14ac:dyDescent="0.4">
      <c r="A168" s="69">
        <v>165</v>
      </c>
      <c r="B168" s="66">
        <v>-1258.7</v>
      </c>
      <c r="C168" s="66">
        <v>-7.6284848484848489</v>
      </c>
      <c r="D168" s="71">
        <v>2.1212121212121211</v>
      </c>
      <c r="E168" s="67">
        <v>0.29090909090909089</v>
      </c>
      <c r="F168" s="67">
        <v>0.41212121212121211</v>
      </c>
      <c r="G168" s="67">
        <v>0.27028985507246378</v>
      </c>
      <c r="H168" s="67">
        <v>0.17318840579710146</v>
      </c>
      <c r="I168" s="68">
        <v>8314.7453083109922</v>
      </c>
      <c r="J168" s="68">
        <v>-8471.5481171548108</v>
      </c>
      <c r="K168" s="67">
        <v>0.14545454545454545</v>
      </c>
      <c r="L168" s="67">
        <v>0.10303030303030303</v>
      </c>
      <c r="M168" s="67">
        <v>0.25</v>
      </c>
      <c r="N168" s="67">
        <v>0.19565217391304349</v>
      </c>
      <c r="O168" s="67">
        <v>0.53623188405797106</v>
      </c>
      <c r="P168" s="67">
        <v>0.34074074074074073</v>
      </c>
      <c r="Q168" s="67">
        <v>0.42091152815013405</v>
      </c>
    </row>
    <row r="169" spans="1:17" x14ac:dyDescent="0.4">
      <c r="A169" s="69">
        <v>166</v>
      </c>
      <c r="B169" s="66">
        <v>-1194.5</v>
      </c>
      <c r="C169" s="66">
        <v>-7.1957831325301207</v>
      </c>
      <c r="D169" s="71">
        <v>2.1144578313253013</v>
      </c>
      <c r="E169" s="67">
        <v>0.29518072289156627</v>
      </c>
      <c r="F169" s="67">
        <v>0.40963855421686746</v>
      </c>
      <c r="G169" s="67">
        <v>0.2717469446441409</v>
      </c>
      <c r="H169" s="67">
        <v>0.17181883537023723</v>
      </c>
      <c r="I169" s="68">
        <v>8317.7248677248681</v>
      </c>
      <c r="J169" s="68">
        <v>-8471.5481171548108</v>
      </c>
      <c r="K169" s="67">
        <v>0.14457831325301204</v>
      </c>
      <c r="L169" s="67">
        <v>0.10240963855421686</v>
      </c>
      <c r="M169" s="67">
        <v>0.24802300503235084</v>
      </c>
      <c r="N169" s="67">
        <v>0.19769949676491733</v>
      </c>
      <c r="O169" s="67">
        <v>0.53623188405797106</v>
      </c>
      <c r="P169" s="67">
        <v>0.35272727272727272</v>
      </c>
      <c r="Q169" s="67">
        <v>0.41798941798941797</v>
      </c>
    </row>
    <row r="170" spans="1:17" x14ac:dyDescent="0.4">
      <c r="A170" s="69">
        <v>167</v>
      </c>
      <c r="B170" s="66">
        <v>-1209.8</v>
      </c>
      <c r="C170" s="66">
        <v>-7.2443113772455083</v>
      </c>
      <c r="D170" s="71">
        <v>2.1137724550898205</v>
      </c>
      <c r="E170" s="67">
        <v>0.29341317365269459</v>
      </c>
      <c r="F170" s="67">
        <v>0.40718562874251496</v>
      </c>
      <c r="G170" s="67">
        <v>0.2720114531138153</v>
      </c>
      <c r="H170" s="67">
        <v>0.17108088761632068</v>
      </c>
      <c r="I170" s="68">
        <v>8285</v>
      </c>
      <c r="J170" s="68">
        <v>-8471.5481171548108</v>
      </c>
      <c r="K170" s="67">
        <v>0.1437125748502994</v>
      </c>
      <c r="L170" s="67">
        <v>0.10179640718562874</v>
      </c>
      <c r="M170" s="67">
        <v>0.24695776664280603</v>
      </c>
      <c r="N170" s="67">
        <v>0.19899785254115962</v>
      </c>
      <c r="O170" s="67">
        <v>0.53623188405797106</v>
      </c>
      <c r="P170" s="67">
        <v>0.35611510791366907</v>
      </c>
      <c r="Q170" s="67">
        <v>0.41842105263157897</v>
      </c>
    </row>
    <row r="171" spans="1:17" x14ac:dyDescent="0.4">
      <c r="A171" s="69">
        <v>168</v>
      </c>
      <c r="B171" s="66">
        <v>-1244.5999999999999</v>
      </c>
      <c r="C171" s="66">
        <v>-7.4083333333333332</v>
      </c>
      <c r="D171" s="71">
        <v>2.1190476190476191</v>
      </c>
      <c r="E171" s="67">
        <v>0.29166666666666669</v>
      </c>
      <c r="F171" s="67">
        <v>0.4107142857142857</v>
      </c>
      <c r="G171" s="67">
        <v>0.27065527065527067</v>
      </c>
      <c r="H171" s="67">
        <v>0.17165242165242164</v>
      </c>
      <c r="I171" s="68">
        <v>8285</v>
      </c>
      <c r="J171" s="68">
        <v>-8420.3319502074683</v>
      </c>
      <c r="K171" s="67">
        <v>0.14285714285714285</v>
      </c>
      <c r="L171" s="67">
        <v>0.10119047619047619</v>
      </c>
      <c r="M171" s="67">
        <v>0.24572649572649571</v>
      </c>
      <c r="N171" s="67">
        <v>0.19943019943019943</v>
      </c>
      <c r="O171" s="67">
        <v>0.53623188405797106</v>
      </c>
      <c r="P171" s="67">
        <v>0.35357142857142859</v>
      </c>
      <c r="Q171" s="67">
        <v>0.41842105263157897</v>
      </c>
    </row>
    <row r="172" spans="1:17" x14ac:dyDescent="0.4">
      <c r="A172" s="69">
        <v>169</v>
      </c>
      <c r="B172" s="66">
        <v>-1197.0999999999999</v>
      </c>
      <c r="C172" s="66">
        <v>-7.0834319526627212</v>
      </c>
      <c r="D172" s="71">
        <v>2.1124260355029585</v>
      </c>
      <c r="E172" s="67">
        <v>0.29585798816568049</v>
      </c>
      <c r="F172" s="67">
        <v>0.40828402366863903</v>
      </c>
      <c r="G172" s="67">
        <v>0.27349823321554773</v>
      </c>
      <c r="H172" s="67">
        <v>0.17173144876325089</v>
      </c>
      <c r="I172" s="68">
        <v>8264.8578811369516</v>
      </c>
      <c r="J172" s="68">
        <v>-8437.0370370370365</v>
      </c>
      <c r="K172" s="67">
        <v>0.14201183431952663</v>
      </c>
      <c r="L172" s="67">
        <v>0.10059171597633136</v>
      </c>
      <c r="M172" s="67">
        <v>0.24381625441696114</v>
      </c>
      <c r="N172" s="67">
        <v>0.20212014134275619</v>
      </c>
      <c r="O172" s="67">
        <v>0.53623188405797106</v>
      </c>
      <c r="P172" s="67">
        <v>0.36013986013986016</v>
      </c>
      <c r="Q172" s="67">
        <v>0.41860465116279072</v>
      </c>
    </row>
    <row r="173" spans="1:17" x14ac:dyDescent="0.4">
      <c r="A173" s="69">
        <v>170</v>
      </c>
      <c r="B173" s="66">
        <v>-1147.5999999999999</v>
      </c>
      <c r="C173" s="66">
        <v>-6.7505882352941171</v>
      </c>
      <c r="D173" s="71">
        <v>2.1058823529411765</v>
      </c>
      <c r="E173" s="67">
        <v>0.3</v>
      </c>
      <c r="F173" s="67">
        <v>0.40588235294117647</v>
      </c>
      <c r="G173" s="67">
        <v>0.27617709065354884</v>
      </c>
      <c r="H173" s="67">
        <v>0.17146872803935348</v>
      </c>
      <c r="I173" s="68">
        <v>8215.5216284987273</v>
      </c>
      <c r="J173" s="68">
        <v>-8415.5737704918029</v>
      </c>
      <c r="K173" s="67">
        <v>0.14117647058823529</v>
      </c>
      <c r="L173" s="67">
        <v>0.10588235294117647</v>
      </c>
      <c r="M173" s="67">
        <v>0.24244553759662685</v>
      </c>
      <c r="N173" s="67">
        <v>0.20309205903021785</v>
      </c>
      <c r="O173" s="67">
        <v>0.53623188405797106</v>
      </c>
      <c r="P173" s="67">
        <v>0.36332179930795849</v>
      </c>
      <c r="Q173" s="67">
        <v>0.41730279898218831</v>
      </c>
    </row>
    <row r="174" spans="1:17" x14ac:dyDescent="0.4">
      <c r="A174" s="69">
        <v>171</v>
      </c>
      <c r="B174" s="66">
        <v>-1112.8999999999999</v>
      </c>
      <c r="C174" s="66">
        <v>-6.508187134502923</v>
      </c>
      <c r="D174" s="71">
        <v>2.0994152046783627</v>
      </c>
      <c r="E174" s="67">
        <v>0.30409356725146197</v>
      </c>
      <c r="F174" s="67">
        <v>0.40350877192982454</v>
      </c>
      <c r="G174" s="67">
        <v>0.27646239554317548</v>
      </c>
      <c r="H174" s="67">
        <v>0.17061281337047354</v>
      </c>
      <c r="I174" s="68">
        <v>8197.7329974811091</v>
      </c>
      <c r="J174" s="68">
        <v>-8385.3061224489793</v>
      </c>
      <c r="K174" s="67">
        <v>0.14035087719298245</v>
      </c>
      <c r="L174" s="67">
        <v>0.10526315789473684</v>
      </c>
      <c r="M174" s="67">
        <v>0.24373259052924792</v>
      </c>
      <c r="N174" s="67">
        <v>0.20264623955431754</v>
      </c>
      <c r="O174" s="67">
        <v>0.53714285714285714</v>
      </c>
      <c r="P174" s="67">
        <v>0.36426116838487971</v>
      </c>
      <c r="Q174" s="67">
        <v>0.41561712846347609</v>
      </c>
    </row>
    <row r="175" spans="1:17" x14ac:dyDescent="0.4">
      <c r="A175" s="69">
        <v>172</v>
      </c>
      <c r="B175" s="66">
        <v>-1065.8999999999999</v>
      </c>
      <c r="C175" s="66">
        <v>-6.197093023255813</v>
      </c>
      <c r="D175" s="71">
        <v>2.0930232558139537</v>
      </c>
      <c r="E175" s="67">
        <v>0.30813953488372092</v>
      </c>
      <c r="F175" s="67">
        <v>0.40116279069767441</v>
      </c>
      <c r="G175" s="67">
        <v>0.27643400138217</v>
      </c>
      <c r="H175" s="67">
        <v>0.17000691085003455</v>
      </c>
      <c r="I175" s="68">
        <v>8211.25</v>
      </c>
      <c r="J175" s="68">
        <v>-8382.5203252032516</v>
      </c>
      <c r="K175" s="67">
        <v>0.13953488372093023</v>
      </c>
      <c r="L175" s="67">
        <v>0.11046511627906977</v>
      </c>
      <c r="M175" s="67">
        <v>0.24464409122322045</v>
      </c>
      <c r="N175" s="67">
        <v>0.20248790601243952</v>
      </c>
      <c r="O175" s="67">
        <v>0.53672316384180796</v>
      </c>
      <c r="P175" s="67">
        <v>0.36177474402730375</v>
      </c>
      <c r="Q175" s="67">
        <v>0.41499999999999998</v>
      </c>
    </row>
    <row r="176" spans="1:17" x14ac:dyDescent="0.4">
      <c r="A176" s="69">
        <v>173</v>
      </c>
      <c r="B176" s="66">
        <v>-1064.8</v>
      </c>
      <c r="C176" s="66">
        <v>-6.1549132947976872</v>
      </c>
      <c r="D176" s="71">
        <v>2.0924855491329479</v>
      </c>
      <c r="E176" s="67">
        <v>0.30635838150289019</v>
      </c>
      <c r="F176" s="67">
        <v>0.39884393063583817</v>
      </c>
      <c r="G176" s="67">
        <v>0.27666896077081898</v>
      </c>
      <c r="H176" s="67">
        <v>0.16999311768754302</v>
      </c>
      <c r="I176" s="68">
        <v>8210.1990049751239</v>
      </c>
      <c r="J176" s="68">
        <v>-8359.1093117408909</v>
      </c>
      <c r="K176" s="67">
        <v>0.13872832369942195</v>
      </c>
      <c r="L176" s="67">
        <v>0.10982658959537572</v>
      </c>
      <c r="M176" s="67">
        <v>0.24432209222298693</v>
      </c>
      <c r="N176" s="67">
        <v>0.20302821748107364</v>
      </c>
      <c r="O176" s="67">
        <v>0.53802816901408446</v>
      </c>
      <c r="P176" s="67">
        <v>0.35932203389830508</v>
      </c>
      <c r="Q176" s="67">
        <v>0.41791044776119401</v>
      </c>
    </row>
    <row r="177" spans="1:17" x14ac:dyDescent="0.4">
      <c r="A177" s="69">
        <v>174</v>
      </c>
      <c r="B177" s="66">
        <v>-1090.0999999999999</v>
      </c>
      <c r="C177" s="66">
        <v>-6.2649425287356317</v>
      </c>
      <c r="D177" s="71">
        <v>2.0977011494252875</v>
      </c>
      <c r="E177" s="67">
        <v>0.3045977011494253</v>
      </c>
      <c r="F177" s="67">
        <v>0.40229885057471265</v>
      </c>
      <c r="G177" s="67">
        <v>0.27583846680355922</v>
      </c>
      <c r="H177" s="67">
        <v>0.16974674880219029</v>
      </c>
      <c r="I177" s="68">
        <v>8208.9330024813898</v>
      </c>
      <c r="J177" s="68">
        <v>-8333.467741935483</v>
      </c>
      <c r="K177" s="67">
        <v>0.13793103448275862</v>
      </c>
      <c r="L177" s="67">
        <v>0.10919540229885058</v>
      </c>
      <c r="M177" s="67">
        <v>0.24366872005475701</v>
      </c>
      <c r="N177" s="67">
        <v>0.20328542094455851</v>
      </c>
      <c r="O177" s="67">
        <v>0.5393258426966292</v>
      </c>
      <c r="P177" s="67">
        <v>0.35690235690235689</v>
      </c>
      <c r="Q177" s="67">
        <v>0.41935483870967744</v>
      </c>
    </row>
    <row r="178" spans="1:17" x14ac:dyDescent="0.4">
      <c r="A178" s="69">
        <v>175</v>
      </c>
      <c r="B178" s="66">
        <v>-1146.0999999999999</v>
      </c>
      <c r="C178" s="66">
        <v>-6.5491428571428569</v>
      </c>
      <c r="D178" s="71">
        <v>2.1028571428571428</v>
      </c>
      <c r="E178" s="67">
        <v>0.30285714285714288</v>
      </c>
      <c r="F178" s="67">
        <v>0.40571428571428569</v>
      </c>
      <c r="G178" s="67">
        <v>0.27452316076294275</v>
      </c>
      <c r="H178" s="67">
        <v>0.17098092643051771</v>
      </c>
      <c r="I178" s="68">
        <v>8208.9330024813898</v>
      </c>
      <c r="J178" s="68">
        <v>-8341.035856573706</v>
      </c>
      <c r="K178" s="67">
        <v>0.14285714285714285</v>
      </c>
      <c r="L178" s="67">
        <v>0.10857142857142857</v>
      </c>
      <c r="M178" s="67">
        <v>0.2438692098092643</v>
      </c>
      <c r="N178" s="67">
        <v>0.20299727520435967</v>
      </c>
      <c r="O178" s="67">
        <v>0.53631284916201116</v>
      </c>
      <c r="P178" s="67">
        <v>0.35570469798657717</v>
      </c>
      <c r="Q178" s="67">
        <v>0.41935483870967744</v>
      </c>
    </row>
    <row r="179" spans="1:17" x14ac:dyDescent="0.4">
      <c r="A179" s="69">
        <v>176</v>
      </c>
      <c r="B179" s="66">
        <v>-1142.5</v>
      </c>
      <c r="C179" s="66">
        <v>-6.4914772727272725</v>
      </c>
      <c r="D179" s="71">
        <v>2.1022727272727271</v>
      </c>
      <c r="E179" s="67">
        <v>0.30113636363636365</v>
      </c>
      <c r="F179" s="67">
        <v>0.40340909090909088</v>
      </c>
      <c r="G179" s="67">
        <v>0.2755585646580907</v>
      </c>
      <c r="H179" s="67">
        <v>0.17061611374407584</v>
      </c>
      <c r="I179" s="68">
        <v>8167.8132678132679</v>
      </c>
      <c r="J179" s="68">
        <v>-8339.6825396825388</v>
      </c>
      <c r="K179" s="67">
        <v>0.14204545454545456</v>
      </c>
      <c r="L179" s="67">
        <v>0.10795454545454546</v>
      </c>
      <c r="M179" s="67">
        <v>0.24306025727826674</v>
      </c>
      <c r="N179" s="67">
        <v>0.2024373730534868</v>
      </c>
      <c r="O179" s="67">
        <v>0.53760445682451252</v>
      </c>
      <c r="P179" s="67">
        <v>0.35785953177257523</v>
      </c>
      <c r="Q179" s="67">
        <v>0.42014742014742013</v>
      </c>
    </row>
    <row r="180" spans="1:17" x14ac:dyDescent="0.4">
      <c r="A180" s="69">
        <v>177</v>
      </c>
      <c r="B180" s="66">
        <v>-1194.4000000000001</v>
      </c>
      <c r="C180" s="66">
        <v>-6.7480225988700573</v>
      </c>
      <c r="D180" s="71">
        <v>2.1073446327683616</v>
      </c>
      <c r="E180" s="67">
        <v>0.29943502824858759</v>
      </c>
      <c r="F180" s="67">
        <v>0.40677966101694918</v>
      </c>
      <c r="G180" s="67">
        <v>0.27510040160642568</v>
      </c>
      <c r="H180" s="67">
        <v>0.17135207496653279</v>
      </c>
      <c r="I180" s="68">
        <v>8127.9805352798057</v>
      </c>
      <c r="J180" s="68">
        <v>-8364.453125</v>
      </c>
      <c r="K180" s="67">
        <v>0.14124293785310735</v>
      </c>
      <c r="L180" s="67">
        <v>0.10734463276836158</v>
      </c>
      <c r="M180" s="67">
        <v>0.24364123159303883</v>
      </c>
      <c r="N180" s="67">
        <v>0.20281124497991967</v>
      </c>
      <c r="O180" s="67">
        <v>0.5357142857142857</v>
      </c>
      <c r="P180" s="67">
        <v>0.35643564356435642</v>
      </c>
      <c r="Q180" s="67">
        <v>0.41849148418491483</v>
      </c>
    </row>
    <row r="181" spans="1:17" x14ac:dyDescent="0.4">
      <c r="A181" s="69">
        <v>178</v>
      </c>
      <c r="B181" s="66">
        <v>-1166.8000000000002</v>
      </c>
      <c r="C181" s="66">
        <v>-6.5550561797752822</v>
      </c>
      <c r="D181" s="71">
        <v>2.101123595505618</v>
      </c>
      <c r="E181" s="67">
        <v>0.30337078651685395</v>
      </c>
      <c r="F181" s="67">
        <v>0.4044943820224719</v>
      </c>
      <c r="G181" s="67">
        <v>0.27600000000000002</v>
      </c>
      <c r="H181" s="67">
        <v>0.17133333333333334</v>
      </c>
      <c r="I181" s="68">
        <v>8112.5603864734303</v>
      </c>
      <c r="J181" s="68">
        <v>-8363.035019455252</v>
      </c>
      <c r="K181" s="67">
        <v>0.1404494382022472</v>
      </c>
      <c r="L181" s="67">
        <v>0.10674157303370786</v>
      </c>
      <c r="M181" s="67">
        <v>0.24399999999999999</v>
      </c>
      <c r="N181" s="67">
        <v>0.20333333333333334</v>
      </c>
      <c r="O181" s="67">
        <v>0.53825136612021862</v>
      </c>
      <c r="P181" s="67">
        <v>0.35737704918032787</v>
      </c>
      <c r="Q181" s="67">
        <v>0.41787439613526572</v>
      </c>
    </row>
    <row r="182" spans="1:17" x14ac:dyDescent="0.4">
      <c r="A182" s="69">
        <v>179</v>
      </c>
      <c r="B182" s="66">
        <v>-1205.5000000000002</v>
      </c>
      <c r="C182" s="66">
        <v>-6.7346368715083811</v>
      </c>
      <c r="D182" s="71">
        <v>2.1061452513966481</v>
      </c>
      <c r="E182" s="67">
        <v>0.3016759776536313</v>
      </c>
      <c r="F182" s="67">
        <v>0.40782122905027934</v>
      </c>
      <c r="G182" s="67">
        <v>0.27652519893899202</v>
      </c>
      <c r="H182" s="67">
        <v>0.17241379310344829</v>
      </c>
      <c r="I182" s="68">
        <v>8105.035971223022</v>
      </c>
      <c r="J182" s="68">
        <v>-8398.8461538461543</v>
      </c>
      <c r="K182" s="67">
        <v>0.13966480446927373</v>
      </c>
      <c r="L182" s="67">
        <v>0.10614525139664804</v>
      </c>
      <c r="M182" s="67">
        <v>0.24535809018567639</v>
      </c>
      <c r="N182" s="67">
        <v>0.20225464190981432</v>
      </c>
      <c r="O182" s="67">
        <v>0.54054054054054057</v>
      </c>
      <c r="P182" s="67">
        <v>0.35737704918032787</v>
      </c>
      <c r="Q182" s="67">
        <v>0.41726618705035973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98680-2C16-485C-9AE9-5172D8990B58}">
  <sheetPr codeName="Sheet10"/>
  <dimension ref="A1:Q16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  <row r="134" spans="1:17" x14ac:dyDescent="0.4">
      <c r="A134" s="69">
        <v>131</v>
      </c>
      <c r="B134" s="66">
        <v>-323.3</v>
      </c>
      <c r="C134" s="66">
        <v>-2.4679389312977098</v>
      </c>
      <c r="D134" s="71">
        <v>2.0763358778625953</v>
      </c>
      <c r="E134" s="67">
        <v>0.26717557251908397</v>
      </c>
      <c r="F134" s="67">
        <v>0.34351145038167941</v>
      </c>
      <c r="G134" s="67">
        <v>0.272140221402214</v>
      </c>
      <c r="H134" s="67">
        <v>0.17158671586715868</v>
      </c>
      <c r="I134" s="68">
        <v>9240.6779661016953</v>
      </c>
      <c r="J134" s="68">
        <v>-7647.8494623655915</v>
      </c>
      <c r="K134" s="67">
        <v>0.12977099236641221</v>
      </c>
      <c r="L134" s="67">
        <v>9.9236641221374045E-2</v>
      </c>
      <c r="M134" s="67">
        <v>0.2988929889298893</v>
      </c>
      <c r="N134" s="67">
        <v>0.17619926199261993</v>
      </c>
      <c r="O134" s="67">
        <v>0.59567901234567899</v>
      </c>
      <c r="P134" s="67">
        <v>0.29842931937172773</v>
      </c>
      <c r="Q134" s="67">
        <v>0.42711864406779659</v>
      </c>
    </row>
    <row r="135" spans="1:17" x14ac:dyDescent="0.4">
      <c r="A135" s="69">
        <v>132</v>
      </c>
      <c r="B135" s="66">
        <v>-347.8</v>
      </c>
      <c r="C135" s="66">
        <v>-2.6348484848484848</v>
      </c>
      <c r="D135" s="71">
        <v>2.0757575757575757</v>
      </c>
      <c r="E135" s="67">
        <v>0.26515151515151514</v>
      </c>
      <c r="F135" s="67">
        <v>0.34090909090909088</v>
      </c>
      <c r="G135" s="67">
        <v>0.27138914443422263</v>
      </c>
      <c r="H135" s="67">
        <v>0.17203311867525298</v>
      </c>
      <c r="I135" s="68">
        <v>9240.6779661016953</v>
      </c>
      <c r="J135" s="68">
        <v>-7671.1229946524063</v>
      </c>
      <c r="K135" s="67">
        <v>0.12878787878787878</v>
      </c>
      <c r="L135" s="67">
        <v>9.8484848484848481E-2</v>
      </c>
      <c r="M135" s="67">
        <v>0.29806807727690893</v>
      </c>
      <c r="N135" s="67">
        <v>0.17571297148114076</v>
      </c>
      <c r="O135" s="67">
        <v>0.59567901234567899</v>
      </c>
      <c r="P135" s="67">
        <v>0.29842931937172773</v>
      </c>
      <c r="Q135" s="67">
        <v>0.42711864406779659</v>
      </c>
    </row>
    <row r="136" spans="1:17" x14ac:dyDescent="0.4">
      <c r="A136" s="69">
        <v>133</v>
      </c>
      <c r="B136" s="66">
        <v>-403.7</v>
      </c>
      <c r="C136" s="66">
        <v>-3.0353383458646617</v>
      </c>
      <c r="D136" s="71">
        <v>2.0827067669172932</v>
      </c>
      <c r="E136" s="67">
        <v>0.26315789473684209</v>
      </c>
      <c r="F136" s="67">
        <v>0.34586466165413532</v>
      </c>
      <c r="G136" s="67">
        <v>0.26965265082266909</v>
      </c>
      <c r="H136" s="67">
        <v>0.17367458866544791</v>
      </c>
      <c r="I136" s="68">
        <v>9240.6779661016953</v>
      </c>
      <c r="J136" s="68">
        <v>-7700.5263157894733</v>
      </c>
      <c r="K136" s="67">
        <v>0.13533834586466165</v>
      </c>
      <c r="L136" s="67">
        <v>9.7744360902255634E-2</v>
      </c>
      <c r="M136" s="67">
        <v>0.29798903107861058</v>
      </c>
      <c r="N136" s="67">
        <v>0.17550274223034734</v>
      </c>
      <c r="O136" s="67">
        <v>0.59202453987730064</v>
      </c>
      <c r="P136" s="67">
        <v>0.296875</v>
      </c>
      <c r="Q136" s="67">
        <v>0.42711864406779659</v>
      </c>
    </row>
    <row r="137" spans="1:17" x14ac:dyDescent="0.4">
      <c r="A137" s="69">
        <v>134</v>
      </c>
      <c r="B137" s="66">
        <v>-341.2</v>
      </c>
      <c r="C137" s="66">
        <v>-2.5462686567164177</v>
      </c>
      <c r="D137" s="71">
        <v>2.0746268656716418</v>
      </c>
      <c r="E137" s="67">
        <v>0.26865671641791045</v>
      </c>
      <c r="F137" s="67">
        <v>0.34328358208955223</v>
      </c>
      <c r="G137" s="67">
        <v>0.27024567788899001</v>
      </c>
      <c r="H137" s="67">
        <v>0.17288444040036396</v>
      </c>
      <c r="I137" s="68">
        <v>9292.9292929292933</v>
      </c>
      <c r="J137" s="68">
        <v>-7700.5263157894733</v>
      </c>
      <c r="K137" s="67">
        <v>0.13432835820895522</v>
      </c>
      <c r="L137" s="67">
        <v>0.1044776119402985</v>
      </c>
      <c r="M137" s="67">
        <v>0.29936305732484075</v>
      </c>
      <c r="N137" s="67">
        <v>0.17561419472247497</v>
      </c>
      <c r="O137" s="67">
        <v>0.59270516717325228</v>
      </c>
      <c r="P137" s="67">
        <v>0.29533678756476683</v>
      </c>
      <c r="Q137" s="67">
        <v>0.42760942760942761</v>
      </c>
    </row>
    <row r="138" spans="1:17" x14ac:dyDescent="0.4">
      <c r="A138" s="69">
        <v>135</v>
      </c>
      <c r="B138" s="66">
        <v>-373.3</v>
      </c>
      <c r="C138" s="66">
        <v>-2.7651851851851852</v>
      </c>
      <c r="D138" s="71">
        <v>2.0814814814814815</v>
      </c>
      <c r="E138" s="67">
        <v>0.26666666666666666</v>
      </c>
      <c r="F138" s="67">
        <v>0.34814814814814815</v>
      </c>
      <c r="G138" s="67">
        <v>0.26936936936936939</v>
      </c>
      <c r="H138" s="67">
        <v>0.17387387387387387</v>
      </c>
      <c r="I138" s="68">
        <v>9270.5685618729094</v>
      </c>
      <c r="J138" s="68">
        <v>-7632.6424870466317</v>
      </c>
      <c r="K138" s="67">
        <v>0.13333333333333333</v>
      </c>
      <c r="L138" s="67">
        <v>0.1037037037037037</v>
      </c>
      <c r="M138" s="67">
        <v>0.3</v>
      </c>
      <c r="N138" s="67">
        <v>0.17657657657657658</v>
      </c>
      <c r="O138" s="67">
        <v>0.58858858858858853</v>
      </c>
      <c r="P138" s="67">
        <v>0.29591836734693877</v>
      </c>
      <c r="Q138" s="67">
        <v>0.42809364548494983</v>
      </c>
    </row>
    <row r="139" spans="1:17" x14ac:dyDescent="0.4">
      <c r="A139" s="69">
        <v>136</v>
      </c>
      <c r="B139" s="66">
        <v>-380.7</v>
      </c>
      <c r="C139" s="66">
        <v>-2.799264705882353</v>
      </c>
      <c r="D139" s="71">
        <v>2.0808823529411766</v>
      </c>
      <c r="E139" s="67">
        <v>0.26470588235294118</v>
      </c>
      <c r="F139" s="67">
        <v>0.34558823529411764</v>
      </c>
      <c r="G139" s="67">
        <v>0.27126230975828108</v>
      </c>
      <c r="H139" s="67">
        <v>0.17367949865711726</v>
      </c>
      <c r="I139" s="68">
        <v>9257.0957095709564</v>
      </c>
      <c r="J139" s="68">
        <v>-7613.4020618556697</v>
      </c>
      <c r="K139" s="67">
        <v>0.13235294117647059</v>
      </c>
      <c r="L139" s="67">
        <v>0.10294117647058823</v>
      </c>
      <c r="M139" s="67">
        <v>0.30080572963294538</v>
      </c>
      <c r="N139" s="67">
        <v>0.17726051924798567</v>
      </c>
      <c r="O139" s="67">
        <v>0.59226190476190477</v>
      </c>
      <c r="P139" s="67">
        <v>0.29797979797979796</v>
      </c>
      <c r="Q139" s="67">
        <v>0.42574257425742573</v>
      </c>
    </row>
    <row r="140" spans="1:17" x14ac:dyDescent="0.4">
      <c r="A140" s="69">
        <v>137</v>
      </c>
      <c r="B140" s="66">
        <v>-440.2</v>
      </c>
      <c r="C140" s="66">
        <v>-3.2131386861313866</v>
      </c>
      <c r="D140" s="71">
        <v>2.0875912408759123</v>
      </c>
      <c r="E140" s="67">
        <v>0.26277372262773724</v>
      </c>
      <c r="F140" s="67">
        <v>0.35036496350364965</v>
      </c>
      <c r="G140" s="67">
        <v>0.26981300089047194</v>
      </c>
      <c r="H140" s="67">
        <v>0.17542297417631345</v>
      </c>
      <c r="I140" s="68">
        <v>9257.0957095709564</v>
      </c>
      <c r="J140" s="68">
        <v>-7629.4416243654823</v>
      </c>
      <c r="K140" s="67">
        <v>0.13868613138686131</v>
      </c>
      <c r="L140" s="67">
        <v>0.10218978102189781</v>
      </c>
      <c r="M140" s="67">
        <v>0.30097951914514692</v>
      </c>
      <c r="N140" s="67">
        <v>0.17720391807658059</v>
      </c>
      <c r="O140" s="67">
        <v>0.58875739644970415</v>
      </c>
      <c r="P140" s="67">
        <v>0.29648241206030151</v>
      </c>
      <c r="Q140" s="67">
        <v>0.42574257425742573</v>
      </c>
    </row>
    <row r="141" spans="1:17" x14ac:dyDescent="0.4">
      <c r="A141" s="69">
        <v>138</v>
      </c>
      <c r="B141" s="66">
        <v>-381.4</v>
      </c>
      <c r="C141" s="66">
        <v>-2.7637681159420286</v>
      </c>
      <c r="D141" s="71">
        <v>2.0797101449275361</v>
      </c>
      <c r="E141" s="67">
        <v>0.26811594202898553</v>
      </c>
      <c r="F141" s="67">
        <v>0.34782608695652173</v>
      </c>
      <c r="G141" s="67">
        <v>0.27175843694493784</v>
      </c>
      <c r="H141" s="67">
        <v>0.17495559502664298</v>
      </c>
      <c r="I141" s="68">
        <v>9283.3333333333339</v>
      </c>
      <c r="J141" s="68">
        <v>-7629.4416243654823</v>
      </c>
      <c r="K141" s="67">
        <v>0.13768115942028986</v>
      </c>
      <c r="L141" s="67">
        <v>0.10869565217391304</v>
      </c>
      <c r="M141" s="67">
        <v>0.30195381882770872</v>
      </c>
      <c r="N141" s="67">
        <v>0.17761989342806395</v>
      </c>
      <c r="O141" s="67">
        <v>0.5911764705882353</v>
      </c>
      <c r="P141" s="67">
        <v>0.3</v>
      </c>
      <c r="Q141" s="67">
        <v>0.42483660130718953</v>
      </c>
    </row>
    <row r="142" spans="1:17" x14ac:dyDescent="0.4">
      <c r="A142" s="69">
        <v>139</v>
      </c>
      <c r="B142" s="66">
        <v>-417.4</v>
      </c>
      <c r="C142" s="66">
        <v>-3.0028776978417264</v>
      </c>
      <c r="D142" s="71">
        <v>2.0863309352517985</v>
      </c>
      <c r="E142" s="67">
        <v>0.26618705035971224</v>
      </c>
      <c r="F142" s="67">
        <v>0.35251798561151076</v>
      </c>
      <c r="G142" s="67">
        <v>0.27240773286467485</v>
      </c>
      <c r="H142" s="67">
        <v>0.17486818980667837</v>
      </c>
      <c r="I142" s="68">
        <v>9237.4193548387102</v>
      </c>
      <c r="J142" s="68">
        <v>-7686.43216080402</v>
      </c>
      <c r="K142" s="67">
        <v>0.1366906474820144</v>
      </c>
      <c r="L142" s="67">
        <v>0.1079136690647482</v>
      </c>
      <c r="M142" s="67">
        <v>0.30052724077328646</v>
      </c>
      <c r="N142" s="67">
        <v>0.17926186291739896</v>
      </c>
      <c r="O142" s="67">
        <v>0.59064327485380119</v>
      </c>
      <c r="P142" s="67">
        <v>0.30392156862745096</v>
      </c>
      <c r="Q142" s="67">
        <v>0.42258064516129035</v>
      </c>
    </row>
    <row r="143" spans="1:17" x14ac:dyDescent="0.4">
      <c r="A143" s="69">
        <v>140</v>
      </c>
      <c r="B143" s="66">
        <v>-421</v>
      </c>
      <c r="C143" s="66">
        <v>-3.0071428571428571</v>
      </c>
      <c r="D143" s="71">
        <v>2.0857142857142859</v>
      </c>
      <c r="E143" s="67">
        <v>0.26428571428571429</v>
      </c>
      <c r="F143" s="67">
        <v>0.35</v>
      </c>
      <c r="G143" s="67">
        <v>0.27328111401218452</v>
      </c>
      <c r="H143" s="67">
        <v>0.17493472584856398</v>
      </c>
      <c r="I143" s="68">
        <v>9200</v>
      </c>
      <c r="J143" s="68">
        <v>-7739.3034825870645</v>
      </c>
      <c r="K143" s="67">
        <v>0.1357142857142857</v>
      </c>
      <c r="L143" s="67">
        <v>0.10714285714285714</v>
      </c>
      <c r="M143" s="67">
        <v>0.29939077458659702</v>
      </c>
      <c r="N143" s="67">
        <v>0.1784160139251523</v>
      </c>
      <c r="O143" s="67">
        <v>0.59011627906976749</v>
      </c>
      <c r="P143" s="67">
        <v>0.30243902439024389</v>
      </c>
      <c r="Q143" s="67">
        <v>0.41719745222929938</v>
      </c>
    </row>
    <row r="144" spans="1:17" x14ac:dyDescent="0.4">
      <c r="A144" s="69">
        <v>141</v>
      </c>
      <c r="B144" s="66">
        <v>-393.5</v>
      </c>
      <c r="C144" s="66">
        <v>-2.7907801418439715</v>
      </c>
      <c r="D144" s="71">
        <v>2.0780141843971629</v>
      </c>
      <c r="E144" s="67">
        <v>0.26950354609929078</v>
      </c>
      <c r="F144" s="67">
        <v>0.3475177304964539</v>
      </c>
      <c r="G144" s="67">
        <v>0.27445887445887446</v>
      </c>
      <c r="H144" s="67">
        <v>0.1748917748917749</v>
      </c>
      <c r="I144" s="68">
        <v>9179.8107255520499</v>
      </c>
      <c r="J144" s="68">
        <v>-7739.1089108910892</v>
      </c>
      <c r="K144" s="67">
        <v>0.13475177304964539</v>
      </c>
      <c r="L144" s="67">
        <v>0.10638297872340426</v>
      </c>
      <c r="M144" s="67">
        <v>0.29956709956709959</v>
      </c>
      <c r="N144" s="67">
        <v>0.17835497835497835</v>
      </c>
      <c r="O144" s="67">
        <v>0.58959537572254339</v>
      </c>
      <c r="P144" s="67">
        <v>0.30582524271844658</v>
      </c>
      <c r="Q144" s="67">
        <v>0.4195583596214511</v>
      </c>
    </row>
    <row r="145" spans="1:17" x14ac:dyDescent="0.4">
      <c r="A145" s="69">
        <v>142</v>
      </c>
      <c r="B145" s="66">
        <v>-360.1</v>
      </c>
      <c r="C145" s="66">
        <v>-2.5359154929577468</v>
      </c>
      <c r="D145" s="71">
        <v>2.0704225352112675</v>
      </c>
      <c r="E145" s="67">
        <v>0.27464788732394368</v>
      </c>
      <c r="F145" s="67">
        <v>0.34507042253521125</v>
      </c>
      <c r="G145" s="67">
        <v>0.27639484978540774</v>
      </c>
      <c r="H145" s="67">
        <v>0.17510729613733905</v>
      </c>
      <c r="I145" s="68">
        <v>9171.4285714285706</v>
      </c>
      <c r="J145" s="68">
        <v>-7751.4705882352937</v>
      </c>
      <c r="K145" s="67">
        <v>0.13380281690140844</v>
      </c>
      <c r="L145" s="67">
        <v>0.10563380281690141</v>
      </c>
      <c r="M145" s="67">
        <v>0.29871244635193134</v>
      </c>
      <c r="N145" s="67">
        <v>0.17854077253218884</v>
      </c>
      <c r="O145" s="67">
        <v>0.59195402298850575</v>
      </c>
      <c r="P145" s="67">
        <v>0.3125</v>
      </c>
      <c r="Q145" s="67">
        <v>0.4254658385093168</v>
      </c>
    </row>
    <row r="146" spans="1:17" x14ac:dyDescent="0.4">
      <c r="A146" s="69">
        <v>143</v>
      </c>
      <c r="B146" s="66">
        <v>-367.70000000000005</v>
      </c>
      <c r="C146" s="66">
        <v>-2.5713286713286716</v>
      </c>
      <c r="D146" s="71">
        <v>2.06993006993007</v>
      </c>
      <c r="E146" s="67">
        <v>0.27272727272727271</v>
      </c>
      <c r="F146" s="67">
        <v>0.34265734265734266</v>
      </c>
      <c r="G146" s="67">
        <v>0.27730375426621162</v>
      </c>
      <c r="H146" s="67">
        <v>0.17491467576791808</v>
      </c>
      <c r="I146" s="68">
        <v>9123.3846153846152</v>
      </c>
      <c r="J146" s="68">
        <v>-7772.1951219512193</v>
      </c>
      <c r="K146" s="67">
        <v>0.13286713286713286</v>
      </c>
      <c r="L146" s="67">
        <v>0.1048951048951049</v>
      </c>
      <c r="M146" s="67">
        <v>0.29948805460750855</v>
      </c>
      <c r="N146" s="67">
        <v>0.17747440273037543</v>
      </c>
      <c r="O146" s="67">
        <v>0.58974358974358976</v>
      </c>
      <c r="P146" s="67">
        <v>0.3125</v>
      </c>
      <c r="Q146" s="67">
        <v>0.4276923076923077</v>
      </c>
    </row>
    <row r="147" spans="1:17" x14ac:dyDescent="0.4">
      <c r="A147" s="69">
        <v>144</v>
      </c>
      <c r="B147" s="66">
        <v>-324.00000000000006</v>
      </c>
      <c r="C147" s="66">
        <v>-2.2500000000000004</v>
      </c>
      <c r="D147" s="71">
        <v>2.0625</v>
      </c>
      <c r="E147" s="67">
        <v>0.27777777777777779</v>
      </c>
      <c r="F147" s="67">
        <v>0.34027777777777779</v>
      </c>
      <c r="G147" s="67">
        <v>0.27857747671464861</v>
      </c>
      <c r="H147" s="67">
        <v>0.17358171041490261</v>
      </c>
      <c r="I147" s="68">
        <v>9086.0182370820676</v>
      </c>
      <c r="J147" s="68">
        <v>-7772.1951219512193</v>
      </c>
      <c r="K147" s="67">
        <v>0.13194444444444445</v>
      </c>
      <c r="L147" s="67">
        <v>0.10416666666666667</v>
      </c>
      <c r="M147" s="67">
        <v>0.29974597798475866</v>
      </c>
      <c r="N147" s="67">
        <v>0.17781541066892464</v>
      </c>
      <c r="O147" s="67">
        <v>0.59322033898305082</v>
      </c>
      <c r="P147" s="67">
        <v>0.31428571428571428</v>
      </c>
      <c r="Q147" s="67">
        <v>0.42553191489361702</v>
      </c>
    </row>
    <row r="148" spans="1:17" x14ac:dyDescent="0.4">
      <c r="A148" s="69">
        <v>145</v>
      </c>
      <c r="B148" s="66">
        <v>-324.50000000000006</v>
      </c>
      <c r="C148" s="66">
        <v>-2.237931034482759</v>
      </c>
      <c r="D148" s="71">
        <v>2.0620689655172413</v>
      </c>
      <c r="E148" s="67">
        <v>0.27586206896551724</v>
      </c>
      <c r="F148" s="67">
        <v>0.33793103448275863</v>
      </c>
      <c r="G148" s="67">
        <v>0.2770780856423174</v>
      </c>
      <c r="H148" s="67">
        <v>0.17296389588581024</v>
      </c>
      <c r="I148" s="68">
        <v>9070.30303030303</v>
      </c>
      <c r="J148" s="68">
        <v>-7753.3980582524273</v>
      </c>
      <c r="K148" s="67">
        <v>0.1310344827586207</v>
      </c>
      <c r="L148" s="67">
        <v>0.10344827586206896</v>
      </c>
      <c r="M148" s="67">
        <v>0.29722921914357681</v>
      </c>
      <c r="N148" s="67">
        <v>0.17716204869857263</v>
      </c>
      <c r="O148" s="67">
        <v>0.59322033898305082</v>
      </c>
      <c r="P148" s="67">
        <v>0.31753554502369669</v>
      </c>
      <c r="Q148" s="67">
        <v>0.42424242424242425</v>
      </c>
    </row>
    <row r="149" spans="1:17" x14ac:dyDescent="0.4">
      <c r="A149" s="69">
        <v>146</v>
      </c>
      <c r="B149" s="66">
        <v>-357.30000000000007</v>
      </c>
      <c r="C149" s="66">
        <v>-2.4472602739726033</v>
      </c>
      <c r="D149" s="71">
        <v>2.0684931506849313</v>
      </c>
      <c r="E149" s="67">
        <v>0.27397260273972601</v>
      </c>
      <c r="F149" s="67">
        <v>0.34246575342465752</v>
      </c>
      <c r="G149" s="67">
        <v>0.27583333333333332</v>
      </c>
      <c r="H149" s="67">
        <v>0.17249999999999999</v>
      </c>
      <c r="I149" s="68">
        <v>9079.1540785498491</v>
      </c>
      <c r="J149" s="68">
        <v>-7743.9613526570047</v>
      </c>
      <c r="K149" s="67">
        <v>0.13013698630136986</v>
      </c>
      <c r="L149" s="67">
        <v>0.10273972602739725</v>
      </c>
      <c r="M149" s="67">
        <v>0.29833333333333334</v>
      </c>
      <c r="N149" s="67">
        <v>0.17666666666666667</v>
      </c>
      <c r="O149" s="67">
        <v>0.58938547486033521</v>
      </c>
      <c r="P149" s="67">
        <v>0.31603773584905659</v>
      </c>
      <c r="Q149" s="67">
        <v>0.42598187311178248</v>
      </c>
    </row>
    <row r="150" spans="1:17" x14ac:dyDescent="0.4">
      <c r="A150" s="69">
        <v>147</v>
      </c>
      <c r="B150" s="66">
        <v>-359.10000000000008</v>
      </c>
      <c r="C150" s="66">
        <v>-2.4428571428571435</v>
      </c>
      <c r="D150" s="71">
        <v>2.0680272108843538</v>
      </c>
      <c r="E150" s="67">
        <v>0.27210884353741499</v>
      </c>
      <c r="F150" s="67">
        <v>0.3401360544217687</v>
      </c>
      <c r="G150" s="67">
        <v>0.27694859038142622</v>
      </c>
      <c r="H150" s="67">
        <v>0.17247097844112769</v>
      </c>
      <c r="I150" s="68">
        <v>9047.6047904191619</v>
      </c>
      <c r="J150" s="68">
        <v>-7764.4230769230771</v>
      </c>
      <c r="K150" s="67">
        <v>0.12925170068027211</v>
      </c>
      <c r="L150" s="67">
        <v>0.10204081632653061</v>
      </c>
      <c r="M150" s="67">
        <v>0.29850746268656714</v>
      </c>
      <c r="N150" s="67">
        <v>0.17744610281923714</v>
      </c>
      <c r="O150" s="67">
        <v>0.59166666666666667</v>
      </c>
      <c r="P150" s="67">
        <v>0.31775700934579437</v>
      </c>
      <c r="Q150" s="67">
        <v>0.42215568862275449</v>
      </c>
    </row>
    <row r="151" spans="1:17" x14ac:dyDescent="0.4">
      <c r="A151" s="69">
        <v>148</v>
      </c>
      <c r="B151" s="66">
        <v>-415.90000000000009</v>
      </c>
      <c r="C151" s="66">
        <v>-2.8101351351351358</v>
      </c>
      <c r="D151" s="71">
        <v>2.0743243243243241</v>
      </c>
      <c r="E151" s="67">
        <v>0.27027027027027029</v>
      </c>
      <c r="F151" s="67">
        <v>0.34459459459459457</v>
      </c>
      <c r="G151" s="67">
        <v>0.27535037098103876</v>
      </c>
      <c r="H151" s="67">
        <v>0.1755976916735367</v>
      </c>
      <c r="I151" s="68">
        <v>9047.6047904191619</v>
      </c>
      <c r="J151" s="68">
        <v>-7689.2018779342725</v>
      </c>
      <c r="K151" s="67">
        <v>0.13513513513513514</v>
      </c>
      <c r="L151" s="67">
        <v>0.10135135135135136</v>
      </c>
      <c r="M151" s="67">
        <v>0.29843363561417974</v>
      </c>
      <c r="N151" s="67">
        <v>0.17642209398186315</v>
      </c>
      <c r="O151" s="67">
        <v>0.58839779005524862</v>
      </c>
      <c r="P151" s="67">
        <v>0.31775700934579437</v>
      </c>
      <c r="Q151" s="67">
        <v>0.42215568862275449</v>
      </c>
    </row>
    <row r="152" spans="1:17" x14ac:dyDescent="0.4">
      <c r="A152" s="69">
        <v>149</v>
      </c>
      <c r="B152" s="66">
        <v>-448.40000000000009</v>
      </c>
      <c r="C152" s="66">
        <v>-3.0093959731543629</v>
      </c>
      <c r="D152" s="71">
        <v>2.0805369127516777</v>
      </c>
      <c r="E152" s="67">
        <v>0.26845637583892618</v>
      </c>
      <c r="F152" s="67">
        <v>0.34899328859060402</v>
      </c>
      <c r="G152" s="67">
        <v>0.27481542247744051</v>
      </c>
      <c r="H152" s="67">
        <v>0.17719442165709598</v>
      </c>
      <c r="I152" s="68">
        <v>9044.4776119402977</v>
      </c>
      <c r="J152" s="68">
        <v>-7677.3148148148148</v>
      </c>
      <c r="K152" s="67">
        <v>0.13422818791946309</v>
      </c>
      <c r="L152" s="67">
        <v>0.10067114093959731</v>
      </c>
      <c r="M152" s="67">
        <v>0.2969647251845775</v>
      </c>
      <c r="N152" s="67">
        <v>0.1763740771123872</v>
      </c>
      <c r="O152" s="67">
        <v>0.58839779005524862</v>
      </c>
      <c r="P152" s="67">
        <v>0.31627906976744186</v>
      </c>
      <c r="Q152" s="67">
        <v>0.42388059701492536</v>
      </c>
    </row>
    <row r="153" spans="1:17" x14ac:dyDescent="0.4">
      <c r="A153" s="69">
        <v>150</v>
      </c>
      <c r="B153" s="66">
        <v>-461.10000000000008</v>
      </c>
      <c r="C153" s="66">
        <v>-3.0740000000000007</v>
      </c>
      <c r="D153" s="71">
        <v>2.08</v>
      </c>
      <c r="E153" s="67">
        <v>0.26666666666666666</v>
      </c>
      <c r="F153" s="67">
        <v>0.34666666666666668</v>
      </c>
      <c r="G153" s="67">
        <v>0.27487765089722677</v>
      </c>
      <c r="H153" s="67">
        <v>0.17781402936378465</v>
      </c>
      <c r="I153" s="68">
        <v>9030.2670623145405</v>
      </c>
      <c r="J153" s="68">
        <v>-7667.4311926605506</v>
      </c>
      <c r="K153" s="67">
        <v>0.13333333333333333</v>
      </c>
      <c r="L153" s="67">
        <v>0.1</v>
      </c>
      <c r="M153" s="67">
        <v>0.29853181076672103</v>
      </c>
      <c r="N153" s="67">
        <v>0.1769983686786297</v>
      </c>
      <c r="O153" s="67">
        <v>0.58469945355191255</v>
      </c>
      <c r="P153" s="67">
        <v>0.31797235023041476</v>
      </c>
      <c r="Q153" s="67">
        <v>0.42433234421364985</v>
      </c>
    </row>
    <row r="154" spans="1:17" x14ac:dyDescent="0.4">
      <c r="A154" s="69">
        <v>151</v>
      </c>
      <c r="B154" s="66">
        <v>-504.2000000000001</v>
      </c>
      <c r="C154" s="66">
        <v>-3.3390728476821199</v>
      </c>
      <c r="D154" s="71">
        <v>2.0860927152317883</v>
      </c>
      <c r="E154" s="67">
        <v>0.26490066225165565</v>
      </c>
      <c r="F154" s="67">
        <v>0.35099337748344372</v>
      </c>
      <c r="G154" s="67">
        <v>0.27390599675850891</v>
      </c>
      <c r="H154" s="67">
        <v>0.17990275526742303</v>
      </c>
      <c r="I154" s="68">
        <v>9018.9349112426044</v>
      </c>
      <c r="J154" s="68">
        <v>-7613.5135135135133</v>
      </c>
      <c r="K154" s="67">
        <v>0.13245033112582782</v>
      </c>
      <c r="L154" s="67">
        <v>9.9337748344370855E-2</v>
      </c>
      <c r="M154" s="67">
        <v>0.29821717990275526</v>
      </c>
      <c r="N154" s="67">
        <v>0.17585089141004862</v>
      </c>
      <c r="O154" s="67">
        <v>0.58423913043478259</v>
      </c>
      <c r="P154" s="67">
        <v>0.31797235023041476</v>
      </c>
      <c r="Q154" s="67">
        <v>0.42307692307692307</v>
      </c>
    </row>
    <row r="155" spans="1:17" x14ac:dyDescent="0.4">
      <c r="A155" s="69">
        <v>152</v>
      </c>
      <c r="B155" s="66">
        <v>-477.7000000000001</v>
      </c>
      <c r="C155" s="66">
        <v>-3.1427631578947377</v>
      </c>
      <c r="D155" s="71">
        <v>2.0789473684210527</v>
      </c>
      <c r="E155" s="67">
        <v>0.26973684210526316</v>
      </c>
      <c r="F155" s="67">
        <v>0.34868421052631576</v>
      </c>
      <c r="G155" s="67">
        <v>0.27491961414790994</v>
      </c>
      <c r="H155" s="67">
        <v>0.17926045016077172</v>
      </c>
      <c r="I155" s="68">
        <v>8982.4561403508778</v>
      </c>
      <c r="J155" s="68">
        <v>-7591.0313901345289</v>
      </c>
      <c r="K155" s="67">
        <v>0.13157894736842105</v>
      </c>
      <c r="L155" s="67">
        <v>9.8684210526315791E-2</v>
      </c>
      <c r="M155" s="67">
        <v>0.29823151125401931</v>
      </c>
      <c r="N155" s="67">
        <v>0.17604501607717041</v>
      </c>
      <c r="O155" s="67">
        <v>0.58490566037735847</v>
      </c>
      <c r="P155" s="67">
        <v>0.32420091324200911</v>
      </c>
      <c r="Q155" s="67">
        <v>0.42982456140350878</v>
      </c>
    </row>
    <row r="156" spans="1:17" x14ac:dyDescent="0.4">
      <c r="A156" s="69">
        <v>153</v>
      </c>
      <c r="B156" s="66">
        <v>-436.90000000000009</v>
      </c>
      <c r="C156" s="66">
        <v>-2.8555555555555561</v>
      </c>
      <c r="D156" s="71">
        <v>2.0718954248366015</v>
      </c>
      <c r="E156" s="67">
        <v>0.27450980392156865</v>
      </c>
      <c r="F156" s="67">
        <v>0.34640522875816993</v>
      </c>
      <c r="G156" s="67">
        <v>0.27569721115537849</v>
      </c>
      <c r="H156" s="67">
        <v>0.1800796812749004</v>
      </c>
      <c r="I156" s="68">
        <v>8992.7745664739887</v>
      </c>
      <c r="J156" s="68">
        <v>-7582.7433628318586</v>
      </c>
      <c r="K156" s="67">
        <v>0.13071895424836602</v>
      </c>
      <c r="L156" s="67">
        <v>9.8039215686274508E-2</v>
      </c>
      <c r="M156" s="67">
        <v>0.29960159362549799</v>
      </c>
      <c r="N156" s="67">
        <v>0.1752988047808765</v>
      </c>
      <c r="O156" s="67">
        <v>0.58776595744680848</v>
      </c>
      <c r="P156" s="67">
        <v>0.32272727272727275</v>
      </c>
      <c r="Q156" s="67">
        <v>0.430635838150289</v>
      </c>
    </row>
    <row r="157" spans="1:17" x14ac:dyDescent="0.4">
      <c r="A157" s="69">
        <v>154</v>
      </c>
      <c r="B157" s="66">
        <v>-439.90000000000009</v>
      </c>
      <c r="C157" s="66">
        <v>-2.8564935064935071</v>
      </c>
      <c r="D157" s="71">
        <v>2.0714285714285716</v>
      </c>
      <c r="E157" s="67">
        <v>0.27272727272727271</v>
      </c>
      <c r="F157" s="67">
        <v>0.34415584415584416</v>
      </c>
      <c r="G157" s="67">
        <v>0.27588932806324112</v>
      </c>
      <c r="H157" s="67">
        <v>0.18023715415019761</v>
      </c>
      <c r="I157" s="68">
        <v>8985.3868194842398</v>
      </c>
      <c r="J157" s="68">
        <v>-7536.8421052631575</v>
      </c>
      <c r="K157" s="67">
        <v>0.12987012987012986</v>
      </c>
      <c r="L157" s="67">
        <v>9.7402597402597407E-2</v>
      </c>
      <c r="M157" s="67">
        <v>0.29881422924901185</v>
      </c>
      <c r="N157" s="67">
        <v>0.17549407114624507</v>
      </c>
      <c r="O157" s="67">
        <v>0.58730158730158732</v>
      </c>
      <c r="P157" s="67">
        <v>0.32432432432432434</v>
      </c>
      <c r="Q157" s="67">
        <v>0.43266475644699143</v>
      </c>
    </row>
    <row r="158" spans="1:17" x14ac:dyDescent="0.4">
      <c r="A158" s="69">
        <v>155</v>
      </c>
      <c r="B158" s="66">
        <v>-381.10000000000008</v>
      </c>
      <c r="C158" s="66">
        <v>-2.4587096774193555</v>
      </c>
      <c r="D158" s="71">
        <v>2.064516129032258</v>
      </c>
      <c r="E158" s="67">
        <v>0.27741935483870966</v>
      </c>
      <c r="F158" s="67">
        <v>0.34193548387096773</v>
      </c>
      <c r="G158" s="67">
        <v>0.27738376674546888</v>
      </c>
      <c r="H158" s="67">
        <v>0.17966903073286053</v>
      </c>
      <c r="I158" s="68">
        <v>9007.670454545454</v>
      </c>
      <c r="J158" s="68">
        <v>-7536.8421052631575</v>
      </c>
      <c r="K158" s="67">
        <v>0.12903225806451613</v>
      </c>
      <c r="L158" s="67">
        <v>0.1032258064516129</v>
      </c>
      <c r="M158" s="67">
        <v>0.29866036249014971</v>
      </c>
      <c r="N158" s="67">
        <v>0.17494089834515367</v>
      </c>
      <c r="O158" s="67">
        <v>0.58839050131926118</v>
      </c>
      <c r="P158" s="67">
        <v>0.32432432432432434</v>
      </c>
      <c r="Q158" s="67">
        <v>0.43181818181818182</v>
      </c>
    </row>
    <row r="159" spans="1:17" x14ac:dyDescent="0.4">
      <c r="A159" s="69">
        <v>156</v>
      </c>
      <c r="B159" s="66">
        <v>-372.50000000000006</v>
      </c>
      <c r="C159" s="66">
        <v>-2.3878205128205132</v>
      </c>
      <c r="D159" s="71">
        <v>2.0641025641025643</v>
      </c>
      <c r="E159" s="67">
        <v>0.27564102564102566</v>
      </c>
      <c r="F159" s="67">
        <v>0.33974358974358976</v>
      </c>
      <c r="G159" s="67">
        <v>0.27769110764430577</v>
      </c>
      <c r="H159" s="67">
        <v>0.18096723868954759</v>
      </c>
      <c r="I159" s="68">
        <v>9005.0561797752816</v>
      </c>
      <c r="J159" s="68">
        <v>-7469.8275862068967</v>
      </c>
      <c r="K159" s="67">
        <v>0.12820512820512819</v>
      </c>
      <c r="L159" s="67">
        <v>0.10256410256410256</v>
      </c>
      <c r="M159" s="67">
        <v>0.29797191887675506</v>
      </c>
      <c r="N159" s="67">
        <v>0.17394695787831513</v>
      </c>
      <c r="O159" s="67">
        <v>0.58900523560209428</v>
      </c>
      <c r="P159" s="67">
        <v>0.32286995515695066</v>
      </c>
      <c r="Q159" s="67">
        <v>0.4353932584269663</v>
      </c>
    </row>
    <row r="160" spans="1:17" x14ac:dyDescent="0.4">
      <c r="A160" s="69">
        <v>157</v>
      </c>
      <c r="B160" s="66">
        <v>-408.20000000000005</v>
      </c>
      <c r="C160" s="66">
        <v>-2.6</v>
      </c>
      <c r="D160" s="71">
        <v>2.0700636942675161</v>
      </c>
      <c r="E160" s="67">
        <v>0.27388535031847133</v>
      </c>
      <c r="F160" s="67">
        <v>0.34394904458598724</v>
      </c>
      <c r="G160" s="67">
        <v>0.27695888285492631</v>
      </c>
      <c r="H160" s="67">
        <v>0.18153607447633824</v>
      </c>
      <c r="I160" s="68">
        <v>8991.0364145658259</v>
      </c>
      <c r="J160" s="68">
        <v>-7462.3931623931621</v>
      </c>
      <c r="K160" s="67">
        <v>0.12738853503184713</v>
      </c>
      <c r="L160" s="67">
        <v>0.10191082802547771</v>
      </c>
      <c r="M160" s="67">
        <v>0.29712955779674166</v>
      </c>
      <c r="N160" s="67">
        <v>0.1730023273855702</v>
      </c>
      <c r="O160" s="67">
        <v>0.58746736292428203</v>
      </c>
      <c r="P160" s="67">
        <v>0.32286995515695066</v>
      </c>
      <c r="Q160" s="67">
        <v>0.43697478991596639</v>
      </c>
    </row>
    <row r="161" spans="1:17" x14ac:dyDescent="0.4">
      <c r="A161" s="69">
        <v>158</v>
      </c>
      <c r="B161" s="66">
        <v>-403.00000000000006</v>
      </c>
      <c r="C161" s="66">
        <v>-2.5506329113924053</v>
      </c>
      <c r="D161" s="71">
        <v>2.0696202531645569</v>
      </c>
      <c r="E161" s="67">
        <v>0.27215189873417722</v>
      </c>
      <c r="F161" s="67">
        <v>0.34177215189873417</v>
      </c>
      <c r="G161" s="67">
        <v>0.27623456790123457</v>
      </c>
      <c r="H161" s="67">
        <v>0.18132716049382716</v>
      </c>
      <c r="I161" s="68">
        <v>8987.4301675977658</v>
      </c>
      <c r="J161" s="68">
        <v>-7439.1489361702124</v>
      </c>
      <c r="K161" s="67">
        <v>0.12658227848101267</v>
      </c>
      <c r="L161" s="67">
        <v>0.10126582278481013</v>
      </c>
      <c r="M161" s="67">
        <v>0.29706790123456789</v>
      </c>
      <c r="N161" s="67">
        <v>0.17206790123456789</v>
      </c>
      <c r="O161" s="67">
        <v>0.58701298701298699</v>
      </c>
      <c r="P161" s="67">
        <v>0.32286995515695066</v>
      </c>
      <c r="Q161" s="67">
        <v>0.43854748603351956</v>
      </c>
    </row>
    <row r="162" spans="1:17" x14ac:dyDescent="0.4">
      <c r="A162" s="69">
        <v>159</v>
      </c>
      <c r="B162" s="66">
        <v>-410.40000000000003</v>
      </c>
      <c r="C162" s="66">
        <v>-2.5811320754716984</v>
      </c>
      <c r="D162" s="71">
        <v>2.0691823899371071</v>
      </c>
      <c r="E162" s="67">
        <v>0.27044025157232704</v>
      </c>
      <c r="F162" s="67">
        <v>0.33962264150943394</v>
      </c>
      <c r="G162" s="67">
        <v>0.27718223583460949</v>
      </c>
      <c r="H162" s="67">
        <v>0.18147013782542112</v>
      </c>
      <c r="I162" s="68">
        <v>8941.9889502762435</v>
      </c>
      <c r="J162" s="68">
        <v>-7465.8227848101269</v>
      </c>
      <c r="K162" s="67">
        <v>0.12578616352201258</v>
      </c>
      <c r="L162" s="67">
        <v>0.10062893081761007</v>
      </c>
      <c r="M162" s="67">
        <v>0.29555895865237364</v>
      </c>
      <c r="N162" s="67">
        <v>0.17151607963246554</v>
      </c>
      <c r="O162" s="67">
        <v>0.58808290155440412</v>
      </c>
      <c r="P162" s="67">
        <v>0.32142857142857145</v>
      </c>
      <c r="Q162" s="67">
        <v>0.43922651933701656</v>
      </c>
    </row>
    <row r="163" spans="1:17" x14ac:dyDescent="0.4">
      <c r="A163" s="69">
        <v>160</v>
      </c>
      <c r="B163" s="66">
        <v>-362.40000000000003</v>
      </c>
      <c r="C163" s="66">
        <v>-2.2650000000000001</v>
      </c>
      <c r="D163" s="71">
        <v>2.0625</v>
      </c>
      <c r="E163" s="67">
        <v>0.27500000000000002</v>
      </c>
      <c r="F163" s="67">
        <v>0.33750000000000002</v>
      </c>
      <c r="G163" s="67">
        <v>0.27845220030349016</v>
      </c>
      <c r="H163" s="67">
        <v>0.18057663125948406</v>
      </c>
      <c r="I163" s="68">
        <v>8947.9564032697544</v>
      </c>
      <c r="J163" s="68">
        <v>-7447.8991596638652</v>
      </c>
      <c r="K163" s="67">
        <v>0.125</v>
      </c>
      <c r="L163" s="67">
        <v>0.1</v>
      </c>
      <c r="M163" s="67">
        <v>0.29590288315629742</v>
      </c>
      <c r="N163" s="67">
        <v>0.17223065250379363</v>
      </c>
      <c r="O163" s="67">
        <v>0.58974358974358976</v>
      </c>
      <c r="P163" s="67">
        <v>0.32158590308370044</v>
      </c>
      <c r="Q163" s="67">
        <v>0.44141689373297005</v>
      </c>
    </row>
    <row r="164" spans="1:17" x14ac:dyDescent="0.4">
      <c r="A164" s="69">
        <v>161</v>
      </c>
      <c r="B164" s="66">
        <v>-435</v>
      </c>
      <c r="C164" s="66">
        <v>-2.701863354037267</v>
      </c>
      <c r="D164" s="71">
        <v>2.0683229813664594</v>
      </c>
      <c r="E164" s="67">
        <v>0.27329192546583853</v>
      </c>
      <c r="F164" s="67">
        <v>0.34161490683229812</v>
      </c>
      <c r="G164" s="67">
        <v>0.27773584905660376</v>
      </c>
      <c r="H164" s="67">
        <v>0.1811320754716981</v>
      </c>
      <c r="I164" s="68">
        <v>8945.3804347826081</v>
      </c>
      <c r="J164" s="68">
        <v>-7569.166666666667</v>
      </c>
      <c r="K164" s="67">
        <v>0.13043478260869565</v>
      </c>
      <c r="L164" s="67">
        <v>9.9378881987577633E-2</v>
      </c>
      <c r="M164" s="67">
        <v>0.29584905660377359</v>
      </c>
      <c r="N164" s="67">
        <v>0.17283018867924529</v>
      </c>
      <c r="O164" s="67">
        <v>0.5892857142857143</v>
      </c>
      <c r="P164" s="67">
        <v>0.31877729257641924</v>
      </c>
      <c r="Q164" s="67">
        <v>0.44293478260869568</v>
      </c>
    </row>
    <row r="165" spans="1:17" x14ac:dyDescent="0.4">
      <c r="A165" s="69">
        <v>162</v>
      </c>
      <c r="B165" s="66">
        <v>-490.8</v>
      </c>
      <c r="C165" s="66">
        <v>-3.0296296296296297</v>
      </c>
      <c r="D165" s="71">
        <v>2.074074074074074</v>
      </c>
      <c r="E165" s="67">
        <v>0.27160493827160492</v>
      </c>
      <c r="F165" s="67">
        <v>0.34567901234567899</v>
      </c>
      <c r="G165" s="67">
        <v>0.27744360902255638</v>
      </c>
      <c r="H165" s="67">
        <v>0.18270676691729323</v>
      </c>
      <c r="I165" s="68">
        <v>8953.6585365853662</v>
      </c>
      <c r="J165" s="68">
        <v>-7664.1975308641977</v>
      </c>
      <c r="K165" s="67">
        <v>0.13580246913580246</v>
      </c>
      <c r="L165" s="67">
        <v>9.8765432098765427E-2</v>
      </c>
      <c r="M165" s="67">
        <v>0.29624060150375942</v>
      </c>
      <c r="N165" s="67">
        <v>0.17218045112781954</v>
      </c>
      <c r="O165" s="67">
        <v>0.58629441624365486</v>
      </c>
      <c r="P165" s="67">
        <v>0.31877729257641924</v>
      </c>
      <c r="Q165" s="67">
        <v>0.44173441734417346</v>
      </c>
    </row>
    <row r="166" spans="1:17" x14ac:dyDescent="0.4">
      <c r="A166" s="69">
        <v>163</v>
      </c>
      <c r="B166" s="66">
        <v>-539.20000000000005</v>
      </c>
      <c r="C166" s="66">
        <v>-3.3079754601226998</v>
      </c>
      <c r="D166" s="71">
        <v>2.0797546012269938</v>
      </c>
      <c r="E166" s="67">
        <v>0.26993865030674846</v>
      </c>
      <c r="F166" s="67">
        <v>0.34969325153374231</v>
      </c>
      <c r="G166" s="67">
        <v>0.27665920954511558</v>
      </c>
      <c r="H166" s="67">
        <v>0.18344519015659955</v>
      </c>
      <c r="I166" s="68">
        <v>8929.380053908355</v>
      </c>
      <c r="J166" s="68">
        <v>-7653.6585365853662</v>
      </c>
      <c r="K166" s="67">
        <v>0.13496932515337423</v>
      </c>
      <c r="L166" s="67">
        <v>9.815950920245399E-2</v>
      </c>
      <c r="M166" s="67">
        <v>0.29604772557792691</v>
      </c>
      <c r="N166" s="67">
        <v>0.17300521998508575</v>
      </c>
      <c r="O166" s="67">
        <v>0.58438287153652391</v>
      </c>
      <c r="P166" s="67">
        <v>0.31465517241379309</v>
      </c>
      <c r="Q166" s="67">
        <v>0.44474393530997303</v>
      </c>
    </row>
  </sheetData>
  <phoneticPr fontId="1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A1FCA-3834-483F-A46E-4E9CB178DCD2}">
  <sheetPr codeName="Sheet8"/>
  <dimension ref="A1:Q22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  <row r="163" spans="1:17" x14ac:dyDescent="0.4">
      <c r="A163" s="69">
        <v>160</v>
      </c>
      <c r="B163" s="66">
        <v>1899.8000000000004</v>
      </c>
      <c r="C163" s="66">
        <v>11.873750000000003</v>
      </c>
      <c r="D163" s="71">
        <v>1.76875</v>
      </c>
      <c r="E163" s="67">
        <v>0.47499999999999998</v>
      </c>
      <c r="F163" s="67">
        <v>0.24374999999999999</v>
      </c>
      <c r="G163" s="67">
        <v>0.34040940106141016</v>
      </c>
      <c r="H163" s="67">
        <v>0.15466262319939347</v>
      </c>
      <c r="I163" s="68">
        <v>9295.3229398663698</v>
      </c>
      <c r="J163" s="68">
        <v>-8229.4117647058829</v>
      </c>
      <c r="K163" s="67">
        <v>9.375E-2</v>
      </c>
      <c r="L163" s="67">
        <v>0.17499999999999999</v>
      </c>
      <c r="M163" s="67">
        <v>0.31235784685367701</v>
      </c>
      <c r="N163" s="67">
        <v>0.21228203184230476</v>
      </c>
      <c r="O163" s="67">
        <v>0.57524271844660191</v>
      </c>
      <c r="P163" s="67">
        <v>0.5178571428571429</v>
      </c>
      <c r="Q163" s="67">
        <v>0.41870824053452116</v>
      </c>
    </row>
    <row r="164" spans="1:17" x14ac:dyDescent="0.4">
      <c r="A164" s="69">
        <v>161</v>
      </c>
      <c r="B164" s="66">
        <v>1913.3000000000004</v>
      </c>
      <c r="C164" s="66">
        <v>11.883850931677021</v>
      </c>
      <c r="D164" s="71">
        <v>1.7701863354037266</v>
      </c>
      <c r="E164" s="67">
        <v>0.47204968944099379</v>
      </c>
      <c r="F164" s="67">
        <v>0.24223602484472051</v>
      </c>
      <c r="G164" s="67">
        <v>0.34061793519216277</v>
      </c>
      <c r="H164" s="67">
        <v>0.15373021853805577</v>
      </c>
      <c r="I164" s="68">
        <v>9299.5575221238942</v>
      </c>
      <c r="J164" s="68">
        <v>-8229.4117647058829</v>
      </c>
      <c r="K164" s="67">
        <v>9.3167701863354033E-2</v>
      </c>
      <c r="L164" s="67">
        <v>0.17391304347826086</v>
      </c>
      <c r="M164" s="67">
        <v>0.31424265259984929</v>
      </c>
      <c r="N164" s="67">
        <v>0.21175584024114544</v>
      </c>
      <c r="O164" s="67">
        <v>0.57314148681055155</v>
      </c>
      <c r="P164" s="67">
        <v>0.5195729537366548</v>
      </c>
      <c r="Q164" s="67">
        <v>0.42035398230088494</v>
      </c>
    </row>
    <row r="165" spans="1:17" x14ac:dyDescent="0.4">
      <c r="A165" s="69">
        <v>162</v>
      </c>
      <c r="B165" s="66">
        <v>1955.5000000000005</v>
      </c>
      <c r="C165" s="66">
        <v>12.070987654320991</v>
      </c>
      <c r="D165" s="71">
        <v>1.7654320987654322</v>
      </c>
      <c r="E165" s="67">
        <v>0.47530864197530864</v>
      </c>
      <c r="F165" s="67">
        <v>0.24074074074074073</v>
      </c>
      <c r="G165" s="67">
        <v>0.34107946026986508</v>
      </c>
      <c r="H165" s="67">
        <v>0.15367316341829085</v>
      </c>
      <c r="I165" s="68">
        <v>9312.3076923076915</v>
      </c>
      <c r="J165" s="68">
        <v>-8267.3170731707323</v>
      </c>
      <c r="K165" s="67">
        <v>9.2592592592592587E-2</v>
      </c>
      <c r="L165" s="67">
        <v>0.17901234567901234</v>
      </c>
      <c r="M165" s="67">
        <v>0.31409295352323841</v>
      </c>
      <c r="N165" s="67">
        <v>0.21139430284857572</v>
      </c>
      <c r="O165" s="67">
        <v>0.57279236276849643</v>
      </c>
      <c r="P165" s="67">
        <v>0.52127659574468088</v>
      </c>
      <c r="Q165" s="67">
        <v>0.41978021978021979</v>
      </c>
    </row>
    <row r="166" spans="1:17" x14ac:dyDescent="0.4">
      <c r="A166" s="69">
        <v>163</v>
      </c>
      <c r="B166" s="66">
        <v>1950.5000000000005</v>
      </c>
      <c r="C166" s="66">
        <v>11.966257668711659</v>
      </c>
      <c r="D166" s="71">
        <v>1.7668711656441718</v>
      </c>
      <c r="E166" s="67">
        <v>0.47239263803680981</v>
      </c>
      <c r="F166" s="67">
        <v>0.2392638036809816</v>
      </c>
      <c r="G166" s="67">
        <v>0.34055265123226286</v>
      </c>
      <c r="H166" s="67">
        <v>0.1530993278566094</v>
      </c>
      <c r="I166" s="68">
        <v>9309.4298245614027</v>
      </c>
      <c r="J166" s="68">
        <v>-8267.3170731707323</v>
      </c>
      <c r="K166" s="67">
        <v>9.202453987730061E-2</v>
      </c>
      <c r="L166" s="67">
        <v>0.17791411042944785</v>
      </c>
      <c r="M166" s="67">
        <v>0.31292008961911877</v>
      </c>
      <c r="N166" s="67">
        <v>0.210604929051531</v>
      </c>
      <c r="O166" s="67">
        <v>0.57279236276849643</v>
      </c>
      <c r="P166" s="67">
        <v>0.52127659574468088</v>
      </c>
      <c r="Q166" s="67">
        <v>0.41885964912280704</v>
      </c>
    </row>
    <row r="167" spans="1:17" x14ac:dyDescent="0.4">
      <c r="A167" s="69">
        <v>164</v>
      </c>
      <c r="B167" s="66">
        <v>1985.5000000000005</v>
      </c>
      <c r="C167" s="66">
        <v>12.106707317073173</v>
      </c>
      <c r="D167" s="71">
        <v>1.7621951219512195</v>
      </c>
      <c r="E167" s="67">
        <v>0.47560975609756095</v>
      </c>
      <c r="F167" s="67">
        <v>0.23780487804878048</v>
      </c>
      <c r="G167" s="67">
        <v>0.34025203854707192</v>
      </c>
      <c r="H167" s="67">
        <v>0.15418828762045961</v>
      </c>
      <c r="I167" s="68">
        <v>9294.3355119825701</v>
      </c>
      <c r="J167" s="68">
        <v>-8188.9423076923076</v>
      </c>
      <c r="K167" s="67">
        <v>9.1463414634146339E-2</v>
      </c>
      <c r="L167" s="67">
        <v>0.17682926829268292</v>
      </c>
      <c r="M167" s="67">
        <v>0.31356560415122314</v>
      </c>
      <c r="N167" s="67">
        <v>0.21052631578947367</v>
      </c>
      <c r="O167" s="67">
        <v>0.5721040189125296</v>
      </c>
      <c r="P167" s="67">
        <v>0.52112676056338025</v>
      </c>
      <c r="Q167" s="67">
        <v>0.41830065359477125</v>
      </c>
    </row>
    <row r="168" spans="1:17" x14ac:dyDescent="0.4">
      <c r="A168" s="69">
        <v>165</v>
      </c>
      <c r="B168" s="66">
        <v>1995.0000000000005</v>
      </c>
      <c r="C168" s="66">
        <v>12.090909090909093</v>
      </c>
      <c r="D168" s="71">
        <v>1.7636363636363637</v>
      </c>
      <c r="E168" s="67">
        <v>0.47272727272727272</v>
      </c>
      <c r="F168" s="67">
        <v>0.23636363636363636</v>
      </c>
      <c r="G168" s="67">
        <v>0.34022140221402214</v>
      </c>
      <c r="H168" s="67">
        <v>0.15350553505535056</v>
      </c>
      <c r="I168" s="68">
        <v>9275.7049891540137</v>
      </c>
      <c r="J168" s="68">
        <v>-8188.9423076923076</v>
      </c>
      <c r="K168" s="67">
        <v>9.0909090909090912E-2</v>
      </c>
      <c r="L168" s="67">
        <v>0.17575757575757575</v>
      </c>
      <c r="M168" s="67">
        <v>0.31291512915129149</v>
      </c>
      <c r="N168" s="67">
        <v>0.2095940959409594</v>
      </c>
      <c r="O168" s="67">
        <v>0.57311320754716977</v>
      </c>
      <c r="P168" s="67">
        <v>0.52112676056338025</v>
      </c>
      <c r="Q168" s="67">
        <v>0.41865509761388287</v>
      </c>
    </row>
    <row r="169" spans="1:17" x14ac:dyDescent="0.4">
      <c r="A169" s="69">
        <v>166</v>
      </c>
      <c r="B169" s="66">
        <v>1939.7000000000005</v>
      </c>
      <c r="C169" s="66">
        <v>11.684939759036148</v>
      </c>
      <c r="D169" s="71">
        <v>1.7710843373493976</v>
      </c>
      <c r="E169" s="67">
        <v>0.46987951807228917</v>
      </c>
      <c r="F169" s="67">
        <v>0.24096385542168675</v>
      </c>
      <c r="G169" s="67">
        <v>0.33946980854197351</v>
      </c>
      <c r="H169" s="67">
        <v>0.15463917525773196</v>
      </c>
      <c r="I169" s="68">
        <v>9275.7049891540137</v>
      </c>
      <c r="J169" s="68">
        <v>-8252.8571428571431</v>
      </c>
      <c r="K169" s="67">
        <v>9.6385542168674704E-2</v>
      </c>
      <c r="L169" s="67">
        <v>0.1746987951807229</v>
      </c>
      <c r="M169" s="67">
        <v>0.31222385861561119</v>
      </c>
      <c r="N169" s="67">
        <v>0.20913107511045656</v>
      </c>
      <c r="O169" s="67">
        <v>0.57311320754716977</v>
      </c>
      <c r="P169" s="67">
        <v>0.52112676056338025</v>
      </c>
      <c r="Q169" s="67">
        <v>0.41865509761388287</v>
      </c>
    </row>
    <row r="170" spans="1:17" x14ac:dyDescent="0.4">
      <c r="A170" s="69">
        <v>167</v>
      </c>
      <c r="B170" s="66">
        <v>1970.7000000000005</v>
      </c>
      <c r="C170" s="66">
        <v>11.800598802395212</v>
      </c>
      <c r="D170" s="71">
        <v>1.7664670658682635</v>
      </c>
      <c r="E170" s="67">
        <v>0.47305389221556887</v>
      </c>
      <c r="F170" s="67">
        <v>0.23952095808383234</v>
      </c>
      <c r="G170" s="67">
        <v>0.33868613138686132</v>
      </c>
      <c r="H170" s="67">
        <v>0.15401459854014599</v>
      </c>
      <c r="I170" s="68">
        <v>9264.439655172413</v>
      </c>
      <c r="J170" s="68">
        <v>-8220.8530805687205</v>
      </c>
      <c r="K170" s="67">
        <v>9.580838323353294E-2</v>
      </c>
      <c r="L170" s="67">
        <v>0.17365269461077845</v>
      </c>
      <c r="M170" s="67">
        <v>0.31459854014598543</v>
      </c>
      <c r="N170" s="67">
        <v>0.2072992700729927</v>
      </c>
      <c r="O170" s="67">
        <v>0.57076566125290018</v>
      </c>
      <c r="P170" s="67">
        <v>0.52112676056338025</v>
      </c>
      <c r="Q170" s="67">
        <v>0.42025862068965519</v>
      </c>
    </row>
    <row r="171" spans="1:17" x14ac:dyDescent="0.4">
      <c r="A171" s="69">
        <v>168</v>
      </c>
      <c r="B171" s="66">
        <v>1935.4000000000005</v>
      </c>
      <c r="C171" s="66">
        <v>11.520238095238099</v>
      </c>
      <c r="D171" s="71">
        <v>1.7738095238095237</v>
      </c>
      <c r="E171" s="67">
        <v>0.47023809523809523</v>
      </c>
      <c r="F171" s="67">
        <v>0.24404761904761904</v>
      </c>
      <c r="G171" s="67">
        <v>0.33816075307748011</v>
      </c>
      <c r="H171" s="67">
        <v>0.1556842867487328</v>
      </c>
      <c r="I171" s="68">
        <v>9254.1755888650969</v>
      </c>
      <c r="J171" s="68">
        <v>-8183.2558139534885</v>
      </c>
      <c r="K171" s="67">
        <v>9.5238095238095233E-2</v>
      </c>
      <c r="L171" s="67">
        <v>0.17261904761904762</v>
      </c>
      <c r="M171" s="67">
        <v>0.31426502534395367</v>
      </c>
      <c r="N171" s="67">
        <v>0.20854453294713976</v>
      </c>
      <c r="O171" s="67">
        <v>0.56912442396313367</v>
      </c>
      <c r="P171" s="67">
        <v>0.52083333333333337</v>
      </c>
      <c r="Q171" s="67">
        <v>0.41970021413276232</v>
      </c>
    </row>
    <row r="172" spans="1:17" x14ac:dyDescent="0.4">
      <c r="A172" s="69">
        <v>169</v>
      </c>
      <c r="B172" s="66">
        <v>1976.5000000000005</v>
      </c>
      <c r="C172" s="66">
        <v>11.695266272189352</v>
      </c>
      <c r="D172" s="71">
        <v>1.7692307692307692</v>
      </c>
      <c r="E172" s="67">
        <v>0.47337278106508873</v>
      </c>
      <c r="F172" s="67">
        <v>0.24260355029585798</v>
      </c>
      <c r="G172" s="67">
        <v>0.33741007194244604</v>
      </c>
      <c r="H172" s="67">
        <v>0.1553956834532374</v>
      </c>
      <c r="I172" s="68">
        <v>9265.8848614072504</v>
      </c>
      <c r="J172" s="68">
        <v>-8163.4259259259261</v>
      </c>
      <c r="K172" s="67">
        <v>9.4674556213017749E-2</v>
      </c>
      <c r="L172" s="67">
        <v>0.17159763313609466</v>
      </c>
      <c r="M172" s="67">
        <v>0.3143884892086331</v>
      </c>
      <c r="N172" s="67">
        <v>0.2079136690647482</v>
      </c>
      <c r="O172" s="67">
        <v>0.56979405034324948</v>
      </c>
      <c r="P172" s="67">
        <v>0.51903114186851207</v>
      </c>
      <c r="Q172" s="67">
        <v>0.41791044776119401</v>
      </c>
    </row>
    <row r="173" spans="1:17" x14ac:dyDescent="0.4">
      <c r="A173" s="69">
        <v>170</v>
      </c>
      <c r="B173" s="66">
        <v>2031.1000000000004</v>
      </c>
      <c r="C173" s="66">
        <v>11.947647058823531</v>
      </c>
      <c r="D173" s="71">
        <v>1.7647058823529411</v>
      </c>
      <c r="E173" s="67">
        <v>0.47647058823529409</v>
      </c>
      <c r="F173" s="67">
        <v>0.2411764705882353</v>
      </c>
      <c r="G173" s="67">
        <v>0.33882521489971346</v>
      </c>
      <c r="H173" s="67">
        <v>0.15472779369627507</v>
      </c>
      <c r="I173" s="68">
        <v>9252.2198731501048</v>
      </c>
      <c r="J173" s="68">
        <v>-8163.4259259259261</v>
      </c>
      <c r="K173" s="67">
        <v>9.4117647058823528E-2</v>
      </c>
      <c r="L173" s="67">
        <v>0.17647058823529413</v>
      </c>
      <c r="M173" s="67">
        <v>0.3144699140401146</v>
      </c>
      <c r="N173" s="67">
        <v>0.20845272206303725</v>
      </c>
      <c r="O173" s="67">
        <v>0.56947608200455579</v>
      </c>
      <c r="P173" s="67">
        <v>0.5223367697594502</v>
      </c>
      <c r="Q173" s="67">
        <v>0.41860465116279072</v>
      </c>
    </row>
    <row r="174" spans="1:17" x14ac:dyDescent="0.4">
      <c r="A174" s="69">
        <v>171</v>
      </c>
      <c r="B174" s="66">
        <v>2031.0000000000005</v>
      </c>
      <c r="C174" s="66">
        <v>11.877192982456142</v>
      </c>
      <c r="D174" s="71">
        <v>1.7660818713450293</v>
      </c>
      <c r="E174" s="67">
        <v>0.47368421052631576</v>
      </c>
      <c r="F174" s="67">
        <v>0.23976608187134502</v>
      </c>
      <c r="G174" s="67">
        <v>0.33854907539118068</v>
      </c>
      <c r="H174" s="67">
        <v>0.15433854907539118</v>
      </c>
      <c r="I174" s="68">
        <v>9247.6890756302528</v>
      </c>
      <c r="J174" s="68">
        <v>-8162.6728110599079</v>
      </c>
      <c r="K174" s="67">
        <v>9.3567251461988299E-2</v>
      </c>
      <c r="L174" s="67">
        <v>0.17543859649122806</v>
      </c>
      <c r="M174" s="67">
        <v>0.31436699857752487</v>
      </c>
      <c r="N174" s="67">
        <v>0.20768136557610242</v>
      </c>
      <c r="O174" s="67">
        <v>0.57239819004524883</v>
      </c>
      <c r="P174" s="67">
        <v>0.52054794520547942</v>
      </c>
      <c r="Q174" s="67">
        <v>0.42016806722689076</v>
      </c>
    </row>
    <row r="175" spans="1:17" x14ac:dyDescent="0.4">
      <c r="A175" s="69">
        <v>172</v>
      </c>
      <c r="B175" s="66">
        <v>2043.9000000000005</v>
      </c>
      <c r="C175" s="66">
        <v>11.883139534883725</v>
      </c>
      <c r="D175" s="71">
        <v>1.7674418604651163</v>
      </c>
      <c r="E175" s="67">
        <v>0.47093023255813954</v>
      </c>
      <c r="F175" s="67">
        <v>0.23837209302325582</v>
      </c>
      <c r="G175" s="67">
        <v>0.33828733191790517</v>
      </c>
      <c r="H175" s="67">
        <v>0.15428167020523709</v>
      </c>
      <c r="I175" s="68">
        <v>9259.2050209205026</v>
      </c>
      <c r="J175" s="68">
        <v>-8161.9266055045873</v>
      </c>
      <c r="K175" s="67">
        <v>9.3023255813953487E-2</v>
      </c>
      <c r="L175" s="67">
        <v>0.1744186046511628</v>
      </c>
      <c r="M175" s="67">
        <v>0.31422505307855625</v>
      </c>
      <c r="N175" s="67">
        <v>0.20736022646850671</v>
      </c>
      <c r="O175" s="67">
        <v>0.57432432432432434</v>
      </c>
      <c r="P175" s="67">
        <v>0.51877133105802042</v>
      </c>
      <c r="Q175" s="67">
        <v>0.42050209205020922</v>
      </c>
    </row>
    <row r="176" spans="1:17" x14ac:dyDescent="0.4">
      <c r="A176" s="69">
        <v>173</v>
      </c>
      <c r="B176" s="66">
        <v>2066.5000000000005</v>
      </c>
      <c r="C176" s="66">
        <v>11.945086705202314</v>
      </c>
      <c r="D176" s="71">
        <v>1.76878612716763</v>
      </c>
      <c r="E176" s="67">
        <v>0.46820809248554912</v>
      </c>
      <c r="F176" s="67">
        <v>0.23699421965317918</v>
      </c>
      <c r="G176" s="67">
        <v>0.33919774806474312</v>
      </c>
      <c r="H176" s="67">
        <v>0.15411681914144967</v>
      </c>
      <c r="I176" s="68">
        <v>9243.3609958506222</v>
      </c>
      <c r="J176" s="68">
        <v>-8151.1415525114153</v>
      </c>
      <c r="K176" s="67">
        <v>9.2485549132947972E-2</v>
      </c>
      <c r="L176" s="67">
        <v>0.17341040462427745</v>
      </c>
      <c r="M176" s="67">
        <v>0.3138634764250528</v>
      </c>
      <c r="N176" s="67">
        <v>0.20830401125967629</v>
      </c>
      <c r="O176" s="67">
        <v>0.57623318385650224</v>
      </c>
      <c r="P176" s="67">
        <v>0.52027027027027029</v>
      </c>
      <c r="Q176" s="67">
        <v>0.42323651452282157</v>
      </c>
    </row>
    <row r="177" spans="1:17" x14ac:dyDescent="0.4">
      <c r="A177" s="69">
        <v>174</v>
      </c>
      <c r="B177" s="66">
        <v>2121.1000000000004</v>
      </c>
      <c r="C177" s="66">
        <v>12.190229885057473</v>
      </c>
      <c r="D177" s="71">
        <v>1.764367816091954</v>
      </c>
      <c r="E177" s="67">
        <v>0.47126436781609193</v>
      </c>
      <c r="F177" s="67">
        <v>0.23563218390804597</v>
      </c>
      <c r="G177" s="67">
        <v>0.33963585434173671</v>
      </c>
      <c r="H177" s="67">
        <v>0.15406162464985995</v>
      </c>
      <c r="I177" s="68">
        <v>9272.783505154639</v>
      </c>
      <c r="J177" s="68">
        <v>-8125.909090909091</v>
      </c>
      <c r="K177" s="67">
        <v>9.1954022988505746E-2</v>
      </c>
      <c r="L177" s="67">
        <v>0.17241379310344829</v>
      </c>
      <c r="M177" s="67">
        <v>0.31512605042016806</v>
      </c>
      <c r="N177" s="67">
        <v>0.20728291316526612</v>
      </c>
      <c r="O177" s="67">
        <v>0.57777777777777772</v>
      </c>
      <c r="P177" s="67">
        <v>0.52027027027027029</v>
      </c>
      <c r="Q177" s="67">
        <v>0.42268041237113402</v>
      </c>
    </row>
    <row r="178" spans="1:17" x14ac:dyDescent="0.4">
      <c r="A178" s="69">
        <v>175</v>
      </c>
      <c r="B178" s="66">
        <v>2087.3000000000002</v>
      </c>
      <c r="C178" s="66">
        <v>11.927428571428573</v>
      </c>
      <c r="D178" s="71">
        <v>1.7714285714285714</v>
      </c>
      <c r="E178" s="67">
        <v>0.46857142857142858</v>
      </c>
      <c r="F178" s="67">
        <v>0.24</v>
      </c>
      <c r="G178" s="67">
        <v>0.33844011142061281</v>
      </c>
      <c r="H178" s="67">
        <v>0.15389972144846797</v>
      </c>
      <c r="I178" s="68">
        <v>9278.3950617283954</v>
      </c>
      <c r="J178" s="68">
        <v>-8132.5791855203624</v>
      </c>
      <c r="K178" s="67">
        <v>9.1428571428571428E-2</v>
      </c>
      <c r="L178" s="67">
        <v>0.17142857142857143</v>
      </c>
      <c r="M178" s="67">
        <v>0.314066852367688</v>
      </c>
      <c r="N178" s="67">
        <v>0.20891364902506965</v>
      </c>
      <c r="O178" s="67">
        <v>0.57649667405764971</v>
      </c>
      <c r="P178" s="67">
        <v>0.51666666666666672</v>
      </c>
      <c r="Q178" s="67">
        <v>0.42386831275720166</v>
      </c>
    </row>
    <row r="179" spans="1:17" x14ac:dyDescent="0.4">
      <c r="A179" s="69">
        <v>176</v>
      </c>
      <c r="B179" s="66">
        <v>2055.5</v>
      </c>
      <c r="C179" s="66">
        <v>11.678977272727273</v>
      </c>
      <c r="D179" s="71">
        <v>1.7784090909090908</v>
      </c>
      <c r="E179" s="67">
        <v>0.46590909090909088</v>
      </c>
      <c r="F179" s="67">
        <v>0.24431818181818182</v>
      </c>
      <c r="G179" s="67">
        <v>0.33795013850415512</v>
      </c>
      <c r="H179" s="67">
        <v>0.15512465373961218</v>
      </c>
      <c r="I179" s="68">
        <v>9281.3524590163943</v>
      </c>
      <c r="J179" s="68">
        <v>-8129.9107142857147</v>
      </c>
      <c r="K179" s="67">
        <v>9.0909090909090912E-2</v>
      </c>
      <c r="L179" s="67">
        <v>0.17045454545454544</v>
      </c>
      <c r="M179" s="67">
        <v>0.31440443213296398</v>
      </c>
      <c r="N179" s="67">
        <v>0.20914127423822715</v>
      </c>
      <c r="O179" s="67">
        <v>0.5770925110132159</v>
      </c>
      <c r="P179" s="67">
        <v>0.51324503311258274</v>
      </c>
      <c r="Q179" s="67">
        <v>0.42418032786885246</v>
      </c>
    </row>
    <row r="180" spans="1:17" x14ac:dyDescent="0.4">
      <c r="A180" s="69">
        <v>177</v>
      </c>
      <c r="B180" s="66">
        <v>2093.1</v>
      </c>
      <c r="C180" s="66">
        <v>11.82542372881356</v>
      </c>
      <c r="D180" s="71">
        <v>1.7740112994350283</v>
      </c>
      <c r="E180" s="67">
        <v>0.46892655367231639</v>
      </c>
      <c r="F180" s="67">
        <v>0.24293785310734464</v>
      </c>
      <c r="G180" s="67">
        <v>0.33907649896623021</v>
      </c>
      <c r="H180" s="67">
        <v>0.1543762922122674</v>
      </c>
      <c r="I180" s="68">
        <v>9255.8943089430886</v>
      </c>
      <c r="J180" s="68">
        <v>-8129.9107142857147</v>
      </c>
      <c r="K180" s="67">
        <v>9.03954802259887E-2</v>
      </c>
      <c r="L180" s="67">
        <v>0.16949152542372881</v>
      </c>
      <c r="M180" s="67">
        <v>0.31495520330806343</v>
      </c>
      <c r="N180" s="67">
        <v>0.20951068228807718</v>
      </c>
      <c r="O180" s="67">
        <v>0.57768052516411383</v>
      </c>
      <c r="P180" s="67">
        <v>0.51315789473684215</v>
      </c>
      <c r="Q180" s="67">
        <v>0.42682926829268292</v>
      </c>
    </row>
    <row r="181" spans="1:17" x14ac:dyDescent="0.4">
      <c r="A181" s="69">
        <v>178</v>
      </c>
      <c r="B181" s="66">
        <v>2146.2999999999997</v>
      </c>
      <c r="C181" s="66">
        <v>12.057865168539324</v>
      </c>
      <c r="D181" s="71">
        <v>1.7696629213483146</v>
      </c>
      <c r="E181" s="67">
        <v>0.47191011235955055</v>
      </c>
      <c r="F181" s="67">
        <v>0.24157303370786518</v>
      </c>
      <c r="G181" s="67">
        <v>0.3399588759424263</v>
      </c>
      <c r="H181" s="67">
        <v>0.15421521590130227</v>
      </c>
      <c r="I181" s="68">
        <v>9261.0887096774186</v>
      </c>
      <c r="J181" s="68">
        <v>-8105.333333333333</v>
      </c>
      <c r="K181" s="67">
        <v>8.98876404494382E-2</v>
      </c>
      <c r="L181" s="67">
        <v>0.16853932584269662</v>
      </c>
      <c r="M181" s="67">
        <v>0.31459904043865661</v>
      </c>
      <c r="N181" s="67">
        <v>0.21041809458533242</v>
      </c>
      <c r="O181" s="67">
        <v>0.579520697167756</v>
      </c>
      <c r="P181" s="67">
        <v>0.51465798045602607</v>
      </c>
      <c r="Q181" s="67">
        <v>0.42540322580645162</v>
      </c>
    </row>
    <row r="182" spans="1:17" x14ac:dyDescent="0.4">
      <c r="A182" s="69">
        <v>179</v>
      </c>
      <c r="B182" s="66">
        <v>2182.3999999999996</v>
      </c>
      <c r="C182" s="66">
        <v>12.192178770949718</v>
      </c>
      <c r="D182" s="71">
        <v>1.76536312849162</v>
      </c>
      <c r="E182" s="67">
        <v>0.47486033519553073</v>
      </c>
      <c r="F182" s="67">
        <v>0.24022346368715083</v>
      </c>
      <c r="G182" s="67">
        <v>0.34059945504087191</v>
      </c>
      <c r="H182" s="67">
        <v>0.15463215258855587</v>
      </c>
      <c r="I182" s="68">
        <v>9272.2000000000007</v>
      </c>
      <c r="J182" s="68">
        <v>-8122.0264317180618</v>
      </c>
      <c r="K182" s="67">
        <v>8.9385474860335198E-2</v>
      </c>
      <c r="L182" s="67">
        <v>0.16759776536312848</v>
      </c>
      <c r="M182" s="67">
        <v>0.3133514986376022</v>
      </c>
      <c r="N182" s="67">
        <v>0.2098092643051771</v>
      </c>
      <c r="O182" s="67">
        <v>0.58043478260869563</v>
      </c>
      <c r="P182" s="67">
        <v>0.51623376623376627</v>
      </c>
      <c r="Q182" s="67">
        <v>0.42599999999999999</v>
      </c>
    </row>
    <row r="183" spans="1:17" x14ac:dyDescent="0.4">
      <c r="A183" s="69">
        <v>180</v>
      </c>
      <c r="B183" s="66">
        <v>2155.9999999999995</v>
      </c>
      <c r="C183" s="66">
        <v>11.977777777777776</v>
      </c>
      <c r="D183" s="71">
        <v>1.7722222222222221</v>
      </c>
      <c r="E183" s="67">
        <v>0.47222222222222221</v>
      </c>
      <c r="F183" s="67">
        <v>0.24444444444444444</v>
      </c>
      <c r="G183" s="67">
        <v>0.33989145183175035</v>
      </c>
      <c r="H183" s="67">
        <v>0.15535956580732699</v>
      </c>
      <c r="I183" s="68">
        <v>9277.6447105788429</v>
      </c>
      <c r="J183" s="68">
        <v>-8107.4235807860259</v>
      </c>
      <c r="K183" s="67">
        <v>8.8888888888888892E-2</v>
      </c>
      <c r="L183" s="67">
        <v>0.16666666666666666</v>
      </c>
      <c r="M183" s="67">
        <v>0.31275440976933516</v>
      </c>
      <c r="N183" s="67">
        <v>0.21031207598371776</v>
      </c>
      <c r="O183" s="67">
        <v>0.57917570498915405</v>
      </c>
      <c r="P183" s="67">
        <v>0.5161290322580645</v>
      </c>
      <c r="Q183" s="67">
        <v>0.42514970059880242</v>
      </c>
    </row>
    <row r="184" spans="1:17" x14ac:dyDescent="0.4">
      <c r="A184" s="69">
        <v>181</v>
      </c>
      <c r="B184" s="66">
        <v>2216.9999999999995</v>
      </c>
      <c r="C184" s="66">
        <v>12.248618784530384</v>
      </c>
      <c r="D184" s="71">
        <v>1.7679558011049723</v>
      </c>
      <c r="E184" s="67">
        <v>0.47513812154696133</v>
      </c>
      <c r="F184" s="67">
        <v>0.24309392265193369</v>
      </c>
      <c r="G184" s="67">
        <v>0.34098582039162728</v>
      </c>
      <c r="H184" s="67">
        <v>0.15462525320729237</v>
      </c>
      <c r="I184" s="68">
        <v>9279.4059405940588</v>
      </c>
      <c r="J184" s="68">
        <v>-8107.4235807860259</v>
      </c>
      <c r="K184" s="67">
        <v>8.8397790055248615E-2</v>
      </c>
      <c r="L184" s="67">
        <v>0.17127071823204421</v>
      </c>
      <c r="M184" s="67">
        <v>0.31127616475354491</v>
      </c>
      <c r="N184" s="67">
        <v>0.21134368669817691</v>
      </c>
      <c r="O184" s="67">
        <v>0.57917570498915405</v>
      </c>
      <c r="P184" s="67">
        <v>0.52076677316293929</v>
      </c>
      <c r="Q184" s="67">
        <v>0.42574257425742573</v>
      </c>
    </row>
    <row r="185" spans="1:17" x14ac:dyDescent="0.4">
      <c r="A185" s="69">
        <v>182</v>
      </c>
      <c r="B185" s="66">
        <v>2252.3999999999996</v>
      </c>
      <c r="C185" s="66">
        <v>12.375824175824174</v>
      </c>
      <c r="D185" s="71">
        <v>1.7637362637362637</v>
      </c>
      <c r="E185" s="67">
        <v>0.47802197802197804</v>
      </c>
      <c r="F185" s="67">
        <v>0.24175824175824176</v>
      </c>
      <c r="G185" s="67">
        <v>0.34162743779421656</v>
      </c>
      <c r="H185" s="67">
        <v>0.15400134498991258</v>
      </c>
      <c r="I185" s="68">
        <v>9258.8582677165359</v>
      </c>
      <c r="J185" s="68">
        <v>-8107.4235807860259</v>
      </c>
      <c r="K185" s="67">
        <v>8.7912087912087919E-2</v>
      </c>
      <c r="L185" s="67">
        <v>0.17032967032967034</v>
      </c>
      <c r="M185" s="67">
        <v>0.31069266980497645</v>
      </c>
      <c r="N185" s="67">
        <v>0.2125084061869536</v>
      </c>
      <c r="O185" s="67">
        <v>0.58008658008658009</v>
      </c>
      <c r="P185" s="67">
        <v>0.51898734177215189</v>
      </c>
      <c r="Q185" s="67">
        <v>0.42322834645669294</v>
      </c>
    </row>
    <row r="186" spans="1:17" x14ac:dyDescent="0.4">
      <c r="A186" s="69">
        <v>183</v>
      </c>
      <c r="B186" s="66">
        <v>2307.8999999999996</v>
      </c>
      <c r="C186" s="66">
        <v>12.611475409836064</v>
      </c>
      <c r="D186" s="71">
        <v>1.7595628415300546</v>
      </c>
      <c r="E186" s="67">
        <v>0.48087431693989069</v>
      </c>
      <c r="F186" s="67">
        <v>0.24043715846994534</v>
      </c>
      <c r="G186" s="67">
        <v>0.34203480589022756</v>
      </c>
      <c r="H186" s="67">
        <v>0.15327978580990628</v>
      </c>
      <c r="I186" s="68">
        <v>9277.495107632094</v>
      </c>
      <c r="J186" s="68">
        <v>-8107.4235807860259</v>
      </c>
      <c r="K186" s="67">
        <v>8.7431693989071038E-2</v>
      </c>
      <c r="L186" s="67">
        <v>0.16939890710382513</v>
      </c>
      <c r="M186" s="67">
        <v>0.3112449799196787</v>
      </c>
      <c r="N186" s="67">
        <v>0.21218206157965194</v>
      </c>
      <c r="O186" s="67">
        <v>0.58279569892473115</v>
      </c>
      <c r="P186" s="67">
        <v>0.51735015772870663</v>
      </c>
      <c r="Q186" s="67">
        <v>0.42465753424657532</v>
      </c>
    </row>
    <row r="187" spans="1:17" x14ac:dyDescent="0.4">
      <c r="A187" s="69">
        <v>184</v>
      </c>
      <c r="B187" s="66">
        <v>2341.1999999999998</v>
      </c>
      <c r="C187" s="66">
        <v>12.723913043478261</v>
      </c>
      <c r="D187" s="71">
        <v>1.7554347826086956</v>
      </c>
      <c r="E187" s="67">
        <v>0.48369565217391303</v>
      </c>
      <c r="F187" s="67">
        <v>0.2391304347826087</v>
      </c>
      <c r="G187" s="67">
        <v>0.34221038615179761</v>
      </c>
      <c r="H187" s="67">
        <v>0.15312916111850866</v>
      </c>
      <c r="I187" s="68">
        <v>9269.2607003891044</v>
      </c>
      <c r="J187" s="68">
        <v>-8094.782608695652</v>
      </c>
      <c r="K187" s="67">
        <v>8.6956521739130432E-2</v>
      </c>
      <c r="L187" s="67">
        <v>0.16847826086956522</v>
      </c>
      <c r="M187" s="67">
        <v>0.30958721704394143</v>
      </c>
      <c r="N187" s="67">
        <v>0.21371504660452731</v>
      </c>
      <c r="O187" s="67">
        <v>0.58279569892473115</v>
      </c>
      <c r="P187" s="67">
        <v>0.52024922118380057</v>
      </c>
      <c r="Q187" s="67">
        <v>0.42217898832684825</v>
      </c>
    </row>
    <row r="188" spans="1:17" x14ac:dyDescent="0.4">
      <c r="A188" s="69">
        <v>185</v>
      </c>
      <c r="B188" s="66">
        <v>2314.3999999999996</v>
      </c>
      <c r="C188" s="66">
        <v>12.510270270270269</v>
      </c>
      <c r="D188" s="71">
        <v>1.7621621621621621</v>
      </c>
      <c r="E188" s="67">
        <v>0.48108108108108111</v>
      </c>
      <c r="F188" s="67">
        <v>0.24324324324324326</v>
      </c>
      <c r="G188" s="67">
        <v>0.34126984126984128</v>
      </c>
      <c r="H188" s="67">
        <v>0.15277777777777779</v>
      </c>
      <c r="I188" s="68">
        <v>9279.8449612403092</v>
      </c>
      <c r="J188" s="68">
        <v>-8093.0735930735927</v>
      </c>
      <c r="K188" s="67">
        <v>8.6486486486486491E-2</v>
      </c>
      <c r="L188" s="67">
        <v>0.16756756756756758</v>
      </c>
      <c r="M188" s="67">
        <v>0.3082010582010582</v>
      </c>
      <c r="N188" s="67">
        <v>0.21362433862433863</v>
      </c>
      <c r="O188" s="67">
        <v>0.58154506437768239</v>
      </c>
      <c r="P188" s="67">
        <v>0.52012383900928794</v>
      </c>
      <c r="Q188" s="67">
        <v>0.42248062015503873</v>
      </c>
    </row>
    <row r="189" spans="1:17" x14ac:dyDescent="0.4">
      <c r="A189" s="69">
        <v>186</v>
      </c>
      <c r="B189" s="66">
        <v>2307.6999999999998</v>
      </c>
      <c r="C189" s="66">
        <v>12.406989247311827</v>
      </c>
      <c r="D189" s="71">
        <v>1.7634408602150538</v>
      </c>
      <c r="E189" s="67">
        <v>0.478494623655914</v>
      </c>
      <c r="F189" s="67">
        <v>0.24193548387096775</v>
      </c>
      <c r="G189" s="67">
        <v>0.33946158896913986</v>
      </c>
      <c r="H189" s="67">
        <v>0.15167432698621142</v>
      </c>
      <c r="I189" s="68">
        <v>9277.3694390715664</v>
      </c>
      <c r="J189" s="68">
        <v>-8093.0735930735927</v>
      </c>
      <c r="K189" s="67">
        <v>8.6021505376344093E-2</v>
      </c>
      <c r="L189" s="67">
        <v>0.16666666666666666</v>
      </c>
      <c r="M189" s="67">
        <v>0.30728824688115564</v>
      </c>
      <c r="N189" s="67">
        <v>0.21339461588969139</v>
      </c>
      <c r="O189" s="67">
        <v>0.58119658119658124</v>
      </c>
      <c r="P189" s="67">
        <v>0.51692307692307693</v>
      </c>
      <c r="Q189" s="67">
        <v>0.42166344294003866</v>
      </c>
    </row>
    <row r="190" spans="1:17" x14ac:dyDescent="0.4">
      <c r="A190" s="69">
        <v>187</v>
      </c>
      <c r="B190" s="66">
        <v>2348.1</v>
      </c>
      <c r="C190" s="66">
        <v>12.55668449197861</v>
      </c>
      <c r="D190" s="71">
        <v>1.7593582887700534</v>
      </c>
      <c r="E190" s="67">
        <v>0.48128342245989303</v>
      </c>
      <c r="F190" s="67">
        <v>0.24064171122994651</v>
      </c>
      <c r="G190" s="67">
        <v>0.33920417482061316</v>
      </c>
      <c r="H190" s="67">
        <v>0.15068493150684931</v>
      </c>
      <c r="I190" s="68">
        <v>9293.8461538461543</v>
      </c>
      <c r="J190" s="68">
        <v>-8093.0735930735927</v>
      </c>
      <c r="K190" s="67">
        <v>8.5561497326203204E-2</v>
      </c>
      <c r="L190" s="67">
        <v>0.16577540106951871</v>
      </c>
      <c r="M190" s="67">
        <v>0.30789302022178733</v>
      </c>
      <c r="N190" s="67">
        <v>0.21200260926288322</v>
      </c>
      <c r="O190" s="67">
        <v>0.58050847457627119</v>
      </c>
      <c r="P190" s="67">
        <v>0.51692307692307693</v>
      </c>
      <c r="Q190" s="67">
        <v>0.42499999999999999</v>
      </c>
    </row>
    <row r="191" spans="1:17" x14ac:dyDescent="0.4">
      <c r="A191" s="69">
        <v>188</v>
      </c>
      <c r="B191" s="66">
        <v>2290.1</v>
      </c>
      <c r="C191" s="66">
        <v>12.181382978723404</v>
      </c>
      <c r="D191" s="71">
        <v>1.7659574468085106</v>
      </c>
      <c r="E191" s="67">
        <v>0.47872340425531917</v>
      </c>
      <c r="F191" s="67">
        <v>0.24468085106382978</v>
      </c>
      <c r="G191" s="67">
        <v>0.33832140533506833</v>
      </c>
      <c r="H191" s="67">
        <v>0.15159401431359792</v>
      </c>
      <c r="I191" s="68">
        <v>9293.8461538461543</v>
      </c>
      <c r="J191" s="68">
        <v>-8152.3605150214589</v>
      </c>
      <c r="K191" s="67">
        <v>9.0425531914893623E-2</v>
      </c>
      <c r="L191" s="67">
        <v>0.16489361702127658</v>
      </c>
      <c r="M191" s="67">
        <v>0.30839297332465843</v>
      </c>
      <c r="N191" s="67">
        <v>0.2114508783344177</v>
      </c>
      <c r="O191" s="67">
        <v>0.57805907172995785</v>
      </c>
      <c r="P191" s="67">
        <v>0.51692307692307693</v>
      </c>
      <c r="Q191" s="67">
        <v>0.42499999999999999</v>
      </c>
    </row>
    <row r="192" spans="1:17" x14ac:dyDescent="0.4">
      <c r="A192" s="69">
        <v>189</v>
      </c>
      <c r="B192" s="66">
        <v>2337.6</v>
      </c>
      <c r="C192" s="66">
        <v>12.368253968253967</v>
      </c>
      <c r="D192" s="71">
        <v>1.7619047619047619</v>
      </c>
      <c r="E192" s="67">
        <v>0.48148148148148145</v>
      </c>
      <c r="F192" s="67">
        <v>0.24338624338624337</v>
      </c>
      <c r="G192" s="67">
        <v>0.34</v>
      </c>
      <c r="H192" s="67">
        <v>0.15096774193548387</v>
      </c>
      <c r="I192" s="68">
        <v>9226.944971537001</v>
      </c>
      <c r="J192" s="68">
        <v>-8168.8034188034189</v>
      </c>
      <c r="K192" s="67">
        <v>8.9947089947089942E-2</v>
      </c>
      <c r="L192" s="67">
        <v>0.1693121693121693</v>
      </c>
      <c r="M192" s="67">
        <v>0.30774193548387097</v>
      </c>
      <c r="N192" s="67">
        <v>0.21225806451612902</v>
      </c>
      <c r="O192" s="67">
        <v>0.5765199161425576</v>
      </c>
      <c r="P192" s="67">
        <v>0.52279635258358659</v>
      </c>
      <c r="Q192" s="67">
        <v>0.42125237191650855</v>
      </c>
    </row>
    <row r="193" spans="1:17" x14ac:dyDescent="0.4">
      <c r="A193" s="69">
        <v>190</v>
      </c>
      <c r="B193" s="66">
        <v>2335.6999999999998</v>
      </c>
      <c r="C193" s="66">
        <v>12.293157894736842</v>
      </c>
      <c r="D193" s="71">
        <v>1.763157894736842</v>
      </c>
      <c r="E193" s="67">
        <v>0.47894736842105262</v>
      </c>
      <c r="F193" s="67">
        <v>0.24210526315789474</v>
      </c>
      <c r="G193" s="67">
        <v>0.33911368015414256</v>
      </c>
      <c r="H193" s="67">
        <v>0.15093127809890816</v>
      </c>
      <c r="I193" s="68">
        <v>9224.621212121212</v>
      </c>
      <c r="J193" s="68">
        <v>-8150.6382978723404</v>
      </c>
      <c r="K193" s="67">
        <v>8.9473684210526316E-2</v>
      </c>
      <c r="L193" s="67">
        <v>0.16842105263157894</v>
      </c>
      <c r="M193" s="67">
        <v>0.30700064226075785</v>
      </c>
      <c r="N193" s="67">
        <v>0.21323057161207451</v>
      </c>
      <c r="O193" s="67">
        <v>0.57740585774058573</v>
      </c>
      <c r="P193" s="67">
        <v>0.51807228915662651</v>
      </c>
      <c r="Q193" s="67">
        <v>0.42045454545454547</v>
      </c>
    </row>
    <row r="194" spans="1:17" x14ac:dyDescent="0.4">
      <c r="A194" s="69">
        <v>191</v>
      </c>
      <c r="B194" s="66">
        <v>2390.1</v>
      </c>
      <c r="C194" s="66">
        <v>12.513612565445026</v>
      </c>
      <c r="D194" s="71">
        <v>1.7591623036649215</v>
      </c>
      <c r="E194" s="67">
        <v>0.48167539267015708</v>
      </c>
      <c r="F194" s="67">
        <v>0.24083769633507854</v>
      </c>
      <c r="G194" s="67">
        <v>0.34015345268542202</v>
      </c>
      <c r="H194" s="67">
        <v>0.15025575447570333</v>
      </c>
      <c r="I194" s="68">
        <v>9217.8571428571431</v>
      </c>
      <c r="J194" s="68">
        <v>-8150.6382978723404</v>
      </c>
      <c r="K194" s="67">
        <v>8.9005235602094238E-2</v>
      </c>
      <c r="L194" s="67">
        <v>0.17277486910994763</v>
      </c>
      <c r="M194" s="67">
        <v>0.30754475703324807</v>
      </c>
      <c r="N194" s="67">
        <v>0.21355498721227623</v>
      </c>
      <c r="O194" s="67">
        <v>0.57796257796257799</v>
      </c>
      <c r="P194" s="67">
        <v>0.52095808383233533</v>
      </c>
      <c r="Q194" s="67">
        <v>0.41729323308270677</v>
      </c>
    </row>
    <row r="195" spans="1:17" x14ac:dyDescent="0.4">
      <c r="A195" s="69">
        <v>192</v>
      </c>
      <c r="B195" s="66">
        <v>2392.9</v>
      </c>
      <c r="C195" s="66">
        <v>12.463020833333333</v>
      </c>
      <c r="D195" s="71">
        <v>1.7604166666666667</v>
      </c>
      <c r="E195" s="67">
        <v>0.47916666666666669</v>
      </c>
      <c r="F195" s="67">
        <v>0.23958333333333334</v>
      </c>
      <c r="G195" s="67">
        <v>0.33991088478676001</v>
      </c>
      <c r="H195" s="67">
        <v>0.15022278803309994</v>
      </c>
      <c r="I195" s="68">
        <v>9211.0486891385772</v>
      </c>
      <c r="J195" s="68">
        <v>-8124.5762711864409</v>
      </c>
      <c r="K195" s="67">
        <v>8.8541666666666671E-2</v>
      </c>
      <c r="L195" s="67">
        <v>0.171875</v>
      </c>
      <c r="M195" s="67">
        <v>0.30808402291534054</v>
      </c>
      <c r="N195" s="67">
        <v>0.21323997453851051</v>
      </c>
      <c r="O195" s="67">
        <v>0.57851239669421484</v>
      </c>
      <c r="P195" s="67">
        <v>0.5194029850746269</v>
      </c>
      <c r="Q195" s="67">
        <v>0.41760299625468167</v>
      </c>
    </row>
    <row r="196" spans="1:17" x14ac:dyDescent="0.4">
      <c r="A196" s="69">
        <v>193</v>
      </c>
      <c r="B196" s="66">
        <v>2389.8000000000002</v>
      </c>
      <c r="C196" s="66">
        <v>12.38238341968912</v>
      </c>
      <c r="D196" s="71">
        <v>1.7616580310880829</v>
      </c>
      <c r="E196" s="67">
        <v>0.47668393782383417</v>
      </c>
      <c r="F196" s="67">
        <v>0.23834196891191708</v>
      </c>
      <c r="G196" s="67">
        <v>0.33945535148828371</v>
      </c>
      <c r="H196" s="67">
        <v>0.15009499683343888</v>
      </c>
      <c r="I196" s="68">
        <v>9208.0223880597023</v>
      </c>
      <c r="J196" s="68">
        <v>-8117.2995780590718</v>
      </c>
      <c r="K196" s="67">
        <v>8.8082901554404139E-2</v>
      </c>
      <c r="L196" s="67">
        <v>0.17098445595854922</v>
      </c>
      <c r="M196" s="67">
        <v>0.30715642811906269</v>
      </c>
      <c r="N196" s="67">
        <v>0.21279290690310323</v>
      </c>
      <c r="O196" s="67">
        <v>0.57938144329896912</v>
      </c>
      <c r="P196" s="67">
        <v>0.52083333333333337</v>
      </c>
      <c r="Q196" s="67">
        <v>0.41791044776119401</v>
      </c>
    </row>
    <row r="197" spans="1:17" x14ac:dyDescent="0.4">
      <c r="A197" s="69">
        <v>194</v>
      </c>
      <c r="B197" s="66">
        <v>2355.3000000000002</v>
      </c>
      <c r="C197" s="66">
        <v>12.140721649484536</v>
      </c>
      <c r="D197" s="71">
        <v>1.768041237113402</v>
      </c>
      <c r="E197" s="67">
        <v>0.47422680412371132</v>
      </c>
      <c r="F197" s="67">
        <v>0.2422680412371134</v>
      </c>
      <c r="G197" s="67">
        <v>0.33880126182965298</v>
      </c>
      <c r="H197" s="67">
        <v>0.15078864353312302</v>
      </c>
      <c r="I197" s="68">
        <v>9213.2216014897585</v>
      </c>
      <c r="J197" s="68">
        <v>-8133.0543933054396</v>
      </c>
      <c r="K197" s="67">
        <v>8.7628865979381437E-2</v>
      </c>
      <c r="L197" s="67">
        <v>0.17010309278350516</v>
      </c>
      <c r="M197" s="67">
        <v>0.305993690851735</v>
      </c>
      <c r="N197" s="67">
        <v>0.21324921135646688</v>
      </c>
      <c r="O197" s="67">
        <v>0.57938144329896912</v>
      </c>
      <c r="P197" s="67">
        <v>0.52071005917159763</v>
      </c>
      <c r="Q197" s="67">
        <v>0.41899441340782123</v>
      </c>
    </row>
    <row r="198" spans="1:17" x14ac:dyDescent="0.4">
      <c r="A198" s="69">
        <v>195</v>
      </c>
      <c r="B198" s="66">
        <v>2406.4</v>
      </c>
      <c r="C198" s="66">
        <v>12.340512820512821</v>
      </c>
      <c r="D198" s="71">
        <v>1.7641025641025641</v>
      </c>
      <c r="E198" s="67">
        <v>0.47692307692307695</v>
      </c>
      <c r="F198" s="67">
        <v>0.24102564102564103</v>
      </c>
      <c r="G198" s="67">
        <v>0.33896185115697308</v>
      </c>
      <c r="H198" s="67">
        <v>0.15134459036898062</v>
      </c>
      <c r="I198" s="68">
        <v>9223.9852398523981</v>
      </c>
      <c r="J198" s="68">
        <v>-8085.9504132231405</v>
      </c>
      <c r="K198" s="67">
        <v>8.7179487179487175E-2</v>
      </c>
      <c r="L198" s="67">
        <v>0.16923076923076924</v>
      </c>
      <c r="M198" s="67">
        <v>0.30456535334584117</v>
      </c>
      <c r="N198" s="67">
        <v>0.21513445903689807</v>
      </c>
      <c r="O198" s="67">
        <v>0.58110882956878851</v>
      </c>
      <c r="P198" s="67">
        <v>0.51453488372093026</v>
      </c>
      <c r="Q198" s="67">
        <v>0.42066420664206644</v>
      </c>
    </row>
    <row r="199" spans="1:17" x14ac:dyDescent="0.4">
      <c r="A199" s="69">
        <v>196</v>
      </c>
      <c r="B199" s="66">
        <v>2442.9</v>
      </c>
      <c r="C199" s="66">
        <v>12.463775510204082</v>
      </c>
      <c r="D199" s="71">
        <v>1.760204081632653</v>
      </c>
      <c r="E199" s="67">
        <v>0.47959183673469385</v>
      </c>
      <c r="F199" s="67">
        <v>0.23979591836734693</v>
      </c>
      <c r="G199" s="67">
        <v>0.33871970167806092</v>
      </c>
      <c r="H199" s="67">
        <v>0.15102548166563082</v>
      </c>
      <c r="I199" s="68">
        <v>9226.0550458715588</v>
      </c>
      <c r="J199" s="68">
        <v>-8085.5967078189296</v>
      </c>
      <c r="K199" s="67">
        <v>8.673469387755102E-2</v>
      </c>
      <c r="L199" s="67">
        <v>0.1683673469387755</v>
      </c>
      <c r="M199" s="67">
        <v>0.30267246737103792</v>
      </c>
      <c r="N199" s="67">
        <v>0.21628340584213798</v>
      </c>
      <c r="O199" s="67">
        <v>0.58110882956878851</v>
      </c>
      <c r="P199" s="67">
        <v>0.51436781609195403</v>
      </c>
      <c r="Q199" s="67">
        <v>0.42018348623853213</v>
      </c>
    </row>
    <row r="200" spans="1:17" x14ac:dyDescent="0.4">
      <c r="A200" s="69">
        <v>197</v>
      </c>
      <c r="B200" s="66">
        <v>2485.4</v>
      </c>
      <c r="C200" s="66">
        <v>12.616243654822336</v>
      </c>
      <c r="D200" s="71">
        <v>1.7563451776649746</v>
      </c>
      <c r="E200" s="67">
        <v>0.48223350253807107</v>
      </c>
      <c r="F200" s="67">
        <v>0.23857868020304568</v>
      </c>
      <c r="G200" s="67">
        <v>0.33889919604205321</v>
      </c>
      <c r="H200" s="67">
        <v>0.15089672232529375</v>
      </c>
      <c r="I200" s="68">
        <v>9216.7883211678836</v>
      </c>
      <c r="J200" s="68">
        <v>-8060.6557377049185</v>
      </c>
      <c r="K200" s="67">
        <v>8.6294416243654817E-2</v>
      </c>
      <c r="L200" s="67">
        <v>0.16751269035532995</v>
      </c>
      <c r="M200" s="67">
        <v>0.30117501546072972</v>
      </c>
      <c r="N200" s="67">
        <v>0.21830550401978974</v>
      </c>
      <c r="O200" s="67">
        <v>0.58110882956878851</v>
      </c>
      <c r="P200" s="67">
        <v>0.5127478753541076</v>
      </c>
      <c r="Q200" s="67">
        <v>0.41970802919708028</v>
      </c>
    </row>
    <row r="201" spans="1:17" x14ac:dyDescent="0.4">
      <c r="A201" s="69">
        <v>198</v>
      </c>
      <c r="B201" s="66">
        <v>2519.9</v>
      </c>
      <c r="C201" s="66">
        <v>12.726767676767677</v>
      </c>
      <c r="D201" s="71">
        <v>1.7525252525252526</v>
      </c>
      <c r="E201" s="67">
        <v>0.48484848484848486</v>
      </c>
      <c r="F201" s="67">
        <v>0.23737373737373738</v>
      </c>
      <c r="G201" s="67">
        <v>0.33969230769230768</v>
      </c>
      <c r="H201" s="67">
        <v>0.15076923076923077</v>
      </c>
      <c r="I201" s="68">
        <v>9200.36231884058</v>
      </c>
      <c r="J201" s="68">
        <v>-8076.7346938775509</v>
      </c>
      <c r="K201" s="67">
        <v>8.5858585858585856E-2</v>
      </c>
      <c r="L201" s="67">
        <v>0.16666666666666666</v>
      </c>
      <c r="M201" s="67">
        <v>0.3009230769230769</v>
      </c>
      <c r="N201" s="67">
        <v>0.21907692307692309</v>
      </c>
      <c r="O201" s="67">
        <v>0.58077709611451944</v>
      </c>
      <c r="P201" s="67">
        <v>0.5168539325842697</v>
      </c>
      <c r="Q201" s="67">
        <v>0.41847826086956524</v>
      </c>
    </row>
    <row r="202" spans="1:17" x14ac:dyDescent="0.4">
      <c r="A202" s="69">
        <v>199</v>
      </c>
      <c r="B202" s="66">
        <v>2503.3000000000002</v>
      </c>
      <c r="C202" s="66">
        <v>12.579396984924625</v>
      </c>
      <c r="D202" s="71">
        <v>1.7537688442211055</v>
      </c>
      <c r="E202" s="67">
        <v>0.48241206030150752</v>
      </c>
      <c r="F202" s="67">
        <v>0.23618090452261306</v>
      </c>
      <c r="G202" s="67">
        <v>0.33844267320662169</v>
      </c>
      <c r="H202" s="67">
        <v>0.15082771305947271</v>
      </c>
      <c r="I202" s="68">
        <v>9200.36231884058</v>
      </c>
      <c r="J202" s="68">
        <v>-8091.0569105691056</v>
      </c>
      <c r="K202" s="67">
        <v>8.5427135678391955E-2</v>
      </c>
      <c r="L202" s="67">
        <v>0.16582914572864321</v>
      </c>
      <c r="M202" s="67">
        <v>0.30042918454935624</v>
      </c>
      <c r="N202" s="67">
        <v>0.21888412017167383</v>
      </c>
      <c r="O202" s="67">
        <v>0.57959183673469383</v>
      </c>
      <c r="P202" s="67">
        <v>0.51540616246498594</v>
      </c>
      <c r="Q202" s="67">
        <v>0.41847826086956524</v>
      </c>
    </row>
    <row r="203" spans="1:17" x14ac:dyDescent="0.4">
      <c r="A203" s="69">
        <v>200</v>
      </c>
      <c r="B203" s="66">
        <v>2466.9</v>
      </c>
      <c r="C203" s="66">
        <v>12.3345</v>
      </c>
      <c r="D203" s="71">
        <v>1.76</v>
      </c>
      <c r="E203" s="67">
        <v>0.48</v>
      </c>
      <c r="F203" s="67">
        <v>0.24</v>
      </c>
      <c r="G203" s="67">
        <v>0.33759902498476541</v>
      </c>
      <c r="H203" s="67">
        <v>0.15112736136502133</v>
      </c>
      <c r="I203" s="68">
        <v>9186.6425992779787</v>
      </c>
      <c r="J203" s="68">
        <v>-8100.8064516129034</v>
      </c>
      <c r="K203" s="67">
        <v>8.5000000000000006E-2</v>
      </c>
      <c r="L203" s="67">
        <v>0.16500000000000001</v>
      </c>
      <c r="M203" s="67">
        <v>0.30103595368677638</v>
      </c>
      <c r="N203" s="67">
        <v>0.21937842778793418</v>
      </c>
      <c r="O203" s="67">
        <v>0.57894736842105265</v>
      </c>
      <c r="P203" s="67">
        <v>0.51111111111111107</v>
      </c>
      <c r="Q203" s="67">
        <v>0.41877256317689532</v>
      </c>
    </row>
    <row r="204" spans="1:17" x14ac:dyDescent="0.4">
      <c r="A204" s="69">
        <v>201</v>
      </c>
      <c r="B204" s="66">
        <v>2528.5</v>
      </c>
      <c r="C204" s="66">
        <v>12.579601990049751</v>
      </c>
      <c r="D204" s="71">
        <v>1.7562189054726369</v>
      </c>
      <c r="E204" s="67">
        <v>0.48258706467661694</v>
      </c>
      <c r="F204" s="67">
        <v>0.23880597014925373</v>
      </c>
      <c r="G204" s="67">
        <v>0.33818181818181819</v>
      </c>
      <c r="H204" s="67">
        <v>0.1503030303030303</v>
      </c>
      <c r="I204" s="68">
        <v>9182.2580645161288</v>
      </c>
      <c r="J204" s="68">
        <v>-8100.8064516129034</v>
      </c>
      <c r="K204" s="67">
        <v>8.45771144278607E-2</v>
      </c>
      <c r="L204" s="67">
        <v>0.16417910447761194</v>
      </c>
      <c r="M204" s="67">
        <v>0.30242424242424243</v>
      </c>
      <c r="N204" s="67">
        <v>0.21939393939393939</v>
      </c>
      <c r="O204" s="67">
        <v>0.58116232464929862</v>
      </c>
      <c r="P204" s="67">
        <v>0.50828729281767959</v>
      </c>
      <c r="Q204" s="67">
        <v>0.41935483870967744</v>
      </c>
    </row>
    <row r="205" spans="1:17" x14ac:dyDescent="0.4">
      <c r="A205" s="69">
        <v>202</v>
      </c>
      <c r="B205" s="66">
        <v>2521.3000000000002</v>
      </c>
      <c r="C205" s="66">
        <v>12.481683168316833</v>
      </c>
      <c r="D205" s="71">
        <v>1.7574257425742574</v>
      </c>
      <c r="E205" s="67">
        <v>0.48019801980198018</v>
      </c>
      <c r="F205" s="67">
        <v>0.23762376237623761</v>
      </c>
      <c r="G205" s="67">
        <v>0.33796016898008446</v>
      </c>
      <c r="H205" s="67">
        <v>0.14966807483403741</v>
      </c>
      <c r="I205" s="68">
        <v>9167.5</v>
      </c>
      <c r="J205" s="68">
        <v>-8100.8064516129034</v>
      </c>
      <c r="K205" s="67">
        <v>8.4158415841584164E-2</v>
      </c>
      <c r="L205" s="67">
        <v>0.16336633663366337</v>
      </c>
      <c r="M205" s="67">
        <v>0.30235365117682561</v>
      </c>
      <c r="N205" s="67">
        <v>0.21907060953530477</v>
      </c>
      <c r="O205" s="67">
        <v>0.58083832335329344</v>
      </c>
      <c r="P205" s="67">
        <v>0.50688705234159781</v>
      </c>
      <c r="Q205" s="67">
        <v>0.42142857142857143</v>
      </c>
    </row>
    <row r="206" spans="1:17" x14ac:dyDescent="0.4">
      <c r="A206" s="69">
        <v>203</v>
      </c>
      <c r="B206" s="66">
        <v>2568.6000000000004</v>
      </c>
      <c r="C206" s="66">
        <v>12.653201970443352</v>
      </c>
      <c r="D206" s="71">
        <v>1.7536945812807883</v>
      </c>
      <c r="E206" s="67">
        <v>0.48275862068965519</v>
      </c>
      <c r="F206" s="67">
        <v>0.23645320197044334</v>
      </c>
      <c r="G206" s="67">
        <v>0.33814681107099881</v>
      </c>
      <c r="H206" s="67">
        <v>0.14981949458483754</v>
      </c>
      <c r="I206" s="68">
        <v>9202.1352313167263</v>
      </c>
      <c r="J206" s="68">
        <v>-8116.4658634538155</v>
      </c>
      <c r="K206" s="67">
        <v>8.3743842364532015E-2</v>
      </c>
      <c r="L206" s="67">
        <v>0.16748768472906403</v>
      </c>
      <c r="M206" s="67">
        <v>0.30144404332129965</v>
      </c>
      <c r="N206" s="67">
        <v>0.21961492178098677</v>
      </c>
      <c r="O206" s="67">
        <v>0.58083832335329344</v>
      </c>
      <c r="P206" s="67">
        <v>0.50684931506849318</v>
      </c>
      <c r="Q206" s="67">
        <v>0.41992882562277578</v>
      </c>
    </row>
    <row r="207" spans="1:17" x14ac:dyDescent="0.4">
      <c r="A207" s="69">
        <v>204</v>
      </c>
      <c r="B207" s="66">
        <v>2629.6000000000004</v>
      </c>
      <c r="C207" s="66">
        <v>12.890196078431375</v>
      </c>
      <c r="D207" s="71">
        <v>1.75</v>
      </c>
      <c r="E207" s="67">
        <v>0.48529411764705882</v>
      </c>
      <c r="F207" s="67">
        <v>0.23529411764705882</v>
      </c>
      <c r="G207" s="67">
        <v>0.33950986252241483</v>
      </c>
      <c r="H207" s="67">
        <v>0.15002988643156007</v>
      </c>
      <c r="I207" s="68">
        <v>9216.7253521126768</v>
      </c>
      <c r="J207" s="68">
        <v>-8120.3187250996016</v>
      </c>
      <c r="K207" s="67">
        <v>8.3333333333333329E-2</v>
      </c>
      <c r="L207" s="67">
        <v>0.16666666666666666</v>
      </c>
      <c r="M207" s="67">
        <v>0.3030484160191273</v>
      </c>
      <c r="N207" s="67">
        <v>0.22056186491332935</v>
      </c>
      <c r="O207" s="67">
        <v>0.5818540433925049</v>
      </c>
      <c r="P207" s="67">
        <v>0.50677506775067749</v>
      </c>
      <c r="Q207" s="67">
        <v>0.41725352112676056</v>
      </c>
    </row>
    <row r="208" spans="1:17" x14ac:dyDescent="0.4">
      <c r="A208" s="69">
        <v>205</v>
      </c>
      <c r="B208" s="66">
        <v>2674.5000000000005</v>
      </c>
      <c r="C208" s="66">
        <v>13.046341463414636</v>
      </c>
      <c r="D208" s="71">
        <v>1.7463414634146341</v>
      </c>
      <c r="E208" s="67">
        <v>0.48780487804878048</v>
      </c>
      <c r="F208" s="67">
        <v>0.23414634146341465</v>
      </c>
      <c r="G208" s="67">
        <v>0.33988095238095239</v>
      </c>
      <c r="H208" s="67">
        <v>0.15</v>
      </c>
      <c r="I208" s="68">
        <v>9217.1628721541165</v>
      </c>
      <c r="J208" s="68">
        <v>-8108.730158730159</v>
      </c>
      <c r="K208" s="67">
        <v>8.2926829268292687E-2</v>
      </c>
      <c r="L208" s="67">
        <v>0.17073170731707318</v>
      </c>
      <c r="M208" s="67">
        <v>0.30476190476190479</v>
      </c>
      <c r="N208" s="67">
        <v>0.21964285714285714</v>
      </c>
      <c r="O208" s="67">
        <v>0.58203125</v>
      </c>
      <c r="P208" s="67">
        <v>0.50677506775067749</v>
      </c>
      <c r="Q208" s="67">
        <v>0.41856392294220668</v>
      </c>
    </row>
    <row r="209" spans="1:17" x14ac:dyDescent="0.4">
      <c r="A209" s="69">
        <v>206</v>
      </c>
      <c r="B209" s="66">
        <v>2726.5000000000005</v>
      </c>
      <c r="C209" s="66">
        <v>13.235436893203886</v>
      </c>
      <c r="D209" s="71">
        <v>1.7427184466019416</v>
      </c>
      <c r="E209" s="67">
        <v>0.49029126213592233</v>
      </c>
      <c r="F209" s="67">
        <v>0.23300970873786409</v>
      </c>
      <c r="G209" s="67">
        <v>0.34104389086595494</v>
      </c>
      <c r="H209" s="67">
        <v>0.1494661921708185</v>
      </c>
      <c r="I209" s="68">
        <v>9215.652173913044</v>
      </c>
      <c r="J209" s="68">
        <v>-8108.730158730159</v>
      </c>
      <c r="K209" s="67">
        <v>8.2524271844660199E-2</v>
      </c>
      <c r="L209" s="67">
        <v>0.17475728155339806</v>
      </c>
      <c r="M209" s="67">
        <v>0.30545670225385529</v>
      </c>
      <c r="N209" s="67">
        <v>0.22004744958481615</v>
      </c>
      <c r="O209" s="67">
        <v>0.58446601941747578</v>
      </c>
      <c r="P209" s="67">
        <v>0.50673854447439348</v>
      </c>
      <c r="Q209" s="67">
        <v>0.4191304347826087</v>
      </c>
    </row>
    <row r="210" spans="1:17" x14ac:dyDescent="0.4">
      <c r="A210" s="69">
        <v>207</v>
      </c>
      <c r="B210" s="66">
        <v>2661.5000000000005</v>
      </c>
      <c r="C210" s="66">
        <v>12.857487922705316</v>
      </c>
      <c r="D210" s="71">
        <v>1.748792270531401</v>
      </c>
      <c r="E210" s="67">
        <v>0.48792270531400966</v>
      </c>
      <c r="F210" s="67">
        <v>0.23671497584541062</v>
      </c>
      <c r="G210" s="67">
        <v>0.34063981042654029</v>
      </c>
      <c r="H210" s="67">
        <v>0.1504739336492891</v>
      </c>
      <c r="I210" s="68">
        <v>9215.652173913044</v>
      </c>
      <c r="J210" s="68">
        <v>-8210.2362204724413</v>
      </c>
      <c r="K210" s="67">
        <v>8.6956521739130432E-2</v>
      </c>
      <c r="L210" s="67">
        <v>0.17391304347826086</v>
      </c>
      <c r="M210" s="67">
        <v>0.30627962085308058</v>
      </c>
      <c r="N210" s="67">
        <v>0.21978672985781991</v>
      </c>
      <c r="O210" s="67">
        <v>0.58220502901353965</v>
      </c>
      <c r="P210" s="67">
        <v>0.50673854447439348</v>
      </c>
      <c r="Q210" s="67">
        <v>0.4191304347826087</v>
      </c>
    </row>
    <row r="211" spans="1:17" x14ac:dyDescent="0.4">
      <c r="A211" s="69">
        <v>208</v>
      </c>
      <c r="B211" s="66">
        <v>2614.7000000000003</v>
      </c>
      <c r="C211" s="66">
        <v>12.570673076923079</v>
      </c>
      <c r="D211" s="71">
        <v>1.7548076923076923</v>
      </c>
      <c r="E211" s="67">
        <v>0.48557692307692307</v>
      </c>
      <c r="F211" s="67">
        <v>0.24038461538461539</v>
      </c>
      <c r="G211" s="67">
        <v>0.3400236127508855</v>
      </c>
      <c r="H211" s="67">
        <v>0.1511216056670602</v>
      </c>
      <c r="I211" s="68">
        <v>9227.4305555555547</v>
      </c>
      <c r="J211" s="68">
        <v>-8317.96875</v>
      </c>
      <c r="K211" s="67">
        <v>8.6538461538461536E-2</v>
      </c>
      <c r="L211" s="67">
        <v>0.17307692307692307</v>
      </c>
      <c r="M211" s="67">
        <v>0.30637544273907913</v>
      </c>
      <c r="N211" s="67">
        <v>0.22077922077922077</v>
      </c>
      <c r="O211" s="67">
        <v>0.58188824662813099</v>
      </c>
      <c r="P211" s="67">
        <v>0.50267379679144386</v>
      </c>
      <c r="Q211" s="67">
        <v>0.4201388888888889</v>
      </c>
    </row>
    <row r="212" spans="1:17" x14ac:dyDescent="0.4">
      <c r="A212" s="69">
        <v>209</v>
      </c>
      <c r="B212" s="66">
        <v>2661.7000000000003</v>
      </c>
      <c r="C212" s="66">
        <v>12.735406698564594</v>
      </c>
      <c r="D212" s="71">
        <v>1.7511961722488039</v>
      </c>
      <c r="E212" s="67">
        <v>0.48803827751196172</v>
      </c>
      <c r="F212" s="67">
        <v>0.23923444976076555</v>
      </c>
      <c r="G212" s="67">
        <v>0.34020011771630371</v>
      </c>
      <c r="H212" s="67">
        <v>0.15067686874632136</v>
      </c>
      <c r="I212" s="68">
        <v>9250.8650519031144</v>
      </c>
      <c r="J212" s="68">
        <v>-8317.96875</v>
      </c>
      <c r="K212" s="67">
        <v>8.6124401913875603E-2</v>
      </c>
      <c r="L212" s="67">
        <v>0.17703349282296652</v>
      </c>
      <c r="M212" s="67">
        <v>0.30606238964096527</v>
      </c>
      <c r="N212" s="67">
        <v>0.22071806945261918</v>
      </c>
      <c r="O212" s="67">
        <v>0.58269230769230773</v>
      </c>
      <c r="P212" s="67">
        <v>0.504</v>
      </c>
      <c r="Q212" s="67">
        <v>0.41868512110726641</v>
      </c>
    </row>
    <row r="213" spans="1:17" x14ac:dyDescent="0.4">
      <c r="A213" s="69">
        <v>210</v>
      </c>
      <c r="B213" s="66">
        <v>2614.7000000000003</v>
      </c>
      <c r="C213" s="66">
        <v>12.450952380952382</v>
      </c>
      <c r="D213" s="71">
        <v>1.7571428571428571</v>
      </c>
      <c r="E213" s="67">
        <v>0.48571428571428571</v>
      </c>
      <c r="F213" s="67">
        <v>0.24285714285714285</v>
      </c>
      <c r="G213" s="67">
        <v>0.33939038686987105</v>
      </c>
      <c r="H213" s="67">
        <v>0.15064478311840562</v>
      </c>
      <c r="I213" s="68">
        <v>9241.7962003454231</v>
      </c>
      <c r="J213" s="68">
        <v>-8332.2957198443582</v>
      </c>
      <c r="K213" s="67">
        <v>8.5714285714285715E-2</v>
      </c>
      <c r="L213" s="67">
        <v>0.1761904761904762</v>
      </c>
      <c r="M213" s="67">
        <v>0.30480656506447829</v>
      </c>
      <c r="N213" s="67">
        <v>0.22039859320046892</v>
      </c>
      <c r="O213" s="67">
        <v>0.58269230769230773</v>
      </c>
      <c r="P213" s="67">
        <v>0.50265957446808507</v>
      </c>
      <c r="Q213" s="67">
        <v>0.41968911917098445</v>
      </c>
    </row>
    <row r="214" spans="1:17" x14ac:dyDescent="0.4">
      <c r="A214" s="69">
        <v>211</v>
      </c>
      <c r="B214" s="66">
        <v>2588.4</v>
      </c>
      <c r="C214" s="66">
        <v>12.267298578199053</v>
      </c>
      <c r="D214" s="71">
        <v>1.7630331753554502</v>
      </c>
      <c r="E214" s="67">
        <v>0.48341232227488151</v>
      </c>
      <c r="F214" s="67">
        <v>0.24644549763033174</v>
      </c>
      <c r="G214" s="67">
        <v>0.33779069767441861</v>
      </c>
      <c r="H214" s="67">
        <v>0.15058139534883722</v>
      </c>
      <c r="I214" s="68">
        <v>9261.6179001721175</v>
      </c>
      <c r="J214" s="68">
        <v>-8280.6949806949815</v>
      </c>
      <c r="K214" s="67">
        <v>8.5308056872037921E-2</v>
      </c>
      <c r="L214" s="67">
        <v>0.17535545023696683</v>
      </c>
      <c r="M214" s="67">
        <v>0.30523255813953487</v>
      </c>
      <c r="N214" s="67">
        <v>0.21976744186046512</v>
      </c>
      <c r="O214" s="67">
        <v>0.580952380952381</v>
      </c>
      <c r="P214" s="67">
        <v>0.5</v>
      </c>
      <c r="Q214" s="67">
        <v>0.41996557659208261</v>
      </c>
    </row>
    <row r="215" spans="1:17" x14ac:dyDescent="0.4">
      <c r="A215" s="69">
        <v>212</v>
      </c>
      <c r="B215" s="66">
        <v>2645.9</v>
      </c>
      <c r="C215" s="66">
        <v>12.480660377358491</v>
      </c>
      <c r="D215" s="71">
        <v>1.7594339622641511</v>
      </c>
      <c r="E215" s="67">
        <v>0.48584905660377359</v>
      </c>
      <c r="F215" s="67">
        <v>0.24528301886792453</v>
      </c>
      <c r="G215" s="67">
        <v>0.33815028901734107</v>
      </c>
      <c r="H215" s="67">
        <v>0.15028901734104047</v>
      </c>
      <c r="I215" s="68">
        <v>9266.6666666666661</v>
      </c>
      <c r="J215" s="68">
        <v>-8279.6153846153848</v>
      </c>
      <c r="K215" s="67">
        <v>8.4905660377358486E-2</v>
      </c>
      <c r="L215" s="67">
        <v>0.17452830188679244</v>
      </c>
      <c r="M215" s="67">
        <v>0.30578034682080923</v>
      </c>
      <c r="N215" s="67">
        <v>0.21907514450867052</v>
      </c>
      <c r="O215" s="67">
        <v>0.58412098298676751</v>
      </c>
      <c r="P215" s="67">
        <v>0.49868073878627966</v>
      </c>
      <c r="Q215" s="67">
        <v>0.42222222222222222</v>
      </c>
    </row>
    <row r="216" spans="1:17" x14ac:dyDescent="0.4">
      <c r="A216" s="69">
        <v>213</v>
      </c>
      <c r="B216" s="66">
        <v>2670.7000000000003</v>
      </c>
      <c r="C216" s="66">
        <v>12.53849765258216</v>
      </c>
      <c r="D216" s="71">
        <v>1.755868544600939</v>
      </c>
      <c r="E216" s="67">
        <v>0.48826291079812206</v>
      </c>
      <c r="F216" s="67">
        <v>0.24413145539906103</v>
      </c>
      <c r="G216" s="67">
        <v>0.33870040253018974</v>
      </c>
      <c r="H216" s="67">
        <v>0.14951121334100057</v>
      </c>
      <c r="I216" s="68">
        <v>9249.2359932088293</v>
      </c>
      <c r="J216" s="68">
        <v>-8279.6153846153848</v>
      </c>
      <c r="K216" s="67">
        <v>8.4507042253521125E-2</v>
      </c>
      <c r="L216" s="67">
        <v>0.17370892018779344</v>
      </c>
      <c r="M216" s="67">
        <v>0.30592294422081656</v>
      </c>
      <c r="N216" s="67">
        <v>0.22024151811385853</v>
      </c>
      <c r="O216" s="67">
        <v>0.58270676691729328</v>
      </c>
      <c r="P216" s="67">
        <v>0.50130548302872058</v>
      </c>
      <c r="Q216" s="67">
        <v>0.41935483870967744</v>
      </c>
    </row>
    <row r="217" spans="1:17" x14ac:dyDescent="0.4">
      <c r="A217" s="69">
        <v>214</v>
      </c>
      <c r="B217" s="66">
        <v>2623.6000000000004</v>
      </c>
      <c r="C217" s="66">
        <v>12.259813084112151</v>
      </c>
      <c r="D217" s="71">
        <v>1.7616822429906542</v>
      </c>
      <c r="E217" s="67">
        <v>0.48598130841121495</v>
      </c>
      <c r="F217" s="67">
        <v>0.24766355140186916</v>
      </c>
      <c r="G217" s="67">
        <v>0.33771428571428569</v>
      </c>
      <c r="H217" s="67">
        <v>0.14971428571428572</v>
      </c>
      <c r="I217" s="68">
        <v>9238.0710659898468</v>
      </c>
      <c r="J217" s="68">
        <v>-8308.0152671755732</v>
      </c>
      <c r="K217" s="67">
        <v>8.4112149532710276E-2</v>
      </c>
      <c r="L217" s="67">
        <v>0.17289719626168223</v>
      </c>
      <c r="M217" s="67">
        <v>0.30514285714285716</v>
      </c>
      <c r="N217" s="67">
        <v>0.22</v>
      </c>
      <c r="O217" s="67">
        <v>0.58052434456928836</v>
      </c>
      <c r="P217" s="67">
        <v>0.50389610389610384</v>
      </c>
      <c r="Q217" s="67">
        <v>0.41793570219966159</v>
      </c>
    </row>
    <row r="218" spans="1:17" x14ac:dyDescent="0.4">
      <c r="A218" s="69">
        <v>215</v>
      </c>
      <c r="B218" s="66">
        <v>2676.6000000000004</v>
      </c>
      <c r="C218" s="66">
        <v>12.449302325581398</v>
      </c>
      <c r="D218" s="71">
        <v>1.758139534883721</v>
      </c>
      <c r="E218" s="67">
        <v>0.48837209302325579</v>
      </c>
      <c r="F218" s="67">
        <v>0.24651162790697675</v>
      </c>
      <c r="G218" s="67">
        <v>0.33826879271070615</v>
      </c>
      <c r="H218" s="67">
        <v>0.15034168564920272</v>
      </c>
      <c r="I218" s="68">
        <v>9260.7744107744111</v>
      </c>
      <c r="J218" s="68">
        <v>-8268.560606060606</v>
      </c>
      <c r="K218" s="67">
        <v>8.3720930232558138E-2</v>
      </c>
      <c r="L218" s="67">
        <v>0.17209302325581396</v>
      </c>
      <c r="M218" s="67">
        <v>0.30466970387243736</v>
      </c>
      <c r="N218" s="67">
        <v>0.2203872437357631</v>
      </c>
      <c r="O218" s="67">
        <v>0.58130841121495325</v>
      </c>
      <c r="P218" s="67">
        <v>0.50129198966408273</v>
      </c>
      <c r="Q218" s="67">
        <v>0.41919191919191917</v>
      </c>
    </row>
    <row r="219" spans="1:17" x14ac:dyDescent="0.4">
      <c r="A219" s="69">
        <v>216</v>
      </c>
      <c r="B219" s="66">
        <v>2671.2000000000003</v>
      </c>
      <c r="C219" s="66">
        <v>12.366666666666667</v>
      </c>
      <c r="D219" s="71">
        <v>1.7592592592592593</v>
      </c>
      <c r="E219" s="67">
        <v>0.4861111111111111</v>
      </c>
      <c r="F219" s="67">
        <v>0.24537037037037038</v>
      </c>
      <c r="G219" s="67">
        <v>0.33806012478729436</v>
      </c>
      <c r="H219" s="67">
        <v>0.15087918321043675</v>
      </c>
      <c r="I219" s="68">
        <v>9246.9798657718129</v>
      </c>
      <c r="J219" s="68">
        <v>-8242.8571428571431</v>
      </c>
      <c r="K219" s="67">
        <v>8.3333333333333329E-2</v>
      </c>
      <c r="L219" s="67">
        <v>0.17129629629629631</v>
      </c>
      <c r="M219" s="67">
        <v>0.30459444129325014</v>
      </c>
      <c r="N219" s="67">
        <v>0.21951219512195122</v>
      </c>
      <c r="O219" s="67">
        <v>0.58286778398510242</v>
      </c>
      <c r="P219" s="67">
        <v>0.50129198966408273</v>
      </c>
      <c r="Q219" s="67">
        <v>0.41946308724832215</v>
      </c>
    </row>
    <row r="220" spans="1:17" x14ac:dyDescent="0.4">
      <c r="A220" s="69">
        <v>217</v>
      </c>
      <c r="B220" s="66">
        <v>2672.1000000000004</v>
      </c>
      <c r="C220" s="66">
        <v>12.313824884792629</v>
      </c>
      <c r="D220" s="71">
        <v>1.76036866359447</v>
      </c>
      <c r="E220" s="67">
        <v>0.4838709677419355</v>
      </c>
      <c r="F220" s="67">
        <v>0.24423963133640553</v>
      </c>
      <c r="G220" s="67">
        <v>0.33709131905298761</v>
      </c>
      <c r="H220" s="67">
        <v>0.15050732807215333</v>
      </c>
      <c r="I220" s="68">
        <v>9251.0033444816054</v>
      </c>
      <c r="J220" s="68">
        <v>-8219.4756554307114</v>
      </c>
      <c r="K220" s="67">
        <v>8.294930875576037E-2</v>
      </c>
      <c r="L220" s="67">
        <v>0.17050691244239632</v>
      </c>
      <c r="M220" s="67">
        <v>0.30270574971815106</v>
      </c>
      <c r="N220" s="67">
        <v>0.21871476888387825</v>
      </c>
      <c r="O220" s="67">
        <v>0.58286778398510242</v>
      </c>
      <c r="P220" s="67">
        <v>0.50257731958762886</v>
      </c>
      <c r="Q220" s="67">
        <v>0.41806020066889632</v>
      </c>
    </row>
    <row r="221" spans="1:17" x14ac:dyDescent="0.4">
      <c r="A221" s="69">
        <v>218</v>
      </c>
      <c r="B221" s="66">
        <v>2684.2000000000003</v>
      </c>
      <c r="C221" s="66">
        <v>12.31284403669725</v>
      </c>
      <c r="D221" s="71">
        <v>1.761467889908257</v>
      </c>
      <c r="E221" s="67">
        <v>0.48165137614678899</v>
      </c>
      <c r="F221" s="67">
        <v>0.24311926605504589</v>
      </c>
      <c r="G221" s="67">
        <v>0.33670033670033672</v>
      </c>
      <c r="H221" s="67">
        <v>0.14983164983164984</v>
      </c>
      <c r="I221" s="68">
        <v>9236.1666666666661</v>
      </c>
      <c r="J221" s="68">
        <v>-8219.4756554307114</v>
      </c>
      <c r="K221" s="67">
        <v>8.2568807339449546E-2</v>
      </c>
      <c r="L221" s="67">
        <v>0.16972477064220184</v>
      </c>
      <c r="M221" s="67">
        <v>0.30190796857463525</v>
      </c>
      <c r="N221" s="67">
        <v>0.21885521885521886</v>
      </c>
      <c r="O221" s="67">
        <v>0.58364312267657992</v>
      </c>
      <c r="P221" s="67">
        <v>0.5</v>
      </c>
      <c r="Q221" s="67">
        <v>0.41666666666666669</v>
      </c>
    </row>
    <row r="222" spans="1:17" x14ac:dyDescent="0.4">
      <c r="A222" s="69">
        <v>219</v>
      </c>
      <c r="B222" s="66">
        <v>2746.9</v>
      </c>
      <c r="C222" s="66">
        <v>12.542922374429224</v>
      </c>
      <c r="D222" s="71">
        <v>1.7579908675799087</v>
      </c>
      <c r="E222" s="67">
        <v>0.48401826484018262</v>
      </c>
      <c r="F222" s="67">
        <v>0.24200913242009131</v>
      </c>
      <c r="G222" s="67">
        <v>0.33742331288343558</v>
      </c>
      <c r="H222" s="67">
        <v>0.14947016174010039</v>
      </c>
      <c r="I222" s="68">
        <v>9240.6611570247933</v>
      </c>
      <c r="J222" s="68">
        <v>-8208.2089552238813</v>
      </c>
      <c r="K222" s="67">
        <v>8.2191780821917804E-2</v>
      </c>
      <c r="L222" s="67">
        <v>0.16894977168949771</v>
      </c>
      <c r="M222" s="67">
        <v>0.30228667038482987</v>
      </c>
      <c r="N222" s="67">
        <v>0.21862799776910205</v>
      </c>
      <c r="O222" s="67">
        <v>0.58487084870848705</v>
      </c>
      <c r="P222" s="67">
        <v>0.5</v>
      </c>
      <c r="Q222" s="67">
        <v>0.41818181818181815</v>
      </c>
    </row>
  </sheetData>
  <phoneticPr fontId="1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B47C5-46C5-45F4-ADFC-54EACD7C8B2C}">
  <sheetPr codeName="Sheet6"/>
  <dimension ref="A1:Q34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  <row r="242" spans="1:17" x14ac:dyDescent="0.4">
      <c r="A242" s="69">
        <v>239</v>
      </c>
      <c r="B242" s="66">
        <v>0</v>
      </c>
      <c r="C242" s="66">
        <v>0</v>
      </c>
      <c r="D242" s="71">
        <v>2</v>
      </c>
      <c r="E242" s="67">
        <v>0.33333333333333331</v>
      </c>
      <c r="F242" s="67">
        <v>0.33333333333333331</v>
      </c>
      <c r="G242" s="67">
        <v>0.29901222166415536</v>
      </c>
      <c r="H242" s="67">
        <v>0.16775489703666499</v>
      </c>
      <c r="I242" s="68">
        <v>8698.4882418812995</v>
      </c>
      <c r="J242" s="68">
        <v>-8235.5289421157686</v>
      </c>
      <c r="K242" s="67">
        <v>0.12133891213389121</v>
      </c>
      <c r="L242" s="67">
        <v>0.12133891213389121</v>
      </c>
      <c r="M242" s="67">
        <v>0.27758245437803447</v>
      </c>
      <c r="N242" s="67">
        <v>0.20860539092583291</v>
      </c>
      <c r="O242" s="67">
        <v>0.58021712907117007</v>
      </c>
      <c r="P242" s="67">
        <v>0.39325842696629215</v>
      </c>
      <c r="Q242" s="67">
        <v>0.43225083986562152</v>
      </c>
    </row>
    <row r="243" spans="1:17" x14ac:dyDescent="0.4">
      <c r="A243" s="69">
        <v>240</v>
      </c>
      <c r="B243" s="66">
        <v>0</v>
      </c>
      <c r="C243" s="66">
        <v>0</v>
      </c>
      <c r="D243" s="71">
        <v>2</v>
      </c>
      <c r="E243" s="67">
        <v>0.33333333333333331</v>
      </c>
      <c r="F243" s="67">
        <v>0.33333333333333331</v>
      </c>
      <c r="G243" s="67">
        <v>0.29906385824139081</v>
      </c>
      <c r="H243" s="67">
        <v>0.16783684386492811</v>
      </c>
      <c r="I243" s="68">
        <v>8717.4399105645607</v>
      </c>
      <c r="J243" s="68">
        <v>-8254.9800796812742</v>
      </c>
      <c r="K243" s="67">
        <v>0.12222222222222222</v>
      </c>
      <c r="L243" s="67">
        <v>0.12222222222222222</v>
      </c>
      <c r="M243" s="67">
        <v>0.27766633233032428</v>
      </c>
      <c r="N243" s="67">
        <v>0.2087930458040789</v>
      </c>
      <c r="O243" s="67">
        <v>0.5809753160746538</v>
      </c>
      <c r="P243" s="67">
        <v>0.3923138510808647</v>
      </c>
      <c r="Q243" s="67">
        <v>0.43208496366685301</v>
      </c>
    </row>
    <row r="244" spans="1:17" x14ac:dyDescent="0.4">
      <c r="A244" s="69">
        <v>241</v>
      </c>
      <c r="B244" s="66">
        <v>4.4408920985006262E-15</v>
      </c>
      <c r="C244" s="66">
        <v>6.14231272268413E-18</v>
      </c>
      <c r="D244" s="71">
        <v>2</v>
      </c>
      <c r="E244" s="67">
        <v>0.33333333333333331</v>
      </c>
      <c r="F244" s="67">
        <v>0.33333333333333331</v>
      </c>
      <c r="G244" s="67">
        <v>0.29895366218236175</v>
      </c>
      <c r="H244" s="67">
        <v>0.16724796545424347</v>
      </c>
      <c r="I244" s="68">
        <v>8714.9444444444453</v>
      </c>
      <c r="J244" s="68">
        <v>-8247.4677259185701</v>
      </c>
      <c r="K244" s="67">
        <v>0.12171507607192254</v>
      </c>
      <c r="L244" s="67">
        <v>0.12171507607192254</v>
      </c>
      <c r="M244" s="67">
        <v>0.27736256435808004</v>
      </c>
      <c r="N244" s="67">
        <v>0.20926756352765322</v>
      </c>
      <c r="O244" s="67">
        <v>0.57964071856287425</v>
      </c>
      <c r="P244" s="67">
        <v>0.39523809523809522</v>
      </c>
      <c r="Q244" s="67">
        <v>0.43388888888888888</v>
      </c>
    </row>
    <row r="245" spans="1:17" x14ac:dyDescent="0.4">
      <c r="A245" s="69">
        <v>242</v>
      </c>
      <c r="B245" s="66">
        <v>7.1054273576010019E-15</v>
      </c>
      <c r="C245" s="66">
        <v>9.7870900242438045E-18</v>
      </c>
      <c r="D245" s="71">
        <v>2</v>
      </c>
      <c r="E245" s="67">
        <v>0.33333333333333331</v>
      </c>
      <c r="F245" s="67">
        <v>0.33333333333333331</v>
      </c>
      <c r="G245" s="67">
        <v>0.29875930521091809</v>
      </c>
      <c r="H245" s="67">
        <v>0.16674937965260547</v>
      </c>
      <c r="I245" s="68">
        <v>8717.8294573643416</v>
      </c>
      <c r="J245" s="68">
        <v>-8245.039682539682</v>
      </c>
      <c r="K245" s="67">
        <v>0.12121212121212122</v>
      </c>
      <c r="L245" s="67">
        <v>0.12121212121212122</v>
      </c>
      <c r="M245" s="67">
        <v>0.27791563275434245</v>
      </c>
      <c r="N245" s="67">
        <v>0.20942928039702233</v>
      </c>
      <c r="O245" s="67">
        <v>0.57857142857142863</v>
      </c>
      <c r="P245" s="67">
        <v>0.39415481832543442</v>
      </c>
      <c r="Q245" s="67">
        <v>0.43521594684385384</v>
      </c>
    </row>
    <row r="246" spans="1:17" x14ac:dyDescent="0.4">
      <c r="A246" s="69">
        <v>243</v>
      </c>
      <c r="B246" s="66">
        <v>0</v>
      </c>
      <c r="C246" s="66">
        <v>0</v>
      </c>
      <c r="D246" s="71">
        <v>2</v>
      </c>
      <c r="E246" s="67">
        <v>0.33333333333333331</v>
      </c>
      <c r="F246" s="67">
        <v>0.33333333333333331</v>
      </c>
      <c r="G246" s="67">
        <v>0.29891304347826086</v>
      </c>
      <c r="H246" s="67">
        <v>0.16650197628458499</v>
      </c>
      <c r="I246" s="68">
        <v>8729.8622589531678</v>
      </c>
      <c r="J246" s="68">
        <v>-8258.1602373887235</v>
      </c>
      <c r="K246" s="67">
        <v>0.12208504801097393</v>
      </c>
      <c r="L246" s="67">
        <v>0.12208504801097393</v>
      </c>
      <c r="M246" s="67">
        <v>0.27799736495388672</v>
      </c>
      <c r="N246" s="67">
        <v>0.20965085638998682</v>
      </c>
      <c r="O246" s="67">
        <v>0.5781990521327014</v>
      </c>
      <c r="P246" s="67">
        <v>0.39512961508248234</v>
      </c>
      <c r="Q246" s="67">
        <v>0.43636363636363634</v>
      </c>
    </row>
    <row r="247" spans="1:17" x14ac:dyDescent="0.4">
      <c r="A247" s="69">
        <v>244</v>
      </c>
      <c r="B247" s="66">
        <v>3.5527136788005009E-15</v>
      </c>
      <c r="C247" s="66">
        <v>4.8534339874323783E-18</v>
      </c>
      <c r="D247" s="71">
        <v>2</v>
      </c>
      <c r="E247" s="67">
        <v>0.33333333333333331</v>
      </c>
      <c r="F247" s="67">
        <v>0.33333333333333331</v>
      </c>
      <c r="G247" s="67">
        <v>0.29886755292959133</v>
      </c>
      <c r="H247" s="67">
        <v>0.16674872804858035</v>
      </c>
      <c r="I247" s="68">
        <v>8727.5123558484356</v>
      </c>
      <c r="J247" s="68">
        <v>-8256.9881889763783</v>
      </c>
      <c r="K247" s="67">
        <v>0.12158469945355191</v>
      </c>
      <c r="L247" s="67">
        <v>0.12158469945355191</v>
      </c>
      <c r="M247" s="67">
        <v>0.2776957163958641</v>
      </c>
      <c r="N247" s="67">
        <v>0.21024126046282621</v>
      </c>
      <c r="O247" s="67">
        <v>0.57742316784869974</v>
      </c>
      <c r="P247" s="67">
        <v>0.39500390320062451</v>
      </c>
      <c r="Q247" s="67">
        <v>0.43547501372872049</v>
      </c>
    </row>
    <row r="248" spans="1:17" x14ac:dyDescent="0.4">
      <c r="A248" s="69">
        <v>245</v>
      </c>
      <c r="B248" s="66">
        <v>1.4210854715202004E-14</v>
      </c>
      <c r="C248" s="66">
        <v>1.9334496211159187E-17</v>
      </c>
      <c r="D248" s="71">
        <v>2</v>
      </c>
      <c r="E248" s="67">
        <v>0.33333333333333331</v>
      </c>
      <c r="F248" s="67">
        <v>0.33333333333333331</v>
      </c>
      <c r="G248" s="67">
        <v>0.29865881583251552</v>
      </c>
      <c r="H248" s="67">
        <v>0.16683022571148184</v>
      </c>
      <c r="I248" s="68">
        <v>8732.2562979189479</v>
      </c>
      <c r="J248" s="68">
        <v>-8268.3333333333339</v>
      </c>
      <c r="K248" s="67">
        <v>0.12244897959183673</v>
      </c>
      <c r="L248" s="67">
        <v>0.12244897959183673</v>
      </c>
      <c r="M248" s="67">
        <v>0.2778868171409879</v>
      </c>
      <c r="N248" s="67">
        <v>0.20984625449787372</v>
      </c>
      <c r="O248" s="67">
        <v>0.57680988816951151</v>
      </c>
      <c r="P248" s="67">
        <v>0.39516757599376462</v>
      </c>
      <c r="Q248" s="67">
        <v>0.43483023001095289</v>
      </c>
    </row>
    <row r="249" spans="1:17" x14ac:dyDescent="0.4">
      <c r="A249" s="69">
        <v>246</v>
      </c>
      <c r="B249" s="66">
        <v>1.4210854715202004E-14</v>
      </c>
      <c r="C249" s="66">
        <v>1.9255900698105696E-17</v>
      </c>
      <c r="D249" s="71">
        <v>2</v>
      </c>
      <c r="E249" s="67">
        <v>0.33333333333333331</v>
      </c>
      <c r="F249" s="67">
        <v>0.33333333333333331</v>
      </c>
      <c r="G249" s="67">
        <v>0.29841736009136888</v>
      </c>
      <c r="H249" s="67">
        <v>0.16674824604340022</v>
      </c>
      <c r="I249" s="68">
        <v>8740.8966648441765</v>
      </c>
      <c r="J249" s="68">
        <v>-8275.6360078277885</v>
      </c>
      <c r="K249" s="67">
        <v>0.12330623306233063</v>
      </c>
      <c r="L249" s="67">
        <v>0.12330623306233063</v>
      </c>
      <c r="M249" s="67">
        <v>0.27818567466144556</v>
      </c>
      <c r="N249" s="67">
        <v>0.2094958394517866</v>
      </c>
      <c r="O249" s="67">
        <v>0.57595307917888561</v>
      </c>
      <c r="P249" s="67">
        <v>0.39485981308411217</v>
      </c>
      <c r="Q249" s="67">
        <v>0.43466375068343355</v>
      </c>
    </row>
    <row r="250" spans="1:17" x14ac:dyDescent="0.4">
      <c r="A250" s="69">
        <v>247</v>
      </c>
      <c r="B250" s="66">
        <v>7.1054273576010019E-15</v>
      </c>
      <c r="C250" s="66">
        <v>9.5889707929838078E-18</v>
      </c>
      <c r="D250" s="71">
        <v>2</v>
      </c>
      <c r="E250" s="67">
        <v>0.33333333333333331</v>
      </c>
      <c r="F250" s="67">
        <v>0.33333333333333331</v>
      </c>
      <c r="G250" s="67">
        <v>0.29874979704497484</v>
      </c>
      <c r="H250" s="67">
        <v>0.16674784867673323</v>
      </c>
      <c r="I250" s="68">
        <v>8748.20652173913</v>
      </c>
      <c r="J250" s="68">
        <v>-8279.6494644595914</v>
      </c>
      <c r="K250" s="67">
        <v>0.12415654520917679</v>
      </c>
      <c r="L250" s="67">
        <v>0.12415654520917679</v>
      </c>
      <c r="M250" s="67">
        <v>0.27812956648806625</v>
      </c>
      <c r="N250" s="67">
        <v>0.21042377009254748</v>
      </c>
      <c r="O250" s="67">
        <v>0.57676590776415648</v>
      </c>
      <c r="P250" s="67">
        <v>0.39351851851851855</v>
      </c>
      <c r="Q250" s="67">
        <v>0.43478260869565216</v>
      </c>
    </row>
    <row r="251" spans="1:17" x14ac:dyDescent="0.4">
      <c r="A251" s="69">
        <v>248</v>
      </c>
      <c r="B251" s="66">
        <v>7.1054273576010019E-15</v>
      </c>
      <c r="C251" s="66">
        <v>9.5503055881733904E-18</v>
      </c>
      <c r="D251" s="71">
        <v>2</v>
      </c>
      <c r="E251" s="67">
        <v>0.33333333333333331</v>
      </c>
      <c r="F251" s="67">
        <v>0.33333333333333331</v>
      </c>
      <c r="G251" s="67">
        <v>0.29862792574656982</v>
      </c>
      <c r="H251" s="67">
        <v>0.1665859564164649</v>
      </c>
      <c r="I251" s="68">
        <v>8765.405405405405</v>
      </c>
      <c r="J251" s="68">
        <v>-8306.5891472868225</v>
      </c>
      <c r="K251" s="67">
        <v>0.12365591397849462</v>
      </c>
      <c r="L251" s="67">
        <v>0.12365591397849462</v>
      </c>
      <c r="M251" s="67">
        <v>0.27764326069410816</v>
      </c>
      <c r="N251" s="67">
        <v>0.21081517352703794</v>
      </c>
      <c r="O251" s="67">
        <v>0.57674418604651168</v>
      </c>
      <c r="P251" s="67">
        <v>0.39356814701378257</v>
      </c>
      <c r="Q251" s="67">
        <v>0.43513513513513513</v>
      </c>
    </row>
    <row r="252" spans="1:17" x14ac:dyDescent="0.4">
      <c r="A252" s="69">
        <v>249</v>
      </c>
      <c r="B252" s="66">
        <v>0</v>
      </c>
      <c r="C252" s="66">
        <v>0</v>
      </c>
      <c r="D252" s="71">
        <v>2</v>
      </c>
      <c r="E252" s="67">
        <v>0.33333333333333331</v>
      </c>
      <c r="F252" s="67">
        <v>0.33333333333333331</v>
      </c>
      <c r="G252" s="67">
        <v>0.29869502174963752</v>
      </c>
      <c r="H252" s="67">
        <v>0.16642500402771065</v>
      </c>
      <c r="I252" s="68">
        <v>8781.8770226537217</v>
      </c>
      <c r="J252" s="68">
        <v>-8321.3939980638916</v>
      </c>
      <c r="K252" s="67">
        <v>0.12449799196787148</v>
      </c>
      <c r="L252" s="67">
        <v>0.12449799196787148</v>
      </c>
      <c r="M252" s="67">
        <v>0.277428709521508</v>
      </c>
      <c r="N252" s="67">
        <v>0.2112131464475592</v>
      </c>
      <c r="O252" s="67">
        <v>0.57723577235772361</v>
      </c>
      <c r="P252" s="67">
        <v>0.39359267734553777</v>
      </c>
      <c r="Q252" s="67">
        <v>0.43527508090614886</v>
      </c>
    </row>
    <row r="253" spans="1:17" x14ac:dyDescent="0.4">
      <c r="A253" s="69">
        <v>250</v>
      </c>
      <c r="B253" s="66">
        <v>0</v>
      </c>
      <c r="C253" s="66">
        <v>0</v>
      </c>
      <c r="D253" s="71">
        <v>2</v>
      </c>
      <c r="E253" s="67">
        <v>0.33333333333333331</v>
      </c>
      <c r="F253" s="67">
        <v>0.33333333333333331</v>
      </c>
      <c r="G253" s="67">
        <v>0.2989226563756231</v>
      </c>
      <c r="H253" s="67">
        <v>0.16642547033285093</v>
      </c>
      <c r="I253" s="68">
        <v>8794.6745562130181</v>
      </c>
      <c r="J253" s="68">
        <v>-8351.4009661835753</v>
      </c>
      <c r="K253" s="67">
        <v>0.12533333333333332</v>
      </c>
      <c r="L253" s="67">
        <v>0.12533333333333332</v>
      </c>
      <c r="M253" s="67">
        <v>0.27721498633220776</v>
      </c>
      <c r="N253" s="67">
        <v>0.21144878597845312</v>
      </c>
      <c r="O253" s="67">
        <v>0.57772621809744784</v>
      </c>
      <c r="P253" s="67">
        <v>0.39391634980988594</v>
      </c>
      <c r="Q253" s="67">
        <v>0.43518020441097366</v>
      </c>
    </row>
    <row r="254" spans="1:17" x14ac:dyDescent="0.4">
      <c r="A254" s="69">
        <v>251</v>
      </c>
      <c r="B254" s="66">
        <v>-7.1054273576010019E-15</v>
      </c>
      <c r="C254" s="66">
        <v>-9.4361585094302807E-18</v>
      </c>
      <c r="D254" s="71">
        <v>2</v>
      </c>
      <c r="E254" s="67">
        <v>0.33333333333333331</v>
      </c>
      <c r="F254" s="67">
        <v>0.33333333333333331</v>
      </c>
      <c r="G254" s="67">
        <v>0.29903846153846153</v>
      </c>
      <c r="H254" s="67">
        <v>0.16618589743589743</v>
      </c>
      <c r="I254" s="68">
        <v>8788.9067524115762</v>
      </c>
      <c r="J254" s="68">
        <v>-8342.1407907425273</v>
      </c>
      <c r="K254" s="67">
        <v>0.1248339973439575</v>
      </c>
      <c r="L254" s="67">
        <v>0.1248339973439575</v>
      </c>
      <c r="M254" s="67">
        <v>0.27724358974358976</v>
      </c>
      <c r="N254" s="67">
        <v>0.21105769230769231</v>
      </c>
      <c r="O254" s="67">
        <v>0.5780346820809249</v>
      </c>
      <c r="P254" s="67">
        <v>0.39407744874715261</v>
      </c>
      <c r="Q254" s="67">
        <v>0.4362272240085745</v>
      </c>
    </row>
    <row r="255" spans="1:17" x14ac:dyDescent="0.4">
      <c r="A255" s="69">
        <v>252</v>
      </c>
      <c r="B255" s="66">
        <v>-7.1054273576010019E-15</v>
      </c>
      <c r="C255" s="66">
        <v>-9.3987134359801607E-18</v>
      </c>
      <c r="D255" s="71">
        <v>2</v>
      </c>
      <c r="E255" s="67">
        <v>0.33333333333333331</v>
      </c>
      <c r="F255" s="67">
        <v>0.33333333333333331</v>
      </c>
      <c r="G255" s="67">
        <v>0.29879019420566699</v>
      </c>
      <c r="H255" s="67">
        <v>0.16634829672078955</v>
      </c>
      <c r="I255" s="68">
        <v>8779.5950985615345</v>
      </c>
      <c r="J255" s="68">
        <v>-8327.0813397129186</v>
      </c>
      <c r="K255" s="67">
        <v>0.12433862433862433</v>
      </c>
      <c r="L255" s="67">
        <v>0.12433862433862433</v>
      </c>
      <c r="M255" s="67">
        <v>0.27602674307545366</v>
      </c>
      <c r="N255" s="67">
        <v>0.21155682903533907</v>
      </c>
      <c r="O255" s="67">
        <v>0.57785467128027679</v>
      </c>
      <c r="P255" s="67">
        <v>0.39277652370203159</v>
      </c>
      <c r="Q255" s="67">
        <v>0.43526904635055941</v>
      </c>
    </row>
    <row r="256" spans="1:17" x14ac:dyDescent="0.4">
      <c r="A256" s="69">
        <v>253</v>
      </c>
      <c r="B256" s="66">
        <v>-5.3290705182007514E-15</v>
      </c>
      <c r="C256" s="66">
        <v>-7.0211732782618591E-18</v>
      </c>
      <c r="D256" s="71">
        <v>2</v>
      </c>
      <c r="E256" s="67">
        <v>0.33333333333333331</v>
      </c>
      <c r="F256" s="67">
        <v>0.33333333333333331</v>
      </c>
      <c r="G256" s="67">
        <v>0.29846251386907591</v>
      </c>
      <c r="H256" s="67">
        <v>0.16595339990489777</v>
      </c>
      <c r="I256" s="68">
        <v>8776.2612851832182</v>
      </c>
      <c r="J256" s="68">
        <v>-8325.1193887297031</v>
      </c>
      <c r="K256" s="67">
        <v>0.12384716732542819</v>
      </c>
      <c r="L256" s="67">
        <v>0.12384716732542819</v>
      </c>
      <c r="M256" s="67">
        <v>0.2756379774924711</v>
      </c>
      <c r="N256" s="67">
        <v>0.21191948010778253</v>
      </c>
      <c r="O256" s="67">
        <v>0.57676825761932149</v>
      </c>
      <c r="P256" s="67">
        <v>0.39267015706806285</v>
      </c>
      <c r="Q256" s="67">
        <v>0.43600637280934679</v>
      </c>
    </row>
    <row r="257" spans="1:17" x14ac:dyDescent="0.4">
      <c r="A257" s="69">
        <v>254</v>
      </c>
      <c r="B257" s="66">
        <v>-1.3322676295501878E-15</v>
      </c>
      <c r="C257" s="66">
        <v>-1.7483827159451284E-18</v>
      </c>
      <c r="D257" s="71">
        <v>2</v>
      </c>
      <c r="E257" s="67">
        <v>0.33333333333333331</v>
      </c>
      <c r="F257" s="67">
        <v>0.33333333333333331</v>
      </c>
      <c r="G257" s="67">
        <v>0.29857819905213268</v>
      </c>
      <c r="H257" s="67">
        <v>0.1660347551342812</v>
      </c>
      <c r="I257" s="68">
        <v>8767.3015873015866</v>
      </c>
      <c r="J257" s="68">
        <v>-8319.4100856327314</v>
      </c>
      <c r="K257" s="67">
        <v>0.12335958005249344</v>
      </c>
      <c r="L257" s="67">
        <v>0.12335958005249344</v>
      </c>
      <c r="M257" s="67">
        <v>0.27582938388625594</v>
      </c>
      <c r="N257" s="67">
        <v>0.21169036334913113</v>
      </c>
      <c r="O257" s="67">
        <v>0.57617411225658643</v>
      </c>
      <c r="P257" s="67">
        <v>0.39253731343283582</v>
      </c>
      <c r="Q257" s="67">
        <v>0.43597883597883597</v>
      </c>
    </row>
    <row r="258" spans="1:17" x14ac:dyDescent="0.4">
      <c r="A258" s="69">
        <v>255</v>
      </c>
      <c r="B258" s="66">
        <v>-1.3322676295501878E-15</v>
      </c>
      <c r="C258" s="66">
        <v>-1.7415263131375004E-18</v>
      </c>
      <c r="D258" s="71">
        <v>2</v>
      </c>
      <c r="E258" s="67">
        <v>0.33333333333333331</v>
      </c>
      <c r="F258" s="67">
        <v>0.33333333333333331</v>
      </c>
      <c r="G258" s="67">
        <v>0.29860128870029862</v>
      </c>
      <c r="H258" s="67">
        <v>0.16611661166116612</v>
      </c>
      <c r="I258" s="68">
        <v>8774.6315789473683</v>
      </c>
      <c r="J258" s="68">
        <v>-8336.3292336802278</v>
      </c>
      <c r="K258" s="67">
        <v>0.12418300653594772</v>
      </c>
      <c r="L258" s="67">
        <v>0.12418300653594772</v>
      </c>
      <c r="M258" s="67">
        <v>0.27644192990727645</v>
      </c>
      <c r="N258" s="67">
        <v>0.21169259783121169</v>
      </c>
      <c r="O258" s="67">
        <v>0.5764638999431495</v>
      </c>
      <c r="P258" s="67">
        <v>0.39198218262806234</v>
      </c>
      <c r="Q258" s="67">
        <v>0.43526315789473685</v>
      </c>
    </row>
    <row r="259" spans="1:17" x14ac:dyDescent="0.4">
      <c r="A259" s="69">
        <v>256</v>
      </c>
      <c r="B259" s="66">
        <v>-1.7763568394002505E-15</v>
      </c>
      <c r="C259" s="66">
        <v>-2.3129646346357427E-18</v>
      </c>
      <c r="D259" s="71">
        <v>2</v>
      </c>
      <c r="E259" s="67">
        <v>0.33333333333333331</v>
      </c>
      <c r="F259" s="67">
        <v>0.33333333333333331</v>
      </c>
      <c r="G259" s="67">
        <v>0.29845143125293289</v>
      </c>
      <c r="H259" s="67">
        <v>0.16643203503832316</v>
      </c>
      <c r="I259" s="68">
        <v>8764.255765199161</v>
      </c>
      <c r="J259" s="68">
        <v>-8317.5751879699255</v>
      </c>
      <c r="K259" s="67">
        <v>0.12369791666666667</v>
      </c>
      <c r="L259" s="67">
        <v>0.12369791666666667</v>
      </c>
      <c r="M259" s="67">
        <v>0.27592679493195682</v>
      </c>
      <c r="N259" s="67">
        <v>0.21195057093696229</v>
      </c>
      <c r="O259" s="67">
        <v>0.57596371882086173</v>
      </c>
      <c r="P259" s="67">
        <v>0.39335793357933579</v>
      </c>
      <c r="Q259" s="67">
        <v>0.43396226415094341</v>
      </c>
    </row>
    <row r="260" spans="1:17" x14ac:dyDescent="0.4">
      <c r="A260" s="69">
        <v>257</v>
      </c>
      <c r="B260" s="66">
        <v>0</v>
      </c>
      <c r="C260" s="66">
        <v>0</v>
      </c>
      <c r="D260" s="71">
        <v>2</v>
      </c>
      <c r="E260" s="67">
        <v>0.33333333333333331</v>
      </c>
      <c r="F260" s="67">
        <v>0.33333333333333331</v>
      </c>
      <c r="G260" s="67">
        <v>0.29842605578930964</v>
      </c>
      <c r="H260" s="67">
        <v>0.16674458469689887</v>
      </c>
      <c r="I260" s="68">
        <v>8764.2297650130549</v>
      </c>
      <c r="J260" s="68">
        <v>-8322.6168224299072</v>
      </c>
      <c r="K260" s="67">
        <v>0.1245136186770428</v>
      </c>
      <c r="L260" s="67">
        <v>0.1245136186770428</v>
      </c>
      <c r="M260" s="67">
        <v>0.27551815490104409</v>
      </c>
      <c r="N260" s="67">
        <v>0.21209287829203677</v>
      </c>
      <c r="O260" s="67">
        <v>0.57579185520361986</v>
      </c>
      <c r="P260" s="67">
        <v>0.39382806759735489</v>
      </c>
      <c r="Q260" s="67">
        <v>0.43289817232375977</v>
      </c>
    </row>
    <row r="261" spans="1:17" x14ac:dyDescent="0.4">
      <c r="A261" s="69">
        <v>258</v>
      </c>
      <c r="B261" s="66">
        <v>7.1054273576010019E-15</v>
      </c>
      <c r="C261" s="66">
        <v>9.1801387049108555E-18</v>
      </c>
      <c r="D261" s="71">
        <v>2</v>
      </c>
      <c r="E261" s="67">
        <v>0.33333333333333331</v>
      </c>
      <c r="F261" s="67">
        <v>0.33333333333333331</v>
      </c>
      <c r="G261" s="67">
        <v>0.2984171322160149</v>
      </c>
      <c r="H261" s="67">
        <v>0.1669770328988206</v>
      </c>
      <c r="I261" s="68">
        <v>8748.4659386375461</v>
      </c>
      <c r="J261" s="68">
        <v>-8298.3271375464683</v>
      </c>
      <c r="K261" s="67">
        <v>0.12403100775193798</v>
      </c>
      <c r="L261" s="67">
        <v>0.12403100775193798</v>
      </c>
      <c r="M261" s="67">
        <v>0.27529484792054626</v>
      </c>
      <c r="N261" s="67">
        <v>0.21229050279329609</v>
      </c>
      <c r="O261" s="67">
        <v>0.57609921082299886</v>
      </c>
      <c r="P261" s="67">
        <v>0.39327485380116961</v>
      </c>
      <c r="Q261" s="67">
        <v>0.43213728549141966</v>
      </c>
    </row>
    <row r="262" spans="1:17" x14ac:dyDescent="0.4">
      <c r="A262" s="69">
        <v>259</v>
      </c>
      <c r="B262" s="66">
        <v>7.1054273576010019E-15</v>
      </c>
      <c r="C262" s="66">
        <v>9.144694153926643E-18</v>
      </c>
      <c r="D262" s="71">
        <v>2</v>
      </c>
      <c r="E262" s="67">
        <v>0.33333333333333331</v>
      </c>
      <c r="F262" s="67">
        <v>0.33333333333333331</v>
      </c>
      <c r="G262" s="67">
        <v>0.29828624363131079</v>
      </c>
      <c r="H262" s="67">
        <v>0.16705264783078586</v>
      </c>
      <c r="I262" s="68">
        <v>8735.9213250517605</v>
      </c>
      <c r="J262" s="68">
        <v>-8274.9537892791122</v>
      </c>
      <c r="K262" s="67">
        <v>0.12355212355212356</v>
      </c>
      <c r="L262" s="67">
        <v>0.12355212355212356</v>
      </c>
      <c r="M262" s="67">
        <v>0.27543615871545468</v>
      </c>
      <c r="N262" s="67">
        <v>0.21228964026555505</v>
      </c>
      <c r="O262" s="67">
        <v>0.57511210762331844</v>
      </c>
      <c r="P262" s="67">
        <v>0.39345454545454545</v>
      </c>
      <c r="Q262" s="67">
        <v>0.43167701863354035</v>
      </c>
    </row>
    <row r="263" spans="1:17" x14ac:dyDescent="0.4">
      <c r="A263" s="69">
        <v>260</v>
      </c>
      <c r="B263" s="66">
        <v>0</v>
      </c>
      <c r="C263" s="66">
        <v>0</v>
      </c>
      <c r="D263" s="71">
        <v>2</v>
      </c>
      <c r="E263" s="67">
        <v>0.33333333333333331</v>
      </c>
      <c r="F263" s="67">
        <v>0.33333333333333331</v>
      </c>
      <c r="G263" s="67">
        <v>0.29839950754078176</v>
      </c>
      <c r="H263" s="67">
        <v>0.16712834718374883</v>
      </c>
      <c r="I263" s="68">
        <v>8760.5466735430637</v>
      </c>
      <c r="J263" s="68">
        <v>-8261.8784530386747</v>
      </c>
      <c r="K263" s="67">
        <v>0.12435897435897436</v>
      </c>
      <c r="L263" s="67">
        <v>0.12435897435897436</v>
      </c>
      <c r="M263" s="67">
        <v>0.27516158818097874</v>
      </c>
      <c r="N263" s="67">
        <v>0.2123730378578024</v>
      </c>
      <c r="O263" s="67">
        <v>0.57606263982102912</v>
      </c>
      <c r="P263" s="67">
        <v>0.39275362318840579</v>
      </c>
      <c r="Q263" s="67">
        <v>0.43166580711707064</v>
      </c>
    </row>
    <row r="264" spans="1:17" x14ac:dyDescent="0.4">
      <c r="A264" s="69">
        <v>261</v>
      </c>
      <c r="B264" s="66">
        <v>7.1054273576010019E-15</v>
      </c>
      <c r="C264" s="66">
        <v>9.0746198692222252E-18</v>
      </c>
      <c r="D264" s="71">
        <v>2</v>
      </c>
      <c r="E264" s="67">
        <v>0.33333333333333331</v>
      </c>
      <c r="F264" s="67">
        <v>0.33333333333333331</v>
      </c>
      <c r="G264" s="67">
        <v>0.29846390168970816</v>
      </c>
      <c r="H264" s="67">
        <v>0.16712749615975422</v>
      </c>
      <c r="I264" s="68">
        <v>8762.1718991250636</v>
      </c>
      <c r="J264" s="68">
        <v>-8260.386029411764</v>
      </c>
      <c r="K264" s="67">
        <v>0.1251596424010217</v>
      </c>
      <c r="L264" s="67">
        <v>0.1251596424010217</v>
      </c>
      <c r="M264" s="67">
        <v>0.2749615975422427</v>
      </c>
      <c r="N264" s="67">
        <v>0.21244239631336406</v>
      </c>
      <c r="O264" s="67">
        <v>0.57653631284916196</v>
      </c>
      <c r="P264" s="67">
        <v>0.3926247288503254</v>
      </c>
      <c r="Q264" s="67">
        <v>0.43180648481729283</v>
      </c>
    </row>
    <row r="265" spans="1:17" x14ac:dyDescent="0.4">
      <c r="A265" s="69">
        <v>262</v>
      </c>
      <c r="B265" s="66">
        <v>1.4210854715202004E-14</v>
      </c>
      <c r="C265" s="66">
        <v>1.8079967831045808E-17</v>
      </c>
      <c r="D265" s="71">
        <v>2</v>
      </c>
      <c r="E265" s="67">
        <v>0.33333333333333331</v>
      </c>
      <c r="F265" s="67">
        <v>0.33333333333333331</v>
      </c>
      <c r="G265" s="67">
        <v>0.29831804281345564</v>
      </c>
      <c r="H265" s="67">
        <v>0.16712538226299695</v>
      </c>
      <c r="I265" s="68">
        <v>8752.8959507944637</v>
      </c>
      <c r="J265" s="68">
        <v>-8259.0118938700816</v>
      </c>
      <c r="K265" s="67">
        <v>0.12595419847328243</v>
      </c>
      <c r="L265" s="67">
        <v>0.12595419847328243</v>
      </c>
      <c r="M265" s="67">
        <v>0.27477064220183484</v>
      </c>
      <c r="N265" s="67">
        <v>0.21223241590214068</v>
      </c>
      <c r="O265" s="67">
        <v>0.57595993322203676</v>
      </c>
      <c r="P265" s="67">
        <v>0.39265129682997119</v>
      </c>
      <c r="Q265" s="67">
        <v>0.43157355202460279</v>
      </c>
    </row>
    <row r="266" spans="1:17" x14ac:dyDescent="0.4">
      <c r="A266" s="69">
        <v>263</v>
      </c>
      <c r="B266" s="66">
        <v>0</v>
      </c>
      <c r="C266" s="66">
        <v>0</v>
      </c>
      <c r="D266" s="71">
        <v>2</v>
      </c>
      <c r="E266" s="67">
        <v>0.33333333333333331</v>
      </c>
      <c r="F266" s="67">
        <v>0.33333333333333331</v>
      </c>
      <c r="G266" s="67">
        <v>0.29832572298325721</v>
      </c>
      <c r="H266" s="67">
        <v>0.16727549467275496</v>
      </c>
      <c r="I266" s="68">
        <v>8791.9897959183672</v>
      </c>
      <c r="J266" s="68">
        <v>-8243.5850773430393</v>
      </c>
      <c r="K266" s="67">
        <v>0.1267427122940431</v>
      </c>
      <c r="L266" s="67">
        <v>0.1267427122940431</v>
      </c>
      <c r="M266" s="67">
        <v>0.27488584474885847</v>
      </c>
      <c r="N266" s="67">
        <v>0.21202435312024354</v>
      </c>
      <c r="O266" s="67">
        <v>0.57585825027685489</v>
      </c>
      <c r="P266" s="67">
        <v>0.39339554917444364</v>
      </c>
      <c r="Q266" s="67">
        <v>0.43112244897959184</v>
      </c>
    </row>
    <row r="267" spans="1:17" x14ac:dyDescent="0.4">
      <c r="A267" s="69">
        <v>264</v>
      </c>
      <c r="B267" s="66">
        <v>0</v>
      </c>
      <c r="C267" s="66">
        <v>0</v>
      </c>
      <c r="D267" s="71">
        <v>2</v>
      </c>
      <c r="E267" s="67">
        <v>0.33333333333333331</v>
      </c>
      <c r="F267" s="67">
        <v>0.33333333333333331</v>
      </c>
      <c r="G267" s="67">
        <v>0.29826958105646628</v>
      </c>
      <c r="H267" s="67">
        <v>0.16727383120825745</v>
      </c>
      <c r="I267" s="68">
        <v>8790.9923664122143</v>
      </c>
      <c r="J267" s="68">
        <v>-8244.7368421052633</v>
      </c>
      <c r="K267" s="67">
        <v>0.12752525252525251</v>
      </c>
      <c r="L267" s="67">
        <v>0.12752525252525251</v>
      </c>
      <c r="M267" s="67">
        <v>0.27474195506982391</v>
      </c>
      <c r="N267" s="67">
        <v>0.21174863387978143</v>
      </c>
      <c r="O267" s="67">
        <v>0.57569060773480663</v>
      </c>
      <c r="P267" s="67">
        <v>0.392831541218638</v>
      </c>
      <c r="Q267" s="67">
        <v>0.43104325699745549</v>
      </c>
    </row>
    <row r="268" spans="1:17" x14ac:dyDescent="0.4">
      <c r="A268" s="69">
        <v>265</v>
      </c>
      <c r="B268" s="66">
        <v>0</v>
      </c>
      <c r="C268" s="66">
        <v>0</v>
      </c>
      <c r="D268" s="71">
        <v>2</v>
      </c>
      <c r="E268" s="67">
        <v>0.33333333333333331</v>
      </c>
      <c r="F268" s="67">
        <v>0.33333333333333331</v>
      </c>
      <c r="G268" s="67">
        <v>0.29831741700773079</v>
      </c>
      <c r="H268" s="67">
        <v>0.16734879490677582</v>
      </c>
      <c r="I268" s="68">
        <v>8795.7825203252032</v>
      </c>
      <c r="J268" s="68">
        <v>-8256.79347826087</v>
      </c>
      <c r="K268" s="67">
        <v>0.12830188679245283</v>
      </c>
      <c r="L268" s="67">
        <v>0.12830188679245283</v>
      </c>
      <c r="M268" s="67">
        <v>0.27467030468394726</v>
      </c>
      <c r="N268" s="67">
        <v>0.21161133848719116</v>
      </c>
      <c r="O268" s="67">
        <v>0.57615894039735094</v>
      </c>
      <c r="P268" s="67">
        <v>0.39326647564469913</v>
      </c>
      <c r="Q268" s="67">
        <v>0.43089430894308944</v>
      </c>
    </row>
    <row r="269" spans="1:17" x14ac:dyDescent="0.4">
      <c r="A269" s="69">
        <v>266</v>
      </c>
      <c r="B269" s="66">
        <v>0</v>
      </c>
      <c r="C269" s="66">
        <v>0</v>
      </c>
      <c r="D269" s="71">
        <v>2</v>
      </c>
      <c r="E269" s="67">
        <v>0.33333333333333331</v>
      </c>
      <c r="F269" s="67">
        <v>0.33333333333333331</v>
      </c>
      <c r="G269" s="67">
        <v>0.29835670134177594</v>
      </c>
      <c r="H269" s="67">
        <v>0.16734509271822703</v>
      </c>
      <c r="I269" s="68">
        <v>8786.8620515411822</v>
      </c>
      <c r="J269" s="68">
        <v>-8251.1711711711705</v>
      </c>
      <c r="K269" s="67">
        <v>0.12781954887218044</v>
      </c>
      <c r="L269" s="67">
        <v>0.12781954887218044</v>
      </c>
      <c r="M269" s="67">
        <v>0.2746871702095583</v>
      </c>
      <c r="N269" s="67">
        <v>0.21151816674204735</v>
      </c>
      <c r="O269" s="67">
        <v>0.57574094401756315</v>
      </c>
      <c r="P269" s="67">
        <v>0.39344262295081966</v>
      </c>
      <c r="Q269" s="67">
        <v>0.43102577059120767</v>
      </c>
    </row>
    <row r="270" spans="1:17" x14ac:dyDescent="0.4">
      <c r="A270" s="69">
        <v>267</v>
      </c>
      <c r="B270" s="66">
        <v>0</v>
      </c>
      <c r="C270" s="66">
        <v>0</v>
      </c>
      <c r="D270" s="71">
        <v>2</v>
      </c>
      <c r="E270" s="67">
        <v>0.33333333333333331</v>
      </c>
      <c r="F270" s="67">
        <v>0.33333333333333331</v>
      </c>
      <c r="G270" s="67">
        <v>0.29837983798379836</v>
      </c>
      <c r="H270" s="67">
        <v>0.16771677167716773</v>
      </c>
      <c r="I270" s="68">
        <v>8785.8220211161388</v>
      </c>
      <c r="J270" s="68">
        <v>-8250.8944543828256</v>
      </c>
      <c r="K270" s="67">
        <v>0.12734082397003746</v>
      </c>
      <c r="L270" s="67">
        <v>0.12734082397003746</v>
      </c>
      <c r="M270" s="67">
        <v>0.27452745274527451</v>
      </c>
      <c r="N270" s="67">
        <v>0.21137113711371136</v>
      </c>
      <c r="O270" s="67">
        <v>0.57540983606557372</v>
      </c>
      <c r="P270" s="67">
        <v>0.39389638041163944</v>
      </c>
      <c r="Q270" s="67">
        <v>0.42986425339366519</v>
      </c>
    </row>
    <row r="271" spans="1:17" x14ac:dyDescent="0.4">
      <c r="A271" s="69">
        <v>268</v>
      </c>
      <c r="B271" s="66">
        <v>0</v>
      </c>
      <c r="C271" s="66">
        <v>0</v>
      </c>
      <c r="D271" s="71">
        <v>2</v>
      </c>
      <c r="E271" s="67">
        <v>0.33333333333333331</v>
      </c>
      <c r="F271" s="67">
        <v>0.33333333333333331</v>
      </c>
      <c r="G271" s="67">
        <v>0.29822202300911399</v>
      </c>
      <c r="H271" s="67">
        <v>0.16778724040041834</v>
      </c>
      <c r="I271" s="68">
        <v>8783.4669338677359</v>
      </c>
      <c r="J271" s="68">
        <v>-8250.4897595725743</v>
      </c>
      <c r="K271" s="67">
        <v>0.12686567164179105</v>
      </c>
      <c r="L271" s="67">
        <v>0.12686567164179105</v>
      </c>
      <c r="M271" s="67">
        <v>0.27446585985357835</v>
      </c>
      <c r="N271" s="67">
        <v>0.21111609143881668</v>
      </c>
      <c r="O271" s="67">
        <v>0.57593903102885136</v>
      </c>
      <c r="P271" s="67">
        <v>0.39348903043170558</v>
      </c>
      <c r="Q271" s="67">
        <v>0.42935871743486975</v>
      </c>
    </row>
    <row r="272" spans="1:17" x14ac:dyDescent="0.4">
      <c r="A272" s="69">
        <v>269</v>
      </c>
      <c r="B272" s="66">
        <v>0</v>
      </c>
      <c r="C272" s="66">
        <v>0</v>
      </c>
      <c r="D272" s="71">
        <v>2</v>
      </c>
      <c r="E272" s="67">
        <v>0.33333333333333331</v>
      </c>
      <c r="F272" s="67">
        <v>0.33333333333333331</v>
      </c>
      <c r="G272" s="67">
        <v>0.29816718819848009</v>
      </c>
      <c r="H272" s="67">
        <v>0.16778423483832514</v>
      </c>
      <c r="I272" s="68">
        <v>8780.8095952023996</v>
      </c>
      <c r="J272" s="68">
        <v>-8253.0195381882768</v>
      </c>
      <c r="K272" s="67">
        <v>0.12763320941759604</v>
      </c>
      <c r="L272" s="67">
        <v>0.12763320941759604</v>
      </c>
      <c r="M272" s="67">
        <v>0.27402771569065715</v>
      </c>
      <c r="N272" s="67">
        <v>0.21129488898822829</v>
      </c>
      <c r="O272" s="67">
        <v>0.57585644371941269</v>
      </c>
      <c r="P272" s="67">
        <v>0.39351198871650211</v>
      </c>
      <c r="Q272" s="67">
        <v>0.42928535732133932</v>
      </c>
    </row>
    <row r="273" spans="1:17" x14ac:dyDescent="0.4">
      <c r="A273" s="69">
        <v>270</v>
      </c>
      <c r="B273" s="66">
        <v>0</v>
      </c>
      <c r="C273" s="66">
        <v>0</v>
      </c>
      <c r="D273" s="71">
        <v>2</v>
      </c>
      <c r="E273" s="67">
        <v>0.33333333333333331</v>
      </c>
      <c r="F273" s="67">
        <v>0.33333333333333331</v>
      </c>
      <c r="G273" s="67">
        <v>0.29826125724476149</v>
      </c>
      <c r="H273" s="67">
        <v>0.16763263486402141</v>
      </c>
      <c r="I273" s="68">
        <v>8772.9446935724955</v>
      </c>
      <c r="J273" s="68">
        <v>-8249.8226950354601</v>
      </c>
      <c r="K273" s="67">
        <v>0.12716049382716049</v>
      </c>
      <c r="L273" s="67">
        <v>0.12716049382716049</v>
      </c>
      <c r="M273" s="67">
        <v>0.27388913657304204</v>
      </c>
      <c r="N273" s="67">
        <v>0.2113241194828355</v>
      </c>
      <c r="O273" s="67">
        <v>0.57569180683667931</v>
      </c>
      <c r="P273" s="67">
        <v>0.39451476793248946</v>
      </c>
      <c r="Q273" s="67">
        <v>0.42999501743896362</v>
      </c>
    </row>
    <row r="274" spans="1:17" x14ac:dyDescent="0.4">
      <c r="A274" s="69">
        <v>271</v>
      </c>
      <c r="B274" s="66">
        <v>1.4155343563970746E-15</v>
      </c>
      <c r="C274" s="66">
        <v>1.7411246696150978E-18</v>
      </c>
      <c r="D274" s="71">
        <v>2</v>
      </c>
      <c r="E274" s="67">
        <v>0.33333333333333331</v>
      </c>
      <c r="F274" s="67">
        <v>0.33333333333333331</v>
      </c>
      <c r="G274" s="67">
        <v>0.29826897470039948</v>
      </c>
      <c r="H274" s="67">
        <v>0.1673324456280515</v>
      </c>
      <c r="I274" s="68">
        <v>8775.8432539682544</v>
      </c>
      <c r="J274" s="68">
        <v>-8250.9283819628654</v>
      </c>
      <c r="K274" s="67">
        <v>0.12669126691266913</v>
      </c>
      <c r="L274" s="67">
        <v>0.12669126691266913</v>
      </c>
      <c r="M274" s="67">
        <v>0.27356117768900723</v>
      </c>
      <c r="N274" s="67">
        <v>0.21097795531883415</v>
      </c>
      <c r="O274" s="67">
        <v>0.57706868577609516</v>
      </c>
      <c r="P274" s="67">
        <v>0.39481065918653574</v>
      </c>
      <c r="Q274" s="67">
        <v>0.43105158730158732</v>
      </c>
    </row>
    <row r="275" spans="1:17" x14ac:dyDescent="0.4">
      <c r="A275" s="69">
        <v>272</v>
      </c>
      <c r="B275" s="66">
        <v>-5.3290705182007514E-15</v>
      </c>
      <c r="C275" s="66">
        <v>-6.5307236742656266E-18</v>
      </c>
      <c r="D275" s="71">
        <v>2</v>
      </c>
      <c r="E275" s="67">
        <v>0.33333333333333331</v>
      </c>
      <c r="F275" s="67">
        <v>0.33333333333333331</v>
      </c>
      <c r="G275" s="67">
        <v>0.2982300884955752</v>
      </c>
      <c r="H275" s="67">
        <v>0.16740412979351033</v>
      </c>
      <c r="I275" s="68">
        <v>8773.9366963402572</v>
      </c>
      <c r="J275" s="68">
        <v>-8251.8061674008804</v>
      </c>
      <c r="K275" s="67">
        <v>0.12622549019607843</v>
      </c>
      <c r="L275" s="67">
        <v>0.12622549019607843</v>
      </c>
      <c r="M275" s="67">
        <v>0.27359882005899705</v>
      </c>
      <c r="N275" s="67">
        <v>0.21106194690265487</v>
      </c>
      <c r="O275" s="67">
        <v>0.57789757412398923</v>
      </c>
      <c r="P275" s="67">
        <v>0.3941299790356394</v>
      </c>
      <c r="Q275" s="67">
        <v>0.43076162215628089</v>
      </c>
    </row>
    <row r="276" spans="1:17" x14ac:dyDescent="0.4">
      <c r="A276" s="69">
        <v>273</v>
      </c>
      <c r="B276" s="66">
        <v>-7.1054273576010019E-15</v>
      </c>
      <c r="C276" s="66">
        <v>-8.6757354793663026E-18</v>
      </c>
      <c r="D276" s="71">
        <v>2</v>
      </c>
      <c r="E276" s="67">
        <v>0.33333333333333331</v>
      </c>
      <c r="F276" s="67">
        <v>0.33333333333333331</v>
      </c>
      <c r="G276" s="67">
        <v>0.29835390946502055</v>
      </c>
      <c r="H276" s="67">
        <v>0.16725455614344503</v>
      </c>
      <c r="I276" s="68">
        <v>8774.4334975369457</v>
      </c>
      <c r="J276" s="68">
        <v>-8260.808435852372</v>
      </c>
      <c r="K276" s="67">
        <v>0.12698412698412698</v>
      </c>
      <c r="L276" s="67">
        <v>0.12698412698412698</v>
      </c>
      <c r="M276" s="67">
        <v>0.27351557907113461</v>
      </c>
      <c r="N276" s="67">
        <v>0.21134626690182245</v>
      </c>
      <c r="O276" s="67">
        <v>0.57872111767866741</v>
      </c>
      <c r="P276" s="67">
        <v>0.39429763560500697</v>
      </c>
      <c r="Q276" s="67">
        <v>0.43103448275862066</v>
      </c>
    </row>
    <row r="277" spans="1:17" x14ac:dyDescent="0.4">
      <c r="A277" s="69">
        <v>274</v>
      </c>
      <c r="B277" s="66">
        <v>-7.1054273576010019E-15</v>
      </c>
      <c r="C277" s="66">
        <v>-8.6440722111934331E-18</v>
      </c>
      <c r="D277" s="71">
        <v>2</v>
      </c>
      <c r="E277" s="67">
        <v>0.33333333333333331</v>
      </c>
      <c r="F277" s="67">
        <v>0.33333333333333331</v>
      </c>
      <c r="G277" s="67">
        <v>0.29831501831501833</v>
      </c>
      <c r="H277" s="67">
        <v>0.16717948717948719</v>
      </c>
      <c r="I277" s="68">
        <v>8775.0491159135563</v>
      </c>
      <c r="J277" s="68">
        <v>-8262.4014022787032</v>
      </c>
      <c r="K277" s="67">
        <v>0.12652068126520682</v>
      </c>
      <c r="L277" s="67">
        <v>0.12652068126520682</v>
      </c>
      <c r="M277" s="67">
        <v>0.27384615384615385</v>
      </c>
      <c r="N277" s="67">
        <v>0.21084249084249085</v>
      </c>
      <c r="O277" s="67">
        <v>0.57838416265382553</v>
      </c>
      <c r="P277" s="67">
        <v>0.39402362751911052</v>
      </c>
      <c r="Q277" s="67">
        <v>0.43123772102161101</v>
      </c>
    </row>
    <row r="278" spans="1:17" x14ac:dyDescent="0.4">
      <c r="A278" s="69">
        <v>275</v>
      </c>
      <c r="B278" s="66">
        <v>-5.3290705182007514E-15</v>
      </c>
      <c r="C278" s="66">
        <v>-6.4594794160009108E-18</v>
      </c>
      <c r="D278" s="71">
        <v>2</v>
      </c>
      <c r="E278" s="67">
        <v>0.33333333333333331</v>
      </c>
      <c r="F278" s="67">
        <v>0.33333333333333331</v>
      </c>
      <c r="G278" s="67">
        <v>0.29816112084063046</v>
      </c>
      <c r="H278" s="67">
        <v>0.16710449503794514</v>
      </c>
      <c r="I278" s="68">
        <v>8763.9745472344584</v>
      </c>
      <c r="J278" s="68">
        <v>-8251.7030567685597</v>
      </c>
      <c r="K278" s="67">
        <v>0.12606060606060607</v>
      </c>
      <c r="L278" s="67">
        <v>0.12606060606060607</v>
      </c>
      <c r="M278" s="67">
        <v>0.27408056042031526</v>
      </c>
      <c r="N278" s="67">
        <v>0.21074138937536485</v>
      </c>
      <c r="O278" s="67">
        <v>0.57774227902023434</v>
      </c>
      <c r="P278" s="67">
        <v>0.3940443213296399</v>
      </c>
      <c r="Q278" s="67">
        <v>0.43122858541360742</v>
      </c>
    </row>
    <row r="279" spans="1:17" x14ac:dyDescent="0.4">
      <c r="A279" s="69">
        <v>276</v>
      </c>
      <c r="B279" s="66">
        <v>-7.1054273576010019E-15</v>
      </c>
      <c r="C279" s="66">
        <v>-8.5814340067644946E-18</v>
      </c>
      <c r="D279" s="71">
        <v>2</v>
      </c>
      <c r="E279" s="67">
        <v>0.33333333333333331</v>
      </c>
      <c r="F279" s="67">
        <v>0.33333333333333331</v>
      </c>
      <c r="G279" s="67">
        <v>0.29802383028189477</v>
      </c>
      <c r="H279" s="67">
        <v>0.16739319965126417</v>
      </c>
      <c r="I279" s="68">
        <v>8743.9785470502193</v>
      </c>
      <c r="J279" s="68">
        <v>-8221.6145833333339</v>
      </c>
      <c r="K279" s="67">
        <v>0.12560386473429952</v>
      </c>
      <c r="L279" s="67">
        <v>0.12560386473429952</v>
      </c>
      <c r="M279" s="67">
        <v>0.27346701540249929</v>
      </c>
      <c r="N279" s="67">
        <v>0.21040395233943621</v>
      </c>
      <c r="O279" s="67">
        <v>0.5770456960680127</v>
      </c>
      <c r="P279" s="67">
        <v>0.39571823204419887</v>
      </c>
      <c r="Q279" s="67">
        <v>0.43003412969283278</v>
      </c>
    </row>
    <row r="280" spans="1:17" x14ac:dyDescent="0.4">
      <c r="A280" s="69">
        <v>277</v>
      </c>
      <c r="B280" s="66">
        <v>-7.1054273576010019E-15</v>
      </c>
      <c r="C280" s="66">
        <v>-8.5504541006028906E-18</v>
      </c>
      <c r="D280" s="71">
        <v>2</v>
      </c>
      <c r="E280" s="67">
        <v>0.33333333333333331</v>
      </c>
      <c r="F280" s="67">
        <v>0.33333333333333331</v>
      </c>
      <c r="G280" s="67">
        <v>0.29804772234273319</v>
      </c>
      <c r="H280" s="67">
        <v>0.1673174258857556</v>
      </c>
      <c r="I280" s="68">
        <v>8744.5414847161574</v>
      </c>
      <c r="J280" s="68">
        <v>-8227.9170267934314</v>
      </c>
      <c r="K280" s="67">
        <v>0.12515042117930206</v>
      </c>
      <c r="L280" s="67">
        <v>0.12515042117930206</v>
      </c>
      <c r="M280" s="67">
        <v>0.27360809833694866</v>
      </c>
      <c r="N280" s="67">
        <v>0.21055676066522053</v>
      </c>
      <c r="O280" s="67">
        <v>0.57663847780126853</v>
      </c>
      <c r="P280" s="67">
        <v>0.39629120879120877</v>
      </c>
      <c r="Q280" s="67">
        <v>0.43037360504609412</v>
      </c>
    </row>
    <row r="281" spans="1:17" x14ac:dyDescent="0.4">
      <c r="A281" s="69">
        <v>278</v>
      </c>
      <c r="B281" s="66">
        <v>-4.9960036108132044E-15</v>
      </c>
      <c r="C281" s="66">
        <v>-5.9904120033731465E-18</v>
      </c>
      <c r="D281" s="71">
        <v>2</v>
      </c>
      <c r="E281" s="67">
        <v>0.33333333333333331</v>
      </c>
      <c r="F281" s="67">
        <v>0.33333333333333331</v>
      </c>
      <c r="G281" s="67">
        <v>0.29813933362180872</v>
      </c>
      <c r="H281" s="67">
        <v>0.1668830232222703</v>
      </c>
      <c r="I281" s="68">
        <v>8734.9298500241894</v>
      </c>
      <c r="J281" s="68">
        <v>-8227.9170267934314</v>
      </c>
      <c r="K281" s="67">
        <v>0.12470023980815348</v>
      </c>
      <c r="L281" s="67">
        <v>0.12470023980815348</v>
      </c>
      <c r="M281" s="67">
        <v>0.27318621087552286</v>
      </c>
      <c r="N281" s="67">
        <v>0.21015433434299727</v>
      </c>
      <c r="O281" s="67">
        <v>0.57655755015839494</v>
      </c>
      <c r="P281" s="67">
        <v>0.39670555936856555</v>
      </c>
      <c r="Q281" s="67">
        <v>0.43202709240445092</v>
      </c>
    </row>
    <row r="282" spans="1:17" x14ac:dyDescent="0.4">
      <c r="A282" s="69">
        <v>279</v>
      </c>
      <c r="B282" s="66">
        <v>-7.1054273576010019E-15</v>
      </c>
      <c r="C282" s="66">
        <v>-8.4891605228207902E-18</v>
      </c>
      <c r="D282" s="71">
        <v>2</v>
      </c>
      <c r="E282" s="67">
        <v>0.33333333333333331</v>
      </c>
      <c r="F282" s="67">
        <v>0.33333333333333331</v>
      </c>
      <c r="G282" s="67">
        <v>0.2982758620689655</v>
      </c>
      <c r="H282" s="67">
        <v>0.16695402298850576</v>
      </c>
      <c r="I282" s="68">
        <v>8730.6358381502887</v>
      </c>
      <c r="J282" s="68">
        <v>-8214.8881239242692</v>
      </c>
      <c r="K282" s="67">
        <v>0.12425328554360812</v>
      </c>
      <c r="L282" s="67">
        <v>0.12425328554360812</v>
      </c>
      <c r="M282" s="67">
        <v>0.27284482758620687</v>
      </c>
      <c r="N282" s="67">
        <v>0.21048850574712644</v>
      </c>
      <c r="O282" s="67">
        <v>0.57661927330173779</v>
      </c>
      <c r="P282" s="67">
        <v>0.39726962457337883</v>
      </c>
      <c r="Q282" s="67">
        <v>0.43208092485549132</v>
      </c>
    </row>
    <row r="283" spans="1:17" x14ac:dyDescent="0.4">
      <c r="A283" s="69">
        <v>280</v>
      </c>
      <c r="B283" s="66">
        <v>-7.1054273576010019E-15</v>
      </c>
      <c r="C283" s="66">
        <v>-8.4588420923821458E-18</v>
      </c>
      <c r="D283" s="71">
        <v>2</v>
      </c>
      <c r="E283" s="67">
        <v>0.33333333333333331</v>
      </c>
      <c r="F283" s="67">
        <v>0.33333333333333331</v>
      </c>
      <c r="G283" s="67">
        <v>0.29831332189822757</v>
      </c>
      <c r="H283" s="67">
        <v>0.16666666666666666</v>
      </c>
      <c r="I283" s="68">
        <v>8723.7182558696695</v>
      </c>
      <c r="J283" s="68">
        <v>-8212.3499142367073</v>
      </c>
      <c r="K283" s="67">
        <v>0.12380952380952381</v>
      </c>
      <c r="L283" s="67">
        <v>0.12380952380952381</v>
      </c>
      <c r="M283" s="67">
        <v>0.27244139508290449</v>
      </c>
      <c r="N283" s="67">
        <v>0.21054888507718697</v>
      </c>
      <c r="O283" s="67">
        <v>0.57817418677859389</v>
      </c>
      <c r="P283" s="67">
        <v>0.39714867617107941</v>
      </c>
      <c r="Q283" s="67">
        <v>0.43315764254911354</v>
      </c>
    </row>
    <row r="284" spans="1:17" x14ac:dyDescent="0.4">
      <c r="A284" s="69">
        <v>281</v>
      </c>
      <c r="B284" s="66">
        <v>-5.3290705182007514E-15</v>
      </c>
      <c r="C284" s="66">
        <v>-6.3215545886129907E-18</v>
      </c>
      <c r="D284" s="71">
        <v>2</v>
      </c>
      <c r="E284" s="67">
        <v>0.33333333333333331</v>
      </c>
      <c r="F284" s="67">
        <v>0.33333333333333331</v>
      </c>
      <c r="G284" s="67">
        <v>0.29829059829059829</v>
      </c>
      <c r="H284" s="67">
        <v>0.16623931623931623</v>
      </c>
      <c r="I284" s="68">
        <v>8720.0573065902572</v>
      </c>
      <c r="J284" s="68">
        <v>-8213.5389888603258</v>
      </c>
      <c r="K284" s="67">
        <v>0.12336892052194544</v>
      </c>
      <c r="L284" s="67">
        <v>0.12336892052194544</v>
      </c>
      <c r="M284" s="67">
        <v>0.2722222222222222</v>
      </c>
      <c r="N284" s="67">
        <v>0.21068376068376068</v>
      </c>
      <c r="O284" s="67">
        <v>0.57823129251700678</v>
      </c>
      <c r="P284" s="67">
        <v>0.3962136578769439</v>
      </c>
      <c r="Q284" s="67">
        <v>0.43457497612225404</v>
      </c>
    </row>
    <row r="285" spans="1:17" x14ac:dyDescent="0.4">
      <c r="A285" s="69">
        <v>282</v>
      </c>
      <c r="B285" s="66">
        <v>-3.5527136788005009E-15</v>
      </c>
      <c r="C285" s="66">
        <v>-4.1994251522464549E-18</v>
      </c>
      <c r="D285" s="71">
        <v>2</v>
      </c>
      <c r="E285" s="67">
        <v>0.33333333333333331</v>
      </c>
      <c r="F285" s="67">
        <v>0.33333333333333331</v>
      </c>
      <c r="G285" s="67">
        <v>0.29826802952867687</v>
      </c>
      <c r="H285" s="67">
        <v>0.16638273708120385</v>
      </c>
      <c r="I285" s="68">
        <v>8719.3241313660164</v>
      </c>
      <c r="J285" s="68">
        <v>-8212.2013651877132</v>
      </c>
      <c r="K285" s="67">
        <v>0.12293144208037825</v>
      </c>
      <c r="L285" s="67">
        <v>0.12293144208037825</v>
      </c>
      <c r="M285" s="67">
        <v>0.27257240204429301</v>
      </c>
      <c r="N285" s="67">
        <v>0.21039182282793867</v>
      </c>
      <c r="O285" s="67">
        <v>0.578125</v>
      </c>
      <c r="P285" s="67">
        <v>0.39541160593792174</v>
      </c>
      <c r="Q285" s="67">
        <v>0.43407900999524035</v>
      </c>
    </row>
    <row r="286" spans="1:17" x14ac:dyDescent="0.4">
      <c r="A286" s="69">
        <v>283</v>
      </c>
      <c r="B286" s="66">
        <v>-3.5527136788005009E-15</v>
      </c>
      <c r="C286" s="66">
        <v>-4.1845861941113082E-18</v>
      </c>
      <c r="D286" s="71">
        <v>2</v>
      </c>
      <c r="E286" s="67">
        <v>0.33333333333333331</v>
      </c>
      <c r="F286" s="67">
        <v>0.33333333333333331</v>
      </c>
      <c r="G286" s="67">
        <v>0.29821580288870009</v>
      </c>
      <c r="H286" s="67">
        <v>0.16610025488530161</v>
      </c>
      <c r="I286" s="68">
        <v>8714.5773979107307</v>
      </c>
      <c r="J286" s="68">
        <v>-8212.0204603580569</v>
      </c>
      <c r="K286" s="67">
        <v>0.12249705535924617</v>
      </c>
      <c r="L286" s="67">
        <v>0.12249705535924617</v>
      </c>
      <c r="M286" s="67">
        <v>0.27244406683659023</v>
      </c>
      <c r="N286" s="67">
        <v>0.21042197677711696</v>
      </c>
      <c r="O286" s="67">
        <v>0.57796257796257799</v>
      </c>
      <c r="P286" s="67">
        <v>0.39569313593539707</v>
      </c>
      <c r="Q286" s="67">
        <v>0.4349477682811016</v>
      </c>
    </row>
    <row r="287" spans="1:17" x14ac:dyDescent="0.4">
      <c r="A287" s="69">
        <v>284</v>
      </c>
      <c r="B287" s="66">
        <v>0</v>
      </c>
      <c r="C287" s="66">
        <v>0</v>
      </c>
      <c r="D287" s="71">
        <v>2</v>
      </c>
      <c r="E287" s="67">
        <v>0.33333333333333331</v>
      </c>
      <c r="F287" s="67">
        <v>0.33333333333333331</v>
      </c>
      <c r="G287" s="67">
        <v>0.29826050063640219</v>
      </c>
      <c r="H287" s="67">
        <v>0.16617168717295996</v>
      </c>
      <c r="I287" s="68">
        <v>8724.940730203889</v>
      </c>
      <c r="J287" s="68">
        <v>-8223.5744680851058</v>
      </c>
      <c r="K287" s="67">
        <v>0.12323943661971831</v>
      </c>
      <c r="L287" s="67">
        <v>0.12323943661971831</v>
      </c>
      <c r="M287" s="67">
        <v>0.27252156696365437</v>
      </c>
      <c r="N287" s="67">
        <v>0.21029557346909913</v>
      </c>
      <c r="O287" s="67">
        <v>0.57810067462376746</v>
      </c>
      <c r="P287" s="67">
        <v>0.3954270342972428</v>
      </c>
      <c r="Q287" s="67">
        <v>0.43480322427690848</v>
      </c>
    </row>
    <row r="288" spans="1:17" x14ac:dyDescent="0.4">
      <c r="A288" s="69">
        <v>285</v>
      </c>
      <c r="B288" s="66">
        <v>0</v>
      </c>
      <c r="C288" s="66">
        <v>0</v>
      </c>
      <c r="D288" s="71">
        <v>2</v>
      </c>
      <c r="E288" s="67">
        <v>0.33333333333333331</v>
      </c>
      <c r="F288" s="67">
        <v>0.33333333333333331</v>
      </c>
      <c r="G288" s="67">
        <v>0.29798619912688351</v>
      </c>
      <c r="H288" s="67">
        <v>0.16589212786931418</v>
      </c>
      <c r="I288" s="68">
        <v>8721.4083175803407</v>
      </c>
      <c r="J288" s="68">
        <v>-8214.176570458405</v>
      </c>
      <c r="K288" s="67">
        <v>0.12280701754385964</v>
      </c>
      <c r="L288" s="67">
        <v>0.12280701754385964</v>
      </c>
      <c r="M288" s="67">
        <v>0.2723560061963104</v>
      </c>
      <c r="N288" s="67">
        <v>0.21025207717222927</v>
      </c>
      <c r="O288" s="67">
        <v>0.57704239917269906</v>
      </c>
      <c r="P288" s="67">
        <v>0.39651707970529138</v>
      </c>
      <c r="Q288" s="67">
        <v>0.43525519848771266</v>
      </c>
    </row>
    <row r="289" spans="1:17" x14ac:dyDescent="0.4">
      <c r="A289" s="69">
        <v>286</v>
      </c>
      <c r="B289" s="66">
        <v>-4.2188474935755949E-15</v>
      </c>
      <c r="C289" s="66">
        <v>-4.9170716708340265E-18</v>
      </c>
      <c r="D289" s="71">
        <v>2</v>
      </c>
      <c r="E289" s="67">
        <v>0.33333333333333331</v>
      </c>
      <c r="F289" s="67">
        <v>0.33333333333333331</v>
      </c>
      <c r="G289" s="67">
        <v>0.2978395061728395</v>
      </c>
      <c r="H289" s="67">
        <v>0.16568462401795736</v>
      </c>
      <c r="I289" s="68">
        <v>8705.605275553462</v>
      </c>
      <c r="J289" s="68">
        <v>-8204.8264182895855</v>
      </c>
      <c r="K289" s="67">
        <v>0.12237762237762238</v>
      </c>
      <c r="L289" s="67">
        <v>0.12237762237762238</v>
      </c>
      <c r="M289" s="67">
        <v>0.27216610549943882</v>
      </c>
      <c r="N289" s="67">
        <v>0.21085858585858586</v>
      </c>
      <c r="O289" s="67">
        <v>0.57680412371134016</v>
      </c>
      <c r="P289" s="67">
        <v>0.39520958083832336</v>
      </c>
      <c r="Q289" s="67">
        <v>0.43570419218087614</v>
      </c>
    </row>
    <row r="290" spans="1:17" x14ac:dyDescent="0.4">
      <c r="A290" s="69">
        <v>287</v>
      </c>
      <c r="B290" s="66">
        <v>0</v>
      </c>
      <c r="C290" s="66">
        <v>0</v>
      </c>
      <c r="D290" s="71">
        <v>2</v>
      </c>
      <c r="E290" s="67">
        <v>0.33333333333333331</v>
      </c>
      <c r="F290" s="67">
        <v>0.33333333333333331</v>
      </c>
      <c r="G290" s="67">
        <v>0.29780388865575608</v>
      </c>
      <c r="H290" s="67">
        <v>0.16533780948384388</v>
      </c>
      <c r="I290" s="68">
        <v>8696.8060122123061</v>
      </c>
      <c r="J290" s="68">
        <v>-8204.3993231810491</v>
      </c>
      <c r="K290" s="67">
        <v>0.12195121951219512</v>
      </c>
      <c r="L290" s="67">
        <v>0.12195121951219512</v>
      </c>
      <c r="M290" s="67">
        <v>0.27178626381312071</v>
      </c>
      <c r="N290" s="67">
        <v>0.21191775073436844</v>
      </c>
      <c r="O290" s="67">
        <v>0.57694287184765825</v>
      </c>
      <c r="P290" s="67">
        <v>0.39405940594059408</v>
      </c>
      <c r="Q290" s="67">
        <v>0.43682480037576327</v>
      </c>
    </row>
    <row r="291" spans="1:17" x14ac:dyDescent="0.4">
      <c r="A291" s="69">
        <v>288</v>
      </c>
      <c r="B291" s="66">
        <v>7.1054273576010019E-15</v>
      </c>
      <c r="C291" s="66">
        <v>8.2238742564826406E-18</v>
      </c>
      <c r="D291" s="71">
        <v>2</v>
      </c>
      <c r="E291" s="67">
        <v>0.33333333333333331</v>
      </c>
      <c r="F291" s="67">
        <v>0.33333333333333331</v>
      </c>
      <c r="G291" s="67">
        <v>0.29792276592778477</v>
      </c>
      <c r="H291" s="67">
        <v>0.16562107904642409</v>
      </c>
      <c r="I291" s="68">
        <v>8693.6359382311657</v>
      </c>
      <c r="J291" s="68">
        <v>-8195.9595959595954</v>
      </c>
      <c r="K291" s="67">
        <v>0.12152777777777778</v>
      </c>
      <c r="L291" s="67">
        <v>0.12152777777777778</v>
      </c>
      <c r="M291" s="67">
        <v>0.2715739578976718</v>
      </c>
      <c r="N291" s="67">
        <v>0.21260281611599052</v>
      </c>
      <c r="O291" s="67">
        <v>0.57751540041067762</v>
      </c>
      <c r="P291" s="67">
        <v>0.39409836065573772</v>
      </c>
      <c r="Q291" s="67">
        <v>0.4361254094525035</v>
      </c>
    </row>
    <row r="292" spans="1:17" x14ac:dyDescent="0.4">
      <c r="A292" s="69">
        <v>289</v>
      </c>
      <c r="B292" s="66">
        <v>1.1546319456101628E-14</v>
      </c>
      <c r="C292" s="66">
        <v>1.3317554159286768E-17</v>
      </c>
      <c r="D292" s="71">
        <v>2</v>
      </c>
      <c r="E292" s="67">
        <v>0.33333333333333331</v>
      </c>
      <c r="F292" s="67">
        <v>0.33333333333333331</v>
      </c>
      <c r="G292" s="67">
        <v>0.29805555555555557</v>
      </c>
      <c r="H292" s="67">
        <v>0.16569444444444445</v>
      </c>
      <c r="I292" s="68">
        <v>8696.5051258154708</v>
      </c>
      <c r="J292" s="68">
        <v>-8195.4735959765294</v>
      </c>
      <c r="K292" s="67">
        <v>0.12110726643598616</v>
      </c>
      <c r="L292" s="67">
        <v>0.12110726643598616</v>
      </c>
      <c r="M292" s="67">
        <v>0.27152777777777776</v>
      </c>
      <c r="N292" s="67">
        <v>0.21249999999999999</v>
      </c>
      <c r="O292" s="67">
        <v>0.57749360613810741</v>
      </c>
      <c r="P292" s="67">
        <v>0.39477124183006534</v>
      </c>
      <c r="Q292" s="67">
        <v>0.43616029822926372</v>
      </c>
    </row>
    <row r="293" spans="1:17" x14ac:dyDescent="0.4">
      <c r="A293" s="69">
        <v>290</v>
      </c>
      <c r="B293" s="66">
        <v>1.0658141036401503E-14</v>
      </c>
      <c r="C293" s="66">
        <v>1.2250736823450003E-17</v>
      </c>
      <c r="D293" s="71">
        <v>2</v>
      </c>
      <c r="E293" s="67">
        <v>0.33333333333333331</v>
      </c>
      <c r="F293" s="67">
        <v>0.33333333333333331</v>
      </c>
      <c r="G293" s="67">
        <v>0.29814353006372957</v>
      </c>
      <c r="H293" s="67">
        <v>0.16597395400387918</v>
      </c>
      <c r="I293" s="68">
        <v>8693.5873605947963</v>
      </c>
      <c r="J293" s="68">
        <v>-8189.5659432387311</v>
      </c>
      <c r="K293" s="67">
        <v>0.1206896551724138</v>
      </c>
      <c r="L293" s="67">
        <v>0.1206896551724138</v>
      </c>
      <c r="M293" s="67">
        <v>0.27154336381269051</v>
      </c>
      <c r="N293" s="67">
        <v>0.21252424494319755</v>
      </c>
      <c r="O293" s="67">
        <v>0.57806122448979591</v>
      </c>
      <c r="P293" s="67">
        <v>0.39504563233376794</v>
      </c>
      <c r="Q293" s="67">
        <v>0.4354089219330855</v>
      </c>
    </row>
    <row r="294" spans="1:17" x14ac:dyDescent="0.4">
      <c r="A294" s="69">
        <v>291</v>
      </c>
      <c r="B294" s="66">
        <v>1.6875389974302379E-14</v>
      </c>
      <c r="C294" s="66">
        <v>1.9330343613175691E-17</v>
      </c>
      <c r="D294" s="71">
        <v>2</v>
      </c>
      <c r="E294" s="67">
        <v>0.33333333333333331</v>
      </c>
      <c r="F294" s="67">
        <v>0.33333333333333331</v>
      </c>
      <c r="G294" s="67">
        <v>0.2982456140350877</v>
      </c>
      <c r="H294" s="67">
        <v>0.1661831744716121</v>
      </c>
      <c r="I294" s="68">
        <v>8687.0773506252899</v>
      </c>
      <c r="J294" s="68">
        <v>-8174.4804655029093</v>
      </c>
      <c r="K294" s="67">
        <v>0.12142038946162657</v>
      </c>
      <c r="L294" s="67">
        <v>0.12142038946162657</v>
      </c>
      <c r="M294" s="67">
        <v>0.27130819173919052</v>
      </c>
      <c r="N294" s="67">
        <v>0.21273656582400885</v>
      </c>
      <c r="O294" s="67">
        <v>0.57739307535641549</v>
      </c>
      <c r="P294" s="67">
        <v>0.39675324675324675</v>
      </c>
      <c r="Q294" s="67">
        <v>0.43492357572950441</v>
      </c>
    </row>
    <row r="295" spans="1:17" x14ac:dyDescent="0.4">
      <c r="A295" s="69">
        <v>292</v>
      </c>
      <c r="B295" s="66">
        <v>1.2878587085651816E-14</v>
      </c>
      <c r="C295" s="66">
        <v>1.4701583431109378E-17</v>
      </c>
      <c r="D295" s="71">
        <v>2</v>
      </c>
      <c r="E295" s="67">
        <v>0.33333333333333331</v>
      </c>
      <c r="F295" s="67">
        <v>0.33333333333333331</v>
      </c>
      <c r="G295" s="67">
        <v>0.29833264434339257</v>
      </c>
      <c r="H295" s="67">
        <v>0.1664599696844426</v>
      </c>
      <c r="I295" s="68">
        <v>8679.7690531177832</v>
      </c>
      <c r="J295" s="68">
        <v>-8164.0728476821196</v>
      </c>
      <c r="K295" s="67">
        <v>0.12100456621004566</v>
      </c>
      <c r="L295" s="67">
        <v>0.12100456621004566</v>
      </c>
      <c r="M295" s="67">
        <v>0.27104864268981671</v>
      </c>
      <c r="N295" s="67">
        <v>0.21289789169078133</v>
      </c>
      <c r="O295" s="67">
        <v>0.57752923233350284</v>
      </c>
      <c r="P295" s="67">
        <v>0.39676375404530745</v>
      </c>
      <c r="Q295" s="67">
        <v>0.43418013856812931</v>
      </c>
    </row>
    <row r="296" spans="1:17" x14ac:dyDescent="0.4">
      <c r="A296" s="69">
        <v>293</v>
      </c>
      <c r="B296" s="66">
        <v>1.4210854715202004E-14</v>
      </c>
      <c r="C296" s="66">
        <v>1.6167070210696249E-17</v>
      </c>
      <c r="D296" s="71">
        <v>2</v>
      </c>
      <c r="E296" s="67">
        <v>0.33333333333333331</v>
      </c>
      <c r="F296" s="67">
        <v>0.33333333333333331</v>
      </c>
      <c r="G296" s="67">
        <v>0.29829623522945864</v>
      </c>
      <c r="H296" s="67">
        <v>0.16639186589722452</v>
      </c>
      <c r="I296" s="68">
        <v>8681.4831874712108</v>
      </c>
      <c r="J296" s="68">
        <v>-8161.3542526837327</v>
      </c>
      <c r="K296" s="67">
        <v>0.12059158134243458</v>
      </c>
      <c r="L296" s="67">
        <v>0.12059158134243458</v>
      </c>
      <c r="M296" s="67">
        <v>0.27122835943940643</v>
      </c>
      <c r="N296" s="67">
        <v>0.21283319593294861</v>
      </c>
      <c r="O296" s="67">
        <v>0.57750759878419455</v>
      </c>
      <c r="P296" s="67">
        <v>0.39638476436410586</v>
      </c>
      <c r="Q296" s="67">
        <v>0.43436204514048826</v>
      </c>
    </row>
    <row r="297" spans="1:17" x14ac:dyDescent="0.4">
      <c r="A297" s="69">
        <v>294</v>
      </c>
      <c r="B297" s="66">
        <v>1.0658141036401503E-14</v>
      </c>
      <c r="C297" s="66">
        <v>1.2084060131974493E-17</v>
      </c>
      <c r="D297" s="71">
        <v>2</v>
      </c>
      <c r="E297" s="67">
        <v>0.33333333333333331</v>
      </c>
      <c r="F297" s="67">
        <v>0.33333333333333331</v>
      </c>
      <c r="G297" s="67">
        <v>0.29841139413859219</v>
      </c>
      <c r="H297" s="67">
        <v>0.16666666666666666</v>
      </c>
      <c r="I297" s="68">
        <v>8672.3726480036712</v>
      </c>
      <c r="J297" s="68">
        <v>-8150.6162695152016</v>
      </c>
      <c r="K297" s="67">
        <v>0.12018140589569161</v>
      </c>
      <c r="L297" s="67">
        <v>0.12018140589569161</v>
      </c>
      <c r="M297" s="67">
        <v>0.27102163790742262</v>
      </c>
      <c r="N297" s="67">
        <v>0.2126814571350315</v>
      </c>
      <c r="O297" s="67">
        <v>0.5775644264780192</v>
      </c>
      <c r="P297" s="67">
        <v>0.39729555698647778</v>
      </c>
      <c r="Q297" s="67">
        <v>0.43368517668655349</v>
      </c>
    </row>
    <row r="298" spans="1:17" x14ac:dyDescent="0.4">
      <c r="A298" s="69">
        <v>295</v>
      </c>
      <c r="B298" s="66">
        <v>9.936496070395151E-15</v>
      </c>
      <c r="C298" s="66">
        <v>1.1227679175587742E-17</v>
      </c>
      <c r="D298" s="71">
        <v>2</v>
      </c>
      <c r="E298" s="67">
        <v>0.33333333333333331</v>
      </c>
      <c r="F298" s="67">
        <v>0.33333333333333331</v>
      </c>
      <c r="G298" s="67">
        <v>0.29855428259683581</v>
      </c>
      <c r="H298" s="67">
        <v>0.16639388979814512</v>
      </c>
      <c r="I298" s="68">
        <v>8669.25536774783</v>
      </c>
      <c r="J298" s="68">
        <v>-8148.8524590163934</v>
      </c>
      <c r="K298" s="67">
        <v>0.11977401129943503</v>
      </c>
      <c r="L298" s="67">
        <v>0.11977401129943503</v>
      </c>
      <c r="M298" s="67">
        <v>0.27073104200763776</v>
      </c>
      <c r="N298" s="67">
        <v>0.21276595744680851</v>
      </c>
      <c r="O298" s="67">
        <v>0.57783375314861463</v>
      </c>
      <c r="P298" s="67">
        <v>0.39807692307692305</v>
      </c>
      <c r="Q298" s="67">
        <v>0.43490178163544996</v>
      </c>
    </row>
    <row r="299" spans="1:17" x14ac:dyDescent="0.4">
      <c r="A299" s="69">
        <v>296</v>
      </c>
      <c r="B299" s="66">
        <v>0</v>
      </c>
      <c r="C299" s="66">
        <v>0</v>
      </c>
      <c r="D299" s="71">
        <v>2</v>
      </c>
      <c r="E299" s="67">
        <v>0.33333333333333331</v>
      </c>
      <c r="F299" s="67">
        <v>0.33333333333333331</v>
      </c>
      <c r="G299" s="67">
        <v>0.29830278343516631</v>
      </c>
      <c r="H299" s="67">
        <v>0.16632722335369993</v>
      </c>
      <c r="I299" s="68">
        <v>8665.9080564406013</v>
      </c>
      <c r="J299" s="68">
        <v>-8145.4693877551017</v>
      </c>
      <c r="K299" s="67">
        <v>0.11936936936936937</v>
      </c>
      <c r="L299" s="67">
        <v>0.11936936936936937</v>
      </c>
      <c r="M299" s="67">
        <v>0.27060420909708077</v>
      </c>
      <c r="N299" s="67">
        <v>0.21249151391717583</v>
      </c>
      <c r="O299" s="67">
        <v>0.57852483692925238</v>
      </c>
      <c r="P299" s="67">
        <v>0.39808306709265173</v>
      </c>
      <c r="Q299" s="67">
        <v>0.43468365953573052</v>
      </c>
    </row>
    <row r="300" spans="1:17" x14ac:dyDescent="0.4">
      <c r="A300" s="69">
        <v>297</v>
      </c>
      <c r="B300" s="66">
        <v>0</v>
      </c>
      <c r="C300" s="66">
        <v>0</v>
      </c>
      <c r="D300" s="71">
        <v>2</v>
      </c>
      <c r="E300" s="67">
        <v>0.33333333333333331</v>
      </c>
      <c r="F300" s="67">
        <v>0.33333333333333331</v>
      </c>
      <c r="G300" s="67">
        <v>0.2984448951994591</v>
      </c>
      <c r="H300" s="67">
        <v>0.16605814739688979</v>
      </c>
      <c r="I300" s="68">
        <v>8660.8971454463081</v>
      </c>
      <c r="J300" s="68">
        <v>-8135.9120521172636</v>
      </c>
      <c r="K300" s="67">
        <v>0.11896745230078563</v>
      </c>
      <c r="L300" s="67">
        <v>0.11896745230078563</v>
      </c>
      <c r="M300" s="67">
        <v>0.27072346179851253</v>
      </c>
      <c r="N300" s="67">
        <v>0.21217038539553754</v>
      </c>
      <c r="O300" s="67">
        <v>0.57842157842157838</v>
      </c>
      <c r="P300" s="67">
        <v>0.39834289356277885</v>
      </c>
      <c r="Q300" s="67">
        <v>0.43588581785228819</v>
      </c>
    </row>
    <row r="301" spans="1:17" x14ac:dyDescent="0.4">
      <c r="A301" s="69">
        <v>298</v>
      </c>
      <c r="B301" s="66">
        <v>-2.886579864025407E-15</v>
      </c>
      <c r="C301" s="66">
        <v>-3.228836536941171E-18</v>
      </c>
      <c r="D301" s="71">
        <v>2</v>
      </c>
      <c r="E301" s="67">
        <v>0.33333333333333331</v>
      </c>
      <c r="F301" s="67">
        <v>0.33333333333333331</v>
      </c>
      <c r="G301" s="67">
        <v>0.29850141757796678</v>
      </c>
      <c r="H301" s="67">
        <v>0.16619414067773727</v>
      </c>
      <c r="I301" s="68">
        <v>8666.3952962460426</v>
      </c>
      <c r="J301" s="68">
        <v>-8144.3541835905771</v>
      </c>
      <c r="K301" s="67">
        <v>0.11968680089485459</v>
      </c>
      <c r="L301" s="67">
        <v>0.11968680089485459</v>
      </c>
      <c r="M301" s="67">
        <v>0.27095990279465371</v>
      </c>
      <c r="N301" s="67">
        <v>0.21182665046577562</v>
      </c>
      <c r="O301" s="67">
        <v>0.57797708021923266</v>
      </c>
      <c r="P301" s="67">
        <v>0.39834289356277885</v>
      </c>
      <c r="Q301" s="67">
        <v>0.43554952510176392</v>
      </c>
    </row>
    <row r="302" spans="1:17" x14ac:dyDescent="0.4">
      <c r="A302" s="69">
        <v>299</v>
      </c>
      <c r="B302" s="66">
        <v>-7.1054273576010019E-15</v>
      </c>
      <c r="C302" s="66">
        <v>-7.9213236985518414E-18</v>
      </c>
      <c r="D302" s="71">
        <v>2</v>
      </c>
      <c r="E302" s="67">
        <v>0.33333333333333331</v>
      </c>
      <c r="F302" s="67">
        <v>0.33333333333333331</v>
      </c>
      <c r="G302" s="67">
        <v>0.29854955680902501</v>
      </c>
      <c r="H302" s="67">
        <v>0.16639806607574537</v>
      </c>
      <c r="I302" s="68">
        <v>8650.5623031938812</v>
      </c>
      <c r="J302" s="68">
        <v>-8124.7780468119454</v>
      </c>
      <c r="K302" s="67">
        <v>0.12040133779264214</v>
      </c>
      <c r="L302" s="67">
        <v>0.12040133779264214</v>
      </c>
      <c r="M302" s="67">
        <v>0.27061509535320977</v>
      </c>
      <c r="N302" s="67">
        <v>0.21179156594144508</v>
      </c>
      <c r="O302" s="67">
        <v>0.57766749379652604</v>
      </c>
      <c r="P302" s="67">
        <v>0.398858592263792</v>
      </c>
      <c r="Q302" s="67">
        <v>0.43499775078722447</v>
      </c>
    </row>
    <row r="303" spans="1:17" x14ac:dyDescent="0.4">
      <c r="A303" s="69">
        <v>300</v>
      </c>
      <c r="B303" s="66">
        <v>-7.1054273576010019E-15</v>
      </c>
      <c r="C303" s="66">
        <v>-7.8949192862233354E-18</v>
      </c>
      <c r="D303" s="71">
        <v>2</v>
      </c>
      <c r="E303" s="67">
        <v>0.33333333333333331</v>
      </c>
      <c r="F303" s="67">
        <v>0.33333333333333331</v>
      </c>
      <c r="G303" s="67">
        <v>0.29837953662782912</v>
      </c>
      <c r="H303" s="67">
        <v>0.16633186018481319</v>
      </c>
      <c r="I303" s="68">
        <v>8644.2100538599643</v>
      </c>
      <c r="J303" s="68">
        <v>-8118.9210950080515</v>
      </c>
      <c r="K303" s="67">
        <v>0.12</v>
      </c>
      <c r="L303" s="67">
        <v>0.12</v>
      </c>
      <c r="M303" s="67">
        <v>0.27079148252310165</v>
      </c>
      <c r="N303" s="67">
        <v>0.21186554171688765</v>
      </c>
      <c r="O303" s="67">
        <v>0.5771513353115727</v>
      </c>
      <c r="P303" s="67">
        <v>0.39823008849557523</v>
      </c>
      <c r="Q303" s="67">
        <v>0.43491921005385997</v>
      </c>
    </row>
    <row r="304" spans="1:17" x14ac:dyDescent="0.4">
      <c r="A304" s="69">
        <v>301</v>
      </c>
      <c r="B304" s="66">
        <v>-7.1054273576010019E-15</v>
      </c>
      <c r="C304" s="66">
        <v>-7.8686903184950183E-18</v>
      </c>
      <c r="D304" s="71">
        <v>2</v>
      </c>
      <c r="E304" s="67">
        <v>0.33333333333333331</v>
      </c>
      <c r="F304" s="67">
        <v>0.33333333333333331</v>
      </c>
      <c r="G304" s="67">
        <v>0.29834401709401709</v>
      </c>
      <c r="H304" s="67">
        <v>0.16653311965811965</v>
      </c>
      <c r="I304" s="68">
        <v>8640.2417188898835</v>
      </c>
      <c r="J304" s="68">
        <v>-8114.6752205292705</v>
      </c>
      <c r="K304" s="67">
        <v>0.12070874861572536</v>
      </c>
      <c r="L304" s="67">
        <v>0.12070874861572536</v>
      </c>
      <c r="M304" s="67">
        <v>0.27083333333333331</v>
      </c>
      <c r="N304" s="67">
        <v>0.21167200854700854</v>
      </c>
      <c r="O304" s="67">
        <v>0.57692307692307687</v>
      </c>
      <c r="P304" s="67">
        <v>0.39936908517350156</v>
      </c>
      <c r="Q304" s="67">
        <v>0.43419874664279318</v>
      </c>
    </row>
    <row r="305" spans="1:17" x14ac:dyDescent="0.4">
      <c r="A305" s="69">
        <v>302</v>
      </c>
      <c r="B305" s="66">
        <v>-7.1054273576010019E-15</v>
      </c>
      <c r="C305" s="66">
        <v>-7.8426350525397371E-18</v>
      </c>
      <c r="D305" s="71">
        <v>2</v>
      </c>
      <c r="E305" s="67">
        <v>0.33333333333333331</v>
      </c>
      <c r="F305" s="67">
        <v>0.33333333333333331</v>
      </c>
      <c r="G305" s="67">
        <v>0.29830869623118922</v>
      </c>
      <c r="H305" s="67">
        <v>0.16660007990411507</v>
      </c>
      <c r="I305" s="68">
        <v>8641.2053571428569</v>
      </c>
      <c r="J305" s="68">
        <v>-8110.4716227018389</v>
      </c>
      <c r="K305" s="67">
        <v>0.12030905077262694</v>
      </c>
      <c r="L305" s="67">
        <v>0.12030905077262694</v>
      </c>
      <c r="M305" s="67">
        <v>0.27060860300972167</v>
      </c>
      <c r="N305" s="67">
        <v>0.2121454254894127</v>
      </c>
      <c r="O305" s="67">
        <v>0.57677165354330706</v>
      </c>
      <c r="P305" s="67">
        <v>0.3992467043314501</v>
      </c>
      <c r="Q305" s="67">
        <v>0.43392857142857144</v>
      </c>
    </row>
    <row r="306" spans="1:17" x14ac:dyDescent="0.4">
      <c r="A306" s="69">
        <v>303</v>
      </c>
      <c r="B306" s="66">
        <v>-7.1054273576010019E-15</v>
      </c>
      <c r="C306" s="66">
        <v>-7.8167517685379554E-18</v>
      </c>
      <c r="D306" s="71">
        <v>2</v>
      </c>
      <c r="E306" s="67">
        <v>0.33333333333333331</v>
      </c>
      <c r="F306" s="67">
        <v>0.33333333333333331</v>
      </c>
      <c r="G306" s="67">
        <v>0.29828753484667464</v>
      </c>
      <c r="H306" s="67">
        <v>0.16660029204832072</v>
      </c>
      <c r="I306" s="68">
        <v>8642.3676012461056</v>
      </c>
      <c r="J306" s="68">
        <v>-8106.2151394422308</v>
      </c>
      <c r="K306" s="67">
        <v>0.11991199119911991</v>
      </c>
      <c r="L306" s="67">
        <v>0.11991199119911991</v>
      </c>
      <c r="M306" s="67">
        <v>0.27001194743130225</v>
      </c>
      <c r="N306" s="67">
        <v>0.21239877870702242</v>
      </c>
      <c r="O306" s="67">
        <v>0.57718780727630281</v>
      </c>
      <c r="P306" s="67">
        <v>0.39937499999999998</v>
      </c>
      <c r="Q306" s="67">
        <v>0.43391188251001334</v>
      </c>
    </row>
    <row r="307" spans="1:17" x14ac:dyDescent="0.4">
      <c r="A307" s="69">
        <v>304</v>
      </c>
      <c r="B307" s="66">
        <v>-7.1054273576010019E-15</v>
      </c>
      <c r="C307" s="66">
        <v>-7.7910387692993437E-18</v>
      </c>
      <c r="D307" s="71">
        <v>2</v>
      </c>
      <c r="E307" s="67">
        <v>0.33333333333333331</v>
      </c>
      <c r="F307" s="67">
        <v>0.33333333333333331</v>
      </c>
      <c r="G307" s="67">
        <v>0.29823864388822674</v>
      </c>
      <c r="H307" s="67">
        <v>0.16646801748112833</v>
      </c>
      <c r="I307" s="68">
        <v>8642.7175843694495</v>
      </c>
      <c r="J307" s="68">
        <v>-8109.2283214001591</v>
      </c>
      <c r="K307" s="67">
        <v>0.11951754385964912</v>
      </c>
      <c r="L307" s="67">
        <v>0.11951754385964912</v>
      </c>
      <c r="M307" s="67">
        <v>0.269500728380347</v>
      </c>
      <c r="N307" s="67">
        <v>0.21242219573566415</v>
      </c>
      <c r="O307" s="67">
        <v>0.57739557739557734</v>
      </c>
      <c r="P307" s="67">
        <v>0.39962593516209477</v>
      </c>
      <c r="Q307" s="67">
        <v>0.43428063943161632</v>
      </c>
    </row>
    <row r="308" spans="1:17" x14ac:dyDescent="0.4">
      <c r="A308" s="69">
        <v>305</v>
      </c>
      <c r="B308" s="66">
        <v>-7.1054273576010019E-15</v>
      </c>
      <c r="C308" s="66">
        <v>-7.7654943798918053E-18</v>
      </c>
      <c r="D308" s="71">
        <v>2</v>
      </c>
      <c r="E308" s="67">
        <v>0.33333333333333331</v>
      </c>
      <c r="F308" s="67">
        <v>0.33333333333333331</v>
      </c>
      <c r="G308" s="67">
        <v>0.29830106677202689</v>
      </c>
      <c r="H308" s="67">
        <v>0.16633741604109048</v>
      </c>
      <c r="I308" s="68">
        <v>8632.7593818984551</v>
      </c>
      <c r="J308" s="68">
        <v>-8090.7363420427555</v>
      </c>
      <c r="K308" s="67">
        <v>0.11912568306010929</v>
      </c>
      <c r="L308" s="67">
        <v>0.11912568306010929</v>
      </c>
      <c r="M308" s="67">
        <v>0.2695904122217832</v>
      </c>
      <c r="N308" s="67">
        <v>0.21269590412221784</v>
      </c>
      <c r="O308" s="67">
        <v>0.57645334636052759</v>
      </c>
      <c r="P308" s="67">
        <v>0.39814241486068114</v>
      </c>
      <c r="Q308" s="67">
        <v>0.43443708609271525</v>
      </c>
    </row>
    <row r="309" spans="1:17" x14ac:dyDescent="0.4">
      <c r="A309" s="69">
        <v>306</v>
      </c>
      <c r="B309" s="66">
        <v>-7.1054273576010019E-15</v>
      </c>
      <c r="C309" s="66">
        <v>-7.7401169472777806E-18</v>
      </c>
      <c r="D309" s="71">
        <v>2</v>
      </c>
      <c r="E309" s="67">
        <v>0.33333333333333331</v>
      </c>
      <c r="F309" s="67">
        <v>0.33333333333333331</v>
      </c>
      <c r="G309" s="67">
        <v>0.29843893480257117</v>
      </c>
      <c r="H309" s="67">
        <v>0.16633871179325724</v>
      </c>
      <c r="I309" s="68">
        <v>8620.7912087912082</v>
      </c>
      <c r="J309" s="68">
        <v>-8089.3533123028392</v>
      </c>
      <c r="K309" s="67">
        <v>0.11873638344226579</v>
      </c>
      <c r="L309" s="67">
        <v>0.11873638344226579</v>
      </c>
      <c r="M309" s="67">
        <v>0.26905417814508725</v>
      </c>
      <c r="N309" s="67">
        <v>0.21290830381739473</v>
      </c>
      <c r="O309" s="67">
        <v>0.57630424183325202</v>
      </c>
      <c r="P309" s="67">
        <v>0.39802834257547753</v>
      </c>
      <c r="Q309" s="67">
        <v>0.43472527472527472</v>
      </c>
    </row>
    <row r="310" spans="1:17" x14ac:dyDescent="0.4">
      <c r="A310" s="69">
        <v>307</v>
      </c>
      <c r="B310" s="66">
        <v>-7.1054273576010019E-15</v>
      </c>
      <c r="C310" s="66">
        <v>-7.7149048399576571E-18</v>
      </c>
      <c r="D310" s="71">
        <v>2</v>
      </c>
      <c r="E310" s="67">
        <v>0.33333333333333331</v>
      </c>
      <c r="F310" s="67">
        <v>0.33333333333333331</v>
      </c>
      <c r="G310" s="67">
        <v>0.2982869098993069</v>
      </c>
      <c r="H310" s="67">
        <v>0.16633974107493135</v>
      </c>
      <c r="I310" s="68">
        <v>8614.3358176238489</v>
      </c>
      <c r="J310" s="68">
        <v>-8087.6572327044023</v>
      </c>
      <c r="K310" s="67">
        <v>0.11834961997828447</v>
      </c>
      <c r="L310" s="67">
        <v>0.11834961997828447</v>
      </c>
      <c r="M310" s="67">
        <v>0.26834052569635153</v>
      </c>
      <c r="N310" s="67">
        <v>0.21302471557473518</v>
      </c>
      <c r="O310" s="67">
        <v>0.57602339181286555</v>
      </c>
      <c r="P310" s="67">
        <v>0.3984039287906691</v>
      </c>
      <c r="Q310" s="67">
        <v>0.43445857080227968</v>
      </c>
    </row>
    <row r="311" spans="1:17" x14ac:dyDescent="0.4">
      <c r="A311" s="69">
        <v>308</v>
      </c>
      <c r="B311" s="66">
        <v>-8.8817841970012523E-15</v>
      </c>
      <c r="C311" s="66">
        <v>-9.6123205595251645E-18</v>
      </c>
      <c r="D311" s="71">
        <v>2</v>
      </c>
      <c r="E311" s="67">
        <v>0.33333333333333331</v>
      </c>
      <c r="F311" s="67">
        <v>0.33333333333333331</v>
      </c>
      <c r="G311" s="67">
        <v>0.29826619736670579</v>
      </c>
      <c r="H311" s="67">
        <v>0.16647112501629513</v>
      </c>
      <c r="I311" s="68">
        <v>8611.0139860139861</v>
      </c>
      <c r="J311" s="68">
        <v>-8081.8324197337506</v>
      </c>
      <c r="K311" s="67">
        <v>0.11796536796536797</v>
      </c>
      <c r="L311" s="67">
        <v>0.11796536796536797</v>
      </c>
      <c r="M311" s="67">
        <v>0.26815278320949026</v>
      </c>
      <c r="N311" s="67">
        <v>0.21340112110546214</v>
      </c>
      <c r="O311" s="67">
        <v>0.57559552746718523</v>
      </c>
      <c r="P311" s="67">
        <v>0.39951130116065975</v>
      </c>
      <c r="Q311" s="67">
        <v>0.43400349650349651</v>
      </c>
    </row>
    <row r="312" spans="1:17" x14ac:dyDescent="0.4">
      <c r="A312" s="69">
        <v>309</v>
      </c>
      <c r="B312" s="66">
        <v>-1.4210854715202004E-14</v>
      </c>
      <c r="C312" s="66">
        <v>-1.5329940361598708E-17</v>
      </c>
      <c r="D312" s="71">
        <v>2</v>
      </c>
      <c r="E312" s="67">
        <v>0.33333333333333331</v>
      </c>
      <c r="F312" s="67">
        <v>0.33333333333333331</v>
      </c>
      <c r="G312" s="67">
        <v>0.29836193447737908</v>
      </c>
      <c r="H312" s="67">
        <v>0.16666666666666666</v>
      </c>
      <c r="I312" s="68">
        <v>8612.7668845315911</v>
      </c>
      <c r="J312" s="68">
        <v>-8082.2932917316693</v>
      </c>
      <c r="K312" s="67">
        <v>0.11758360302049622</v>
      </c>
      <c r="L312" s="67">
        <v>0.11758360302049622</v>
      </c>
      <c r="M312" s="67">
        <v>0.26846073842953716</v>
      </c>
      <c r="N312" s="67">
        <v>0.21333853354134166</v>
      </c>
      <c r="O312" s="67">
        <v>0.57578692493946726</v>
      </c>
      <c r="P312" s="67">
        <v>0.39975624619134675</v>
      </c>
      <c r="Q312" s="67">
        <v>0.43355119825708061</v>
      </c>
    </row>
    <row r="313" spans="1:17" x14ac:dyDescent="0.4">
      <c r="A313" s="69">
        <v>310</v>
      </c>
      <c r="B313" s="66">
        <v>-1.4210854715202004E-14</v>
      </c>
      <c r="C313" s="66">
        <v>-1.5280488941077423E-17</v>
      </c>
      <c r="D313" s="71">
        <v>2</v>
      </c>
      <c r="E313" s="67">
        <v>0.33333333333333331</v>
      </c>
      <c r="F313" s="67">
        <v>0.33333333333333331</v>
      </c>
      <c r="G313" s="67">
        <v>0.29848425961912167</v>
      </c>
      <c r="H313" s="67">
        <v>0.166990542816427</v>
      </c>
      <c r="I313" s="68">
        <v>8610.6770833333339</v>
      </c>
      <c r="J313" s="68">
        <v>-8083.4755624515128</v>
      </c>
      <c r="K313" s="67">
        <v>0.11720430107526882</v>
      </c>
      <c r="L313" s="67">
        <v>0.11720430107526882</v>
      </c>
      <c r="M313" s="67">
        <v>0.26816945200155462</v>
      </c>
      <c r="N313" s="67">
        <v>0.21427646068143541</v>
      </c>
      <c r="O313" s="67">
        <v>0.57584541062801931</v>
      </c>
      <c r="P313" s="67">
        <v>0.40024183796856105</v>
      </c>
      <c r="Q313" s="67">
        <v>0.43272569444444442</v>
      </c>
    </row>
    <row r="314" spans="1:17" x14ac:dyDescent="0.4">
      <c r="A314" s="69">
        <v>311</v>
      </c>
      <c r="B314" s="66">
        <v>-1.4210854715202004E-14</v>
      </c>
      <c r="C314" s="66">
        <v>-1.523135553612219E-17</v>
      </c>
      <c r="D314" s="71">
        <v>2</v>
      </c>
      <c r="E314" s="67">
        <v>0.33333333333333331</v>
      </c>
      <c r="F314" s="67">
        <v>0.33333333333333331</v>
      </c>
      <c r="G314" s="67">
        <v>0.29838813668600905</v>
      </c>
      <c r="H314" s="67">
        <v>0.1667311411992263</v>
      </c>
      <c r="I314" s="68">
        <v>8609.3777009507339</v>
      </c>
      <c r="J314" s="68">
        <v>-8074.400618716164</v>
      </c>
      <c r="K314" s="67">
        <v>0.11682743837084673</v>
      </c>
      <c r="L314" s="67">
        <v>0.11682743837084673</v>
      </c>
      <c r="M314" s="67">
        <v>0.26795615731785943</v>
      </c>
      <c r="N314" s="67">
        <v>0.21457124435847841</v>
      </c>
      <c r="O314" s="67">
        <v>0.57651588065447545</v>
      </c>
      <c r="P314" s="67">
        <v>0.39903846153846156</v>
      </c>
      <c r="Q314" s="67">
        <v>0.43344857389801211</v>
      </c>
    </row>
    <row r="315" spans="1:17" x14ac:dyDescent="0.4">
      <c r="A315" s="69">
        <v>312</v>
      </c>
      <c r="B315" s="66">
        <v>-1.4210854715202004E-14</v>
      </c>
      <c r="C315" s="66">
        <v>-1.5182537088891031E-17</v>
      </c>
      <c r="D315" s="71">
        <v>2</v>
      </c>
      <c r="E315" s="67">
        <v>0.33333333333333331</v>
      </c>
      <c r="F315" s="67">
        <v>0.33333333333333331</v>
      </c>
      <c r="G315" s="67">
        <v>0.29800899165061012</v>
      </c>
      <c r="H315" s="67">
        <v>0.16647398843930636</v>
      </c>
      <c r="I315" s="68">
        <v>8602.4137931034475</v>
      </c>
      <c r="J315" s="68">
        <v>-8066.7438271604942</v>
      </c>
      <c r="K315" s="67">
        <v>0.11645299145299146</v>
      </c>
      <c r="L315" s="67">
        <v>0.11645299145299146</v>
      </c>
      <c r="M315" s="67">
        <v>0.26769428387925498</v>
      </c>
      <c r="N315" s="67">
        <v>0.21451509312780989</v>
      </c>
      <c r="O315" s="67">
        <v>0.5762955854126679</v>
      </c>
      <c r="P315" s="67">
        <v>0.39820359281437123</v>
      </c>
      <c r="Q315" s="67">
        <v>0.43362068965517242</v>
      </c>
    </row>
    <row r="316" spans="1:17" x14ac:dyDescent="0.4">
      <c r="A316" s="69">
        <v>313</v>
      </c>
      <c r="B316" s="66">
        <v>-1.4210854715202004E-14</v>
      </c>
      <c r="C316" s="66">
        <v>-1.5134030580619814E-17</v>
      </c>
      <c r="D316" s="71">
        <v>2</v>
      </c>
      <c r="E316" s="67">
        <v>0.33333333333333331</v>
      </c>
      <c r="F316" s="67">
        <v>0.33333333333333331</v>
      </c>
      <c r="G316" s="67">
        <v>0.29809047802127386</v>
      </c>
      <c r="H316" s="67">
        <v>0.16673074458541587</v>
      </c>
      <c r="I316" s="68">
        <v>8605.8469475494403</v>
      </c>
      <c r="J316" s="68">
        <v>-8075.403535741737</v>
      </c>
      <c r="K316" s="67">
        <v>0.11714589989350373</v>
      </c>
      <c r="L316" s="67">
        <v>0.11714589989350373</v>
      </c>
      <c r="M316" s="67">
        <v>0.26784570037165195</v>
      </c>
      <c r="N316" s="67">
        <v>0.21440471613481993</v>
      </c>
      <c r="O316" s="67">
        <v>0.57655502392344493</v>
      </c>
      <c r="P316" s="67">
        <v>0.39868499701135685</v>
      </c>
      <c r="Q316" s="67">
        <v>0.43293207222699914</v>
      </c>
    </row>
    <row r="317" spans="1:17" x14ac:dyDescent="0.4">
      <c r="A317" s="69">
        <v>314</v>
      </c>
      <c r="B317" s="66">
        <v>-1.27675647831893E-14</v>
      </c>
      <c r="C317" s="66">
        <v>-1.3553678113789066E-17</v>
      </c>
      <c r="D317" s="71">
        <v>2</v>
      </c>
      <c r="E317" s="67">
        <v>0.33333333333333331</v>
      </c>
      <c r="F317" s="67">
        <v>0.33333333333333331</v>
      </c>
      <c r="G317" s="67">
        <v>0.29822545640240011</v>
      </c>
      <c r="H317" s="67">
        <v>0.16685816417719904</v>
      </c>
      <c r="I317" s="68">
        <v>8598.6729452054788</v>
      </c>
      <c r="J317" s="68">
        <v>-8076.4345830145367</v>
      </c>
      <c r="K317" s="67">
        <v>0.11677282377919321</v>
      </c>
      <c r="L317" s="67">
        <v>0.11677282377919321</v>
      </c>
      <c r="M317" s="67">
        <v>0.26784118473126517</v>
      </c>
      <c r="N317" s="67">
        <v>0.21434954678922508</v>
      </c>
      <c r="O317" s="67">
        <v>0.57721639656816015</v>
      </c>
      <c r="P317" s="67">
        <v>0.39904705181655747</v>
      </c>
      <c r="Q317" s="67">
        <v>0.43279109589041098</v>
      </c>
    </row>
    <row r="318" spans="1:17" x14ac:dyDescent="0.4">
      <c r="A318" s="69">
        <v>315</v>
      </c>
      <c r="B318" s="66">
        <v>-1.0658141036401503E-14</v>
      </c>
      <c r="C318" s="66">
        <v>-1.1278456123176193E-17</v>
      </c>
      <c r="D318" s="71">
        <v>2</v>
      </c>
      <c r="E318" s="67">
        <v>0.33333333333333331</v>
      </c>
      <c r="F318" s="67">
        <v>0.33333333333333331</v>
      </c>
      <c r="G318" s="67">
        <v>0.29783715012722645</v>
      </c>
      <c r="H318" s="67">
        <v>0.16653944020356234</v>
      </c>
      <c r="I318" s="68">
        <v>8596.1554891072192</v>
      </c>
      <c r="J318" s="68">
        <v>-8072.498090145149</v>
      </c>
      <c r="K318" s="67">
        <v>0.1164021164021164</v>
      </c>
      <c r="L318" s="67">
        <v>0.1164021164021164</v>
      </c>
      <c r="M318" s="67">
        <v>0.26806615776081427</v>
      </c>
      <c r="N318" s="67">
        <v>0.21437659033078879</v>
      </c>
      <c r="O318" s="67">
        <v>0.57664926435690556</v>
      </c>
      <c r="P318" s="67">
        <v>0.39821958456973294</v>
      </c>
      <c r="Q318" s="67">
        <v>0.43314822725331054</v>
      </c>
    </row>
    <row r="319" spans="1:17" x14ac:dyDescent="0.4">
      <c r="A319" s="69">
        <v>316</v>
      </c>
      <c r="B319" s="66">
        <v>-1.4210854715202004E-14</v>
      </c>
      <c r="C319" s="66">
        <v>-1.4990353075107598E-17</v>
      </c>
      <c r="D319" s="71">
        <v>2</v>
      </c>
      <c r="E319" s="67">
        <v>0.33333333333333331</v>
      </c>
      <c r="F319" s="67">
        <v>0.33333333333333331</v>
      </c>
      <c r="G319" s="67">
        <v>0.29793173455145289</v>
      </c>
      <c r="H319" s="67">
        <v>0.16634944803958887</v>
      </c>
      <c r="I319" s="68">
        <v>8607.0272572402046</v>
      </c>
      <c r="J319" s="68">
        <v>-8093.7452326468347</v>
      </c>
      <c r="K319" s="67">
        <v>0.11708860759493671</v>
      </c>
      <c r="L319" s="67">
        <v>0.11708860759493671</v>
      </c>
      <c r="M319" s="67">
        <v>0.26811318360614134</v>
      </c>
      <c r="N319" s="67">
        <v>0.21431290445374954</v>
      </c>
      <c r="O319" s="67">
        <v>0.57690487458589679</v>
      </c>
      <c r="P319" s="67">
        <v>0.39786856127886322</v>
      </c>
      <c r="Q319" s="67">
        <v>0.43398637137989776</v>
      </c>
    </row>
    <row r="320" spans="1:17" x14ac:dyDescent="0.4">
      <c r="A320" s="69">
        <v>317</v>
      </c>
      <c r="B320" s="66">
        <v>-1.4210854715202004E-14</v>
      </c>
      <c r="C320" s="66">
        <v>-1.494306489505994E-17</v>
      </c>
      <c r="D320" s="71">
        <v>2</v>
      </c>
      <c r="E320" s="67">
        <v>0.33333333333333331</v>
      </c>
      <c r="F320" s="67">
        <v>0.33333333333333331</v>
      </c>
      <c r="G320" s="67">
        <v>0.2978723404255319</v>
      </c>
      <c r="H320" s="67">
        <v>0.16654002026342452</v>
      </c>
      <c r="I320" s="68">
        <v>8616.9642857142862</v>
      </c>
      <c r="J320" s="68">
        <v>-8113.0798479087453</v>
      </c>
      <c r="K320" s="67">
        <v>0.11777076761303891</v>
      </c>
      <c r="L320" s="67">
        <v>0.11777076761303891</v>
      </c>
      <c r="M320" s="67">
        <v>0.26785714285714285</v>
      </c>
      <c r="N320" s="67">
        <v>0.21428571428571427</v>
      </c>
      <c r="O320" s="67">
        <v>0.57635933806146578</v>
      </c>
      <c r="P320" s="67">
        <v>0.39775413711583923</v>
      </c>
      <c r="Q320" s="67">
        <v>0.43324829931972791</v>
      </c>
    </row>
    <row r="321" spans="1:17" x14ac:dyDescent="0.4">
      <c r="A321" s="69">
        <v>318</v>
      </c>
      <c r="B321" s="66">
        <v>-1.5987211554602254E-14</v>
      </c>
      <c r="C321" s="66">
        <v>-1.67580833905684E-17</v>
      </c>
      <c r="D321" s="71">
        <v>2</v>
      </c>
      <c r="E321" s="67">
        <v>0.33333333333333331</v>
      </c>
      <c r="F321" s="67">
        <v>0.33333333333333331</v>
      </c>
      <c r="G321" s="67">
        <v>0.29801992685080086</v>
      </c>
      <c r="H321" s="67">
        <v>0.16698196493883213</v>
      </c>
      <c r="I321" s="68">
        <v>8616.4621244181126</v>
      </c>
      <c r="J321" s="68">
        <v>-8109.2145015105743</v>
      </c>
      <c r="K321" s="67">
        <v>0.11740041928721175</v>
      </c>
      <c r="L321" s="67">
        <v>0.11740041928721175</v>
      </c>
      <c r="M321" s="67">
        <v>0.26787741203178206</v>
      </c>
      <c r="N321" s="67">
        <v>0.21402446714592005</v>
      </c>
      <c r="O321" s="67">
        <v>0.57721280602636538</v>
      </c>
      <c r="P321" s="67">
        <v>0.39835002946375958</v>
      </c>
      <c r="Q321" s="67">
        <v>0.43207786711807022</v>
      </c>
    </row>
    <row r="322" spans="1:17" x14ac:dyDescent="0.4">
      <c r="A322" s="69">
        <v>319</v>
      </c>
      <c r="B322" s="66">
        <v>-1.4210854715202004E-14</v>
      </c>
      <c r="C322" s="66">
        <v>-1.4849377967818187E-17</v>
      </c>
      <c r="D322" s="71">
        <v>2</v>
      </c>
      <c r="E322" s="67">
        <v>0.33333333333333331</v>
      </c>
      <c r="F322" s="67">
        <v>0.33333333333333331</v>
      </c>
      <c r="G322" s="67">
        <v>0.2981132075471698</v>
      </c>
      <c r="H322" s="67">
        <v>0.16704402515723271</v>
      </c>
      <c r="I322" s="68">
        <v>8615.4430379746827</v>
      </c>
      <c r="J322" s="68">
        <v>-8109.1114457831327</v>
      </c>
      <c r="K322" s="67">
        <v>0.1180773249738767</v>
      </c>
      <c r="L322" s="67">
        <v>0.1180773249738767</v>
      </c>
      <c r="M322" s="67">
        <v>0.26855345911949685</v>
      </c>
      <c r="N322" s="67">
        <v>0.21358490566037736</v>
      </c>
      <c r="O322" s="67">
        <v>0.57704918032786889</v>
      </c>
      <c r="P322" s="67">
        <v>0.39811542991755006</v>
      </c>
      <c r="Q322" s="67">
        <v>0.43206751054852321</v>
      </c>
    </row>
    <row r="323" spans="1:17" x14ac:dyDescent="0.4">
      <c r="A323" s="69">
        <v>320</v>
      </c>
      <c r="B323" s="66">
        <v>-1.2434497875801753E-14</v>
      </c>
      <c r="C323" s="66">
        <v>-1.295260195396016E-17</v>
      </c>
      <c r="D323" s="71">
        <v>2</v>
      </c>
      <c r="E323" s="67">
        <v>0.33333333333333331</v>
      </c>
      <c r="F323" s="67">
        <v>0.33333333333333331</v>
      </c>
      <c r="G323" s="67">
        <v>0.29819277108433734</v>
      </c>
      <c r="H323" s="67">
        <v>0.16704317269076305</v>
      </c>
      <c r="I323" s="68">
        <v>8613.8468013468009</v>
      </c>
      <c r="J323" s="68">
        <v>-8108.790383170548</v>
      </c>
      <c r="K323" s="67">
        <v>0.11874999999999999</v>
      </c>
      <c r="L323" s="67">
        <v>0.11874999999999999</v>
      </c>
      <c r="M323" s="67">
        <v>0.2684487951807229</v>
      </c>
      <c r="N323" s="67">
        <v>0.21385542168674698</v>
      </c>
      <c r="O323" s="67">
        <v>0.57784011220196352</v>
      </c>
      <c r="P323" s="67">
        <v>0.397887323943662</v>
      </c>
      <c r="Q323" s="67">
        <v>0.43223905723905726</v>
      </c>
    </row>
    <row r="324" spans="1:17" x14ac:dyDescent="0.4">
      <c r="A324" s="69">
        <v>321</v>
      </c>
      <c r="B324" s="66">
        <v>-1.4210854715202004E-14</v>
      </c>
      <c r="C324" s="66">
        <v>-1.4756858478922122E-17</v>
      </c>
      <c r="D324" s="71">
        <v>2</v>
      </c>
      <c r="E324" s="67">
        <v>0.33333333333333331</v>
      </c>
      <c r="F324" s="67">
        <v>0.33333333333333331</v>
      </c>
      <c r="G324" s="67">
        <v>0.29821921244043142</v>
      </c>
      <c r="H324" s="67">
        <v>0.16716829696513669</v>
      </c>
      <c r="I324" s="68">
        <v>8624.2640874684603</v>
      </c>
      <c r="J324" s="68">
        <v>-8128.1320330082517</v>
      </c>
      <c r="K324" s="67">
        <v>0.11941848390446522</v>
      </c>
      <c r="L324" s="67">
        <v>0.11941848390446522</v>
      </c>
      <c r="M324" s="67">
        <v>0.26849761725608229</v>
      </c>
      <c r="N324" s="67">
        <v>0.21381991472284925</v>
      </c>
      <c r="O324" s="67">
        <v>0.57730032695002331</v>
      </c>
      <c r="P324" s="67">
        <v>0.39824046920821116</v>
      </c>
      <c r="Q324" s="67">
        <v>0.43187552565180826</v>
      </c>
    </row>
    <row r="325" spans="1:17" x14ac:dyDescent="0.4">
      <c r="A325" s="69">
        <v>322</v>
      </c>
      <c r="B325" s="66">
        <v>-7.1054273576010019E-15</v>
      </c>
      <c r="C325" s="66">
        <v>-7.3555148629409962E-18</v>
      </c>
      <c r="D325" s="71">
        <v>2</v>
      </c>
      <c r="E325" s="67">
        <v>0.33333333333333331</v>
      </c>
      <c r="F325" s="67">
        <v>0.33333333333333331</v>
      </c>
      <c r="G325" s="67">
        <v>0.29804804804804808</v>
      </c>
      <c r="H325" s="67">
        <v>0.16704204204204204</v>
      </c>
      <c r="I325" s="68">
        <v>8635.8522250209899</v>
      </c>
      <c r="J325" s="68">
        <v>-8148.9138576779023</v>
      </c>
      <c r="K325" s="67">
        <v>0.11904761904761904</v>
      </c>
      <c r="L325" s="67">
        <v>0.11904761904761904</v>
      </c>
      <c r="M325" s="67">
        <v>0.26851851851851855</v>
      </c>
      <c r="N325" s="67">
        <v>0.21383883883883884</v>
      </c>
      <c r="O325" s="67">
        <v>0.57642124883504198</v>
      </c>
      <c r="P325" s="67">
        <v>0.39730836746635462</v>
      </c>
      <c r="Q325" s="67">
        <v>0.43198992443324935</v>
      </c>
    </row>
    <row r="326" spans="1:17" x14ac:dyDescent="0.4">
      <c r="A326" s="69">
        <v>323</v>
      </c>
      <c r="B326" s="66">
        <v>0</v>
      </c>
      <c r="C326" s="66">
        <v>0</v>
      </c>
      <c r="D326" s="71">
        <v>2</v>
      </c>
      <c r="E326" s="67">
        <v>0.33333333333333331</v>
      </c>
      <c r="F326" s="67">
        <v>0.33333333333333331</v>
      </c>
      <c r="G326" s="67">
        <v>0.29811415011864617</v>
      </c>
      <c r="H326" s="67">
        <v>0.16710378418883476</v>
      </c>
      <c r="I326" s="68">
        <v>8640.8043569333895</v>
      </c>
      <c r="J326" s="68">
        <v>-8163.5276532137523</v>
      </c>
      <c r="K326" s="67">
        <v>0.11971104231166151</v>
      </c>
      <c r="L326" s="67">
        <v>0.11971104231166151</v>
      </c>
      <c r="M326" s="67">
        <v>0.2681403771699763</v>
      </c>
      <c r="N326" s="67">
        <v>0.2139378044211315</v>
      </c>
      <c r="O326" s="67">
        <v>0.57661853749417791</v>
      </c>
      <c r="P326" s="67">
        <v>0.39871570344424984</v>
      </c>
      <c r="Q326" s="67">
        <v>0.43192291579388353</v>
      </c>
    </row>
    <row r="327" spans="1:17" x14ac:dyDescent="0.4">
      <c r="A327" s="69">
        <v>324</v>
      </c>
      <c r="B327" s="66">
        <v>0</v>
      </c>
      <c r="C327" s="66">
        <v>0</v>
      </c>
      <c r="D327" s="71">
        <v>2</v>
      </c>
      <c r="E327" s="67">
        <v>0.33333333333333331</v>
      </c>
      <c r="F327" s="67">
        <v>0.33333333333333331</v>
      </c>
      <c r="G327" s="67">
        <v>0.2982062780269058</v>
      </c>
      <c r="H327" s="67">
        <v>0.16691579471848531</v>
      </c>
      <c r="I327" s="68">
        <v>8640.559732664995</v>
      </c>
      <c r="J327" s="68">
        <v>-8162.2388059701489</v>
      </c>
      <c r="K327" s="67">
        <v>0.11934156378600823</v>
      </c>
      <c r="L327" s="67">
        <v>0.11934156378600823</v>
      </c>
      <c r="M327" s="67">
        <v>0.26781265570503238</v>
      </c>
      <c r="N327" s="67">
        <v>0.21362730443447933</v>
      </c>
      <c r="O327" s="67">
        <v>0.57674418604651168</v>
      </c>
      <c r="P327" s="67">
        <v>0.39883381924198252</v>
      </c>
      <c r="Q327" s="67">
        <v>0.43274853801169588</v>
      </c>
    </row>
    <row r="328" spans="1:17" x14ac:dyDescent="0.4">
      <c r="A328" s="69">
        <v>325</v>
      </c>
      <c r="B328" s="66">
        <v>0</v>
      </c>
      <c r="C328" s="66">
        <v>0</v>
      </c>
      <c r="D328" s="71">
        <v>2</v>
      </c>
      <c r="E328" s="67">
        <v>0.33333333333333331</v>
      </c>
      <c r="F328" s="67">
        <v>0.33333333333333331</v>
      </c>
      <c r="G328" s="67">
        <v>0.29801734820322179</v>
      </c>
      <c r="H328" s="67">
        <v>0.1667905824039653</v>
      </c>
      <c r="I328" s="68">
        <v>8642.328482328483</v>
      </c>
      <c r="J328" s="68">
        <v>-8146.1367013372956</v>
      </c>
      <c r="K328" s="67">
        <v>0.11897435897435897</v>
      </c>
      <c r="L328" s="67">
        <v>0.11897435897435897</v>
      </c>
      <c r="M328" s="67">
        <v>0.26790582403965302</v>
      </c>
      <c r="N328" s="67">
        <v>0.21350681536555141</v>
      </c>
      <c r="O328" s="67">
        <v>0.57585568917668828</v>
      </c>
      <c r="P328" s="67">
        <v>0.39872315728380731</v>
      </c>
      <c r="Q328" s="67">
        <v>0.43284823284823287</v>
      </c>
    </row>
    <row r="329" spans="1:17" x14ac:dyDescent="0.4">
      <c r="A329" s="69">
        <v>326</v>
      </c>
      <c r="B329" s="66">
        <v>0</v>
      </c>
      <c r="C329" s="66">
        <v>0</v>
      </c>
      <c r="D329" s="71">
        <v>2</v>
      </c>
      <c r="E329" s="67">
        <v>0.33333333333333331</v>
      </c>
      <c r="F329" s="67">
        <v>0.33333333333333331</v>
      </c>
      <c r="G329" s="67">
        <v>0.29777777777777775</v>
      </c>
      <c r="H329" s="67">
        <v>0.1665432098765432</v>
      </c>
      <c r="I329" s="68">
        <v>8643.3665008291882</v>
      </c>
      <c r="J329" s="68">
        <v>-8151.7420311341739</v>
      </c>
      <c r="K329" s="67">
        <v>0.11860940695296524</v>
      </c>
      <c r="L329" s="67">
        <v>0.11860940695296524</v>
      </c>
      <c r="M329" s="67">
        <v>0.2680246913580247</v>
      </c>
      <c r="N329" s="67">
        <v>0.21358024691358024</v>
      </c>
      <c r="O329" s="67">
        <v>0.57623215108245052</v>
      </c>
      <c r="P329" s="67">
        <v>0.39768786127167632</v>
      </c>
      <c r="Q329" s="67">
        <v>0.43325041459369817</v>
      </c>
    </row>
    <row r="330" spans="1:17" x14ac:dyDescent="0.4">
      <c r="A330" s="69">
        <v>327</v>
      </c>
      <c r="B330" s="66">
        <v>3.5527136788005009E-15</v>
      </c>
      <c r="C330" s="66">
        <v>3.6215226083593285E-18</v>
      </c>
      <c r="D330" s="71">
        <v>2</v>
      </c>
      <c r="E330" s="67">
        <v>0.33333333333333331</v>
      </c>
      <c r="F330" s="67">
        <v>0.33333333333333331</v>
      </c>
      <c r="G330" s="67">
        <v>0.29777285591239078</v>
      </c>
      <c r="H330" s="67">
        <v>0.16660514334932938</v>
      </c>
      <c r="I330" s="68">
        <v>8649.0082644628092</v>
      </c>
      <c r="J330" s="68">
        <v>-8147.3412112259966</v>
      </c>
      <c r="K330" s="67">
        <v>0.11824668705402651</v>
      </c>
      <c r="L330" s="67">
        <v>0.11824668705402651</v>
      </c>
      <c r="M330" s="67">
        <v>0.26799557032115173</v>
      </c>
      <c r="N330" s="67">
        <v>0.2136089577950043</v>
      </c>
      <c r="O330" s="67">
        <v>0.5762167125803489</v>
      </c>
      <c r="P330" s="67">
        <v>0.39804147465437789</v>
      </c>
      <c r="Q330" s="67">
        <v>0.43305785123966944</v>
      </c>
    </row>
    <row r="331" spans="1:17" x14ac:dyDescent="0.4">
      <c r="A331" s="69">
        <v>328</v>
      </c>
      <c r="B331" s="66">
        <v>1.4210854715202004E-14</v>
      </c>
      <c r="C331" s="66">
        <v>1.4441925523579274E-17</v>
      </c>
      <c r="D331" s="71">
        <v>2</v>
      </c>
      <c r="E331" s="67">
        <v>0.33333333333333331</v>
      </c>
      <c r="F331" s="67">
        <v>0.33333333333333331</v>
      </c>
      <c r="G331" s="67">
        <v>0.29779411764705882</v>
      </c>
      <c r="H331" s="67">
        <v>0.16666666666666666</v>
      </c>
      <c r="I331" s="68">
        <v>8650.699588477366</v>
      </c>
      <c r="J331" s="68">
        <v>-8158.161764705882</v>
      </c>
      <c r="K331" s="67">
        <v>0.11788617886178862</v>
      </c>
      <c r="L331" s="67">
        <v>0.11788617886178862</v>
      </c>
      <c r="M331" s="67">
        <v>0.26740196078431372</v>
      </c>
      <c r="N331" s="67">
        <v>0.21397058823529411</v>
      </c>
      <c r="O331" s="67">
        <v>0.57607699358386799</v>
      </c>
      <c r="P331" s="67">
        <v>0.39977090492554412</v>
      </c>
      <c r="Q331" s="67">
        <v>0.43251028806584363</v>
      </c>
    </row>
    <row r="332" spans="1:17" x14ac:dyDescent="0.4">
      <c r="A332" s="69">
        <v>329</v>
      </c>
      <c r="B332" s="66">
        <v>1.0658141036401503E-14</v>
      </c>
      <c r="C332" s="66">
        <v>1.0798521820062313E-17</v>
      </c>
      <c r="D332" s="71">
        <v>2</v>
      </c>
      <c r="E332" s="67">
        <v>0.33333333333333331</v>
      </c>
      <c r="F332" s="67">
        <v>0.33333333333333331</v>
      </c>
      <c r="G332" s="67">
        <v>0.2978723404255319</v>
      </c>
      <c r="H332" s="67">
        <v>0.16666666666666666</v>
      </c>
      <c r="I332" s="68">
        <v>8650.1642036124795</v>
      </c>
      <c r="J332" s="68">
        <v>-8148.5693323550986</v>
      </c>
      <c r="K332" s="67">
        <v>0.11752786220871327</v>
      </c>
      <c r="L332" s="67">
        <v>0.11752786220871327</v>
      </c>
      <c r="M332" s="67">
        <v>0.26693568109562238</v>
      </c>
      <c r="N332" s="67">
        <v>0.21447786744925409</v>
      </c>
      <c r="O332" s="67">
        <v>0.57627118644067798</v>
      </c>
      <c r="P332" s="67">
        <v>0.39908779931584948</v>
      </c>
      <c r="Q332" s="67">
        <v>0.43267651888341546</v>
      </c>
    </row>
    <row r="333" spans="1:17" x14ac:dyDescent="0.4">
      <c r="A333" s="69">
        <v>330</v>
      </c>
      <c r="B333" s="66">
        <v>2.1316282072803006E-14</v>
      </c>
      <c r="C333" s="66">
        <v>2.1531598053336369E-17</v>
      </c>
      <c r="D333" s="71">
        <v>2</v>
      </c>
      <c r="E333" s="67">
        <v>0.33333333333333331</v>
      </c>
      <c r="F333" s="67">
        <v>0.33333333333333331</v>
      </c>
      <c r="G333" s="67">
        <v>0.29796316623978536</v>
      </c>
      <c r="H333" s="67">
        <v>0.16672764971337969</v>
      </c>
      <c r="I333" s="68">
        <v>8639.8280802292265</v>
      </c>
      <c r="J333" s="68">
        <v>-8135.1865398683249</v>
      </c>
      <c r="K333" s="67">
        <v>0.11717171717171718</v>
      </c>
      <c r="L333" s="67">
        <v>0.11717171717171718</v>
      </c>
      <c r="M333" s="67">
        <v>0.2664959141358702</v>
      </c>
      <c r="N333" s="67">
        <v>0.21490425661666057</v>
      </c>
      <c r="O333" s="67">
        <v>0.57665903890160186</v>
      </c>
      <c r="P333" s="67">
        <v>0.40011350737797957</v>
      </c>
      <c r="Q333" s="67">
        <v>0.43266475644699143</v>
      </c>
    </row>
    <row r="334" spans="1:17" x14ac:dyDescent="0.4">
      <c r="A334" s="69">
        <v>331</v>
      </c>
      <c r="B334" s="66">
        <v>2.1316282072803006E-14</v>
      </c>
      <c r="C334" s="66">
        <v>2.1466547908160126E-17</v>
      </c>
      <c r="D334" s="71">
        <v>2</v>
      </c>
      <c r="E334" s="67">
        <v>0.33333333333333331</v>
      </c>
      <c r="F334" s="67">
        <v>0.33333333333333331</v>
      </c>
      <c r="G334" s="67">
        <v>0.29810495626822159</v>
      </c>
      <c r="H334" s="67">
        <v>0.16678814382896015</v>
      </c>
      <c r="I334" s="68">
        <v>8633.7000814995918</v>
      </c>
      <c r="J334" s="68">
        <v>-8131.172614712309</v>
      </c>
      <c r="K334" s="67">
        <v>0.11681772406847936</v>
      </c>
      <c r="L334" s="67">
        <v>0.11681772406847936</v>
      </c>
      <c r="M334" s="67">
        <v>0.26579203109815353</v>
      </c>
      <c r="N334" s="67">
        <v>0.21525753158406219</v>
      </c>
      <c r="O334" s="67">
        <v>0.57632541133455206</v>
      </c>
      <c r="P334" s="67">
        <v>0.40067720090293452</v>
      </c>
      <c r="Q334" s="67">
        <v>0.43276283618581907</v>
      </c>
    </row>
    <row r="335" spans="1:17" x14ac:dyDescent="0.4">
      <c r="A335" s="69">
        <v>332</v>
      </c>
      <c r="B335" s="66">
        <v>2.1316282072803006E-14</v>
      </c>
      <c r="C335" s="66">
        <v>2.140188963132832E-17</v>
      </c>
      <c r="D335" s="71">
        <v>2</v>
      </c>
      <c r="E335" s="67">
        <v>0.33333333333333331</v>
      </c>
      <c r="F335" s="67">
        <v>0.33333333333333331</v>
      </c>
      <c r="G335" s="67">
        <v>0.29820736434108525</v>
      </c>
      <c r="H335" s="67">
        <v>0.16690891472868216</v>
      </c>
      <c r="I335" s="68">
        <v>8621.811535337125</v>
      </c>
      <c r="J335" s="68">
        <v>-8126.197387518142</v>
      </c>
      <c r="K335" s="67">
        <v>0.11746987951807229</v>
      </c>
      <c r="L335" s="67">
        <v>0.11746987951807229</v>
      </c>
      <c r="M335" s="67">
        <v>0.2653827519379845</v>
      </c>
      <c r="N335" s="67">
        <v>0.21535852713178294</v>
      </c>
      <c r="O335" s="67">
        <v>0.57599269739844816</v>
      </c>
      <c r="P335" s="67">
        <v>0.40044994375703036</v>
      </c>
      <c r="Q335" s="67">
        <v>0.43216896831844032</v>
      </c>
    </row>
    <row r="336" spans="1:17" x14ac:dyDescent="0.4">
      <c r="A336" s="69">
        <v>333</v>
      </c>
      <c r="B336" s="66">
        <v>2.8421709430404007E-14</v>
      </c>
      <c r="C336" s="66">
        <v>2.8450159589994001E-17</v>
      </c>
      <c r="D336" s="71">
        <v>2</v>
      </c>
      <c r="E336" s="67">
        <v>0.33333333333333331</v>
      </c>
      <c r="F336" s="67">
        <v>0.33333333333333331</v>
      </c>
      <c r="G336" s="67">
        <v>0.2980108499095841</v>
      </c>
      <c r="H336" s="67">
        <v>0.16684749849306812</v>
      </c>
      <c r="I336" s="68">
        <v>8616.6666666666661</v>
      </c>
      <c r="J336" s="68">
        <v>-8104.1907514450868</v>
      </c>
      <c r="K336" s="67">
        <v>0.11711711711711711</v>
      </c>
      <c r="L336" s="67">
        <v>0.11711711711711711</v>
      </c>
      <c r="M336" s="67">
        <v>0.26534056660638938</v>
      </c>
      <c r="N336" s="67">
        <v>0.21531042796865582</v>
      </c>
      <c r="O336" s="67">
        <v>0.57655611085870062</v>
      </c>
      <c r="P336" s="67">
        <v>0.40033594624860025</v>
      </c>
      <c r="Q336" s="67">
        <v>0.43203883495145629</v>
      </c>
    </row>
    <row r="337" spans="1:17" x14ac:dyDescent="0.4">
      <c r="A337" s="69">
        <v>334</v>
      </c>
      <c r="B337" s="66">
        <v>3.3750779948604759E-14</v>
      </c>
      <c r="C337" s="66">
        <v>3.3683413122360041E-17</v>
      </c>
      <c r="D337" s="71">
        <v>2</v>
      </c>
      <c r="E337" s="67">
        <v>0.33333333333333331</v>
      </c>
      <c r="F337" s="67">
        <v>0.33333333333333331</v>
      </c>
      <c r="G337" s="67">
        <v>0.29803073967339094</v>
      </c>
      <c r="H337" s="67">
        <v>0.16690682036503363</v>
      </c>
      <c r="I337" s="68">
        <v>8620.0241740531837</v>
      </c>
      <c r="J337" s="68">
        <v>-8110.1438848920861</v>
      </c>
      <c r="K337" s="67">
        <v>0.11676646706586827</v>
      </c>
      <c r="L337" s="67">
        <v>0.11676646706586827</v>
      </c>
      <c r="M337" s="67">
        <v>0.26585014409221902</v>
      </c>
      <c r="N337" s="67">
        <v>0.21481748318924113</v>
      </c>
      <c r="O337" s="67">
        <v>0.57678410117434509</v>
      </c>
      <c r="P337" s="67">
        <v>0.40022358859698154</v>
      </c>
      <c r="Q337" s="67">
        <v>0.43190975020145045</v>
      </c>
    </row>
    <row r="338" spans="1:17" x14ac:dyDescent="0.4">
      <c r="A338" s="69">
        <v>335</v>
      </c>
      <c r="B338" s="66">
        <v>2.8421709430404007E-14</v>
      </c>
      <c r="C338" s="66">
        <v>2.8280307890949259E-17</v>
      </c>
      <c r="D338" s="71">
        <v>2</v>
      </c>
      <c r="E338" s="67">
        <v>0.33333333333333331</v>
      </c>
      <c r="F338" s="67">
        <v>0.33333333333333331</v>
      </c>
      <c r="G338" s="67">
        <v>0.29793086951321612</v>
      </c>
      <c r="H338" s="67">
        <v>0.16708527688075589</v>
      </c>
      <c r="I338" s="68">
        <v>8617.021276595744</v>
      </c>
      <c r="J338" s="68">
        <v>-8115.3185397279885</v>
      </c>
      <c r="K338" s="67">
        <v>0.11741293532338308</v>
      </c>
      <c r="L338" s="67">
        <v>0.11741293532338308</v>
      </c>
      <c r="M338" s="67">
        <v>0.26575768448750148</v>
      </c>
      <c r="N338" s="67">
        <v>0.2149264442052386</v>
      </c>
      <c r="O338" s="67">
        <v>0.57695769576957701</v>
      </c>
      <c r="P338" s="67">
        <v>0.39899833055091821</v>
      </c>
      <c r="Q338" s="67">
        <v>0.43115214773183458</v>
      </c>
    </row>
    <row r="339" spans="1:17" x14ac:dyDescent="0.4">
      <c r="A339" s="69">
        <v>336</v>
      </c>
      <c r="B339" s="66">
        <v>3.4194869158454821E-14</v>
      </c>
      <c r="C339" s="66">
        <v>3.3923481307990897E-17</v>
      </c>
      <c r="D339" s="71">
        <v>2</v>
      </c>
      <c r="E339" s="67">
        <v>0.33333333333333331</v>
      </c>
      <c r="F339" s="67">
        <v>0.33333333333333331</v>
      </c>
      <c r="G339" s="67">
        <v>0.29788757608306482</v>
      </c>
      <c r="H339" s="67">
        <v>0.16684568564267813</v>
      </c>
      <c r="I339" s="68">
        <v>8614.4631410256407</v>
      </c>
      <c r="J339" s="68">
        <v>-8111.3733905579402</v>
      </c>
      <c r="K339" s="67">
        <v>0.11706349206349206</v>
      </c>
      <c r="L339" s="67">
        <v>0.11706349206349206</v>
      </c>
      <c r="M339" s="67">
        <v>0.26578350638501014</v>
      </c>
      <c r="N339" s="67">
        <v>0.21506146318176395</v>
      </c>
      <c r="O339" s="67">
        <v>0.57700942972608893</v>
      </c>
      <c r="P339" s="67">
        <v>0.39789123196448389</v>
      </c>
      <c r="Q339" s="67">
        <v>0.43189102564102566</v>
      </c>
    </row>
    <row r="340" spans="1:17" x14ac:dyDescent="0.4">
      <c r="A340" s="69">
        <v>337</v>
      </c>
      <c r="B340" s="66">
        <v>3.5527136788005009E-14</v>
      </c>
      <c r="C340" s="66">
        <v>3.5140590294762618E-17</v>
      </c>
      <c r="D340" s="71">
        <v>2</v>
      </c>
      <c r="E340" s="67">
        <v>0.33333333333333331</v>
      </c>
      <c r="F340" s="67">
        <v>0.33333333333333331</v>
      </c>
      <c r="G340" s="67">
        <v>0.29786980840176125</v>
      </c>
      <c r="H340" s="67">
        <v>0.16672616922527669</v>
      </c>
      <c r="I340" s="68">
        <v>8612.6248501797836</v>
      </c>
      <c r="J340" s="68">
        <v>-8112.5624553890075</v>
      </c>
      <c r="K340" s="67">
        <v>0.11671612265084075</v>
      </c>
      <c r="L340" s="67">
        <v>0.11671612265084075</v>
      </c>
      <c r="M340" s="67">
        <v>0.26550041651791029</v>
      </c>
      <c r="N340" s="67">
        <v>0.21539926216827324</v>
      </c>
      <c r="O340" s="67">
        <v>0.57776781712236669</v>
      </c>
      <c r="P340" s="67">
        <v>0.39723756906077345</v>
      </c>
      <c r="Q340" s="67">
        <v>0.43228126248501797</v>
      </c>
    </row>
    <row r="341" spans="1:17" x14ac:dyDescent="0.4">
      <c r="A341" s="69">
        <v>338</v>
      </c>
      <c r="B341" s="66">
        <v>4.2632564145606011E-14</v>
      </c>
      <c r="C341" s="66">
        <v>4.2043948861544389E-17</v>
      </c>
      <c r="D341" s="71">
        <v>2</v>
      </c>
      <c r="E341" s="67">
        <v>0.33333333333333331</v>
      </c>
      <c r="F341" s="67">
        <v>0.33333333333333331</v>
      </c>
      <c r="G341" s="67">
        <v>0.29772079772079774</v>
      </c>
      <c r="H341" s="67">
        <v>0.16678537511870845</v>
      </c>
      <c r="I341" s="68">
        <v>8608.0940988835719</v>
      </c>
      <c r="J341" s="68">
        <v>-8110.4626334519571</v>
      </c>
      <c r="K341" s="67">
        <v>0.11735700197238659</v>
      </c>
      <c r="L341" s="67">
        <v>0.11735700197238659</v>
      </c>
      <c r="M341" s="67">
        <v>0.2653133903133903</v>
      </c>
      <c r="N341" s="67">
        <v>0.21545584045584046</v>
      </c>
      <c r="O341" s="67">
        <v>0.57673378076062642</v>
      </c>
      <c r="P341" s="67">
        <v>0.39779614325068868</v>
      </c>
      <c r="Q341" s="67">
        <v>0.43181818181818182</v>
      </c>
    </row>
    <row r="342" spans="1:17" x14ac:dyDescent="0.4">
      <c r="A342" s="69">
        <v>339</v>
      </c>
      <c r="B342" s="66">
        <v>4.1300296516055823E-14</v>
      </c>
      <c r="C342" s="66">
        <v>4.0609927744401006E-17</v>
      </c>
      <c r="D342" s="71">
        <v>2</v>
      </c>
      <c r="E342" s="67">
        <v>0.33333333333333331</v>
      </c>
      <c r="F342" s="67">
        <v>0.33333333333333331</v>
      </c>
      <c r="G342" s="67">
        <v>0.29771624659803575</v>
      </c>
      <c r="H342" s="67">
        <v>0.16672583126257248</v>
      </c>
      <c r="I342" s="68">
        <v>8596.3434022257552</v>
      </c>
      <c r="J342" s="68">
        <v>-8103.6195883605396</v>
      </c>
      <c r="K342" s="67">
        <v>0.11701081612586037</v>
      </c>
      <c r="L342" s="67">
        <v>0.11701081612586037</v>
      </c>
      <c r="M342" s="67">
        <v>0.26505738965802861</v>
      </c>
      <c r="N342" s="67">
        <v>0.21535912909714827</v>
      </c>
      <c r="O342" s="67">
        <v>0.57678571428571423</v>
      </c>
      <c r="P342" s="67">
        <v>0.39780219780219778</v>
      </c>
      <c r="Q342" s="67">
        <v>0.43203497615262321</v>
      </c>
    </row>
    <row r="343" spans="1:17" x14ac:dyDescent="0.4">
      <c r="A343" s="69">
        <v>340</v>
      </c>
      <c r="B343" s="66">
        <v>4.2632564145606011E-14</v>
      </c>
      <c r="C343" s="66">
        <v>4.179663151530001E-17</v>
      </c>
      <c r="D343" s="71">
        <v>2</v>
      </c>
      <c r="E343" s="67">
        <v>0.33333333333333331</v>
      </c>
      <c r="F343" s="67">
        <v>0.33333333333333331</v>
      </c>
      <c r="G343" s="67">
        <v>0.29745942131263231</v>
      </c>
      <c r="H343" s="67">
        <v>0.16690190543401554</v>
      </c>
      <c r="I343" s="68">
        <v>8591.4986160537755</v>
      </c>
      <c r="J343" s="68">
        <v>-8089.8520084566599</v>
      </c>
      <c r="K343" s="67">
        <v>0.11666666666666667</v>
      </c>
      <c r="L343" s="67">
        <v>0.11666666666666667</v>
      </c>
      <c r="M343" s="67">
        <v>0.26511409080216419</v>
      </c>
      <c r="N343" s="67">
        <v>0.21524347212420608</v>
      </c>
      <c r="O343" s="67">
        <v>0.57630878438331856</v>
      </c>
      <c r="P343" s="67">
        <v>0.39726775956284155</v>
      </c>
      <c r="Q343" s="67">
        <v>0.43100039541320678</v>
      </c>
    </row>
    <row r="344" spans="1:17" x14ac:dyDescent="0.4">
      <c r="A344" s="69">
        <v>341</v>
      </c>
      <c r="B344" s="66">
        <v>4.2632564145606011E-14</v>
      </c>
      <c r="C344" s="66">
        <v>4.1674060748392973E-17</v>
      </c>
      <c r="D344" s="71">
        <v>2</v>
      </c>
      <c r="E344" s="67">
        <v>0.33333333333333331</v>
      </c>
      <c r="F344" s="67">
        <v>0.33333333333333331</v>
      </c>
      <c r="G344" s="67">
        <v>0.29741784037558683</v>
      </c>
      <c r="H344" s="67">
        <v>0.16690140845070423</v>
      </c>
      <c r="I344" s="68">
        <v>8587.8453038674033</v>
      </c>
      <c r="J344" s="68">
        <v>-8088.2559774964839</v>
      </c>
      <c r="K344" s="67">
        <v>0.11632453567937438</v>
      </c>
      <c r="L344" s="67">
        <v>0.11632453567937438</v>
      </c>
      <c r="M344" s="67">
        <v>0.26502347417840377</v>
      </c>
      <c r="N344" s="67">
        <v>0.21525821596244132</v>
      </c>
      <c r="O344" s="67">
        <v>0.57617360496014169</v>
      </c>
      <c r="P344" s="67">
        <v>0.39749182115594328</v>
      </c>
      <c r="Q344" s="67">
        <v>0.43093922651933703</v>
      </c>
    </row>
    <row r="345" spans="1:17" x14ac:dyDescent="0.4">
      <c r="A345" s="69">
        <v>342</v>
      </c>
      <c r="B345" s="66">
        <v>4.2632564145606011E-14</v>
      </c>
      <c r="C345" s="66">
        <v>4.15522067695965E-17</v>
      </c>
      <c r="D345" s="71">
        <v>2</v>
      </c>
      <c r="E345" s="67">
        <v>0.33333333333333331</v>
      </c>
      <c r="F345" s="67">
        <v>0.33333333333333331</v>
      </c>
      <c r="G345" s="67">
        <v>0.29751872659176032</v>
      </c>
      <c r="H345" s="67">
        <v>0.16713483146067415</v>
      </c>
      <c r="I345" s="68">
        <v>8590.5586152635715</v>
      </c>
      <c r="J345" s="68">
        <v>-8093.2072829131648</v>
      </c>
      <c r="K345" s="67">
        <v>0.11598440545808966</v>
      </c>
      <c r="L345" s="67">
        <v>0.11598440545808966</v>
      </c>
      <c r="M345" s="67">
        <v>0.26521535580524347</v>
      </c>
      <c r="N345" s="67">
        <v>0.21500468164794007</v>
      </c>
      <c r="O345" s="67">
        <v>0.57678729037952337</v>
      </c>
      <c r="P345" s="67">
        <v>0.3973870440936309</v>
      </c>
      <c r="Q345" s="67">
        <v>0.43036978756884342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35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624</vt:i4>
      </vt:variant>
    </vt:vector>
  </HeadingPairs>
  <TitlesOfParts>
    <vt:vector size="675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のり</vt:lpstr>
      <vt:lpstr>ちさと</vt:lpstr>
      <vt:lpstr>ちさと2</vt:lpstr>
      <vt:lpstr>のり2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ちさと!ツモ数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ちさと!ツモ率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ちさと!ふっとばし数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ちさと!ふっとばし率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ちさと!ラス数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ちさと!ラス率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ちさと!ロン数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ちさと!ロン率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ちさと!逆転数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ちさと!逆転率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ちさと!総局数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ちさと!対戦数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ちさと!副露数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ちさと!副露率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ちさと!放銃数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ちさと!放銃率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2019-10-13T05:22:18Z</dcterms:modified>
</cp:coreProperties>
</file>