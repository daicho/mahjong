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0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45E5134-1846-4673-A4A3-AB0606EDD775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19" r:id="rId6"/>
    <sheet name="だいち" sheetId="5621" r:id="rId7"/>
    <sheet name="りくと" sheetId="5623" r:id="rId8"/>
    <sheet name="ただ" sheetId="5625" r:id="rId9"/>
    <sheet name="れんたろう" sheetId="5627" r:id="rId10"/>
    <sheet name="たかの" sheetId="5629" r:id="rId11"/>
    <sheet name="ぱぱ" sheetId="5631" r:id="rId12"/>
    <sheet name="まっつん" sheetId="5633" r:id="rId13"/>
    <sheet name="あさひ" sheetId="5635" r:id="rId14"/>
    <sheet name="いっしー" sheetId="5637" r:id="rId15"/>
    <sheet name="ほたに" sheetId="5639" r:id="rId16"/>
    <sheet name="かわたつ" sheetId="5641" r:id="rId17"/>
    <sheet name="やがさき" sheetId="5643" r:id="rId18"/>
    <sheet name="のり" sheetId="5645" r:id="rId19"/>
    <sheet name="ちさと" sheetId="5647" r:id="rId20"/>
    <sheet name="ちさと2" sheetId="5648" state="hidden" r:id="rId21"/>
    <sheet name="のり2" sheetId="5646" state="hidden" r:id="rId22"/>
    <sheet name="やがさき2" sheetId="5644" state="hidden" r:id="rId23"/>
    <sheet name="かわたつ2" sheetId="5642" state="hidden" r:id="rId24"/>
    <sheet name="ほたに2" sheetId="5640" state="hidden" r:id="rId25"/>
    <sheet name="いっしー2" sheetId="5638" state="hidden" r:id="rId26"/>
    <sheet name="あさひ2" sheetId="5636" state="hidden" r:id="rId27"/>
    <sheet name="まっつん2" sheetId="5634" state="hidden" r:id="rId28"/>
    <sheet name="ぱぱ2" sheetId="5632" state="hidden" r:id="rId29"/>
    <sheet name="たかの2" sheetId="5630" state="hidden" r:id="rId30"/>
    <sheet name="れんたろう2" sheetId="5628" state="hidden" r:id="rId31"/>
    <sheet name="ただ2" sheetId="5626" state="hidden" r:id="rId32"/>
    <sheet name="りくと2" sheetId="5624" state="hidden" r:id="rId33"/>
    <sheet name="だいち2" sheetId="5622" state="hidden" r:id="rId34"/>
    <sheet name="全体2" sheetId="5620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ふっとばし率" sheetId="3523" state="hidden" r:id="rId46"/>
    <sheet name="リーチ率" sheetId="3524" state="hidden" r:id="rId47"/>
    <sheet name="副露率" sheetId="3525" state="hidden" r:id="rId48"/>
    <sheet name="リーチ成功率" sheetId="4841" state="hidden" r:id="rId49"/>
    <sheet name="副露成功率" sheetId="3527" state="hidden" r:id="rId50"/>
    <sheet name="ツモ率" sheetId="3528" state="hidden" r:id="rId51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9">ちさと!$B$17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9">ちさと!$C$17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9">ちさと!$B$27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9">ちさと!$C$27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9">ちさと!$B$18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9">ちさと!$C$18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9">ちさと!$B$11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9">ちさと!$C$11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9">ちさと!$B$13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9">ちさと!$B$15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9">ちさと!$C$15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9">ちさと!$C$13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9">ちさと!$B$19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9">ちさと!$C$19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9">ちさと!$B$12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9">ちさと!$C$12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9">ちさと!$B$25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9">ちさと!$B$26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9">ちさと!$B$14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9">ちさと!$B$16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9">ちさと!$C$16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9">ちさと!$C$14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9">ちさと!$B$23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9">ちさと!$B$24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9">ちさと!$B$21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9">ちさと!$B$22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625" l="1"/>
  <c r="O16" i="5647"/>
  <c r="O15" i="5647"/>
  <c r="C27" i="5647"/>
  <c r="B24" i="5647"/>
  <c r="C20" i="5647"/>
  <c r="B17" i="5647"/>
  <c r="H50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16" i="5633"/>
  <c r="O16" i="5619"/>
  <c r="H21" i="5647" l="1"/>
  <c r="H6" i="5647"/>
  <c r="H15" i="5647"/>
  <c r="H17" i="5647"/>
  <c r="H8" i="5647"/>
  <c r="H10" i="5647"/>
  <c r="H27" i="5647"/>
  <c r="H35" i="5647"/>
  <c r="H44" i="5647"/>
  <c r="H45" i="5647"/>
  <c r="H4" i="5647"/>
  <c r="H47" i="5647"/>
  <c r="H37" i="5647"/>
  <c r="H18" i="5647"/>
  <c r="H48" i="5647"/>
  <c r="H39" i="5647"/>
  <c r="H11" i="5647"/>
  <c r="H38" i="5647"/>
  <c r="H30" i="5647"/>
  <c r="H16" i="5647"/>
  <c r="H26" i="5647"/>
  <c r="H31" i="5647"/>
  <c r="H40" i="5647"/>
  <c r="H51" i="5647"/>
  <c r="H2" i="5647"/>
  <c r="H13" i="5647"/>
  <c r="H9" i="5647"/>
  <c r="H25" i="5647"/>
  <c r="B23" i="5647"/>
  <c r="H7" i="5647"/>
  <c r="H19" i="5647"/>
  <c r="H3" i="5647"/>
  <c r="H14" i="5647"/>
  <c r="H23" i="5647"/>
  <c r="H32" i="5647"/>
  <c r="H41" i="5647"/>
  <c r="H5" i="5647"/>
  <c r="H36" i="5647"/>
  <c r="C17" i="5647"/>
  <c r="H29" i="5647"/>
  <c r="H22" i="5647"/>
  <c r="H49" i="5647"/>
  <c r="C18" i="5647"/>
  <c r="H20" i="5647"/>
  <c r="C19" i="5647"/>
  <c r="H12" i="5647"/>
  <c r="H33" i="5647"/>
  <c r="H43" i="5647"/>
  <c r="H52" i="5647"/>
  <c r="H46" i="5647"/>
  <c r="H24" i="5647"/>
  <c r="H28" i="5647"/>
  <c r="H34" i="5647"/>
  <c r="H42" i="5647"/>
  <c r="O15" i="5631" l="1"/>
  <c r="O18" i="5645"/>
  <c r="O16" i="5639"/>
  <c r="O15" i="5645"/>
  <c r="O16" i="5625" l="1"/>
  <c r="O15" i="5633"/>
  <c r="O15" i="5619"/>
  <c r="O16" i="5645"/>
  <c r="O17" i="5645"/>
  <c r="C27" i="5645"/>
  <c r="B24" i="5645"/>
  <c r="C20" i="5645"/>
  <c r="B17" i="5645"/>
  <c r="H50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12" i="5645" l="1"/>
  <c r="H20" i="5645"/>
  <c r="H47" i="5645"/>
  <c r="H11" i="5645"/>
  <c r="H49" i="5645"/>
  <c r="H35" i="5645"/>
  <c r="H17" i="5645"/>
  <c r="H48" i="5645"/>
  <c r="H25" i="5645"/>
  <c r="H2" i="5645"/>
  <c r="H33" i="5645"/>
  <c r="H10" i="5645"/>
  <c r="H36" i="5645"/>
  <c r="H6" i="5645"/>
  <c r="H40" i="5645"/>
  <c r="H15" i="5645"/>
  <c r="H37" i="5645"/>
  <c r="H8" i="5645"/>
  <c r="H28" i="5645"/>
  <c r="C19" i="5645"/>
  <c r="H44" i="5645"/>
  <c r="H7" i="5645"/>
  <c r="H21" i="5645"/>
  <c r="H39" i="5645"/>
  <c r="C18" i="5645"/>
  <c r="H3" i="5645"/>
  <c r="H19" i="5645"/>
  <c r="H13" i="5645"/>
  <c r="H16" i="5645"/>
  <c r="H23" i="5645"/>
  <c r="H30" i="5645"/>
  <c r="H45" i="5645"/>
  <c r="H51" i="5645"/>
  <c r="H26" i="5645"/>
  <c r="H31" i="5645"/>
  <c r="H41" i="5645"/>
  <c r="H4" i="5645"/>
  <c r="H5" i="5645"/>
  <c r="H9" i="5645"/>
  <c r="H18" i="5645"/>
  <c r="C17" i="5645"/>
  <c r="B23" i="5645"/>
  <c r="H32" i="5645"/>
  <c r="H43" i="5645"/>
  <c r="H52" i="5645"/>
  <c r="H22" i="5645"/>
  <c r="H27" i="5645"/>
  <c r="H14" i="5645"/>
  <c r="H38" i="5645"/>
  <c r="H46" i="5645"/>
  <c r="H24" i="5645"/>
  <c r="H29" i="5645"/>
  <c r="H34" i="5645"/>
  <c r="H42" i="5645"/>
  <c r="O23" i="5637" l="1"/>
  <c r="O15" i="5643"/>
  <c r="O22" i="5639" l="1"/>
  <c r="O17" i="5625"/>
  <c r="O24" i="5631" l="1"/>
  <c r="O15" i="5637"/>
  <c r="O25" i="5621" l="1"/>
  <c r="O17" i="5643"/>
  <c r="O15" i="5625" l="1"/>
  <c r="O23" i="5629"/>
  <c r="O27" i="5619"/>
  <c r="O18" i="5643"/>
  <c r="O16" i="5643"/>
  <c r="C27" i="5643"/>
  <c r="B24" i="5643"/>
  <c r="C20" i="5643"/>
  <c r="B17" i="5643"/>
  <c r="H10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15" i="5641"/>
  <c r="O16" i="5641"/>
  <c r="H37" i="5641"/>
  <c r="H33" i="5641"/>
  <c r="H32" i="5641"/>
  <c r="C27" i="5641"/>
  <c r="B24" i="5641"/>
  <c r="B23" i="5641"/>
  <c r="H23" i="5641"/>
  <c r="C20" i="5641"/>
  <c r="B17" i="5641"/>
  <c r="H51" i="5641" s="1"/>
  <c r="H18" i="5641"/>
  <c r="C16" i="5641"/>
  <c r="C15" i="5641"/>
  <c r="C14" i="5641"/>
  <c r="C13" i="5641"/>
  <c r="O12" i="5641"/>
  <c r="C12" i="5641"/>
  <c r="O11" i="5641"/>
  <c r="C11" i="5641"/>
  <c r="O10" i="5641"/>
  <c r="C10" i="5641"/>
  <c r="C9" i="5641"/>
  <c r="H10" i="5641"/>
  <c r="C8" i="5641"/>
  <c r="O7" i="5641"/>
  <c r="C7" i="5641"/>
  <c r="O6" i="5641"/>
  <c r="B6" i="5641"/>
  <c r="O5" i="5641"/>
  <c r="H4" i="5641"/>
  <c r="B5" i="5641"/>
  <c r="O4" i="5641"/>
  <c r="O3" i="5641"/>
  <c r="O2" i="5641"/>
  <c r="H3" i="5641"/>
  <c r="O23" i="5627"/>
  <c r="O16" i="5621"/>
  <c r="O26" i="5619"/>
  <c r="H23" i="5643" l="1"/>
  <c r="H25" i="5643"/>
  <c r="H33" i="5643"/>
  <c r="H2" i="5643"/>
  <c r="H3" i="5643"/>
  <c r="H5" i="5643"/>
  <c r="H21" i="5643"/>
  <c r="H11" i="5643"/>
  <c r="H37" i="5643"/>
  <c r="H40" i="5643"/>
  <c r="H41" i="5643"/>
  <c r="H48" i="5643"/>
  <c r="H27" i="5643"/>
  <c r="H45" i="5643"/>
  <c r="H7" i="5643"/>
  <c r="H18" i="5643"/>
  <c r="C17" i="5643"/>
  <c r="H9" i="5643"/>
  <c r="H15" i="5643"/>
  <c r="H8" i="5643"/>
  <c r="H49" i="5643"/>
  <c r="C19" i="5643"/>
  <c r="H32" i="5643"/>
  <c r="H4" i="5643"/>
  <c r="H17" i="5643"/>
  <c r="H20" i="5643"/>
  <c r="C18" i="5643"/>
  <c r="B23" i="5643"/>
  <c r="H30" i="5643"/>
  <c r="H38" i="5643"/>
  <c r="H46" i="5643"/>
  <c r="H52" i="5643"/>
  <c r="H6" i="5643"/>
  <c r="H13" i="5643"/>
  <c r="H22" i="5643"/>
  <c r="H26" i="5643"/>
  <c r="H31" i="5643"/>
  <c r="H39" i="5643"/>
  <c r="H47" i="5643"/>
  <c r="H14" i="5643"/>
  <c r="H28" i="5643"/>
  <c r="H34" i="5643"/>
  <c r="H42" i="5643"/>
  <c r="H50" i="5643"/>
  <c r="H24" i="5643"/>
  <c r="H29" i="5643"/>
  <c r="H35" i="5643"/>
  <c r="H43" i="5643"/>
  <c r="H51" i="5643"/>
  <c r="H12" i="5643"/>
  <c r="H19" i="5643"/>
  <c r="H16" i="5643"/>
  <c r="H36" i="5643"/>
  <c r="H44" i="5643"/>
  <c r="H8" i="5641"/>
  <c r="H25" i="5641"/>
  <c r="H26" i="5641"/>
  <c r="H2" i="5641"/>
  <c r="H44" i="5641"/>
  <c r="H14" i="5641"/>
  <c r="H5" i="5641"/>
  <c r="H40" i="5641"/>
  <c r="H19" i="5641"/>
  <c r="C18" i="5641"/>
  <c r="H28" i="5641"/>
  <c r="H45" i="5641"/>
  <c r="H11" i="5641"/>
  <c r="C17" i="5641"/>
  <c r="H12" i="5641"/>
  <c r="H41" i="5641"/>
  <c r="H16" i="5641"/>
  <c r="H6" i="5641"/>
  <c r="H13" i="5641"/>
  <c r="H29" i="5641"/>
  <c r="H49" i="5641"/>
  <c r="H7" i="5641"/>
  <c r="H36" i="5641"/>
  <c r="H52" i="5641"/>
  <c r="H20" i="5641"/>
  <c r="H24" i="5641"/>
  <c r="H30" i="5641"/>
  <c r="H38" i="5641"/>
  <c r="H46" i="5641"/>
  <c r="H17" i="5641"/>
  <c r="C19" i="5641"/>
  <c r="H31" i="5641"/>
  <c r="H39" i="5641"/>
  <c r="H47" i="5641"/>
  <c r="H48" i="5641"/>
  <c r="H21" i="5641"/>
  <c r="H27" i="5641"/>
  <c r="H34" i="5641"/>
  <c r="H42" i="5641"/>
  <c r="H50" i="5641"/>
  <c r="H9" i="5641"/>
  <c r="H15" i="5641"/>
  <c r="H22" i="5641"/>
  <c r="H35" i="5641"/>
  <c r="H43" i="5641"/>
  <c r="O15" i="5629" l="1"/>
  <c r="O21" i="5637"/>
  <c r="O21" i="5639" l="1"/>
  <c r="O20" i="5639"/>
  <c r="O19" i="5633"/>
  <c r="O21" i="5623"/>
  <c r="O24" i="5621" l="1"/>
  <c r="O18" i="5639"/>
  <c r="O23" i="5631"/>
  <c r="O15" i="5639"/>
  <c r="O19" i="5639" l="1"/>
  <c r="O17" i="5639"/>
  <c r="C27" i="5639"/>
  <c r="B24" i="5639"/>
  <c r="C20" i="5639"/>
  <c r="B17" i="5639"/>
  <c r="H50" i="5639" s="1"/>
  <c r="C16" i="5639"/>
  <c r="C15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1" i="5627"/>
  <c r="O21" i="5629"/>
  <c r="O24" i="5619"/>
  <c r="H5" i="5639" l="1"/>
  <c r="H11" i="5639"/>
  <c r="H20" i="5639"/>
  <c r="C18" i="5639"/>
  <c r="B23" i="5639"/>
  <c r="C17" i="5639"/>
  <c r="H45" i="5639"/>
  <c r="H52" i="5639"/>
  <c r="H16" i="5639"/>
  <c r="H43" i="5639"/>
  <c r="H44" i="5639"/>
  <c r="H21" i="5639"/>
  <c r="H27" i="5639"/>
  <c r="H7" i="5639"/>
  <c r="H19" i="5639"/>
  <c r="H9" i="5639"/>
  <c r="H32" i="5639"/>
  <c r="H39" i="5639"/>
  <c r="H3" i="5639"/>
  <c r="H2" i="5639"/>
  <c r="H10" i="5639"/>
  <c r="H8" i="5639"/>
  <c r="H17" i="5639"/>
  <c r="H47" i="5639"/>
  <c r="H22" i="5639"/>
  <c r="C19" i="5639"/>
  <c r="H4" i="5639"/>
  <c r="H13" i="5639"/>
  <c r="H18" i="5639"/>
  <c r="H14" i="5639"/>
  <c r="H33" i="5639"/>
  <c r="H35" i="5639"/>
  <c r="H37" i="5639"/>
  <c r="H48" i="5639"/>
  <c r="H36" i="5639"/>
  <c r="H49" i="5639"/>
  <c r="H12" i="5639"/>
  <c r="H15" i="5639"/>
  <c r="H29" i="5639"/>
  <c r="H40" i="5639"/>
  <c r="H51" i="5639"/>
  <c r="H25" i="5639"/>
  <c r="H31" i="5639"/>
  <c r="H41" i="5639"/>
  <c r="H6" i="5639"/>
  <c r="H23" i="5639"/>
  <c r="H26" i="5639"/>
  <c r="H30" i="5639"/>
  <c r="H38" i="5639"/>
  <c r="H46" i="5639"/>
  <c r="H24" i="5639"/>
  <c r="H28" i="5639"/>
  <c r="H34" i="5639"/>
  <c r="H42" i="5639"/>
  <c r="O18" i="5629" l="1"/>
  <c r="O19" i="5625"/>
  <c r="O23" i="5633"/>
  <c r="O21" i="5633"/>
  <c r="O17" i="5621" l="1"/>
  <c r="O20" i="5637"/>
  <c r="O18" i="5637" l="1"/>
  <c r="O16" i="5637"/>
  <c r="O15" i="5627"/>
  <c r="O25" i="5625"/>
  <c r="O17" i="5635" l="1"/>
  <c r="O22" i="5631"/>
  <c r="O15" i="5635"/>
  <c r="O22" i="5637"/>
  <c r="O15" i="5623"/>
  <c r="O20" i="5633"/>
  <c r="O17" i="5619"/>
  <c r="O19" i="5637"/>
  <c r="O17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6" i="5635"/>
  <c r="O18" i="5635"/>
  <c r="C27" i="5635"/>
  <c r="B24" i="5635"/>
  <c r="C20" i="5635"/>
  <c r="B17" i="5635"/>
  <c r="H50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24" i="5633"/>
  <c r="O25" i="5633"/>
  <c r="O15" i="5621"/>
  <c r="O21" i="5621"/>
  <c r="O28" i="5619"/>
  <c r="H15" i="5635" l="1"/>
  <c r="H10" i="5635"/>
  <c r="H8" i="5635"/>
  <c r="H19" i="5635"/>
  <c r="H11" i="5635"/>
  <c r="H39" i="5635"/>
  <c r="H27" i="5635"/>
  <c r="H4" i="5635"/>
  <c r="H47" i="5635"/>
  <c r="H40" i="5635"/>
  <c r="H22" i="5635"/>
  <c r="H12" i="5635"/>
  <c r="C18" i="5635"/>
  <c r="H3" i="5635"/>
  <c r="H6" i="5635"/>
  <c r="H29" i="5635"/>
  <c r="H48" i="5635"/>
  <c r="H35" i="5635"/>
  <c r="H5" i="5635"/>
  <c r="H24" i="5635"/>
  <c r="H51" i="5635"/>
  <c r="H45" i="5635"/>
  <c r="C19" i="5635"/>
  <c r="H17" i="5635"/>
  <c r="H14" i="5635"/>
  <c r="H49" i="5635"/>
  <c r="H13" i="5635"/>
  <c r="H18" i="5635"/>
  <c r="H36" i="5635"/>
  <c r="H2" i="5635"/>
  <c r="H37" i="5635"/>
  <c r="H7" i="5635"/>
  <c r="H25" i="5635"/>
  <c r="H31" i="5635"/>
  <c r="H41" i="5635"/>
  <c r="H9" i="5635"/>
  <c r="H16" i="5635"/>
  <c r="C17" i="5635"/>
  <c r="B23" i="5635"/>
  <c r="H32" i="5635"/>
  <c r="H43" i="5635"/>
  <c r="H52" i="5635"/>
  <c r="H20" i="5635"/>
  <c r="H33" i="5635"/>
  <c r="H44" i="5635"/>
  <c r="H39" i="5637"/>
  <c r="H40" i="5637"/>
  <c r="H11" i="5637"/>
  <c r="H17" i="5637"/>
  <c r="H6" i="5637"/>
  <c r="H27" i="5637"/>
  <c r="H3" i="5637"/>
  <c r="H8" i="5637"/>
  <c r="H18" i="5637"/>
  <c r="H21" i="5637"/>
  <c r="H33" i="5637"/>
  <c r="H48" i="5637"/>
  <c r="H13" i="5637"/>
  <c r="H43" i="5637"/>
  <c r="C19" i="5637"/>
  <c r="H47" i="5637"/>
  <c r="H4" i="5637"/>
  <c r="H10" i="5637"/>
  <c r="H36" i="5637"/>
  <c r="H51" i="5637"/>
  <c r="H12" i="5637"/>
  <c r="C17" i="5637"/>
  <c r="H2" i="5637"/>
  <c r="H14" i="5637"/>
  <c r="H44" i="5637"/>
  <c r="H32" i="5637"/>
  <c r="H7" i="5637"/>
  <c r="H9" i="5637"/>
  <c r="H16" i="5637"/>
  <c r="H22" i="5637"/>
  <c r="H25" i="5637"/>
  <c r="H19" i="5637"/>
  <c r="H5" i="5637"/>
  <c r="H23" i="5637"/>
  <c r="H26" i="5637"/>
  <c r="H31" i="5637"/>
  <c r="H38" i="5637"/>
  <c r="H46" i="5637"/>
  <c r="H28" i="5637"/>
  <c r="H34" i="5637"/>
  <c r="H41" i="5637"/>
  <c r="H49" i="5637"/>
  <c r="H24" i="5637"/>
  <c r="H29" i="5637"/>
  <c r="H35" i="5637"/>
  <c r="H42" i="5637"/>
  <c r="H50" i="5637"/>
  <c r="H15" i="5637"/>
  <c r="H20" i="5637"/>
  <c r="C18" i="5637"/>
  <c r="B23" i="5637"/>
  <c r="H30" i="5637"/>
  <c r="H37" i="5637"/>
  <c r="H45" i="5637"/>
  <c r="H21" i="5635"/>
  <c r="H26" i="5635"/>
  <c r="H30" i="5635"/>
  <c r="H38" i="5635"/>
  <c r="H46" i="5635"/>
  <c r="H23" i="5635"/>
  <c r="H28" i="5635"/>
  <c r="H34" i="5635"/>
  <c r="H42" i="5635"/>
  <c r="O18" i="5633" l="1"/>
  <c r="O19" i="5631"/>
  <c r="O18" i="5631"/>
  <c r="O16" i="5623"/>
  <c r="O17" i="5629" l="1"/>
  <c r="O17" i="5627"/>
  <c r="O17" i="5631"/>
  <c r="O20" i="5631"/>
  <c r="O16" i="5629" l="1"/>
  <c r="O16" i="5627"/>
  <c r="O23" i="5625"/>
  <c r="O22" i="5625"/>
  <c r="O17" i="5633"/>
  <c r="O22" i="5633"/>
  <c r="C27" i="5633"/>
  <c r="B24" i="5633"/>
  <c r="C20" i="5633"/>
  <c r="B17" i="5633"/>
  <c r="H5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O22" i="5627"/>
  <c r="O18" i="5623"/>
  <c r="O22" i="5619"/>
  <c r="H24" i="5633" l="1"/>
  <c r="H22" i="5633"/>
  <c r="H3" i="5633"/>
  <c r="H9" i="5633"/>
  <c r="H41" i="5633"/>
  <c r="H11" i="5633"/>
  <c r="H17" i="5633"/>
  <c r="H23" i="5633"/>
  <c r="H43" i="5633"/>
  <c r="H15" i="5633"/>
  <c r="H20" i="5633"/>
  <c r="H13" i="5633"/>
  <c r="H47" i="5633"/>
  <c r="H2" i="5633"/>
  <c r="C17" i="5633"/>
  <c r="H38" i="5633"/>
  <c r="H49" i="5633"/>
  <c r="H12" i="5633"/>
  <c r="H25" i="5633"/>
  <c r="B23" i="5633"/>
  <c r="H4" i="5633"/>
  <c r="H48" i="5633"/>
  <c r="H8" i="5633"/>
  <c r="C18" i="5633"/>
  <c r="H32" i="5633"/>
  <c r="H40" i="5633"/>
  <c r="H51" i="5633"/>
  <c r="H7" i="5633"/>
  <c r="H45" i="5633"/>
  <c r="H34" i="5633"/>
  <c r="H36" i="5633"/>
  <c r="H21" i="5633"/>
  <c r="H14" i="5633"/>
  <c r="H6" i="5633"/>
  <c r="H27" i="5633"/>
  <c r="H28" i="5633"/>
  <c r="C19" i="5633"/>
  <c r="H26" i="5633"/>
  <c r="H52" i="5633"/>
  <c r="H29" i="5633"/>
  <c r="H18" i="5633"/>
  <c r="H16" i="5633"/>
  <c r="H39" i="5633"/>
  <c r="H46" i="5633"/>
  <c r="H30" i="5633"/>
  <c r="H33" i="5633"/>
  <c r="H35" i="5633"/>
  <c r="H42" i="5633"/>
  <c r="H50" i="5633"/>
  <c r="H19" i="5633"/>
  <c r="H31" i="5633"/>
  <c r="H10" i="5633"/>
  <c r="H37" i="5633"/>
  <c r="H44" i="5633"/>
  <c r="O20" i="5625" l="1"/>
  <c r="O21" i="5631"/>
  <c r="O16" i="5631"/>
  <c r="H40" i="5631"/>
  <c r="H39" i="5631"/>
  <c r="C27" i="5631"/>
  <c r="H12" i="5631"/>
  <c r="B24" i="5631"/>
  <c r="C20" i="5631"/>
  <c r="B17" i="5631"/>
  <c r="H18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H10" i="5631"/>
  <c r="C8" i="5631"/>
  <c r="O7" i="5631"/>
  <c r="C7" i="5631"/>
  <c r="O6" i="5631"/>
  <c r="B6" i="5631"/>
  <c r="O5" i="5631"/>
  <c r="H7" i="5631"/>
  <c r="B5" i="5631"/>
  <c r="O4" i="5631"/>
  <c r="O3" i="5631"/>
  <c r="O2" i="5631"/>
  <c r="O18" i="5621"/>
  <c r="O18" i="5619"/>
  <c r="O19" i="5629"/>
  <c r="O19" i="5623"/>
  <c r="O20" i="5623"/>
  <c r="O20" i="5627"/>
  <c r="O20" i="5629"/>
  <c r="O22" i="5629"/>
  <c r="C27" i="5629"/>
  <c r="B24" i="5629"/>
  <c r="C20" i="5629"/>
  <c r="B17" i="5629"/>
  <c r="H50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19" i="5627"/>
  <c r="O18" i="5627"/>
  <c r="C27" i="5627"/>
  <c r="B24" i="5627"/>
  <c r="C20" i="5627"/>
  <c r="B17" i="5627"/>
  <c r="H52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19" i="5621"/>
  <c r="O23" i="5621"/>
  <c r="O21" i="5619"/>
  <c r="O23" i="5619"/>
  <c r="H14" i="5631" l="1"/>
  <c r="H40" i="5627"/>
  <c r="H41" i="5627"/>
  <c r="H22" i="5627"/>
  <c r="H44" i="5627"/>
  <c r="H14" i="5627"/>
  <c r="H8" i="5627"/>
  <c r="H10" i="5627"/>
  <c r="H12" i="5627"/>
  <c r="H23" i="5631"/>
  <c r="H4" i="5631"/>
  <c r="C18" i="5631"/>
  <c r="H47" i="5631"/>
  <c r="H46" i="5631"/>
  <c r="H5" i="5631"/>
  <c r="H11" i="5631"/>
  <c r="H34" i="5631"/>
  <c r="H9" i="5631"/>
  <c r="H25" i="5631"/>
  <c r="H20" i="5631"/>
  <c r="H35" i="5631"/>
  <c r="H13" i="5631"/>
  <c r="H21" i="5631"/>
  <c r="H22" i="5631"/>
  <c r="H27" i="5631"/>
  <c r="C19" i="5631"/>
  <c r="H15" i="5631"/>
  <c r="H26" i="5631"/>
  <c r="H38" i="5631"/>
  <c r="H49" i="5629"/>
  <c r="H33" i="5629"/>
  <c r="H10" i="5629"/>
  <c r="H35" i="5629"/>
  <c r="H36" i="5629"/>
  <c r="H37" i="5629"/>
  <c r="H9" i="5629"/>
  <c r="H5" i="5629"/>
  <c r="H15" i="5629"/>
  <c r="H2" i="5629"/>
  <c r="H22" i="5629"/>
  <c r="H12" i="5629"/>
  <c r="H14" i="5629"/>
  <c r="H47" i="5629"/>
  <c r="H11" i="5629"/>
  <c r="C18" i="5629"/>
  <c r="C19" i="5629"/>
  <c r="H25" i="5629"/>
  <c r="H20" i="5629"/>
  <c r="H39" i="5629"/>
  <c r="H7" i="5629"/>
  <c r="H19" i="5629"/>
  <c r="H16" i="5629"/>
  <c r="H48" i="5629"/>
  <c r="H45" i="5627"/>
  <c r="H15" i="5627"/>
  <c r="H48" i="5631"/>
  <c r="H49" i="5631"/>
  <c r="H32" i="5631"/>
  <c r="H41" i="5631"/>
  <c r="C17" i="5631"/>
  <c r="B23" i="5631"/>
  <c r="H19" i="5631"/>
  <c r="H42" i="5631"/>
  <c r="H6" i="5631"/>
  <c r="H2" i="5631"/>
  <c r="H3" i="5631"/>
  <c r="H29" i="5631"/>
  <c r="H50" i="5631"/>
  <c r="H8" i="5631"/>
  <c r="H24" i="5631"/>
  <c r="H16" i="5631"/>
  <c r="H30" i="5631"/>
  <c r="H33" i="5631"/>
  <c r="H43" i="5631"/>
  <c r="H52" i="5631"/>
  <c r="H28" i="5631"/>
  <c r="H31" i="5631"/>
  <c r="H36" i="5631"/>
  <c r="H44" i="5631"/>
  <c r="H51" i="5631"/>
  <c r="H17" i="5631"/>
  <c r="H37" i="5631"/>
  <c r="H45" i="5631"/>
  <c r="H6" i="5629"/>
  <c r="H23" i="5629"/>
  <c r="H44" i="5629"/>
  <c r="H3" i="5629"/>
  <c r="H18" i="5629"/>
  <c r="H45" i="5629"/>
  <c r="H48" i="5627"/>
  <c r="H9" i="5627"/>
  <c r="H6" i="5627"/>
  <c r="C19" i="5627"/>
  <c r="H16" i="5627"/>
  <c r="H27" i="5627"/>
  <c r="H11" i="5627"/>
  <c r="H29" i="5627"/>
  <c r="H4" i="5627"/>
  <c r="H17" i="5627"/>
  <c r="H23" i="5627"/>
  <c r="H13" i="5629"/>
  <c r="H24" i="5629"/>
  <c r="H40" i="5629"/>
  <c r="H51" i="5629"/>
  <c r="H28" i="5629"/>
  <c r="H31" i="5629"/>
  <c r="H41" i="5629"/>
  <c r="H4" i="5629"/>
  <c r="H8" i="5629"/>
  <c r="H21" i="5629"/>
  <c r="C17" i="5629"/>
  <c r="B23" i="5629"/>
  <c r="H32" i="5629"/>
  <c r="H43" i="5629"/>
  <c r="H52" i="5629"/>
  <c r="H26" i="5629"/>
  <c r="H29" i="5629"/>
  <c r="H17" i="5629"/>
  <c r="H38" i="5629"/>
  <c r="H46" i="5629"/>
  <c r="H27" i="5629"/>
  <c r="H30" i="5629"/>
  <c r="H34" i="5629"/>
  <c r="H42" i="5629"/>
  <c r="H13" i="5627"/>
  <c r="H49" i="5627"/>
  <c r="C17" i="5627"/>
  <c r="H36" i="5627"/>
  <c r="H19" i="5627"/>
  <c r="H7" i="5627"/>
  <c r="H24" i="5627"/>
  <c r="H26" i="5627"/>
  <c r="H31" i="5627"/>
  <c r="H2" i="5627"/>
  <c r="H3" i="5627"/>
  <c r="H21" i="5627"/>
  <c r="H18" i="5627"/>
  <c r="H37" i="5627"/>
  <c r="H5" i="5627"/>
  <c r="H39" i="5627"/>
  <c r="H47" i="5627"/>
  <c r="H25" i="5627"/>
  <c r="H34" i="5627"/>
  <c r="H42" i="5627"/>
  <c r="H50" i="5627"/>
  <c r="H30" i="5627"/>
  <c r="H32" i="5627"/>
  <c r="H35" i="5627"/>
  <c r="H43" i="5627"/>
  <c r="H51" i="5627"/>
  <c r="H20" i="5627"/>
  <c r="H28" i="5627"/>
  <c r="C18" i="5627"/>
  <c r="B23" i="5627"/>
  <c r="H33" i="5627"/>
  <c r="H38" i="5627"/>
  <c r="H46" i="5627"/>
  <c r="O21" i="5625" l="1"/>
  <c r="O24" i="5625"/>
  <c r="C27" i="5625"/>
  <c r="B24" i="5625"/>
  <c r="C20" i="5625"/>
  <c r="B17" i="5625"/>
  <c r="H25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O22" i="5623"/>
  <c r="O17" i="5623"/>
  <c r="C27" i="5623"/>
  <c r="B24" i="5623"/>
  <c r="C20" i="5623"/>
  <c r="B17" i="5623"/>
  <c r="H52" i="5623" s="1"/>
  <c r="C16" i="5623"/>
  <c r="C15" i="5623"/>
  <c r="C14" i="5623"/>
  <c r="C13" i="5623"/>
  <c r="O12" i="5623"/>
  <c r="C12" i="5623"/>
  <c r="O11" i="5623"/>
  <c r="C11" i="5623"/>
  <c r="O10" i="5623"/>
  <c r="C10" i="5623"/>
  <c r="C9" i="5623"/>
  <c r="C8" i="5623"/>
  <c r="O7" i="5623"/>
  <c r="C7" i="5623"/>
  <c r="O6" i="5623"/>
  <c r="B6" i="5623"/>
  <c r="O5" i="5623"/>
  <c r="B5" i="5623"/>
  <c r="O4" i="5623"/>
  <c r="O3" i="5623"/>
  <c r="O2" i="5623"/>
  <c r="O25" i="5619"/>
  <c r="O20" i="5621"/>
  <c r="O22" i="5621"/>
  <c r="C27" i="5621"/>
  <c r="B24" i="5621"/>
  <c r="C20" i="5621"/>
  <c r="B17" i="5621"/>
  <c r="H52" i="5621" s="1"/>
  <c r="C16" i="5621"/>
  <c r="C15" i="5621"/>
  <c r="C14" i="5621"/>
  <c r="C13" i="5621"/>
  <c r="O12" i="5621"/>
  <c r="C12" i="5621"/>
  <c r="O11" i="5621"/>
  <c r="C11" i="5621"/>
  <c r="O10" i="5621"/>
  <c r="C10" i="5621"/>
  <c r="C9" i="5621"/>
  <c r="C8" i="5621"/>
  <c r="O7" i="5621"/>
  <c r="C7" i="5621"/>
  <c r="O6" i="5621"/>
  <c r="B6" i="5621"/>
  <c r="O5" i="5621"/>
  <c r="B5" i="5621"/>
  <c r="O4" i="5621"/>
  <c r="O3" i="5621"/>
  <c r="O2" i="5621"/>
  <c r="O19" i="5619"/>
  <c r="O20" i="5619"/>
  <c r="C27" i="5619"/>
  <c r="B24" i="5619"/>
  <c r="C20" i="5619"/>
  <c r="B17" i="5619"/>
  <c r="H51" i="5619" s="1"/>
  <c r="C16" i="5619"/>
  <c r="C15" i="5619"/>
  <c r="C14" i="5619"/>
  <c r="C13" i="5619"/>
  <c r="O12" i="5619"/>
  <c r="C12" i="5619"/>
  <c r="O11" i="5619"/>
  <c r="C11" i="5619"/>
  <c r="O10" i="5619"/>
  <c r="C10" i="5619"/>
  <c r="C9" i="5619"/>
  <c r="C8" i="5619"/>
  <c r="O7" i="5619"/>
  <c r="C7" i="5619"/>
  <c r="O6" i="5619"/>
  <c r="B6" i="5619"/>
  <c r="O5" i="5619"/>
  <c r="B5" i="5619"/>
  <c r="O4" i="5619"/>
  <c r="O3" i="5619"/>
  <c r="O2" i="5619"/>
  <c r="H23" i="5623" l="1"/>
  <c r="H17" i="5621"/>
  <c r="H22" i="5621"/>
  <c r="H23" i="5625"/>
  <c r="H13" i="5625"/>
  <c r="H26" i="5625"/>
  <c r="H2" i="5625"/>
  <c r="H2" i="5623"/>
  <c r="H10" i="5619"/>
  <c r="H11" i="5621"/>
  <c r="H14" i="5621"/>
  <c r="H8" i="5621"/>
  <c r="H18" i="5625"/>
  <c r="H37" i="5625"/>
  <c r="C17" i="5625"/>
  <c r="H11" i="5625"/>
  <c r="H16" i="5625"/>
  <c r="H45" i="5625"/>
  <c r="H7" i="5625"/>
  <c r="H10" i="5625"/>
  <c r="H20" i="5625"/>
  <c r="H12" i="5625"/>
  <c r="H6" i="5625"/>
  <c r="H4" i="5625"/>
  <c r="H5" i="5625"/>
  <c r="C18" i="5625"/>
  <c r="B23" i="5625"/>
  <c r="H33" i="5625"/>
  <c r="H38" i="5625"/>
  <c r="H52" i="5625"/>
  <c r="H3" i="5625"/>
  <c r="H9" i="5625"/>
  <c r="H31" i="5625"/>
  <c r="H27" i="5625"/>
  <c r="H19" i="5625"/>
  <c r="H39" i="5625"/>
  <c r="H47" i="5625"/>
  <c r="H30" i="5625"/>
  <c r="H46" i="5625"/>
  <c r="H17" i="5625"/>
  <c r="C19" i="5625"/>
  <c r="H29" i="5625"/>
  <c r="H40" i="5625"/>
  <c r="H48" i="5625"/>
  <c r="H24" i="5625"/>
  <c r="H41" i="5625"/>
  <c r="H49" i="5625"/>
  <c r="H15" i="5625"/>
  <c r="H22" i="5625"/>
  <c r="H34" i="5625"/>
  <c r="H42" i="5625"/>
  <c r="H50" i="5625"/>
  <c r="H32" i="5625"/>
  <c r="H28" i="5625"/>
  <c r="H35" i="5625"/>
  <c r="H43" i="5625"/>
  <c r="H51" i="5625"/>
  <c r="H8" i="5625"/>
  <c r="H21" i="5625"/>
  <c r="H14" i="5625"/>
  <c r="H36" i="5625"/>
  <c r="H44" i="5625"/>
  <c r="H29" i="5619"/>
  <c r="H3" i="5619"/>
  <c r="H27" i="5619"/>
  <c r="H15" i="5619"/>
  <c r="H6" i="5619"/>
  <c r="H45" i="5619"/>
  <c r="H8" i="5623"/>
  <c r="H32" i="5623"/>
  <c r="H10" i="5623"/>
  <c r="H7" i="5623"/>
  <c r="H40" i="5623"/>
  <c r="H22" i="5623"/>
  <c r="H27" i="5623"/>
  <c r="H3" i="5623"/>
  <c r="C17" i="5623"/>
  <c r="H19" i="5623"/>
  <c r="H13" i="5623"/>
  <c r="H30" i="5623"/>
  <c r="H26" i="5623"/>
  <c r="H9" i="5623"/>
  <c r="C19" i="5623"/>
  <c r="H4" i="5623"/>
  <c r="H15" i="5623"/>
  <c r="H39" i="5623"/>
  <c r="H41" i="5623"/>
  <c r="H12" i="5623"/>
  <c r="H48" i="5623"/>
  <c r="H47" i="5623"/>
  <c r="H49" i="5623"/>
  <c r="H16" i="5623"/>
  <c r="H33" i="5623"/>
  <c r="H35" i="5623"/>
  <c r="H42" i="5623"/>
  <c r="H50" i="5623"/>
  <c r="H31" i="5623"/>
  <c r="H25" i="5623"/>
  <c r="H28" i="5623"/>
  <c r="H43" i="5623"/>
  <c r="H51" i="5623"/>
  <c r="H20" i="5623"/>
  <c r="H14" i="5623"/>
  <c r="H36" i="5623"/>
  <c r="H44" i="5623"/>
  <c r="H17" i="5623"/>
  <c r="H18" i="5623"/>
  <c r="H24" i="5623"/>
  <c r="H11" i="5623"/>
  <c r="H37" i="5623"/>
  <c r="H45" i="5623"/>
  <c r="H5" i="5623"/>
  <c r="H6" i="5623"/>
  <c r="H21" i="5623"/>
  <c r="H29" i="5623"/>
  <c r="C18" i="5623"/>
  <c r="B23" i="5623"/>
  <c r="H34" i="5623"/>
  <c r="H38" i="5623"/>
  <c r="H46" i="5623"/>
  <c r="H34" i="5619"/>
  <c r="H24" i="5619"/>
  <c r="H12" i="5619"/>
  <c r="H46" i="5619"/>
  <c r="H14" i="5619"/>
  <c r="H23" i="5621"/>
  <c r="H41" i="5621"/>
  <c r="H18" i="5621"/>
  <c r="H44" i="5621"/>
  <c r="H45" i="5621"/>
  <c r="H28" i="5621"/>
  <c r="H47" i="5621"/>
  <c r="H48" i="5621"/>
  <c r="H4" i="5621"/>
  <c r="C17" i="5621"/>
  <c r="H10" i="5621"/>
  <c r="H37" i="5621"/>
  <c r="H49" i="5621"/>
  <c r="H7" i="5621"/>
  <c r="H20" i="5621"/>
  <c r="H3" i="5621"/>
  <c r="H33" i="5621"/>
  <c r="H12" i="5621"/>
  <c r="H39" i="5621"/>
  <c r="H15" i="5621"/>
  <c r="H31" i="5621"/>
  <c r="H26" i="5621"/>
  <c r="H13" i="5621"/>
  <c r="H36" i="5621"/>
  <c r="H19" i="5621"/>
  <c r="H27" i="5621"/>
  <c r="H2" i="5621"/>
  <c r="H9" i="5621"/>
  <c r="C19" i="5621"/>
  <c r="H40" i="5621"/>
  <c r="H5" i="5621"/>
  <c r="H16" i="5621"/>
  <c r="H29" i="5621"/>
  <c r="H35" i="5621"/>
  <c r="H42" i="5621"/>
  <c r="H50" i="5621"/>
  <c r="H34" i="5621"/>
  <c r="H25" i="5621"/>
  <c r="H30" i="5621"/>
  <c r="H43" i="5621"/>
  <c r="H51" i="5621"/>
  <c r="H6" i="5621"/>
  <c r="H21" i="5621"/>
  <c r="H32" i="5621"/>
  <c r="C18" i="5621"/>
  <c r="B23" i="5621"/>
  <c r="H24" i="5621"/>
  <c r="H38" i="5621"/>
  <c r="H46" i="5621"/>
  <c r="H2" i="5619"/>
  <c r="H39" i="5619"/>
  <c r="H38" i="5619"/>
  <c r="H48" i="5619"/>
  <c r="H13" i="5619"/>
  <c r="C18" i="5619"/>
  <c r="H50" i="5619"/>
  <c r="B23" i="5619"/>
  <c r="H8" i="5619"/>
  <c r="H22" i="5619"/>
  <c r="H19" i="5619"/>
  <c r="H32" i="5619"/>
  <c r="H35" i="5619"/>
  <c r="H40" i="5619"/>
  <c r="C19" i="5619"/>
  <c r="H18" i="5619"/>
  <c r="C17" i="5619"/>
  <c r="H49" i="5619"/>
  <c r="H7" i="5619"/>
  <c r="H21" i="5619"/>
  <c r="H26" i="5619"/>
  <c r="H4" i="5619"/>
  <c r="H11" i="5619"/>
  <c r="H42" i="5619"/>
  <c r="H20" i="5619"/>
  <c r="H16" i="5619"/>
  <c r="H9" i="5619"/>
  <c r="H33" i="5619"/>
  <c r="H52" i="5619"/>
  <c r="H28" i="5619"/>
  <c r="H25" i="5619"/>
  <c r="H43" i="5619"/>
  <c r="H5" i="5619"/>
  <c r="H36" i="5619"/>
  <c r="H23" i="5619"/>
  <c r="H17" i="5619"/>
  <c r="H41" i="5619"/>
  <c r="H47" i="5619"/>
  <c r="H37" i="5619"/>
  <c r="H30" i="5619"/>
  <c r="H31" i="5619"/>
  <c r="H44" i="561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<sst xmlns="http://schemas.openxmlformats.org/spreadsheetml/2006/main" count="3906" uniqueCount="304">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</sst>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C-4583-8B27-EE9582836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E-469B-BABA-82AD2F9E9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10-48B6-AE15-3F5457E3D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D-4187-881A-1E83802A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C-41E2-B42E-11DE32417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D-4493-B79D-DDA3B27C4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8-44E1-A482-DD312B164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6-4D19-A8B5-9A6F0F4DF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C-42D8-8DFA-1DB78C727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5-4FA9-814B-E8A5D2F32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6-43B2-A0B8-D80EBA42A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B-4B8E-B297-6C1B67E38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1-455B-BC1E-8D85B7782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0-4319-B55B-FB6CFA043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E-45B8-9860-F3E22CE1F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2-4573-90D4-9A3F84027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2-420C-833B-C9EF45AE6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4-43E1-AC25-A609E064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0-41DC-AB29-DDBBF2EC6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2-4F09-A731-AEF8EBCC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EB4-B0FE-5CC2E0957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A-4E59-AD32-2458E2973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A-42CB-A01E-8A20A3ECE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6C-41F4-9C1D-8119775B7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A-478D-BF2A-20D1337B3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C-4EA9-9471-C614BCED5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F3-4DEF-9E32-771308A5E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3-49EC-88DD-1D7A02CA4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7-4CC8-A431-3A3C40395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9-474B-BD18-2F2FEAA39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ちさと2!$Q$1:$Q$2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43662.431319444448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43662.431319444448</v>
      </c>
      <c r="C86" s="30" t="s">
        <v>130</v>
      </c>
    </row>
    <row r="87" spans="1:15" x14ac:dyDescent="0.4">
      <c r="A87" s="30" t="s">
        <v>278</v>
      </c>
      <c r="B87" s="31">
        <v>43662.431319444448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43662.431319444448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43662.431319444448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43661.057534722226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43662.431319444448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43662.431319444448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43663.012245370373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43663.617199074077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43666.939143518517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43668.854745370372</v>
      </c>
      <c r="C96" s="30" t="s">
        <v>130</v>
      </c>
      <c r="D96" s="30" t="s">
        <v>131</v>
      </c>
      <c r="E96" s="30" t="s">
        <v>169</v>
      </c>
    </row>
    <row r="97" spans="1:6" x14ac:dyDescent="0.4">
      <c r="A97" s="30" t="s">
        <v>292</v>
      </c>
      <c r="B97" s="31">
        <v>43686.797071759262</v>
      </c>
      <c r="C97" s="30" t="s">
        <v>130</v>
      </c>
      <c r="D97" s="30" t="s">
        <v>131</v>
      </c>
    </row>
    <row r="98" spans="1:6" x14ac:dyDescent="0.4">
      <c r="A98" s="30" t="s">
        <v>293</v>
      </c>
      <c r="B98" s="31">
        <v>43686.797071759262</v>
      </c>
      <c r="C98" s="30" t="s">
        <v>130</v>
      </c>
      <c r="D98" s="30" t="s">
        <v>131</v>
      </c>
      <c r="E98" s="30" t="s">
        <v>169</v>
      </c>
      <c r="F98" s="30" t="s">
        <v>174</v>
      </c>
    </row>
    <row r="99" spans="1:6" x14ac:dyDescent="0.4">
      <c r="A99" s="30" t="s">
        <v>294</v>
      </c>
      <c r="B99" s="31">
        <v>43751.111666666664</v>
      </c>
      <c r="C99" s="30" t="s">
        <v>130</v>
      </c>
      <c r="D99" s="30" t="s">
        <v>131</v>
      </c>
      <c r="E99" s="30" t="s">
        <v>169</v>
      </c>
      <c r="F99" s="30" t="s">
        <v>174</v>
      </c>
    </row>
    <row r="100" spans="1:6" x14ac:dyDescent="0.4">
      <c r="A100" s="30" t="s">
        <v>295</v>
      </c>
      <c r="B100" s="31">
        <v>43686.797071759262</v>
      </c>
      <c r="C100" s="30" t="s">
        <v>130</v>
      </c>
      <c r="D100" s="30" t="s">
        <v>131</v>
      </c>
    </row>
    <row r="101" spans="1:6" x14ac:dyDescent="0.4">
      <c r="A101" s="30" t="s">
        <v>296</v>
      </c>
      <c r="B101" s="31">
        <v>43686.797071759262</v>
      </c>
      <c r="C101" s="30" t="s">
        <v>130</v>
      </c>
    </row>
    <row r="102" spans="1:6" x14ac:dyDescent="0.4">
      <c r="A102" s="30" t="s">
        <v>297</v>
      </c>
      <c r="B102" s="31">
        <v>43686.797071759262</v>
      </c>
      <c r="C102" s="30" t="s">
        <v>130</v>
      </c>
      <c r="D102" s="30" t="s">
        <v>131</v>
      </c>
      <c r="E102" s="30" t="s">
        <v>169</v>
      </c>
    </row>
    <row r="103" spans="1:6" x14ac:dyDescent="0.4">
      <c r="A103" s="30" t="s">
        <v>298</v>
      </c>
      <c r="B103" s="31">
        <v>43686.797071759262</v>
      </c>
      <c r="C103" s="30" t="s">
        <v>130</v>
      </c>
      <c r="D103" s="30" t="s">
        <v>131</v>
      </c>
    </row>
    <row r="104" spans="1:6" x14ac:dyDescent="0.4">
      <c r="A104" s="30" t="s">
        <v>299</v>
      </c>
      <c r="B104" s="31">
        <v>43686.797071759262</v>
      </c>
      <c r="C104" s="30" t="s">
        <v>130</v>
      </c>
    </row>
    <row r="105" spans="1:6" x14ac:dyDescent="0.4">
      <c r="A105" s="30" t="s">
        <v>300</v>
      </c>
      <c r="B105" s="31">
        <v>43730.928703703707</v>
      </c>
      <c r="C105" s="30" t="s">
        <v>130</v>
      </c>
      <c r="D105" s="30" t="s">
        <v>131</v>
      </c>
      <c r="E105" s="30" t="s">
        <v>169</v>
      </c>
      <c r="F105" s="30" t="s">
        <v>174</v>
      </c>
    </row>
    <row r="106" spans="1:6" x14ac:dyDescent="0.4">
      <c r="A106" s="30" t="s">
        <v>302</v>
      </c>
      <c r="B106" s="31">
        <v>43732.363425925927</v>
      </c>
      <c r="C106" s="30" t="s">
        <v>130</v>
      </c>
      <c r="D106" s="30" t="s">
        <v>131</v>
      </c>
    </row>
    <row r="107" spans="1:6" x14ac:dyDescent="0.4">
      <c r="A107" s="30" t="s">
        <v>303</v>
      </c>
      <c r="B107" s="31">
        <v>43732.363425925927</v>
      </c>
      <c r="C107" s="30" t="s">
        <v>130</v>
      </c>
      <c r="D107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1026</v>
      </c>
    </row>
    <row r="2" spans="1:2" x14ac:dyDescent="0.4">
      <c r="A2" t="s">
        <v>127</v>
      </c>
      <c r="B2">
        <v>219</v>
      </c>
    </row>
    <row r="3" spans="1:2" x14ac:dyDescent="0.4">
      <c r="A3" t="s">
        <v>128</v>
      </c>
      <c r="B3">
        <v>163</v>
      </c>
    </row>
    <row r="4" spans="1:2" x14ac:dyDescent="0.4">
      <c r="A4" t="s">
        <v>129</v>
      </c>
      <c r="B4">
        <v>179</v>
      </c>
    </row>
    <row r="5" spans="1:2" x14ac:dyDescent="0.4">
      <c r="A5" t="s">
        <v>171</v>
      </c>
      <c r="B5">
        <v>110</v>
      </c>
    </row>
    <row r="6" spans="1:2" x14ac:dyDescent="0.4">
      <c r="A6" t="s">
        <v>172</v>
      </c>
      <c r="B6">
        <v>105</v>
      </c>
    </row>
    <row r="7" spans="1:2" x14ac:dyDescent="0.4">
      <c r="A7" t="s">
        <v>173</v>
      </c>
      <c r="B7">
        <v>61</v>
      </c>
    </row>
    <row r="8" spans="1:2" x14ac:dyDescent="0.4">
      <c r="A8" t="s">
        <v>177</v>
      </c>
      <c r="B8">
        <v>121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9</v>
      </c>
    </row>
    <row r="15" spans="1:2" x14ac:dyDescent="0.4">
      <c r="A15" t="s">
        <v>301</v>
      </c>
      <c r="B15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0.97477338651940326</v>
      </c>
      <c r="G2" s="159"/>
      <c r="H2" s="158">
        <v>0.7028048111696068</v>
      </c>
      <c r="I2" s="159"/>
      <c r="J2" s="158">
        <v>0.86987015694814984</v>
      </c>
      <c r="K2" s="159"/>
      <c r="L2" s="158">
        <v>0.6883388559611775</v>
      </c>
      <c r="M2" s="159"/>
      <c r="N2" s="158">
        <v>0.75034546269229141</v>
      </c>
      <c r="O2" s="159"/>
      <c r="P2" s="158">
        <v>0.3926084938399364</v>
      </c>
      <c r="Q2" s="159"/>
      <c r="R2" s="158">
        <v>0.37787023224905875</v>
      </c>
      <c r="S2" s="159"/>
      <c r="T2" s="158">
        <v>0.67994438449395178</v>
      </c>
      <c r="U2" s="159"/>
      <c r="V2" s="158">
        <v>0.5414863494531944</v>
      </c>
      <c r="W2" s="159"/>
      <c r="X2" s="158">
        <v>0.65002404565305016</v>
      </c>
      <c r="Y2" s="159"/>
      <c r="Z2" s="158">
        <v>0.10236779837526548</v>
      </c>
      <c r="AA2" s="159"/>
      <c r="AB2" s="158">
        <v>-0.21282982907824516</v>
      </c>
      <c r="AC2" s="159"/>
      <c r="AD2" s="158">
        <v>0.75701723735301552</v>
      </c>
      <c r="AE2" s="159"/>
      <c r="AF2" s="158">
        <v>-0.17177605980655511</v>
      </c>
      <c r="AG2" s="159"/>
      <c r="AH2" s="158">
        <v>0.50924976995254345</v>
      </c>
      <c r="AI2" s="159"/>
    </row>
    <row r="3" spans="1:35" x14ac:dyDescent="0.4">
      <c r="A3" s="74">
        <v>1</v>
      </c>
      <c r="B3" s="75" t="s">
        <v>127</v>
      </c>
      <c r="C3" s="76">
        <v>2746.9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0.30228667038482987</v>
      </c>
      <c r="Z3" s="77" t="s">
        <v>301</v>
      </c>
      <c r="AA3" s="80">
        <v>0.375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136.29999999999998</v>
      </c>
      <c r="D4" s="85" t="s">
        <v>223</v>
      </c>
      <c r="E4" s="97">
        <v>16.733333333333331</v>
      </c>
      <c r="F4" s="85" t="s">
        <v>127</v>
      </c>
      <c r="G4" s="86">
        <v>1.7579908675799087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-7042.8571428571431</v>
      </c>
      <c r="T4" s="85" t="s">
        <v>222</v>
      </c>
      <c r="U4" s="87">
        <v>0</v>
      </c>
      <c r="V4" s="85" t="s">
        <v>301</v>
      </c>
      <c r="W4" s="87">
        <v>0.25</v>
      </c>
      <c r="X4" s="85" t="s">
        <v>128</v>
      </c>
      <c r="Y4" s="88">
        <v>0.29604772557792691</v>
      </c>
      <c r="Z4" s="85" t="s">
        <v>223</v>
      </c>
      <c r="AA4" s="88">
        <v>0.36956521739130432</v>
      </c>
      <c r="AB4" s="85" t="s">
        <v>271</v>
      </c>
      <c r="AC4" s="88">
        <v>0.7142857142857143</v>
      </c>
      <c r="AD4" s="85" t="s">
        <v>127</v>
      </c>
      <c r="AE4" s="88">
        <v>0.5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0.48401826484018262</v>
      </c>
      <c r="J5" s="85" t="s">
        <v>200</v>
      </c>
      <c r="K5" s="87">
        <v>0.19047619047619047</v>
      </c>
      <c r="L5" s="85" t="s">
        <v>127</v>
      </c>
      <c r="M5" s="88">
        <v>0.33742331288343558</v>
      </c>
      <c r="N5" s="85" t="s">
        <v>223</v>
      </c>
      <c r="O5" s="88">
        <v>0.13043478260869565</v>
      </c>
      <c r="P5" s="85" t="s">
        <v>171</v>
      </c>
      <c r="Q5" s="89">
        <v>10015.094339622641</v>
      </c>
      <c r="R5" s="85" t="s">
        <v>177</v>
      </c>
      <c r="S5" s="89">
        <v>-7062.9139072847684</v>
      </c>
      <c r="T5" s="85" t="s">
        <v>223</v>
      </c>
      <c r="U5" s="87">
        <v>0</v>
      </c>
      <c r="V5" s="85" t="s">
        <v>127</v>
      </c>
      <c r="W5" s="87">
        <v>0.16894977168949771</v>
      </c>
      <c r="X5" s="85" t="s">
        <v>171</v>
      </c>
      <c r="Y5" s="88">
        <v>0.28336980306345733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0.50340136054421769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12.542922374429224</v>
      </c>
      <c r="F6" s="85" t="s">
        <v>200</v>
      </c>
      <c r="G6" s="86">
        <v>1.8571428571428572</v>
      </c>
      <c r="H6" s="85" t="s">
        <v>184</v>
      </c>
      <c r="I6" s="87">
        <v>0.33333333333333331</v>
      </c>
      <c r="J6" s="85" t="s">
        <v>127</v>
      </c>
      <c r="K6" s="87">
        <v>0.24200913242009131</v>
      </c>
      <c r="L6" s="85" t="s">
        <v>172</v>
      </c>
      <c r="M6" s="88">
        <v>0.33258426966292137</v>
      </c>
      <c r="N6" s="85" t="s">
        <v>172</v>
      </c>
      <c r="O6" s="88">
        <v>0.14606741573033707</v>
      </c>
      <c r="P6" s="85" t="s">
        <v>127</v>
      </c>
      <c r="Q6" s="89">
        <v>9240.6611570247933</v>
      </c>
      <c r="R6" s="85" t="s">
        <v>128</v>
      </c>
      <c r="S6" s="89">
        <v>-7653.6585365853662</v>
      </c>
      <c r="T6" s="85" t="s">
        <v>172</v>
      </c>
      <c r="U6" s="87">
        <v>5.7142857142857141E-2</v>
      </c>
      <c r="V6" s="85" t="s">
        <v>171</v>
      </c>
      <c r="W6" s="87">
        <v>0.14545454545454545</v>
      </c>
      <c r="X6" s="85" t="s">
        <v>145</v>
      </c>
      <c r="Y6" s="88">
        <v>0.26521535580524347</v>
      </c>
      <c r="Z6" s="85" t="s">
        <v>271</v>
      </c>
      <c r="AA6" s="88">
        <v>0.3</v>
      </c>
      <c r="AB6" s="85" t="s">
        <v>177</v>
      </c>
      <c r="AC6" s="88">
        <v>0.60754716981132073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3.9428571428571422</v>
      </c>
      <c r="F7" s="85" t="s">
        <v>177</v>
      </c>
      <c r="G7" s="86">
        <v>1.9834710743801653</v>
      </c>
      <c r="H7" s="85" t="s">
        <v>200</v>
      </c>
      <c r="I7" s="87">
        <v>0.33333333333333331</v>
      </c>
      <c r="J7" s="85" t="s">
        <v>172</v>
      </c>
      <c r="K7" s="87">
        <v>0.30476190476190479</v>
      </c>
      <c r="L7" s="85" t="s">
        <v>301</v>
      </c>
      <c r="M7" s="88">
        <v>0.3125</v>
      </c>
      <c r="N7" s="85" t="s">
        <v>127</v>
      </c>
      <c r="O7" s="88">
        <v>0.14947016174010039</v>
      </c>
      <c r="P7" s="85" t="s">
        <v>128</v>
      </c>
      <c r="Q7" s="89">
        <v>8929.380053908355</v>
      </c>
      <c r="R7" s="85" t="s">
        <v>145</v>
      </c>
      <c r="S7" s="89">
        <v>-8093.2072829131648</v>
      </c>
      <c r="T7" s="85" t="s">
        <v>127</v>
      </c>
      <c r="U7" s="87">
        <v>8.2191780821917804E-2</v>
      </c>
      <c r="V7" s="85" t="s">
        <v>145</v>
      </c>
      <c r="W7" s="87">
        <v>0.11598440545808966</v>
      </c>
      <c r="X7" s="85" t="s">
        <v>177</v>
      </c>
      <c r="Y7" s="88">
        <v>0.26315789473684209</v>
      </c>
      <c r="Z7" s="85" t="s">
        <v>172</v>
      </c>
      <c r="AA7" s="88">
        <v>0.28539325842696628</v>
      </c>
      <c r="AB7" s="85" t="s">
        <v>200</v>
      </c>
      <c r="AC7" s="88">
        <v>0.60416666666666663</v>
      </c>
      <c r="AD7" s="85" t="s">
        <v>172</v>
      </c>
      <c r="AE7" s="88">
        <v>0.42125984251968501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177</v>
      </c>
      <c r="C8" s="84">
        <v>57.399999999999935</v>
      </c>
      <c r="D8" s="85" t="s">
        <v>171</v>
      </c>
      <c r="E8" s="97">
        <v>1.239090909090909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0.31404958677685951</v>
      </c>
      <c r="L8" s="85" t="s">
        <v>145</v>
      </c>
      <c r="M8" s="88">
        <v>0.29751872659176032</v>
      </c>
      <c r="N8" s="85" t="s">
        <v>177</v>
      </c>
      <c r="O8" s="88">
        <v>0.1499503475670308</v>
      </c>
      <c r="P8" s="85" t="s">
        <v>177</v>
      </c>
      <c r="Q8" s="89">
        <v>8750.7299270072999</v>
      </c>
      <c r="R8" s="85" t="s">
        <v>172</v>
      </c>
      <c r="S8" s="89">
        <v>-8148.4615384615381</v>
      </c>
      <c r="T8" s="85" t="s">
        <v>171</v>
      </c>
      <c r="U8" s="87">
        <v>0.1</v>
      </c>
      <c r="V8" s="85" t="s">
        <v>129</v>
      </c>
      <c r="W8" s="87">
        <v>0.10614525139664804</v>
      </c>
      <c r="X8" s="85" t="s">
        <v>183</v>
      </c>
      <c r="Y8" s="88">
        <v>0.26315789473684209</v>
      </c>
      <c r="Z8" s="85" t="s">
        <v>184</v>
      </c>
      <c r="AA8" s="88">
        <v>0.24861878453038674</v>
      </c>
      <c r="AB8" s="85" t="s">
        <v>183</v>
      </c>
      <c r="AC8" s="88">
        <v>0.6</v>
      </c>
      <c r="AD8" s="85" t="s">
        <v>171</v>
      </c>
      <c r="AE8" s="88">
        <v>0.40883977900552487</v>
      </c>
      <c r="AF8" s="85" t="s">
        <v>128</v>
      </c>
      <c r="AG8" s="88">
        <v>0.44474393530997303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0.47438016528925564</v>
      </c>
      <c r="F9" s="85" t="s">
        <v>222</v>
      </c>
      <c r="G9" s="86">
        <v>2</v>
      </c>
      <c r="H9" s="85" t="s">
        <v>177</v>
      </c>
      <c r="I9" s="87">
        <v>0.33057851239669422</v>
      </c>
      <c r="J9" s="85" t="s">
        <v>145</v>
      </c>
      <c r="K9" s="87">
        <v>0.33333333333333331</v>
      </c>
      <c r="L9" s="85" t="s">
        <v>171</v>
      </c>
      <c r="M9" s="88">
        <v>0.28993435448577681</v>
      </c>
      <c r="N9" s="85" t="s">
        <v>301</v>
      </c>
      <c r="O9" s="88">
        <v>0.15625</v>
      </c>
      <c r="P9" s="85" t="s">
        <v>145</v>
      </c>
      <c r="Q9" s="89">
        <v>8590.5586152635715</v>
      </c>
      <c r="R9" s="85" t="s">
        <v>173</v>
      </c>
      <c r="S9" s="89">
        <v>-8151.4563106796113</v>
      </c>
      <c r="T9" s="85" t="s">
        <v>271</v>
      </c>
      <c r="U9" s="87">
        <v>0.1111111111111111</v>
      </c>
      <c r="V9" s="85" t="s">
        <v>128</v>
      </c>
      <c r="W9" s="87">
        <v>9.815950920245399E-2</v>
      </c>
      <c r="X9" s="85" t="s">
        <v>200</v>
      </c>
      <c r="Y9" s="88">
        <v>0.2513089005235602</v>
      </c>
      <c r="Z9" s="85" t="s">
        <v>127</v>
      </c>
      <c r="AA9" s="88">
        <v>0.21862799776910205</v>
      </c>
      <c r="AB9" s="85" t="s">
        <v>127</v>
      </c>
      <c r="AC9" s="88">
        <v>0.58487084870848705</v>
      </c>
      <c r="AD9" s="85" t="s">
        <v>145</v>
      </c>
      <c r="AE9" s="88">
        <v>0.3973870440936309</v>
      </c>
      <c r="AF9" s="85" t="s">
        <v>177</v>
      </c>
      <c r="AG9" s="88">
        <v>0.44160583941605841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4.2632564145606011E-14</v>
      </c>
      <c r="D10" s="85" t="s">
        <v>145</v>
      </c>
      <c r="E10" s="97">
        <v>4.15522067695965E-17</v>
      </c>
      <c r="F10" s="85" t="s">
        <v>171</v>
      </c>
      <c r="G10" s="86">
        <v>2.0181818181818181</v>
      </c>
      <c r="H10" s="85" t="s">
        <v>171</v>
      </c>
      <c r="I10" s="87">
        <v>0.31818181818181818</v>
      </c>
      <c r="J10" s="85" t="s">
        <v>223</v>
      </c>
      <c r="K10" s="87">
        <v>0.33333333333333331</v>
      </c>
      <c r="L10" s="85" t="s">
        <v>173</v>
      </c>
      <c r="M10" s="88">
        <v>0.27788279773156899</v>
      </c>
      <c r="N10" s="85" t="s">
        <v>200</v>
      </c>
      <c r="O10" s="88">
        <v>0.16230366492146597</v>
      </c>
      <c r="P10" s="85" t="s">
        <v>184</v>
      </c>
      <c r="Q10" s="89">
        <v>8434</v>
      </c>
      <c r="R10" s="85" t="s">
        <v>127</v>
      </c>
      <c r="S10" s="89">
        <v>-8208.2089552238813</v>
      </c>
      <c r="T10" s="85" t="s">
        <v>145</v>
      </c>
      <c r="U10" s="87">
        <v>0.11598440545808966</v>
      </c>
      <c r="V10" s="85" t="s">
        <v>172</v>
      </c>
      <c r="W10" s="87">
        <v>9.5238095238095233E-2</v>
      </c>
      <c r="X10" s="85" t="s">
        <v>129</v>
      </c>
      <c r="Y10" s="88">
        <v>0.24535809018567639</v>
      </c>
      <c r="Z10" s="85" t="s">
        <v>173</v>
      </c>
      <c r="AA10" s="88">
        <v>0.21550094517958412</v>
      </c>
      <c r="AB10" s="85" t="s">
        <v>128</v>
      </c>
      <c r="AC10" s="88">
        <v>0.58438287153652391</v>
      </c>
      <c r="AD10" s="85" t="s">
        <v>184</v>
      </c>
      <c r="AE10" s="88">
        <v>0.37777777777777777</v>
      </c>
      <c r="AF10" s="85" t="s">
        <v>145</v>
      </c>
      <c r="AG10" s="88">
        <v>0.43036978756884342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301</v>
      </c>
      <c r="C11" s="84">
        <v>-56.2</v>
      </c>
      <c r="D11" s="85" t="s">
        <v>172</v>
      </c>
      <c r="E11" s="97">
        <v>-2.3190476190476197</v>
      </c>
      <c r="F11" s="85" t="s">
        <v>172</v>
      </c>
      <c r="G11" s="86">
        <v>2.0571428571428569</v>
      </c>
      <c r="H11" s="85" t="s">
        <v>129</v>
      </c>
      <c r="I11" s="87">
        <v>0.3016759776536313</v>
      </c>
      <c r="J11" s="85" t="s">
        <v>171</v>
      </c>
      <c r="K11" s="87">
        <v>0.33636363636363636</v>
      </c>
      <c r="L11" s="85" t="s">
        <v>128</v>
      </c>
      <c r="M11" s="88">
        <v>0.27665920954511558</v>
      </c>
      <c r="N11" s="85" t="s">
        <v>145</v>
      </c>
      <c r="O11" s="88">
        <v>0.16713483146067415</v>
      </c>
      <c r="P11" s="85" t="s">
        <v>129</v>
      </c>
      <c r="Q11" s="89">
        <v>8105.035971223022</v>
      </c>
      <c r="R11" s="85" t="s">
        <v>171</v>
      </c>
      <c r="S11" s="89">
        <v>-8357.6687116564426</v>
      </c>
      <c r="T11" s="85" t="s">
        <v>177</v>
      </c>
      <c r="U11" s="87">
        <v>0.12396694214876033</v>
      </c>
      <c r="V11" s="85" t="s">
        <v>177</v>
      </c>
      <c r="W11" s="87">
        <v>9.0909090909090912E-2</v>
      </c>
      <c r="X11" s="85" t="s">
        <v>184</v>
      </c>
      <c r="Y11" s="88">
        <v>0.23204419889502761</v>
      </c>
      <c r="Z11" s="85" t="s">
        <v>145</v>
      </c>
      <c r="AA11" s="88">
        <v>0.21500468164794007</v>
      </c>
      <c r="AB11" s="85" t="s">
        <v>145</v>
      </c>
      <c r="AC11" s="88">
        <v>0.57678729037952337</v>
      </c>
      <c r="AD11" s="85" t="s">
        <v>129</v>
      </c>
      <c r="AE11" s="88">
        <v>0.35737704918032787</v>
      </c>
      <c r="AF11" s="85" t="s">
        <v>271</v>
      </c>
      <c r="AG11" s="88">
        <v>0.42105263157894735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172</v>
      </c>
      <c r="C12" s="84">
        <v>-243.50000000000006</v>
      </c>
      <c r="D12" s="85" t="s">
        <v>128</v>
      </c>
      <c r="E12" s="97">
        <v>-3.3079754601226998</v>
      </c>
      <c r="F12" s="85" t="s">
        <v>128</v>
      </c>
      <c r="G12" s="86">
        <v>2.0797546012269938</v>
      </c>
      <c r="H12" s="85" t="s">
        <v>128</v>
      </c>
      <c r="I12" s="87">
        <v>0.26993865030674846</v>
      </c>
      <c r="J12" s="85" t="s">
        <v>128</v>
      </c>
      <c r="K12" s="87">
        <v>0.34969325153374231</v>
      </c>
      <c r="L12" s="85" t="s">
        <v>129</v>
      </c>
      <c r="M12" s="88">
        <v>0.27652519893899202</v>
      </c>
      <c r="N12" s="85" t="s">
        <v>129</v>
      </c>
      <c r="O12" s="88">
        <v>0.17241379310344829</v>
      </c>
      <c r="P12" s="85" t="s">
        <v>200</v>
      </c>
      <c r="Q12" s="89">
        <v>8000</v>
      </c>
      <c r="R12" s="85" t="s">
        <v>129</v>
      </c>
      <c r="S12" s="89">
        <v>-8398.8461538461543</v>
      </c>
      <c r="T12" s="85" t="s">
        <v>128</v>
      </c>
      <c r="U12" s="87">
        <v>0.13496932515337423</v>
      </c>
      <c r="V12" s="85" t="s">
        <v>184</v>
      </c>
      <c r="W12" s="87">
        <v>8.3333333333333329E-2</v>
      </c>
      <c r="X12" s="85" t="s">
        <v>222</v>
      </c>
      <c r="Y12" s="88">
        <v>0.23076923076923078</v>
      </c>
      <c r="Z12" s="85" t="s">
        <v>183</v>
      </c>
      <c r="AA12" s="88">
        <v>0.21052631578947367</v>
      </c>
      <c r="AB12" s="85" t="s">
        <v>173</v>
      </c>
      <c r="AC12" s="88">
        <v>0.57627118644067798</v>
      </c>
      <c r="AD12" s="85" t="s">
        <v>177</v>
      </c>
      <c r="AE12" s="88">
        <v>0.35567010309278352</v>
      </c>
      <c r="AF12" s="85" t="s">
        <v>127</v>
      </c>
      <c r="AG12" s="88">
        <v>0.41818181818181815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271</v>
      </c>
      <c r="C13" s="84">
        <v>-292.60000000000002</v>
      </c>
      <c r="D13" s="85" t="s">
        <v>129</v>
      </c>
      <c r="E13" s="97">
        <v>-6.7346368715083811</v>
      </c>
      <c r="F13" s="85" t="s">
        <v>129</v>
      </c>
      <c r="G13" s="86">
        <v>2.1061452513966481</v>
      </c>
      <c r="H13" s="85" t="s">
        <v>173</v>
      </c>
      <c r="I13" s="87">
        <v>0.26229508196721313</v>
      </c>
      <c r="J13" s="85" t="s">
        <v>129</v>
      </c>
      <c r="K13" s="87">
        <v>0.40782122905027934</v>
      </c>
      <c r="L13" s="85" t="s">
        <v>184</v>
      </c>
      <c r="M13" s="88">
        <v>0.27624309392265195</v>
      </c>
      <c r="N13" s="85" t="s">
        <v>171</v>
      </c>
      <c r="O13" s="88">
        <v>0.17833698030634573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129</v>
      </c>
      <c r="U13" s="87">
        <v>0.13966480446927373</v>
      </c>
      <c r="V13" s="85" t="s">
        <v>173</v>
      </c>
      <c r="W13" s="87">
        <v>6.5573770491803282E-2</v>
      </c>
      <c r="X13" s="85" t="s">
        <v>173</v>
      </c>
      <c r="Y13" s="88">
        <v>0.22306238185255198</v>
      </c>
      <c r="Z13" s="85" t="s">
        <v>129</v>
      </c>
      <c r="AA13" s="88">
        <v>0.20225464190981432</v>
      </c>
      <c r="AB13" s="85" t="s">
        <v>171</v>
      </c>
      <c r="AC13" s="88">
        <v>0.56370656370656369</v>
      </c>
      <c r="AD13" s="85" t="s">
        <v>173</v>
      </c>
      <c r="AE13" s="88">
        <v>0.33333333333333331</v>
      </c>
      <c r="AF13" s="85" t="s">
        <v>129</v>
      </c>
      <c r="AG13" s="88">
        <v>0.41726618705035973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184</v>
      </c>
      <c r="C14" s="84">
        <v>-300.5</v>
      </c>
      <c r="D14" s="85" t="s">
        <v>173</v>
      </c>
      <c r="E14" s="97">
        <v>-9.1901639344262307</v>
      </c>
      <c r="F14" s="85" t="s">
        <v>173</v>
      </c>
      <c r="G14" s="86">
        <v>2.1475409836065573</v>
      </c>
      <c r="H14" s="85" t="s">
        <v>301</v>
      </c>
      <c r="I14" s="87">
        <v>0.25</v>
      </c>
      <c r="J14" s="85" t="s">
        <v>173</v>
      </c>
      <c r="K14" s="87">
        <v>0.4098360655737705</v>
      </c>
      <c r="L14" s="85" t="s">
        <v>177</v>
      </c>
      <c r="M14" s="88">
        <v>0.27209533267130087</v>
      </c>
      <c r="N14" s="85" t="s">
        <v>128</v>
      </c>
      <c r="O14" s="88">
        <v>0.18344519015659955</v>
      </c>
      <c r="P14" s="85" t="s">
        <v>173</v>
      </c>
      <c r="Q14" s="89">
        <v>7610.2040816326535</v>
      </c>
      <c r="R14" s="85" t="s">
        <v>184</v>
      </c>
      <c r="S14" s="89">
        <v>-9878.0487804878048</v>
      </c>
      <c r="T14" s="85" t="s">
        <v>200</v>
      </c>
      <c r="U14" s="87">
        <v>0.14285714285714285</v>
      </c>
      <c r="V14" s="85" t="s">
        <v>200</v>
      </c>
      <c r="W14" s="87">
        <v>4.7619047619047616E-2</v>
      </c>
      <c r="X14" s="85" t="s">
        <v>301</v>
      </c>
      <c r="Y14" s="88">
        <v>0.21875</v>
      </c>
      <c r="Z14" s="85" t="s">
        <v>171</v>
      </c>
      <c r="AA14" s="88">
        <v>0.19803063457330417</v>
      </c>
      <c r="AB14" s="85" t="s">
        <v>172</v>
      </c>
      <c r="AC14" s="88">
        <v>0.55026455026455023</v>
      </c>
      <c r="AD14" s="85" t="s">
        <v>128</v>
      </c>
      <c r="AE14" s="88">
        <v>0.31465517241379309</v>
      </c>
      <c r="AF14" s="85" t="s">
        <v>171</v>
      </c>
      <c r="AG14" s="88">
        <v>0.4037735849056604</v>
      </c>
      <c r="AH14" s="85" t="s">
        <v>301</v>
      </c>
      <c r="AI14" s="92">
        <v>55200</v>
      </c>
    </row>
    <row r="15" spans="1:35" x14ac:dyDescent="0.4">
      <c r="A15" s="82">
        <v>13</v>
      </c>
      <c r="B15" s="83" t="s">
        <v>128</v>
      </c>
      <c r="C15" s="84">
        <v>-539.20000000000005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172</v>
      </c>
      <c r="I15" s="87">
        <v>0.24761904761904763</v>
      </c>
      <c r="J15" s="85" t="s">
        <v>301</v>
      </c>
      <c r="K15" s="87">
        <v>0.5</v>
      </c>
      <c r="L15" s="85" t="s">
        <v>183</v>
      </c>
      <c r="M15" s="88">
        <v>0.26315789473684209</v>
      </c>
      <c r="N15" s="85" t="s">
        <v>173</v>
      </c>
      <c r="O15" s="88">
        <v>0.19470699432892249</v>
      </c>
      <c r="P15" s="85" t="s">
        <v>271</v>
      </c>
      <c r="Q15" s="89">
        <v>6821.0526315789475</v>
      </c>
      <c r="R15" s="85" t="s">
        <v>223</v>
      </c>
      <c r="S15" s="89">
        <v>-10583.333333333334</v>
      </c>
      <c r="T15" s="85" t="s">
        <v>173</v>
      </c>
      <c r="U15" s="87">
        <v>0.16393442622950818</v>
      </c>
      <c r="V15" s="85" t="s">
        <v>183</v>
      </c>
      <c r="W15" s="87">
        <v>0</v>
      </c>
      <c r="X15" s="85" t="s">
        <v>172</v>
      </c>
      <c r="Y15" s="88">
        <v>0.21235955056179776</v>
      </c>
      <c r="Z15" s="85" t="s">
        <v>177</v>
      </c>
      <c r="AA15" s="88">
        <v>0.19265143992055611</v>
      </c>
      <c r="AB15" s="85" t="s">
        <v>129</v>
      </c>
      <c r="AC15" s="88">
        <v>0.54054054054054057</v>
      </c>
      <c r="AD15" s="85" t="s">
        <v>271</v>
      </c>
      <c r="AE15" s="88">
        <v>0.25</v>
      </c>
      <c r="AF15" s="85" t="s">
        <v>172</v>
      </c>
      <c r="AG15" s="88">
        <v>0.39527027027027029</v>
      </c>
      <c r="AH15" s="85" t="s">
        <v>183</v>
      </c>
      <c r="AI15" s="92">
        <v>53500</v>
      </c>
    </row>
    <row r="16" spans="1:35" x14ac:dyDescent="0.4">
      <c r="A16" s="82">
        <v>14</v>
      </c>
      <c r="B16" s="83" t="s">
        <v>173</v>
      </c>
      <c r="C16" s="84">
        <v>-560.6</v>
      </c>
      <c r="D16" s="85" t="s">
        <v>301</v>
      </c>
      <c r="E16" s="97">
        <v>-14.05</v>
      </c>
      <c r="F16" s="85" t="s">
        <v>301</v>
      </c>
      <c r="G16" s="86">
        <v>2.25</v>
      </c>
      <c r="H16" s="85" t="s">
        <v>222</v>
      </c>
      <c r="I16" s="87">
        <v>0</v>
      </c>
      <c r="J16" s="85" t="s">
        <v>184</v>
      </c>
      <c r="K16" s="87">
        <v>0.54166666666666663</v>
      </c>
      <c r="L16" s="85" t="s">
        <v>271</v>
      </c>
      <c r="M16" s="88">
        <v>0.23749999999999999</v>
      </c>
      <c r="N16" s="85" t="s">
        <v>184</v>
      </c>
      <c r="O16" s="88">
        <v>0.22651933701657459</v>
      </c>
      <c r="P16" s="85" t="s">
        <v>172</v>
      </c>
      <c r="Q16" s="89">
        <v>6762.5</v>
      </c>
      <c r="R16" s="85" t="s">
        <v>301</v>
      </c>
      <c r="S16" s="89">
        <v>-11280</v>
      </c>
      <c r="T16" s="85" t="s">
        <v>301</v>
      </c>
      <c r="U16" s="87">
        <v>0.25</v>
      </c>
      <c r="V16" s="85" t="s">
        <v>222</v>
      </c>
      <c r="W16" s="87">
        <v>0</v>
      </c>
      <c r="X16" s="85" t="s">
        <v>271</v>
      </c>
      <c r="Y16" s="88">
        <v>0.17499999999999999</v>
      </c>
      <c r="Z16" s="85" t="s">
        <v>128</v>
      </c>
      <c r="AA16" s="88">
        <v>0.17300521998508575</v>
      </c>
      <c r="AB16" s="85" t="s">
        <v>301</v>
      </c>
      <c r="AC16" s="88">
        <v>0.42857142857142855</v>
      </c>
      <c r="AD16" s="85" t="s">
        <v>301</v>
      </c>
      <c r="AE16" s="88">
        <v>0.25</v>
      </c>
      <c r="AF16" s="85" t="s">
        <v>301</v>
      </c>
      <c r="AG16" s="88">
        <v>0.3</v>
      </c>
      <c r="AH16" s="85" t="s">
        <v>271</v>
      </c>
      <c r="AI16" s="92">
        <v>52800</v>
      </c>
    </row>
    <row r="17" spans="1:35" x14ac:dyDescent="0.4">
      <c r="A17" s="82">
        <v>15</v>
      </c>
      <c r="B17" s="83" t="s">
        <v>129</v>
      </c>
      <c r="C17" s="84">
        <v>-1205.5000000000002</v>
      </c>
      <c r="D17" s="85" t="s">
        <v>271</v>
      </c>
      <c r="E17" s="97">
        <v>-32.511111111111113</v>
      </c>
      <c r="F17" s="85" t="s">
        <v>271</v>
      </c>
      <c r="G17" s="86">
        <v>2.6666666666666665</v>
      </c>
      <c r="H17" s="85" t="s">
        <v>271</v>
      </c>
      <c r="I17" s="87">
        <v>0</v>
      </c>
      <c r="J17" s="85" t="s">
        <v>271</v>
      </c>
      <c r="K17" s="87">
        <v>0.66666666666666663</v>
      </c>
      <c r="L17" s="85" t="s">
        <v>222</v>
      </c>
      <c r="M17" s="88">
        <v>0.15384615384615385</v>
      </c>
      <c r="N17" s="85" t="s">
        <v>271</v>
      </c>
      <c r="O17" s="88">
        <v>0.26250000000000001</v>
      </c>
      <c r="P17" s="85" t="s">
        <v>301</v>
      </c>
      <c r="Q17" s="89">
        <v>4940</v>
      </c>
      <c r="R17" s="85" t="s">
        <v>222</v>
      </c>
      <c r="S17" s="89">
        <v>-12000</v>
      </c>
      <c r="T17" s="85" t="s">
        <v>184</v>
      </c>
      <c r="U17" s="87">
        <v>0.29166666666666669</v>
      </c>
      <c r="V17" s="85" t="s">
        <v>271</v>
      </c>
      <c r="W17" s="87">
        <v>0</v>
      </c>
      <c r="X17" s="85" t="s">
        <v>223</v>
      </c>
      <c r="Y17" s="88">
        <v>0.15217391304347827</v>
      </c>
      <c r="Z17" s="85" t="s">
        <v>222</v>
      </c>
      <c r="AA17" s="88">
        <v>7.6923076923076927E-2</v>
      </c>
      <c r="AB17" s="85" t="s">
        <v>222</v>
      </c>
      <c r="AC17" s="88">
        <v>0.33333333333333331</v>
      </c>
      <c r="AD17" s="85" t="s">
        <v>222</v>
      </c>
      <c r="AE17" s="88">
        <v>0</v>
      </c>
      <c r="AF17" s="85" t="s">
        <v>183</v>
      </c>
      <c r="AG17" s="88">
        <v>0.2</v>
      </c>
      <c r="AH17" s="85" t="s">
        <v>222</v>
      </c>
      <c r="AI17" s="92">
        <v>48300</v>
      </c>
    </row>
  </sheetData>
  <sortState xmlns:xlrd2="http://schemas.microsoft.com/office/spreadsheetml/2017/richdata2" ref="AH3:AI4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13012-93C6-4476-B916-39DAA1E2C2E2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1026</v>
      </c>
      <c r="C2" s="151"/>
      <c r="E2" s="62" t="s">
        <v>67</v>
      </c>
      <c r="F2" s="59" t="s">
        <v>23</v>
      </c>
      <c r="G2" s="46">
        <v>1837</v>
      </c>
      <c r="H2" s="132">
        <f t="shared" ref="H2:H33" si="0">IF(B$17=0,0,G2/B$17)</f>
        <v>0.72265932336742722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-18.572825024437929</v>
      </c>
      <c r="P2" s="118">
        <v>1023</v>
      </c>
      <c r="Q2" s="102">
        <v>-19000</v>
      </c>
    </row>
    <row r="3" spans="1:17" x14ac:dyDescent="0.4">
      <c r="A3" s="55" t="s">
        <v>8</v>
      </c>
      <c r="B3" s="152">
        <v>8544</v>
      </c>
      <c r="C3" s="153"/>
      <c r="E3" s="63" t="s">
        <v>73</v>
      </c>
      <c r="F3" s="60" t="s">
        <v>28</v>
      </c>
      <c r="G3" s="47">
        <v>1310</v>
      </c>
      <c r="H3" s="133">
        <f t="shared" si="0"/>
        <v>0.51534225019669555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1"/>
        <v>-6.9860279441117763</v>
      </c>
      <c r="P3" s="119">
        <v>1002</v>
      </c>
      <c r="Q3" s="103">
        <v>-7000</v>
      </c>
    </row>
    <row r="4" spans="1:17" x14ac:dyDescent="0.4">
      <c r="A4" s="55" t="s">
        <v>6</v>
      </c>
      <c r="B4" s="154">
        <v>4.2632564145606011E-14</v>
      </c>
      <c r="C4" s="155"/>
      <c r="E4" s="63" t="s">
        <v>65</v>
      </c>
      <c r="F4" s="60" t="s">
        <v>21</v>
      </c>
      <c r="G4" s="47">
        <v>1244</v>
      </c>
      <c r="H4" s="133">
        <f t="shared" si="0"/>
        <v>0.48937844217151849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1"/>
        <v>14.861995753715499</v>
      </c>
      <c r="P4" s="119">
        <v>942</v>
      </c>
      <c r="Q4" s="103">
        <v>14000</v>
      </c>
    </row>
    <row r="5" spans="1:17" x14ac:dyDescent="0.4">
      <c r="A5" s="55" t="s">
        <v>7</v>
      </c>
      <c r="B5" s="156">
        <f>IF(B$2=0,0,B$4/B$2)</f>
        <v>4.15522067695965E-17</v>
      </c>
      <c r="C5" s="157"/>
      <c r="E5" s="63" t="s">
        <v>245</v>
      </c>
      <c r="F5" s="60" t="s">
        <v>246</v>
      </c>
      <c r="G5" s="47">
        <v>1024</v>
      </c>
      <c r="H5" s="133">
        <f t="shared" si="0"/>
        <v>0.4028324154209284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1"/>
        <v>4.6136101499423301</v>
      </c>
      <c r="P5" s="119">
        <v>867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787</v>
      </c>
      <c r="H6" s="133">
        <f t="shared" si="0"/>
        <v>0.30959874114870178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1"/>
        <v>-10.296010296010296</v>
      </c>
      <c r="P6" s="119">
        <v>777</v>
      </c>
      <c r="Q6" s="103">
        <v>-8000</v>
      </c>
    </row>
    <row r="7" spans="1:17" x14ac:dyDescent="0.4">
      <c r="A7" s="55" t="s">
        <v>2</v>
      </c>
      <c r="B7" s="47">
        <v>342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759</v>
      </c>
      <c r="H7" s="133">
        <f t="shared" si="0"/>
        <v>0.2985837922895358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1"/>
        <v>23.703703703703702</v>
      </c>
      <c r="P7" s="120">
        <v>675</v>
      </c>
      <c r="Q7" s="104">
        <v>16000</v>
      </c>
    </row>
    <row r="8" spans="1:17" x14ac:dyDescent="0.4">
      <c r="A8" s="55" t="s">
        <v>3</v>
      </c>
      <c r="B8" s="47">
        <v>342</v>
      </c>
      <c r="C8" s="39">
        <f t="shared" si="2"/>
        <v>0.33333333333333331</v>
      </c>
      <c r="E8" s="63" t="s">
        <v>70</v>
      </c>
      <c r="F8" s="60" t="s">
        <v>25</v>
      </c>
      <c r="G8" s="47">
        <v>416</v>
      </c>
      <c r="H8" s="133">
        <f t="shared" si="0"/>
        <v>0.16365066876475218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342</v>
      </c>
      <c r="C9" s="40">
        <f t="shared" si="2"/>
        <v>0.33333333333333331</v>
      </c>
      <c r="E9" s="63" t="s">
        <v>90</v>
      </c>
      <c r="F9" s="60" t="s">
        <v>45</v>
      </c>
      <c r="G9" s="47">
        <v>331</v>
      </c>
      <c r="H9" s="133">
        <f t="shared" si="0"/>
        <v>0.13021243115656964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119</v>
      </c>
      <c r="C10" s="40">
        <f t="shared" si="2"/>
        <v>0.11598440545808966</v>
      </c>
      <c r="E10" s="63" t="s">
        <v>66</v>
      </c>
      <c r="F10" s="60" t="s">
        <v>22</v>
      </c>
      <c r="G10" s="47">
        <v>278</v>
      </c>
      <c r="H10" s="133">
        <f t="shared" si="0"/>
        <v>0.10936270653029111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-1.9321637426900564</v>
      </c>
      <c r="P10" s="118">
        <v>342</v>
      </c>
      <c r="Q10" s="106">
        <v>-660.79999999999927</v>
      </c>
    </row>
    <row r="11" spans="1:17" x14ac:dyDescent="0.4">
      <c r="A11" s="56" t="s">
        <v>140</v>
      </c>
      <c r="B11" s="48">
        <v>119</v>
      </c>
      <c r="C11" s="40">
        <f t="shared" si="2"/>
        <v>0.11598440545808966</v>
      </c>
      <c r="E11" s="63" t="s">
        <v>71</v>
      </c>
      <c r="F11" s="60" t="s">
        <v>26</v>
      </c>
      <c r="G11" s="47">
        <v>256</v>
      </c>
      <c r="H11" s="133">
        <f t="shared" si="0"/>
        <v>0.1007081038552321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0.36754385964912339</v>
      </c>
      <c r="P11" s="119">
        <v>342</v>
      </c>
      <c r="Q11" s="107">
        <v>125.7000000000002</v>
      </c>
    </row>
    <row r="12" spans="1:17" x14ac:dyDescent="0.4">
      <c r="A12" s="57" t="s">
        <v>160</v>
      </c>
      <c r="B12" s="49">
        <v>90</v>
      </c>
      <c r="C12" s="42">
        <f t="shared" si="2"/>
        <v>8.771929824561403E-2</v>
      </c>
      <c r="E12" s="63" t="s">
        <v>72</v>
      </c>
      <c r="F12" s="60" t="s">
        <v>27</v>
      </c>
      <c r="G12" s="47">
        <v>172</v>
      </c>
      <c r="H12" s="133">
        <f t="shared" si="0"/>
        <v>6.7663257277734062E-2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1.5646198830409361</v>
      </c>
      <c r="P12" s="120">
        <v>342</v>
      </c>
      <c r="Q12" s="108">
        <v>535.10000000000014</v>
      </c>
    </row>
    <row r="13" spans="1:17" x14ac:dyDescent="0.4">
      <c r="A13" s="58" t="s">
        <v>122</v>
      </c>
      <c r="B13" s="50">
        <v>2266</v>
      </c>
      <c r="C13" s="44">
        <f>IF(B$3=0,0,B13/B$3)</f>
        <v>0.26521535580524347</v>
      </c>
      <c r="E13" s="63" t="s">
        <v>87</v>
      </c>
      <c r="F13" s="60" t="s">
        <v>42</v>
      </c>
      <c r="G13" s="47">
        <v>151</v>
      </c>
      <c r="H13" s="133">
        <f t="shared" si="0"/>
        <v>5.940204563335956E-2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1837</v>
      </c>
      <c r="C14" s="39">
        <f>IF(B$3=0,0,B14/B$3)</f>
        <v>0.21500468164794007</v>
      </c>
      <c r="E14" s="63" t="s">
        <v>84</v>
      </c>
      <c r="F14" s="60" t="s">
        <v>39</v>
      </c>
      <c r="G14" s="47">
        <v>121</v>
      </c>
      <c r="H14" s="133">
        <f t="shared" si="0"/>
        <v>4.7600314712824547E-2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1307</v>
      </c>
      <c r="C15" s="37">
        <f>IF(B$13=0,0,B15/B$13)</f>
        <v>0.57678729037952337</v>
      </c>
      <c r="E15" s="63" t="s">
        <v>79</v>
      </c>
      <c r="F15" s="60" t="s">
        <v>34</v>
      </c>
      <c r="G15" s="47">
        <v>71</v>
      </c>
      <c r="H15" s="133">
        <f t="shared" si="0"/>
        <v>2.7930763178599528E-2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 t="shared" ref="O15:O28" si="3">IF(P15=0,0,Q15/P15)</f>
        <v>48.766666666666659</v>
      </c>
      <c r="P15" s="118">
        <v>18</v>
      </c>
      <c r="Q15" s="106">
        <v>877.79999999999984</v>
      </c>
    </row>
    <row r="16" spans="1:17" x14ac:dyDescent="0.4">
      <c r="A16" s="54" t="s">
        <v>125</v>
      </c>
      <c r="B16" s="46">
        <v>730</v>
      </c>
      <c r="C16" s="37">
        <f>IF(B$14=0,0,B16/B$14)</f>
        <v>0.3973870440936309</v>
      </c>
      <c r="E16" s="63" t="s">
        <v>82</v>
      </c>
      <c r="F16" s="60" t="s">
        <v>37</v>
      </c>
      <c r="G16" s="47">
        <v>63</v>
      </c>
      <c r="H16" s="133">
        <f t="shared" si="0"/>
        <v>2.4783634933123525E-2</v>
      </c>
      <c r="I16" s="94">
        <v>8</v>
      </c>
      <c r="K16" s="38">
        <v>14</v>
      </c>
      <c r="L16" s="99">
        <v>18.79999999999999</v>
      </c>
      <c r="N16" s="115" t="s">
        <v>301</v>
      </c>
      <c r="O16" s="125">
        <f t="shared" si="3"/>
        <v>21.074999999999996</v>
      </c>
      <c r="P16" s="119">
        <v>8</v>
      </c>
      <c r="Q16" s="107">
        <v>168.59999999999997</v>
      </c>
    </row>
    <row r="17" spans="1:17" x14ac:dyDescent="0.4">
      <c r="A17" s="54" t="s">
        <v>10</v>
      </c>
      <c r="B17" s="46">
        <f>B19+B18</f>
        <v>2542</v>
      </c>
      <c r="C17" s="37">
        <f>IF(B$3=0,0,B17/B$3)</f>
        <v>0.29751872659176032</v>
      </c>
      <c r="E17" s="63" t="s">
        <v>92</v>
      </c>
      <c r="F17" s="60" t="s">
        <v>47</v>
      </c>
      <c r="G17" s="47">
        <v>52</v>
      </c>
      <c r="H17" s="133">
        <f t="shared" si="0"/>
        <v>2.0456333595594022E-2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 t="shared" si="3"/>
        <v>18.781250000000004</v>
      </c>
      <c r="P17" s="119">
        <v>48</v>
      </c>
      <c r="Q17" s="107">
        <v>901.50000000000023</v>
      </c>
    </row>
    <row r="18" spans="1:17" x14ac:dyDescent="0.4">
      <c r="A18" s="55" t="s">
        <v>12</v>
      </c>
      <c r="B18" s="47">
        <v>1094</v>
      </c>
      <c r="C18" s="39">
        <f>IF(B$17=0,0,B18/B$17)</f>
        <v>0.43036978756884342</v>
      </c>
      <c r="E18" s="63" t="s">
        <v>180</v>
      </c>
      <c r="F18" s="60" t="s">
        <v>181</v>
      </c>
      <c r="G18" s="47">
        <v>46</v>
      </c>
      <c r="H18" s="133">
        <f t="shared" si="0"/>
        <v>1.8095987411487019E-2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 t="shared" si="3"/>
        <v>13.785245901639341</v>
      </c>
      <c r="P18" s="119">
        <v>122</v>
      </c>
      <c r="Q18" s="107">
        <v>1681.7999999999995</v>
      </c>
    </row>
    <row r="19" spans="1:17" x14ac:dyDescent="0.4">
      <c r="A19" s="55" t="s">
        <v>11</v>
      </c>
      <c r="B19" s="47">
        <v>1448</v>
      </c>
      <c r="C19" s="39">
        <f>IF(B$17=0,0,B19/B$17)</f>
        <v>0.56963021243115652</v>
      </c>
      <c r="E19" s="63" t="s">
        <v>80</v>
      </c>
      <c r="F19" s="60" t="s">
        <v>35</v>
      </c>
      <c r="G19" s="47">
        <v>43</v>
      </c>
      <c r="H19" s="133">
        <f t="shared" si="0"/>
        <v>1.6915814319433516E-2</v>
      </c>
      <c r="I19" s="94">
        <v>6</v>
      </c>
      <c r="K19" s="38">
        <v>17</v>
      </c>
      <c r="L19" s="99">
        <v>8.2999999999999972</v>
      </c>
      <c r="N19" s="115" t="s">
        <v>129</v>
      </c>
      <c r="O19" s="125">
        <f t="shared" si="3"/>
        <v>10.101955307262594</v>
      </c>
      <c r="P19" s="119">
        <v>358</v>
      </c>
      <c r="Q19" s="107">
        <v>3616.5000000000086</v>
      </c>
    </row>
    <row r="20" spans="1:17" x14ac:dyDescent="0.4">
      <c r="A20" s="55" t="s">
        <v>13</v>
      </c>
      <c r="B20" s="47">
        <v>1428</v>
      </c>
      <c r="C20" s="39">
        <f>IF(B$3=0,0,B20/B$3)</f>
        <v>0.16713483146067415</v>
      </c>
      <c r="E20" s="63" t="s">
        <v>78</v>
      </c>
      <c r="F20" s="60" t="s">
        <v>33</v>
      </c>
      <c r="G20" s="47">
        <v>20</v>
      </c>
      <c r="H20" s="133">
        <f t="shared" si="0"/>
        <v>7.8678206136900079E-3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 t="shared" si="3"/>
        <v>4.9619631901840506</v>
      </c>
      <c r="P20" s="119">
        <v>326</v>
      </c>
      <c r="Q20" s="107">
        <v>1617.6000000000004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16</v>
      </c>
      <c r="H21" s="133">
        <f t="shared" si="0"/>
        <v>6.2942564909520063E-3</v>
      </c>
      <c r="I21" s="94">
        <v>6</v>
      </c>
      <c r="K21" s="38">
        <v>19</v>
      </c>
      <c r="L21" s="99">
        <v>30.999999999999996</v>
      </c>
      <c r="N21" s="115" t="s">
        <v>172</v>
      </c>
      <c r="O21" s="125">
        <f t="shared" si="3"/>
        <v>3.4785714285714282</v>
      </c>
      <c r="P21" s="119">
        <v>210</v>
      </c>
      <c r="Q21" s="107">
        <v>730.49999999999989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15</v>
      </c>
      <c r="H22" s="133">
        <f t="shared" si="0"/>
        <v>5.9008654602675063E-3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 t="shared" si="3"/>
        <v>-0.71157024793388612</v>
      </c>
      <c r="P22" s="119">
        <v>242</v>
      </c>
      <c r="Q22" s="107">
        <v>-172.20000000000044</v>
      </c>
    </row>
    <row r="23" spans="1:17" x14ac:dyDescent="0.4">
      <c r="A23" s="55" t="s">
        <v>5</v>
      </c>
      <c r="B23" s="51">
        <f>IF(B$17=0,0,C23/B$17)</f>
        <v>8590.5586152635715</v>
      </c>
      <c r="C23" s="41">
        <v>21837200</v>
      </c>
      <c r="E23" s="63" t="s">
        <v>86</v>
      </c>
      <c r="F23" s="60" t="s">
        <v>41</v>
      </c>
      <c r="G23" s="47">
        <v>12</v>
      </c>
      <c r="H23" s="133">
        <f t="shared" si="0"/>
        <v>4.7206923682140047E-3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 t="shared" si="3"/>
        <v>-1.8586363636363616</v>
      </c>
      <c r="P23" s="119">
        <v>220</v>
      </c>
      <c r="Q23" s="107">
        <v>-408.89999999999958</v>
      </c>
    </row>
    <row r="24" spans="1:17" x14ac:dyDescent="0.4">
      <c r="A24" s="57" t="s">
        <v>14</v>
      </c>
      <c r="B24" s="52">
        <f>IF(B$20=0,0,C24/B$20)</f>
        <v>-8093.2072829131648</v>
      </c>
      <c r="C24" s="45">
        <v>-11557100</v>
      </c>
      <c r="E24" s="63" t="s">
        <v>75</v>
      </c>
      <c r="F24" s="60" t="s">
        <v>30</v>
      </c>
      <c r="G24" s="47">
        <v>10</v>
      </c>
      <c r="H24" s="133">
        <f t="shared" si="0"/>
        <v>3.9339103068450039E-3</v>
      </c>
      <c r="I24" s="94">
        <v>6</v>
      </c>
      <c r="K24" s="38">
        <v>22</v>
      </c>
      <c r="L24" s="99">
        <v>23.699999999999996</v>
      </c>
      <c r="N24" s="115" t="s">
        <v>200</v>
      </c>
      <c r="O24" s="125">
        <f t="shared" si="3"/>
        <v>-5.9142857142857093</v>
      </c>
      <c r="P24" s="119">
        <v>42</v>
      </c>
      <c r="Q24" s="107">
        <v>-248.39999999999981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10</v>
      </c>
      <c r="H25" s="133">
        <f t="shared" si="0"/>
        <v>3.9339103068450039E-3</v>
      </c>
      <c r="I25" s="94">
        <v>3</v>
      </c>
      <c r="K25" s="38">
        <v>23</v>
      </c>
      <c r="L25" s="99">
        <v>26.299999999999997</v>
      </c>
      <c r="N25" s="115" t="s">
        <v>127</v>
      </c>
      <c r="O25" s="125">
        <f t="shared" si="3"/>
        <v>-18.81438356164383</v>
      </c>
      <c r="P25" s="119">
        <v>438</v>
      </c>
      <c r="Q25" s="107">
        <v>-8240.6999999999971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 t="shared" si="0"/>
        <v>2.7537372147915028E-3</v>
      </c>
      <c r="I26" s="94">
        <v>5</v>
      </c>
      <c r="K26" s="38">
        <v>24</v>
      </c>
      <c r="L26" s="99">
        <v>-3.5527136788005009E-15</v>
      </c>
      <c r="N26" s="115" t="s">
        <v>222</v>
      </c>
      <c r="O26" s="125">
        <f t="shared" si="3"/>
        <v>-19.950000000000003</v>
      </c>
      <c r="P26" s="119">
        <v>2</v>
      </c>
      <c r="Q26" s="107">
        <v>-39.900000000000006</v>
      </c>
    </row>
    <row r="27" spans="1:17" x14ac:dyDescent="0.4">
      <c r="A27" s="57" t="s">
        <v>143</v>
      </c>
      <c r="B27" s="65">
        <v>22</v>
      </c>
      <c r="C27" s="42">
        <f>IF(B$3=0,0,B27/B$3)</f>
        <v>2.5749063670411983E-3</v>
      </c>
      <c r="E27" s="63" t="s">
        <v>94</v>
      </c>
      <c r="F27" s="60" t="s">
        <v>49</v>
      </c>
      <c r="G27" s="47">
        <v>7</v>
      </c>
      <c r="H27" s="133">
        <f t="shared" si="0"/>
        <v>2.7537372147915028E-3</v>
      </c>
      <c r="I27" s="94">
        <v>5</v>
      </c>
      <c r="K27" s="38">
        <v>25</v>
      </c>
      <c r="L27" s="99">
        <v>-31.300000000000004</v>
      </c>
      <c r="N27" s="115" t="s">
        <v>223</v>
      </c>
      <c r="O27" s="125">
        <f t="shared" si="3"/>
        <v>-25.099999999999998</v>
      </c>
      <c r="P27" s="119">
        <v>12</v>
      </c>
      <c r="Q27" s="107">
        <v>-301.2</v>
      </c>
    </row>
    <row r="28" spans="1:17" x14ac:dyDescent="0.4">
      <c r="E28" s="63" t="s">
        <v>85</v>
      </c>
      <c r="F28" s="60" t="s">
        <v>40</v>
      </c>
      <c r="G28" s="47">
        <v>6</v>
      </c>
      <c r="H28" s="133">
        <f t="shared" si="0"/>
        <v>2.3603461841070024E-3</v>
      </c>
      <c r="I28" s="94">
        <v>4</v>
      </c>
      <c r="K28" s="38">
        <v>26</v>
      </c>
      <c r="L28" s="99">
        <v>1.8999999999999986</v>
      </c>
      <c r="N28" s="115" t="s">
        <v>183</v>
      </c>
      <c r="O28" s="125">
        <f t="shared" si="3"/>
        <v>-30.5</v>
      </c>
      <c r="P28" s="119">
        <v>6</v>
      </c>
      <c r="Q28" s="107">
        <v>-183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 t="shared" si="0"/>
        <v>2.3603461841070024E-3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 t="shared" si="0"/>
        <v>1.5735641227380016E-3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 t="shared" si="0"/>
        <v>7.8678206136900079E-4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 t="shared" si="0"/>
        <v>3.9339103068450039E-4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 t="shared" si="0"/>
        <v>3.9339103068450039E-4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 t="shared" ref="H34:H52" si="4">IF(B$17=0,0,G34/B$17)</f>
        <v>3.9339103068450039E-4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  <row r="948" spans="11:12" x14ac:dyDescent="0.4">
      <c r="K948" s="38">
        <v>946</v>
      </c>
      <c r="L948" s="99">
        <v>-7.2000000000000108</v>
      </c>
    </row>
    <row r="949" spans="11:12" x14ac:dyDescent="0.4">
      <c r="K949" s="38">
        <v>947</v>
      </c>
      <c r="L949" s="99">
        <v>-79.800000000000011</v>
      </c>
    </row>
    <row r="950" spans="11:12" x14ac:dyDescent="0.4">
      <c r="K950" s="38">
        <v>948</v>
      </c>
      <c r="L950" s="99">
        <v>-1.4210854715202004E-14</v>
      </c>
    </row>
    <row r="951" spans="11:12" x14ac:dyDescent="0.4">
      <c r="K951" s="38">
        <v>949</v>
      </c>
      <c r="L951" s="99">
        <v>47.299999999999983</v>
      </c>
    </row>
    <row r="952" spans="11:12" x14ac:dyDescent="0.4">
      <c r="K952" s="38">
        <v>950</v>
      </c>
      <c r="L952" s="99">
        <v>-8.5000000000000142</v>
      </c>
    </row>
    <row r="953" spans="11:12" x14ac:dyDescent="0.4">
      <c r="K953" s="38">
        <v>951</v>
      </c>
      <c r="L953" s="99">
        <v>-1.4210854715202004E-14</v>
      </c>
    </row>
    <row r="954" spans="11:12" x14ac:dyDescent="0.4">
      <c r="K954" s="38">
        <v>952</v>
      </c>
      <c r="L954" s="99">
        <v>60.999999999999986</v>
      </c>
    </row>
    <row r="955" spans="11:12" x14ac:dyDescent="0.4">
      <c r="K955" s="38">
        <v>953</v>
      </c>
      <c r="L955" s="99">
        <v>13.399999999999984</v>
      </c>
    </row>
    <row r="956" spans="11:12" x14ac:dyDescent="0.4">
      <c r="K956" s="38">
        <v>954</v>
      </c>
      <c r="L956" s="99">
        <v>-1.5987211554602254E-14</v>
      </c>
    </row>
    <row r="957" spans="11:12" x14ac:dyDescent="0.4">
      <c r="K957" s="38">
        <v>955</v>
      </c>
      <c r="L957" s="99">
        <v>44.899999999999984</v>
      </c>
    </row>
    <row r="958" spans="11:12" x14ac:dyDescent="0.4">
      <c r="K958" s="38">
        <v>956</v>
      </c>
      <c r="L958" s="99">
        <v>-19.600000000000016</v>
      </c>
    </row>
    <row r="959" spans="11:12" x14ac:dyDescent="0.4">
      <c r="K959" s="38">
        <v>957</v>
      </c>
      <c r="L959" s="99">
        <v>-1.4210854715202004E-14</v>
      </c>
    </row>
    <row r="960" spans="11:12" x14ac:dyDescent="0.4">
      <c r="K960" s="38">
        <v>958</v>
      </c>
      <c r="L960" s="99">
        <v>51.999999999999986</v>
      </c>
    </row>
    <row r="961" spans="11:12" x14ac:dyDescent="0.4">
      <c r="K961" s="38">
        <v>959</v>
      </c>
      <c r="L961" s="99">
        <v>-7.4000000000000128</v>
      </c>
    </row>
    <row r="962" spans="11:12" x14ac:dyDescent="0.4">
      <c r="K962" s="38">
        <v>960</v>
      </c>
      <c r="L962" s="99">
        <v>-1.2434497875801753E-14</v>
      </c>
    </row>
    <row r="963" spans="11:12" x14ac:dyDescent="0.4">
      <c r="K963" s="38">
        <v>961</v>
      </c>
      <c r="L963" s="99">
        <v>-65.000000000000014</v>
      </c>
    </row>
    <row r="964" spans="11:12" x14ac:dyDescent="0.4">
      <c r="K964" s="38">
        <v>962</v>
      </c>
      <c r="L964" s="99">
        <v>-65.000000000000014</v>
      </c>
    </row>
    <row r="965" spans="11:12" x14ac:dyDescent="0.4">
      <c r="K965" s="38">
        <v>963</v>
      </c>
      <c r="L965" s="99">
        <v>-1.4210854715202004E-14</v>
      </c>
    </row>
    <row r="966" spans="11:12" x14ac:dyDescent="0.4">
      <c r="K966" s="38">
        <v>964</v>
      </c>
      <c r="L966" s="99">
        <v>-10.800000000000015</v>
      </c>
    </row>
    <row r="967" spans="11:12" x14ac:dyDescent="0.4">
      <c r="K967" s="38">
        <v>965</v>
      </c>
      <c r="L967" s="99">
        <v>-57.600000000000009</v>
      </c>
    </row>
    <row r="968" spans="11:12" x14ac:dyDescent="0.4">
      <c r="K968" s="38">
        <v>966</v>
      </c>
      <c r="L968" s="99">
        <v>-7.1054273576010019E-15</v>
      </c>
    </row>
    <row r="969" spans="11:12" x14ac:dyDescent="0.4">
      <c r="K969" s="38">
        <v>967</v>
      </c>
      <c r="L969" s="99">
        <v>-66.5</v>
      </c>
    </row>
    <row r="970" spans="11:12" x14ac:dyDescent="0.4">
      <c r="K970" s="38">
        <v>968</v>
      </c>
      <c r="L970" s="99">
        <v>-19.5</v>
      </c>
    </row>
    <row r="971" spans="11:12" x14ac:dyDescent="0.4">
      <c r="K971" s="38">
        <v>969</v>
      </c>
      <c r="L971" s="99">
        <v>0</v>
      </c>
    </row>
    <row r="972" spans="11:12" x14ac:dyDescent="0.4">
      <c r="K972" s="38">
        <v>970</v>
      </c>
      <c r="L972" s="99">
        <v>11.1</v>
      </c>
    </row>
    <row r="973" spans="11:12" x14ac:dyDescent="0.4">
      <c r="K973" s="38">
        <v>971</v>
      </c>
      <c r="L973" s="99">
        <v>-35.9</v>
      </c>
    </row>
    <row r="974" spans="11:12" x14ac:dyDescent="0.4">
      <c r="K974" s="38">
        <v>972</v>
      </c>
      <c r="L974" s="99">
        <v>0</v>
      </c>
    </row>
    <row r="975" spans="11:12" x14ac:dyDescent="0.4">
      <c r="K975" s="38">
        <v>973</v>
      </c>
      <c r="L975" s="99">
        <v>-0.2</v>
      </c>
    </row>
    <row r="976" spans="11:12" x14ac:dyDescent="0.4">
      <c r="K976" s="38">
        <v>974</v>
      </c>
      <c r="L976" s="99">
        <v>-26.5</v>
      </c>
    </row>
    <row r="977" spans="11:12" x14ac:dyDescent="0.4">
      <c r="K977" s="38">
        <v>975</v>
      </c>
      <c r="L977" s="99">
        <v>0</v>
      </c>
    </row>
    <row r="978" spans="11:12" x14ac:dyDescent="0.4">
      <c r="K978" s="38">
        <v>976</v>
      </c>
      <c r="L978" s="99">
        <v>-7</v>
      </c>
    </row>
    <row r="979" spans="11:12" x14ac:dyDescent="0.4">
      <c r="K979" s="38">
        <v>977</v>
      </c>
      <c r="L979" s="99">
        <v>50.5</v>
      </c>
    </row>
    <row r="980" spans="11:12" x14ac:dyDescent="0.4">
      <c r="K980" s="38">
        <v>978</v>
      </c>
      <c r="L980" s="99">
        <v>0</v>
      </c>
    </row>
    <row r="981" spans="11:12" x14ac:dyDescent="0.4">
      <c r="K981" s="38">
        <v>979</v>
      </c>
      <c r="L981" s="99">
        <v>-0.4</v>
      </c>
    </row>
    <row r="982" spans="11:12" x14ac:dyDescent="0.4">
      <c r="K982" s="38">
        <v>980</v>
      </c>
      <c r="L982" s="99">
        <v>24.400000000000002</v>
      </c>
    </row>
    <row r="983" spans="11:12" x14ac:dyDescent="0.4">
      <c r="K983" s="38">
        <v>981</v>
      </c>
      <c r="L983" s="99">
        <v>3.5527136788005009E-15</v>
      </c>
    </row>
    <row r="984" spans="11:12" x14ac:dyDescent="0.4">
      <c r="K984" s="38">
        <v>982</v>
      </c>
      <c r="L984" s="99">
        <v>-47.099999999999994</v>
      </c>
    </row>
    <row r="985" spans="11:12" x14ac:dyDescent="0.4">
      <c r="K985" s="38">
        <v>983</v>
      </c>
      <c r="L985" s="99">
        <v>-64.199999999999989</v>
      </c>
    </row>
    <row r="986" spans="11:12" x14ac:dyDescent="0.4">
      <c r="K986" s="38">
        <v>984</v>
      </c>
      <c r="L986" s="99">
        <v>1.4210854715202004E-14</v>
      </c>
    </row>
    <row r="987" spans="11:12" x14ac:dyDescent="0.4">
      <c r="K987" s="38">
        <v>985</v>
      </c>
      <c r="L987" s="99">
        <v>-37.699999999999989</v>
      </c>
    </row>
    <row r="988" spans="11:12" x14ac:dyDescent="0.4">
      <c r="K988" s="38">
        <v>986</v>
      </c>
      <c r="L988" s="99">
        <v>15.300000000000011</v>
      </c>
    </row>
    <row r="989" spans="11:12" x14ac:dyDescent="0.4">
      <c r="K989" s="38">
        <v>987</v>
      </c>
      <c r="L989" s="99">
        <v>1.0658141036401503E-14</v>
      </c>
    </row>
    <row r="990" spans="11:12" x14ac:dyDescent="0.4">
      <c r="K990" s="38">
        <v>988</v>
      </c>
      <c r="L990" s="99">
        <v>40.200000000000017</v>
      </c>
    </row>
    <row r="991" spans="11:12" x14ac:dyDescent="0.4">
      <c r="K991" s="38">
        <v>989</v>
      </c>
      <c r="L991" s="99">
        <v>34.800000000000018</v>
      </c>
    </row>
    <row r="992" spans="11:12" x14ac:dyDescent="0.4">
      <c r="K992" s="38">
        <v>990</v>
      </c>
      <c r="L992" s="99">
        <v>2.1316282072803006E-14</v>
      </c>
    </row>
    <row r="993" spans="11:12" x14ac:dyDescent="0.4">
      <c r="K993" s="38">
        <v>991</v>
      </c>
      <c r="L993" s="99">
        <v>0.90000000000002134</v>
      </c>
    </row>
    <row r="994" spans="11:12" x14ac:dyDescent="0.4">
      <c r="K994" s="38">
        <v>992</v>
      </c>
      <c r="L994" s="99">
        <v>-47.499999999999979</v>
      </c>
    </row>
    <row r="995" spans="11:12" x14ac:dyDescent="0.4">
      <c r="K995" s="38">
        <v>993</v>
      </c>
      <c r="L995" s="99">
        <v>2.1316282072803006E-14</v>
      </c>
    </row>
    <row r="996" spans="11:12" x14ac:dyDescent="0.4">
      <c r="K996" s="38">
        <v>994</v>
      </c>
      <c r="L996" s="99">
        <v>-61.59999999999998</v>
      </c>
    </row>
    <row r="997" spans="11:12" x14ac:dyDescent="0.4">
      <c r="K997" s="38">
        <v>995</v>
      </c>
      <c r="L997" s="99">
        <v>-49.499999999999979</v>
      </c>
    </row>
    <row r="998" spans="11:12" x14ac:dyDescent="0.4">
      <c r="K998" s="38">
        <v>996</v>
      </c>
      <c r="L998" s="99">
        <v>2.1316282072803006E-14</v>
      </c>
    </row>
    <row r="999" spans="11:12" x14ac:dyDescent="0.4">
      <c r="K999" s="38">
        <v>997</v>
      </c>
      <c r="L999" s="99">
        <v>-43.899999999999977</v>
      </c>
    </row>
    <row r="1000" spans="11:12" x14ac:dyDescent="0.4">
      <c r="K1000" s="38">
        <v>998</v>
      </c>
      <c r="L1000" s="99">
        <v>-34.699999999999974</v>
      </c>
    </row>
    <row r="1001" spans="11:12" x14ac:dyDescent="0.4">
      <c r="K1001" s="38">
        <v>999</v>
      </c>
      <c r="L1001" s="99">
        <v>2.8421709430404007E-14</v>
      </c>
    </row>
    <row r="1002" spans="11:12" x14ac:dyDescent="0.4">
      <c r="K1002" s="38">
        <v>1000</v>
      </c>
      <c r="L1002" s="99">
        <v>62.700000000000031</v>
      </c>
    </row>
    <row r="1003" spans="11:12" x14ac:dyDescent="0.4">
      <c r="K1003" s="38">
        <v>1001</v>
      </c>
      <c r="L1003" s="99">
        <v>13.900000000000034</v>
      </c>
    </row>
    <row r="1004" spans="11:12" x14ac:dyDescent="0.4">
      <c r="K1004" s="38">
        <v>1002</v>
      </c>
      <c r="L1004" s="99">
        <v>3.3750779948604759E-14</v>
      </c>
    </row>
    <row r="1005" spans="11:12" x14ac:dyDescent="0.4">
      <c r="K1005" s="38">
        <v>1003</v>
      </c>
      <c r="L1005" s="99">
        <v>10.700000000000033</v>
      </c>
    </row>
    <row r="1006" spans="11:12" x14ac:dyDescent="0.4">
      <c r="K1006" s="38">
        <v>1004</v>
      </c>
      <c r="L1006" s="99">
        <v>-46.999999999999972</v>
      </c>
    </row>
    <row r="1007" spans="11:12" x14ac:dyDescent="0.4">
      <c r="K1007" s="38">
        <v>1005</v>
      </c>
      <c r="L1007" s="99">
        <v>2.8421709430404007E-14</v>
      </c>
    </row>
    <row r="1008" spans="11:12" x14ac:dyDescent="0.4">
      <c r="K1008" s="38">
        <v>1006</v>
      </c>
      <c r="L1008" s="99">
        <v>35.700000000000031</v>
      </c>
    </row>
    <row r="1009" spans="11:12" x14ac:dyDescent="0.4">
      <c r="K1009" s="38">
        <v>1007</v>
      </c>
      <c r="L1009" s="99">
        <v>-1.0999999999999659</v>
      </c>
    </row>
    <row r="1010" spans="11:12" x14ac:dyDescent="0.4">
      <c r="K1010" s="38">
        <v>1008</v>
      </c>
      <c r="L1010" s="99">
        <v>3.4194869158454821E-14</v>
      </c>
    </row>
    <row r="1011" spans="11:12" x14ac:dyDescent="0.4">
      <c r="K1011" s="38">
        <v>1009</v>
      </c>
      <c r="L1011" s="99">
        <v>27.200000000000035</v>
      </c>
    </row>
    <row r="1012" spans="11:12" x14ac:dyDescent="0.4">
      <c r="K1012" s="38">
        <v>1010</v>
      </c>
      <c r="L1012" s="99">
        <v>25.300000000000036</v>
      </c>
    </row>
    <row r="1013" spans="11:12" x14ac:dyDescent="0.4">
      <c r="K1013" s="38">
        <v>1011</v>
      </c>
      <c r="L1013" s="99">
        <v>3.5527136788005009E-14</v>
      </c>
    </row>
    <row r="1014" spans="11:12" x14ac:dyDescent="0.4">
      <c r="K1014" s="38">
        <v>1012</v>
      </c>
      <c r="L1014" s="99">
        <v>15.800000000000036</v>
      </c>
    </row>
    <row r="1015" spans="11:12" x14ac:dyDescent="0.4">
      <c r="K1015" s="38">
        <v>1013</v>
      </c>
      <c r="L1015" s="99">
        <v>56.000000000000043</v>
      </c>
    </row>
    <row r="1016" spans="11:12" x14ac:dyDescent="0.4">
      <c r="K1016" s="38">
        <v>1014</v>
      </c>
      <c r="L1016" s="99">
        <v>4.2632564145606011E-14</v>
      </c>
    </row>
    <row r="1017" spans="11:12" x14ac:dyDescent="0.4">
      <c r="K1017" s="38">
        <v>1015</v>
      </c>
      <c r="L1017" s="99">
        <v>25.200000000000042</v>
      </c>
    </row>
    <row r="1018" spans="11:12" x14ac:dyDescent="0.4">
      <c r="K1018" s="38">
        <v>1016</v>
      </c>
      <c r="L1018" s="99">
        <v>-3.5999999999999588</v>
      </c>
    </row>
    <row r="1019" spans="11:12" x14ac:dyDescent="0.4">
      <c r="K1019" s="38">
        <v>1017</v>
      </c>
      <c r="L1019" s="99">
        <v>4.1300296516055823E-14</v>
      </c>
    </row>
    <row r="1020" spans="11:12" x14ac:dyDescent="0.4">
      <c r="K1020" s="38">
        <v>1018</v>
      </c>
      <c r="L1020" s="99">
        <v>-9.2999999999999599</v>
      </c>
    </row>
    <row r="1021" spans="11:12" x14ac:dyDescent="0.4">
      <c r="K1021" s="38">
        <v>1019</v>
      </c>
      <c r="L1021" s="99">
        <v>51.900000000000041</v>
      </c>
    </row>
    <row r="1022" spans="11:12" x14ac:dyDescent="0.4">
      <c r="K1022" s="38">
        <v>1020</v>
      </c>
      <c r="L1022" s="99">
        <v>4.2632564145606011E-14</v>
      </c>
    </row>
    <row r="1023" spans="11:12" x14ac:dyDescent="0.4">
      <c r="K1023" s="38">
        <v>1021</v>
      </c>
      <c r="L1023" s="99">
        <v>3.2000000000000428</v>
      </c>
    </row>
    <row r="1024" spans="11:12" x14ac:dyDescent="0.4">
      <c r="K1024" s="38">
        <v>1022</v>
      </c>
      <c r="L1024" s="99">
        <v>-27.599999999999959</v>
      </c>
    </row>
    <row r="1025" spans="11:12" x14ac:dyDescent="0.4">
      <c r="K1025" s="38">
        <v>1023</v>
      </c>
      <c r="L1025" s="99">
        <v>4.2632564145606011E-14</v>
      </c>
    </row>
    <row r="1026" spans="11:12" x14ac:dyDescent="0.4">
      <c r="K1026" s="38">
        <v>1024</v>
      </c>
      <c r="L1026" s="99">
        <v>-2.7999999999999572</v>
      </c>
    </row>
    <row r="1027" spans="11:12" x14ac:dyDescent="0.4">
      <c r="K1027" s="38">
        <v>1025</v>
      </c>
      <c r="L1027" s="99">
        <v>38.700000000000045</v>
      </c>
    </row>
    <row r="1028" spans="11:12" x14ac:dyDescent="0.4">
      <c r="K1028" s="38">
        <v>1026</v>
      </c>
      <c r="L1028" s="99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CD73-E591-4C27-92E4-ABF5943A5B60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219</v>
      </c>
      <c r="C2" s="151"/>
      <c r="E2" s="62" t="s">
        <v>67</v>
      </c>
      <c r="F2" s="59" t="s">
        <v>23</v>
      </c>
      <c r="G2" s="46">
        <v>466</v>
      </c>
      <c r="H2" s="132">
        <f t="shared" ref="H2:H33" si="0">IF(B$17=0,0,G2/B$17)</f>
        <v>0.77024793388429758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1200.9174311926606</v>
      </c>
      <c r="P2" s="118">
        <v>218</v>
      </c>
      <c r="Q2" s="102">
        <v>261800</v>
      </c>
    </row>
    <row r="3" spans="1:17" x14ac:dyDescent="0.4">
      <c r="A3" s="55" t="s">
        <v>8</v>
      </c>
      <c r="B3" s="152">
        <v>1793</v>
      </c>
      <c r="C3" s="153"/>
      <c r="E3" s="63" t="s">
        <v>73</v>
      </c>
      <c r="F3" s="60" t="s">
        <v>28</v>
      </c>
      <c r="G3" s="47">
        <v>334</v>
      </c>
      <c r="H3" s="133">
        <f t="shared" si="0"/>
        <v>0.55206611570247932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1"/>
        <v>1853.0516431924882</v>
      </c>
      <c r="P3" s="119">
        <v>213</v>
      </c>
      <c r="Q3" s="103">
        <v>394700</v>
      </c>
    </row>
    <row r="4" spans="1:17" x14ac:dyDescent="0.4">
      <c r="A4" s="55" t="s">
        <v>6</v>
      </c>
      <c r="B4" s="154">
        <v>2746.9</v>
      </c>
      <c r="C4" s="155"/>
      <c r="E4" s="63" t="s">
        <v>65</v>
      </c>
      <c r="F4" s="60" t="s">
        <v>21</v>
      </c>
      <c r="G4" s="47">
        <v>287</v>
      </c>
      <c r="H4" s="133">
        <f t="shared" si="0"/>
        <v>0.47438016528925619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1"/>
        <v>700.98039215686276</v>
      </c>
      <c r="P4" s="119">
        <v>204</v>
      </c>
      <c r="Q4" s="103">
        <v>143000</v>
      </c>
    </row>
    <row r="5" spans="1:17" x14ac:dyDescent="0.4">
      <c r="A5" s="55" t="s">
        <v>7</v>
      </c>
      <c r="B5" s="156">
        <f>IF(B$2=0,0,B$4/B$2)</f>
        <v>12.542922374429224</v>
      </c>
      <c r="C5" s="157"/>
      <c r="E5" s="63" t="s">
        <v>245</v>
      </c>
      <c r="F5" s="60" t="s">
        <v>246</v>
      </c>
      <c r="G5" s="47">
        <v>241</v>
      </c>
      <c r="H5" s="133">
        <f t="shared" si="0"/>
        <v>0.39834710743801655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1"/>
        <v>2811.229946524064</v>
      </c>
      <c r="P5" s="119">
        <v>187</v>
      </c>
      <c r="Q5" s="103">
        <v>525700</v>
      </c>
    </row>
    <row r="6" spans="1:17" x14ac:dyDescent="0.4">
      <c r="A6" s="55" t="s">
        <v>1</v>
      </c>
      <c r="B6" s="146">
        <f>IF(B$2=0,0,(B$7*1+B$8*2+B$9*3)/B$2)</f>
        <v>1.7579908675799087</v>
      </c>
      <c r="C6" s="147"/>
      <c r="E6" s="63" t="s">
        <v>68</v>
      </c>
      <c r="F6" s="60" t="s">
        <v>24</v>
      </c>
      <c r="G6" s="47">
        <v>190</v>
      </c>
      <c r="H6" s="133">
        <f t="shared" si="0"/>
        <v>0.31404958677685951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1"/>
        <v>1247.5903614457832</v>
      </c>
      <c r="P6" s="119">
        <v>166</v>
      </c>
      <c r="Q6" s="103">
        <v>207100</v>
      </c>
    </row>
    <row r="7" spans="1:17" x14ac:dyDescent="0.4">
      <c r="A7" s="55" t="s">
        <v>2</v>
      </c>
      <c r="B7" s="47">
        <v>106</v>
      </c>
      <c r="C7" s="39">
        <f t="shared" ref="C7:C12" si="2">IF(B$2=0,0,B7/B$2)</f>
        <v>0.48401826484018262</v>
      </c>
      <c r="E7" s="63" t="s">
        <v>69</v>
      </c>
      <c r="F7" s="60" t="s">
        <v>12</v>
      </c>
      <c r="G7" s="47">
        <v>169</v>
      </c>
      <c r="H7" s="133">
        <f t="shared" si="0"/>
        <v>0.27933884297520661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1"/>
        <v>1222.5352112676057</v>
      </c>
      <c r="P7" s="120">
        <v>142</v>
      </c>
      <c r="Q7" s="104">
        <v>173600</v>
      </c>
    </row>
    <row r="8" spans="1:17" x14ac:dyDescent="0.4">
      <c r="A8" s="55" t="s">
        <v>3</v>
      </c>
      <c r="B8" s="47">
        <v>60</v>
      </c>
      <c r="C8" s="39">
        <f t="shared" si="2"/>
        <v>0.27397260273972601</v>
      </c>
      <c r="E8" s="63" t="s">
        <v>90</v>
      </c>
      <c r="F8" s="60" t="s">
        <v>45</v>
      </c>
      <c r="G8" s="47">
        <v>100</v>
      </c>
      <c r="H8" s="133">
        <f t="shared" si="0"/>
        <v>0.16528925619834711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53</v>
      </c>
      <c r="C9" s="40">
        <f t="shared" si="2"/>
        <v>0.24200913242009131</v>
      </c>
      <c r="E9" s="63" t="s">
        <v>70</v>
      </c>
      <c r="F9" s="60" t="s">
        <v>25</v>
      </c>
      <c r="G9" s="47">
        <v>96</v>
      </c>
      <c r="H9" s="133">
        <f t="shared" si="0"/>
        <v>0.15867768595041323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 t="shared" si="2"/>
        <v>8.2191780821917804E-2</v>
      </c>
      <c r="E10" s="63" t="s">
        <v>66</v>
      </c>
      <c r="F10" s="60" t="s">
        <v>22</v>
      </c>
      <c r="G10" s="47">
        <v>74</v>
      </c>
      <c r="H10" s="133">
        <f t="shared" si="0"/>
        <v>0.12231404958677686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17.361428571428576</v>
      </c>
      <c r="P10" s="118">
        <v>70</v>
      </c>
      <c r="Q10" s="106">
        <v>1215.3000000000004</v>
      </c>
    </row>
    <row r="11" spans="1:17" x14ac:dyDescent="0.4">
      <c r="A11" s="56" t="s">
        <v>140</v>
      </c>
      <c r="B11" s="48">
        <v>37</v>
      </c>
      <c r="C11" s="40">
        <f t="shared" si="2"/>
        <v>0.16894977168949771</v>
      </c>
      <c r="E11" s="63" t="s">
        <v>71</v>
      </c>
      <c r="F11" s="60" t="s">
        <v>26</v>
      </c>
      <c r="G11" s="47">
        <v>47</v>
      </c>
      <c r="H11" s="133">
        <f t="shared" si="0"/>
        <v>7.768595041322314E-2</v>
      </c>
      <c r="I11" s="94">
        <v>8</v>
      </c>
      <c r="K11" s="38">
        <v>9</v>
      </c>
      <c r="L11" s="99">
        <v>277.90000000000003</v>
      </c>
      <c r="N11" s="115" t="s">
        <v>165</v>
      </c>
      <c r="O11" s="125">
        <f>IF(P11=0,0,Q11/P11)</f>
        <v>9.0685714285714294</v>
      </c>
      <c r="P11" s="119">
        <v>70</v>
      </c>
      <c r="Q11" s="107">
        <v>634.80000000000007</v>
      </c>
    </row>
    <row r="12" spans="1:17" x14ac:dyDescent="0.4">
      <c r="A12" s="57" t="s">
        <v>160</v>
      </c>
      <c r="B12" s="49">
        <v>30</v>
      </c>
      <c r="C12" s="42">
        <f t="shared" si="2"/>
        <v>0.13698630136986301</v>
      </c>
      <c r="E12" s="63" t="s">
        <v>87</v>
      </c>
      <c r="F12" s="60" t="s">
        <v>42</v>
      </c>
      <c r="G12" s="47">
        <v>43</v>
      </c>
      <c r="H12" s="133">
        <f t="shared" si="0"/>
        <v>7.1074380165289261E-2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11.351898734177219</v>
      </c>
      <c r="P12" s="120">
        <v>79</v>
      </c>
      <c r="Q12" s="108">
        <v>896.8000000000003</v>
      </c>
    </row>
    <row r="13" spans="1:17" x14ac:dyDescent="0.4">
      <c r="A13" s="58" t="s">
        <v>122</v>
      </c>
      <c r="B13" s="50">
        <v>542</v>
      </c>
      <c r="C13" s="44">
        <f>IF(B$3=0,0,B13/B$3)</f>
        <v>0.30228667038482987</v>
      </c>
      <c r="E13" s="63" t="s">
        <v>72</v>
      </c>
      <c r="F13" s="60" t="s">
        <v>27</v>
      </c>
      <c r="G13" s="47">
        <v>39</v>
      </c>
      <c r="H13" s="133">
        <f t="shared" si="0"/>
        <v>6.4462809917355368E-2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392</v>
      </c>
      <c r="C14" s="39">
        <f>IF(B$3=0,0,B14/B$3)</f>
        <v>0.21862799776910205</v>
      </c>
      <c r="E14" s="63" t="s">
        <v>84</v>
      </c>
      <c r="F14" s="60" t="s">
        <v>39</v>
      </c>
      <c r="G14" s="47">
        <v>29</v>
      </c>
      <c r="H14" s="133">
        <f t="shared" si="0"/>
        <v>4.7933884297520664E-2</v>
      </c>
      <c r="I14" s="94">
        <v>6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317</v>
      </c>
      <c r="C15" s="37">
        <f>IF(B$13=0,0,B15/B$13)</f>
        <v>0.58487084870848705</v>
      </c>
      <c r="E15" s="63" t="s">
        <v>180</v>
      </c>
      <c r="F15" s="60" t="s">
        <v>181</v>
      </c>
      <c r="G15" s="47">
        <v>25</v>
      </c>
      <c r="H15" s="133">
        <f t="shared" si="0"/>
        <v>4.1322314049586778E-2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 t="shared" ref="O15:O25" si="3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196</v>
      </c>
      <c r="C16" s="37">
        <f>IF(B$14=0,0,B16/B$14)</f>
        <v>0.5</v>
      </c>
      <c r="E16" s="63" t="s">
        <v>79</v>
      </c>
      <c r="F16" s="60" t="s">
        <v>34</v>
      </c>
      <c r="G16" s="47">
        <v>15</v>
      </c>
      <c r="H16" s="133">
        <f t="shared" si="0"/>
        <v>2.4793388429752067E-2</v>
      </c>
      <c r="I16" s="94">
        <v>9</v>
      </c>
      <c r="K16" s="38">
        <v>14</v>
      </c>
      <c r="L16" s="99">
        <v>473.50000000000006</v>
      </c>
      <c r="N16" s="115" t="s">
        <v>222</v>
      </c>
      <c r="O16" s="125">
        <f t="shared" si="3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605</v>
      </c>
      <c r="C17" s="37">
        <f>IF(B$3=0,0,B17/B$3)</f>
        <v>0.33742331288343558</v>
      </c>
      <c r="E17" s="63" t="s">
        <v>92</v>
      </c>
      <c r="F17" s="60" t="s">
        <v>47</v>
      </c>
      <c r="G17" s="47">
        <v>14</v>
      </c>
      <c r="H17" s="133">
        <f t="shared" si="0"/>
        <v>2.3140495867768594E-2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 t="shared" si="3"/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253</v>
      </c>
      <c r="C18" s="39">
        <f>IF(B$17=0,0,B18/B$17)</f>
        <v>0.41818181818181815</v>
      </c>
      <c r="E18" s="63" t="s">
        <v>82</v>
      </c>
      <c r="F18" s="60" t="s">
        <v>37</v>
      </c>
      <c r="G18" s="47">
        <v>12</v>
      </c>
      <c r="H18" s="133">
        <f t="shared" si="0"/>
        <v>1.9834710743801654E-2</v>
      </c>
      <c r="I18" s="94">
        <v>10</v>
      </c>
      <c r="K18" s="38">
        <v>16</v>
      </c>
      <c r="L18" s="99">
        <v>425.50000000000006</v>
      </c>
      <c r="N18" s="115" t="s">
        <v>173</v>
      </c>
      <c r="O18" s="125">
        <f t="shared" si="3"/>
        <v>27.999999999999996</v>
      </c>
      <c r="P18" s="119">
        <v>29</v>
      </c>
      <c r="Q18" s="107">
        <v>811.99999999999989</v>
      </c>
    </row>
    <row r="19" spans="1:17" x14ac:dyDescent="0.4">
      <c r="A19" s="55" t="s">
        <v>11</v>
      </c>
      <c r="B19" s="47">
        <v>352</v>
      </c>
      <c r="C19" s="39">
        <f>IF(B$17=0,0,B19/B$17)</f>
        <v>0.58181818181818179</v>
      </c>
      <c r="E19" s="63" t="s">
        <v>80</v>
      </c>
      <c r="F19" s="60" t="s">
        <v>35</v>
      </c>
      <c r="G19" s="47">
        <v>9</v>
      </c>
      <c r="H19" s="133">
        <f t="shared" si="0"/>
        <v>1.487603305785124E-2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 t="shared" si="3"/>
        <v>27.732075471698106</v>
      </c>
      <c r="P19" s="119">
        <v>53</v>
      </c>
      <c r="Q19" s="107">
        <v>1469.7999999999997</v>
      </c>
    </row>
    <row r="20" spans="1:17" x14ac:dyDescent="0.4">
      <c r="A20" s="55" t="s">
        <v>13</v>
      </c>
      <c r="B20" s="47">
        <v>268</v>
      </c>
      <c r="C20" s="39">
        <f>IF(B$3=0,0,B20/B$3)</f>
        <v>0.14947016174010039</v>
      </c>
      <c r="E20" s="63" t="s">
        <v>86</v>
      </c>
      <c r="F20" s="60" t="s">
        <v>41</v>
      </c>
      <c r="G20" s="47">
        <v>6</v>
      </c>
      <c r="H20" s="133">
        <f t="shared" si="0"/>
        <v>9.9173553719008271E-3</v>
      </c>
      <c r="I20" s="94">
        <v>2</v>
      </c>
      <c r="K20" s="38">
        <v>18</v>
      </c>
      <c r="L20" s="99">
        <v>429.3</v>
      </c>
      <c r="N20" s="115" t="s">
        <v>129</v>
      </c>
      <c r="O20" s="125">
        <f t="shared" si="3"/>
        <v>21.925000000000008</v>
      </c>
      <c r="P20" s="119">
        <v>108</v>
      </c>
      <c r="Q20" s="107">
        <v>2367.900000000001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4</v>
      </c>
      <c r="H21" s="133">
        <f t="shared" si="0"/>
        <v>6.6115702479338841E-3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 t="shared" si="3"/>
        <v>21.239215686274516</v>
      </c>
      <c r="P21" s="119">
        <v>51</v>
      </c>
      <c r="Q21" s="107">
        <v>1083.2000000000003</v>
      </c>
    </row>
    <row r="22" spans="1:17" x14ac:dyDescent="0.4">
      <c r="A22" s="55" t="s">
        <v>192</v>
      </c>
      <c r="B22" s="47">
        <v>39</v>
      </c>
      <c r="C22" s="135">
        <v>6</v>
      </c>
      <c r="E22" s="63" t="s">
        <v>78</v>
      </c>
      <c r="F22" s="60" t="s">
        <v>33</v>
      </c>
      <c r="G22" s="47">
        <v>4</v>
      </c>
      <c r="H22" s="133">
        <f t="shared" si="0"/>
        <v>6.6115702479338841E-3</v>
      </c>
      <c r="I22" s="94">
        <v>6</v>
      </c>
      <c r="K22" s="38">
        <v>20</v>
      </c>
      <c r="L22" s="99">
        <v>469.6</v>
      </c>
      <c r="N22" s="115" t="s">
        <v>128</v>
      </c>
      <c r="O22" s="125">
        <f t="shared" si="3"/>
        <v>19.807964601769918</v>
      </c>
      <c r="P22" s="119">
        <v>113</v>
      </c>
      <c r="Q22" s="107">
        <v>2238.3000000000006</v>
      </c>
    </row>
    <row r="23" spans="1:17" x14ac:dyDescent="0.4">
      <c r="A23" s="55" t="s">
        <v>5</v>
      </c>
      <c r="B23" s="51">
        <f>IF(B$17=0,0,C23/B$17)</f>
        <v>9240.6611570247933</v>
      </c>
      <c r="C23" s="41">
        <v>5590600</v>
      </c>
      <c r="E23" s="63" t="s">
        <v>93</v>
      </c>
      <c r="F23" s="60" t="s">
        <v>48</v>
      </c>
      <c r="G23" s="47">
        <v>4</v>
      </c>
      <c r="H23" s="133">
        <f t="shared" si="0"/>
        <v>6.6115702479338841E-3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3"/>
        <v>-1.9269841269841288</v>
      </c>
      <c r="P23" s="119">
        <v>63</v>
      </c>
      <c r="Q23" s="107">
        <v>-121.40000000000012</v>
      </c>
    </row>
    <row r="24" spans="1:17" x14ac:dyDescent="0.4">
      <c r="A24" s="57" t="s">
        <v>14</v>
      </c>
      <c r="B24" s="52">
        <f>IF(B$20=0,0,C24/B$20)</f>
        <v>-8208.2089552238813</v>
      </c>
      <c r="C24" s="45">
        <v>-2199800</v>
      </c>
      <c r="E24" s="63" t="s">
        <v>91</v>
      </c>
      <c r="F24" s="60" t="s">
        <v>46</v>
      </c>
      <c r="G24" s="47">
        <v>3</v>
      </c>
      <c r="H24" s="133">
        <f t="shared" si="0"/>
        <v>4.9586776859504135E-3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 t="shared" si="3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 t="shared" si="0"/>
        <v>3.3057851239669421E-3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 t="shared" si="3"/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 t="shared" si="0"/>
        <v>3.3057851239669421E-3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5.5772448410485224E-4</v>
      </c>
      <c r="E27" s="63" t="s">
        <v>76</v>
      </c>
      <c r="F27" s="60" t="s">
        <v>31</v>
      </c>
      <c r="G27" s="47">
        <v>1</v>
      </c>
      <c r="H27" s="133">
        <f t="shared" si="0"/>
        <v>1.652892561983471E-3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 t="shared" si="0"/>
        <v>1.652892561983471E-3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 t="shared" si="0"/>
        <v>1.652892561983471E-3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 t="shared" si="0"/>
        <v>1.652892561983471E-3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  <row r="204" spans="11:12" x14ac:dyDescent="0.4">
      <c r="K204" s="38">
        <v>202</v>
      </c>
      <c r="L204" s="99">
        <v>2521.3000000000002</v>
      </c>
    </row>
    <row r="205" spans="11:12" x14ac:dyDescent="0.4">
      <c r="K205" s="38">
        <v>203</v>
      </c>
      <c r="L205" s="99">
        <v>2568.6000000000004</v>
      </c>
    </row>
    <row r="206" spans="11:12" x14ac:dyDescent="0.4">
      <c r="K206" s="38">
        <v>204</v>
      </c>
      <c r="L206" s="99">
        <v>2629.6000000000004</v>
      </c>
    </row>
    <row r="207" spans="11:12" x14ac:dyDescent="0.4">
      <c r="K207" s="38">
        <v>205</v>
      </c>
      <c r="L207" s="99">
        <v>2674.5000000000005</v>
      </c>
    </row>
    <row r="208" spans="11:12" x14ac:dyDescent="0.4">
      <c r="K208" s="38">
        <v>206</v>
      </c>
      <c r="L208" s="99">
        <v>2726.5000000000005</v>
      </c>
    </row>
    <row r="209" spans="11:12" x14ac:dyDescent="0.4">
      <c r="K209" s="38">
        <v>207</v>
      </c>
      <c r="L209" s="99">
        <v>2661.5000000000005</v>
      </c>
    </row>
    <row r="210" spans="11:12" x14ac:dyDescent="0.4">
      <c r="K210" s="38">
        <v>208</v>
      </c>
      <c r="L210" s="99">
        <v>2614.7000000000003</v>
      </c>
    </row>
    <row r="211" spans="11:12" x14ac:dyDescent="0.4">
      <c r="K211" s="38">
        <v>209</v>
      </c>
      <c r="L211" s="99">
        <v>2661.7000000000003</v>
      </c>
    </row>
    <row r="212" spans="11:12" x14ac:dyDescent="0.4">
      <c r="K212" s="38">
        <v>210</v>
      </c>
      <c r="L212" s="99">
        <v>2614.7000000000003</v>
      </c>
    </row>
    <row r="213" spans="11:12" x14ac:dyDescent="0.4">
      <c r="K213" s="38">
        <v>211</v>
      </c>
      <c r="L213" s="99">
        <v>2588.4</v>
      </c>
    </row>
    <row r="214" spans="11:12" x14ac:dyDescent="0.4">
      <c r="K214" s="38">
        <v>212</v>
      </c>
      <c r="L214" s="99">
        <v>2645.9</v>
      </c>
    </row>
    <row r="215" spans="11:12" x14ac:dyDescent="0.4">
      <c r="K215" s="38">
        <v>213</v>
      </c>
      <c r="L215" s="99">
        <v>2670.7000000000003</v>
      </c>
    </row>
    <row r="216" spans="11:12" x14ac:dyDescent="0.4">
      <c r="K216" s="38">
        <v>214</v>
      </c>
      <c r="L216" s="99">
        <v>2623.6000000000004</v>
      </c>
    </row>
    <row r="217" spans="11:12" x14ac:dyDescent="0.4">
      <c r="K217" s="38">
        <v>215</v>
      </c>
      <c r="L217" s="99">
        <v>2676.6000000000004</v>
      </c>
    </row>
    <row r="218" spans="11:12" x14ac:dyDescent="0.4">
      <c r="K218" s="38">
        <v>216</v>
      </c>
      <c r="L218" s="99">
        <v>2671.2000000000003</v>
      </c>
    </row>
    <row r="219" spans="11:12" x14ac:dyDescent="0.4">
      <c r="K219" s="38">
        <v>217</v>
      </c>
      <c r="L219" s="99">
        <v>2672.1000000000004</v>
      </c>
    </row>
    <row r="220" spans="11:12" x14ac:dyDescent="0.4">
      <c r="K220" s="38">
        <v>218</v>
      </c>
      <c r="L220" s="99">
        <v>2684.2000000000003</v>
      </c>
    </row>
    <row r="221" spans="11:12" x14ac:dyDescent="0.4">
      <c r="K221" s="38">
        <v>219</v>
      </c>
      <c r="L221" s="99">
        <v>2746.9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C09F2-F697-410E-904A-9D29E33EB19A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67</v>
      </c>
      <c r="F2" s="59" t="s">
        <v>23</v>
      </c>
      <c r="G2" s="46">
        <v>267</v>
      </c>
      <c r="H2" s="132">
        <f t="shared" ref="H2:H33" si="0">IF(B$17=0,0,G2/B$17)</f>
        <v>0.71967654986522911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1">IF(P2=0,0,Q2/P2)</f>
        <v>703.68098159509202</v>
      </c>
      <c r="P2" s="118">
        <v>163</v>
      </c>
      <c r="Q2" s="102">
        <v>114700</v>
      </c>
    </row>
    <row r="3" spans="1:17" x14ac:dyDescent="0.4">
      <c r="A3" s="55" t="s">
        <v>8</v>
      </c>
      <c r="B3" s="152">
        <v>1341</v>
      </c>
      <c r="C3" s="153"/>
      <c r="E3" s="63" t="s">
        <v>65</v>
      </c>
      <c r="F3" s="60" t="s">
        <v>21</v>
      </c>
      <c r="G3" s="47">
        <v>219</v>
      </c>
      <c r="H3" s="133">
        <f t="shared" si="0"/>
        <v>0.59029649595687328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1"/>
        <v>-1634.1772151898733</v>
      </c>
      <c r="P3" s="119">
        <v>158</v>
      </c>
      <c r="Q3" s="103">
        <v>-258200</v>
      </c>
    </row>
    <row r="4" spans="1:17" x14ac:dyDescent="0.4">
      <c r="A4" s="55" t="s">
        <v>6</v>
      </c>
      <c r="B4" s="154">
        <v>-539.20000000000005</v>
      </c>
      <c r="C4" s="155"/>
      <c r="E4" s="63" t="s">
        <v>73</v>
      </c>
      <c r="F4" s="60" t="s">
        <v>28</v>
      </c>
      <c r="G4" s="47">
        <v>165</v>
      </c>
      <c r="H4" s="133">
        <f t="shared" si="0"/>
        <v>0.44474393530997303</v>
      </c>
      <c r="I4" s="94">
        <v>13</v>
      </c>
      <c r="K4" s="38">
        <v>2</v>
      </c>
      <c r="L4" s="99">
        <v>6.2999999999999972</v>
      </c>
      <c r="N4" s="115" t="s">
        <v>134</v>
      </c>
      <c r="O4" s="122">
        <f t="shared" si="1"/>
        <v>-456.29139072847681</v>
      </c>
      <c r="P4" s="119">
        <v>151</v>
      </c>
      <c r="Q4" s="103">
        <v>-68900</v>
      </c>
    </row>
    <row r="5" spans="1:17" x14ac:dyDescent="0.4">
      <c r="A5" s="55" t="s">
        <v>7</v>
      </c>
      <c r="B5" s="156">
        <f>IF(B$2=0,0,B$4/B$2)</f>
        <v>-3.3079754601226998</v>
      </c>
      <c r="C5" s="157"/>
      <c r="E5" s="63" t="s">
        <v>245</v>
      </c>
      <c r="F5" s="60" t="s">
        <v>246</v>
      </c>
      <c r="G5" s="47">
        <v>157</v>
      </c>
      <c r="H5" s="133">
        <f t="shared" si="0"/>
        <v>0.42318059299191374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1"/>
        <v>-377.20588235294116</v>
      </c>
      <c r="P5" s="119">
        <v>136</v>
      </c>
      <c r="Q5" s="103">
        <v>-51300</v>
      </c>
    </row>
    <row r="6" spans="1:17" x14ac:dyDescent="0.4">
      <c r="A6" s="55" t="s">
        <v>1</v>
      </c>
      <c r="B6" s="146">
        <f>IF(B$2=0,0,(B$7*1+B$8*2+B$9*3)/B$2)</f>
        <v>2.0797546012269938</v>
      </c>
      <c r="C6" s="147"/>
      <c r="E6" s="63" t="s">
        <v>68</v>
      </c>
      <c r="F6" s="60" t="s">
        <v>24</v>
      </c>
      <c r="G6" s="47">
        <v>142</v>
      </c>
      <c r="H6" s="133">
        <f t="shared" si="0"/>
        <v>0.38274932614555257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1"/>
        <v>148.33333333333334</v>
      </c>
      <c r="P6" s="119">
        <v>120</v>
      </c>
      <c r="Q6" s="103">
        <v>17800</v>
      </c>
    </row>
    <row r="7" spans="1:17" x14ac:dyDescent="0.4">
      <c r="A7" s="55" t="s">
        <v>2</v>
      </c>
      <c r="B7" s="47">
        <v>44</v>
      </c>
      <c r="C7" s="39">
        <f t="shared" ref="C7:C12" si="2">IF(B$2=0,0,B7/B$2)</f>
        <v>0.26993865030674846</v>
      </c>
      <c r="E7" s="63" t="s">
        <v>69</v>
      </c>
      <c r="F7" s="60" t="s">
        <v>12</v>
      </c>
      <c r="G7" s="47">
        <v>133</v>
      </c>
      <c r="H7" s="133">
        <f t="shared" si="0"/>
        <v>0.35849056603773582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1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 t="shared" si="2"/>
        <v>0.38036809815950923</v>
      </c>
      <c r="E8" s="63" t="s">
        <v>70</v>
      </c>
      <c r="F8" s="60" t="s">
        <v>25</v>
      </c>
      <c r="G8" s="47">
        <v>81</v>
      </c>
      <c r="H8" s="133">
        <f t="shared" si="0"/>
        <v>0.21832884097035041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57</v>
      </c>
      <c r="C9" s="40">
        <f t="shared" si="2"/>
        <v>0.34969325153374231</v>
      </c>
      <c r="E9" s="63" t="s">
        <v>66</v>
      </c>
      <c r="F9" s="60" t="s">
        <v>22</v>
      </c>
      <c r="G9" s="47">
        <v>52</v>
      </c>
      <c r="H9" s="133">
        <f t="shared" si="0"/>
        <v>0.14016172506738545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 t="shared" si="2"/>
        <v>0.13496932515337423</v>
      </c>
      <c r="E10" s="63" t="s">
        <v>71</v>
      </c>
      <c r="F10" s="60" t="s">
        <v>26</v>
      </c>
      <c r="G10" s="47">
        <v>48</v>
      </c>
      <c r="H10" s="133">
        <f t="shared" si="0"/>
        <v>0.1293800539083558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">
      <c r="A11" s="56" t="s">
        <v>140</v>
      </c>
      <c r="B11" s="48">
        <v>16</v>
      </c>
      <c r="C11" s="40">
        <f t="shared" si="2"/>
        <v>9.815950920245399E-2</v>
      </c>
      <c r="E11" s="63" t="s">
        <v>90</v>
      </c>
      <c r="F11" s="60" t="s">
        <v>45</v>
      </c>
      <c r="G11" s="47">
        <v>43</v>
      </c>
      <c r="H11" s="133">
        <f t="shared" si="0"/>
        <v>0.11590296495956873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-4.3977777777777769</v>
      </c>
      <c r="P11" s="119">
        <v>45</v>
      </c>
      <c r="Q11" s="107">
        <v>-197.89999999999998</v>
      </c>
    </row>
    <row r="12" spans="1:17" x14ac:dyDescent="0.4">
      <c r="A12" s="57" t="s">
        <v>160</v>
      </c>
      <c r="B12" s="49">
        <v>9</v>
      </c>
      <c r="C12" s="42">
        <f t="shared" si="2"/>
        <v>5.5214723926380369E-2</v>
      </c>
      <c r="E12" s="63" t="s">
        <v>87</v>
      </c>
      <c r="F12" s="60" t="s">
        <v>42</v>
      </c>
      <c r="G12" s="47">
        <v>20</v>
      </c>
      <c r="H12" s="133">
        <f t="shared" si="0"/>
        <v>5.3908355795148251E-2</v>
      </c>
      <c r="I12" s="94">
        <v>9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397</v>
      </c>
      <c r="C13" s="44">
        <f>IF(B$3=0,0,B13/B$3)</f>
        <v>0.29604772557792691</v>
      </c>
      <c r="E13" s="63" t="s">
        <v>72</v>
      </c>
      <c r="F13" s="60" t="s">
        <v>27</v>
      </c>
      <c r="G13" s="47">
        <v>18</v>
      </c>
      <c r="H13" s="133">
        <f t="shared" si="0"/>
        <v>4.8517520215633422E-2</v>
      </c>
      <c r="I13" s="94">
        <v>10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232</v>
      </c>
      <c r="C14" s="39">
        <f>IF(B$3=0,0,B14/B$3)</f>
        <v>0.17300521998508575</v>
      </c>
      <c r="E14" s="63" t="s">
        <v>84</v>
      </c>
      <c r="F14" s="60" t="s">
        <v>39</v>
      </c>
      <c r="G14" s="47">
        <v>15</v>
      </c>
      <c r="H14" s="133">
        <f t="shared" si="0"/>
        <v>4.0431266846361183E-2</v>
      </c>
      <c r="I14" s="94">
        <v>10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232</v>
      </c>
      <c r="C15" s="37">
        <f>IF(B$13=0,0,B15/B$13)</f>
        <v>0.58438287153652391</v>
      </c>
      <c r="E15" s="63" t="s">
        <v>82</v>
      </c>
      <c r="F15" s="60" t="s">
        <v>37</v>
      </c>
      <c r="G15" s="47">
        <v>11</v>
      </c>
      <c r="H15" s="133">
        <f t="shared" si="0"/>
        <v>2.9649595687331536E-2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 t="shared" ref="O15:O22" si="3"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0.31465517241379309</v>
      </c>
      <c r="E16" s="63" t="s">
        <v>79</v>
      </c>
      <c r="F16" s="60" t="s">
        <v>34</v>
      </c>
      <c r="G16" s="47">
        <v>8</v>
      </c>
      <c r="H16" s="133">
        <f t="shared" si="0"/>
        <v>2.15633423180593E-2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 t="shared" si="3"/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371</v>
      </c>
      <c r="C17" s="37">
        <f>IF(B$3=0,0,B17/B$3)</f>
        <v>0.27665920954511558</v>
      </c>
      <c r="E17" s="63" t="s">
        <v>180</v>
      </c>
      <c r="F17" s="60" t="s">
        <v>181</v>
      </c>
      <c r="G17" s="47">
        <v>8</v>
      </c>
      <c r="H17" s="133">
        <f t="shared" si="0"/>
        <v>2.15633423180593E-2</v>
      </c>
      <c r="I17" s="94">
        <v>4</v>
      </c>
      <c r="K17" s="38">
        <v>15</v>
      </c>
      <c r="L17" s="99">
        <v>47.999999999999986</v>
      </c>
      <c r="N17" s="115" t="s">
        <v>129</v>
      </c>
      <c r="O17" s="125">
        <f t="shared" si="3"/>
        <v>2.8089552238805955</v>
      </c>
      <c r="P17" s="119">
        <v>67</v>
      </c>
      <c r="Q17" s="107">
        <v>188.1999999999999</v>
      </c>
    </row>
    <row r="18" spans="1:17" x14ac:dyDescent="0.4">
      <c r="A18" s="55" t="s">
        <v>12</v>
      </c>
      <c r="B18" s="47">
        <v>165</v>
      </c>
      <c r="C18" s="39">
        <f>IF(B$17=0,0,B18/B$17)</f>
        <v>0.44474393530997303</v>
      </c>
      <c r="E18" s="63" t="s">
        <v>80</v>
      </c>
      <c r="F18" s="60" t="s">
        <v>35</v>
      </c>
      <c r="G18" s="47">
        <v>7</v>
      </c>
      <c r="H18" s="133">
        <f t="shared" si="0"/>
        <v>1.8867924528301886E-2</v>
      </c>
      <c r="I18" s="94">
        <v>5</v>
      </c>
      <c r="K18" s="38">
        <v>16</v>
      </c>
      <c r="L18" s="99">
        <v>41.699999999999989</v>
      </c>
      <c r="N18" s="115" t="s">
        <v>177</v>
      </c>
      <c r="O18" s="125">
        <f t="shared" si="3"/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206</v>
      </c>
      <c r="C19" s="39">
        <f>IF(B$17=0,0,B19/B$17)</f>
        <v>0.55525606469002697</v>
      </c>
      <c r="E19" s="63" t="s">
        <v>92</v>
      </c>
      <c r="F19" s="60" t="s">
        <v>47</v>
      </c>
      <c r="G19" s="47">
        <v>7</v>
      </c>
      <c r="H19" s="133">
        <f t="shared" si="0"/>
        <v>1.8867924528301886E-2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 t="shared" si="3"/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246</v>
      </c>
      <c r="C20" s="39">
        <f>IF(B$3=0,0,B20/B$3)</f>
        <v>0.18344519015659955</v>
      </c>
      <c r="E20" s="63" t="s">
        <v>76</v>
      </c>
      <c r="F20" s="60" t="s">
        <v>31</v>
      </c>
      <c r="G20" s="47">
        <v>4</v>
      </c>
      <c r="H20" s="133">
        <f t="shared" si="0"/>
        <v>1.078167115902965E-2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 t="shared" si="3"/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 t="shared" si="0"/>
        <v>8.0862533692722376E-3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 t="shared" si="3"/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75</v>
      </c>
      <c r="F22" s="60" t="s">
        <v>30</v>
      </c>
      <c r="G22" s="47">
        <v>2</v>
      </c>
      <c r="H22" s="133">
        <f t="shared" si="0"/>
        <v>5.3908355795148251E-3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 t="shared" si="3"/>
        <v>-19.807964601769918</v>
      </c>
      <c r="P22" s="119">
        <v>113</v>
      </c>
      <c r="Q22" s="107">
        <v>-2238.3000000000006</v>
      </c>
    </row>
    <row r="23" spans="1:17" x14ac:dyDescent="0.4">
      <c r="A23" s="55" t="s">
        <v>5</v>
      </c>
      <c r="B23" s="51">
        <f>IF(B$17=0,0,C23/B$17)</f>
        <v>8929.380053908355</v>
      </c>
      <c r="C23" s="41">
        <v>3312800</v>
      </c>
      <c r="E23" s="63" t="s">
        <v>78</v>
      </c>
      <c r="F23" s="60" t="s">
        <v>33</v>
      </c>
      <c r="G23" s="47">
        <v>1</v>
      </c>
      <c r="H23" s="133">
        <f t="shared" si="0"/>
        <v>2.6954177897574125E-3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-7653.6585365853662</v>
      </c>
      <c r="C24" s="45">
        <v>-1882800</v>
      </c>
      <c r="E24" s="63" t="s">
        <v>85</v>
      </c>
      <c r="F24" s="60" t="s">
        <v>40</v>
      </c>
      <c r="G24" s="47">
        <v>1</v>
      </c>
      <c r="H24" s="133">
        <f t="shared" si="0"/>
        <v>2.6954177897574125E-3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 t="shared" si="0"/>
        <v>2.6954177897574125E-3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 t="shared" si="0"/>
        <v>2.6954177897574125E-3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4.4742729306487695E-3</v>
      </c>
      <c r="E27" s="63" t="s">
        <v>94</v>
      </c>
      <c r="F27" s="60" t="s">
        <v>49</v>
      </c>
      <c r="G27" s="47">
        <v>1</v>
      </c>
      <c r="H27" s="133">
        <f t="shared" si="0"/>
        <v>2.6954177897574125E-3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 t="shared" si="0"/>
        <v>2.6954177897574125E-3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 t="shared" si="0"/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 t="shared" ref="H34:H52" si="4"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  <row r="163" spans="11:12" x14ac:dyDescent="0.4">
      <c r="K163" s="38">
        <v>161</v>
      </c>
      <c r="L163" s="99">
        <v>-435</v>
      </c>
    </row>
    <row r="164" spans="11:12" x14ac:dyDescent="0.4">
      <c r="K164" s="38">
        <v>162</v>
      </c>
      <c r="L164" s="99">
        <v>-490.8</v>
      </c>
    </row>
    <row r="165" spans="11:12" x14ac:dyDescent="0.4">
      <c r="K165" s="38">
        <v>163</v>
      </c>
      <c r="L165" s="99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F7F5C-16B7-4874-88B9-A15880B02FAC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179</v>
      </c>
      <c r="C2" s="151"/>
      <c r="E2" s="62" t="s">
        <v>67</v>
      </c>
      <c r="F2" s="59" t="s">
        <v>23</v>
      </c>
      <c r="G2" s="46">
        <v>335</v>
      </c>
      <c r="H2" s="132">
        <f t="shared" ref="H2:H33" si="0">IF(B$17=0,0,G2/B$17)</f>
        <v>0.80335731414868106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-1697.1910112359551</v>
      </c>
      <c r="P2" s="118">
        <v>178</v>
      </c>
      <c r="Q2" s="102">
        <v>-302100</v>
      </c>
    </row>
    <row r="3" spans="1:17" x14ac:dyDescent="0.4">
      <c r="A3" s="55" t="s">
        <v>8</v>
      </c>
      <c r="B3" s="152">
        <v>1508</v>
      </c>
      <c r="C3" s="153"/>
      <c r="E3" s="63" t="s">
        <v>65</v>
      </c>
      <c r="F3" s="60" t="s">
        <v>21</v>
      </c>
      <c r="G3" s="47">
        <v>191</v>
      </c>
      <c r="H3" s="133">
        <f t="shared" si="0"/>
        <v>0.45803357314148679</v>
      </c>
      <c r="I3" s="94">
        <v>10</v>
      </c>
      <c r="K3" s="38">
        <v>1</v>
      </c>
      <c r="L3" s="99">
        <v>-40.4</v>
      </c>
      <c r="N3" s="115" t="s">
        <v>133</v>
      </c>
      <c r="O3" s="122">
        <f t="shared" si="1"/>
        <v>-1649.4252873563219</v>
      </c>
      <c r="P3" s="119">
        <v>174</v>
      </c>
      <c r="Q3" s="103">
        <v>-287000</v>
      </c>
    </row>
    <row r="4" spans="1:17" x14ac:dyDescent="0.4">
      <c r="A4" s="55" t="s">
        <v>6</v>
      </c>
      <c r="B4" s="154">
        <v>-1205.5000000000002</v>
      </c>
      <c r="C4" s="155"/>
      <c r="E4" s="63" t="s">
        <v>73</v>
      </c>
      <c r="F4" s="60" t="s">
        <v>28</v>
      </c>
      <c r="G4" s="47">
        <v>190</v>
      </c>
      <c r="H4" s="133">
        <f t="shared" si="0"/>
        <v>0.45563549160671463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1"/>
        <v>1036.1445783132531</v>
      </c>
      <c r="P4" s="119">
        <v>166</v>
      </c>
      <c r="Q4" s="103">
        <v>172000</v>
      </c>
    </row>
    <row r="5" spans="1:17" x14ac:dyDescent="0.4">
      <c r="A5" s="55" t="s">
        <v>7</v>
      </c>
      <c r="B5" s="156">
        <f>IF(B$2=0,0,B$4/B$2)</f>
        <v>-6.7346368715083811</v>
      </c>
      <c r="C5" s="157"/>
      <c r="E5" s="63" t="s">
        <v>245</v>
      </c>
      <c r="F5" s="60" t="s">
        <v>246</v>
      </c>
      <c r="G5" s="47">
        <v>160</v>
      </c>
      <c r="H5" s="133">
        <f t="shared" si="0"/>
        <v>0.38369304556354916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1"/>
        <v>-2514.6666666666665</v>
      </c>
      <c r="P5" s="119">
        <v>150</v>
      </c>
      <c r="Q5" s="103">
        <v>-377200</v>
      </c>
    </row>
    <row r="6" spans="1:17" x14ac:dyDescent="0.4">
      <c r="A6" s="55" t="s">
        <v>1</v>
      </c>
      <c r="B6" s="146">
        <f>IF(B$2=0,0,(B$7*1+B$8*2+B$9*3)/B$2)</f>
        <v>2.1061452513966481</v>
      </c>
      <c r="C6" s="147"/>
      <c r="E6" s="63" t="s">
        <v>69</v>
      </c>
      <c r="F6" s="60" t="s">
        <v>12</v>
      </c>
      <c r="G6" s="47">
        <v>136</v>
      </c>
      <c r="H6" s="133">
        <f t="shared" si="0"/>
        <v>0.32613908872901681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1"/>
        <v>147.40740740740742</v>
      </c>
      <c r="P6" s="119">
        <v>135</v>
      </c>
      <c r="Q6" s="103">
        <v>19900</v>
      </c>
    </row>
    <row r="7" spans="1:17" x14ac:dyDescent="0.4">
      <c r="A7" s="55" t="s">
        <v>2</v>
      </c>
      <c r="B7" s="47">
        <v>54</v>
      </c>
      <c r="C7" s="39">
        <f t="shared" ref="C7:C12" si="2">IF(B$2=0,0,B7/B$2)</f>
        <v>0.3016759776536313</v>
      </c>
      <c r="E7" s="63" t="s">
        <v>68</v>
      </c>
      <c r="F7" s="60" t="s">
        <v>24</v>
      </c>
      <c r="G7" s="47">
        <v>103</v>
      </c>
      <c r="H7" s="133">
        <f t="shared" si="0"/>
        <v>0.24700239808153476</v>
      </c>
      <c r="I7" s="94">
        <v>10</v>
      </c>
      <c r="K7" s="38">
        <v>5</v>
      </c>
      <c r="L7" s="99">
        <v>-32.199999999999996</v>
      </c>
      <c r="N7" s="116" t="s">
        <v>137</v>
      </c>
      <c r="O7" s="123">
        <f t="shared" si="1"/>
        <v>-552.54237288135596</v>
      </c>
      <c r="P7" s="120">
        <v>118</v>
      </c>
      <c r="Q7" s="104">
        <v>-65200</v>
      </c>
    </row>
    <row r="8" spans="1:17" x14ac:dyDescent="0.4">
      <c r="A8" s="55" t="s">
        <v>3</v>
      </c>
      <c r="B8" s="47">
        <v>52</v>
      </c>
      <c r="C8" s="39">
        <f t="shared" si="2"/>
        <v>0.29050279329608941</v>
      </c>
      <c r="E8" s="63" t="s">
        <v>70</v>
      </c>
      <c r="F8" s="60" t="s">
        <v>25</v>
      </c>
      <c r="G8" s="47">
        <v>61</v>
      </c>
      <c r="H8" s="133">
        <f t="shared" si="0"/>
        <v>0.14628297362110312</v>
      </c>
      <c r="I8" s="94">
        <v>10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73</v>
      </c>
      <c r="C9" s="40">
        <f t="shared" si="2"/>
        <v>0.40782122905027934</v>
      </c>
      <c r="E9" s="63" t="s">
        <v>71</v>
      </c>
      <c r="F9" s="60" t="s">
        <v>26</v>
      </c>
      <c r="G9" s="47">
        <v>61</v>
      </c>
      <c r="H9" s="133">
        <f t="shared" si="0"/>
        <v>0.14628297362110312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25</v>
      </c>
      <c r="C10" s="40">
        <f t="shared" si="2"/>
        <v>0.13966480446927373</v>
      </c>
      <c r="E10" s="63" t="s">
        <v>90</v>
      </c>
      <c r="F10" s="60" t="s">
        <v>45</v>
      </c>
      <c r="G10" s="47">
        <v>49</v>
      </c>
      <c r="H10" s="133">
        <f t="shared" si="0"/>
        <v>0.11750599520383694</v>
      </c>
      <c r="I10" s="94">
        <v>8</v>
      </c>
      <c r="K10" s="38">
        <v>8</v>
      </c>
      <c r="L10" s="99">
        <v>-79.599999999999994</v>
      </c>
      <c r="N10" s="114" t="s">
        <v>164</v>
      </c>
      <c r="O10" s="124">
        <f>IF(P10=0,0,Q10/P10)</f>
        <v>-12.033999999999994</v>
      </c>
      <c r="P10" s="118">
        <v>50</v>
      </c>
      <c r="Q10" s="106">
        <v>-601.6999999999997</v>
      </c>
    </row>
    <row r="11" spans="1:17" x14ac:dyDescent="0.4">
      <c r="A11" s="56" t="s">
        <v>140</v>
      </c>
      <c r="B11" s="48">
        <v>19</v>
      </c>
      <c r="C11" s="40">
        <f t="shared" si="2"/>
        <v>0.10614525139664804</v>
      </c>
      <c r="E11" s="63" t="s">
        <v>72</v>
      </c>
      <c r="F11" s="60" t="s">
        <v>27</v>
      </c>
      <c r="G11" s="47">
        <v>41</v>
      </c>
      <c r="H11" s="133">
        <f t="shared" si="0"/>
        <v>9.8321342925659472E-2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-4.5333333333333359</v>
      </c>
      <c r="P11" s="119">
        <v>63</v>
      </c>
      <c r="Q11" s="107">
        <v>-285.60000000000014</v>
      </c>
    </row>
    <row r="12" spans="1:17" x14ac:dyDescent="0.4">
      <c r="A12" s="57" t="s">
        <v>160</v>
      </c>
      <c r="B12" s="49">
        <v>17</v>
      </c>
      <c r="C12" s="42">
        <f t="shared" si="2"/>
        <v>9.4972067039106142E-2</v>
      </c>
      <c r="E12" s="63" t="s">
        <v>66</v>
      </c>
      <c r="F12" s="60" t="s">
        <v>22</v>
      </c>
      <c r="G12" s="47">
        <v>36</v>
      </c>
      <c r="H12" s="133">
        <f t="shared" si="0"/>
        <v>8.6330935251798566E-2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-4.8212121212121186</v>
      </c>
      <c r="P12" s="120">
        <v>66</v>
      </c>
      <c r="Q12" s="108">
        <v>-318.19999999999982</v>
      </c>
    </row>
    <row r="13" spans="1:17" x14ac:dyDescent="0.4">
      <c r="A13" s="58" t="s">
        <v>122</v>
      </c>
      <c r="B13" s="50">
        <v>370</v>
      </c>
      <c r="C13" s="44">
        <f>IF(B$3=0,0,B13/B$3)</f>
        <v>0.24535809018567639</v>
      </c>
      <c r="E13" s="63" t="s">
        <v>87</v>
      </c>
      <c r="F13" s="60" t="s">
        <v>42</v>
      </c>
      <c r="G13" s="47">
        <v>22</v>
      </c>
      <c r="H13" s="133">
        <f t="shared" si="0"/>
        <v>5.2757793764988008E-2</v>
      </c>
      <c r="I13" s="94">
        <v>10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305</v>
      </c>
      <c r="C14" s="39">
        <f>IF(B$3=0,0,B14/B$3)</f>
        <v>0.20225464190981432</v>
      </c>
      <c r="E14" s="63" t="s">
        <v>84</v>
      </c>
      <c r="F14" s="60" t="s">
        <v>39</v>
      </c>
      <c r="G14" s="47">
        <v>16</v>
      </c>
      <c r="H14" s="133">
        <f t="shared" si="0"/>
        <v>3.8369304556354913E-2</v>
      </c>
      <c r="I14" s="94">
        <v>11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200</v>
      </c>
      <c r="C15" s="37">
        <f>IF(B$13=0,0,B15/B$13)</f>
        <v>0.54054054054054057</v>
      </c>
      <c r="E15" s="63" t="s">
        <v>79</v>
      </c>
      <c r="F15" s="60" t="s">
        <v>34</v>
      </c>
      <c r="G15" s="47">
        <v>12</v>
      </c>
      <c r="H15" s="133">
        <f t="shared" si="0"/>
        <v>2.8776978417266189E-2</v>
      </c>
      <c r="I15" s="94">
        <v>6</v>
      </c>
      <c r="K15" s="38">
        <v>13</v>
      </c>
      <c r="L15" s="99">
        <v>-369.1</v>
      </c>
      <c r="N15" s="114" t="s">
        <v>223</v>
      </c>
      <c r="O15" s="124">
        <f t="shared" ref="O15:O25" si="3">IF(P15=0,0,Q15/P15)</f>
        <v>42.5</v>
      </c>
      <c r="P15" s="118">
        <v>4</v>
      </c>
      <c r="Q15" s="106">
        <v>170</v>
      </c>
    </row>
    <row r="16" spans="1:17" x14ac:dyDescent="0.4">
      <c r="A16" s="54" t="s">
        <v>125</v>
      </c>
      <c r="B16" s="46">
        <v>109</v>
      </c>
      <c r="C16" s="37">
        <f>IF(B$14=0,0,B16/B$14)</f>
        <v>0.35737704918032787</v>
      </c>
      <c r="E16" s="63" t="s">
        <v>82</v>
      </c>
      <c r="F16" s="60" t="s">
        <v>37</v>
      </c>
      <c r="G16" s="47">
        <v>11</v>
      </c>
      <c r="H16" s="133">
        <f t="shared" si="0"/>
        <v>2.6378896882494004E-2</v>
      </c>
      <c r="I16" s="94">
        <v>6</v>
      </c>
      <c r="K16" s="38">
        <v>14</v>
      </c>
      <c r="L16" s="99">
        <v>-394.6</v>
      </c>
      <c r="N16" s="115" t="s">
        <v>271</v>
      </c>
      <c r="O16" s="125">
        <f t="shared" si="3"/>
        <v>38.15</v>
      </c>
      <c r="P16" s="119">
        <v>6</v>
      </c>
      <c r="Q16" s="107">
        <v>228.89999999999998</v>
      </c>
    </row>
    <row r="17" spans="1:17" x14ac:dyDescent="0.4">
      <c r="A17" s="54" t="s">
        <v>10</v>
      </c>
      <c r="B17" s="46">
        <f>B19+B18</f>
        <v>417</v>
      </c>
      <c r="C17" s="37">
        <f>IF(B$3=0,0,B17/B$3)</f>
        <v>0.27652519893899202</v>
      </c>
      <c r="E17" s="63" t="s">
        <v>78</v>
      </c>
      <c r="F17" s="60" t="s">
        <v>33</v>
      </c>
      <c r="G17" s="47">
        <v>6</v>
      </c>
      <c r="H17" s="133">
        <f t="shared" si="0"/>
        <v>1.4388489208633094E-2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 t="shared" si="3"/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174</v>
      </c>
      <c r="C18" s="39">
        <f>IF(B$17=0,0,B18/B$17)</f>
        <v>0.41726618705035973</v>
      </c>
      <c r="E18" s="63" t="s">
        <v>80</v>
      </c>
      <c r="F18" s="60" t="s">
        <v>35</v>
      </c>
      <c r="G18" s="47">
        <v>6</v>
      </c>
      <c r="H18" s="133">
        <f t="shared" si="0"/>
        <v>1.4388489208633094E-2</v>
      </c>
      <c r="I18" s="94">
        <v>10</v>
      </c>
      <c r="K18" s="38">
        <v>16</v>
      </c>
      <c r="L18" s="99">
        <v>-472</v>
      </c>
      <c r="N18" s="115" t="s">
        <v>301</v>
      </c>
      <c r="O18" s="125">
        <f t="shared" si="3"/>
        <v>5.75</v>
      </c>
      <c r="P18" s="119">
        <v>4</v>
      </c>
      <c r="Q18" s="107">
        <v>23</v>
      </c>
    </row>
    <row r="19" spans="1:17" x14ac:dyDescent="0.4">
      <c r="A19" s="55" t="s">
        <v>11</v>
      </c>
      <c r="B19" s="47">
        <v>243</v>
      </c>
      <c r="C19" s="39">
        <f>IF(B$17=0,0,B19/B$17)</f>
        <v>0.58273381294964033</v>
      </c>
      <c r="E19" s="63" t="s">
        <v>92</v>
      </c>
      <c r="F19" s="60" t="s">
        <v>47</v>
      </c>
      <c r="G19" s="47">
        <v>5</v>
      </c>
      <c r="H19" s="133">
        <f t="shared" si="0"/>
        <v>1.1990407673860911E-2</v>
      </c>
      <c r="I19" s="94">
        <v>9</v>
      </c>
      <c r="K19" s="38">
        <v>17</v>
      </c>
      <c r="L19" s="99">
        <v>-538.29999999999995</v>
      </c>
      <c r="N19" s="115" t="s">
        <v>177</v>
      </c>
      <c r="O19" s="125">
        <f t="shared" si="3"/>
        <v>0.19666666666666779</v>
      </c>
      <c r="P19" s="119">
        <v>60</v>
      </c>
      <c r="Q19" s="107">
        <v>11.800000000000068</v>
      </c>
    </row>
    <row r="20" spans="1:17" x14ac:dyDescent="0.4">
      <c r="A20" s="55" t="s">
        <v>13</v>
      </c>
      <c r="B20" s="47">
        <v>260</v>
      </c>
      <c r="C20" s="39">
        <f>IF(B$3=0,0,B20/B$3)</f>
        <v>0.17241379310344829</v>
      </c>
      <c r="E20" s="63" t="s">
        <v>75</v>
      </c>
      <c r="F20" s="60" t="s">
        <v>30</v>
      </c>
      <c r="G20" s="47">
        <v>3</v>
      </c>
      <c r="H20" s="133">
        <f t="shared" si="0"/>
        <v>7.1942446043165471E-3</v>
      </c>
      <c r="I20" s="94">
        <v>3</v>
      </c>
      <c r="K20" s="38">
        <v>18</v>
      </c>
      <c r="L20" s="99">
        <v>-537.19999999999993</v>
      </c>
      <c r="N20" s="115" t="s">
        <v>173</v>
      </c>
      <c r="O20" s="125">
        <f t="shared" si="3"/>
        <v>-1.1117647058823463</v>
      </c>
      <c r="P20" s="119">
        <v>17</v>
      </c>
      <c r="Q20" s="107">
        <v>-18.899999999999888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76</v>
      </c>
      <c r="F21" s="60" t="s">
        <v>31</v>
      </c>
      <c r="G21" s="47">
        <v>3</v>
      </c>
      <c r="H21" s="133">
        <f t="shared" si="0"/>
        <v>7.1942446043165471E-3</v>
      </c>
      <c r="I21" s="94">
        <v>5</v>
      </c>
      <c r="K21" s="38">
        <v>19</v>
      </c>
      <c r="L21" s="99">
        <v>-569.49999999999989</v>
      </c>
      <c r="N21" s="115" t="s">
        <v>128</v>
      </c>
      <c r="O21" s="125">
        <f t="shared" si="3"/>
        <v>-2.8089552238805964</v>
      </c>
      <c r="P21" s="119">
        <v>67</v>
      </c>
      <c r="Q21" s="107">
        <v>-188.19999999999996</v>
      </c>
    </row>
    <row r="22" spans="1:17" x14ac:dyDescent="0.4">
      <c r="A22" s="55" t="s">
        <v>192</v>
      </c>
      <c r="B22" s="47">
        <v>39</v>
      </c>
      <c r="C22" s="135">
        <v>4</v>
      </c>
      <c r="E22" s="63" t="s">
        <v>88</v>
      </c>
      <c r="F22" s="60" t="s">
        <v>43</v>
      </c>
      <c r="G22" s="47">
        <v>3</v>
      </c>
      <c r="H22" s="133">
        <f t="shared" si="0"/>
        <v>7.1942446043165471E-3</v>
      </c>
      <c r="I22" s="94">
        <v>1</v>
      </c>
      <c r="K22" s="38">
        <v>20</v>
      </c>
      <c r="L22" s="99">
        <v>-632.99999999999989</v>
      </c>
      <c r="N22" s="115" t="s">
        <v>171</v>
      </c>
      <c r="O22" s="125">
        <f t="shared" si="3"/>
        <v>-16.480952380952374</v>
      </c>
      <c r="P22" s="119">
        <v>42</v>
      </c>
      <c r="Q22" s="107">
        <v>-692.1999999999997</v>
      </c>
    </row>
    <row r="23" spans="1:17" x14ac:dyDescent="0.4">
      <c r="A23" s="55" t="s">
        <v>5</v>
      </c>
      <c r="B23" s="51">
        <f>IF(B$17=0,0,C23/B$17)</f>
        <v>8105.035971223022</v>
      </c>
      <c r="C23" s="41">
        <v>3379800</v>
      </c>
      <c r="E23" s="63" t="s">
        <v>85</v>
      </c>
      <c r="F23" s="60" t="s">
        <v>40</v>
      </c>
      <c r="G23" s="47">
        <v>2</v>
      </c>
      <c r="H23" s="133">
        <f t="shared" si="0"/>
        <v>4.7961630695443642E-3</v>
      </c>
      <c r="I23" s="94">
        <v>2</v>
      </c>
      <c r="K23" s="38">
        <v>21</v>
      </c>
      <c r="L23" s="99">
        <v>-629.49999999999989</v>
      </c>
      <c r="N23" s="115" t="s">
        <v>172</v>
      </c>
      <c r="O23" s="125">
        <f t="shared" si="3"/>
        <v>-21.449999999999996</v>
      </c>
      <c r="P23" s="119">
        <v>38</v>
      </c>
      <c r="Q23" s="107">
        <v>-815.0999999999998</v>
      </c>
    </row>
    <row r="24" spans="1:17" x14ac:dyDescent="0.4">
      <c r="A24" s="57" t="s">
        <v>14</v>
      </c>
      <c r="B24" s="52">
        <f>IF(B$20=0,0,C24/B$20)</f>
        <v>-8398.8461538461543</v>
      </c>
      <c r="C24" s="45">
        <v>-2183700</v>
      </c>
      <c r="E24" s="63" t="s">
        <v>94</v>
      </c>
      <c r="F24" s="60" t="s">
        <v>49</v>
      </c>
      <c r="G24" s="47">
        <v>2</v>
      </c>
      <c r="H24" s="133">
        <f t="shared" si="0"/>
        <v>4.7961630695443642E-3</v>
      </c>
      <c r="I24" s="94">
        <v>1</v>
      </c>
      <c r="K24" s="38">
        <v>22</v>
      </c>
      <c r="L24" s="99">
        <v>-670.19999999999993</v>
      </c>
      <c r="N24" s="115" t="s">
        <v>127</v>
      </c>
      <c r="O24" s="125">
        <f t="shared" si="3"/>
        <v>-21.925000000000015</v>
      </c>
      <c r="P24" s="119">
        <v>108</v>
      </c>
      <c r="Q24" s="107">
        <v>-2367.9000000000015</v>
      </c>
    </row>
    <row r="25" spans="1:17" x14ac:dyDescent="0.4">
      <c r="A25" s="90" t="s">
        <v>142</v>
      </c>
      <c r="B25" s="144">
        <v>7</v>
      </c>
      <c r="C25" s="145"/>
      <c r="E25" s="63" t="s">
        <v>180</v>
      </c>
      <c r="F25" s="60" t="s">
        <v>181</v>
      </c>
      <c r="G25" s="47">
        <v>2</v>
      </c>
      <c r="H25" s="133">
        <f t="shared" si="0"/>
        <v>4.7961630695443642E-3</v>
      </c>
      <c r="I25" s="94">
        <v>7</v>
      </c>
      <c r="K25" s="38">
        <v>23</v>
      </c>
      <c r="L25" s="99">
        <v>-737.19999999999993</v>
      </c>
      <c r="N25" s="115" t="s">
        <v>184</v>
      </c>
      <c r="O25" s="125">
        <f t="shared" si="3"/>
        <v>-30.849999999999998</v>
      </c>
      <c r="P25" s="119">
        <v>6</v>
      </c>
      <c r="Q25" s="107">
        <v>-185.1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1</v>
      </c>
      <c r="H26" s="133">
        <f t="shared" si="0"/>
        <v>2.3980815347721821E-3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3</v>
      </c>
      <c r="C27" s="42">
        <f>IF(B$3=0,0,B27/B$3)</f>
        <v>1.9893899204244032E-3</v>
      </c>
      <c r="E27" s="63" t="s">
        <v>86</v>
      </c>
      <c r="F27" s="60" t="s">
        <v>41</v>
      </c>
      <c r="G27" s="47">
        <v>1</v>
      </c>
      <c r="H27" s="133">
        <f t="shared" si="0"/>
        <v>2.3980815347721821E-3</v>
      </c>
      <c r="I27" s="94">
        <v>4</v>
      </c>
      <c r="K27" s="38">
        <v>25</v>
      </c>
      <c r="L27" s="99">
        <v>-783.69999999999993</v>
      </c>
    </row>
    <row r="28" spans="1:17" x14ac:dyDescent="0.4">
      <c r="E28" s="63" t="s">
        <v>89</v>
      </c>
      <c r="F28" s="60" t="s">
        <v>44</v>
      </c>
      <c r="G28" s="47">
        <v>1</v>
      </c>
      <c r="H28" s="133">
        <f t="shared" si="0"/>
        <v>2.3980815347721821E-3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93</v>
      </c>
      <c r="F29" s="60" t="s">
        <v>48</v>
      </c>
      <c r="G29" s="47">
        <v>1</v>
      </c>
      <c r="H29" s="133">
        <f t="shared" si="0"/>
        <v>2.3980815347721821E-3</v>
      </c>
      <c r="I29" s="94">
        <v>6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  <row r="157" spans="11:12" x14ac:dyDescent="0.4">
      <c r="K157" s="38">
        <v>155</v>
      </c>
      <c r="L157" s="99">
        <v>-1352.8</v>
      </c>
    </row>
    <row r="158" spans="11:12" x14ac:dyDescent="0.4">
      <c r="K158" s="38">
        <v>156</v>
      </c>
      <c r="L158" s="99">
        <v>-1344.3</v>
      </c>
    </row>
    <row r="159" spans="11:12" x14ac:dyDescent="0.4">
      <c r="K159" s="38">
        <v>157</v>
      </c>
      <c r="L159" s="99">
        <v>-1357.7</v>
      </c>
    </row>
    <row r="160" spans="11:12" x14ac:dyDescent="0.4">
      <c r="K160" s="38">
        <v>158</v>
      </c>
      <c r="L160" s="99">
        <v>-1338.1000000000001</v>
      </c>
    </row>
    <row r="161" spans="11:12" x14ac:dyDescent="0.4">
      <c r="K161" s="38">
        <v>159</v>
      </c>
      <c r="L161" s="99">
        <v>-1330.7</v>
      </c>
    </row>
    <row r="162" spans="11:12" x14ac:dyDescent="0.4">
      <c r="K162" s="38">
        <v>160</v>
      </c>
      <c r="L162" s="99">
        <v>-1265.7</v>
      </c>
    </row>
    <row r="163" spans="11:12" x14ac:dyDescent="0.4">
      <c r="K163" s="38">
        <v>161</v>
      </c>
      <c r="L163" s="99">
        <v>-1246.2</v>
      </c>
    </row>
    <row r="164" spans="11:12" x14ac:dyDescent="0.4">
      <c r="K164" s="38">
        <v>162</v>
      </c>
      <c r="L164" s="99">
        <v>-1210.3</v>
      </c>
    </row>
    <row r="165" spans="11:12" x14ac:dyDescent="0.4">
      <c r="K165" s="38">
        <v>163</v>
      </c>
      <c r="L165" s="99">
        <v>-1183.8</v>
      </c>
    </row>
    <row r="166" spans="11:12" x14ac:dyDescent="0.4">
      <c r="K166" s="38">
        <v>164</v>
      </c>
      <c r="L166" s="99">
        <v>-1234.3</v>
      </c>
    </row>
    <row r="167" spans="11:12" x14ac:dyDescent="0.4">
      <c r="K167" s="38">
        <v>165</v>
      </c>
      <c r="L167" s="99">
        <v>-1258.7</v>
      </c>
    </row>
    <row r="168" spans="11:12" x14ac:dyDescent="0.4">
      <c r="K168" s="38">
        <v>166</v>
      </c>
      <c r="L168" s="99">
        <v>-1194.5</v>
      </c>
    </row>
    <row r="169" spans="11:12" x14ac:dyDescent="0.4">
      <c r="K169" s="38">
        <v>167</v>
      </c>
      <c r="L169" s="99">
        <v>-1209.8</v>
      </c>
    </row>
    <row r="170" spans="11:12" x14ac:dyDescent="0.4">
      <c r="K170" s="38">
        <v>168</v>
      </c>
      <c r="L170" s="99">
        <v>-1244.5999999999999</v>
      </c>
    </row>
    <row r="171" spans="11:12" x14ac:dyDescent="0.4">
      <c r="K171" s="38">
        <v>169</v>
      </c>
      <c r="L171" s="99">
        <v>-1197.0999999999999</v>
      </c>
    </row>
    <row r="172" spans="11:12" x14ac:dyDescent="0.4">
      <c r="K172" s="38">
        <v>170</v>
      </c>
      <c r="L172" s="99">
        <v>-1147.5999999999999</v>
      </c>
    </row>
    <row r="173" spans="11:12" x14ac:dyDescent="0.4">
      <c r="K173" s="38">
        <v>171</v>
      </c>
      <c r="L173" s="99">
        <v>-1112.8999999999999</v>
      </c>
    </row>
    <row r="174" spans="11:12" x14ac:dyDescent="0.4">
      <c r="K174" s="38">
        <v>172</v>
      </c>
      <c r="L174" s="99">
        <v>-1065.8999999999999</v>
      </c>
    </row>
    <row r="175" spans="11:12" x14ac:dyDescent="0.4">
      <c r="K175" s="38">
        <v>173</v>
      </c>
      <c r="L175" s="99">
        <v>-1064.8</v>
      </c>
    </row>
    <row r="176" spans="11:12" x14ac:dyDescent="0.4">
      <c r="K176" s="38">
        <v>174</v>
      </c>
      <c r="L176" s="99">
        <v>-1090.0999999999999</v>
      </c>
    </row>
    <row r="177" spans="11:12" x14ac:dyDescent="0.4">
      <c r="K177" s="38">
        <v>175</v>
      </c>
      <c r="L177" s="99">
        <v>-1146.0999999999999</v>
      </c>
    </row>
    <row r="178" spans="11:12" x14ac:dyDescent="0.4">
      <c r="K178" s="38">
        <v>176</v>
      </c>
      <c r="L178" s="99">
        <v>-1142.5</v>
      </c>
    </row>
    <row r="179" spans="11:12" x14ac:dyDescent="0.4">
      <c r="K179" s="38">
        <v>177</v>
      </c>
      <c r="L179" s="99">
        <v>-1194.4000000000001</v>
      </c>
    </row>
    <row r="180" spans="11:12" x14ac:dyDescent="0.4">
      <c r="K180" s="38">
        <v>178</v>
      </c>
      <c r="L180" s="99">
        <v>-1166.8000000000002</v>
      </c>
    </row>
    <row r="181" spans="11:12" x14ac:dyDescent="0.4">
      <c r="K181" s="38">
        <v>179</v>
      </c>
      <c r="L181" s="99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B74-6B40-4965-A31E-F004FEB06879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110</v>
      </c>
      <c r="C2" s="151"/>
      <c r="E2" s="62" t="s">
        <v>67</v>
      </c>
      <c r="F2" s="59" t="s">
        <v>23</v>
      </c>
      <c r="G2" s="46">
        <v>208</v>
      </c>
      <c r="H2" s="132">
        <f t="shared" ref="H2:H33" si="0">IF(B$17=0,0,G2/B$17)</f>
        <v>0.78490566037735854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1039.090909090909</v>
      </c>
      <c r="P2" s="118">
        <v>110</v>
      </c>
      <c r="Q2" s="102">
        <v>114300</v>
      </c>
    </row>
    <row r="3" spans="1:17" x14ac:dyDescent="0.4">
      <c r="A3" s="55" t="s">
        <v>8</v>
      </c>
      <c r="B3" s="152">
        <v>914</v>
      </c>
      <c r="C3" s="153"/>
      <c r="E3" s="63" t="s">
        <v>73</v>
      </c>
      <c r="F3" s="60" t="s">
        <v>28</v>
      </c>
      <c r="G3" s="47">
        <v>148</v>
      </c>
      <c r="H3" s="133">
        <f t="shared" si="0"/>
        <v>0.55849056603773584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1"/>
        <v>781.30841121495325</v>
      </c>
      <c r="P3" s="119">
        <v>107</v>
      </c>
      <c r="Q3" s="103">
        <v>83600</v>
      </c>
    </row>
    <row r="4" spans="1:17" x14ac:dyDescent="0.4">
      <c r="A4" s="55" t="s">
        <v>6</v>
      </c>
      <c r="B4" s="154">
        <v>136.29999999999998</v>
      </c>
      <c r="C4" s="155"/>
      <c r="E4" s="63" t="s">
        <v>65</v>
      </c>
      <c r="F4" s="60" t="s">
        <v>21</v>
      </c>
      <c r="G4" s="47">
        <v>137</v>
      </c>
      <c r="H4" s="133">
        <f t="shared" si="0"/>
        <v>0.51698113207547169</v>
      </c>
      <c r="I4" s="94">
        <v>6</v>
      </c>
      <c r="K4" s="38">
        <v>2</v>
      </c>
      <c r="L4" s="99">
        <v>-93.300000000000011</v>
      </c>
      <c r="N4" s="115" t="s">
        <v>134</v>
      </c>
      <c r="O4" s="122">
        <f t="shared" si="1"/>
        <v>1439.795918367347</v>
      </c>
      <c r="P4" s="119">
        <v>98</v>
      </c>
      <c r="Q4" s="103">
        <v>141100</v>
      </c>
    </row>
    <row r="5" spans="1:17" x14ac:dyDescent="0.4">
      <c r="A5" s="55" t="s">
        <v>7</v>
      </c>
      <c r="B5" s="156">
        <f>IF(B$2=0,0,B$4/B$2)</f>
        <v>1.239090909090909</v>
      </c>
      <c r="C5" s="157"/>
      <c r="E5" s="63" t="s">
        <v>245</v>
      </c>
      <c r="F5" s="60" t="s">
        <v>246</v>
      </c>
      <c r="G5" s="47">
        <v>108</v>
      </c>
      <c r="H5" s="133">
        <f t="shared" si="0"/>
        <v>0.40754716981132078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1"/>
        <v>-250.57471264367817</v>
      </c>
      <c r="P5" s="119">
        <v>87</v>
      </c>
      <c r="Q5" s="103">
        <v>-21800</v>
      </c>
    </row>
    <row r="6" spans="1:17" x14ac:dyDescent="0.4">
      <c r="A6" s="55" t="s">
        <v>1</v>
      </c>
      <c r="B6" s="146">
        <f>IF(B$2=0,0,(B$7*1+B$8*2+B$9*3)/B$2)</f>
        <v>2.0181818181818181</v>
      </c>
      <c r="C6" s="147"/>
      <c r="E6" s="63" t="s">
        <v>68</v>
      </c>
      <c r="F6" s="60" t="s">
        <v>24</v>
      </c>
      <c r="G6" s="47">
        <v>88</v>
      </c>
      <c r="H6" s="133">
        <f t="shared" si="0"/>
        <v>0.33207547169811319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1"/>
        <v>-1970.5128205128206</v>
      </c>
      <c r="P6" s="119">
        <v>78</v>
      </c>
      <c r="Q6" s="103">
        <v>-153700</v>
      </c>
    </row>
    <row r="7" spans="1:17" x14ac:dyDescent="0.4">
      <c r="A7" s="55" t="s">
        <v>2</v>
      </c>
      <c r="B7" s="47">
        <v>35</v>
      </c>
      <c r="C7" s="39">
        <f t="shared" ref="C7:C12" si="2">IF(B$2=0,0,B7/B$2)</f>
        <v>0.31818181818181818</v>
      </c>
      <c r="E7" s="63" t="s">
        <v>69</v>
      </c>
      <c r="F7" s="60" t="s">
        <v>12</v>
      </c>
      <c r="G7" s="47">
        <v>78</v>
      </c>
      <c r="H7" s="133">
        <f t="shared" si="0"/>
        <v>0.29433962264150942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1"/>
        <v>-228.16901408450704</v>
      </c>
      <c r="P7" s="120">
        <v>71</v>
      </c>
      <c r="Q7" s="104">
        <v>-16200</v>
      </c>
    </row>
    <row r="8" spans="1:17" x14ac:dyDescent="0.4">
      <c r="A8" s="55" t="s">
        <v>3</v>
      </c>
      <c r="B8" s="47">
        <v>38</v>
      </c>
      <c r="C8" s="39">
        <f t="shared" si="2"/>
        <v>0.34545454545454546</v>
      </c>
      <c r="E8" s="63" t="s">
        <v>70</v>
      </c>
      <c r="F8" s="60" t="s">
        <v>25</v>
      </c>
      <c r="G8" s="47">
        <v>49</v>
      </c>
      <c r="H8" s="133">
        <f t="shared" si="0"/>
        <v>0.18490566037735848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si="2"/>
        <v>0.33636363636363636</v>
      </c>
      <c r="E9" s="63" t="s">
        <v>90</v>
      </c>
      <c r="F9" s="60" t="s">
        <v>45</v>
      </c>
      <c r="G9" s="47">
        <v>44</v>
      </c>
      <c r="H9" s="133">
        <f t="shared" si="0"/>
        <v>0.16603773584905659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 t="shared" si="2"/>
        <v>0.1</v>
      </c>
      <c r="E10" s="63" t="s">
        <v>66</v>
      </c>
      <c r="F10" s="60" t="s">
        <v>22</v>
      </c>
      <c r="G10" s="47">
        <v>30</v>
      </c>
      <c r="H10" s="133">
        <f t="shared" si="0"/>
        <v>0.11320754716981132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3.92</v>
      </c>
      <c r="P10" s="118">
        <v>30</v>
      </c>
      <c r="Q10" s="106">
        <v>117.6</v>
      </c>
    </row>
    <row r="11" spans="1:17" x14ac:dyDescent="0.4">
      <c r="A11" s="56" t="s">
        <v>140</v>
      </c>
      <c r="B11" s="48">
        <v>16</v>
      </c>
      <c r="C11" s="40">
        <f t="shared" si="2"/>
        <v>0.14545454545454545</v>
      </c>
      <c r="E11" s="63" t="s">
        <v>71</v>
      </c>
      <c r="F11" s="60" t="s">
        <v>26</v>
      </c>
      <c r="G11" s="47">
        <v>26</v>
      </c>
      <c r="H11" s="133">
        <f t="shared" si="0"/>
        <v>9.8113207547169817E-2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-1.1846153846153833</v>
      </c>
      <c r="P11" s="119">
        <v>39</v>
      </c>
      <c r="Q11" s="107">
        <v>-46.199999999999946</v>
      </c>
    </row>
    <row r="12" spans="1:17" x14ac:dyDescent="0.4">
      <c r="A12" s="57" t="s">
        <v>160</v>
      </c>
      <c r="B12" s="49">
        <v>7</v>
      </c>
      <c r="C12" s="42">
        <f t="shared" si="2"/>
        <v>6.363636363636363E-2</v>
      </c>
      <c r="E12" s="63" t="s">
        <v>87</v>
      </c>
      <c r="F12" s="60" t="s">
        <v>42</v>
      </c>
      <c r="G12" s="47">
        <v>20</v>
      </c>
      <c r="H12" s="133">
        <f t="shared" si="0"/>
        <v>7.5471698113207544E-2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1.5829268292682928</v>
      </c>
      <c r="P12" s="120">
        <v>41</v>
      </c>
      <c r="Q12" s="108">
        <v>64.900000000000006</v>
      </c>
    </row>
    <row r="13" spans="1:17" x14ac:dyDescent="0.4">
      <c r="A13" s="58" t="s">
        <v>122</v>
      </c>
      <c r="B13" s="50">
        <v>259</v>
      </c>
      <c r="C13" s="44">
        <f>IF(B$3=0,0,B13/B$3)</f>
        <v>0.28336980306345733</v>
      </c>
      <c r="E13" s="63" t="s">
        <v>72</v>
      </c>
      <c r="F13" s="60" t="s">
        <v>27</v>
      </c>
      <c r="G13" s="47">
        <v>16</v>
      </c>
      <c r="H13" s="133">
        <f t="shared" si="0"/>
        <v>6.0377358490566038E-2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0.19803063457330417</v>
      </c>
      <c r="E14" s="63" t="s">
        <v>79</v>
      </c>
      <c r="F14" s="60" t="s">
        <v>34</v>
      </c>
      <c r="G14" s="47">
        <v>12</v>
      </c>
      <c r="H14" s="133">
        <f t="shared" si="0"/>
        <v>4.5283018867924525E-2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0.56370656370656369</v>
      </c>
      <c r="E15" s="63" t="s">
        <v>84</v>
      </c>
      <c r="F15" s="60" t="s">
        <v>39</v>
      </c>
      <c r="G15" s="47">
        <v>11</v>
      </c>
      <c r="H15" s="133">
        <f t="shared" si="0"/>
        <v>4.1509433962264149E-2</v>
      </c>
      <c r="I15" s="94">
        <v>9</v>
      </c>
      <c r="K15" s="38">
        <v>13</v>
      </c>
      <c r="L15" s="99">
        <v>-58.7</v>
      </c>
      <c r="N15" s="114" t="s">
        <v>184</v>
      </c>
      <c r="O15" s="124">
        <f t="shared" ref="O15:O23" si="3">IF(P15=0,0,Q15/P15)</f>
        <v>18.200000000000003</v>
      </c>
      <c r="P15" s="118">
        <v>4</v>
      </c>
      <c r="Q15" s="106">
        <v>72.800000000000011</v>
      </c>
    </row>
    <row r="16" spans="1:17" x14ac:dyDescent="0.4">
      <c r="A16" s="54" t="s">
        <v>125</v>
      </c>
      <c r="B16" s="46">
        <v>74</v>
      </c>
      <c r="C16" s="37">
        <f>IF(B$14=0,0,B16/B$14)</f>
        <v>0.40883977900552487</v>
      </c>
      <c r="E16" s="63" t="s">
        <v>92</v>
      </c>
      <c r="F16" s="60" t="s">
        <v>47</v>
      </c>
      <c r="G16" s="47">
        <v>10</v>
      </c>
      <c r="H16" s="133">
        <f t="shared" si="0"/>
        <v>3.7735849056603772E-2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 t="shared" si="3"/>
        <v>16.48095238095237</v>
      </c>
      <c r="P16" s="119">
        <v>42</v>
      </c>
      <c r="Q16" s="107">
        <v>692.19999999999959</v>
      </c>
    </row>
    <row r="17" spans="1:17" x14ac:dyDescent="0.4">
      <c r="A17" s="54" t="s">
        <v>10</v>
      </c>
      <c r="B17" s="46">
        <f>B19+B18</f>
        <v>265</v>
      </c>
      <c r="C17" s="37">
        <f>IF(B$3=0,0,B17/B$3)</f>
        <v>0.28993435448577681</v>
      </c>
      <c r="E17" s="63" t="s">
        <v>82</v>
      </c>
      <c r="F17" s="60" t="s">
        <v>37</v>
      </c>
      <c r="G17" s="47">
        <v>8</v>
      </c>
      <c r="H17" s="133">
        <f t="shared" si="0"/>
        <v>3.0188679245283019E-2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 t="shared" si="3"/>
        <v>13.94210526315789</v>
      </c>
      <c r="P17" s="119">
        <v>19</v>
      </c>
      <c r="Q17" s="107">
        <v>264.89999999999992</v>
      </c>
    </row>
    <row r="18" spans="1:17" x14ac:dyDescent="0.4">
      <c r="A18" s="55" t="s">
        <v>12</v>
      </c>
      <c r="B18" s="47">
        <v>107</v>
      </c>
      <c r="C18" s="39">
        <f>IF(B$17=0,0,B18/B$17)</f>
        <v>0.4037735849056604</v>
      </c>
      <c r="E18" s="63" t="s">
        <v>80</v>
      </c>
      <c r="F18" s="60" t="s">
        <v>35</v>
      </c>
      <c r="G18" s="47">
        <v>6</v>
      </c>
      <c r="H18" s="133">
        <f t="shared" si="0"/>
        <v>2.2641509433962263E-2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 t="shared" si="3"/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158</v>
      </c>
      <c r="C19" s="39">
        <f>IF(B$17=0,0,B19/B$17)</f>
        <v>0.5962264150943396</v>
      </c>
      <c r="E19" s="63" t="s">
        <v>180</v>
      </c>
      <c r="F19" s="60" t="s">
        <v>181</v>
      </c>
      <c r="G19" s="47">
        <v>6</v>
      </c>
      <c r="H19" s="133">
        <f t="shared" si="0"/>
        <v>2.2641509433962263E-2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 t="shared" si="3"/>
        <v>1.9269841269841295</v>
      </c>
      <c r="P19" s="119">
        <v>63</v>
      </c>
      <c r="Q19" s="107">
        <v>121.40000000000016</v>
      </c>
    </row>
    <row r="20" spans="1:17" x14ac:dyDescent="0.4">
      <c r="A20" s="55" t="s">
        <v>13</v>
      </c>
      <c r="B20" s="47">
        <v>163</v>
      </c>
      <c r="C20" s="39">
        <f>IF(B$3=0,0,B20/B$3)</f>
        <v>0.17833698030634573</v>
      </c>
      <c r="E20" s="63" t="s">
        <v>74</v>
      </c>
      <c r="F20" s="60" t="s">
        <v>29</v>
      </c>
      <c r="G20" s="47">
        <v>3</v>
      </c>
      <c r="H20" s="133">
        <f t="shared" si="0"/>
        <v>1.1320754716981131E-2</v>
      </c>
      <c r="I20" s="94">
        <v>3</v>
      </c>
      <c r="K20" s="38">
        <v>18</v>
      </c>
      <c r="L20" s="99">
        <v>-76.099999999999994</v>
      </c>
      <c r="N20" s="115" t="s">
        <v>128</v>
      </c>
      <c r="O20" s="125">
        <f t="shared" si="3"/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 t="shared" si="0"/>
        <v>1.1320754716981131E-2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 t="shared" si="3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0</v>
      </c>
      <c r="E22" s="63" t="s">
        <v>78</v>
      </c>
      <c r="F22" s="60" t="s">
        <v>33</v>
      </c>
      <c r="G22" s="47">
        <v>3</v>
      </c>
      <c r="H22" s="133">
        <f t="shared" si="0"/>
        <v>1.1320754716981131E-2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 t="shared" si="3"/>
        <v>-30.404</v>
      </c>
      <c r="P22" s="119">
        <v>25</v>
      </c>
      <c r="Q22" s="107">
        <v>-760.1</v>
      </c>
    </row>
    <row r="23" spans="1:17" x14ac:dyDescent="0.4">
      <c r="A23" s="55" t="s">
        <v>5</v>
      </c>
      <c r="B23" s="51">
        <f>IF(B$17=0,0,C23/B$17)</f>
        <v>10015.094339622641</v>
      </c>
      <c r="C23" s="41">
        <v>2654000</v>
      </c>
      <c r="E23" s="63" t="s">
        <v>93</v>
      </c>
      <c r="F23" s="60" t="s">
        <v>48</v>
      </c>
      <c r="G23" s="47">
        <v>3</v>
      </c>
      <c r="H23" s="133">
        <f t="shared" si="0"/>
        <v>1.1320754716981131E-2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 t="shared" si="3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-8357.6687116564426</v>
      </c>
      <c r="C24" s="45">
        <v>-1362300</v>
      </c>
      <c r="E24" s="63" t="s">
        <v>85</v>
      </c>
      <c r="F24" s="60" t="s">
        <v>40</v>
      </c>
      <c r="G24" s="47">
        <v>2</v>
      </c>
      <c r="H24" s="133">
        <f t="shared" si="0"/>
        <v>7.5471698113207548E-3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 t="shared" si="0"/>
        <v>3.7735849056603774E-3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 t="shared" si="0"/>
        <v>3.7735849056603774E-3</v>
      </c>
      <c r="I26" s="94">
        <v>2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2.1881838074398249E-3</v>
      </c>
      <c r="E27" s="63" t="s">
        <v>75</v>
      </c>
      <c r="F27" s="60" t="s">
        <v>30</v>
      </c>
      <c r="G27" s="47">
        <v>0</v>
      </c>
      <c r="H27" s="133">
        <f t="shared" si="0"/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 t="shared" si="0"/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  <row r="109" spans="11:12" x14ac:dyDescent="0.4">
      <c r="K109" s="38">
        <v>107</v>
      </c>
      <c r="L109" s="99">
        <v>198.1</v>
      </c>
    </row>
    <row r="110" spans="11:12" x14ac:dyDescent="0.4">
      <c r="K110" s="38">
        <v>108</v>
      </c>
      <c r="L110" s="99">
        <v>181</v>
      </c>
    </row>
    <row r="111" spans="11:12" x14ac:dyDescent="0.4">
      <c r="K111" s="38">
        <v>109</v>
      </c>
      <c r="L111" s="99">
        <v>167.1</v>
      </c>
    </row>
    <row r="112" spans="11:12" x14ac:dyDescent="0.4">
      <c r="K112" s="38">
        <v>110</v>
      </c>
      <c r="L112" s="99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39599-F99B-432E-8C51-DFDC0C27D392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105</v>
      </c>
      <c r="C2" s="151"/>
      <c r="E2" s="62" t="s">
        <v>67</v>
      </c>
      <c r="F2" s="59" t="s">
        <v>23</v>
      </c>
      <c r="G2" s="46">
        <v>190</v>
      </c>
      <c r="H2" s="132">
        <f t="shared" ref="H2:H33" si="0">IF(B$17=0,0,G2/B$17)</f>
        <v>0.64189189189189189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37.142857142857146</v>
      </c>
      <c r="P2" s="118">
        <v>105</v>
      </c>
      <c r="Q2" s="102">
        <v>3900</v>
      </c>
    </row>
    <row r="3" spans="1:17" x14ac:dyDescent="0.4">
      <c r="A3" s="55" t="s">
        <v>8</v>
      </c>
      <c r="B3" s="152">
        <v>890</v>
      </c>
      <c r="C3" s="153"/>
      <c r="E3" s="63" t="s">
        <v>73</v>
      </c>
      <c r="F3" s="60" t="s">
        <v>28</v>
      </c>
      <c r="G3" s="47">
        <v>168</v>
      </c>
      <c r="H3" s="133">
        <f t="shared" si="0"/>
        <v>0.56756756756756754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1"/>
        <v>-963.80952380952385</v>
      </c>
      <c r="P3" s="119">
        <v>105</v>
      </c>
      <c r="Q3" s="103">
        <v>-101200</v>
      </c>
    </row>
    <row r="4" spans="1:17" x14ac:dyDescent="0.4">
      <c r="A4" s="55" t="s">
        <v>6</v>
      </c>
      <c r="B4" s="154">
        <v>-243.50000000000006</v>
      </c>
      <c r="C4" s="155"/>
      <c r="E4" s="63" t="s">
        <v>245</v>
      </c>
      <c r="F4" s="60" t="s">
        <v>246</v>
      </c>
      <c r="G4" s="47">
        <v>126</v>
      </c>
      <c r="H4" s="133">
        <f t="shared" si="0"/>
        <v>0.42567567567567566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1"/>
        <v>-1045.2631578947369</v>
      </c>
      <c r="P4" s="119">
        <v>95</v>
      </c>
      <c r="Q4" s="103">
        <v>-99300</v>
      </c>
    </row>
    <row r="5" spans="1:17" x14ac:dyDescent="0.4">
      <c r="A5" s="55" t="s">
        <v>7</v>
      </c>
      <c r="B5" s="156">
        <f>IF(B$2=0,0,B$4/B$2)</f>
        <v>-2.3190476190476197</v>
      </c>
      <c r="C5" s="157"/>
      <c r="E5" s="63" t="s">
        <v>65</v>
      </c>
      <c r="F5" s="60" t="s">
        <v>21</v>
      </c>
      <c r="G5" s="47">
        <v>105</v>
      </c>
      <c r="H5" s="133">
        <f t="shared" si="0"/>
        <v>0.35472972972972971</v>
      </c>
      <c r="I5" s="94">
        <v>14</v>
      </c>
      <c r="K5" s="38">
        <v>3</v>
      </c>
      <c r="L5" s="99">
        <v>1.7999999999999989</v>
      </c>
      <c r="N5" s="115" t="s">
        <v>135</v>
      </c>
      <c r="O5" s="122">
        <f t="shared" si="1"/>
        <v>1017.7777777777778</v>
      </c>
      <c r="P5" s="119">
        <v>90</v>
      </c>
      <c r="Q5" s="103">
        <v>91600</v>
      </c>
    </row>
    <row r="6" spans="1:17" x14ac:dyDescent="0.4">
      <c r="A6" s="55" t="s">
        <v>1</v>
      </c>
      <c r="B6" s="146">
        <f>IF(B$2=0,0,(B$7*1+B$8*2+B$9*3)/B$2)</f>
        <v>2.0571428571428569</v>
      </c>
      <c r="C6" s="147"/>
      <c r="E6" s="63" t="s">
        <v>69</v>
      </c>
      <c r="F6" s="60" t="s">
        <v>12</v>
      </c>
      <c r="G6" s="47">
        <v>73</v>
      </c>
      <c r="H6" s="133">
        <f t="shared" si="0"/>
        <v>0.24662162162162163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1"/>
        <v>-176.1904761904762</v>
      </c>
      <c r="P6" s="119">
        <v>84</v>
      </c>
      <c r="Q6" s="103">
        <v>-14800</v>
      </c>
    </row>
    <row r="7" spans="1:17" x14ac:dyDescent="0.4">
      <c r="A7" s="55" t="s">
        <v>2</v>
      </c>
      <c r="B7" s="47">
        <v>26</v>
      </c>
      <c r="C7" s="39">
        <f t="shared" ref="C7:C12" si="2">IF(B$2=0,0,B7/B$2)</f>
        <v>0.24761904761904763</v>
      </c>
      <c r="E7" s="63" t="s">
        <v>68</v>
      </c>
      <c r="F7" s="60" t="s">
        <v>24</v>
      </c>
      <c r="G7" s="47">
        <v>53</v>
      </c>
      <c r="H7" s="133">
        <f t="shared" si="0"/>
        <v>0.17905405405405406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1"/>
        <v>-549.29577464788736</v>
      </c>
      <c r="P7" s="120">
        <v>71</v>
      </c>
      <c r="Q7" s="104">
        <v>-39000</v>
      </c>
    </row>
    <row r="8" spans="1:17" x14ac:dyDescent="0.4">
      <c r="A8" s="55" t="s">
        <v>3</v>
      </c>
      <c r="B8" s="47">
        <v>47</v>
      </c>
      <c r="C8" s="39">
        <f t="shared" si="2"/>
        <v>0.44761904761904764</v>
      </c>
      <c r="E8" s="63" t="s">
        <v>70</v>
      </c>
      <c r="F8" s="60" t="s">
        <v>25</v>
      </c>
      <c r="G8" s="47">
        <v>46</v>
      </c>
      <c r="H8" s="133">
        <f t="shared" si="0"/>
        <v>0.1554054054054054</v>
      </c>
      <c r="I8" s="94">
        <v>7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si="2"/>
        <v>0.30476190476190479</v>
      </c>
      <c r="E9" s="63" t="s">
        <v>66</v>
      </c>
      <c r="F9" s="60" t="s">
        <v>22</v>
      </c>
      <c r="G9" s="47">
        <v>31</v>
      </c>
      <c r="H9" s="133">
        <f t="shared" si="0"/>
        <v>0.10472972972972973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 t="shared" si="2"/>
        <v>5.7142857142857141E-2</v>
      </c>
      <c r="E10" s="63" t="s">
        <v>90</v>
      </c>
      <c r="F10" s="60" t="s">
        <v>45</v>
      </c>
      <c r="G10" s="47">
        <v>24</v>
      </c>
      <c r="H10" s="133">
        <f t="shared" si="0"/>
        <v>8.1081081081081086E-2</v>
      </c>
      <c r="I10" s="94">
        <v>13</v>
      </c>
      <c r="K10" s="38">
        <v>8</v>
      </c>
      <c r="L10" s="99">
        <v>-29.5</v>
      </c>
      <c r="N10" s="114" t="s">
        <v>164</v>
      </c>
      <c r="O10" s="124">
        <f>IF(P10=0,0,Q10/P10)</f>
        <v>-4.161764705882355</v>
      </c>
      <c r="P10" s="118">
        <v>34</v>
      </c>
      <c r="Q10" s="106">
        <v>-141.50000000000009</v>
      </c>
    </row>
    <row r="11" spans="1:17" x14ac:dyDescent="0.4">
      <c r="A11" s="56" t="s">
        <v>140</v>
      </c>
      <c r="B11" s="48">
        <v>10</v>
      </c>
      <c r="C11" s="40">
        <f t="shared" si="2"/>
        <v>9.5238095238095233E-2</v>
      </c>
      <c r="E11" s="63" t="s">
        <v>72</v>
      </c>
      <c r="F11" s="60" t="s">
        <v>27</v>
      </c>
      <c r="G11" s="47">
        <v>23</v>
      </c>
      <c r="H11" s="133">
        <f t="shared" si="0"/>
        <v>7.77027027027027E-2</v>
      </c>
      <c r="I11" s="94">
        <v>4</v>
      </c>
      <c r="K11" s="38">
        <v>9</v>
      </c>
      <c r="L11" s="99">
        <v>-56.5</v>
      </c>
      <c r="N11" s="115" t="s">
        <v>165</v>
      </c>
      <c r="O11" s="125">
        <f>IF(P11=0,0,Q11/P11)</f>
        <v>1.9129032258064516</v>
      </c>
      <c r="P11" s="119">
        <v>31</v>
      </c>
      <c r="Q11" s="107">
        <v>59.3</v>
      </c>
    </row>
    <row r="12" spans="1:17" x14ac:dyDescent="0.4">
      <c r="A12" s="57" t="s">
        <v>160</v>
      </c>
      <c r="B12" s="49">
        <v>9</v>
      </c>
      <c r="C12" s="42">
        <f t="shared" si="2"/>
        <v>8.5714285714285715E-2</v>
      </c>
      <c r="E12" s="63" t="s">
        <v>71</v>
      </c>
      <c r="F12" s="60" t="s">
        <v>26</v>
      </c>
      <c r="G12" s="47">
        <v>21</v>
      </c>
      <c r="H12" s="133">
        <f t="shared" si="0"/>
        <v>7.0945945945945943E-2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189</v>
      </c>
      <c r="C13" s="44">
        <f>IF(B$3=0,0,B13/B$3)</f>
        <v>0.21235955056179776</v>
      </c>
      <c r="E13" s="63" t="s">
        <v>84</v>
      </c>
      <c r="F13" s="60" t="s">
        <v>39</v>
      </c>
      <c r="G13" s="47">
        <v>21</v>
      </c>
      <c r="H13" s="133">
        <f t="shared" si="0"/>
        <v>7.0945945945945943E-2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254</v>
      </c>
      <c r="C14" s="39">
        <f>IF(B$3=0,0,B14/B$3)</f>
        <v>0.28539325842696628</v>
      </c>
      <c r="E14" s="63" t="s">
        <v>87</v>
      </c>
      <c r="F14" s="60" t="s">
        <v>42</v>
      </c>
      <c r="G14" s="47">
        <v>13</v>
      </c>
      <c r="H14" s="133">
        <f t="shared" si="0"/>
        <v>4.3918918918918921E-2</v>
      </c>
      <c r="I14" s="94">
        <v>12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104</v>
      </c>
      <c r="C15" s="37">
        <f>IF(B$13=0,0,B15/B$13)</f>
        <v>0.55026455026455023</v>
      </c>
      <c r="E15" s="63" t="s">
        <v>82</v>
      </c>
      <c r="F15" s="60" t="s">
        <v>37</v>
      </c>
      <c r="G15" s="47">
        <v>9</v>
      </c>
      <c r="H15" s="133">
        <f t="shared" si="0"/>
        <v>3.0405405405405407E-2</v>
      </c>
      <c r="I15" s="94">
        <v>3</v>
      </c>
      <c r="K15" s="38">
        <v>13</v>
      </c>
      <c r="L15" s="99">
        <v>-3</v>
      </c>
      <c r="N15" s="114" t="s">
        <v>184</v>
      </c>
      <c r="O15" s="124">
        <f t="shared" ref="O15:O23" si="3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107</v>
      </c>
      <c r="C16" s="37">
        <f>IF(B$14=0,0,B16/B$14)</f>
        <v>0.42125984251968501</v>
      </c>
      <c r="E16" s="63" t="s">
        <v>79</v>
      </c>
      <c r="F16" s="60" t="s">
        <v>34</v>
      </c>
      <c r="G16" s="47">
        <v>4</v>
      </c>
      <c r="H16" s="133">
        <f t="shared" si="0"/>
        <v>1.3513513513513514E-2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3"/>
        <v>21.449999999999992</v>
      </c>
      <c r="P16" s="119">
        <v>38</v>
      </c>
      <c r="Q16" s="107">
        <v>815.09999999999968</v>
      </c>
    </row>
    <row r="17" spans="1:17" x14ac:dyDescent="0.4">
      <c r="A17" s="54" t="s">
        <v>10</v>
      </c>
      <c r="B17" s="46">
        <f>B19+B18</f>
        <v>296</v>
      </c>
      <c r="C17" s="37">
        <f>IF(B$3=0,0,B17/B$3)</f>
        <v>0.33258426966292137</v>
      </c>
      <c r="E17" s="63" t="s">
        <v>92</v>
      </c>
      <c r="F17" s="60" t="s">
        <v>47</v>
      </c>
      <c r="G17" s="47">
        <v>4</v>
      </c>
      <c r="H17" s="133">
        <f t="shared" si="0"/>
        <v>1.3513513513513514E-2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 t="shared" si="3"/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117</v>
      </c>
      <c r="C18" s="39">
        <f>IF(B$17=0,0,B18/B$17)</f>
        <v>0.39527027027027029</v>
      </c>
      <c r="E18" s="63" t="s">
        <v>80</v>
      </c>
      <c r="F18" s="60" t="s">
        <v>35</v>
      </c>
      <c r="G18" s="47">
        <v>3</v>
      </c>
      <c r="H18" s="133">
        <f t="shared" si="0"/>
        <v>1.0135135135135136E-2</v>
      </c>
      <c r="I18" s="94">
        <v>11</v>
      </c>
      <c r="K18" s="38">
        <v>16</v>
      </c>
      <c r="L18" s="99">
        <v>-87.6</v>
      </c>
      <c r="N18" s="115" t="s">
        <v>177</v>
      </c>
      <c r="O18" s="125">
        <f t="shared" si="3"/>
        <v>1.6363636363636347</v>
      </c>
      <c r="P18" s="119">
        <v>33</v>
      </c>
      <c r="Q18" s="107">
        <v>53.999999999999943</v>
      </c>
    </row>
    <row r="19" spans="1:17" x14ac:dyDescent="0.4">
      <c r="A19" s="55" t="s">
        <v>11</v>
      </c>
      <c r="B19" s="47">
        <v>179</v>
      </c>
      <c r="C19" s="39">
        <f>IF(B$17=0,0,B19/B$17)</f>
        <v>0.60472972972972971</v>
      </c>
      <c r="E19" s="63" t="s">
        <v>75</v>
      </c>
      <c r="F19" s="60" t="s">
        <v>30</v>
      </c>
      <c r="G19" s="47">
        <v>2</v>
      </c>
      <c r="H19" s="133">
        <f t="shared" si="0"/>
        <v>6.7567567567567571E-3</v>
      </c>
      <c r="I19" s="94">
        <v>4</v>
      </c>
      <c r="K19" s="38">
        <v>17</v>
      </c>
      <c r="L19" s="99">
        <v>-55.099999999999994</v>
      </c>
      <c r="N19" s="115" t="s">
        <v>128</v>
      </c>
      <c r="O19" s="125">
        <f t="shared" si="3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130</v>
      </c>
      <c r="C20" s="39">
        <f>IF(B$3=0,0,B20/B$3)</f>
        <v>0.14606741573033707</v>
      </c>
      <c r="E20" s="63" t="s">
        <v>74</v>
      </c>
      <c r="F20" s="60" t="s">
        <v>29</v>
      </c>
      <c r="G20" s="47">
        <v>1</v>
      </c>
      <c r="H20" s="133">
        <f t="shared" si="0"/>
        <v>3.3783783783783786E-3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 t="shared" si="3"/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 t="shared" si="0"/>
        <v>3.3783783783783786E-3</v>
      </c>
      <c r="I21" s="94">
        <v>7</v>
      </c>
      <c r="K21" s="38">
        <v>19</v>
      </c>
      <c r="L21" s="99">
        <v>29.200000000000003</v>
      </c>
      <c r="N21" s="115" t="s">
        <v>200</v>
      </c>
      <c r="O21" s="125">
        <f t="shared" si="3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78</v>
      </c>
      <c r="F22" s="60" t="s">
        <v>33</v>
      </c>
      <c r="G22" s="47">
        <v>1</v>
      </c>
      <c r="H22" s="133">
        <f t="shared" si="0"/>
        <v>3.3783783783783786E-3</v>
      </c>
      <c r="I22" s="94">
        <v>7</v>
      </c>
      <c r="K22" s="38">
        <v>20</v>
      </c>
      <c r="L22" s="99">
        <v>43</v>
      </c>
      <c r="N22" s="115" t="s">
        <v>127</v>
      </c>
      <c r="O22" s="125">
        <f t="shared" si="3"/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6762.5</v>
      </c>
      <c r="C23" s="41">
        <v>2001700</v>
      </c>
      <c r="E23" s="63" t="s">
        <v>88</v>
      </c>
      <c r="F23" s="60" t="s">
        <v>43</v>
      </c>
      <c r="G23" s="47">
        <v>1</v>
      </c>
      <c r="H23" s="133">
        <f t="shared" si="0"/>
        <v>3.3783783783783786E-3</v>
      </c>
      <c r="I23" s="94">
        <v>4</v>
      </c>
      <c r="K23" s="38">
        <v>21</v>
      </c>
      <c r="L23" s="99">
        <v>89.9</v>
      </c>
      <c r="N23" s="115" t="s">
        <v>223</v>
      </c>
      <c r="O23" s="125">
        <f t="shared" si="3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-8148.4615384615381</v>
      </c>
      <c r="C24" s="45">
        <v>-1059300</v>
      </c>
      <c r="E24" s="63" t="s">
        <v>91</v>
      </c>
      <c r="F24" s="60" t="s">
        <v>46</v>
      </c>
      <c r="G24" s="47">
        <v>1</v>
      </c>
      <c r="H24" s="133">
        <f t="shared" si="0"/>
        <v>3.3783783783783786E-3</v>
      </c>
      <c r="I24" s="94">
        <v>3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77</v>
      </c>
      <c r="F25" s="60" t="s">
        <v>32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1.1235955056179776E-3</v>
      </c>
      <c r="E27" s="63" t="s">
        <v>83</v>
      </c>
      <c r="F27" s="60" t="s">
        <v>38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 t="shared" si="0"/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 t="shared" si="0"/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 t="shared" ref="H34:H52" si="4"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  <row r="106" spans="11:12" x14ac:dyDescent="0.4">
      <c r="K106" s="38">
        <v>104</v>
      </c>
      <c r="L106" s="99">
        <v>-234.20000000000005</v>
      </c>
    </row>
    <row r="107" spans="11:12" x14ac:dyDescent="0.4">
      <c r="K107" s="38">
        <v>105</v>
      </c>
      <c r="L107" s="99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36792-7BC9-42B0-A9A4-495F108C7C6F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61</v>
      </c>
      <c r="C2" s="151"/>
      <c r="E2" s="62" t="s">
        <v>67</v>
      </c>
      <c r="F2" s="59" t="s">
        <v>23</v>
      </c>
      <c r="G2" s="46">
        <v>96</v>
      </c>
      <c r="H2" s="132">
        <f t="shared" ref="H2:H33" si="0">IF(B$17=0,0,G2/B$17)</f>
        <v>0.65306122448979587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-3171.6666666666665</v>
      </c>
      <c r="P2" s="118">
        <v>60</v>
      </c>
      <c r="Q2" s="102">
        <v>-190300</v>
      </c>
    </row>
    <row r="3" spans="1:17" x14ac:dyDescent="0.4">
      <c r="A3" s="55" t="s">
        <v>8</v>
      </c>
      <c r="B3" s="152">
        <v>529</v>
      </c>
      <c r="C3" s="153"/>
      <c r="E3" s="63" t="s">
        <v>73</v>
      </c>
      <c r="F3" s="60" t="s">
        <v>28</v>
      </c>
      <c r="G3" s="47">
        <v>70</v>
      </c>
      <c r="H3" s="133">
        <f t="shared" si="0"/>
        <v>0.47619047619047616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1"/>
        <v>1775</v>
      </c>
      <c r="P3" s="119">
        <v>60</v>
      </c>
      <c r="Q3" s="103">
        <v>106500</v>
      </c>
    </row>
    <row r="4" spans="1:17" x14ac:dyDescent="0.4">
      <c r="A4" s="55" t="s">
        <v>6</v>
      </c>
      <c r="B4" s="154">
        <v>-560.6</v>
      </c>
      <c r="C4" s="155"/>
      <c r="E4" s="63" t="s">
        <v>65</v>
      </c>
      <c r="F4" s="60" t="s">
        <v>21</v>
      </c>
      <c r="G4" s="47">
        <v>65</v>
      </c>
      <c r="H4" s="133">
        <f t="shared" si="0"/>
        <v>0.44217687074829931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1"/>
        <v>-1696.4912280701753</v>
      </c>
      <c r="P4" s="119">
        <v>57</v>
      </c>
      <c r="Q4" s="103">
        <v>-96700</v>
      </c>
    </row>
    <row r="5" spans="1:17" x14ac:dyDescent="0.4">
      <c r="A5" s="55" t="s">
        <v>7</v>
      </c>
      <c r="B5" s="156">
        <f>IF(B$2=0,0,B$4/B$2)</f>
        <v>-9.1901639344262307</v>
      </c>
      <c r="C5" s="157"/>
      <c r="E5" s="63" t="s">
        <v>69</v>
      </c>
      <c r="F5" s="60" t="s">
        <v>12</v>
      </c>
      <c r="G5" s="47">
        <v>58</v>
      </c>
      <c r="H5" s="133">
        <f t="shared" si="0"/>
        <v>0.39455782312925169</v>
      </c>
      <c r="I5" s="94">
        <v>2</v>
      </c>
      <c r="K5" s="38">
        <v>3</v>
      </c>
      <c r="L5" s="99">
        <v>-149</v>
      </c>
      <c r="N5" s="115" t="s">
        <v>135</v>
      </c>
      <c r="O5" s="122">
        <f t="shared" si="1"/>
        <v>-4115.3846153846152</v>
      </c>
      <c r="P5" s="119">
        <v>52</v>
      </c>
      <c r="Q5" s="103">
        <v>-214000</v>
      </c>
    </row>
    <row r="6" spans="1:17" x14ac:dyDescent="0.4">
      <c r="A6" s="55" t="s">
        <v>1</v>
      </c>
      <c r="B6" s="146">
        <f>IF(B$2=0,0,(B$7*1+B$8*2+B$9*3)/B$2)</f>
        <v>2.1475409836065573</v>
      </c>
      <c r="C6" s="147"/>
      <c r="E6" s="63" t="s">
        <v>245</v>
      </c>
      <c r="F6" s="60" t="s">
        <v>246</v>
      </c>
      <c r="G6" s="47">
        <v>55</v>
      </c>
      <c r="H6" s="133">
        <f t="shared" si="0"/>
        <v>0.37414965986394561</v>
      </c>
      <c r="I6" s="94">
        <v>12</v>
      </c>
      <c r="K6" s="38">
        <v>4</v>
      </c>
      <c r="L6" s="99">
        <v>-150.6</v>
      </c>
      <c r="N6" s="115" t="s">
        <v>136</v>
      </c>
      <c r="O6" s="122">
        <f t="shared" si="1"/>
        <v>10.869565217391305</v>
      </c>
      <c r="P6" s="119">
        <v>46</v>
      </c>
      <c r="Q6" s="103">
        <v>500</v>
      </c>
    </row>
    <row r="7" spans="1:17" x14ac:dyDescent="0.4">
      <c r="A7" s="55" t="s">
        <v>2</v>
      </c>
      <c r="B7" s="47">
        <v>16</v>
      </c>
      <c r="C7" s="39">
        <f t="shared" ref="C7:C12" si="2">IF(B$2=0,0,B7/B$2)</f>
        <v>0.26229508196721313</v>
      </c>
      <c r="E7" s="63" t="s">
        <v>68</v>
      </c>
      <c r="F7" s="60" t="s">
        <v>24</v>
      </c>
      <c r="G7" s="47">
        <v>31</v>
      </c>
      <c r="H7" s="133">
        <f t="shared" si="0"/>
        <v>0.21088435374149661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1"/>
        <v>-281.39534883720933</v>
      </c>
      <c r="P7" s="120">
        <v>43</v>
      </c>
      <c r="Q7" s="104">
        <v>-12100</v>
      </c>
    </row>
    <row r="8" spans="1:17" x14ac:dyDescent="0.4">
      <c r="A8" s="55" t="s">
        <v>3</v>
      </c>
      <c r="B8" s="47">
        <v>20</v>
      </c>
      <c r="C8" s="39">
        <f t="shared" si="2"/>
        <v>0.32786885245901637</v>
      </c>
      <c r="E8" s="63" t="s">
        <v>70</v>
      </c>
      <c r="F8" s="60" t="s">
        <v>25</v>
      </c>
      <c r="G8" s="47">
        <v>19</v>
      </c>
      <c r="H8" s="133">
        <f t="shared" si="0"/>
        <v>0.12925170068027211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si="2"/>
        <v>0.4098360655737705</v>
      </c>
      <c r="E9" s="63" t="s">
        <v>90</v>
      </c>
      <c r="F9" s="60" t="s">
        <v>45</v>
      </c>
      <c r="G9" s="47">
        <v>18</v>
      </c>
      <c r="H9" s="133">
        <f t="shared" si="0"/>
        <v>0.12244897959183673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 t="shared" si="2"/>
        <v>0.16393442622950818</v>
      </c>
      <c r="E10" s="63" t="s">
        <v>71</v>
      </c>
      <c r="F10" s="60" t="s">
        <v>26</v>
      </c>
      <c r="G10" s="47">
        <v>17</v>
      </c>
      <c r="H10" s="133">
        <f t="shared" si="0"/>
        <v>0.11564625850340136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 t="shared" si="2"/>
        <v>6.5573770491803282E-2</v>
      </c>
      <c r="E11" s="63" t="s">
        <v>66</v>
      </c>
      <c r="F11" s="60" t="s">
        <v>22</v>
      </c>
      <c r="G11" s="47">
        <v>11</v>
      </c>
      <c r="H11" s="133">
        <f t="shared" si="0"/>
        <v>7.4829931972789115E-2</v>
      </c>
      <c r="I11" s="94">
        <v>12</v>
      </c>
      <c r="K11" s="38">
        <v>9</v>
      </c>
      <c r="L11" s="99">
        <v>-260.59999999999997</v>
      </c>
      <c r="N11" s="115" t="s">
        <v>165</v>
      </c>
      <c r="O11" s="125">
        <f>IF(P11=0,0,Q11/P11)</f>
        <v>-7.2064516129032263</v>
      </c>
      <c r="P11" s="119">
        <v>31</v>
      </c>
      <c r="Q11" s="107">
        <v>-223.4</v>
      </c>
    </row>
    <row r="12" spans="1:17" x14ac:dyDescent="0.4">
      <c r="A12" s="57" t="s">
        <v>160</v>
      </c>
      <c r="B12" s="49">
        <v>3</v>
      </c>
      <c r="C12" s="42">
        <f t="shared" si="2"/>
        <v>4.9180327868852458E-2</v>
      </c>
      <c r="E12" s="63" t="s">
        <v>87</v>
      </c>
      <c r="F12" s="60" t="s">
        <v>42</v>
      </c>
      <c r="G12" s="47">
        <v>8</v>
      </c>
      <c r="H12" s="133">
        <f t="shared" si="0"/>
        <v>5.4421768707482991E-2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-9.1062499999999993</v>
      </c>
      <c r="P12" s="120">
        <v>16</v>
      </c>
      <c r="Q12" s="108">
        <v>-145.69999999999999</v>
      </c>
    </row>
    <row r="13" spans="1:17" x14ac:dyDescent="0.4">
      <c r="A13" s="58" t="s">
        <v>122</v>
      </c>
      <c r="B13" s="50">
        <v>118</v>
      </c>
      <c r="C13" s="44">
        <f>IF(B$3=0,0,B13/B$3)</f>
        <v>0.22306238185255198</v>
      </c>
      <c r="E13" s="63" t="s">
        <v>72</v>
      </c>
      <c r="F13" s="60" t="s">
        <v>27</v>
      </c>
      <c r="G13" s="47">
        <v>7</v>
      </c>
      <c r="H13" s="133">
        <f t="shared" si="0"/>
        <v>4.7619047619047616E-2</v>
      </c>
      <c r="I13" s="94">
        <v>11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114</v>
      </c>
      <c r="C14" s="39">
        <f>IF(B$3=0,0,B14/B$3)</f>
        <v>0.21550094517958412</v>
      </c>
      <c r="E14" s="63" t="s">
        <v>79</v>
      </c>
      <c r="F14" s="60" t="s">
        <v>34</v>
      </c>
      <c r="G14" s="47">
        <v>4</v>
      </c>
      <c r="H14" s="133">
        <f t="shared" si="0"/>
        <v>2.7210884353741496E-2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0.57627118644067798</v>
      </c>
      <c r="E15" s="63" t="s">
        <v>74</v>
      </c>
      <c r="F15" s="60" t="s">
        <v>29</v>
      </c>
      <c r="G15" s="47">
        <v>3</v>
      </c>
      <c r="H15" s="133">
        <f t="shared" si="0"/>
        <v>2.0408163265306121E-2</v>
      </c>
      <c r="I15" s="94">
        <v>1</v>
      </c>
      <c r="K15" s="38">
        <v>13</v>
      </c>
      <c r="L15" s="99">
        <v>-302.59999999999997</v>
      </c>
      <c r="N15" s="114" t="s">
        <v>271</v>
      </c>
      <c r="O15" s="124">
        <f t="shared" ref="O15:O24" si="3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3</v>
      </c>
      <c r="H16" s="133">
        <f t="shared" si="0"/>
        <v>2.0408163265306121E-2</v>
      </c>
      <c r="I16" s="94">
        <v>4</v>
      </c>
      <c r="K16" s="38">
        <v>14</v>
      </c>
      <c r="L16" s="99">
        <v>-269.99999999999994</v>
      </c>
      <c r="N16" s="115" t="s">
        <v>129</v>
      </c>
      <c r="O16" s="125">
        <f t="shared" si="3"/>
        <v>1.1117647058823532</v>
      </c>
      <c r="P16" s="119">
        <v>17</v>
      </c>
      <c r="Q16" s="107">
        <v>18.900000000000006</v>
      </c>
    </row>
    <row r="17" spans="1:17" x14ac:dyDescent="0.4">
      <c r="A17" s="54" t="s">
        <v>10</v>
      </c>
      <c r="B17" s="46">
        <f>B19+B18</f>
        <v>147</v>
      </c>
      <c r="C17" s="37">
        <f>IF(B$3=0,0,B17/B$3)</f>
        <v>0.27788279773156899</v>
      </c>
      <c r="E17" s="63" t="s">
        <v>84</v>
      </c>
      <c r="F17" s="60" t="s">
        <v>39</v>
      </c>
      <c r="G17" s="47">
        <v>3</v>
      </c>
      <c r="H17" s="133">
        <f t="shared" si="0"/>
        <v>2.0408163265306121E-2</v>
      </c>
      <c r="I17" s="94">
        <v>12</v>
      </c>
      <c r="K17" s="38">
        <v>15</v>
      </c>
      <c r="L17" s="99">
        <v>-264.59999999999997</v>
      </c>
      <c r="N17" s="115" t="s">
        <v>172</v>
      </c>
      <c r="O17" s="125">
        <f t="shared" si="3"/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74</v>
      </c>
      <c r="C18" s="39">
        <f>IF(B$17=0,0,B18/B$17)</f>
        <v>0.50340136054421769</v>
      </c>
      <c r="E18" s="63" t="s">
        <v>180</v>
      </c>
      <c r="F18" s="60" t="s">
        <v>181</v>
      </c>
      <c r="G18" s="47">
        <v>3</v>
      </c>
      <c r="H18" s="133">
        <f t="shared" si="0"/>
        <v>2.0408163265306121E-2</v>
      </c>
      <c r="I18" s="94">
        <v>5</v>
      </c>
      <c r="K18" s="38">
        <v>16</v>
      </c>
      <c r="L18" s="99">
        <v>-292.79999999999995</v>
      </c>
      <c r="N18" s="115" t="s">
        <v>128</v>
      </c>
      <c r="O18" s="125">
        <f t="shared" si="3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73</v>
      </c>
      <c r="C19" s="39">
        <f>IF(B$17=0,0,B19/B$17)</f>
        <v>0.49659863945578231</v>
      </c>
      <c r="E19" s="63" t="s">
        <v>92</v>
      </c>
      <c r="F19" s="60" t="s">
        <v>47</v>
      </c>
      <c r="G19" s="47">
        <v>2</v>
      </c>
      <c r="H19" s="133">
        <f t="shared" si="0"/>
        <v>1.3605442176870748E-2</v>
      </c>
      <c r="I19" s="94">
        <v>7</v>
      </c>
      <c r="K19" s="38">
        <v>17</v>
      </c>
      <c r="L19" s="99">
        <v>-248.89999999999995</v>
      </c>
      <c r="N19" s="115" t="s">
        <v>177</v>
      </c>
      <c r="O19" s="125">
        <f t="shared" si="3"/>
        <v>-10.354545454545455</v>
      </c>
      <c r="P19" s="119">
        <v>11</v>
      </c>
      <c r="Q19" s="107">
        <v>-113.9</v>
      </c>
    </row>
    <row r="20" spans="1:17" x14ac:dyDescent="0.4">
      <c r="A20" s="55" t="s">
        <v>13</v>
      </c>
      <c r="B20" s="47">
        <v>103</v>
      </c>
      <c r="C20" s="39">
        <f>IF(B$3=0,0,B20/B$3)</f>
        <v>0.19470699432892249</v>
      </c>
      <c r="E20" s="63" t="s">
        <v>82</v>
      </c>
      <c r="F20" s="60" t="s">
        <v>37</v>
      </c>
      <c r="G20" s="47">
        <v>1</v>
      </c>
      <c r="H20" s="133">
        <f t="shared" si="0"/>
        <v>6.8027210884353739E-3</v>
      </c>
      <c r="I20" s="94">
        <v>12</v>
      </c>
      <c r="K20" s="38">
        <v>18</v>
      </c>
      <c r="L20" s="99">
        <v>-218.99999999999994</v>
      </c>
      <c r="N20" s="115" t="s">
        <v>171</v>
      </c>
      <c r="O20" s="125">
        <f t="shared" si="3"/>
        <v>-13.942105263157893</v>
      </c>
      <c r="P20" s="119">
        <v>19</v>
      </c>
      <c r="Q20" s="107">
        <v>-264.89999999999998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 t="shared" si="0"/>
        <v>6.8027210884353739E-3</v>
      </c>
      <c r="I21" s="94">
        <v>2</v>
      </c>
      <c r="K21" s="38">
        <v>19</v>
      </c>
      <c r="L21" s="99">
        <v>-188.59999999999994</v>
      </c>
      <c r="N21" s="115" t="s">
        <v>127</v>
      </c>
      <c r="O21" s="125">
        <f t="shared" si="3"/>
        <v>-28</v>
      </c>
      <c r="P21" s="119">
        <v>29</v>
      </c>
      <c r="Q21" s="107">
        <v>-812</v>
      </c>
    </row>
    <row r="22" spans="1:17" x14ac:dyDescent="0.4">
      <c r="A22" s="55" t="s">
        <v>192</v>
      </c>
      <c r="B22" s="47">
        <v>24</v>
      </c>
      <c r="C22" s="135">
        <v>7</v>
      </c>
      <c r="E22" s="63" t="s">
        <v>107</v>
      </c>
      <c r="F22" s="60" t="s">
        <v>114</v>
      </c>
      <c r="G22" s="47">
        <v>1</v>
      </c>
      <c r="H22" s="133">
        <f t="shared" si="0"/>
        <v>6.8027210884353739E-3</v>
      </c>
      <c r="I22" s="94">
        <v>1</v>
      </c>
      <c r="K22" s="38">
        <v>20</v>
      </c>
      <c r="L22" s="99">
        <v>-182.79999999999993</v>
      </c>
      <c r="N22" s="115" t="s">
        <v>183</v>
      </c>
      <c r="O22" s="125">
        <f t="shared" si="3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7610.2040816326535</v>
      </c>
      <c r="C23" s="41">
        <v>1118700</v>
      </c>
      <c r="E23" s="63" t="s">
        <v>75</v>
      </c>
      <c r="F23" s="60" t="s">
        <v>30</v>
      </c>
      <c r="G23" s="47">
        <v>0</v>
      </c>
      <c r="H23" s="133">
        <f t="shared" si="0"/>
        <v>0</v>
      </c>
      <c r="I23" s="94">
        <v>7</v>
      </c>
      <c r="K23" s="38">
        <v>21</v>
      </c>
      <c r="L23" s="99">
        <v>-203.79999999999993</v>
      </c>
      <c r="N23" s="115" t="s">
        <v>200</v>
      </c>
      <c r="O23" s="125">
        <f t="shared" si="3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-8151.4563106796113</v>
      </c>
      <c r="C24" s="45">
        <v>-839600</v>
      </c>
      <c r="E24" s="63" t="s">
        <v>76</v>
      </c>
      <c r="F24" s="60" t="s">
        <v>31</v>
      </c>
      <c r="G24" s="47">
        <v>0</v>
      </c>
      <c r="H24" s="133">
        <f t="shared" si="0"/>
        <v>0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 t="shared" si="3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77</v>
      </c>
      <c r="F25" s="60" t="s">
        <v>32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78</v>
      </c>
      <c r="F26" s="60" t="s">
        <v>33</v>
      </c>
      <c r="G26" s="47">
        <v>0</v>
      </c>
      <c r="H26" s="133">
        <f t="shared" si="0"/>
        <v>0</v>
      </c>
      <c r="I26" s="94">
        <v>9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3.780718336483932E-3</v>
      </c>
      <c r="E27" s="63" t="s">
        <v>81</v>
      </c>
      <c r="F27" s="60" t="s">
        <v>36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 t="shared" si="0"/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 t="shared" si="0"/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 t="shared" si="0"/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 t="shared" si="0"/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 t="shared" ref="H34:H52" si="4"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 t="shared" si="4"/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  <row r="58" spans="5:12" x14ac:dyDescent="0.4">
      <c r="K58" s="38">
        <v>56</v>
      </c>
      <c r="L58" s="99">
        <v>-397.1</v>
      </c>
    </row>
    <row r="59" spans="5:12" x14ac:dyDescent="0.4">
      <c r="K59" s="38">
        <v>57</v>
      </c>
      <c r="L59" s="99">
        <v>-461.6</v>
      </c>
    </row>
    <row r="60" spans="5:12" x14ac:dyDescent="0.4">
      <c r="K60" s="38">
        <v>58</v>
      </c>
      <c r="L60" s="99">
        <v>-521</v>
      </c>
    </row>
    <row r="61" spans="5:12" x14ac:dyDescent="0.4">
      <c r="K61" s="38">
        <v>59</v>
      </c>
      <c r="L61" s="99">
        <v>-521</v>
      </c>
    </row>
    <row r="62" spans="5:12" x14ac:dyDescent="0.4">
      <c r="K62" s="38">
        <v>60</v>
      </c>
      <c r="L62" s="99">
        <v>-511.8</v>
      </c>
    </row>
    <row r="63" spans="5:12" x14ac:dyDescent="0.4">
      <c r="K63" s="38">
        <v>61</v>
      </c>
      <c r="L63" s="99">
        <v>-560.6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054E-AA32-4FCE-A871-2DBFDF4AEF06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67</v>
      </c>
      <c r="F2" s="59" t="s">
        <v>23</v>
      </c>
      <c r="G2" s="46">
        <v>165</v>
      </c>
      <c r="H2" s="132">
        <f t="shared" ref="H2:H33" si="0">IF(B$17=0,0,G2/B$17)</f>
        <v>0.6021897810218978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379.3388429752066</v>
      </c>
      <c r="P2" s="118">
        <v>121</v>
      </c>
      <c r="Q2" s="102">
        <v>45900</v>
      </c>
    </row>
    <row r="3" spans="1:17" x14ac:dyDescent="0.4">
      <c r="A3" s="55" t="s">
        <v>8</v>
      </c>
      <c r="B3" s="152">
        <v>1007</v>
      </c>
      <c r="C3" s="153"/>
      <c r="E3" s="63" t="s">
        <v>65</v>
      </c>
      <c r="F3" s="60" t="s">
        <v>21</v>
      </c>
      <c r="G3" s="47">
        <v>162</v>
      </c>
      <c r="H3" s="133">
        <f t="shared" si="0"/>
        <v>0.59124087591240881</v>
      </c>
      <c r="I3" s="94">
        <v>2</v>
      </c>
      <c r="K3" s="38">
        <v>1</v>
      </c>
      <c r="L3" s="99">
        <v>-1.9</v>
      </c>
      <c r="N3" s="115" t="s">
        <v>133</v>
      </c>
      <c r="O3" s="122">
        <f t="shared" si="1"/>
        <v>842.73504273504273</v>
      </c>
      <c r="P3" s="119">
        <v>117</v>
      </c>
      <c r="Q3" s="103">
        <v>98600</v>
      </c>
    </row>
    <row r="4" spans="1:17" x14ac:dyDescent="0.4">
      <c r="A4" s="55" t="s">
        <v>6</v>
      </c>
      <c r="B4" s="154">
        <v>57.399999999999935</v>
      </c>
      <c r="C4" s="155"/>
      <c r="E4" s="63" t="s">
        <v>73</v>
      </c>
      <c r="F4" s="60" t="s">
        <v>28</v>
      </c>
      <c r="G4" s="47">
        <v>126</v>
      </c>
      <c r="H4" s="133">
        <f t="shared" si="0"/>
        <v>0.45985401459854014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1"/>
        <v>-144.54545454545453</v>
      </c>
      <c r="P4" s="119">
        <v>110</v>
      </c>
      <c r="Q4" s="103">
        <v>-15900</v>
      </c>
    </row>
    <row r="5" spans="1:17" x14ac:dyDescent="0.4">
      <c r="A5" s="55" t="s">
        <v>7</v>
      </c>
      <c r="B5" s="156">
        <f>IF(B$2=0,0,B$4/B$2)</f>
        <v>0.47438016528925564</v>
      </c>
      <c r="C5" s="157"/>
      <c r="E5" s="63" t="s">
        <v>245</v>
      </c>
      <c r="F5" s="60" t="s">
        <v>246</v>
      </c>
      <c r="G5" s="47">
        <v>120</v>
      </c>
      <c r="H5" s="133">
        <f t="shared" si="0"/>
        <v>0.43795620437956206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1"/>
        <v>460.57692307692309</v>
      </c>
      <c r="P5" s="119">
        <v>104</v>
      </c>
      <c r="Q5" s="103">
        <v>47900</v>
      </c>
    </row>
    <row r="6" spans="1:17" x14ac:dyDescent="0.4">
      <c r="A6" s="55" t="s">
        <v>1</v>
      </c>
      <c r="B6" s="146">
        <f>IF(B$2=0,0,(B$7*1+B$8*2+B$9*3)/B$2)</f>
        <v>1.9834710743801653</v>
      </c>
      <c r="C6" s="147"/>
      <c r="E6" s="63" t="s">
        <v>68</v>
      </c>
      <c r="F6" s="60" t="s">
        <v>24</v>
      </c>
      <c r="G6" s="47">
        <v>111</v>
      </c>
      <c r="H6" s="133">
        <f t="shared" si="0"/>
        <v>0.4051094890510949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1"/>
        <v>-1934.7368421052631</v>
      </c>
      <c r="P6" s="119">
        <v>95</v>
      </c>
      <c r="Q6" s="103">
        <v>-183800</v>
      </c>
    </row>
    <row r="7" spans="1:17" x14ac:dyDescent="0.4">
      <c r="A7" s="55" t="s">
        <v>2</v>
      </c>
      <c r="B7" s="47">
        <v>40</v>
      </c>
      <c r="C7" s="39">
        <f t="shared" ref="C7:C12" si="2">IF(B$2=0,0,B7/B$2)</f>
        <v>0.33057851239669422</v>
      </c>
      <c r="E7" s="63" t="s">
        <v>69</v>
      </c>
      <c r="F7" s="60" t="s">
        <v>12</v>
      </c>
      <c r="G7" s="47">
        <v>89</v>
      </c>
      <c r="H7" s="133">
        <f t="shared" si="0"/>
        <v>0.32481751824817517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1"/>
        <v>902.56410256410254</v>
      </c>
      <c r="P7" s="120">
        <v>78</v>
      </c>
      <c r="Q7" s="104">
        <v>70400</v>
      </c>
    </row>
    <row r="8" spans="1:17" x14ac:dyDescent="0.4">
      <c r="A8" s="55" t="s">
        <v>3</v>
      </c>
      <c r="B8" s="47">
        <v>43</v>
      </c>
      <c r="C8" s="39">
        <f t="shared" si="2"/>
        <v>0.35537190082644626</v>
      </c>
      <c r="E8" s="63" t="s">
        <v>70</v>
      </c>
      <c r="F8" s="60" t="s">
        <v>25</v>
      </c>
      <c r="G8" s="47">
        <v>41</v>
      </c>
      <c r="H8" s="133">
        <f t="shared" si="0"/>
        <v>0.14963503649635038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38</v>
      </c>
      <c r="C9" s="40">
        <f t="shared" si="2"/>
        <v>0.31404958677685951</v>
      </c>
      <c r="E9" s="63" t="s">
        <v>66</v>
      </c>
      <c r="F9" s="60" t="s">
        <v>22</v>
      </c>
      <c r="G9" s="47">
        <v>31</v>
      </c>
      <c r="H9" s="133">
        <f t="shared" si="0"/>
        <v>0.11313868613138686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 t="shared" si="2"/>
        <v>0.12396694214876033</v>
      </c>
      <c r="E10" s="63" t="s">
        <v>90</v>
      </c>
      <c r="F10" s="60" t="s">
        <v>45</v>
      </c>
      <c r="G10" s="47">
        <v>31</v>
      </c>
      <c r="H10" s="133">
        <f t="shared" si="0"/>
        <v>0.11313868613138686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-3.8090909090909095</v>
      </c>
      <c r="P10" s="118">
        <v>44</v>
      </c>
      <c r="Q10" s="106">
        <v>-167.60000000000002</v>
      </c>
    </row>
    <row r="11" spans="1:17" x14ac:dyDescent="0.4">
      <c r="A11" s="56" t="s">
        <v>140</v>
      </c>
      <c r="B11" s="48">
        <v>11</v>
      </c>
      <c r="C11" s="40">
        <f t="shared" si="2"/>
        <v>9.0909090909090912E-2</v>
      </c>
      <c r="E11" s="63" t="s">
        <v>71</v>
      </c>
      <c r="F11" s="60" t="s">
        <v>26</v>
      </c>
      <c r="G11" s="47">
        <v>23</v>
      </c>
      <c r="H11" s="133">
        <f t="shared" si="0"/>
        <v>8.3941605839416053E-2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2.5756097560975606</v>
      </c>
      <c r="P11" s="119">
        <v>41</v>
      </c>
      <c r="Q11" s="107">
        <v>105.59999999999998</v>
      </c>
    </row>
    <row r="12" spans="1:17" x14ac:dyDescent="0.4">
      <c r="A12" s="57" t="s">
        <v>160</v>
      </c>
      <c r="B12" s="49">
        <v>8</v>
      </c>
      <c r="C12" s="42">
        <f t="shared" si="2"/>
        <v>6.6115702479338845E-2</v>
      </c>
      <c r="E12" s="63" t="s">
        <v>72</v>
      </c>
      <c r="F12" s="60" t="s">
        <v>27</v>
      </c>
      <c r="G12" s="47">
        <v>21</v>
      </c>
      <c r="H12" s="133">
        <f t="shared" si="0"/>
        <v>7.6642335766423361E-2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3.316666666666666</v>
      </c>
      <c r="P12" s="120">
        <v>36</v>
      </c>
      <c r="Q12" s="108">
        <v>119.39999999999998</v>
      </c>
    </row>
    <row r="13" spans="1:17" x14ac:dyDescent="0.4">
      <c r="A13" s="58" t="s">
        <v>122</v>
      </c>
      <c r="B13" s="50">
        <v>265</v>
      </c>
      <c r="C13" s="44">
        <f>IF(B$3=0,0,B13/B$3)</f>
        <v>0.26315789473684209</v>
      </c>
      <c r="E13" s="63" t="s">
        <v>84</v>
      </c>
      <c r="F13" s="60" t="s">
        <v>39</v>
      </c>
      <c r="G13" s="47">
        <v>15</v>
      </c>
      <c r="H13" s="133">
        <f t="shared" si="0"/>
        <v>5.4744525547445258E-2</v>
      </c>
      <c r="I13" s="94">
        <v>5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194</v>
      </c>
      <c r="C14" s="39">
        <f>IF(B$3=0,0,B14/B$3)</f>
        <v>0.19265143992055611</v>
      </c>
      <c r="E14" s="63" t="s">
        <v>87</v>
      </c>
      <c r="F14" s="60" t="s">
        <v>42</v>
      </c>
      <c r="G14" s="47">
        <v>13</v>
      </c>
      <c r="H14" s="133">
        <f t="shared" si="0"/>
        <v>4.7445255474452552E-2</v>
      </c>
      <c r="I14" s="94">
        <v>11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161</v>
      </c>
      <c r="C15" s="37">
        <f>IF(B$13=0,0,B15/B$13)</f>
        <v>0.60754716981132073</v>
      </c>
      <c r="E15" s="63" t="s">
        <v>79</v>
      </c>
      <c r="F15" s="60" t="s">
        <v>34</v>
      </c>
      <c r="G15" s="47">
        <v>9</v>
      </c>
      <c r="H15" s="133">
        <f t="shared" si="0"/>
        <v>3.2846715328467155E-2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 t="shared" ref="O15:O25" si="3">IF(P15=0,0,Q15/P15)</f>
        <v>64.679999999999993</v>
      </c>
      <c r="P15" s="118">
        <v>5</v>
      </c>
      <c r="Q15" s="106">
        <v>323.39999999999998</v>
      </c>
    </row>
    <row r="16" spans="1:17" x14ac:dyDescent="0.4">
      <c r="A16" s="54" t="s">
        <v>125</v>
      </c>
      <c r="B16" s="46">
        <v>69</v>
      </c>
      <c r="C16" s="37">
        <f>IF(B$14=0,0,B16/B$14)</f>
        <v>0.35567010309278352</v>
      </c>
      <c r="E16" s="63" t="s">
        <v>92</v>
      </c>
      <c r="F16" s="60" t="s">
        <v>47</v>
      </c>
      <c r="G16" s="47">
        <v>9</v>
      </c>
      <c r="H16" s="133">
        <f t="shared" si="0"/>
        <v>3.2846715328467155E-2</v>
      </c>
      <c r="I16" s="94">
        <v>3</v>
      </c>
      <c r="K16" s="38">
        <v>14</v>
      </c>
      <c r="L16" s="99">
        <v>-178.49999999999997</v>
      </c>
      <c r="N16" s="115" t="s">
        <v>301</v>
      </c>
      <c r="O16" s="125">
        <f t="shared" si="3"/>
        <v>36.400000000000006</v>
      </c>
      <c r="P16" s="119">
        <v>4</v>
      </c>
      <c r="Q16" s="107">
        <v>145.60000000000002</v>
      </c>
    </row>
    <row r="17" spans="1:17" x14ac:dyDescent="0.4">
      <c r="A17" s="54" t="s">
        <v>10</v>
      </c>
      <c r="B17" s="46">
        <f>B19+B18</f>
        <v>274</v>
      </c>
      <c r="C17" s="37">
        <f>IF(B$3=0,0,B17/B$3)</f>
        <v>0.27209533267130087</v>
      </c>
      <c r="E17" s="63" t="s">
        <v>82</v>
      </c>
      <c r="F17" s="60" t="s">
        <v>37</v>
      </c>
      <c r="G17" s="47">
        <v>7</v>
      </c>
      <c r="H17" s="133">
        <f t="shared" si="0"/>
        <v>2.5547445255474453E-2</v>
      </c>
      <c r="I17" s="94">
        <v>7</v>
      </c>
      <c r="K17" s="38">
        <v>15</v>
      </c>
      <c r="L17" s="99">
        <v>-146.19999999999999</v>
      </c>
      <c r="N17" s="115" t="s">
        <v>171</v>
      </c>
      <c r="O17" s="125">
        <f t="shared" si="3"/>
        <v>30.404000000000007</v>
      </c>
      <c r="P17" s="119">
        <v>25</v>
      </c>
      <c r="Q17" s="107">
        <v>760.10000000000014</v>
      </c>
    </row>
    <row r="18" spans="1:17" x14ac:dyDescent="0.4">
      <c r="A18" s="55" t="s">
        <v>12</v>
      </c>
      <c r="B18" s="47">
        <v>121</v>
      </c>
      <c r="C18" s="39">
        <f>IF(B$17=0,0,B18/B$17)</f>
        <v>0.44160583941605841</v>
      </c>
      <c r="E18" s="63" t="s">
        <v>86</v>
      </c>
      <c r="F18" s="60" t="s">
        <v>41</v>
      </c>
      <c r="G18" s="47">
        <v>5</v>
      </c>
      <c r="H18" s="133">
        <f t="shared" si="0"/>
        <v>1.824817518248175E-2</v>
      </c>
      <c r="I18" s="94">
        <v>1</v>
      </c>
      <c r="K18" s="38">
        <v>16</v>
      </c>
      <c r="L18" s="99">
        <v>-153.29999999999998</v>
      </c>
      <c r="N18" s="115" t="s">
        <v>173</v>
      </c>
      <c r="O18" s="125">
        <f t="shared" si="3"/>
        <v>10.354545454545457</v>
      </c>
      <c r="P18" s="119">
        <v>11</v>
      </c>
      <c r="Q18" s="107">
        <v>113.90000000000002</v>
      </c>
    </row>
    <row r="19" spans="1:17" x14ac:dyDescent="0.4">
      <c r="A19" s="55" t="s">
        <v>11</v>
      </c>
      <c r="B19" s="47">
        <v>153</v>
      </c>
      <c r="C19" s="39">
        <f>IF(B$17=0,0,B19/B$17)</f>
        <v>0.55839416058394165</v>
      </c>
      <c r="E19" s="63" t="s">
        <v>80</v>
      </c>
      <c r="F19" s="60" t="s">
        <v>35</v>
      </c>
      <c r="G19" s="47">
        <v>4</v>
      </c>
      <c r="H19" s="133">
        <f t="shared" si="0"/>
        <v>1.4598540145985401E-2</v>
      </c>
      <c r="I19" s="94">
        <v>9</v>
      </c>
      <c r="K19" s="38">
        <v>17</v>
      </c>
      <c r="L19" s="99">
        <v>-161.19999999999999</v>
      </c>
      <c r="N19" s="115" t="s">
        <v>200</v>
      </c>
      <c r="O19" s="125">
        <f t="shared" si="3"/>
        <v>9.3545454545454572</v>
      </c>
      <c r="P19" s="119">
        <v>11</v>
      </c>
      <c r="Q19" s="107">
        <v>102.90000000000002</v>
      </c>
    </row>
    <row r="20" spans="1:17" x14ac:dyDescent="0.4">
      <c r="A20" s="55" t="s">
        <v>13</v>
      </c>
      <c r="B20" s="47">
        <v>151</v>
      </c>
      <c r="C20" s="39">
        <f>IF(B$3=0,0,B20/B$3)</f>
        <v>0.1499503475670308</v>
      </c>
      <c r="E20" s="63" t="s">
        <v>75</v>
      </c>
      <c r="F20" s="60" t="s">
        <v>30</v>
      </c>
      <c r="G20" s="47">
        <v>2</v>
      </c>
      <c r="H20" s="133">
        <f t="shared" si="0"/>
        <v>7.2992700729927005E-3</v>
      </c>
      <c r="I20" s="94">
        <v>2</v>
      </c>
      <c r="K20" s="38">
        <v>18</v>
      </c>
      <c r="L20" s="99">
        <v>-159</v>
      </c>
      <c r="N20" s="115" t="s">
        <v>184</v>
      </c>
      <c r="O20" s="125">
        <f t="shared" si="3"/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76</v>
      </c>
      <c r="F21" s="60" t="s">
        <v>31</v>
      </c>
      <c r="G21" s="47">
        <v>2</v>
      </c>
      <c r="H21" s="133">
        <f t="shared" si="0"/>
        <v>7.2992700729927005E-3</v>
      </c>
      <c r="I21" s="94">
        <v>4</v>
      </c>
      <c r="K21" s="38">
        <v>19</v>
      </c>
      <c r="L21" s="99">
        <v>-235.6</v>
      </c>
      <c r="N21" s="115" t="s">
        <v>129</v>
      </c>
      <c r="O21" s="125">
        <f t="shared" si="3"/>
        <v>-0.1966666666666671</v>
      </c>
      <c r="P21" s="119">
        <v>60</v>
      </c>
      <c r="Q21" s="107">
        <v>-11.800000000000026</v>
      </c>
    </row>
    <row r="22" spans="1:17" x14ac:dyDescent="0.4">
      <c r="A22" s="55" t="s">
        <v>192</v>
      </c>
      <c r="B22" s="47">
        <v>45</v>
      </c>
      <c r="C22" s="135">
        <v>3</v>
      </c>
      <c r="E22" s="63" t="s">
        <v>78</v>
      </c>
      <c r="F22" s="60" t="s">
        <v>33</v>
      </c>
      <c r="G22" s="47">
        <v>2</v>
      </c>
      <c r="H22" s="133">
        <f t="shared" si="0"/>
        <v>7.2992700729927005E-3</v>
      </c>
      <c r="I22" s="94">
        <v>5</v>
      </c>
      <c r="K22" s="38">
        <v>20</v>
      </c>
      <c r="L22" s="99">
        <v>-200.8</v>
      </c>
      <c r="N22" s="115" t="s">
        <v>128</v>
      </c>
      <c r="O22" s="125">
        <f t="shared" si="3"/>
        <v>-0.50909090909090871</v>
      </c>
      <c r="P22" s="119">
        <v>33</v>
      </c>
      <c r="Q22" s="107">
        <v>-16.799999999999986</v>
      </c>
    </row>
    <row r="23" spans="1:17" x14ac:dyDescent="0.4">
      <c r="A23" s="55" t="s">
        <v>5</v>
      </c>
      <c r="B23" s="51">
        <f>IF(B$17=0,0,C23/B$17)</f>
        <v>8750.7299270072999</v>
      </c>
      <c r="C23" s="41">
        <v>2397700</v>
      </c>
      <c r="E23" s="63" t="s">
        <v>91</v>
      </c>
      <c r="F23" s="60" t="s">
        <v>46</v>
      </c>
      <c r="G23" s="47">
        <v>2</v>
      </c>
      <c r="H23" s="133">
        <f t="shared" si="0"/>
        <v>7.2992700729927005E-3</v>
      </c>
      <c r="I23" s="94">
        <v>1</v>
      </c>
      <c r="K23" s="38">
        <v>21</v>
      </c>
      <c r="L23" s="99">
        <v>-188.60000000000002</v>
      </c>
      <c r="N23" s="115" t="s">
        <v>172</v>
      </c>
      <c r="O23" s="125">
        <f t="shared" si="3"/>
        <v>-1.6363636363636371</v>
      </c>
      <c r="P23" s="119">
        <v>33</v>
      </c>
      <c r="Q23" s="107">
        <v>-54.000000000000028</v>
      </c>
    </row>
    <row r="24" spans="1:17" x14ac:dyDescent="0.4">
      <c r="A24" s="57" t="s">
        <v>14</v>
      </c>
      <c r="B24" s="52">
        <f>IF(B$20=0,0,C24/B$20)</f>
        <v>-7062.9139072847684</v>
      </c>
      <c r="C24" s="45">
        <v>-1066500</v>
      </c>
      <c r="E24" s="63" t="s">
        <v>93</v>
      </c>
      <c r="F24" s="60" t="s">
        <v>48</v>
      </c>
      <c r="G24" s="47">
        <v>1</v>
      </c>
      <c r="H24" s="133">
        <f t="shared" si="0"/>
        <v>3.6496350364963502E-3</v>
      </c>
      <c r="I24" s="94">
        <v>4</v>
      </c>
      <c r="K24" s="38">
        <v>22</v>
      </c>
      <c r="L24" s="99">
        <v>-142.60000000000002</v>
      </c>
      <c r="N24" s="115" t="s">
        <v>127</v>
      </c>
      <c r="O24" s="125">
        <f t="shared" si="3"/>
        <v>-21.239215686274516</v>
      </c>
      <c r="P24" s="119">
        <v>51</v>
      </c>
      <c r="Q24" s="107">
        <v>-1083.2000000000003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 t="shared" si="0"/>
        <v>3.6496350364963502E-3</v>
      </c>
      <c r="I25" s="94">
        <v>3</v>
      </c>
      <c r="K25" s="38">
        <v>23</v>
      </c>
      <c r="L25" s="99">
        <v>-145.80000000000001</v>
      </c>
      <c r="N25" s="115" t="s">
        <v>183</v>
      </c>
      <c r="O25" s="125">
        <f t="shared" si="3"/>
        <v>-45.699999999999996</v>
      </c>
      <c r="P25" s="119">
        <v>3</v>
      </c>
      <c r="Q25" s="107">
        <v>-137.1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 t="shared" si="0"/>
        <v>3.6496350364963502E-3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4</v>
      </c>
      <c r="C27" s="42">
        <f>IF(B$3=0,0,B27/B$3)</f>
        <v>3.9721946375372392E-3</v>
      </c>
      <c r="E27" s="63" t="s">
        <v>74</v>
      </c>
      <c r="F27" s="60" t="s">
        <v>29</v>
      </c>
      <c r="G27" s="47">
        <v>0</v>
      </c>
      <c r="H27" s="133">
        <f t="shared" si="0"/>
        <v>0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 t="shared" si="0"/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 t="shared" si="0"/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  <row r="106" spans="11:12" x14ac:dyDescent="0.4">
      <c r="K106" s="38">
        <v>104</v>
      </c>
      <c r="L106" s="99">
        <v>56.899999999999935</v>
      </c>
    </row>
    <row r="107" spans="11:12" x14ac:dyDescent="0.4">
      <c r="K107" s="38">
        <v>105</v>
      </c>
      <c r="L107" s="99">
        <v>-9.6000000000000654</v>
      </c>
    </row>
    <row r="108" spans="11:12" x14ac:dyDescent="0.4">
      <c r="K108" s="38">
        <v>106</v>
      </c>
      <c r="L108" s="99">
        <v>1.4999999999999343</v>
      </c>
    </row>
    <row r="109" spans="11:12" x14ac:dyDescent="0.4">
      <c r="K109" s="38">
        <v>107</v>
      </c>
      <c r="L109" s="99">
        <v>1.2999999999999343</v>
      </c>
    </row>
    <row r="110" spans="11:12" x14ac:dyDescent="0.4">
      <c r="K110" s="38">
        <v>108</v>
      </c>
      <c r="L110" s="99">
        <v>-5.7000000000000659</v>
      </c>
    </row>
    <row r="111" spans="11:12" x14ac:dyDescent="0.4">
      <c r="K111" s="38">
        <v>109</v>
      </c>
      <c r="L111" s="99">
        <v>-6.1000000000000663</v>
      </c>
    </row>
    <row r="112" spans="11:12" x14ac:dyDescent="0.4">
      <c r="K112" s="38">
        <v>110</v>
      </c>
      <c r="L112" s="99">
        <v>-43.800000000000068</v>
      </c>
    </row>
    <row r="113" spans="11:12" x14ac:dyDescent="0.4">
      <c r="K113" s="38">
        <v>111</v>
      </c>
      <c r="L113" s="99">
        <v>-3.6000000000000654</v>
      </c>
    </row>
    <row r="114" spans="11:12" x14ac:dyDescent="0.4">
      <c r="K114" s="38">
        <v>112</v>
      </c>
      <c r="L114" s="99">
        <v>-65.200000000000074</v>
      </c>
    </row>
    <row r="115" spans="11:12" x14ac:dyDescent="0.4">
      <c r="K115" s="38">
        <v>113</v>
      </c>
      <c r="L115" s="99">
        <v>-109.10000000000008</v>
      </c>
    </row>
    <row r="116" spans="11:12" x14ac:dyDescent="0.4">
      <c r="K116" s="38">
        <v>114</v>
      </c>
      <c r="L116" s="99">
        <v>-98.400000000000077</v>
      </c>
    </row>
    <row r="117" spans="11:12" x14ac:dyDescent="0.4">
      <c r="K117" s="38">
        <v>115</v>
      </c>
      <c r="L117" s="99">
        <v>-62.700000000000074</v>
      </c>
    </row>
    <row r="118" spans="11:12" x14ac:dyDescent="0.4">
      <c r="K118" s="38">
        <v>116</v>
      </c>
      <c r="L118" s="99">
        <v>-35.500000000000071</v>
      </c>
    </row>
    <row r="119" spans="11:12" x14ac:dyDescent="0.4">
      <c r="K119" s="38">
        <v>117</v>
      </c>
      <c r="L119" s="99">
        <v>-19.70000000000007</v>
      </c>
    </row>
    <row r="120" spans="11:12" x14ac:dyDescent="0.4">
      <c r="K120" s="38">
        <v>118</v>
      </c>
      <c r="L120" s="99">
        <v>-48.500000000000071</v>
      </c>
    </row>
    <row r="121" spans="11:12" x14ac:dyDescent="0.4">
      <c r="K121" s="38">
        <v>119</v>
      </c>
      <c r="L121" s="99">
        <v>12.699999999999932</v>
      </c>
    </row>
    <row r="122" spans="11:12" x14ac:dyDescent="0.4">
      <c r="K122" s="38">
        <v>120</v>
      </c>
      <c r="L122" s="99">
        <v>15.899999999999931</v>
      </c>
    </row>
    <row r="123" spans="11:12" x14ac:dyDescent="0.4">
      <c r="K123" s="38">
        <v>121</v>
      </c>
      <c r="L123" s="99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76958-EC2A-4AA4-8C29-E17275C6954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 t="shared" ref="H2:H33" si="0"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 t="shared" si="0"/>
        <v>0.6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1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 t="shared" si="0"/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1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 t="shared" si="0"/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1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 t="shared" si="0"/>
        <v>0.4</v>
      </c>
      <c r="I6" s="94">
        <v>1</v>
      </c>
      <c r="N6" s="115" t="s">
        <v>136</v>
      </c>
      <c r="O6" s="122">
        <f t="shared" si="1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 t="shared" ref="C7:C12" si="2">IF(B$2=0,0,B7/B$2)</f>
        <v>0.66666666666666663</v>
      </c>
      <c r="E7" s="63" t="s">
        <v>245</v>
      </c>
      <c r="F7" s="60" t="s">
        <v>246</v>
      </c>
      <c r="G7" s="47">
        <v>2</v>
      </c>
      <c r="H7" s="133">
        <f t="shared" si="0"/>
        <v>0.4</v>
      </c>
      <c r="I7" s="94">
        <v>8</v>
      </c>
      <c r="N7" s="116" t="s">
        <v>137</v>
      </c>
      <c r="O7" s="123">
        <f t="shared" si="1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 t="shared" si="2"/>
        <v>0.33333333333333331</v>
      </c>
      <c r="E8" s="63" t="s">
        <v>69</v>
      </c>
      <c r="F8" s="60" t="s">
        <v>12</v>
      </c>
      <c r="G8" s="47">
        <v>1</v>
      </c>
      <c r="H8" s="133">
        <f t="shared" si="0"/>
        <v>0.2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70</v>
      </c>
      <c r="F9" s="60" t="s">
        <v>25</v>
      </c>
      <c r="G9" s="47">
        <v>1</v>
      </c>
      <c r="H9" s="133">
        <f t="shared" si="0"/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72</v>
      </c>
      <c r="F10" s="60" t="s">
        <v>27</v>
      </c>
      <c r="G10" s="47">
        <v>1</v>
      </c>
      <c r="H10" s="133">
        <f t="shared" si="0"/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87</v>
      </c>
      <c r="F11" s="60" t="s">
        <v>42</v>
      </c>
      <c r="G11" s="47">
        <v>1</v>
      </c>
      <c r="H11" s="133">
        <f t="shared" si="0"/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66</v>
      </c>
      <c r="F12" s="60" t="s">
        <v>22</v>
      </c>
      <c r="G12" s="47">
        <v>0</v>
      </c>
      <c r="H12" s="133">
        <f t="shared" si="0"/>
        <v>0</v>
      </c>
      <c r="I12" s="94">
        <v>14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 t="shared" si="0"/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 t="shared" si="0"/>
        <v>0</v>
      </c>
      <c r="I14" s="94">
        <v>9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 t="shared" si="0"/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 t="shared" si="0"/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 t="shared" si="0"/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 t="shared" si="0"/>
        <v>0</v>
      </c>
      <c r="I18" s="94">
        <v>9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 t="shared" si="0"/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 t="shared" si="0"/>
        <v>0</v>
      </c>
      <c r="I20" s="94">
        <v>12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 t="shared" si="0"/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 t="shared" si="0"/>
        <v>0</v>
      </c>
      <c r="I22" s="94">
        <v>13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 t="shared" si="0"/>
        <v>0</v>
      </c>
      <c r="I24" s="94">
        <v>13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29C0-A6B5-49FF-BD84-ED748973629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43</v>
      </c>
      <c r="H2" s="132">
        <f t="shared" ref="H2:H33" si="0">IF(B$17=0,0,G2/B$17)</f>
        <v>0.86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73</v>
      </c>
      <c r="F3" s="60" t="s">
        <v>28</v>
      </c>
      <c r="G3" s="47">
        <v>30</v>
      </c>
      <c r="H3" s="133">
        <f t="shared" si="0"/>
        <v>0.6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1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65</v>
      </c>
      <c r="F4" s="60" t="s">
        <v>21</v>
      </c>
      <c r="G4" s="47">
        <v>27</v>
      </c>
      <c r="H4" s="133">
        <f t="shared" si="0"/>
        <v>0.54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1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245</v>
      </c>
      <c r="F5" s="60" t="s">
        <v>246</v>
      </c>
      <c r="G5" s="47">
        <v>16</v>
      </c>
      <c r="H5" s="133">
        <f t="shared" si="0"/>
        <v>0.32</v>
      </c>
      <c r="I5" s="94">
        <v>14</v>
      </c>
      <c r="K5" s="38">
        <v>3</v>
      </c>
      <c r="L5" s="99">
        <v>-78.400000000000006</v>
      </c>
      <c r="N5" s="115" t="s">
        <v>135</v>
      </c>
      <c r="O5" s="122">
        <f t="shared" si="1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 t="shared" si="0"/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1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12</v>
      </c>
      <c r="H7" s="133">
        <f t="shared" si="0"/>
        <v>0.24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1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 t="shared" si="2"/>
        <v>0.125</v>
      </c>
      <c r="E8" s="63" t="s">
        <v>70</v>
      </c>
      <c r="F8" s="60" t="s">
        <v>25</v>
      </c>
      <c r="G8" s="47">
        <v>8</v>
      </c>
      <c r="H8" s="133">
        <f t="shared" si="0"/>
        <v>0.16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2"/>
        <v>0.54166666666666663</v>
      </c>
      <c r="E9" s="63" t="s">
        <v>71</v>
      </c>
      <c r="F9" s="60" t="s">
        <v>26</v>
      </c>
      <c r="G9" s="47">
        <v>8</v>
      </c>
      <c r="H9" s="133">
        <f t="shared" si="0"/>
        <v>0.16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 t="shared" si="2"/>
        <v>0.29166666666666669</v>
      </c>
      <c r="E10" s="63" t="s">
        <v>84</v>
      </c>
      <c r="F10" s="60" t="s">
        <v>39</v>
      </c>
      <c r="G10" s="47">
        <v>6</v>
      </c>
      <c r="H10" s="133">
        <f t="shared" si="0"/>
        <v>0.12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 t="shared" si="2"/>
        <v>8.3333333333333329E-2</v>
      </c>
      <c r="E11" s="63" t="s">
        <v>90</v>
      </c>
      <c r="F11" s="60" t="s">
        <v>45</v>
      </c>
      <c r="G11" s="47">
        <v>5</v>
      </c>
      <c r="H11" s="133">
        <f t="shared" si="0"/>
        <v>0.1</v>
      </c>
      <c r="I11" s="94">
        <v>11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 t="shared" si="2"/>
        <v>0.125</v>
      </c>
      <c r="E12" s="63" t="s">
        <v>66</v>
      </c>
      <c r="F12" s="60" t="s">
        <v>22</v>
      </c>
      <c r="G12" s="47">
        <v>4</v>
      </c>
      <c r="H12" s="133">
        <f t="shared" si="0"/>
        <v>0.08</v>
      </c>
      <c r="I12" s="94">
        <v>10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72</v>
      </c>
      <c r="F13" s="60" t="s">
        <v>27</v>
      </c>
      <c r="G13" s="47">
        <v>3</v>
      </c>
      <c r="H13" s="133">
        <f t="shared" si="0"/>
        <v>0.06</v>
      </c>
      <c r="I13" s="94">
        <v>9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80</v>
      </c>
      <c r="F14" s="60" t="s">
        <v>35</v>
      </c>
      <c r="G14" s="47">
        <v>3</v>
      </c>
      <c r="H14" s="133">
        <f t="shared" si="0"/>
        <v>0.06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1</v>
      </c>
      <c r="H15" s="133">
        <f t="shared" si="0"/>
        <v>0.02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 t="shared" ref="O15:O23" si="3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75</v>
      </c>
      <c r="F16" s="60" t="s">
        <v>30</v>
      </c>
      <c r="G16" s="47">
        <v>1</v>
      </c>
      <c r="H16" s="133">
        <f t="shared" si="0"/>
        <v>0.02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 t="shared" si="3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76</v>
      </c>
      <c r="F17" s="60" t="s">
        <v>31</v>
      </c>
      <c r="G17" s="47">
        <v>1</v>
      </c>
      <c r="H17" s="133">
        <f t="shared" si="0"/>
        <v>0.02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 t="shared" si="3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82</v>
      </c>
      <c r="F18" s="60" t="s">
        <v>37</v>
      </c>
      <c r="G18" s="47">
        <v>1</v>
      </c>
      <c r="H18" s="133">
        <f t="shared" si="0"/>
        <v>0.02</v>
      </c>
      <c r="I18" s="94">
        <v>9</v>
      </c>
      <c r="K18" s="38">
        <v>16</v>
      </c>
      <c r="L18" s="99">
        <v>-139.79999999999998</v>
      </c>
      <c r="N18" s="115" t="s">
        <v>171</v>
      </c>
      <c r="O18" s="125">
        <f t="shared" si="3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98</v>
      </c>
      <c r="F19" s="60" t="s">
        <v>53</v>
      </c>
      <c r="G19" s="47">
        <v>1</v>
      </c>
      <c r="H19" s="133">
        <f t="shared" si="0"/>
        <v>0.02</v>
      </c>
      <c r="I19" s="94">
        <v>1</v>
      </c>
      <c r="K19" s="38">
        <v>17</v>
      </c>
      <c r="L19" s="99">
        <v>-203.5</v>
      </c>
      <c r="N19" s="115" t="s">
        <v>128</v>
      </c>
      <c r="O19" s="125">
        <f t="shared" si="3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3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9</v>
      </c>
      <c r="K21" s="38">
        <v>19</v>
      </c>
      <c r="L21" s="99">
        <v>-67.599999999999994</v>
      </c>
      <c r="N21" s="115" t="s">
        <v>172</v>
      </c>
      <c r="O21" s="125">
        <f t="shared" si="3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79</v>
      </c>
      <c r="F22" s="60" t="s">
        <v>34</v>
      </c>
      <c r="G22" s="47">
        <v>0</v>
      </c>
      <c r="H22" s="133">
        <f t="shared" si="0"/>
        <v>0</v>
      </c>
      <c r="I22" s="94">
        <v>12</v>
      </c>
      <c r="K22" s="38">
        <v>20</v>
      </c>
      <c r="L22" s="99">
        <v>-124.1</v>
      </c>
      <c r="N22" s="115" t="s">
        <v>183</v>
      </c>
      <c r="O22" s="125">
        <f t="shared" si="3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-189.2</v>
      </c>
      <c r="N23" s="115" t="s">
        <v>223</v>
      </c>
      <c r="O23" s="125">
        <f t="shared" si="3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 t="shared" si="0"/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6C46-F0D4-4C4E-8EA1-F5B21E442D7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73</v>
      </c>
      <c r="F2" s="59" t="s">
        <v>28</v>
      </c>
      <c r="G2" s="46">
        <v>48</v>
      </c>
      <c r="H2" s="132">
        <f t="shared" ref="H2:H33" si="0">IF(B$17=0,0,G2/B$17)</f>
        <v>0.7384615384615385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67</v>
      </c>
      <c r="F3" s="60" t="s">
        <v>23</v>
      </c>
      <c r="G3" s="47">
        <v>34</v>
      </c>
      <c r="H3" s="133">
        <f t="shared" si="0"/>
        <v>0.52307692307692311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1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65</v>
      </c>
      <c r="F4" s="60" t="s">
        <v>21</v>
      </c>
      <c r="G4" s="47">
        <v>29</v>
      </c>
      <c r="H4" s="133">
        <f t="shared" si="0"/>
        <v>0.44615384615384618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1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69</v>
      </c>
      <c r="F5" s="60" t="s">
        <v>12</v>
      </c>
      <c r="G5" s="47">
        <v>23</v>
      </c>
      <c r="H5" s="133">
        <f t="shared" si="0"/>
        <v>0.35384615384615387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1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245</v>
      </c>
      <c r="F6" s="60" t="s">
        <v>246</v>
      </c>
      <c r="G6" s="47">
        <v>21</v>
      </c>
      <c r="H6" s="133">
        <f t="shared" si="0"/>
        <v>0.32307692307692309</v>
      </c>
      <c r="I6" s="94">
        <v>13</v>
      </c>
      <c r="K6" s="38">
        <v>4</v>
      </c>
      <c r="L6" s="99">
        <v>19.399999999999995</v>
      </c>
      <c r="N6" s="115" t="s">
        <v>136</v>
      </c>
      <c r="O6" s="122">
        <f t="shared" si="1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20</v>
      </c>
      <c r="H7" s="133">
        <f t="shared" si="0"/>
        <v>0.30769230769230771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1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 t="shared" si="2"/>
        <v>0.47619047619047616</v>
      </c>
      <c r="E8" s="63" t="s">
        <v>70</v>
      </c>
      <c r="F8" s="60" t="s">
        <v>25</v>
      </c>
      <c r="G8" s="47">
        <v>10</v>
      </c>
      <c r="H8" s="133">
        <f t="shared" si="0"/>
        <v>0.15384615384615385</v>
      </c>
      <c r="I8" s="94">
        <v>8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2"/>
        <v>0.19047619047619047</v>
      </c>
      <c r="E9" s="63" t="s">
        <v>90</v>
      </c>
      <c r="F9" s="60" t="s">
        <v>45</v>
      </c>
      <c r="G9" s="47">
        <v>10</v>
      </c>
      <c r="H9" s="133">
        <f t="shared" si="0"/>
        <v>0.15384615384615385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 t="shared" si="2"/>
        <v>0.14285714285714285</v>
      </c>
      <c r="E10" s="63" t="s">
        <v>87</v>
      </c>
      <c r="F10" s="60" t="s">
        <v>42</v>
      </c>
      <c r="G10" s="47">
        <v>7</v>
      </c>
      <c r="H10" s="133">
        <f t="shared" si="0"/>
        <v>0.1076923076923077</v>
      </c>
      <c r="I10" s="94">
        <v>3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 t="shared" si="2"/>
        <v>4.7619047619047616E-2</v>
      </c>
      <c r="E11" s="63" t="s">
        <v>66</v>
      </c>
      <c r="F11" s="60" t="s">
        <v>22</v>
      </c>
      <c r="G11" s="47">
        <v>5</v>
      </c>
      <c r="H11" s="133">
        <f t="shared" si="0"/>
        <v>7.6923076923076927E-2</v>
      </c>
      <c r="I11" s="94">
        <v>11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 t="shared" si="2"/>
        <v>9.5238095238095233E-2</v>
      </c>
      <c r="E12" s="63" t="s">
        <v>79</v>
      </c>
      <c r="F12" s="60" t="s">
        <v>34</v>
      </c>
      <c r="G12" s="47">
        <v>4</v>
      </c>
      <c r="H12" s="133">
        <f t="shared" si="0"/>
        <v>6.1538461538461542E-2</v>
      </c>
      <c r="I12" s="94">
        <v>3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71</v>
      </c>
      <c r="F13" s="60" t="s">
        <v>26</v>
      </c>
      <c r="G13" s="47">
        <v>3</v>
      </c>
      <c r="H13" s="133">
        <f t="shared" si="0"/>
        <v>4.6153846153846156E-2</v>
      </c>
      <c r="I13" s="94">
        <v>12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78</v>
      </c>
      <c r="F14" s="60" t="s">
        <v>33</v>
      </c>
      <c r="G14" s="47">
        <v>3</v>
      </c>
      <c r="H14" s="133">
        <f t="shared" si="0"/>
        <v>4.6153846153846156E-2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84</v>
      </c>
      <c r="F15" s="60" t="s">
        <v>39</v>
      </c>
      <c r="G15" s="47">
        <v>3</v>
      </c>
      <c r="H15" s="133">
        <f t="shared" si="0"/>
        <v>4.6153846153846156E-2</v>
      </c>
      <c r="I15" s="94">
        <v>8</v>
      </c>
      <c r="K15" s="38">
        <v>13</v>
      </c>
      <c r="L15" s="99">
        <v>83.299999999999983</v>
      </c>
      <c r="N15" s="114" t="s">
        <v>173</v>
      </c>
      <c r="O15" s="124">
        <f t="shared" ref="O15:O22" si="3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72</v>
      </c>
      <c r="F16" s="60" t="s">
        <v>27</v>
      </c>
      <c r="G16" s="47">
        <v>1</v>
      </c>
      <c r="H16" s="133">
        <f t="shared" si="0"/>
        <v>1.5384615384615385E-2</v>
      </c>
      <c r="I16" s="94">
        <v>12</v>
      </c>
      <c r="K16" s="38">
        <v>14</v>
      </c>
      <c r="L16" s="99">
        <v>114.99999999999999</v>
      </c>
      <c r="N16" s="115" t="s">
        <v>271</v>
      </c>
      <c r="O16" s="125">
        <f t="shared" si="3"/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 t="shared" si="0"/>
        <v>1.5384615384615385E-2</v>
      </c>
      <c r="I17" s="94">
        <v>7</v>
      </c>
      <c r="K17" s="38">
        <v>15</v>
      </c>
      <c r="L17" s="99">
        <v>157.69999999999999</v>
      </c>
      <c r="N17" s="115" t="s">
        <v>172</v>
      </c>
      <c r="O17" s="125">
        <f t="shared" si="3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82</v>
      </c>
      <c r="F18" s="60" t="s">
        <v>37</v>
      </c>
      <c r="G18" s="47">
        <v>1</v>
      </c>
      <c r="H18" s="133">
        <f t="shared" si="0"/>
        <v>1.5384615384615385E-2</v>
      </c>
      <c r="I18" s="94">
        <v>11</v>
      </c>
      <c r="K18" s="38">
        <v>16</v>
      </c>
      <c r="L18" s="99">
        <v>99.6</v>
      </c>
      <c r="N18" s="115" t="s">
        <v>127</v>
      </c>
      <c r="O18" s="125">
        <f t="shared" si="3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9</v>
      </c>
      <c r="K19" s="38">
        <v>17</v>
      </c>
      <c r="L19" s="99">
        <v>112.39999999999999</v>
      </c>
      <c r="N19" s="115" t="s">
        <v>171</v>
      </c>
      <c r="O19" s="125">
        <f t="shared" si="3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7</v>
      </c>
      <c r="K20" s="38">
        <v>18</v>
      </c>
      <c r="L20" s="99">
        <v>45.399999999999991</v>
      </c>
      <c r="N20" s="115" t="s">
        <v>128</v>
      </c>
      <c r="O20" s="125">
        <f t="shared" si="3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9</v>
      </c>
      <c r="K21" s="38">
        <v>19</v>
      </c>
      <c r="L21" s="99">
        <v>94.299999999999983</v>
      </c>
      <c r="N21" s="115" t="s">
        <v>177</v>
      </c>
      <c r="O21" s="125">
        <f t="shared" si="3"/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80.999999999999986</v>
      </c>
      <c r="N22" s="115" t="s">
        <v>129</v>
      </c>
      <c r="O22" s="125">
        <f t="shared" si="3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4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8F9FA-CC13-450A-98C8-368E426C2FB4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 t="shared" ref="H2:H33" si="0"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 t="shared" si="0"/>
        <v>0.5</v>
      </c>
      <c r="I3" s="94">
        <v>7</v>
      </c>
      <c r="K3" s="38">
        <v>1</v>
      </c>
      <c r="L3" s="99">
        <v>13.3</v>
      </c>
      <c r="N3" s="115" t="s">
        <v>133</v>
      </c>
      <c r="O3" s="122">
        <f t="shared" si="1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 t="shared" si="0"/>
        <v>0.5</v>
      </c>
      <c r="I4" s="94">
        <v>1</v>
      </c>
      <c r="N4" s="115" t="s">
        <v>134</v>
      </c>
      <c r="O4" s="122">
        <f t="shared" si="1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 t="shared" si="0"/>
        <v>0.5</v>
      </c>
      <c r="I5" s="94">
        <v>1</v>
      </c>
      <c r="N5" s="115" t="s">
        <v>135</v>
      </c>
      <c r="O5" s="122">
        <f t="shared" si="1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 t="shared" si="0"/>
        <v>0.5</v>
      </c>
      <c r="I6" s="94">
        <v>1</v>
      </c>
      <c r="N6" s="115" t="s">
        <v>136</v>
      </c>
      <c r="O6" s="122">
        <f t="shared" si="1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245</v>
      </c>
      <c r="F7" s="60" t="s">
        <v>246</v>
      </c>
      <c r="G7" s="47">
        <v>1</v>
      </c>
      <c r="H7" s="133">
        <f t="shared" si="0"/>
        <v>0.5</v>
      </c>
      <c r="I7" s="94">
        <v>1</v>
      </c>
      <c r="N7" s="116" t="s">
        <v>137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2"/>
        <v>1</v>
      </c>
      <c r="E8" s="63" t="s">
        <v>66</v>
      </c>
      <c r="F8" s="60" t="s">
        <v>22</v>
      </c>
      <c r="G8" s="47">
        <v>0</v>
      </c>
      <c r="H8" s="133">
        <f t="shared" si="0"/>
        <v>0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70</v>
      </c>
      <c r="F9" s="60" t="s">
        <v>25</v>
      </c>
      <c r="G9" s="47">
        <v>0</v>
      </c>
      <c r="H9" s="133">
        <f t="shared" si="0"/>
        <v>0</v>
      </c>
      <c r="I9" s="94">
        <v>15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71</v>
      </c>
      <c r="F10" s="60" t="s">
        <v>26</v>
      </c>
      <c r="G10" s="47">
        <v>0</v>
      </c>
      <c r="H10" s="133">
        <f t="shared" si="0"/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72</v>
      </c>
      <c r="F11" s="60" t="s">
        <v>27</v>
      </c>
      <c r="G11" s="47">
        <v>0</v>
      </c>
      <c r="H11" s="133">
        <f t="shared" si="0"/>
        <v>0</v>
      </c>
      <c r="I11" s="94">
        <v>13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73</v>
      </c>
      <c r="F12" s="60" t="s">
        <v>28</v>
      </c>
      <c r="G12" s="47">
        <v>0</v>
      </c>
      <c r="H12" s="133">
        <f t="shared" si="0"/>
        <v>0</v>
      </c>
      <c r="I12" s="94">
        <v>15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 t="shared" si="0"/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 t="shared" si="0"/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 t="shared" si="0"/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 t="shared" si="0"/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 t="shared" si="0"/>
        <v>0</v>
      </c>
      <c r="I18" s="94">
        <v>12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 t="shared" si="0"/>
        <v>0</v>
      </c>
      <c r="I19" s="94">
        <v>12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 t="shared" si="0"/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 t="shared" si="0"/>
        <v>0</v>
      </c>
      <c r="I22" s="94">
        <v>13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 t="shared" si="0"/>
        <v>0</v>
      </c>
      <c r="I23" s="94">
        <v>6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 t="shared" si="0"/>
        <v>0</v>
      </c>
      <c r="I24" s="94">
        <v>5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 t="shared" si="0"/>
        <v>0</v>
      </c>
      <c r="I25" s="94">
        <v>13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 t="shared" si="0"/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 t="shared" si="0"/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 t="shared" si="0"/>
        <v>0</v>
      </c>
      <c r="I28" s="94">
        <v>15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4F8F-8C8C-4BFE-8AF6-C386B5B48284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16</v>
      </c>
      <c r="H2" s="132">
        <f t="shared" ref="H2:H33" si="0"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73</v>
      </c>
      <c r="F3" s="60" t="s">
        <v>28</v>
      </c>
      <c r="G3" s="47">
        <v>14</v>
      </c>
      <c r="H3" s="133">
        <f t="shared" si="0"/>
        <v>0.875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1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245</v>
      </c>
      <c r="F4" s="60" t="s">
        <v>246</v>
      </c>
      <c r="G4" s="47">
        <v>6</v>
      </c>
      <c r="H4" s="133">
        <f t="shared" si="0"/>
        <v>0.375</v>
      </c>
      <c r="I4" s="94">
        <v>11</v>
      </c>
      <c r="K4" s="38">
        <v>2</v>
      </c>
      <c r="L4" s="99">
        <v>-24.7</v>
      </c>
      <c r="N4" s="115" t="s">
        <v>134</v>
      </c>
      <c r="O4" s="122">
        <f t="shared" si="1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69</v>
      </c>
      <c r="F5" s="60" t="s">
        <v>12</v>
      </c>
      <c r="G5" s="47">
        <v>5</v>
      </c>
      <c r="H5" s="133">
        <f t="shared" si="0"/>
        <v>0.3125</v>
      </c>
      <c r="I5" s="94">
        <v>7</v>
      </c>
      <c r="K5" s="38">
        <v>3</v>
      </c>
      <c r="L5" s="99">
        <v>14.500000000000004</v>
      </c>
      <c r="N5" s="115" t="s">
        <v>135</v>
      </c>
      <c r="O5" s="122">
        <f t="shared" si="1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65</v>
      </c>
      <c r="F6" s="60" t="s">
        <v>21</v>
      </c>
      <c r="G6" s="47">
        <v>4</v>
      </c>
      <c r="H6" s="133">
        <f t="shared" si="0"/>
        <v>0.25</v>
      </c>
      <c r="I6" s="94">
        <v>15</v>
      </c>
      <c r="K6" s="38">
        <v>4</v>
      </c>
      <c r="L6" s="99">
        <v>-37.200000000000003</v>
      </c>
      <c r="N6" s="115" t="s">
        <v>136</v>
      </c>
      <c r="O6" s="122">
        <f t="shared" si="1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 t="shared" ref="C7:C12" si="2">IF(B$2=0,0,B7/B$2)</f>
        <v>0.5</v>
      </c>
      <c r="E7" s="63" t="s">
        <v>68</v>
      </c>
      <c r="F7" s="60" t="s">
        <v>24</v>
      </c>
      <c r="G7" s="47">
        <v>4</v>
      </c>
      <c r="H7" s="133">
        <f t="shared" si="0"/>
        <v>0.25</v>
      </c>
      <c r="I7" s="94">
        <v>9</v>
      </c>
      <c r="K7" s="38">
        <v>5</v>
      </c>
      <c r="L7" s="99">
        <v>39.899999999999991</v>
      </c>
      <c r="N7" s="116" t="s">
        <v>137</v>
      </c>
      <c r="O7" s="123">
        <f t="shared" si="1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 t="shared" si="2"/>
        <v>0.16666666666666666</v>
      </c>
      <c r="E8" s="63" t="s">
        <v>90</v>
      </c>
      <c r="F8" s="60" t="s">
        <v>45</v>
      </c>
      <c r="G8" s="47">
        <v>3</v>
      </c>
      <c r="H8" s="133">
        <f t="shared" si="0"/>
        <v>0.1875</v>
      </c>
      <c r="I8" s="94">
        <v>2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0.33333333333333331</v>
      </c>
      <c r="E9" s="63" t="s">
        <v>72</v>
      </c>
      <c r="F9" s="60" t="s">
        <v>27</v>
      </c>
      <c r="G9" s="47">
        <v>2</v>
      </c>
      <c r="H9" s="133">
        <f t="shared" si="0"/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180</v>
      </c>
      <c r="F10" s="60" t="s">
        <v>181</v>
      </c>
      <c r="G10" s="47">
        <v>2</v>
      </c>
      <c r="H10" s="133">
        <f t="shared" si="0"/>
        <v>0.125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 t="shared" si="2"/>
        <v>0.33333333333333331</v>
      </c>
      <c r="E11" s="63" t="s">
        <v>66</v>
      </c>
      <c r="F11" s="60" t="s">
        <v>22</v>
      </c>
      <c r="G11" s="47">
        <v>1</v>
      </c>
      <c r="H11" s="133">
        <f t="shared" si="0"/>
        <v>6.25E-2</v>
      </c>
      <c r="I11" s="94">
        <v>13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 t="shared" si="2"/>
        <v>0.16666666666666666</v>
      </c>
      <c r="E12" s="63" t="s">
        <v>70</v>
      </c>
      <c r="F12" s="60" t="s">
        <v>25</v>
      </c>
      <c r="G12" s="47">
        <v>1</v>
      </c>
      <c r="H12" s="133">
        <f t="shared" si="0"/>
        <v>6.25E-2</v>
      </c>
      <c r="I12" s="94">
        <v>14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71</v>
      </c>
      <c r="F13" s="60" t="s">
        <v>26</v>
      </c>
      <c r="G13" s="47">
        <v>1</v>
      </c>
      <c r="H13" s="133">
        <f t="shared" si="0"/>
        <v>6.25E-2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79</v>
      </c>
      <c r="F14" s="60" t="s">
        <v>34</v>
      </c>
      <c r="G14" s="47">
        <v>1</v>
      </c>
      <c r="H14" s="133">
        <f t="shared" si="0"/>
        <v>6.25E-2</v>
      </c>
      <c r="I14" s="94">
        <v>2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80</v>
      </c>
      <c r="F15" s="60" t="s">
        <v>35</v>
      </c>
      <c r="G15" s="47">
        <v>1</v>
      </c>
      <c r="H15" s="133">
        <f t="shared" si="0"/>
        <v>6.25E-2</v>
      </c>
      <c r="I15" s="94">
        <v>1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84</v>
      </c>
      <c r="F16" s="60" t="s">
        <v>39</v>
      </c>
      <c r="G16" s="47">
        <v>1</v>
      </c>
      <c r="H16" s="133">
        <f t="shared" si="0"/>
        <v>6.25E-2</v>
      </c>
      <c r="I16" s="94">
        <v>4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74</v>
      </c>
      <c r="F17" s="60" t="s">
        <v>29</v>
      </c>
      <c r="G17" s="47">
        <v>0</v>
      </c>
      <c r="H17" s="133">
        <f t="shared" si="0"/>
        <v>0</v>
      </c>
      <c r="I17" s="94">
        <v>9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75</v>
      </c>
      <c r="F18" s="60" t="s">
        <v>30</v>
      </c>
      <c r="G18" s="47">
        <v>0</v>
      </c>
      <c r="H18" s="133">
        <f t="shared" si="0"/>
        <v>0</v>
      </c>
      <c r="I18" s="94">
        <v>7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76</v>
      </c>
      <c r="F19" s="60" t="s">
        <v>31</v>
      </c>
      <c r="G19" s="47">
        <v>0</v>
      </c>
      <c r="H19" s="133">
        <f t="shared" si="0"/>
        <v>0</v>
      </c>
      <c r="I19" s="94">
        <v>9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9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82</v>
      </c>
      <c r="F23" s="60" t="s">
        <v>37</v>
      </c>
      <c r="G23" s="47">
        <v>0</v>
      </c>
      <c r="H23" s="133">
        <f t="shared" si="0"/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17" x14ac:dyDescent="0.4">
      <c r="A26" s="58" t="s">
        <v>152</v>
      </c>
      <c r="B26" s="142">
        <v>92100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 t="shared" si="0"/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52" si="3"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3"/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3"/>
        <v>0</v>
      </c>
      <c r="I37" s="94">
        <v>3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3"/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3"/>
        <v>0</v>
      </c>
      <c r="I46" s="94">
        <v>3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3"/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D9E8F-97C1-4402-A340-FA5B06F2B7F8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10</v>
      </c>
      <c r="H2" s="132">
        <f t="shared" ref="H2:H33" si="0">IF(B$17=0,0,G2/B$17)</f>
        <v>0.52631578947368418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-5455.5555555555557</v>
      </c>
      <c r="P2" s="118">
        <v>9</v>
      </c>
      <c r="Q2" s="102">
        <v>-49100</v>
      </c>
    </row>
    <row r="3" spans="1:17" x14ac:dyDescent="0.4">
      <c r="A3" s="55" t="s">
        <v>8</v>
      </c>
      <c r="B3" s="152">
        <v>80</v>
      </c>
      <c r="C3" s="153"/>
      <c r="E3" s="63" t="s">
        <v>67</v>
      </c>
      <c r="F3" s="60" t="s">
        <v>23</v>
      </c>
      <c r="G3" s="47">
        <v>9</v>
      </c>
      <c r="H3" s="133">
        <f t="shared" si="0"/>
        <v>0.47368421052631576</v>
      </c>
      <c r="I3" s="94">
        <v>14</v>
      </c>
      <c r="K3" s="38">
        <v>1</v>
      </c>
      <c r="L3" s="99">
        <v>-43.2</v>
      </c>
      <c r="N3" s="115" t="s">
        <v>133</v>
      </c>
      <c r="O3" s="122">
        <f t="shared" si="1"/>
        <v>-3577.7777777777778</v>
      </c>
      <c r="P3" s="119">
        <v>9</v>
      </c>
      <c r="Q3" s="103">
        <v>-32200</v>
      </c>
    </row>
    <row r="4" spans="1:17" x14ac:dyDescent="0.4">
      <c r="A4" s="55" t="s">
        <v>6</v>
      </c>
      <c r="B4" s="154">
        <v>-292.60000000000002</v>
      </c>
      <c r="C4" s="155"/>
      <c r="E4" s="63" t="s">
        <v>245</v>
      </c>
      <c r="F4" s="60" t="s">
        <v>246</v>
      </c>
      <c r="G4" s="47">
        <v>9</v>
      </c>
      <c r="H4" s="133">
        <f t="shared" si="0"/>
        <v>0.47368421052631576</v>
      </c>
      <c r="I4" s="94">
        <v>2</v>
      </c>
      <c r="K4" s="38">
        <v>2</v>
      </c>
      <c r="L4" s="99">
        <v>-96.5</v>
      </c>
      <c r="N4" s="115" t="s">
        <v>134</v>
      </c>
      <c r="O4" s="122">
        <f t="shared" si="1"/>
        <v>37.5</v>
      </c>
      <c r="P4" s="119">
        <v>8</v>
      </c>
      <c r="Q4" s="103">
        <v>300</v>
      </c>
    </row>
    <row r="5" spans="1:17" x14ac:dyDescent="0.4">
      <c r="A5" s="55" t="s">
        <v>7</v>
      </c>
      <c r="B5" s="156">
        <f>IF(B$2=0,0,B$4/B$2)</f>
        <v>-32.511111111111113</v>
      </c>
      <c r="C5" s="157"/>
      <c r="E5" s="63" t="s">
        <v>73</v>
      </c>
      <c r="F5" s="60" t="s">
        <v>28</v>
      </c>
      <c r="G5" s="47">
        <v>7</v>
      </c>
      <c r="H5" s="133">
        <f t="shared" si="0"/>
        <v>0.36842105263157893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1"/>
        <v>3050</v>
      </c>
      <c r="P5" s="119">
        <v>8</v>
      </c>
      <c r="Q5" s="103">
        <v>24400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5</v>
      </c>
      <c r="H6" s="133">
        <f t="shared" si="0"/>
        <v>0.26315789473684209</v>
      </c>
      <c r="I6" s="94">
        <v>12</v>
      </c>
      <c r="K6" s="38">
        <v>4</v>
      </c>
      <c r="L6" s="99">
        <v>-134.1</v>
      </c>
      <c r="N6" s="115" t="s">
        <v>136</v>
      </c>
      <c r="O6" s="122">
        <f t="shared" si="1"/>
        <v>-3828.5714285714284</v>
      </c>
      <c r="P6" s="119">
        <v>7</v>
      </c>
      <c r="Q6" s="103">
        <v>-26800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87</v>
      </c>
      <c r="F7" s="60" t="s">
        <v>42</v>
      </c>
      <c r="G7" s="47">
        <v>3</v>
      </c>
      <c r="H7" s="133">
        <f t="shared" si="0"/>
        <v>0.15789473684210525</v>
      </c>
      <c r="I7" s="94">
        <v>2</v>
      </c>
      <c r="K7" s="38">
        <v>5</v>
      </c>
      <c r="L7" s="99">
        <v>-152</v>
      </c>
      <c r="N7" s="116" t="s">
        <v>137</v>
      </c>
      <c r="O7" s="123">
        <f t="shared" si="1"/>
        <v>-6450</v>
      </c>
      <c r="P7" s="120">
        <v>6</v>
      </c>
      <c r="Q7" s="104">
        <v>-38700</v>
      </c>
    </row>
    <row r="8" spans="1:17" x14ac:dyDescent="0.4">
      <c r="A8" s="55" t="s">
        <v>3</v>
      </c>
      <c r="B8" s="47">
        <v>3</v>
      </c>
      <c r="C8" s="39">
        <f t="shared" si="2"/>
        <v>0.33333333333333331</v>
      </c>
      <c r="E8" s="63" t="s">
        <v>66</v>
      </c>
      <c r="F8" s="60" t="s">
        <v>22</v>
      </c>
      <c r="G8" s="47">
        <v>2</v>
      </c>
      <c r="H8" s="133">
        <f t="shared" si="0"/>
        <v>0.10526315789473684</v>
      </c>
      <c r="I8" s="94">
        <v>6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2"/>
        <v>0.66666666666666663</v>
      </c>
      <c r="E9" s="63" t="s">
        <v>70</v>
      </c>
      <c r="F9" s="60" t="s">
        <v>25</v>
      </c>
      <c r="G9" s="47">
        <v>2</v>
      </c>
      <c r="H9" s="133">
        <f t="shared" si="0"/>
        <v>0.10526315789473684</v>
      </c>
      <c r="I9" s="94">
        <v>12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2"/>
        <v>0.1111111111111111</v>
      </c>
      <c r="E10" s="63" t="s">
        <v>79</v>
      </c>
      <c r="F10" s="60" t="s">
        <v>34</v>
      </c>
      <c r="G10" s="47">
        <v>2</v>
      </c>
      <c r="H10" s="133">
        <f t="shared" si="0"/>
        <v>0.10526315789473684</v>
      </c>
      <c r="I10" s="94">
        <v>1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68</v>
      </c>
      <c r="F11" s="60" t="s">
        <v>24</v>
      </c>
      <c r="G11" s="47">
        <v>1</v>
      </c>
      <c r="H11" s="133">
        <f t="shared" si="0"/>
        <v>5.2631578947368418E-2</v>
      </c>
      <c r="I11" s="94">
        <v>15</v>
      </c>
      <c r="K11" s="38">
        <v>9</v>
      </c>
      <c r="L11" s="99">
        <v>-292.60000000000002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71</v>
      </c>
      <c r="F12" s="60" t="s">
        <v>26</v>
      </c>
      <c r="G12" s="47">
        <v>1</v>
      </c>
      <c r="H12" s="133">
        <f t="shared" si="0"/>
        <v>5.2631578947368418E-2</v>
      </c>
      <c r="I12" s="94">
        <v>11</v>
      </c>
      <c r="N12" s="116" t="s">
        <v>166</v>
      </c>
      <c r="O12" s="126">
        <f>IF(P12=0,0,Q12/P12)</f>
        <v>-2.8</v>
      </c>
      <c r="P12" s="120">
        <v>1</v>
      </c>
      <c r="Q12" s="108">
        <v>-2.8</v>
      </c>
    </row>
    <row r="13" spans="1:17" x14ac:dyDescent="0.4">
      <c r="A13" s="58" t="s">
        <v>122</v>
      </c>
      <c r="B13" s="50">
        <v>14</v>
      </c>
      <c r="C13" s="44">
        <f>IF(B$3=0,0,B13/B$3)</f>
        <v>0.17499999999999999</v>
      </c>
      <c r="E13" s="63" t="s">
        <v>90</v>
      </c>
      <c r="F13" s="60" t="s">
        <v>45</v>
      </c>
      <c r="G13" s="47">
        <v>1</v>
      </c>
      <c r="H13" s="133">
        <f t="shared" si="0"/>
        <v>5.2631578947368418E-2</v>
      </c>
      <c r="I13" s="94">
        <v>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</v>
      </c>
      <c r="E14" s="63" t="s">
        <v>92</v>
      </c>
      <c r="F14" s="60" t="s">
        <v>47</v>
      </c>
      <c r="G14" s="47">
        <v>1</v>
      </c>
      <c r="H14" s="133">
        <f t="shared" si="0"/>
        <v>5.2631578947368418E-2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0.7142857142857143</v>
      </c>
      <c r="E15" s="63" t="s">
        <v>72</v>
      </c>
      <c r="F15" s="60" t="s">
        <v>27</v>
      </c>
      <c r="G15" s="47">
        <v>0</v>
      </c>
      <c r="H15" s="133">
        <f t="shared" si="0"/>
        <v>0</v>
      </c>
      <c r="I15" s="94">
        <v>13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 t="shared" si="0"/>
        <v>0</v>
      </c>
      <c r="I16" s="94">
        <v>9</v>
      </c>
      <c r="N16" s="115" t="s">
        <v>129</v>
      </c>
      <c r="O16" s="125">
        <f>IF(P16=0,0,Q16/P16)</f>
        <v>-38.15</v>
      </c>
      <c r="P16" s="119">
        <v>6</v>
      </c>
      <c r="Q16" s="107">
        <v>-228.89999999999998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0.23749999999999999</v>
      </c>
      <c r="E17" s="63" t="s">
        <v>75</v>
      </c>
      <c r="F17" s="60" t="s">
        <v>30</v>
      </c>
      <c r="G17" s="47">
        <v>0</v>
      </c>
      <c r="H17" s="133">
        <f t="shared" si="0"/>
        <v>0</v>
      </c>
      <c r="I17" s="94">
        <v>7</v>
      </c>
      <c r="N17" s="115" t="s">
        <v>177</v>
      </c>
      <c r="O17" s="125">
        <f>IF(P17=0,0,Q17/P17)</f>
        <v>-64.680000000000007</v>
      </c>
      <c r="P17" s="119">
        <v>5</v>
      </c>
      <c r="Q17" s="107">
        <v>-323.40000000000003</v>
      </c>
    </row>
    <row r="18" spans="1:17" x14ac:dyDescent="0.4">
      <c r="A18" s="55" t="s">
        <v>12</v>
      </c>
      <c r="B18" s="47">
        <v>8</v>
      </c>
      <c r="C18" s="39">
        <f>IF(B$17=0,0,B18/B$17)</f>
        <v>0.42105263157894735</v>
      </c>
      <c r="E18" s="63" t="s">
        <v>76</v>
      </c>
      <c r="F18" s="60" t="s">
        <v>31</v>
      </c>
      <c r="G18" s="47">
        <v>0</v>
      </c>
      <c r="H18" s="133">
        <f t="shared" si="0"/>
        <v>0</v>
      </c>
      <c r="I18" s="94">
        <v>9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11</v>
      </c>
      <c r="C19" s="39">
        <f>IF(B$17=0,0,B19/B$17)</f>
        <v>0.57894736842105265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</row>
    <row r="20" spans="1:17" x14ac:dyDescent="0.4">
      <c r="A20" s="55" t="s">
        <v>13</v>
      </c>
      <c r="B20" s="47">
        <v>21</v>
      </c>
      <c r="C20" s="39">
        <f>IF(B$3=0,0,B20/B$3)</f>
        <v>0.26250000000000001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9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 t="shared" si="0"/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6821.0526315789475</v>
      </c>
      <c r="C23" s="41">
        <v>129600</v>
      </c>
      <c r="E23" s="63" t="s">
        <v>82</v>
      </c>
      <c r="F23" s="60" t="s">
        <v>37</v>
      </c>
      <c r="G23" s="47">
        <v>0</v>
      </c>
      <c r="H23" s="133">
        <f t="shared" si="0"/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-7042.8571428571431</v>
      </c>
      <c r="C24" s="45">
        <v>-147900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84</v>
      </c>
      <c r="F25" s="60" t="s">
        <v>39</v>
      </c>
      <c r="G25" s="47">
        <v>0</v>
      </c>
      <c r="H25" s="133">
        <f t="shared" si="0"/>
        <v>0</v>
      </c>
      <c r="I25" s="94">
        <v>13</v>
      </c>
    </row>
    <row r="26" spans="1:17" x14ac:dyDescent="0.4">
      <c r="A26" s="58" t="s">
        <v>152</v>
      </c>
      <c r="B26" s="142">
        <v>52800</v>
      </c>
      <c r="C26" s="143"/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6</v>
      </c>
    </row>
    <row r="27" spans="1:17" x14ac:dyDescent="0.4">
      <c r="A27" s="57" t="s">
        <v>143</v>
      </c>
      <c r="B27" s="65">
        <v>1</v>
      </c>
      <c r="C27" s="42">
        <f>IF(B$3=0,0,B27/B$3)</f>
        <v>1.2500000000000001E-2</v>
      </c>
      <c r="E27" s="63" t="s">
        <v>86</v>
      </c>
      <c r="F27" s="60" t="s">
        <v>41</v>
      </c>
      <c r="G27" s="47">
        <v>0</v>
      </c>
      <c r="H27" s="133">
        <f t="shared" si="0"/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C661-62C3-4E8D-8DB0-599A215D6574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301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</v>
      </c>
      <c r="C2" s="151"/>
      <c r="E2" s="62" t="s">
        <v>73</v>
      </c>
      <c r="F2" s="59" t="s">
        <v>28</v>
      </c>
      <c r="G2" s="46">
        <v>7</v>
      </c>
      <c r="H2" s="132">
        <f t="shared" ref="H2:H33" si="0">IF(B$17=0,0,G2/B$17)</f>
        <v>0.7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2675</v>
      </c>
      <c r="P2" s="118">
        <v>4</v>
      </c>
      <c r="Q2" s="102">
        <v>10700</v>
      </c>
    </row>
    <row r="3" spans="1:17" x14ac:dyDescent="0.4">
      <c r="A3" s="55" t="s">
        <v>8</v>
      </c>
      <c r="B3" s="152">
        <v>32</v>
      </c>
      <c r="C3" s="153"/>
      <c r="E3" s="63" t="s">
        <v>65</v>
      </c>
      <c r="F3" s="60" t="s">
        <v>21</v>
      </c>
      <c r="G3" s="47">
        <v>4</v>
      </c>
      <c r="H3" s="133">
        <f t="shared" si="0"/>
        <v>0.4</v>
      </c>
      <c r="I3" s="94">
        <v>13</v>
      </c>
      <c r="K3" s="38">
        <v>1</v>
      </c>
      <c r="L3" s="99">
        <v>-57.7</v>
      </c>
      <c r="N3" s="115" t="s">
        <v>133</v>
      </c>
      <c r="O3" s="122">
        <f t="shared" si="1"/>
        <v>-7300</v>
      </c>
      <c r="P3" s="119">
        <v>4</v>
      </c>
      <c r="Q3" s="103">
        <v>-29200</v>
      </c>
    </row>
    <row r="4" spans="1:17" x14ac:dyDescent="0.4">
      <c r="A4" s="55" t="s">
        <v>6</v>
      </c>
      <c r="B4" s="154">
        <v>-56.2</v>
      </c>
      <c r="C4" s="155"/>
      <c r="E4" s="63" t="s">
        <v>67</v>
      </c>
      <c r="F4" s="60" t="s">
        <v>23</v>
      </c>
      <c r="G4" s="47">
        <v>2</v>
      </c>
      <c r="H4" s="133">
        <f t="shared" si="0"/>
        <v>0.2</v>
      </c>
      <c r="I4" s="94">
        <v>15</v>
      </c>
      <c r="K4" s="38">
        <v>2</v>
      </c>
      <c r="L4" s="99">
        <v>-94.5</v>
      </c>
      <c r="N4" s="115" t="s">
        <v>134</v>
      </c>
      <c r="O4" s="122">
        <f t="shared" si="1"/>
        <v>-100</v>
      </c>
      <c r="P4" s="119">
        <v>4</v>
      </c>
      <c r="Q4" s="103">
        <v>-400</v>
      </c>
    </row>
    <row r="5" spans="1:17" x14ac:dyDescent="0.4">
      <c r="A5" s="55" t="s">
        <v>7</v>
      </c>
      <c r="B5" s="156">
        <f>IF(B$2=0,0,B$4/B$2)</f>
        <v>-14.05</v>
      </c>
      <c r="C5" s="157"/>
      <c r="E5" s="63" t="s">
        <v>245</v>
      </c>
      <c r="F5" s="60" t="s">
        <v>246</v>
      </c>
      <c r="G5" s="47">
        <v>2</v>
      </c>
      <c r="H5" s="133">
        <f t="shared" si="0"/>
        <v>0.2</v>
      </c>
      <c r="I5" s="94">
        <v>15</v>
      </c>
      <c r="K5" s="38">
        <v>3</v>
      </c>
      <c r="L5" s="99">
        <v>-96.4</v>
      </c>
      <c r="N5" s="115" t="s">
        <v>135</v>
      </c>
      <c r="O5" s="122">
        <f t="shared" si="1"/>
        <v>3025</v>
      </c>
      <c r="P5" s="119">
        <v>4</v>
      </c>
      <c r="Q5" s="103">
        <v>12100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66</v>
      </c>
      <c r="F6" s="60" t="s">
        <v>22</v>
      </c>
      <c r="G6" s="47">
        <v>1</v>
      </c>
      <c r="H6" s="133">
        <f t="shared" si="0"/>
        <v>0.1</v>
      </c>
      <c r="I6" s="94">
        <v>8</v>
      </c>
      <c r="K6" s="38">
        <v>4</v>
      </c>
      <c r="L6" s="99">
        <v>-56.2</v>
      </c>
      <c r="N6" s="115" t="s">
        <v>136</v>
      </c>
      <c r="O6" s="122">
        <f t="shared" si="1"/>
        <v>-6000</v>
      </c>
      <c r="P6" s="119">
        <v>3</v>
      </c>
      <c r="Q6" s="103">
        <v>-18000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0.25</v>
      </c>
      <c r="E7" s="63" t="s">
        <v>68</v>
      </c>
      <c r="F7" s="60" t="s">
        <v>24</v>
      </c>
      <c r="G7" s="47">
        <v>1</v>
      </c>
      <c r="H7" s="133">
        <f t="shared" si="0"/>
        <v>0.1</v>
      </c>
      <c r="I7" s="94">
        <v>14</v>
      </c>
      <c r="N7" s="116" t="s">
        <v>137</v>
      </c>
      <c r="O7" s="123">
        <f t="shared" si="1"/>
        <v>-5833.333333333333</v>
      </c>
      <c r="P7" s="120">
        <v>3</v>
      </c>
      <c r="Q7" s="104">
        <v>-17500</v>
      </c>
    </row>
    <row r="8" spans="1:17" x14ac:dyDescent="0.4">
      <c r="A8" s="55" t="s">
        <v>3</v>
      </c>
      <c r="B8" s="47">
        <v>1</v>
      </c>
      <c r="C8" s="39">
        <f t="shared" si="2"/>
        <v>0.25</v>
      </c>
      <c r="E8" s="63" t="s">
        <v>69</v>
      </c>
      <c r="F8" s="60" t="s">
        <v>12</v>
      </c>
      <c r="G8" s="47">
        <v>1</v>
      </c>
      <c r="H8" s="133">
        <f t="shared" si="0"/>
        <v>0.1</v>
      </c>
      <c r="I8" s="94">
        <v>15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0.5</v>
      </c>
      <c r="E9" s="63" t="s">
        <v>70</v>
      </c>
      <c r="F9" s="60" t="s">
        <v>25</v>
      </c>
      <c r="G9" s="47">
        <v>1</v>
      </c>
      <c r="H9" s="133">
        <f t="shared" si="0"/>
        <v>0.1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2"/>
        <v>0.25</v>
      </c>
      <c r="E10" s="63" t="s">
        <v>82</v>
      </c>
      <c r="F10" s="60" t="s">
        <v>37</v>
      </c>
      <c r="G10" s="47">
        <v>1</v>
      </c>
      <c r="H10" s="133">
        <f t="shared" si="0"/>
        <v>0.1</v>
      </c>
      <c r="I10" s="94">
        <v>2</v>
      </c>
      <c r="N10" s="114" t="s">
        <v>164</v>
      </c>
      <c r="O10" s="124">
        <f>IF(P10=0,0,Q10/P10)</f>
        <v>-57.7</v>
      </c>
      <c r="P10" s="118">
        <v>1</v>
      </c>
      <c r="Q10" s="106">
        <v>-57.7</v>
      </c>
    </row>
    <row r="11" spans="1:17" x14ac:dyDescent="0.4">
      <c r="A11" s="56" t="s">
        <v>140</v>
      </c>
      <c r="B11" s="48">
        <v>1</v>
      </c>
      <c r="C11" s="40">
        <f t="shared" si="2"/>
        <v>0.25</v>
      </c>
      <c r="E11" s="63" t="s">
        <v>84</v>
      </c>
      <c r="F11" s="60" t="s">
        <v>39</v>
      </c>
      <c r="G11" s="47">
        <v>1</v>
      </c>
      <c r="H11" s="133">
        <f t="shared" si="0"/>
        <v>0.1</v>
      </c>
      <c r="I11" s="94">
        <v>2</v>
      </c>
      <c r="N11" s="115" t="s">
        <v>165</v>
      </c>
      <c r="O11" s="125">
        <f>IF(P11=0,0,Q11/P11)</f>
        <v>0.50000000000000233</v>
      </c>
      <c r="P11" s="119">
        <v>3</v>
      </c>
      <c r="Q11" s="107">
        <v>1.5000000000000071</v>
      </c>
    </row>
    <row r="12" spans="1:17" x14ac:dyDescent="0.4">
      <c r="A12" s="57" t="s">
        <v>160</v>
      </c>
      <c r="B12" s="49">
        <v>1</v>
      </c>
      <c r="C12" s="42">
        <f t="shared" si="2"/>
        <v>0.25</v>
      </c>
      <c r="E12" s="63" t="s">
        <v>87</v>
      </c>
      <c r="F12" s="60" t="s">
        <v>42</v>
      </c>
      <c r="G12" s="47">
        <v>1</v>
      </c>
      <c r="H12" s="133">
        <f t="shared" si="0"/>
        <v>0.1</v>
      </c>
      <c r="I12" s="94">
        <v>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7</v>
      </c>
      <c r="C13" s="44">
        <f>IF(B$3=0,0,B13/B$3)</f>
        <v>0.21875</v>
      </c>
      <c r="E13" s="63" t="s">
        <v>90</v>
      </c>
      <c r="F13" s="60" t="s">
        <v>45</v>
      </c>
      <c r="G13" s="47">
        <v>1</v>
      </c>
      <c r="H13" s="133">
        <f t="shared" si="0"/>
        <v>0.1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</v>
      </c>
      <c r="C14" s="39">
        <f>IF(B$3=0,0,B14/B$3)</f>
        <v>0.375</v>
      </c>
      <c r="E14" s="63" t="s">
        <v>71</v>
      </c>
      <c r="F14" s="60" t="s">
        <v>26</v>
      </c>
      <c r="G14" s="47">
        <v>0</v>
      </c>
      <c r="H14" s="133">
        <f t="shared" si="0"/>
        <v>0</v>
      </c>
      <c r="I14" s="94">
        <v>13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0.42857142857142855</v>
      </c>
      <c r="E15" s="63" t="s">
        <v>72</v>
      </c>
      <c r="F15" s="60" t="s">
        <v>27</v>
      </c>
      <c r="G15" s="47">
        <v>0</v>
      </c>
      <c r="H15" s="133">
        <f t="shared" si="0"/>
        <v>0</v>
      </c>
      <c r="I15" s="94">
        <v>13</v>
      </c>
      <c r="N15" s="114" t="s">
        <v>129</v>
      </c>
      <c r="O15" s="124">
        <f>IF(P15=0,0,Q15/P15)</f>
        <v>-5.75</v>
      </c>
      <c r="P15" s="118">
        <v>4</v>
      </c>
      <c r="Q15" s="106">
        <v>-23</v>
      </c>
    </row>
    <row r="16" spans="1:17" x14ac:dyDescent="0.4">
      <c r="A16" s="54" t="s">
        <v>125</v>
      </c>
      <c r="B16" s="46">
        <v>3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 t="shared" si="0"/>
        <v>0</v>
      </c>
      <c r="I16" s="94">
        <v>9</v>
      </c>
      <c r="N16" s="115" t="s">
        <v>177</v>
      </c>
      <c r="O16" s="125">
        <f>IF(P16=0,0,Q16/P16)</f>
        <v>-36.400000000000006</v>
      </c>
      <c r="P16" s="119">
        <v>4</v>
      </c>
      <c r="Q16" s="107">
        <v>-145.60000000000002</v>
      </c>
    </row>
    <row r="17" spans="1:9" x14ac:dyDescent="0.4">
      <c r="A17" s="54" t="s">
        <v>10</v>
      </c>
      <c r="B17" s="46">
        <f>B19+B18</f>
        <v>10</v>
      </c>
      <c r="C17" s="37">
        <f>IF(B$3=0,0,B17/B$3)</f>
        <v>0.3125</v>
      </c>
      <c r="E17" s="63" t="s">
        <v>75</v>
      </c>
      <c r="F17" s="60" t="s">
        <v>30</v>
      </c>
      <c r="G17" s="47">
        <v>0</v>
      </c>
      <c r="H17" s="133">
        <f t="shared" si="0"/>
        <v>0</v>
      </c>
      <c r="I17" s="94">
        <v>7</v>
      </c>
    </row>
    <row r="18" spans="1:9" x14ac:dyDescent="0.4">
      <c r="A18" s="55" t="s">
        <v>12</v>
      </c>
      <c r="B18" s="47">
        <v>3</v>
      </c>
      <c r="C18" s="39">
        <f>IF(B$17=0,0,B18/B$17)</f>
        <v>0.3</v>
      </c>
      <c r="E18" s="63" t="s">
        <v>76</v>
      </c>
      <c r="F18" s="60" t="s">
        <v>31</v>
      </c>
      <c r="G18" s="47">
        <v>0</v>
      </c>
      <c r="H18" s="133">
        <f t="shared" si="0"/>
        <v>0</v>
      </c>
      <c r="I18" s="94">
        <v>9</v>
      </c>
    </row>
    <row r="19" spans="1:9" x14ac:dyDescent="0.4">
      <c r="A19" s="55" t="s">
        <v>11</v>
      </c>
      <c r="B19" s="47">
        <v>7</v>
      </c>
      <c r="C19" s="39">
        <f>IF(B$17=0,0,B19/B$17)</f>
        <v>0.7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</row>
    <row r="20" spans="1:9" x14ac:dyDescent="0.4">
      <c r="A20" s="55" t="s">
        <v>13</v>
      </c>
      <c r="B20" s="47">
        <v>5</v>
      </c>
      <c r="C20" s="39">
        <f>IF(B$3=0,0,B20/B$3)</f>
        <v>0.15625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9</v>
      </c>
    </row>
    <row r="21" spans="1:9" x14ac:dyDescent="0.4">
      <c r="A21" s="55" t="s">
        <v>191</v>
      </c>
      <c r="B21" s="47">
        <v>4</v>
      </c>
      <c r="C21" s="135">
        <v>4</v>
      </c>
      <c r="E21" s="63" t="s">
        <v>79</v>
      </c>
      <c r="F21" s="60" t="s">
        <v>34</v>
      </c>
      <c r="G21" s="47">
        <v>0</v>
      </c>
      <c r="H21" s="133">
        <f t="shared" si="0"/>
        <v>0</v>
      </c>
      <c r="I21" s="94">
        <v>12</v>
      </c>
    </row>
    <row r="22" spans="1:9" x14ac:dyDescent="0.4">
      <c r="A22" s="55" t="s">
        <v>192</v>
      </c>
      <c r="B22" s="47">
        <v>12</v>
      </c>
      <c r="C22" s="135">
        <v>12</v>
      </c>
      <c r="E22" s="63" t="s">
        <v>80</v>
      </c>
      <c r="F22" s="60" t="s">
        <v>35</v>
      </c>
      <c r="G22" s="47">
        <v>0</v>
      </c>
      <c r="H22" s="133">
        <f t="shared" si="0"/>
        <v>0</v>
      </c>
      <c r="I22" s="94">
        <v>12</v>
      </c>
    </row>
    <row r="23" spans="1:9" x14ac:dyDescent="0.4">
      <c r="A23" s="55" t="s">
        <v>5</v>
      </c>
      <c r="B23" s="51">
        <f>IF(B$17=0,0,C23/B$17)</f>
        <v>4940</v>
      </c>
      <c r="C23" s="41">
        <v>49400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-11280</v>
      </c>
      <c r="C24" s="45">
        <v>-56400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9" x14ac:dyDescent="0.4">
      <c r="A25" s="90" t="s">
        <v>142</v>
      </c>
      <c r="B25" s="144">
        <v>2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9" x14ac:dyDescent="0.4">
      <c r="A26" s="58" t="s">
        <v>152</v>
      </c>
      <c r="B26" s="142">
        <v>55200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7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4860F-BC67-4FAB-8315-11C485EEFE68}">
  <sheetPr codeName="Sheet35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301</v>
      </c>
      <c r="B1" s="70" t="s">
        <v>301</v>
      </c>
      <c r="C1" s="70" t="s">
        <v>301</v>
      </c>
      <c r="D1" s="71" t="s">
        <v>301</v>
      </c>
      <c r="E1" s="70" t="s">
        <v>301</v>
      </c>
      <c r="F1" s="70" t="s">
        <v>301</v>
      </c>
      <c r="G1" s="70" t="s">
        <v>301</v>
      </c>
      <c r="H1" s="70" t="s">
        <v>301</v>
      </c>
      <c r="I1" s="70" t="s">
        <v>301</v>
      </c>
      <c r="J1" s="70" t="s">
        <v>301</v>
      </c>
      <c r="K1" s="70" t="s">
        <v>301</v>
      </c>
      <c r="L1" s="70" t="s">
        <v>301</v>
      </c>
      <c r="M1" s="70" t="s">
        <v>301</v>
      </c>
      <c r="N1" s="70" t="s">
        <v>301</v>
      </c>
      <c r="O1" s="70" t="s">
        <v>301</v>
      </c>
      <c r="P1" s="70" t="s">
        <v>301</v>
      </c>
      <c r="Q1" s="70" t="s">
        <v>301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-57.7</v>
      </c>
      <c r="C4" s="66">
        <v>-57.7</v>
      </c>
      <c r="D4" s="71">
        <v>3</v>
      </c>
      <c r="E4" s="67">
        <v>0</v>
      </c>
      <c r="F4" s="67">
        <v>1</v>
      </c>
      <c r="G4" s="67">
        <v>0.27272727272727271</v>
      </c>
      <c r="H4" s="67">
        <v>0.36363636363636365</v>
      </c>
      <c r="I4" s="68">
        <v>4566.666666666667</v>
      </c>
      <c r="J4" s="68">
        <v>-11100</v>
      </c>
      <c r="K4" s="67">
        <v>1</v>
      </c>
      <c r="L4" s="67">
        <v>0</v>
      </c>
      <c r="M4" s="67">
        <v>0.18181818181818182</v>
      </c>
      <c r="N4" s="67">
        <v>0.27272727272727271</v>
      </c>
      <c r="O4" s="67">
        <v>0.5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-94.5</v>
      </c>
      <c r="C5" s="66">
        <v>-47.25</v>
      </c>
      <c r="D5" s="71">
        <v>3</v>
      </c>
      <c r="E5" s="67">
        <v>0</v>
      </c>
      <c r="F5" s="67">
        <v>1</v>
      </c>
      <c r="G5" s="67">
        <v>0.17647058823529413</v>
      </c>
      <c r="H5" s="67">
        <v>0.23529411764705882</v>
      </c>
      <c r="I5" s="68">
        <v>4566.666666666667</v>
      </c>
      <c r="J5" s="68">
        <v>-11100</v>
      </c>
      <c r="K5" s="67">
        <v>0.5</v>
      </c>
      <c r="L5" s="67">
        <v>0</v>
      </c>
      <c r="M5" s="67">
        <v>0.23529411764705882</v>
      </c>
      <c r="N5" s="67">
        <v>0.35294117647058826</v>
      </c>
      <c r="O5" s="67">
        <v>0.25</v>
      </c>
      <c r="P5" s="67">
        <v>0</v>
      </c>
      <c r="Q5" s="67">
        <v>0.33333333333333331</v>
      </c>
    </row>
    <row r="6" spans="1:17" x14ac:dyDescent="0.4">
      <c r="A6" s="69">
        <v>3</v>
      </c>
      <c r="B6" s="66">
        <v>-96.4</v>
      </c>
      <c r="C6" s="66">
        <v>-32.133333333333333</v>
      </c>
      <c r="D6" s="71">
        <v>2.6666666666666665</v>
      </c>
      <c r="E6" s="67">
        <v>0</v>
      </c>
      <c r="F6" s="67">
        <v>0.66666666666666663</v>
      </c>
      <c r="G6" s="67">
        <v>0.24</v>
      </c>
      <c r="H6" s="67">
        <v>0.2</v>
      </c>
      <c r="I6" s="68">
        <v>5616.666666666667</v>
      </c>
      <c r="J6" s="68">
        <v>-11280</v>
      </c>
      <c r="K6" s="67">
        <v>0.33333333333333331</v>
      </c>
      <c r="L6" s="67">
        <v>0</v>
      </c>
      <c r="M6" s="67">
        <v>0.24</v>
      </c>
      <c r="N6" s="67">
        <v>0.36</v>
      </c>
      <c r="O6" s="67">
        <v>0.5</v>
      </c>
      <c r="P6" s="67">
        <v>0.1111111111111111</v>
      </c>
      <c r="Q6" s="67">
        <v>0.33333333333333331</v>
      </c>
    </row>
    <row r="7" spans="1:17" x14ac:dyDescent="0.4">
      <c r="A7" s="69">
        <v>4</v>
      </c>
      <c r="B7" s="66">
        <v>-56.2</v>
      </c>
      <c r="C7" s="66">
        <v>-14.05</v>
      </c>
      <c r="D7" s="71">
        <v>2.25</v>
      </c>
      <c r="E7" s="67">
        <v>0.25</v>
      </c>
      <c r="F7" s="67">
        <v>0.5</v>
      </c>
      <c r="G7" s="67">
        <v>0.3125</v>
      </c>
      <c r="H7" s="67">
        <v>0.15625</v>
      </c>
      <c r="I7" s="68">
        <v>4940</v>
      </c>
      <c r="J7" s="68">
        <v>-11280</v>
      </c>
      <c r="K7" s="67">
        <v>0.25</v>
      </c>
      <c r="L7" s="67">
        <v>0.25</v>
      </c>
      <c r="M7" s="67">
        <v>0.21875</v>
      </c>
      <c r="N7" s="67">
        <v>0.375</v>
      </c>
      <c r="O7" s="67">
        <v>0.42857142857142855</v>
      </c>
      <c r="P7" s="67">
        <v>0.25</v>
      </c>
      <c r="Q7" s="67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40799-FC5C-4FE2-B91C-CA2574E3268C}">
  <sheetPr codeName="Sheet33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  <row r="12" spans="1:17" x14ac:dyDescent="0.4">
      <c r="A12" s="69">
        <v>9</v>
      </c>
      <c r="B12" s="66">
        <v>-292.60000000000002</v>
      </c>
      <c r="C12" s="66">
        <v>-32.511111111111113</v>
      </c>
      <c r="D12" s="71">
        <v>2.6666666666666665</v>
      </c>
      <c r="E12" s="67">
        <v>0</v>
      </c>
      <c r="F12" s="67">
        <v>0.66666666666666663</v>
      </c>
      <c r="G12" s="67">
        <v>0.23749999999999999</v>
      </c>
      <c r="H12" s="67">
        <v>0.26250000000000001</v>
      </c>
      <c r="I12" s="68">
        <v>6821.0526315789475</v>
      </c>
      <c r="J12" s="68">
        <v>-7042.8571428571431</v>
      </c>
      <c r="K12" s="67">
        <v>0.1111111111111111</v>
      </c>
      <c r="L12" s="67">
        <v>0</v>
      </c>
      <c r="M12" s="67">
        <v>0.17499999999999999</v>
      </c>
      <c r="N12" s="67">
        <v>0.3</v>
      </c>
      <c r="O12" s="67">
        <v>0.7142857142857143</v>
      </c>
      <c r="P12" s="67">
        <v>0.25</v>
      </c>
      <c r="Q12" s="67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2B2EF-74EA-4908-84BD-D4C65E1A1FF5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2BFF5-D1A0-42E2-9EEF-47ADC4CEAD7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30BFF-CD55-45A7-87BD-2C726C440E8E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6FB59-6861-4349-8608-00DBD96B4F33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294E5-B5A3-4B85-8B7C-66A32284B101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0FAA7-DC64-4343-B058-354208E9F3F8}">
  <sheetPr codeName="Sheet2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  <row r="107" spans="1:17" x14ac:dyDescent="0.4">
      <c r="A107" s="69">
        <v>104</v>
      </c>
      <c r="B107" s="66">
        <v>56.899999999999935</v>
      </c>
      <c r="C107" s="66">
        <v>0.547115384615384</v>
      </c>
      <c r="D107" s="71">
        <v>1.9807692307692308</v>
      </c>
      <c r="E107" s="67">
        <v>0.33653846153846156</v>
      </c>
      <c r="F107" s="67">
        <v>0.31730769230769229</v>
      </c>
      <c r="G107" s="67">
        <v>0.27336448598130841</v>
      </c>
      <c r="H107" s="67">
        <v>0.14836448598130841</v>
      </c>
      <c r="I107" s="68">
        <v>8729.9145299145293</v>
      </c>
      <c r="J107" s="68">
        <v>-7113.3858267716532</v>
      </c>
      <c r="K107" s="67">
        <v>0.125</v>
      </c>
      <c r="L107" s="67">
        <v>0.10576923076923077</v>
      </c>
      <c r="M107" s="67">
        <v>0.27336448598130841</v>
      </c>
      <c r="N107" s="67">
        <v>0.18457943925233644</v>
      </c>
      <c r="O107" s="67">
        <v>0.61111111111111116</v>
      </c>
      <c r="P107" s="67">
        <v>0.34177215189873417</v>
      </c>
      <c r="Q107" s="67">
        <v>0.45726495726495725</v>
      </c>
    </row>
    <row r="108" spans="1:17" x14ac:dyDescent="0.4">
      <c r="A108" s="69">
        <v>105</v>
      </c>
      <c r="B108" s="66">
        <v>-9.6000000000000654</v>
      </c>
      <c r="C108" s="66">
        <v>-9.1428571428572053E-2</v>
      </c>
      <c r="D108" s="71">
        <v>1.9904761904761905</v>
      </c>
      <c r="E108" s="67">
        <v>0.33333333333333331</v>
      </c>
      <c r="F108" s="67">
        <v>0.32380952380952382</v>
      </c>
      <c r="G108" s="67">
        <v>0.27293844367015097</v>
      </c>
      <c r="H108" s="67">
        <v>0.15098722415795587</v>
      </c>
      <c r="I108" s="68">
        <v>8705.5319148936178</v>
      </c>
      <c r="J108" s="68">
        <v>-7287.6923076923076</v>
      </c>
      <c r="K108" s="67">
        <v>0.13333333333333333</v>
      </c>
      <c r="L108" s="67">
        <v>0.10476190476190476</v>
      </c>
      <c r="M108" s="67">
        <v>0.27177700348432055</v>
      </c>
      <c r="N108" s="67">
        <v>0.18466898954703834</v>
      </c>
      <c r="O108" s="67">
        <v>0.61111111111111116</v>
      </c>
      <c r="P108" s="67">
        <v>0.34591194968553457</v>
      </c>
      <c r="Q108" s="67">
        <v>0.45957446808510638</v>
      </c>
    </row>
    <row r="109" spans="1:17" x14ac:dyDescent="0.4">
      <c r="A109" s="69">
        <v>106</v>
      </c>
      <c r="B109" s="66">
        <v>1.4999999999999343</v>
      </c>
      <c r="C109" s="66">
        <v>1.4150943396225794E-2</v>
      </c>
      <c r="D109" s="71">
        <v>1.9905660377358489</v>
      </c>
      <c r="E109" s="67">
        <v>0.330188679245283</v>
      </c>
      <c r="F109" s="67">
        <v>0.32075471698113206</v>
      </c>
      <c r="G109" s="67">
        <v>0.27304147465437789</v>
      </c>
      <c r="H109" s="67">
        <v>0.15092165898617513</v>
      </c>
      <c r="I109" s="68">
        <v>8733.3333333333339</v>
      </c>
      <c r="J109" s="68">
        <v>-7251.9083969465646</v>
      </c>
      <c r="K109" s="67">
        <v>0.13207547169811321</v>
      </c>
      <c r="L109" s="67">
        <v>0.10377358490566038</v>
      </c>
      <c r="M109" s="67">
        <v>0.27188940092165897</v>
      </c>
      <c r="N109" s="67">
        <v>0.18317972350230416</v>
      </c>
      <c r="O109" s="67">
        <v>0.61016949152542377</v>
      </c>
      <c r="P109" s="67">
        <v>0.34591194968553457</v>
      </c>
      <c r="Q109" s="67">
        <v>0.46413502109704641</v>
      </c>
    </row>
    <row r="110" spans="1:17" x14ac:dyDescent="0.4">
      <c r="A110" s="69">
        <v>107</v>
      </c>
      <c r="B110" s="66">
        <v>1.2999999999999343</v>
      </c>
      <c r="C110" s="66">
        <v>1.214953271027976E-2</v>
      </c>
      <c r="D110" s="71">
        <v>1.9906542056074767</v>
      </c>
      <c r="E110" s="67">
        <v>0.32710280373831774</v>
      </c>
      <c r="F110" s="67">
        <v>0.31775700934579437</v>
      </c>
      <c r="G110" s="67">
        <v>0.27324263038548752</v>
      </c>
      <c r="H110" s="67">
        <v>0.15192743764172337</v>
      </c>
      <c r="I110" s="68">
        <v>8734.8547717842321</v>
      </c>
      <c r="J110" s="68">
        <v>-7208.9552238805973</v>
      </c>
      <c r="K110" s="67">
        <v>0.13084112149532709</v>
      </c>
      <c r="L110" s="67">
        <v>0.10280373831775701</v>
      </c>
      <c r="M110" s="67">
        <v>0.27324263038548752</v>
      </c>
      <c r="N110" s="67">
        <v>0.18367346938775511</v>
      </c>
      <c r="O110" s="67">
        <v>0.60580912863070535</v>
      </c>
      <c r="P110" s="67">
        <v>0.35185185185185186</v>
      </c>
      <c r="Q110" s="67">
        <v>0.46058091286307051</v>
      </c>
    </row>
    <row r="111" spans="1:17" x14ac:dyDescent="0.4">
      <c r="A111" s="69">
        <v>108</v>
      </c>
      <c r="B111" s="66">
        <v>-5.7000000000000659</v>
      </c>
      <c r="C111" s="66">
        <v>-5.2777777777778388E-2</v>
      </c>
      <c r="D111" s="71">
        <v>1.9907407407407407</v>
      </c>
      <c r="E111" s="67">
        <v>0.32407407407407407</v>
      </c>
      <c r="F111" s="67">
        <v>0.31481481481481483</v>
      </c>
      <c r="G111" s="67">
        <v>0.27130044843049328</v>
      </c>
      <c r="H111" s="67">
        <v>0.15022421524663676</v>
      </c>
      <c r="I111" s="68">
        <v>8748.3471074380159</v>
      </c>
      <c r="J111" s="68">
        <v>-7208.9552238805973</v>
      </c>
      <c r="K111" s="67">
        <v>0.12962962962962962</v>
      </c>
      <c r="L111" s="67">
        <v>0.10185185185185185</v>
      </c>
      <c r="M111" s="67">
        <v>0.273542600896861</v>
      </c>
      <c r="N111" s="67">
        <v>0.18273542600896861</v>
      </c>
      <c r="O111" s="67">
        <v>0.60245901639344257</v>
      </c>
      <c r="P111" s="67">
        <v>0.34969325153374231</v>
      </c>
      <c r="Q111" s="67">
        <v>0.45867768595041325</v>
      </c>
    </row>
    <row r="112" spans="1:17" x14ac:dyDescent="0.4">
      <c r="A112" s="69">
        <v>109</v>
      </c>
      <c r="B112" s="66">
        <v>-6.1000000000000663</v>
      </c>
      <c r="C112" s="66">
        <v>-5.5963302752294185E-2</v>
      </c>
      <c r="D112" s="71">
        <v>1.9908256880733946</v>
      </c>
      <c r="E112" s="67">
        <v>0.32110091743119268</v>
      </c>
      <c r="F112" s="67">
        <v>0.31192660550458717</v>
      </c>
      <c r="G112" s="67">
        <v>0.27081021087680357</v>
      </c>
      <c r="H112" s="67">
        <v>0.15094339622641509</v>
      </c>
      <c r="I112" s="68">
        <v>8807.7868852459014</v>
      </c>
      <c r="J112" s="68">
        <v>-7219.8529411764703</v>
      </c>
      <c r="K112" s="67">
        <v>0.12844036697247707</v>
      </c>
      <c r="L112" s="67">
        <v>0.10091743119266056</v>
      </c>
      <c r="M112" s="67">
        <v>0.27192008879023305</v>
      </c>
      <c r="N112" s="67">
        <v>0.18201997780244172</v>
      </c>
      <c r="O112" s="67">
        <v>0.60408163265306125</v>
      </c>
      <c r="P112" s="67">
        <v>0.34756097560975607</v>
      </c>
      <c r="Q112" s="67">
        <v>0.45901639344262296</v>
      </c>
    </row>
    <row r="113" spans="1:17" x14ac:dyDescent="0.4">
      <c r="A113" s="69">
        <v>110</v>
      </c>
      <c r="B113" s="66">
        <v>-43.800000000000068</v>
      </c>
      <c r="C113" s="66">
        <v>-0.3981818181818188</v>
      </c>
      <c r="D113" s="71">
        <v>2</v>
      </c>
      <c r="E113" s="67">
        <v>0.31818181818181818</v>
      </c>
      <c r="F113" s="67">
        <v>0.31818181818181818</v>
      </c>
      <c r="G113" s="67">
        <v>0.27012127894156562</v>
      </c>
      <c r="H113" s="67">
        <v>0.15104740904079383</v>
      </c>
      <c r="I113" s="68">
        <v>8793.0612244897966</v>
      </c>
      <c r="J113" s="68">
        <v>-7205.1094890510949</v>
      </c>
      <c r="K113" s="67">
        <v>0.12727272727272726</v>
      </c>
      <c r="L113" s="67">
        <v>0.1</v>
      </c>
      <c r="M113" s="67">
        <v>0.27012127894156562</v>
      </c>
      <c r="N113" s="67">
        <v>0.18412348401323042</v>
      </c>
      <c r="O113" s="67">
        <v>0.60408163265306125</v>
      </c>
      <c r="P113" s="67">
        <v>0.3413173652694611</v>
      </c>
      <c r="Q113" s="67">
        <v>0.45714285714285713</v>
      </c>
    </row>
    <row r="114" spans="1:17" x14ac:dyDescent="0.4">
      <c r="A114" s="69">
        <v>111</v>
      </c>
      <c r="B114" s="66">
        <v>-3.6000000000000654</v>
      </c>
      <c r="C114" s="66">
        <v>-3.2432432432433024E-2</v>
      </c>
      <c r="D114" s="71">
        <v>1.9909909909909911</v>
      </c>
      <c r="E114" s="67">
        <v>0.32432432432432434</v>
      </c>
      <c r="F114" s="67">
        <v>0.31531531531531531</v>
      </c>
      <c r="G114" s="67">
        <v>0.2735229759299781</v>
      </c>
      <c r="H114" s="67">
        <v>0.14989059080962802</v>
      </c>
      <c r="I114" s="68">
        <v>8717.2000000000007</v>
      </c>
      <c r="J114" s="68">
        <v>-7205.1094890510949</v>
      </c>
      <c r="K114" s="67">
        <v>0.12612612612612611</v>
      </c>
      <c r="L114" s="67">
        <v>9.90990990990991E-2</v>
      </c>
      <c r="M114" s="67">
        <v>0.26805251641137856</v>
      </c>
      <c r="N114" s="67">
        <v>0.18927789934354486</v>
      </c>
      <c r="O114" s="67">
        <v>0.60408163265306125</v>
      </c>
      <c r="P114" s="67">
        <v>0.3583815028901734</v>
      </c>
      <c r="Q114" s="67">
        <v>0.45600000000000002</v>
      </c>
    </row>
    <row r="115" spans="1:17" x14ac:dyDescent="0.4">
      <c r="A115" s="69">
        <v>112</v>
      </c>
      <c r="B115" s="66">
        <v>-65.200000000000074</v>
      </c>
      <c r="C115" s="66">
        <v>-0.58214285714285785</v>
      </c>
      <c r="D115" s="71">
        <v>2</v>
      </c>
      <c r="E115" s="67">
        <v>0.32142857142857145</v>
      </c>
      <c r="F115" s="67">
        <v>0.32142857142857145</v>
      </c>
      <c r="G115" s="67">
        <v>0.27114967462039047</v>
      </c>
      <c r="H115" s="67">
        <v>0.15292841648590022</v>
      </c>
      <c r="I115" s="68">
        <v>8717.2000000000007</v>
      </c>
      <c r="J115" s="68">
        <v>-7217.7304964539007</v>
      </c>
      <c r="K115" s="67">
        <v>0.13392857142857142</v>
      </c>
      <c r="L115" s="67">
        <v>9.8214285714285712E-2</v>
      </c>
      <c r="M115" s="67">
        <v>0.26789587852494579</v>
      </c>
      <c r="N115" s="67">
        <v>0.18872017353579176</v>
      </c>
      <c r="O115" s="67">
        <v>0.59919028340080971</v>
      </c>
      <c r="P115" s="67">
        <v>0.35632183908045978</v>
      </c>
      <c r="Q115" s="67">
        <v>0.45600000000000002</v>
      </c>
    </row>
    <row r="116" spans="1:17" x14ac:dyDescent="0.4">
      <c r="A116" s="69">
        <v>113</v>
      </c>
      <c r="B116" s="66">
        <v>-109.10000000000008</v>
      </c>
      <c r="C116" s="66">
        <v>-0.96548672566371752</v>
      </c>
      <c r="D116" s="71">
        <v>2.0088495575221237</v>
      </c>
      <c r="E116" s="67">
        <v>0.31858407079646017</v>
      </c>
      <c r="F116" s="67">
        <v>0.32743362831858408</v>
      </c>
      <c r="G116" s="67">
        <v>0.27058823529411763</v>
      </c>
      <c r="H116" s="67">
        <v>0.15187165775401071</v>
      </c>
      <c r="I116" s="68">
        <v>8655.3359683794461</v>
      </c>
      <c r="J116" s="68">
        <v>-7200.7042253521131</v>
      </c>
      <c r="K116" s="67">
        <v>0.13274336283185842</v>
      </c>
      <c r="L116" s="67">
        <v>9.7345132743362831E-2</v>
      </c>
      <c r="M116" s="67">
        <v>0.26631016042780747</v>
      </c>
      <c r="N116" s="67">
        <v>0.19251336898395721</v>
      </c>
      <c r="O116" s="67">
        <v>0.59839357429718876</v>
      </c>
      <c r="P116" s="67">
        <v>0.35555555555555557</v>
      </c>
      <c r="Q116" s="67">
        <v>0.45059288537549408</v>
      </c>
    </row>
    <row r="117" spans="1:17" x14ac:dyDescent="0.4">
      <c r="A117" s="69">
        <v>114</v>
      </c>
      <c r="B117" s="66">
        <v>-98.400000000000077</v>
      </c>
      <c r="C117" s="66">
        <v>-0.86315789473684279</v>
      </c>
      <c r="D117" s="71">
        <v>2.0087719298245612</v>
      </c>
      <c r="E117" s="67">
        <v>0.31578947368421051</v>
      </c>
      <c r="F117" s="67">
        <v>0.32456140350877194</v>
      </c>
      <c r="G117" s="67">
        <v>0.27061310782241016</v>
      </c>
      <c r="H117" s="67">
        <v>0.15221987315010571</v>
      </c>
      <c r="I117" s="68">
        <v>8657.03125</v>
      </c>
      <c r="J117" s="68">
        <v>-7183.333333333333</v>
      </c>
      <c r="K117" s="67">
        <v>0.13157894736842105</v>
      </c>
      <c r="L117" s="67">
        <v>9.6491228070175433E-2</v>
      </c>
      <c r="M117" s="67">
        <v>0.26532769556025371</v>
      </c>
      <c r="N117" s="67">
        <v>0.193446088794926</v>
      </c>
      <c r="O117" s="67">
        <v>0.60159362549800799</v>
      </c>
      <c r="P117" s="67">
        <v>0.3551912568306011</v>
      </c>
      <c r="Q117" s="67">
        <v>0.4453125</v>
      </c>
    </row>
    <row r="118" spans="1:17" x14ac:dyDescent="0.4">
      <c r="A118" s="69">
        <v>115</v>
      </c>
      <c r="B118" s="66">
        <v>-62.700000000000074</v>
      </c>
      <c r="C118" s="66">
        <v>-0.54521739130434843</v>
      </c>
      <c r="D118" s="71">
        <v>2</v>
      </c>
      <c r="E118" s="67">
        <v>0.32173913043478258</v>
      </c>
      <c r="F118" s="67">
        <v>0.32173913043478258</v>
      </c>
      <c r="G118" s="67">
        <v>0.27205882352941174</v>
      </c>
      <c r="H118" s="67">
        <v>0.15126050420168066</v>
      </c>
      <c r="I118" s="68">
        <v>8636.6795366795359</v>
      </c>
      <c r="J118" s="68">
        <v>-7183.333333333333</v>
      </c>
      <c r="K118" s="67">
        <v>0.13043478260869565</v>
      </c>
      <c r="L118" s="67">
        <v>9.5652173913043481E-2</v>
      </c>
      <c r="M118" s="67">
        <v>0.2657563025210084</v>
      </c>
      <c r="N118" s="67">
        <v>0.19222689075630253</v>
      </c>
      <c r="O118" s="67">
        <v>0.60474308300395252</v>
      </c>
      <c r="P118" s="67">
        <v>0.3551912568306011</v>
      </c>
      <c r="Q118" s="67">
        <v>0.44787644787644787</v>
      </c>
    </row>
    <row r="119" spans="1:17" x14ac:dyDescent="0.4">
      <c r="A119" s="69">
        <v>116</v>
      </c>
      <c r="B119" s="66">
        <v>-35.500000000000071</v>
      </c>
      <c r="C119" s="66">
        <v>-0.30603448275862133</v>
      </c>
      <c r="D119" s="71">
        <v>1.9913793103448276</v>
      </c>
      <c r="E119" s="67">
        <v>0.32758620689655171</v>
      </c>
      <c r="F119" s="67">
        <v>0.31896551724137934</v>
      </c>
      <c r="G119" s="67">
        <v>0.27291666666666664</v>
      </c>
      <c r="H119" s="67">
        <v>0.15104166666666666</v>
      </c>
      <c r="I119" s="68">
        <v>8644.6564885496191</v>
      </c>
      <c r="J119" s="68">
        <v>-7216.5517241379312</v>
      </c>
      <c r="K119" s="67">
        <v>0.12931034482758622</v>
      </c>
      <c r="L119" s="67">
        <v>9.4827586206896547E-2</v>
      </c>
      <c r="M119" s="67">
        <v>0.26458333333333334</v>
      </c>
      <c r="N119" s="67">
        <v>0.19375000000000001</v>
      </c>
      <c r="O119" s="67">
        <v>0.60629921259842523</v>
      </c>
      <c r="P119" s="67">
        <v>0.35483870967741937</v>
      </c>
      <c r="Q119" s="67">
        <v>0.45038167938931295</v>
      </c>
    </row>
    <row r="120" spans="1:17" x14ac:dyDescent="0.4">
      <c r="A120" s="69">
        <v>117</v>
      </c>
      <c r="B120" s="66">
        <v>-19.70000000000007</v>
      </c>
      <c r="C120" s="66">
        <v>-0.16837606837606897</v>
      </c>
      <c r="D120" s="71">
        <v>1.9914529914529915</v>
      </c>
      <c r="E120" s="67">
        <v>0.3247863247863248</v>
      </c>
      <c r="F120" s="67">
        <v>0.31623931623931623</v>
      </c>
      <c r="G120" s="67">
        <v>0.27197518097207857</v>
      </c>
      <c r="H120" s="67">
        <v>0.15098241985522234</v>
      </c>
      <c r="I120" s="68">
        <v>8672.6235741444871</v>
      </c>
      <c r="J120" s="68">
        <v>-7184.9315068493152</v>
      </c>
      <c r="K120" s="67">
        <v>0.12820512820512819</v>
      </c>
      <c r="L120" s="67">
        <v>9.4017094017094016E-2</v>
      </c>
      <c r="M120" s="67">
        <v>0.26370217166494314</v>
      </c>
      <c r="N120" s="67">
        <v>0.19338159255429163</v>
      </c>
      <c r="O120" s="67">
        <v>0.60392156862745094</v>
      </c>
      <c r="P120" s="67">
        <v>0.35828877005347592</v>
      </c>
      <c r="Q120" s="67">
        <v>0.44866920152091255</v>
      </c>
    </row>
    <row r="121" spans="1:17" x14ac:dyDescent="0.4">
      <c r="A121" s="69">
        <v>118</v>
      </c>
      <c r="B121" s="66">
        <v>-48.500000000000071</v>
      </c>
      <c r="C121" s="66">
        <v>-0.411016949152543</v>
      </c>
      <c r="D121" s="71">
        <v>2</v>
      </c>
      <c r="E121" s="67">
        <v>0.32203389830508472</v>
      </c>
      <c r="F121" s="67">
        <v>0.32203389830508472</v>
      </c>
      <c r="G121" s="67">
        <v>0.27049180327868855</v>
      </c>
      <c r="H121" s="67">
        <v>0.15061475409836064</v>
      </c>
      <c r="I121" s="68">
        <v>8659.8484848484841</v>
      </c>
      <c r="J121" s="68">
        <v>-7162.5850340136058</v>
      </c>
      <c r="K121" s="67">
        <v>0.1271186440677966</v>
      </c>
      <c r="L121" s="67">
        <v>9.3220338983050849E-2</v>
      </c>
      <c r="M121" s="67">
        <v>0.26331967213114754</v>
      </c>
      <c r="N121" s="67">
        <v>0.19262295081967212</v>
      </c>
      <c r="O121" s="67">
        <v>0.59922178988326846</v>
      </c>
      <c r="P121" s="67">
        <v>0.36170212765957449</v>
      </c>
      <c r="Q121" s="67">
        <v>0.45075757575757575</v>
      </c>
    </row>
    <row r="122" spans="1:17" x14ac:dyDescent="0.4">
      <c r="A122" s="69">
        <v>119</v>
      </c>
      <c r="B122" s="66">
        <v>12.699999999999932</v>
      </c>
      <c r="C122" s="66">
        <v>0.10672268907562968</v>
      </c>
      <c r="D122" s="71">
        <v>1.9915966386554622</v>
      </c>
      <c r="E122" s="67">
        <v>0.32773109243697479</v>
      </c>
      <c r="F122" s="67">
        <v>0.31932773109243695</v>
      </c>
      <c r="G122" s="67">
        <v>0.27190332326283989</v>
      </c>
      <c r="H122" s="67">
        <v>0.15005035246727089</v>
      </c>
      <c r="I122" s="68">
        <v>8703.7037037037044</v>
      </c>
      <c r="J122" s="68">
        <v>-7090.6040268456372</v>
      </c>
      <c r="K122" s="67">
        <v>0.12605042016806722</v>
      </c>
      <c r="L122" s="67">
        <v>9.2436974789915971E-2</v>
      </c>
      <c r="M122" s="67">
        <v>0.26384692849949648</v>
      </c>
      <c r="N122" s="67">
        <v>0.19234642497482377</v>
      </c>
      <c r="O122" s="67">
        <v>0.60687022900763354</v>
      </c>
      <c r="P122" s="67">
        <v>0.35602094240837695</v>
      </c>
      <c r="Q122" s="67">
        <v>0.44444444444444442</v>
      </c>
    </row>
    <row r="123" spans="1:17" x14ac:dyDescent="0.4">
      <c r="A123" s="69">
        <v>120</v>
      </c>
      <c r="B123" s="66">
        <v>15.899999999999931</v>
      </c>
      <c r="C123" s="66">
        <v>0.13249999999999942</v>
      </c>
      <c r="D123" s="71">
        <v>1.9916666666666667</v>
      </c>
      <c r="E123" s="67">
        <v>0.32500000000000001</v>
      </c>
      <c r="F123" s="67">
        <v>0.31666666666666665</v>
      </c>
      <c r="G123" s="67">
        <v>0.27127127127127126</v>
      </c>
      <c r="H123" s="67">
        <v>0.15015015015015015</v>
      </c>
      <c r="I123" s="68">
        <v>8700</v>
      </c>
      <c r="J123" s="68">
        <v>-7056.666666666667</v>
      </c>
      <c r="K123" s="67">
        <v>0.125</v>
      </c>
      <c r="L123" s="67">
        <v>9.166666666666666E-2</v>
      </c>
      <c r="M123" s="67">
        <v>0.26226226226226224</v>
      </c>
      <c r="N123" s="67">
        <v>0.19119119119119118</v>
      </c>
      <c r="O123" s="67">
        <v>0.60687022900763354</v>
      </c>
      <c r="P123" s="67">
        <v>0.35602094240837695</v>
      </c>
      <c r="Q123" s="67">
        <v>0.44649446494464945</v>
      </c>
    </row>
    <row r="124" spans="1:17" x14ac:dyDescent="0.4">
      <c r="A124" s="69">
        <v>121</v>
      </c>
      <c r="B124" s="66">
        <v>57.399999999999935</v>
      </c>
      <c r="C124" s="66">
        <v>0.47438016528925564</v>
      </c>
      <c r="D124" s="71">
        <v>1.9834710743801653</v>
      </c>
      <c r="E124" s="67">
        <v>0.33057851239669422</v>
      </c>
      <c r="F124" s="67">
        <v>0.31404958677685951</v>
      </c>
      <c r="G124" s="67">
        <v>0.27209533267130087</v>
      </c>
      <c r="H124" s="67">
        <v>0.1499503475670308</v>
      </c>
      <c r="I124" s="68">
        <v>8750.7299270072999</v>
      </c>
      <c r="J124" s="68">
        <v>-7062.9139072847684</v>
      </c>
      <c r="K124" s="67">
        <v>0.12396694214876033</v>
      </c>
      <c r="L124" s="67">
        <v>9.0909090909090912E-2</v>
      </c>
      <c r="M124" s="67">
        <v>0.26315789473684209</v>
      </c>
      <c r="N124" s="67">
        <v>0.19265143992055611</v>
      </c>
      <c r="O124" s="67">
        <v>0.60754716981132073</v>
      </c>
      <c r="P124" s="67">
        <v>0.35567010309278352</v>
      </c>
      <c r="Q124" s="67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2B2E-D621-4BB1-9F87-C664D55B1C5B}">
  <sheetPr codeName="Sheet18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  <row r="59" spans="1:17" x14ac:dyDescent="0.4">
      <c r="A59" s="69">
        <v>56</v>
      </c>
      <c r="B59" s="66">
        <v>-397.1</v>
      </c>
      <c r="C59" s="66">
        <v>-7.0910714285714294</v>
      </c>
      <c r="D59" s="71">
        <v>2.1071428571428572</v>
      </c>
      <c r="E59" s="67">
        <v>0.2857142857142857</v>
      </c>
      <c r="F59" s="67">
        <v>0.39285714285714285</v>
      </c>
      <c r="G59" s="67">
        <v>0.2857142857142857</v>
      </c>
      <c r="H59" s="67">
        <v>0.18571428571428572</v>
      </c>
      <c r="I59" s="68">
        <v>7573.5714285714284</v>
      </c>
      <c r="J59" s="68">
        <v>-8203.2967032967026</v>
      </c>
      <c r="K59" s="67">
        <v>0.14285714285714285</v>
      </c>
      <c r="L59" s="67">
        <v>7.1428571428571425E-2</v>
      </c>
      <c r="M59" s="67">
        <v>0.22040816326530613</v>
      </c>
      <c r="N59" s="67">
        <v>0.22653061224489796</v>
      </c>
      <c r="O59" s="67">
        <v>0.57407407407407407</v>
      </c>
      <c r="P59" s="67">
        <v>0.34234234234234234</v>
      </c>
      <c r="Q59" s="67">
        <v>0.5</v>
      </c>
    </row>
    <row r="60" spans="1:17" x14ac:dyDescent="0.4">
      <c r="A60" s="69">
        <v>57</v>
      </c>
      <c r="B60" s="66">
        <v>-461.6</v>
      </c>
      <c r="C60" s="66">
        <v>-8.098245614035088</v>
      </c>
      <c r="D60" s="71">
        <v>2.1228070175438596</v>
      </c>
      <c r="E60" s="67">
        <v>0.2807017543859649</v>
      </c>
      <c r="F60" s="67">
        <v>0.40350877192982454</v>
      </c>
      <c r="G60" s="67">
        <v>0.28370221327967809</v>
      </c>
      <c r="H60" s="67">
        <v>0.1891348088531187</v>
      </c>
      <c r="I60" s="68">
        <v>7531.2056737588655</v>
      </c>
      <c r="J60" s="68">
        <v>-8229.7872340425529</v>
      </c>
      <c r="K60" s="67">
        <v>0.15789473684210525</v>
      </c>
      <c r="L60" s="67">
        <v>7.0175438596491224E-2</v>
      </c>
      <c r="M60" s="67">
        <v>0.22132796780684105</v>
      </c>
      <c r="N60" s="67">
        <v>0.22535211267605634</v>
      </c>
      <c r="O60" s="67">
        <v>0.5636363636363636</v>
      </c>
      <c r="P60" s="67">
        <v>0.3392857142857143</v>
      </c>
      <c r="Q60" s="67">
        <v>0.50354609929078009</v>
      </c>
    </row>
    <row r="61" spans="1:17" x14ac:dyDescent="0.4">
      <c r="A61" s="69">
        <v>58</v>
      </c>
      <c r="B61" s="66">
        <v>-521</v>
      </c>
      <c r="C61" s="66">
        <v>-8.9827586206896548</v>
      </c>
      <c r="D61" s="71">
        <v>2.1379310344827585</v>
      </c>
      <c r="E61" s="67">
        <v>0.27586206896551724</v>
      </c>
      <c r="F61" s="67">
        <v>0.41379310344827586</v>
      </c>
      <c r="G61" s="67">
        <v>0.28031809145129227</v>
      </c>
      <c r="H61" s="67">
        <v>0.19284294234592445</v>
      </c>
      <c r="I61" s="68">
        <v>7531.2056737588655</v>
      </c>
      <c r="J61" s="68">
        <v>-8221.649484536083</v>
      </c>
      <c r="K61" s="67">
        <v>0.17241379310344829</v>
      </c>
      <c r="L61" s="67">
        <v>6.8965517241379309E-2</v>
      </c>
      <c r="M61" s="67">
        <v>0.21868787276341947</v>
      </c>
      <c r="N61" s="67">
        <v>0.22465208747514911</v>
      </c>
      <c r="O61" s="67">
        <v>0.5636363636363636</v>
      </c>
      <c r="P61" s="67">
        <v>0.33628318584070799</v>
      </c>
      <c r="Q61" s="67">
        <v>0.50354609929078009</v>
      </c>
    </row>
    <row r="62" spans="1:17" x14ac:dyDescent="0.4">
      <c r="A62" s="69">
        <v>59</v>
      </c>
      <c r="B62" s="66">
        <v>-521</v>
      </c>
      <c r="C62" s="66">
        <v>-8.8305084745762716</v>
      </c>
      <c r="D62" s="71">
        <v>2.1355932203389831</v>
      </c>
      <c r="E62" s="67">
        <v>0.2711864406779661</v>
      </c>
      <c r="F62" s="67">
        <v>0.40677966101694918</v>
      </c>
      <c r="G62" s="67">
        <v>0.27920792079207923</v>
      </c>
      <c r="H62" s="67">
        <v>0.19207920792079208</v>
      </c>
      <c r="I62" s="68">
        <v>7531.2056737588655</v>
      </c>
      <c r="J62" s="68">
        <v>-8221.649484536083</v>
      </c>
      <c r="K62" s="67">
        <v>0.16949152542372881</v>
      </c>
      <c r="L62" s="67">
        <v>6.7796610169491525E-2</v>
      </c>
      <c r="M62" s="67">
        <v>0.21782178217821782</v>
      </c>
      <c r="N62" s="67">
        <v>0.22376237623762377</v>
      </c>
      <c r="O62" s="67">
        <v>0.5636363636363636</v>
      </c>
      <c r="P62" s="67">
        <v>0.33628318584070799</v>
      </c>
      <c r="Q62" s="67">
        <v>0.50354609929078009</v>
      </c>
    </row>
    <row r="63" spans="1:17" x14ac:dyDescent="0.4">
      <c r="A63" s="69">
        <v>60</v>
      </c>
      <c r="B63" s="66">
        <v>-511.8</v>
      </c>
      <c r="C63" s="66">
        <v>-8.5299999999999994</v>
      </c>
      <c r="D63" s="71">
        <v>2.1333333333333333</v>
      </c>
      <c r="E63" s="67">
        <v>0.26666666666666666</v>
      </c>
      <c r="F63" s="67">
        <v>0.4</v>
      </c>
      <c r="G63" s="67">
        <v>0.27799227799227799</v>
      </c>
      <c r="H63" s="67">
        <v>0.19498069498069498</v>
      </c>
      <c r="I63" s="68">
        <v>7632.6388888888887</v>
      </c>
      <c r="J63" s="68">
        <v>-8019.8019801980199</v>
      </c>
      <c r="K63" s="67">
        <v>0.16666666666666666</v>
      </c>
      <c r="L63" s="67">
        <v>6.6666666666666666E-2</v>
      </c>
      <c r="M63" s="67">
        <v>0.21814671814671815</v>
      </c>
      <c r="N63" s="67">
        <v>0.21814671814671815</v>
      </c>
      <c r="O63" s="67">
        <v>0.5752212389380531</v>
      </c>
      <c r="P63" s="67">
        <v>0.33628318584070799</v>
      </c>
      <c r="Q63" s="67">
        <v>0.51388888888888884</v>
      </c>
    </row>
    <row r="64" spans="1:17" x14ac:dyDescent="0.4">
      <c r="A64" s="69">
        <v>61</v>
      </c>
      <c r="B64" s="66">
        <v>-560.6</v>
      </c>
      <c r="C64" s="66">
        <v>-9.1901639344262307</v>
      </c>
      <c r="D64" s="71">
        <v>2.1475409836065573</v>
      </c>
      <c r="E64" s="67">
        <v>0.26229508196721313</v>
      </c>
      <c r="F64" s="67">
        <v>0.4098360655737705</v>
      </c>
      <c r="G64" s="67">
        <v>0.27788279773156899</v>
      </c>
      <c r="H64" s="67">
        <v>0.19470699432892249</v>
      </c>
      <c r="I64" s="68">
        <v>7610.2040816326535</v>
      </c>
      <c r="J64" s="68">
        <v>-8151.4563106796113</v>
      </c>
      <c r="K64" s="67">
        <v>0.16393442622950818</v>
      </c>
      <c r="L64" s="67">
        <v>6.5573770491803282E-2</v>
      </c>
      <c r="M64" s="67">
        <v>0.22306238185255198</v>
      </c>
      <c r="N64" s="67">
        <v>0.21550094517958412</v>
      </c>
      <c r="O64" s="67">
        <v>0.57627118644067798</v>
      </c>
      <c r="P64" s="67">
        <v>0.33333333333333331</v>
      </c>
      <c r="Q64" s="67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19DA-1A59-4945-A3F7-1A69F5F0F13C}">
  <sheetPr codeName="Sheet16"/>
  <dimension ref="A1:Q10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  <row r="107" spans="1:17" x14ac:dyDescent="0.4">
      <c r="A107" s="69">
        <v>104</v>
      </c>
      <c r="B107" s="66">
        <v>-234.20000000000005</v>
      </c>
      <c r="C107" s="66">
        <v>-2.2519230769230774</v>
      </c>
      <c r="D107" s="71">
        <v>2.0576923076923075</v>
      </c>
      <c r="E107" s="67">
        <v>0.25</v>
      </c>
      <c r="F107" s="67">
        <v>0.30769230769230771</v>
      </c>
      <c r="G107" s="67">
        <v>0.3356242840778923</v>
      </c>
      <c r="H107" s="67">
        <v>0.14432989690721648</v>
      </c>
      <c r="I107" s="68">
        <v>6765.5290102389081</v>
      </c>
      <c r="J107" s="68">
        <v>-8262.6984126984134</v>
      </c>
      <c r="K107" s="67">
        <v>5.7692307692307696E-2</v>
      </c>
      <c r="L107" s="67">
        <v>9.6153846153846159E-2</v>
      </c>
      <c r="M107" s="67">
        <v>0.21191294387170675</v>
      </c>
      <c r="N107" s="67">
        <v>0.28751431844215347</v>
      </c>
      <c r="O107" s="67">
        <v>0.56216216216216219</v>
      </c>
      <c r="P107" s="67">
        <v>0.41832669322709165</v>
      </c>
      <c r="Q107" s="67">
        <v>0.39590443686006827</v>
      </c>
    </row>
    <row r="108" spans="1:17" x14ac:dyDescent="0.4">
      <c r="A108" s="69">
        <v>105</v>
      </c>
      <c r="B108" s="66">
        <v>-243.50000000000006</v>
      </c>
      <c r="C108" s="66">
        <v>-2.3190476190476197</v>
      </c>
      <c r="D108" s="71">
        <v>2.0571428571428569</v>
      </c>
      <c r="E108" s="67">
        <v>0.24761904761904763</v>
      </c>
      <c r="F108" s="67">
        <v>0.30476190476190479</v>
      </c>
      <c r="G108" s="67">
        <v>0.33258426966292137</v>
      </c>
      <c r="H108" s="67">
        <v>0.14606741573033707</v>
      </c>
      <c r="I108" s="68">
        <v>6762.5</v>
      </c>
      <c r="J108" s="68">
        <v>-8148.4615384615381</v>
      </c>
      <c r="K108" s="67">
        <v>5.7142857142857141E-2</v>
      </c>
      <c r="L108" s="67">
        <v>9.5238095238095233E-2</v>
      </c>
      <c r="M108" s="67">
        <v>0.21235955056179776</v>
      </c>
      <c r="N108" s="67">
        <v>0.28539325842696628</v>
      </c>
      <c r="O108" s="67">
        <v>0.55026455026455023</v>
      </c>
      <c r="P108" s="67">
        <v>0.42125984251968501</v>
      </c>
      <c r="Q108" s="67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DF20-892D-4342-BF33-95DE7284AF93}">
  <sheetPr codeName="Sheet14"/>
  <dimension ref="A1:Q1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  <row r="110" spans="1:17" x14ac:dyDescent="0.4">
      <c r="A110" s="69">
        <v>107</v>
      </c>
      <c r="B110" s="66">
        <v>198.1</v>
      </c>
      <c r="C110" s="66">
        <v>1.8514018691588785</v>
      </c>
      <c r="D110" s="71">
        <v>2.0093457943925235</v>
      </c>
      <c r="E110" s="67">
        <v>0.32710280373831774</v>
      </c>
      <c r="F110" s="67">
        <v>0.3364485981308411</v>
      </c>
      <c r="G110" s="67">
        <v>0.29232505643340856</v>
      </c>
      <c r="H110" s="67">
        <v>0.17494356659142213</v>
      </c>
      <c r="I110" s="68">
        <v>9976.8339768339774</v>
      </c>
      <c r="J110" s="68">
        <v>-8313.5483870967746</v>
      </c>
      <c r="K110" s="67">
        <v>0.10280373831775701</v>
      </c>
      <c r="L110" s="67">
        <v>0.14953271028037382</v>
      </c>
      <c r="M110" s="67">
        <v>0.28329571106094809</v>
      </c>
      <c r="N110" s="67">
        <v>0.19864559819413091</v>
      </c>
      <c r="O110" s="67">
        <v>0.56573705179282874</v>
      </c>
      <c r="P110" s="67">
        <v>0.41477272727272729</v>
      </c>
      <c r="Q110" s="67">
        <v>0.40154440154440152</v>
      </c>
    </row>
    <row r="111" spans="1:17" x14ac:dyDescent="0.4">
      <c r="A111" s="69">
        <v>108</v>
      </c>
      <c r="B111" s="66">
        <v>181</v>
      </c>
      <c r="C111" s="66">
        <v>1.6759259259259258</v>
      </c>
      <c r="D111" s="71">
        <v>2.0092592592592591</v>
      </c>
      <c r="E111" s="67">
        <v>0.32407407407407407</v>
      </c>
      <c r="F111" s="67">
        <v>0.33333333333333331</v>
      </c>
      <c r="G111" s="67">
        <v>0.29208472686733555</v>
      </c>
      <c r="H111" s="67">
        <v>0.17725752508361203</v>
      </c>
      <c r="I111" s="68">
        <v>10000</v>
      </c>
      <c r="J111" s="68">
        <v>-8353.4591194968561</v>
      </c>
      <c r="K111" s="67">
        <v>0.10185185185185185</v>
      </c>
      <c r="L111" s="67">
        <v>0.14814814814814814</v>
      </c>
      <c r="M111" s="67">
        <v>0.28205128205128205</v>
      </c>
      <c r="N111" s="67">
        <v>0.1995540691192865</v>
      </c>
      <c r="O111" s="67">
        <v>0.56916996047430835</v>
      </c>
      <c r="P111" s="67">
        <v>0.40782122905027934</v>
      </c>
      <c r="Q111" s="67">
        <v>0.40458015267175573</v>
      </c>
    </row>
    <row r="112" spans="1:17" x14ac:dyDescent="0.4">
      <c r="A112" s="69">
        <v>109</v>
      </c>
      <c r="B112" s="66">
        <v>167.1</v>
      </c>
      <c r="C112" s="66">
        <v>1.5330275229357797</v>
      </c>
      <c r="D112" s="71">
        <v>2.0091743119266057</v>
      </c>
      <c r="E112" s="67">
        <v>0.32110091743119268</v>
      </c>
      <c r="F112" s="67">
        <v>0.33027522935779818</v>
      </c>
      <c r="G112" s="67">
        <v>0.29074889867841408</v>
      </c>
      <c r="H112" s="67">
        <v>0.17841409691629956</v>
      </c>
      <c r="I112" s="68">
        <v>10022.727272727272</v>
      </c>
      <c r="J112" s="68">
        <v>-8335.1851851851843</v>
      </c>
      <c r="K112" s="67">
        <v>0.10091743119266056</v>
      </c>
      <c r="L112" s="67">
        <v>0.14678899082568808</v>
      </c>
      <c r="M112" s="67">
        <v>0.28303964757709249</v>
      </c>
      <c r="N112" s="67">
        <v>0.19713656387665199</v>
      </c>
      <c r="O112" s="67">
        <v>0.56809338521400776</v>
      </c>
      <c r="P112" s="67">
        <v>0.40782122905027934</v>
      </c>
      <c r="Q112" s="67">
        <v>0.40530303030303028</v>
      </c>
    </row>
    <row r="113" spans="1:17" x14ac:dyDescent="0.4">
      <c r="A113" s="69">
        <v>110</v>
      </c>
      <c r="B113" s="66">
        <v>136.29999999999998</v>
      </c>
      <c r="C113" s="66">
        <v>1.239090909090909</v>
      </c>
      <c r="D113" s="71">
        <v>2.0181818181818181</v>
      </c>
      <c r="E113" s="67">
        <v>0.31818181818181818</v>
      </c>
      <c r="F113" s="67">
        <v>0.33636363636363636</v>
      </c>
      <c r="G113" s="67">
        <v>0.28993435448577681</v>
      </c>
      <c r="H113" s="67">
        <v>0.17833698030634573</v>
      </c>
      <c r="I113" s="68">
        <v>10015.094339622641</v>
      </c>
      <c r="J113" s="68">
        <v>-8357.6687116564426</v>
      </c>
      <c r="K113" s="67">
        <v>0.1</v>
      </c>
      <c r="L113" s="67">
        <v>0.14545454545454545</v>
      </c>
      <c r="M113" s="67">
        <v>0.28336980306345733</v>
      </c>
      <c r="N113" s="67">
        <v>0.19803063457330417</v>
      </c>
      <c r="O113" s="67">
        <v>0.56370656370656369</v>
      </c>
      <c r="P113" s="67">
        <v>0.40883977900552487</v>
      </c>
      <c r="Q113" s="67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B1A9-D090-4811-8BD7-8580222685B3}">
  <sheetPr codeName="Sheet12"/>
  <dimension ref="A1:Q1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  <row r="160" spans="1:17" x14ac:dyDescent="0.4">
      <c r="A160" s="69">
        <v>157</v>
      </c>
      <c r="B160" s="66">
        <v>-1357.7</v>
      </c>
      <c r="C160" s="66">
        <v>-8.6477707006369435</v>
      </c>
      <c r="D160" s="71">
        <v>2.1337579617834397</v>
      </c>
      <c r="E160" s="67">
        <v>0.28662420382165604</v>
      </c>
      <c r="F160" s="67">
        <v>0.42038216560509556</v>
      </c>
      <c r="G160" s="67">
        <v>0.26590909090909093</v>
      </c>
      <c r="H160" s="67">
        <v>0.17651515151515151</v>
      </c>
      <c r="I160" s="68">
        <v>8256.9800569800573</v>
      </c>
      <c r="J160" s="68">
        <v>-8471.2446351931339</v>
      </c>
      <c r="K160" s="67">
        <v>0.15286624203821655</v>
      </c>
      <c r="L160" s="67">
        <v>0.10191082802547771</v>
      </c>
      <c r="M160" s="67">
        <v>0.25151515151515152</v>
      </c>
      <c r="N160" s="67">
        <v>0.19242424242424241</v>
      </c>
      <c r="O160" s="67">
        <v>0.53012048192771088</v>
      </c>
      <c r="P160" s="67">
        <v>0.3346456692913386</v>
      </c>
      <c r="Q160" s="67">
        <v>0.41880341880341881</v>
      </c>
    </row>
    <row r="161" spans="1:17" x14ac:dyDescent="0.4">
      <c r="A161" s="69">
        <v>158</v>
      </c>
      <c r="B161" s="66">
        <v>-1338.1000000000001</v>
      </c>
      <c r="C161" s="66">
        <v>-8.4689873417721522</v>
      </c>
      <c r="D161" s="71">
        <v>2.1329113924050631</v>
      </c>
      <c r="E161" s="67">
        <v>0.2848101265822785</v>
      </c>
      <c r="F161" s="67">
        <v>0.41772151898734178</v>
      </c>
      <c r="G161" s="67">
        <v>0.266767143933685</v>
      </c>
      <c r="H161" s="67">
        <v>0.17558402411454407</v>
      </c>
      <c r="I161" s="68">
        <v>8267.2316384180795</v>
      </c>
      <c r="J161" s="68">
        <v>-8471.2446351931339</v>
      </c>
      <c r="K161" s="67">
        <v>0.15189873417721519</v>
      </c>
      <c r="L161" s="67">
        <v>0.10126582278481013</v>
      </c>
      <c r="M161" s="67">
        <v>0.25320271288620949</v>
      </c>
      <c r="N161" s="67">
        <v>0.19140919366993217</v>
      </c>
      <c r="O161" s="67">
        <v>0.53273809523809523</v>
      </c>
      <c r="P161" s="67">
        <v>0.3346456692913386</v>
      </c>
      <c r="Q161" s="67">
        <v>0.4152542372881356</v>
      </c>
    </row>
    <row r="162" spans="1:17" x14ac:dyDescent="0.4">
      <c r="A162" s="69">
        <v>159</v>
      </c>
      <c r="B162" s="66">
        <v>-1330.7</v>
      </c>
      <c r="C162" s="66">
        <v>-8.3691823899371069</v>
      </c>
      <c r="D162" s="71">
        <v>2.1320754716981134</v>
      </c>
      <c r="E162" s="67">
        <v>0.28301886792452829</v>
      </c>
      <c r="F162" s="67">
        <v>0.41509433962264153</v>
      </c>
      <c r="G162" s="67">
        <v>0.2670667666916729</v>
      </c>
      <c r="H162" s="67">
        <v>0.17479369842460615</v>
      </c>
      <c r="I162" s="68">
        <v>8254.213483146068</v>
      </c>
      <c r="J162" s="68">
        <v>-8471.2446351931339</v>
      </c>
      <c r="K162" s="67">
        <v>0.15094339622641509</v>
      </c>
      <c r="L162" s="67">
        <v>0.10062893081761007</v>
      </c>
      <c r="M162" s="67">
        <v>0.25281320330082518</v>
      </c>
      <c r="N162" s="67">
        <v>0.19279819954988747</v>
      </c>
      <c r="O162" s="67">
        <v>0.53412462908011871</v>
      </c>
      <c r="P162" s="67">
        <v>0.33463035019455251</v>
      </c>
      <c r="Q162" s="67">
        <v>0.4157303370786517</v>
      </c>
    </row>
    <row r="163" spans="1:17" x14ac:dyDescent="0.4">
      <c r="A163" s="69">
        <v>160</v>
      </c>
      <c r="B163" s="66">
        <v>-1265.7</v>
      </c>
      <c r="C163" s="66">
        <v>-7.9106250000000005</v>
      </c>
      <c r="D163" s="71">
        <v>2.125</v>
      </c>
      <c r="E163" s="67">
        <v>0.28749999999999998</v>
      </c>
      <c r="F163" s="67">
        <v>0.41249999999999998</v>
      </c>
      <c r="G163" s="67">
        <v>0.26816479400749066</v>
      </c>
      <c r="H163" s="67">
        <v>0.1745318352059925</v>
      </c>
      <c r="I163" s="68">
        <v>8325.4189944134087</v>
      </c>
      <c r="J163" s="68">
        <v>-8471.2446351931339</v>
      </c>
      <c r="K163" s="67">
        <v>0.15</v>
      </c>
      <c r="L163" s="67">
        <v>0.10625</v>
      </c>
      <c r="M163" s="67">
        <v>0.25243445692883892</v>
      </c>
      <c r="N163" s="67">
        <v>0.19325842696629214</v>
      </c>
      <c r="O163" s="67">
        <v>0.53412462908011871</v>
      </c>
      <c r="P163" s="67">
        <v>0.33720930232558138</v>
      </c>
      <c r="Q163" s="67">
        <v>0.41340782122905029</v>
      </c>
    </row>
    <row r="164" spans="1:17" x14ac:dyDescent="0.4">
      <c r="A164" s="69">
        <v>161</v>
      </c>
      <c r="B164" s="66">
        <v>-1246.2</v>
      </c>
      <c r="C164" s="66">
        <v>-7.7403726708074538</v>
      </c>
      <c r="D164" s="71">
        <v>2.1242236024844718</v>
      </c>
      <c r="E164" s="67">
        <v>0.2857142857142857</v>
      </c>
      <c r="F164" s="67">
        <v>0.40993788819875776</v>
      </c>
      <c r="G164" s="67">
        <v>0.26865671641791045</v>
      </c>
      <c r="H164" s="67">
        <v>0.17388059701492536</v>
      </c>
      <c r="I164" s="68">
        <v>8334.7222222222226</v>
      </c>
      <c r="J164" s="68">
        <v>-8471.2446351931339</v>
      </c>
      <c r="K164" s="67">
        <v>0.14906832298136646</v>
      </c>
      <c r="L164" s="67">
        <v>0.10559006211180125</v>
      </c>
      <c r="M164" s="67">
        <v>0.25149253731343285</v>
      </c>
      <c r="N164" s="67">
        <v>0.19402985074626866</v>
      </c>
      <c r="O164" s="67">
        <v>0.53412462908011871</v>
      </c>
      <c r="P164" s="67">
        <v>0.34230769230769231</v>
      </c>
      <c r="Q164" s="67">
        <v>0.41388888888888886</v>
      </c>
    </row>
    <row r="165" spans="1:17" x14ac:dyDescent="0.4">
      <c r="A165" s="69">
        <v>162</v>
      </c>
      <c r="B165" s="66">
        <v>-1210.3</v>
      </c>
      <c r="C165" s="66">
        <v>-7.4709876543209877</v>
      </c>
      <c r="D165" s="71">
        <v>2.117283950617284</v>
      </c>
      <c r="E165" s="67">
        <v>0.29012345679012347</v>
      </c>
      <c r="F165" s="67">
        <v>0.40740740740740738</v>
      </c>
      <c r="G165" s="67">
        <v>0.27023014105419452</v>
      </c>
      <c r="H165" s="67">
        <v>0.17297698589458055</v>
      </c>
      <c r="I165" s="68">
        <v>8330.7692307692305</v>
      </c>
      <c r="J165" s="68">
        <v>-8471.2446351931339</v>
      </c>
      <c r="K165" s="67">
        <v>0.14814814814814814</v>
      </c>
      <c r="L165" s="67">
        <v>0.10493827160493827</v>
      </c>
      <c r="M165" s="67">
        <v>0.25092798812175204</v>
      </c>
      <c r="N165" s="67">
        <v>0.19376391982182628</v>
      </c>
      <c r="O165" s="67">
        <v>0.53550295857988162</v>
      </c>
      <c r="P165" s="67">
        <v>0.34482758620689657</v>
      </c>
      <c r="Q165" s="67">
        <v>0.41483516483516486</v>
      </c>
    </row>
    <row r="166" spans="1:17" x14ac:dyDescent="0.4">
      <c r="A166" s="69">
        <v>163</v>
      </c>
      <c r="B166" s="66">
        <v>-1183.8</v>
      </c>
      <c r="C166" s="66">
        <v>-7.2625766871165638</v>
      </c>
      <c r="D166" s="71">
        <v>2.1104294478527605</v>
      </c>
      <c r="E166" s="67">
        <v>0.29447852760736198</v>
      </c>
      <c r="F166" s="67">
        <v>0.40490797546012269</v>
      </c>
      <c r="G166" s="67">
        <v>0.27112417340191036</v>
      </c>
      <c r="H166" s="67">
        <v>0.17193240264511389</v>
      </c>
      <c r="I166" s="68">
        <v>8310.0271002710033</v>
      </c>
      <c r="J166" s="68">
        <v>-8469.2307692307695</v>
      </c>
      <c r="K166" s="67">
        <v>0.14723926380368099</v>
      </c>
      <c r="L166" s="67">
        <v>0.10429447852760736</v>
      </c>
      <c r="M166" s="67">
        <v>0.24981631153563555</v>
      </c>
      <c r="N166" s="67">
        <v>0.19397501836884642</v>
      </c>
      <c r="O166" s="67">
        <v>0.53529411764705881</v>
      </c>
      <c r="P166" s="67">
        <v>0.34469696969696972</v>
      </c>
      <c r="Q166" s="67">
        <v>0.41734417344173441</v>
      </c>
    </row>
    <row r="167" spans="1:17" x14ac:dyDescent="0.4">
      <c r="A167" s="69">
        <v>164</v>
      </c>
      <c r="B167" s="66">
        <v>-1234.3</v>
      </c>
      <c r="C167" s="66">
        <v>-7.5262195121951221</v>
      </c>
      <c r="D167" s="71">
        <v>2.1158536585365852</v>
      </c>
      <c r="E167" s="67">
        <v>0.29268292682926828</v>
      </c>
      <c r="F167" s="67">
        <v>0.40853658536585363</v>
      </c>
      <c r="G167" s="67">
        <v>0.27060539752005836</v>
      </c>
      <c r="H167" s="67">
        <v>0.17213712618526622</v>
      </c>
      <c r="I167" s="68">
        <v>8294.8787061994608</v>
      </c>
      <c r="J167" s="68">
        <v>-8499.1525423728817</v>
      </c>
      <c r="K167" s="67">
        <v>0.14634146341463414</v>
      </c>
      <c r="L167" s="67">
        <v>0.10365853658536585</v>
      </c>
      <c r="M167" s="67">
        <v>0.24945295404814005</v>
      </c>
      <c r="N167" s="67">
        <v>0.19620714806710429</v>
      </c>
      <c r="O167" s="67">
        <v>0.53508771929824561</v>
      </c>
      <c r="P167" s="67">
        <v>0.34200743494423791</v>
      </c>
      <c r="Q167" s="67">
        <v>0.41778975741239893</v>
      </c>
    </row>
    <row r="168" spans="1:17" x14ac:dyDescent="0.4">
      <c r="A168" s="69">
        <v>165</v>
      </c>
      <c r="B168" s="66">
        <v>-1258.7</v>
      </c>
      <c r="C168" s="66">
        <v>-7.6284848484848489</v>
      </c>
      <c r="D168" s="71">
        <v>2.1212121212121211</v>
      </c>
      <c r="E168" s="67">
        <v>0.29090909090909089</v>
      </c>
      <c r="F168" s="67">
        <v>0.41212121212121211</v>
      </c>
      <c r="G168" s="67">
        <v>0.27028985507246378</v>
      </c>
      <c r="H168" s="67">
        <v>0.17318840579710146</v>
      </c>
      <c r="I168" s="68">
        <v>8314.7453083109922</v>
      </c>
      <c r="J168" s="68">
        <v>-8471.5481171548108</v>
      </c>
      <c r="K168" s="67">
        <v>0.14545454545454545</v>
      </c>
      <c r="L168" s="67">
        <v>0.10303030303030303</v>
      </c>
      <c r="M168" s="67">
        <v>0.25</v>
      </c>
      <c r="N168" s="67">
        <v>0.19565217391304349</v>
      </c>
      <c r="O168" s="67">
        <v>0.53623188405797106</v>
      </c>
      <c r="P168" s="67">
        <v>0.34074074074074073</v>
      </c>
      <c r="Q168" s="67">
        <v>0.42091152815013405</v>
      </c>
    </row>
    <row r="169" spans="1:17" x14ac:dyDescent="0.4">
      <c r="A169" s="69">
        <v>166</v>
      </c>
      <c r="B169" s="66">
        <v>-1194.5</v>
      </c>
      <c r="C169" s="66">
        <v>-7.1957831325301207</v>
      </c>
      <c r="D169" s="71">
        <v>2.1144578313253013</v>
      </c>
      <c r="E169" s="67">
        <v>0.29518072289156627</v>
      </c>
      <c r="F169" s="67">
        <v>0.40963855421686746</v>
      </c>
      <c r="G169" s="67">
        <v>0.2717469446441409</v>
      </c>
      <c r="H169" s="67">
        <v>0.17181883537023723</v>
      </c>
      <c r="I169" s="68">
        <v>8317.7248677248681</v>
      </c>
      <c r="J169" s="68">
        <v>-8471.5481171548108</v>
      </c>
      <c r="K169" s="67">
        <v>0.14457831325301204</v>
      </c>
      <c r="L169" s="67">
        <v>0.10240963855421686</v>
      </c>
      <c r="M169" s="67">
        <v>0.24802300503235084</v>
      </c>
      <c r="N169" s="67">
        <v>0.19769949676491733</v>
      </c>
      <c r="O169" s="67">
        <v>0.53623188405797106</v>
      </c>
      <c r="P169" s="67">
        <v>0.35272727272727272</v>
      </c>
      <c r="Q169" s="67">
        <v>0.41798941798941797</v>
      </c>
    </row>
    <row r="170" spans="1:17" x14ac:dyDescent="0.4">
      <c r="A170" s="69">
        <v>167</v>
      </c>
      <c r="B170" s="66">
        <v>-1209.8</v>
      </c>
      <c r="C170" s="66">
        <v>-7.2443113772455083</v>
      </c>
      <c r="D170" s="71">
        <v>2.1137724550898205</v>
      </c>
      <c r="E170" s="67">
        <v>0.29341317365269459</v>
      </c>
      <c r="F170" s="67">
        <v>0.40718562874251496</v>
      </c>
      <c r="G170" s="67">
        <v>0.2720114531138153</v>
      </c>
      <c r="H170" s="67">
        <v>0.17108088761632068</v>
      </c>
      <c r="I170" s="68">
        <v>8285</v>
      </c>
      <c r="J170" s="68">
        <v>-8471.5481171548108</v>
      </c>
      <c r="K170" s="67">
        <v>0.1437125748502994</v>
      </c>
      <c r="L170" s="67">
        <v>0.10179640718562874</v>
      </c>
      <c r="M170" s="67">
        <v>0.24695776664280603</v>
      </c>
      <c r="N170" s="67">
        <v>0.19899785254115962</v>
      </c>
      <c r="O170" s="67">
        <v>0.53623188405797106</v>
      </c>
      <c r="P170" s="67">
        <v>0.35611510791366907</v>
      </c>
      <c r="Q170" s="67">
        <v>0.41842105263157897</v>
      </c>
    </row>
    <row r="171" spans="1:17" x14ac:dyDescent="0.4">
      <c r="A171" s="69">
        <v>168</v>
      </c>
      <c r="B171" s="66">
        <v>-1244.5999999999999</v>
      </c>
      <c r="C171" s="66">
        <v>-7.4083333333333332</v>
      </c>
      <c r="D171" s="71">
        <v>2.1190476190476191</v>
      </c>
      <c r="E171" s="67">
        <v>0.29166666666666669</v>
      </c>
      <c r="F171" s="67">
        <v>0.4107142857142857</v>
      </c>
      <c r="G171" s="67">
        <v>0.27065527065527067</v>
      </c>
      <c r="H171" s="67">
        <v>0.17165242165242164</v>
      </c>
      <c r="I171" s="68">
        <v>8285</v>
      </c>
      <c r="J171" s="68">
        <v>-8420.3319502074683</v>
      </c>
      <c r="K171" s="67">
        <v>0.14285714285714285</v>
      </c>
      <c r="L171" s="67">
        <v>0.10119047619047619</v>
      </c>
      <c r="M171" s="67">
        <v>0.24572649572649571</v>
      </c>
      <c r="N171" s="67">
        <v>0.19943019943019943</v>
      </c>
      <c r="O171" s="67">
        <v>0.53623188405797106</v>
      </c>
      <c r="P171" s="67">
        <v>0.35357142857142859</v>
      </c>
      <c r="Q171" s="67">
        <v>0.41842105263157897</v>
      </c>
    </row>
    <row r="172" spans="1:17" x14ac:dyDescent="0.4">
      <c r="A172" s="69">
        <v>169</v>
      </c>
      <c r="B172" s="66">
        <v>-1197.0999999999999</v>
      </c>
      <c r="C172" s="66">
        <v>-7.0834319526627212</v>
      </c>
      <c r="D172" s="71">
        <v>2.1124260355029585</v>
      </c>
      <c r="E172" s="67">
        <v>0.29585798816568049</v>
      </c>
      <c r="F172" s="67">
        <v>0.40828402366863903</v>
      </c>
      <c r="G172" s="67">
        <v>0.27349823321554773</v>
      </c>
      <c r="H172" s="67">
        <v>0.17173144876325089</v>
      </c>
      <c r="I172" s="68">
        <v>8264.8578811369516</v>
      </c>
      <c r="J172" s="68">
        <v>-8437.0370370370365</v>
      </c>
      <c r="K172" s="67">
        <v>0.14201183431952663</v>
      </c>
      <c r="L172" s="67">
        <v>0.10059171597633136</v>
      </c>
      <c r="M172" s="67">
        <v>0.24381625441696114</v>
      </c>
      <c r="N172" s="67">
        <v>0.20212014134275619</v>
      </c>
      <c r="O172" s="67">
        <v>0.53623188405797106</v>
      </c>
      <c r="P172" s="67">
        <v>0.36013986013986016</v>
      </c>
      <c r="Q172" s="67">
        <v>0.41860465116279072</v>
      </c>
    </row>
    <row r="173" spans="1:17" x14ac:dyDescent="0.4">
      <c r="A173" s="69">
        <v>170</v>
      </c>
      <c r="B173" s="66">
        <v>-1147.5999999999999</v>
      </c>
      <c r="C173" s="66">
        <v>-6.7505882352941171</v>
      </c>
      <c r="D173" s="71">
        <v>2.1058823529411765</v>
      </c>
      <c r="E173" s="67">
        <v>0.3</v>
      </c>
      <c r="F173" s="67">
        <v>0.40588235294117647</v>
      </c>
      <c r="G173" s="67">
        <v>0.27617709065354884</v>
      </c>
      <c r="H173" s="67">
        <v>0.17146872803935348</v>
      </c>
      <c r="I173" s="68">
        <v>8215.5216284987273</v>
      </c>
      <c r="J173" s="68">
        <v>-8415.5737704918029</v>
      </c>
      <c r="K173" s="67">
        <v>0.14117647058823529</v>
      </c>
      <c r="L173" s="67">
        <v>0.10588235294117647</v>
      </c>
      <c r="M173" s="67">
        <v>0.24244553759662685</v>
      </c>
      <c r="N173" s="67">
        <v>0.20309205903021785</v>
      </c>
      <c r="O173" s="67">
        <v>0.53623188405797106</v>
      </c>
      <c r="P173" s="67">
        <v>0.36332179930795849</v>
      </c>
      <c r="Q173" s="67">
        <v>0.41730279898218831</v>
      </c>
    </row>
    <row r="174" spans="1:17" x14ac:dyDescent="0.4">
      <c r="A174" s="69">
        <v>171</v>
      </c>
      <c r="B174" s="66">
        <v>-1112.8999999999999</v>
      </c>
      <c r="C174" s="66">
        <v>-6.508187134502923</v>
      </c>
      <c r="D174" s="71">
        <v>2.0994152046783627</v>
      </c>
      <c r="E174" s="67">
        <v>0.30409356725146197</v>
      </c>
      <c r="F174" s="67">
        <v>0.40350877192982454</v>
      </c>
      <c r="G174" s="67">
        <v>0.27646239554317548</v>
      </c>
      <c r="H174" s="67">
        <v>0.17061281337047354</v>
      </c>
      <c r="I174" s="68">
        <v>8197.7329974811091</v>
      </c>
      <c r="J174" s="68">
        <v>-8385.3061224489793</v>
      </c>
      <c r="K174" s="67">
        <v>0.14035087719298245</v>
      </c>
      <c r="L174" s="67">
        <v>0.10526315789473684</v>
      </c>
      <c r="M174" s="67">
        <v>0.24373259052924792</v>
      </c>
      <c r="N174" s="67">
        <v>0.20264623955431754</v>
      </c>
      <c r="O174" s="67">
        <v>0.53714285714285714</v>
      </c>
      <c r="P174" s="67">
        <v>0.36426116838487971</v>
      </c>
      <c r="Q174" s="67">
        <v>0.41561712846347609</v>
      </c>
    </row>
    <row r="175" spans="1:17" x14ac:dyDescent="0.4">
      <c r="A175" s="69">
        <v>172</v>
      </c>
      <c r="B175" s="66">
        <v>-1065.8999999999999</v>
      </c>
      <c r="C175" s="66">
        <v>-6.197093023255813</v>
      </c>
      <c r="D175" s="71">
        <v>2.0930232558139537</v>
      </c>
      <c r="E175" s="67">
        <v>0.30813953488372092</v>
      </c>
      <c r="F175" s="67">
        <v>0.40116279069767441</v>
      </c>
      <c r="G175" s="67">
        <v>0.27643400138217</v>
      </c>
      <c r="H175" s="67">
        <v>0.17000691085003455</v>
      </c>
      <c r="I175" s="68">
        <v>8211.25</v>
      </c>
      <c r="J175" s="68">
        <v>-8382.5203252032516</v>
      </c>
      <c r="K175" s="67">
        <v>0.13953488372093023</v>
      </c>
      <c r="L175" s="67">
        <v>0.11046511627906977</v>
      </c>
      <c r="M175" s="67">
        <v>0.24464409122322045</v>
      </c>
      <c r="N175" s="67">
        <v>0.20248790601243952</v>
      </c>
      <c r="O175" s="67">
        <v>0.53672316384180796</v>
      </c>
      <c r="P175" s="67">
        <v>0.36177474402730375</v>
      </c>
      <c r="Q175" s="67">
        <v>0.41499999999999998</v>
      </c>
    </row>
    <row r="176" spans="1:17" x14ac:dyDescent="0.4">
      <c r="A176" s="69">
        <v>173</v>
      </c>
      <c r="B176" s="66">
        <v>-1064.8</v>
      </c>
      <c r="C176" s="66">
        <v>-6.1549132947976872</v>
      </c>
      <c r="D176" s="71">
        <v>2.0924855491329479</v>
      </c>
      <c r="E176" s="67">
        <v>0.30635838150289019</v>
      </c>
      <c r="F176" s="67">
        <v>0.39884393063583817</v>
      </c>
      <c r="G176" s="67">
        <v>0.27666896077081898</v>
      </c>
      <c r="H176" s="67">
        <v>0.16999311768754302</v>
      </c>
      <c r="I176" s="68">
        <v>8210.1990049751239</v>
      </c>
      <c r="J176" s="68">
        <v>-8359.1093117408909</v>
      </c>
      <c r="K176" s="67">
        <v>0.13872832369942195</v>
      </c>
      <c r="L176" s="67">
        <v>0.10982658959537572</v>
      </c>
      <c r="M176" s="67">
        <v>0.24432209222298693</v>
      </c>
      <c r="N176" s="67">
        <v>0.20302821748107364</v>
      </c>
      <c r="O176" s="67">
        <v>0.53802816901408446</v>
      </c>
      <c r="P176" s="67">
        <v>0.35932203389830508</v>
      </c>
      <c r="Q176" s="67">
        <v>0.41791044776119401</v>
      </c>
    </row>
    <row r="177" spans="1:17" x14ac:dyDescent="0.4">
      <c r="A177" s="69">
        <v>174</v>
      </c>
      <c r="B177" s="66">
        <v>-1090.0999999999999</v>
      </c>
      <c r="C177" s="66">
        <v>-6.2649425287356317</v>
      </c>
      <c r="D177" s="71">
        <v>2.0977011494252875</v>
      </c>
      <c r="E177" s="67">
        <v>0.3045977011494253</v>
      </c>
      <c r="F177" s="67">
        <v>0.40229885057471265</v>
      </c>
      <c r="G177" s="67">
        <v>0.27583846680355922</v>
      </c>
      <c r="H177" s="67">
        <v>0.16974674880219029</v>
      </c>
      <c r="I177" s="68">
        <v>8208.9330024813898</v>
      </c>
      <c r="J177" s="68">
        <v>-8333.467741935483</v>
      </c>
      <c r="K177" s="67">
        <v>0.13793103448275862</v>
      </c>
      <c r="L177" s="67">
        <v>0.10919540229885058</v>
      </c>
      <c r="M177" s="67">
        <v>0.24366872005475701</v>
      </c>
      <c r="N177" s="67">
        <v>0.20328542094455851</v>
      </c>
      <c r="O177" s="67">
        <v>0.5393258426966292</v>
      </c>
      <c r="P177" s="67">
        <v>0.35690235690235689</v>
      </c>
      <c r="Q177" s="67">
        <v>0.41935483870967744</v>
      </c>
    </row>
    <row r="178" spans="1:17" x14ac:dyDescent="0.4">
      <c r="A178" s="69">
        <v>175</v>
      </c>
      <c r="B178" s="66">
        <v>-1146.0999999999999</v>
      </c>
      <c r="C178" s="66">
        <v>-6.5491428571428569</v>
      </c>
      <c r="D178" s="71">
        <v>2.1028571428571428</v>
      </c>
      <c r="E178" s="67">
        <v>0.30285714285714288</v>
      </c>
      <c r="F178" s="67">
        <v>0.40571428571428569</v>
      </c>
      <c r="G178" s="67">
        <v>0.27452316076294275</v>
      </c>
      <c r="H178" s="67">
        <v>0.17098092643051771</v>
      </c>
      <c r="I178" s="68">
        <v>8208.9330024813898</v>
      </c>
      <c r="J178" s="68">
        <v>-8341.035856573706</v>
      </c>
      <c r="K178" s="67">
        <v>0.14285714285714285</v>
      </c>
      <c r="L178" s="67">
        <v>0.10857142857142857</v>
      </c>
      <c r="M178" s="67">
        <v>0.2438692098092643</v>
      </c>
      <c r="N178" s="67">
        <v>0.20299727520435967</v>
      </c>
      <c r="O178" s="67">
        <v>0.53631284916201116</v>
      </c>
      <c r="P178" s="67">
        <v>0.35570469798657717</v>
      </c>
      <c r="Q178" s="67">
        <v>0.41935483870967744</v>
      </c>
    </row>
    <row r="179" spans="1:17" x14ac:dyDescent="0.4">
      <c r="A179" s="69">
        <v>176</v>
      </c>
      <c r="B179" s="66">
        <v>-1142.5</v>
      </c>
      <c r="C179" s="66">
        <v>-6.4914772727272725</v>
      </c>
      <c r="D179" s="71">
        <v>2.1022727272727271</v>
      </c>
      <c r="E179" s="67">
        <v>0.30113636363636365</v>
      </c>
      <c r="F179" s="67">
        <v>0.40340909090909088</v>
      </c>
      <c r="G179" s="67">
        <v>0.2755585646580907</v>
      </c>
      <c r="H179" s="67">
        <v>0.17061611374407584</v>
      </c>
      <c r="I179" s="68">
        <v>8167.8132678132679</v>
      </c>
      <c r="J179" s="68">
        <v>-8339.6825396825388</v>
      </c>
      <c r="K179" s="67">
        <v>0.14204545454545456</v>
      </c>
      <c r="L179" s="67">
        <v>0.10795454545454546</v>
      </c>
      <c r="M179" s="67">
        <v>0.24306025727826674</v>
      </c>
      <c r="N179" s="67">
        <v>0.2024373730534868</v>
      </c>
      <c r="O179" s="67">
        <v>0.53760445682451252</v>
      </c>
      <c r="P179" s="67">
        <v>0.35785953177257523</v>
      </c>
      <c r="Q179" s="67">
        <v>0.42014742014742013</v>
      </c>
    </row>
    <row r="180" spans="1:17" x14ac:dyDescent="0.4">
      <c r="A180" s="69">
        <v>177</v>
      </c>
      <c r="B180" s="66">
        <v>-1194.4000000000001</v>
      </c>
      <c r="C180" s="66">
        <v>-6.7480225988700573</v>
      </c>
      <c r="D180" s="71">
        <v>2.1073446327683616</v>
      </c>
      <c r="E180" s="67">
        <v>0.29943502824858759</v>
      </c>
      <c r="F180" s="67">
        <v>0.40677966101694918</v>
      </c>
      <c r="G180" s="67">
        <v>0.27510040160642568</v>
      </c>
      <c r="H180" s="67">
        <v>0.17135207496653279</v>
      </c>
      <c r="I180" s="68">
        <v>8127.9805352798057</v>
      </c>
      <c r="J180" s="68">
        <v>-8364.453125</v>
      </c>
      <c r="K180" s="67">
        <v>0.14124293785310735</v>
      </c>
      <c r="L180" s="67">
        <v>0.10734463276836158</v>
      </c>
      <c r="M180" s="67">
        <v>0.24364123159303883</v>
      </c>
      <c r="N180" s="67">
        <v>0.20281124497991967</v>
      </c>
      <c r="O180" s="67">
        <v>0.5357142857142857</v>
      </c>
      <c r="P180" s="67">
        <v>0.35643564356435642</v>
      </c>
      <c r="Q180" s="67">
        <v>0.41849148418491483</v>
      </c>
    </row>
    <row r="181" spans="1:17" x14ac:dyDescent="0.4">
      <c r="A181" s="69">
        <v>178</v>
      </c>
      <c r="B181" s="66">
        <v>-1166.8000000000002</v>
      </c>
      <c r="C181" s="66">
        <v>-6.5550561797752822</v>
      </c>
      <c r="D181" s="71">
        <v>2.101123595505618</v>
      </c>
      <c r="E181" s="67">
        <v>0.30337078651685395</v>
      </c>
      <c r="F181" s="67">
        <v>0.4044943820224719</v>
      </c>
      <c r="G181" s="67">
        <v>0.27600000000000002</v>
      </c>
      <c r="H181" s="67">
        <v>0.17133333333333334</v>
      </c>
      <c r="I181" s="68">
        <v>8112.5603864734303</v>
      </c>
      <c r="J181" s="68">
        <v>-8363.035019455252</v>
      </c>
      <c r="K181" s="67">
        <v>0.1404494382022472</v>
      </c>
      <c r="L181" s="67">
        <v>0.10674157303370786</v>
      </c>
      <c r="M181" s="67">
        <v>0.24399999999999999</v>
      </c>
      <c r="N181" s="67">
        <v>0.20333333333333334</v>
      </c>
      <c r="O181" s="67">
        <v>0.53825136612021862</v>
      </c>
      <c r="P181" s="67">
        <v>0.35737704918032787</v>
      </c>
      <c r="Q181" s="67">
        <v>0.41787439613526572</v>
      </c>
    </row>
    <row r="182" spans="1:17" x14ac:dyDescent="0.4">
      <c r="A182" s="69">
        <v>179</v>
      </c>
      <c r="B182" s="66">
        <v>-1205.5000000000002</v>
      </c>
      <c r="C182" s="66">
        <v>-6.7346368715083811</v>
      </c>
      <c r="D182" s="71">
        <v>2.1061452513966481</v>
      </c>
      <c r="E182" s="67">
        <v>0.3016759776536313</v>
      </c>
      <c r="F182" s="67">
        <v>0.40782122905027934</v>
      </c>
      <c r="G182" s="67">
        <v>0.27652519893899202</v>
      </c>
      <c r="H182" s="67">
        <v>0.17241379310344829</v>
      </c>
      <c r="I182" s="68">
        <v>8105.035971223022</v>
      </c>
      <c r="J182" s="68">
        <v>-8398.8461538461543</v>
      </c>
      <c r="K182" s="67">
        <v>0.13966480446927373</v>
      </c>
      <c r="L182" s="67">
        <v>0.10614525139664804</v>
      </c>
      <c r="M182" s="67">
        <v>0.24535809018567639</v>
      </c>
      <c r="N182" s="67">
        <v>0.20225464190981432</v>
      </c>
      <c r="O182" s="67">
        <v>0.54054054054054057</v>
      </c>
      <c r="P182" s="67">
        <v>0.35737704918032787</v>
      </c>
      <c r="Q182" s="67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98680-2C16-485C-9AE9-5172D8990B58}">
  <sheetPr codeName="Sheet10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  <row r="166" spans="1:17" x14ac:dyDescent="0.4">
      <c r="A166" s="69">
        <v>163</v>
      </c>
      <c r="B166" s="66">
        <v>-539.20000000000005</v>
      </c>
      <c r="C166" s="66">
        <v>-3.3079754601226998</v>
      </c>
      <c r="D166" s="71">
        <v>2.0797546012269938</v>
      </c>
      <c r="E166" s="67">
        <v>0.26993865030674846</v>
      </c>
      <c r="F166" s="67">
        <v>0.34969325153374231</v>
      </c>
      <c r="G166" s="67">
        <v>0.27665920954511558</v>
      </c>
      <c r="H166" s="67">
        <v>0.18344519015659955</v>
      </c>
      <c r="I166" s="68">
        <v>8929.380053908355</v>
      </c>
      <c r="J166" s="68">
        <v>-7653.6585365853662</v>
      </c>
      <c r="K166" s="67">
        <v>0.13496932515337423</v>
      </c>
      <c r="L166" s="67">
        <v>9.815950920245399E-2</v>
      </c>
      <c r="M166" s="67">
        <v>0.29604772557792691</v>
      </c>
      <c r="N166" s="67">
        <v>0.17300521998508575</v>
      </c>
      <c r="O166" s="67">
        <v>0.58438287153652391</v>
      </c>
      <c r="P166" s="67">
        <v>0.31465517241379309</v>
      </c>
      <c r="Q166" s="67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A1FCA-3834-483F-A46E-4E9CB178DCD2}">
  <sheetPr codeName="Sheet8"/>
  <dimension ref="A1:Q2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  <row r="207" spans="1:17" x14ac:dyDescent="0.4">
      <c r="A207" s="69">
        <v>204</v>
      </c>
      <c r="B207" s="66">
        <v>2629.6000000000004</v>
      </c>
      <c r="C207" s="66">
        <v>12.890196078431375</v>
      </c>
      <c r="D207" s="71">
        <v>1.75</v>
      </c>
      <c r="E207" s="67">
        <v>0.48529411764705882</v>
      </c>
      <c r="F207" s="67">
        <v>0.23529411764705882</v>
      </c>
      <c r="G207" s="67">
        <v>0.33950986252241483</v>
      </c>
      <c r="H207" s="67">
        <v>0.15002988643156007</v>
      </c>
      <c r="I207" s="68">
        <v>9216.7253521126768</v>
      </c>
      <c r="J207" s="68">
        <v>-8120.3187250996016</v>
      </c>
      <c r="K207" s="67">
        <v>8.3333333333333329E-2</v>
      </c>
      <c r="L207" s="67">
        <v>0.16666666666666666</v>
      </c>
      <c r="M207" s="67">
        <v>0.3030484160191273</v>
      </c>
      <c r="N207" s="67">
        <v>0.22056186491332935</v>
      </c>
      <c r="O207" s="67">
        <v>0.5818540433925049</v>
      </c>
      <c r="P207" s="67">
        <v>0.50677506775067749</v>
      </c>
      <c r="Q207" s="67">
        <v>0.41725352112676056</v>
      </c>
    </row>
    <row r="208" spans="1:17" x14ac:dyDescent="0.4">
      <c r="A208" s="69">
        <v>205</v>
      </c>
      <c r="B208" s="66">
        <v>2674.5000000000005</v>
      </c>
      <c r="C208" s="66">
        <v>13.046341463414636</v>
      </c>
      <c r="D208" s="71">
        <v>1.7463414634146341</v>
      </c>
      <c r="E208" s="67">
        <v>0.48780487804878048</v>
      </c>
      <c r="F208" s="67">
        <v>0.23414634146341465</v>
      </c>
      <c r="G208" s="67">
        <v>0.33988095238095239</v>
      </c>
      <c r="H208" s="67">
        <v>0.15</v>
      </c>
      <c r="I208" s="68">
        <v>9217.1628721541165</v>
      </c>
      <c r="J208" s="68">
        <v>-8108.730158730159</v>
      </c>
      <c r="K208" s="67">
        <v>8.2926829268292687E-2</v>
      </c>
      <c r="L208" s="67">
        <v>0.17073170731707318</v>
      </c>
      <c r="M208" s="67">
        <v>0.30476190476190479</v>
      </c>
      <c r="N208" s="67">
        <v>0.21964285714285714</v>
      </c>
      <c r="O208" s="67">
        <v>0.58203125</v>
      </c>
      <c r="P208" s="67">
        <v>0.50677506775067749</v>
      </c>
      <c r="Q208" s="67">
        <v>0.41856392294220668</v>
      </c>
    </row>
    <row r="209" spans="1:17" x14ac:dyDescent="0.4">
      <c r="A209" s="69">
        <v>206</v>
      </c>
      <c r="B209" s="66">
        <v>2726.5000000000005</v>
      </c>
      <c r="C209" s="66">
        <v>13.235436893203886</v>
      </c>
      <c r="D209" s="71">
        <v>1.7427184466019416</v>
      </c>
      <c r="E209" s="67">
        <v>0.49029126213592233</v>
      </c>
      <c r="F209" s="67">
        <v>0.23300970873786409</v>
      </c>
      <c r="G209" s="67">
        <v>0.34104389086595494</v>
      </c>
      <c r="H209" s="67">
        <v>0.1494661921708185</v>
      </c>
      <c r="I209" s="68">
        <v>9215.652173913044</v>
      </c>
      <c r="J209" s="68">
        <v>-8108.730158730159</v>
      </c>
      <c r="K209" s="67">
        <v>8.2524271844660199E-2</v>
      </c>
      <c r="L209" s="67">
        <v>0.17475728155339806</v>
      </c>
      <c r="M209" s="67">
        <v>0.30545670225385529</v>
      </c>
      <c r="N209" s="67">
        <v>0.22004744958481615</v>
      </c>
      <c r="O209" s="67">
        <v>0.58446601941747578</v>
      </c>
      <c r="P209" s="67">
        <v>0.50673854447439348</v>
      </c>
      <c r="Q209" s="67">
        <v>0.4191304347826087</v>
      </c>
    </row>
    <row r="210" spans="1:17" x14ac:dyDescent="0.4">
      <c r="A210" s="69">
        <v>207</v>
      </c>
      <c r="B210" s="66">
        <v>2661.5000000000005</v>
      </c>
      <c r="C210" s="66">
        <v>12.857487922705316</v>
      </c>
      <c r="D210" s="71">
        <v>1.748792270531401</v>
      </c>
      <c r="E210" s="67">
        <v>0.48792270531400966</v>
      </c>
      <c r="F210" s="67">
        <v>0.23671497584541062</v>
      </c>
      <c r="G210" s="67">
        <v>0.34063981042654029</v>
      </c>
      <c r="H210" s="67">
        <v>0.1504739336492891</v>
      </c>
      <c r="I210" s="68">
        <v>9215.652173913044</v>
      </c>
      <c r="J210" s="68">
        <v>-8210.2362204724413</v>
      </c>
      <c r="K210" s="67">
        <v>8.6956521739130432E-2</v>
      </c>
      <c r="L210" s="67">
        <v>0.17391304347826086</v>
      </c>
      <c r="M210" s="67">
        <v>0.30627962085308058</v>
      </c>
      <c r="N210" s="67">
        <v>0.21978672985781991</v>
      </c>
      <c r="O210" s="67">
        <v>0.58220502901353965</v>
      </c>
      <c r="P210" s="67">
        <v>0.50673854447439348</v>
      </c>
      <c r="Q210" s="67">
        <v>0.4191304347826087</v>
      </c>
    </row>
    <row r="211" spans="1:17" x14ac:dyDescent="0.4">
      <c r="A211" s="69">
        <v>208</v>
      </c>
      <c r="B211" s="66">
        <v>2614.7000000000003</v>
      </c>
      <c r="C211" s="66">
        <v>12.570673076923079</v>
      </c>
      <c r="D211" s="71">
        <v>1.7548076923076923</v>
      </c>
      <c r="E211" s="67">
        <v>0.48557692307692307</v>
      </c>
      <c r="F211" s="67">
        <v>0.24038461538461539</v>
      </c>
      <c r="G211" s="67">
        <v>0.3400236127508855</v>
      </c>
      <c r="H211" s="67">
        <v>0.1511216056670602</v>
      </c>
      <c r="I211" s="68">
        <v>9227.4305555555547</v>
      </c>
      <c r="J211" s="68">
        <v>-8317.96875</v>
      </c>
      <c r="K211" s="67">
        <v>8.6538461538461536E-2</v>
      </c>
      <c r="L211" s="67">
        <v>0.17307692307692307</v>
      </c>
      <c r="M211" s="67">
        <v>0.30637544273907913</v>
      </c>
      <c r="N211" s="67">
        <v>0.22077922077922077</v>
      </c>
      <c r="O211" s="67">
        <v>0.58188824662813099</v>
      </c>
      <c r="P211" s="67">
        <v>0.50267379679144386</v>
      </c>
      <c r="Q211" s="67">
        <v>0.4201388888888889</v>
      </c>
    </row>
    <row r="212" spans="1:17" x14ac:dyDescent="0.4">
      <c r="A212" s="69">
        <v>209</v>
      </c>
      <c r="B212" s="66">
        <v>2661.7000000000003</v>
      </c>
      <c r="C212" s="66">
        <v>12.735406698564594</v>
      </c>
      <c r="D212" s="71">
        <v>1.7511961722488039</v>
      </c>
      <c r="E212" s="67">
        <v>0.48803827751196172</v>
      </c>
      <c r="F212" s="67">
        <v>0.23923444976076555</v>
      </c>
      <c r="G212" s="67">
        <v>0.34020011771630371</v>
      </c>
      <c r="H212" s="67">
        <v>0.15067686874632136</v>
      </c>
      <c r="I212" s="68">
        <v>9250.8650519031144</v>
      </c>
      <c r="J212" s="68">
        <v>-8317.96875</v>
      </c>
      <c r="K212" s="67">
        <v>8.6124401913875603E-2</v>
      </c>
      <c r="L212" s="67">
        <v>0.17703349282296652</v>
      </c>
      <c r="M212" s="67">
        <v>0.30606238964096527</v>
      </c>
      <c r="N212" s="67">
        <v>0.22071806945261918</v>
      </c>
      <c r="O212" s="67">
        <v>0.58269230769230773</v>
      </c>
      <c r="P212" s="67">
        <v>0.504</v>
      </c>
      <c r="Q212" s="67">
        <v>0.41868512110726641</v>
      </c>
    </row>
    <row r="213" spans="1:17" x14ac:dyDescent="0.4">
      <c r="A213" s="69">
        <v>210</v>
      </c>
      <c r="B213" s="66">
        <v>2614.7000000000003</v>
      </c>
      <c r="C213" s="66">
        <v>12.450952380952382</v>
      </c>
      <c r="D213" s="71">
        <v>1.7571428571428571</v>
      </c>
      <c r="E213" s="67">
        <v>0.48571428571428571</v>
      </c>
      <c r="F213" s="67">
        <v>0.24285714285714285</v>
      </c>
      <c r="G213" s="67">
        <v>0.33939038686987105</v>
      </c>
      <c r="H213" s="67">
        <v>0.15064478311840562</v>
      </c>
      <c r="I213" s="68">
        <v>9241.7962003454231</v>
      </c>
      <c r="J213" s="68">
        <v>-8332.2957198443582</v>
      </c>
      <c r="K213" s="67">
        <v>8.5714285714285715E-2</v>
      </c>
      <c r="L213" s="67">
        <v>0.1761904761904762</v>
      </c>
      <c r="M213" s="67">
        <v>0.30480656506447829</v>
      </c>
      <c r="N213" s="67">
        <v>0.22039859320046892</v>
      </c>
      <c r="O213" s="67">
        <v>0.58269230769230773</v>
      </c>
      <c r="P213" s="67">
        <v>0.50265957446808507</v>
      </c>
      <c r="Q213" s="67">
        <v>0.41968911917098445</v>
      </c>
    </row>
    <row r="214" spans="1:17" x14ac:dyDescent="0.4">
      <c r="A214" s="69">
        <v>211</v>
      </c>
      <c r="B214" s="66">
        <v>2588.4</v>
      </c>
      <c r="C214" s="66">
        <v>12.267298578199053</v>
      </c>
      <c r="D214" s="71">
        <v>1.7630331753554502</v>
      </c>
      <c r="E214" s="67">
        <v>0.48341232227488151</v>
      </c>
      <c r="F214" s="67">
        <v>0.24644549763033174</v>
      </c>
      <c r="G214" s="67">
        <v>0.33779069767441861</v>
      </c>
      <c r="H214" s="67">
        <v>0.15058139534883722</v>
      </c>
      <c r="I214" s="68">
        <v>9261.6179001721175</v>
      </c>
      <c r="J214" s="68">
        <v>-8280.6949806949815</v>
      </c>
      <c r="K214" s="67">
        <v>8.5308056872037921E-2</v>
      </c>
      <c r="L214" s="67">
        <v>0.17535545023696683</v>
      </c>
      <c r="M214" s="67">
        <v>0.30523255813953487</v>
      </c>
      <c r="N214" s="67">
        <v>0.21976744186046512</v>
      </c>
      <c r="O214" s="67">
        <v>0.580952380952381</v>
      </c>
      <c r="P214" s="67">
        <v>0.5</v>
      </c>
      <c r="Q214" s="67">
        <v>0.41996557659208261</v>
      </c>
    </row>
    <row r="215" spans="1:17" x14ac:dyDescent="0.4">
      <c r="A215" s="69">
        <v>212</v>
      </c>
      <c r="B215" s="66">
        <v>2645.9</v>
      </c>
      <c r="C215" s="66">
        <v>12.480660377358491</v>
      </c>
      <c r="D215" s="71">
        <v>1.7594339622641511</v>
      </c>
      <c r="E215" s="67">
        <v>0.48584905660377359</v>
      </c>
      <c r="F215" s="67">
        <v>0.24528301886792453</v>
      </c>
      <c r="G215" s="67">
        <v>0.33815028901734107</v>
      </c>
      <c r="H215" s="67">
        <v>0.15028901734104047</v>
      </c>
      <c r="I215" s="68">
        <v>9266.6666666666661</v>
      </c>
      <c r="J215" s="68">
        <v>-8279.6153846153848</v>
      </c>
      <c r="K215" s="67">
        <v>8.4905660377358486E-2</v>
      </c>
      <c r="L215" s="67">
        <v>0.17452830188679244</v>
      </c>
      <c r="M215" s="67">
        <v>0.30578034682080923</v>
      </c>
      <c r="N215" s="67">
        <v>0.21907514450867052</v>
      </c>
      <c r="O215" s="67">
        <v>0.58412098298676751</v>
      </c>
      <c r="P215" s="67">
        <v>0.49868073878627966</v>
      </c>
      <c r="Q215" s="67">
        <v>0.42222222222222222</v>
      </c>
    </row>
    <row r="216" spans="1:17" x14ac:dyDescent="0.4">
      <c r="A216" s="69">
        <v>213</v>
      </c>
      <c r="B216" s="66">
        <v>2670.7000000000003</v>
      </c>
      <c r="C216" s="66">
        <v>12.53849765258216</v>
      </c>
      <c r="D216" s="71">
        <v>1.755868544600939</v>
      </c>
      <c r="E216" s="67">
        <v>0.48826291079812206</v>
      </c>
      <c r="F216" s="67">
        <v>0.24413145539906103</v>
      </c>
      <c r="G216" s="67">
        <v>0.33870040253018974</v>
      </c>
      <c r="H216" s="67">
        <v>0.14951121334100057</v>
      </c>
      <c r="I216" s="68">
        <v>9249.2359932088293</v>
      </c>
      <c r="J216" s="68">
        <v>-8279.6153846153848</v>
      </c>
      <c r="K216" s="67">
        <v>8.4507042253521125E-2</v>
      </c>
      <c r="L216" s="67">
        <v>0.17370892018779344</v>
      </c>
      <c r="M216" s="67">
        <v>0.30592294422081656</v>
      </c>
      <c r="N216" s="67">
        <v>0.22024151811385853</v>
      </c>
      <c r="O216" s="67">
        <v>0.58270676691729328</v>
      </c>
      <c r="P216" s="67">
        <v>0.50130548302872058</v>
      </c>
      <c r="Q216" s="67">
        <v>0.41935483870967744</v>
      </c>
    </row>
    <row r="217" spans="1:17" x14ac:dyDescent="0.4">
      <c r="A217" s="69">
        <v>214</v>
      </c>
      <c r="B217" s="66">
        <v>2623.6000000000004</v>
      </c>
      <c r="C217" s="66">
        <v>12.259813084112151</v>
      </c>
      <c r="D217" s="71">
        <v>1.7616822429906542</v>
      </c>
      <c r="E217" s="67">
        <v>0.48598130841121495</v>
      </c>
      <c r="F217" s="67">
        <v>0.24766355140186916</v>
      </c>
      <c r="G217" s="67">
        <v>0.33771428571428569</v>
      </c>
      <c r="H217" s="67">
        <v>0.14971428571428572</v>
      </c>
      <c r="I217" s="68">
        <v>9238.0710659898468</v>
      </c>
      <c r="J217" s="68">
        <v>-8308.0152671755732</v>
      </c>
      <c r="K217" s="67">
        <v>8.4112149532710276E-2</v>
      </c>
      <c r="L217" s="67">
        <v>0.17289719626168223</v>
      </c>
      <c r="M217" s="67">
        <v>0.30514285714285716</v>
      </c>
      <c r="N217" s="67">
        <v>0.22</v>
      </c>
      <c r="O217" s="67">
        <v>0.58052434456928836</v>
      </c>
      <c r="P217" s="67">
        <v>0.50389610389610384</v>
      </c>
      <c r="Q217" s="67">
        <v>0.41793570219966159</v>
      </c>
    </row>
    <row r="218" spans="1:17" x14ac:dyDescent="0.4">
      <c r="A218" s="69">
        <v>215</v>
      </c>
      <c r="B218" s="66">
        <v>2676.6000000000004</v>
      </c>
      <c r="C218" s="66">
        <v>12.449302325581398</v>
      </c>
      <c r="D218" s="71">
        <v>1.758139534883721</v>
      </c>
      <c r="E218" s="67">
        <v>0.48837209302325579</v>
      </c>
      <c r="F218" s="67">
        <v>0.24651162790697675</v>
      </c>
      <c r="G218" s="67">
        <v>0.33826879271070615</v>
      </c>
      <c r="H218" s="67">
        <v>0.15034168564920272</v>
      </c>
      <c r="I218" s="68">
        <v>9260.7744107744111</v>
      </c>
      <c r="J218" s="68">
        <v>-8268.560606060606</v>
      </c>
      <c r="K218" s="67">
        <v>8.3720930232558138E-2</v>
      </c>
      <c r="L218" s="67">
        <v>0.17209302325581396</v>
      </c>
      <c r="M218" s="67">
        <v>0.30466970387243736</v>
      </c>
      <c r="N218" s="67">
        <v>0.2203872437357631</v>
      </c>
      <c r="O218" s="67">
        <v>0.58130841121495325</v>
      </c>
      <c r="P218" s="67">
        <v>0.50129198966408273</v>
      </c>
      <c r="Q218" s="67">
        <v>0.41919191919191917</v>
      </c>
    </row>
    <row r="219" spans="1:17" x14ac:dyDescent="0.4">
      <c r="A219" s="69">
        <v>216</v>
      </c>
      <c r="B219" s="66">
        <v>2671.2000000000003</v>
      </c>
      <c r="C219" s="66">
        <v>12.366666666666667</v>
      </c>
      <c r="D219" s="71">
        <v>1.7592592592592593</v>
      </c>
      <c r="E219" s="67">
        <v>0.4861111111111111</v>
      </c>
      <c r="F219" s="67">
        <v>0.24537037037037038</v>
      </c>
      <c r="G219" s="67">
        <v>0.33806012478729436</v>
      </c>
      <c r="H219" s="67">
        <v>0.15087918321043675</v>
      </c>
      <c r="I219" s="68">
        <v>9246.9798657718129</v>
      </c>
      <c r="J219" s="68">
        <v>-8242.8571428571431</v>
      </c>
      <c r="K219" s="67">
        <v>8.3333333333333329E-2</v>
      </c>
      <c r="L219" s="67">
        <v>0.17129629629629631</v>
      </c>
      <c r="M219" s="67">
        <v>0.30459444129325014</v>
      </c>
      <c r="N219" s="67">
        <v>0.21951219512195122</v>
      </c>
      <c r="O219" s="67">
        <v>0.58286778398510242</v>
      </c>
      <c r="P219" s="67">
        <v>0.50129198966408273</v>
      </c>
      <c r="Q219" s="67">
        <v>0.41946308724832215</v>
      </c>
    </row>
    <row r="220" spans="1:17" x14ac:dyDescent="0.4">
      <c r="A220" s="69">
        <v>217</v>
      </c>
      <c r="B220" s="66">
        <v>2672.1000000000004</v>
      </c>
      <c r="C220" s="66">
        <v>12.313824884792629</v>
      </c>
      <c r="D220" s="71">
        <v>1.76036866359447</v>
      </c>
      <c r="E220" s="67">
        <v>0.4838709677419355</v>
      </c>
      <c r="F220" s="67">
        <v>0.24423963133640553</v>
      </c>
      <c r="G220" s="67">
        <v>0.33709131905298761</v>
      </c>
      <c r="H220" s="67">
        <v>0.15050732807215333</v>
      </c>
      <c r="I220" s="68">
        <v>9251.0033444816054</v>
      </c>
      <c r="J220" s="68">
        <v>-8219.4756554307114</v>
      </c>
      <c r="K220" s="67">
        <v>8.294930875576037E-2</v>
      </c>
      <c r="L220" s="67">
        <v>0.17050691244239632</v>
      </c>
      <c r="M220" s="67">
        <v>0.30270574971815106</v>
      </c>
      <c r="N220" s="67">
        <v>0.21871476888387825</v>
      </c>
      <c r="O220" s="67">
        <v>0.58286778398510242</v>
      </c>
      <c r="P220" s="67">
        <v>0.50257731958762886</v>
      </c>
      <c r="Q220" s="67">
        <v>0.41806020066889632</v>
      </c>
    </row>
    <row r="221" spans="1:17" x14ac:dyDescent="0.4">
      <c r="A221" s="69">
        <v>218</v>
      </c>
      <c r="B221" s="66">
        <v>2684.2000000000003</v>
      </c>
      <c r="C221" s="66">
        <v>12.31284403669725</v>
      </c>
      <c r="D221" s="71">
        <v>1.761467889908257</v>
      </c>
      <c r="E221" s="67">
        <v>0.48165137614678899</v>
      </c>
      <c r="F221" s="67">
        <v>0.24311926605504589</v>
      </c>
      <c r="G221" s="67">
        <v>0.33670033670033672</v>
      </c>
      <c r="H221" s="67">
        <v>0.14983164983164984</v>
      </c>
      <c r="I221" s="68">
        <v>9236.1666666666661</v>
      </c>
      <c r="J221" s="68">
        <v>-8219.4756554307114</v>
      </c>
      <c r="K221" s="67">
        <v>8.2568807339449546E-2</v>
      </c>
      <c r="L221" s="67">
        <v>0.16972477064220184</v>
      </c>
      <c r="M221" s="67">
        <v>0.30190796857463525</v>
      </c>
      <c r="N221" s="67">
        <v>0.21885521885521886</v>
      </c>
      <c r="O221" s="67">
        <v>0.58364312267657992</v>
      </c>
      <c r="P221" s="67">
        <v>0.5</v>
      </c>
      <c r="Q221" s="67">
        <v>0.41666666666666669</v>
      </c>
    </row>
    <row r="222" spans="1:17" x14ac:dyDescent="0.4">
      <c r="A222" s="69">
        <v>219</v>
      </c>
      <c r="B222" s="66">
        <v>2746.9</v>
      </c>
      <c r="C222" s="66">
        <v>12.542922374429224</v>
      </c>
      <c r="D222" s="71">
        <v>1.7579908675799087</v>
      </c>
      <c r="E222" s="67">
        <v>0.48401826484018262</v>
      </c>
      <c r="F222" s="67">
        <v>0.24200913242009131</v>
      </c>
      <c r="G222" s="67">
        <v>0.33742331288343558</v>
      </c>
      <c r="H222" s="67">
        <v>0.14947016174010039</v>
      </c>
      <c r="I222" s="68">
        <v>9240.6611570247933</v>
      </c>
      <c r="J222" s="68">
        <v>-8208.2089552238813</v>
      </c>
      <c r="K222" s="67">
        <v>8.2191780821917804E-2</v>
      </c>
      <c r="L222" s="67">
        <v>0.16894977168949771</v>
      </c>
      <c r="M222" s="67">
        <v>0.30228667038482987</v>
      </c>
      <c r="N222" s="67">
        <v>0.21862799776910205</v>
      </c>
      <c r="O222" s="67">
        <v>0.58487084870848705</v>
      </c>
      <c r="P222" s="67">
        <v>0.5</v>
      </c>
      <c r="Q222" s="67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B47C5-46C5-45F4-ADFC-54EACD7C8B2C}">
  <sheetPr codeName="Sheet6"/>
  <dimension ref="A1:Q3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  <row r="321" spans="1:17" x14ac:dyDescent="0.4">
      <c r="A321" s="69">
        <v>318</v>
      </c>
      <c r="B321" s="66">
        <v>-1.5987211554602254E-14</v>
      </c>
      <c r="C321" s="66">
        <v>-1.67580833905684E-17</v>
      </c>
      <c r="D321" s="71">
        <v>2</v>
      </c>
      <c r="E321" s="67">
        <v>0.33333333333333331</v>
      </c>
      <c r="F321" s="67">
        <v>0.33333333333333331</v>
      </c>
      <c r="G321" s="67">
        <v>0.29801992685080086</v>
      </c>
      <c r="H321" s="67">
        <v>0.16698196493883213</v>
      </c>
      <c r="I321" s="68">
        <v>8616.4621244181126</v>
      </c>
      <c r="J321" s="68">
        <v>-8109.2145015105743</v>
      </c>
      <c r="K321" s="67">
        <v>0.11740041928721175</v>
      </c>
      <c r="L321" s="67">
        <v>0.11740041928721175</v>
      </c>
      <c r="M321" s="67">
        <v>0.26787741203178206</v>
      </c>
      <c r="N321" s="67">
        <v>0.21402446714592005</v>
      </c>
      <c r="O321" s="67">
        <v>0.57721280602636538</v>
      </c>
      <c r="P321" s="67">
        <v>0.39835002946375958</v>
      </c>
      <c r="Q321" s="67">
        <v>0.43207786711807022</v>
      </c>
    </row>
    <row r="322" spans="1:17" x14ac:dyDescent="0.4">
      <c r="A322" s="69">
        <v>319</v>
      </c>
      <c r="B322" s="66">
        <v>-1.4210854715202004E-14</v>
      </c>
      <c r="C322" s="66">
        <v>-1.4849377967818187E-17</v>
      </c>
      <c r="D322" s="71">
        <v>2</v>
      </c>
      <c r="E322" s="67">
        <v>0.33333333333333331</v>
      </c>
      <c r="F322" s="67">
        <v>0.33333333333333331</v>
      </c>
      <c r="G322" s="67">
        <v>0.2981132075471698</v>
      </c>
      <c r="H322" s="67">
        <v>0.16704402515723271</v>
      </c>
      <c r="I322" s="68">
        <v>8615.4430379746827</v>
      </c>
      <c r="J322" s="68">
        <v>-8109.1114457831327</v>
      </c>
      <c r="K322" s="67">
        <v>0.1180773249738767</v>
      </c>
      <c r="L322" s="67">
        <v>0.1180773249738767</v>
      </c>
      <c r="M322" s="67">
        <v>0.26855345911949685</v>
      </c>
      <c r="N322" s="67">
        <v>0.21358490566037736</v>
      </c>
      <c r="O322" s="67">
        <v>0.57704918032786889</v>
      </c>
      <c r="P322" s="67">
        <v>0.39811542991755006</v>
      </c>
      <c r="Q322" s="67">
        <v>0.43206751054852321</v>
      </c>
    </row>
    <row r="323" spans="1:17" x14ac:dyDescent="0.4">
      <c r="A323" s="69">
        <v>320</v>
      </c>
      <c r="B323" s="66">
        <v>-1.2434497875801753E-14</v>
      </c>
      <c r="C323" s="66">
        <v>-1.295260195396016E-17</v>
      </c>
      <c r="D323" s="71">
        <v>2</v>
      </c>
      <c r="E323" s="67">
        <v>0.33333333333333331</v>
      </c>
      <c r="F323" s="67">
        <v>0.33333333333333331</v>
      </c>
      <c r="G323" s="67">
        <v>0.29819277108433734</v>
      </c>
      <c r="H323" s="67">
        <v>0.16704317269076305</v>
      </c>
      <c r="I323" s="68">
        <v>8613.8468013468009</v>
      </c>
      <c r="J323" s="68">
        <v>-8108.790383170548</v>
      </c>
      <c r="K323" s="67">
        <v>0.11874999999999999</v>
      </c>
      <c r="L323" s="67">
        <v>0.11874999999999999</v>
      </c>
      <c r="M323" s="67">
        <v>0.2684487951807229</v>
      </c>
      <c r="N323" s="67">
        <v>0.21385542168674698</v>
      </c>
      <c r="O323" s="67">
        <v>0.57784011220196352</v>
      </c>
      <c r="P323" s="67">
        <v>0.397887323943662</v>
      </c>
      <c r="Q323" s="67">
        <v>0.43223905723905726</v>
      </c>
    </row>
    <row r="324" spans="1:17" x14ac:dyDescent="0.4">
      <c r="A324" s="69">
        <v>321</v>
      </c>
      <c r="B324" s="66">
        <v>-1.4210854715202004E-14</v>
      </c>
      <c r="C324" s="66">
        <v>-1.4756858478922122E-17</v>
      </c>
      <c r="D324" s="71">
        <v>2</v>
      </c>
      <c r="E324" s="67">
        <v>0.33333333333333331</v>
      </c>
      <c r="F324" s="67">
        <v>0.33333333333333331</v>
      </c>
      <c r="G324" s="67">
        <v>0.29821921244043142</v>
      </c>
      <c r="H324" s="67">
        <v>0.16716829696513669</v>
      </c>
      <c r="I324" s="68">
        <v>8624.2640874684603</v>
      </c>
      <c r="J324" s="68">
        <v>-8128.1320330082517</v>
      </c>
      <c r="K324" s="67">
        <v>0.11941848390446522</v>
      </c>
      <c r="L324" s="67">
        <v>0.11941848390446522</v>
      </c>
      <c r="M324" s="67">
        <v>0.26849761725608229</v>
      </c>
      <c r="N324" s="67">
        <v>0.21381991472284925</v>
      </c>
      <c r="O324" s="67">
        <v>0.57730032695002331</v>
      </c>
      <c r="P324" s="67">
        <v>0.39824046920821116</v>
      </c>
      <c r="Q324" s="67">
        <v>0.43187552565180826</v>
      </c>
    </row>
    <row r="325" spans="1:17" x14ac:dyDescent="0.4">
      <c r="A325" s="69">
        <v>322</v>
      </c>
      <c r="B325" s="66">
        <v>-7.1054273576010019E-15</v>
      </c>
      <c r="C325" s="66">
        <v>-7.3555148629409962E-18</v>
      </c>
      <c r="D325" s="71">
        <v>2</v>
      </c>
      <c r="E325" s="67">
        <v>0.33333333333333331</v>
      </c>
      <c r="F325" s="67">
        <v>0.33333333333333331</v>
      </c>
      <c r="G325" s="67">
        <v>0.29804804804804808</v>
      </c>
      <c r="H325" s="67">
        <v>0.16704204204204204</v>
      </c>
      <c r="I325" s="68">
        <v>8635.8522250209899</v>
      </c>
      <c r="J325" s="68">
        <v>-8148.9138576779023</v>
      </c>
      <c r="K325" s="67">
        <v>0.11904761904761904</v>
      </c>
      <c r="L325" s="67">
        <v>0.11904761904761904</v>
      </c>
      <c r="M325" s="67">
        <v>0.26851851851851855</v>
      </c>
      <c r="N325" s="67">
        <v>0.21383883883883884</v>
      </c>
      <c r="O325" s="67">
        <v>0.57642124883504198</v>
      </c>
      <c r="P325" s="67">
        <v>0.39730836746635462</v>
      </c>
      <c r="Q325" s="67">
        <v>0.43198992443324935</v>
      </c>
    </row>
    <row r="326" spans="1:17" x14ac:dyDescent="0.4">
      <c r="A326" s="69">
        <v>323</v>
      </c>
      <c r="B326" s="66">
        <v>0</v>
      </c>
      <c r="C326" s="66">
        <v>0</v>
      </c>
      <c r="D326" s="71">
        <v>2</v>
      </c>
      <c r="E326" s="67">
        <v>0.33333333333333331</v>
      </c>
      <c r="F326" s="67">
        <v>0.33333333333333331</v>
      </c>
      <c r="G326" s="67">
        <v>0.29811415011864617</v>
      </c>
      <c r="H326" s="67">
        <v>0.16710378418883476</v>
      </c>
      <c r="I326" s="68">
        <v>8640.8043569333895</v>
      </c>
      <c r="J326" s="68">
        <v>-8163.5276532137523</v>
      </c>
      <c r="K326" s="67">
        <v>0.11971104231166151</v>
      </c>
      <c r="L326" s="67">
        <v>0.11971104231166151</v>
      </c>
      <c r="M326" s="67">
        <v>0.2681403771699763</v>
      </c>
      <c r="N326" s="67">
        <v>0.2139378044211315</v>
      </c>
      <c r="O326" s="67">
        <v>0.57661853749417791</v>
      </c>
      <c r="P326" s="67">
        <v>0.39871570344424984</v>
      </c>
      <c r="Q326" s="67">
        <v>0.43192291579388353</v>
      </c>
    </row>
    <row r="327" spans="1:17" x14ac:dyDescent="0.4">
      <c r="A327" s="69">
        <v>324</v>
      </c>
      <c r="B327" s="66">
        <v>0</v>
      </c>
      <c r="C327" s="66">
        <v>0</v>
      </c>
      <c r="D327" s="71">
        <v>2</v>
      </c>
      <c r="E327" s="67">
        <v>0.33333333333333331</v>
      </c>
      <c r="F327" s="67">
        <v>0.33333333333333331</v>
      </c>
      <c r="G327" s="67">
        <v>0.2982062780269058</v>
      </c>
      <c r="H327" s="67">
        <v>0.16691579471848531</v>
      </c>
      <c r="I327" s="68">
        <v>8640.559732664995</v>
      </c>
      <c r="J327" s="68">
        <v>-8162.2388059701489</v>
      </c>
      <c r="K327" s="67">
        <v>0.11934156378600823</v>
      </c>
      <c r="L327" s="67">
        <v>0.11934156378600823</v>
      </c>
      <c r="M327" s="67">
        <v>0.26781265570503238</v>
      </c>
      <c r="N327" s="67">
        <v>0.21362730443447933</v>
      </c>
      <c r="O327" s="67">
        <v>0.57674418604651168</v>
      </c>
      <c r="P327" s="67">
        <v>0.39883381924198252</v>
      </c>
      <c r="Q327" s="67">
        <v>0.43274853801169588</v>
      </c>
    </row>
    <row r="328" spans="1:17" x14ac:dyDescent="0.4">
      <c r="A328" s="69">
        <v>325</v>
      </c>
      <c r="B328" s="66">
        <v>0</v>
      </c>
      <c r="C328" s="66">
        <v>0</v>
      </c>
      <c r="D328" s="71">
        <v>2</v>
      </c>
      <c r="E328" s="67">
        <v>0.33333333333333331</v>
      </c>
      <c r="F328" s="67">
        <v>0.33333333333333331</v>
      </c>
      <c r="G328" s="67">
        <v>0.29801734820322179</v>
      </c>
      <c r="H328" s="67">
        <v>0.1667905824039653</v>
      </c>
      <c r="I328" s="68">
        <v>8642.328482328483</v>
      </c>
      <c r="J328" s="68">
        <v>-8146.1367013372956</v>
      </c>
      <c r="K328" s="67">
        <v>0.11897435897435897</v>
      </c>
      <c r="L328" s="67">
        <v>0.11897435897435897</v>
      </c>
      <c r="M328" s="67">
        <v>0.26790582403965302</v>
      </c>
      <c r="N328" s="67">
        <v>0.21350681536555141</v>
      </c>
      <c r="O328" s="67">
        <v>0.57585568917668828</v>
      </c>
      <c r="P328" s="67">
        <v>0.39872315728380731</v>
      </c>
      <c r="Q328" s="67">
        <v>0.43284823284823287</v>
      </c>
    </row>
    <row r="329" spans="1:17" x14ac:dyDescent="0.4">
      <c r="A329" s="69">
        <v>326</v>
      </c>
      <c r="B329" s="66">
        <v>0</v>
      </c>
      <c r="C329" s="66">
        <v>0</v>
      </c>
      <c r="D329" s="71">
        <v>2</v>
      </c>
      <c r="E329" s="67">
        <v>0.33333333333333331</v>
      </c>
      <c r="F329" s="67">
        <v>0.33333333333333331</v>
      </c>
      <c r="G329" s="67">
        <v>0.29777777777777775</v>
      </c>
      <c r="H329" s="67">
        <v>0.1665432098765432</v>
      </c>
      <c r="I329" s="68">
        <v>8643.3665008291882</v>
      </c>
      <c r="J329" s="68">
        <v>-8151.7420311341739</v>
      </c>
      <c r="K329" s="67">
        <v>0.11860940695296524</v>
      </c>
      <c r="L329" s="67">
        <v>0.11860940695296524</v>
      </c>
      <c r="M329" s="67">
        <v>0.2680246913580247</v>
      </c>
      <c r="N329" s="67">
        <v>0.21358024691358024</v>
      </c>
      <c r="O329" s="67">
        <v>0.57623215108245052</v>
      </c>
      <c r="P329" s="67">
        <v>0.39768786127167632</v>
      </c>
      <c r="Q329" s="67">
        <v>0.43325041459369817</v>
      </c>
    </row>
    <row r="330" spans="1:17" x14ac:dyDescent="0.4">
      <c r="A330" s="69">
        <v>327</v>
      </c>
      <c r="B330" s="66">
        <v>3.5527136788005009E-15</v>
      </c>
      <c r="C330" s="66">
        <v>3.6215226083593285E-18</v>
      </c>
      <c r="D330" s="71">
        <v>2</v>
      </c>
      <c r="E330" s="67">
        <v>0.33333333333333331</v>
      </c>
      <c r="F330" s="67">
        <v>0.33333333333333331</v>
      </c>
      <c r="G330" s="67">
        <v>0.29777285591239078</v>
      </c>
      <c r="H330" s="67">
        <v>0.16660514334932938</v>
      </c>
      <c r="I330" s="68">
        <v>8649.0082644628092</v>
      </c>
      <c r="J330" s="68">
        <v>-8147.3412112259966</v>
      </c>
      <c r="K330" s="67">
        <v>0.11824668705402651</v>
      </c>
      <c r="L330" s="67">
        <v>0.11824668705402651</v>
      </c>
      <c r="M330" s="67">
        <v>0.26799557032115173</v>
      </c>
      <c r="N330" s="67">
        <v>0.2136089577950043</v>
      </c>
      <c r="O330" s="67">
        <v>0.5762167125803489</v>
      </c>
      <c r="P330" s="67">
        <v>0.39804147465437789</v>
      </c>
      <c r="Q330" s="67">
        <v>0.43305785123966944</v>
      </c>
    </row>
    <row r="331" spans="1:17" x14ac:dyDescent="0.4">
      <c r="A331" s="69">
        <v>328</v>
      </c>
      <c r="B331" s="66">
        <v>1.4210854715202004E-14</v>
      </c>
      <c r="C331" s="66">
        <v>1.4441925523579274E-17</v>
      </c>
      <c r="D331" s="71">
        <v>2</v>
      </c>
      <c r="E331" s="67">
        <v>0.33333333333333331</v>
      </c>
      <c r="F331" s="67">
        <v>0.33333333333333331</v>
      </c>
      <c r="G331" s="67">
        <v>0.29779411764705882</v>
      </c>
      <c r="H331" s="67">
        <v>0.16666666666666666</v>
      </c>
      <c r="I331" s="68">
        <v>8650.699588477366</v>
      </c>
      <c r="J331" s="68">
        <v>-8158.161764705882</v>
      </c>
      <c r="K331" s="67">
        <v>0.11788617886178862</v>
      </c>
      <c r="L331" s="67">
        <v>0.11788617886178862</v>
      </c>
      <c r="M331" s="67">
        <v>0.26740196078431372</v>
      </c>
      <c r="N331" s="67">
        <v>0.21397058823529411</v>
      </c>
      <c r="O331" s="67">
        <v>0.57607699358386799</v>
      </c>
      <c r="P331" s="67">
        <v>0.39977090492554412</v>
      </c>
      <c r="Q331" s="67">
        <v>0.43251028806584363</v>
      </c>
    </row>
    <row r="332" spans="1:17" x14ac:dyDescent="0.4">
      <c r="A332" s="69">
        <v>329</v>
      </c>
      <c r="B332" s="66">
        <v>1.0658141036401503E-14</v>
      </c>
      <c r="C332" s="66">
        <v>1.0798521820062313E-17</v>
      </c>
      <c r="D332" s="71">
        <v>2</v>
      </c>
      <c r="E332" s="67">
        <v>0.33333333333333331</v>
      </c>
      <c r="F332" s="67">
        <v>0.33333333333333331</v>
      </c>
      <c r="G332" s="67">
        <v>0.2978723404255319</v>
      </c>
      <c r="H332" s="67">
        <v>0.16666666666666666</v>
      </c>
      <c r="I332" s="68">
        <v>8650.1642036124795</v>
      </c>
      <c r="J332" s="68">
        <v>-8148.5693323550986</v>
      </c>
      <c r="K332" s="67">
        <v>0.11752786220871327</v>
      </c>
      <c r="L332" s="67">
        <v>0.11752786220871327</v>
      </c>
      <c r="M332" s="67">
        <v>0.26693568109562238</v>
      </c>
      <c r="N332" s="67">
        <v>0.21447786744925409</v>
      </c>
      <c r="O332" s="67">
        <v>0.57627118644067798</v>
      </c>
      <c r="P332" s="67">
        <v>0.39908779931584948</v>
      </c>
      <c r="Q332" s="67">
        <v>0.43267651888341546</v>
      </c>
    </row>
    <row r="333" spans="1:17" x14ac:dyDescent="0.4">
      <c r="A333" s="69">
        <v>330</v>
      </c>
      <c r="B333" s="66">
        <v>2.1316282072803006E-14</v>
      </c>
      <c r="C333" s="66">
        <v>2.1531598053336369E-17</v>
      </c>
      <c r="D333" s="71">
        <v>2</v>
      </c>
      <c r="E333" s="67">
        <v>0.33333333333333331</v>
      </c>
      <c r="F333" s="67">
        <v>0.33333333333333331</v>
      </c>
      <c r="G333" s="67">
        <v>0.29796316623978536</v>
      </c>
      <c r="H333" s="67">
        <v>0.16672764971337969</v>
      </c>
      <c r="I333" s="68">
        <v>8639.8280802292265</v>
      </c>
      <c r="J333" s="68">
        <v>-8135.1865398683249</v>
      </c>
      <c r="K333" s="67">
        <v>0.11717171717171718</v>
      </c>
      <c r="L333" s="67">
        <v>0.11717171717171718</v>
      </c>
      <c r="M333" s="67">
        <v>0.2664959141358702</v>
      </c>
      <c r="N333" s="67">
        <v>0.21490425661666057</v>
      </c>
      <c r="O333" s="67">
        <v>0.57665903890160186</v>
      </c>
      <c r="P333" s="67">
        <v>0.40011350737797957</v>
      </c>
      <c r="Q333" s="67">
        <v>0.43266475644699143</v>
      </c>
    </row>
    <row r="334" spans="1:17" x14ac:dyDescent="0.4">
      <c r="A334" s="69">
        <v>331</v>
      </c>
      <c r="B334" s="66">
        <v>2.1316282072803006E-14</v>
      </c>
      <c r="C334" s="66">
        <v>2.1466547908160126E-17</v>
      </c>
      <c r="D334" s="71">
        <v>2</v>
      </c>
      <c r="E334" s="67">
        <v>0.33333333333333331</v>
      </c>
      <c r="F334" s="67">
        <v>0.33333333333333331</v>
      </c>
      <c r="G334" s="67">
        <v>0.29810495626822159</v>
      </c>
      <c r="H334" s="67">
        <v>0.16678814382896015</v>
      </c>
      <c r="I334" s="68">
        <v>8633.7000814995918</v>
      </c>
      <c r="J334" s="68">
        <v>-8131.172614712309</v>
      </c>
      <c r="K334" s="67">
        <v>0.11681772406847936</v>
      </c>
      <c r="L334" s="67">
        <v>0.11681772406847936</v>
      </c>
      <c r="M334" s="67">
        <v>0.26579203109815353</v>
      </c>
      <c r="N334" s="67">
        <v>0.21525753158406219</v>
      </c>
      <c r="O334" s="67">
        <v>0.57632541133455206</v>
      </c>
      <c r="P334" s="67">
        <v>0.40067720090293452</v>
      </c>
      <c r="Q334" s="67">
        <v>0.43276283618581907</v>
      </c>
    </row>
    <row r="335" spans="1:17" x14ac:dyDescent="0.4">
      <c r="A335" s="69">
        <v>332</v>
      </c>
      <c r="B335" s="66">
        <v>2.1316282072803006E-14</v>
      </c>
      <c r="C335" s="66">
        <v>2.140188963132832E-17</v>
      </c>
      <c r="D335" s="71">
        <v>2</v>
      </c>
      <c r="E335" s="67">
        <v>0.33333333333333331</v>
      </c>
      <c r="F335" s="67">
        <v>0.33333333333333331</v>
      </c>
      <c r="G335" s="67">
        <v>0.29820736434108525</v>
      </c>
      <c r="H335" s="67">
        <v>0.16690891472868216</v>
      </c>
      <c r="I335" s="68">
        <v>8621.811535337125</v>
      </c>
      <c r="J335" s="68">
        <v>-8126.197387518142</v>
      </c>
      <c r="K335" s="67">
        <v>0.11746987951807229</v>
      </c>
      <c r="L335" s="67">
        <v>0.11746987951807229</v>
      </c>
      <c r="M335" s="67">
        <v>0.2653827519379845</v>
      </c>
      <c r="N335" s="67">
        <v>0.21535852713178294</v>
      </c>
      <c r="O335" s="67">
        <v>0.57599269739844816</v>
      </c>
      <c r="P335" s="67">
        <v>0.40044994375703036</v>
      </c>
      <c r="Q335" s="67">
        <v>0.43216896831844032</v>
      </c>
    </row>
    <row r="336" spans="1:17" x14ac:dyDescent="0.4">
      <c r="A336" s="69">
        <v>333</v>
      </c>
      <c r="B336" s="66">
        <v>2.8421709430404007E-14</v>
      </c>
      <c r="C336" s="66">
        <v>2.8450159589994001E-17</v>
      </c>
      <c r="D336" s="71">
        <v>2</v>
      </c>
      <c r="E336" s="67">
        <v>0.33333333333333331</v>
      </c>
      <c r="F336" s="67">
        <v>0.33333333333333331</v>
      </c>
      <c r="G336" s="67">
        <v>0.2980108499095841</v>
      </c>
      <c r="H336" s="67">
        <v>0.16684749849306812</v>
      </c>
      <c r="I336" s="68">
        <v>8616.6666666666661</v>
      </c>
      <c r="J336" s="68">
        <v>-8104.1907514450868</v>
      </c>
      <c r="K336" s="67">
        <v>0.11711711711711711</v>
      </c>
      <c r="L336" s="67">
        <v>0.11711711711711711</v>
      </c>
      <c r="M336" s="67">
        <v>0.26534056660638938</v>
      </c>
      <c r="N336" s="67">
        <v>0.21531042796865582</v>
      </c>
      <c r="O336" s="67">
        <v>0.57655611085870062</v>
      </c>
      <c r="P336" s="67">
        <v>0.40033594624860025</v>
      </c>
      <c r="Q336" s="67">
        <v>0.43203883495145629</v>
      </c>
    </row>
    <row r="337" spans="1:17" x14ac:dyDescent="0.4">
      <c r="A337" s="69">
        <v>334</v>
      </c>
      <c r="B337" s="66">
        <v>3.3750779948604759E-14</v>
      </c>
      <c r="C337" s="66">
        <v>3.3683413122360041E-17</v>
      </c>
      <c r="D337" s="71">
        <v>2</v>
      </c>
      <c r="E337" s="67">
        <v>0.33333333333333331</v>
      </c>
      <c r="F337" s="67">
        <v>0.33333333333333331</v>
      </c>
      <c r="G337" s="67">
        <v>0.29803073967339094</v>
      </c>
      <c r="H337" s="67">
        <v>0.16690682036503363</v>
      </c>
      <c r="I337" s="68">
        <v>8620.0241740531837</v>
      </c>
      <c r="J337" s="68">
        <v>-8110.1438848920861</v>
      </c>
      <c r="K337" s="67">
        <v>0.11676646706586827</v>
      </c>
      <c r="L337" s="67">
        <v>0.11676646706586827</v>
      </c>
      <c r="M337" s="67">
        <v>0.26585014409221902</v>
      </c>
      <c r="N337" s="67">
        <v>0.21481748318924113</v>
      </c>
      <c r="O337" s="67">
        <v>0.57678410117434509</v>
      </c>
      <c r="P337" s="67">
        <v>0.40022358859698154</v>
      </c>
      <c r="Q337" s="67">
        <v>0.43190975020145045</v>
      </c>
    </row>
    <row r="338" spans="1:17" x14ac:dyDescent="0.4">
      <c r="A338" s="69">
        <v>335</v>
      </c>
      <c r="B338" s="66">
        <v>2.8421709430404007E-14</v>
      </c>
      <c r="C338" s="66">
        <v>2.8280307890949259E-17</v>
      </c>
      <c r="D338" s="71">
        <v>2</v>
      </c>
      <c r="E338" s="67">
        <v>0.33333333333333331</v>
      </c>
      <c r="F338" s="67">
        <v>0.33333333333333331</v>
      </c>
      <c r="G338" s="67">
        <v>0.29793086951321612</v>
      </c>
      <c r="H338" s="67">
        <v>0.16708527688075589</v>
      </c>
      <c r="I338" s="68">
        <v>8617.021276595744</v>
      </c>
      <c r="J338" s="68">
        <v>-8115.3185397279885</v>
      </c>
      <c r="K338" s="67">
        <v>0.11741293532338308</v>
      </c>
      <c r="L338" s="67">
        <v>0.11741293532338308</v>
      </c>
      <c r="M338" s="67">
        <v>0.26575768448750148</v>
      </c>
      <c r="N338" s="67">
        <v>0.2149264442052386</v>
      </c>
      <c r="O338" s="67">
        <v>0.57695769576957701</v>
      </c>
      <c r="P338" s="67">
        <v>0.39899833055091821</v>
      </c>
      <c r="Q338" s="67">
        <v>0.43115214773183458</v>
      </c>
    </row>
    <row r="339" spans="1:17" x14ac:dyDescent="0.4">
      <c r="A339" s="69">
        <v>336</v>
      </c>
      <c r="B339" s="66">
        <v>3.4194869158454821E-14</v>
      </c>
      <c r="C339" s="66">
        <v>3.3923481307990897E-17</v>
      </c>
      <c r="D339" s="71">
        <v>2</v>
      </c>
      <c r="E339" s="67">
        <v>0.33333333333333331</v>
      </c>
      <c r="F339" s="67">
        <v>0.33333333333333331</v>
      </c>
      <c r="G339" s="67">
        <v>0.29788757608306482</v>
      </c>
      <c r="H339" s="67">
        <v>0.16684568564267813</v>
      </c>
      <c r="I339" s="68">
        <v>8614.4631410256407</v>
      </c>
      <c r="J339" s="68">
        <v>-8111.3733905579402</v>
      </c>
      <c r="K339" s="67">
        <v>0.11706349206349206</v>
      </c>
      <c r="L339" s="67">
        <v>0.11706349206349206</v>
      </c>
      <c r="M339" s="67">
        <v>0.26578350638501014</v>
      </c>
      <c r="N339" s="67">
        <v>0.21506146318176395</v>
      </c>
      <c r="O339" s="67">
        <v>0.57700942972608893</v>
      </c>
      <c r="P339" s="67">
        <v>0.39789123196448389</v>
      </c>
      <c r="Q339" s="67">
        <v>0.43189102564102566</v>
      </c>
    </row>
    <row r="340" spans="1:17" x14ac:dyDescent="0.4">
      <c r="A340" s="69">
        <v>337</v>
      </c>
      <c r="B340" s="66">
        <v>3.5527136788005009E-14</v>
      </c>
      <c r="C340" s="66">
        <v>3.5140590294762618E-17</v>
      </c>
      <c r="D340" s="71">
        <v>2</v>
      </c>
      <c r="E340" s="67">
        <v>0.33333333333333331</v>
      </c>
      <c r="F340" s="67">
        <v>0.33333333333333331</v>
      </c>
      <c r="G340" s="67">
        <v>0.29786980840176125</v>
      </c>
      <c r="H340" s="67">
        <v>0.16672616922527669</v>
      </c>
      <c r="I340" s="68">
        <v>8612.6248501797836</v>
      </c>
      <c r="J340" s="68">
        <v>-8112.5624553890075</v>
      </c>
      <c r="K340" s="67">
        <v>0.11671612265084075</v>
      </c>
      <c r="L340" s="67">
        <v>0.11671612265084075</v>
      </c>
      <c r="M340" s="67">
        <v>0.26550041651791029</v>
      </c>
      <c r="N340" s="67">
        <v>0.21539926216827324</v>
      </c>
      <c r="O340" s="67">
        <v>0.57776781712236669</v>
      </c>
      <c r="P340" s="67">
        <v>0.39723756906077345</v>
      </c>
      <c r="Q340" s="67">
        <v>0.43228126248501797</v>
      </c>
    </row>
    <row r="341" spans="1:17" x14ac:dyDescent="0.4">
      <c r="A341" s="69">
        <v>338</v>
      </c>
      <c r="B341" s="66">
        <v>4.2632564145606011E-14</v>
      </c>
      <c r="C341" s="66">
        <v>4.2043948861544389E-17</v>
      </c>
      <c r="D341" s="71">
        <v>2</v>
      </c>
      <c r="E341" s="67">
        <v>0.33333333333333331</v>
      </c>
      <c r="F341" s="67">
        <v>0.33333333333333331</v>
      </c>
      <c r="G341" s="67">
        <v>0.29772079772079774</v>
      </c>
      <c r="H341" s="67">
        <v>0.16678537511870845</v>
      </c>
      <c r="I341" s="68">
        <v>8608.0940988835719</v>
      </c>
      <c r="J341" s="68">
        <v>-8110.4626334519571</v>
      </c>
      <c r="K341" s="67">
        <v>0.11735700197238659</v>
      </c>
      <c r="L341" s="67">
        <v>0.11735700197238659</v>
      </c>
      <c r="M341" s="67">
        <v>0.2653133903133903</v>
      </c>
      <c r="N341" s="67">
        <v>0.21545584045584046</v>
      </c>
      <c r="O341" s="67">
        <v>0.57673378076062642</v>
      </c>
      <c r="P341" s="67">
        <v>0.39779614325068868</v>
      </c>
      <c r="Q341" s="67">
        <v>0.43181818181818182</v>
      </c>
    </row>
    <row r="342" spans="1:17" x14ac:dyDescent="0.4">
      <c r="A342" s="69">
        <v>339</v>
      </c>
      <c r="B342" s="66">
        <v>4.1300296516055823E-14</v>
      </c>
      <c r="C342" s="66">
        <v>4.0609927744401006E-17</v>
      </c>
      <c r="D342" s="71">
        <v>2</v>
      </c>
      <c r="E342" s="67">
        <v>0.33333333333333331</v>
      </c>
      <c r="F342" s="67">
        <v>0.33333333333333331</v>
      </c>
      <c r="G342" s="67">
        <v>0.29771624659803575</v>
      </c>
      <c r="H342" s="67">
        <v>0.16672583126257248</v>
      </c>
      <c r="I342" s="68">
        <v>8596.3434022257552</v>
      </c>
      <c r="J342" s="68">
        <v>-8103.6195883605396</v>
      </c>
      <c r="K342" s="67">
        <v>0.11701081612586037</v>
      </c>
      <c r="L342" s="67">
        <v>0.11701081612586037</v>
      </c>
      <c r="M342" s="67">
        <v>0.26505738965802861</v>
      </c>
      <c r="N342" s="67">
        <v>0.21535912909714827</v>
      </c>
      <c r="O342" s="67">
        <v>0.57678571428571423</v>
      </c>
      <c r="P342" s="67">
        <v>0.39780219780219778</v>
      </c>
      <c r="Q342" s="67">
        <v>0.43203497615262321</v>
      </c>
    </row>
    <row r="343" spans="1:17" x14ac:dyDescent="0.4">
      <c r="A343" s="69">
        <v>340</v>
      </c>
      <c r="B343" s="66">
        <v>4.2632564145606011E-14</v>
      </c>
      <c r="C343" s="66">
        <v>4.179663151530001E-17</v>
      </c>
      <c r="D343" s="71">
        <v>2</v>
      </c>
      <c r="E343" s="67">
        <v>0.33333333333333331</v>
      </c>
      <c r="F343" s="67">
        <v>0.33333333333333331</v>
      </c>
      <c r="G343" s="67">
        <v>0.29745942131263231</v>
      </c>
      <c r="H343" s="67">
        <v>0.16690190543401554</v>
      </c>
      <c r="I343" s="68">
        <v>8591.4986160537755</v>
      </c>
      <c r="J343" s="68">
        <v>-8089.8520084566599</v>
      </c>
      <c r="K343" s="67">
        <v>0.11666666666666667</v>
      </c>
      <c r="L343" s="67">
        <v>0.11666666666666667</v>
      </c>
      <c r="M343" s="67">
        <v>0.26511409080216419</v>
      </c>
      <c r="N343" s="67">
        <v>0.21524347212420608</v>
      </c>
      <c r="O343" s="67">
        <v>0.57630878438331856</v>
      </c>
      <c r="P343" s="67">
        <v>0.39726775956284155</v>
      </c>
      <c r="Q343" s="67">
        <v>0.43100039541320678</v>
      </c>
    </row>
    <row r="344" spans="1:17" x14ac:dyDescent="0.4">
      <c r="A344" s="69">
        <v>341</v>
      </c>
      <c r="B344" s="66">
        <v>4.2632564145606011E-14</v>
      </c>
      <c r="C344" s="66">
        <v>4.1674060748392973E-17</v>
      </c>
      <c r="D344" s="71">
        <v>2</v>
      </c>
      <c r="E344" s="67">
        <v>0.33333333333333331</v>
      </c>
      <c r="F344" s="67">
        <v>0.33333333333333331</v>
      </c>
      <c r="G344" s="67">
        <v>0.29741784037558683</v>
      </c>
      <c r="H344" s="67">
        <v>0.16690140845070423</v>
      </c>
      <c r="I344" s="68">
        <v>8587.8453038674033</v>
      </c>
      <c r="J344" s="68">
        <v>-8088.2559774964839</v>
      </c>
      <c r="K344" s="67">
        <v>0.11632453567937438</v>
      </c>
      <c r="L344" s="67">
        <v>0.11632453567937438</v>
      </c>
      <c r="M344" s="67">
        <v>0.26502347417840377</v>
      </c>
      <c r="N344" s="67">
        <v>0.21525821596244132</v>
      </c>
      <c r="O344" s="67">
        <v>0.57617360496014169</v>
      </c>
      <c r="P344" s="67">
        <v>0.39749182115594328</v>
      </c>
      <c r="Q344" s="67">
        <v>0.43093922651933703</v>
      </c>
    </row>
    <row r="345" spans="1:17" x14ac:dyDescent="0.4">
      <c r="A345" s="69">
        <v>342</v>
      </c>
      <c r="B345" s="66">
        <v>4.2632564145606011E-14</v>
      </c>
      <c r="C345" s="66">
        <v>4.15522067695965E-17</v>
      </c>
      <c r="D345" s="71">
        <v>2</v>
      </c>
      <c r="E345" s="67">
        <v>0.33333333333333331</v>
      </c>
      <c r="F345" s="67">
        <v>0.33333333333333331</v>
      </c>
      <c r="G345" s="67">
        <v>0.29751872659176032</v>
      </c>
      <c r="H345" s="67">
        <v>0.16713483146067415</v>
      </c>
      <c r="I345" s="68">
        <v>8590.5586152635715</v>
      </c>
      <c r="J345" s="68">
        <v>-8093.2072829131648</v>
      </c>
      <c r="K345" s="67">
        <v>0.11598440545808966</v>
      </c>
      <c r="L345" s="67">
        <v>0.11598440545808966</v>
      </c>
      <c r="M345" s="67">
        <v>0.26521535580524347</v>
      </c>
      <c r="N345" s="67">
        <v>0.21500468164794007</v>
      </c>
      <c r="O345" s="67">
        <v>0.57678729037952337</v>
      </c>
      <c r="P345" s="67">
        <v>0.3973870440936309</v>
      </c>
      <c r="Q345" s="67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624</vt:i4>
      </vt:variant>
    </vt:vector>
  </HeadingPairs>
  <TitlesOfParts>
    <vt:vector size="675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ちさと!逆転数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ちさと!逆転率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2019-10-14T11:53:50Z</dcterms:modified>
</cp:coreProperties>
</file>