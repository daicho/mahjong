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大会\2\"/>
    </mc:Choice>
  </mc:AlternateContent>
  <xr:revisionPtr revIDLastSave="0" documentId="13_ncr:1_{F8228E9F-77D9-4FBA-8FE2-B20BE7937F8A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1" r:id="rId1"/>
    <sheet name="Sheet2" sheetId="22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D8" i="22"/>
  <c r="D9" i="22" s="1"/>
  <c r="D10" i="22" s="1"/>
  <c r="C8" i="22"/>
  <c r="C9" i="22" s="1"/>
  <c r="C10" i="22" s="1"/>
  <c r="D7" i="22"/>
  <c r="C7" i="22"/>
  <c r="D6" i="22"/>
  <c r="C6" i="22"/>
  <c r="D5" i="22"/>
  <c r="C5" i="22"/>
  <c r="B5" i="22"/>
  <c r="B6" i="22" s="1"/>
  <c r="T4" i="22"/>
  <c r="T5" i="22" s="1"/>
  <c r="O4" i="22"/>
  <c r="J4" i="22"/>
  <c r="J5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D12" i="21"/>
  <c r="D11" i="21"/>
  <c r="D10" i="21"/>
  <c r="D9" i="21"/>
  <c r="D8" i="21"/>
  <c r="C8" i="21"/>
  <c r="C9" i="21" s="1"/>
  <c r="C10" i="21" s="1"/>
  <c r="C11" i="21" s="1"/>
  <c r="C12" i="21" s="1"/>
  <c r="D7" i="21"/>
  <c r="C7" i="21"/>
  <c r="D6" i="21"/>
  <c r="C6" i="21"/>
  <c r="D5" i="21"/>
  <c r="C5" i="21"/>
  <c r="B5" i="21"/>
  <c r="B6" i="21" s="1"/>
  <c r="T4" i="21"/>
  <c r="T5" i="21" s="1"/>
  <c r="O4" i="21"/>
  <c r="J4" i="21"/>
  <c r="J5" i="21" s="1"/>
  <c r="W3" i="21"/>
  <c r="V3" i="21"/>
  <c r="U3" i="21"/>
  <c r="W2" i="21"/>
  <c r="V2" i="21"/>
  <c r="U2" i="21"/>
  <c r="BO1" i="21"/>
  <c r="AT1" i="21"/>
  <c r="Y1" i="21"/>
  <c r="W4" i="22" l="1"/>
  <c r="J6" i="22"/>
  <c r="T6" i="22"/>
  <c r="B7" i="22"/>
  <c r="A5" i="22"/>
  <c r="U4" i="22"/>
  <c r="O5" i="22"/>
  <c r="V4" i="22"/>
  <c r="A6" i="22"/>
  <c r="W4" i="21"/>
  <c r="T6" i="21"/>
  <c r="B7" i="21"/>
  <c r="A7" i="21" s="1"/>
  <c r="J6" i="21"/>
  <c r="A5" i="21"/>
  <c r="O5" i="21"/>
  <c r="U5" i="21" s="1"/>
  <c r="U4" i="21"/>
  <c r="V4" i="21"/>
  <c r="A6" i="21"/>
  <c r="O6" i="22" l="1"/>
  <c r="V5" i="22"/>
  <c r="B8" i="22"/>
  <c r="A8" i="22" s="1"/>
  <c r="U5" i="22"/>
  <c r="T7" i="22"/>
  <c r="W5" i="22"/>
  <c r="A7" i="22"/>
  <c r="U6" i="22"/>
  <c r="J7" i="22"/>
  <c r="W5" i="21"/>
  <c r="O6" i="21"/>
  <c r="U6" i="21" s="1"/>
  <c r="V5" i="21"/>
  <c r="B8" i="21"/>
  <c r="A8" i="21" s="1"/>
  <c r="J7" i="21"/>
  <c r="T7" i="21"/>
  <c r="V6" i="22" l="1"/>
  <c r="O7" i="22"/>
  <c r="W7" i="22"/>
  <c r="T8" i="22"/>
  <c r="U7" i="22"/>
  <c r="J8" i="22"/>
  <c r="B9" i="22"/>
  <c r="A9" i="22" s="1"/>
  <c r="W6" i="22"/>
  <c r="W6" i="21"/>
  <c r="V6" i="21"/>
  <c r="O7" i="21"/>
  <c r="W7" i="21"/>
  <c r="T8" i="21"/>
  <c r="B9" i="21"/>
  <c r="A9" i="21" s="1"/>
  <c r="U7" i="21"/>
  <c r="J8" i="21"/>
  <c r="T9" i="22" l="1"/>
  <c r="B10" i="22"/>
  <c r="A10" i="22" s="1"/>
  <c r="J9" i="22"/>
  <c r="O8" i="22"/>
  <c r="W8" i="22" s="1"/>
  <c r="V7" i="22"/>
  <c r="J9" i="21"/>
  <c r="W8" i="21"/>
  <c r="T9" i="21"/>
  <c r="O8" i="21"/>
  <c r="V7" i="21"/>
  <c r="B10" i="21"/>
  <c r="U8" i="22" l="1"/>
  <c r="V8" i="22"/>
  <c r="O9" i="22"/>
  <c r="U9" i="22"/>
  <c r="J10" i="22"/>
  <c r="W9" i="22"/>
  <c r="T10" i="22"/>
  <c r="B11" i="21"/>
  <c r="A11" i="21" s="1"/>
  <c r="V8" i="21"/>
  <c r="O9" i="21"/>
  <c r="U8" i="21"/>
  <c r="A10" i="21"/>
  <c r="W9" i="21"/>
  <c r="T10" i="21"/>
  <c r="U9" i="21"/>
  <c r="J10" i="21"/>
  <c r="U10" i="22" l="1"/>
  <c r="O10" i="22"/>
  <c r="V10" i="22" s="1"/>
  <c r="V9" i="22"/>
  <c r="W10" i="21"/>
  <c r="T11" i="21"/>
  <c r="O10" i="21"/>
  <c r="V9" i="21"/>
  <c r="U10" i="21"/>
  <c r="J11" i="21"/>
  <c r="B12" i="21"/>
  <c r="A12" i="21"/>
  <c r="W10" i="22" l="1"/>
  <c r="V10" i="21"/>
  <c r="O11" i="21"/>
  <c r="U11" i="21"/>
  <c r="J12" i="21"/>
  <c r="W11" i="21"/>
  <c r="T12" i="21"/>
  <c r="U12" i="21" l="1"/>
  <c r="O12" i="21"/>
  <c r="V12" i="21" s="1"/>
  <c r="V11" i="21"/>
  <c r="W12" i="21" l="1"/>
</calcChain>
</file>

<file path=xl/sharedStrings.xml><?xml version="1.0" encoding="utf-8"?>
<sst xmlns="http://schemas.openxmlformats.org/spreadsheetml/2006/main" count="676" uniqueCount="205">
  <si>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</si>
  <si>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</si>
  <si>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</si>
  <si>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</si>
  <si>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</si>
  <si>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</si>
  <si>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</si>
  <si>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</si>
  <si>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</si>
  <si>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</si>
  <si>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</si>
  <si>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</si>
  <si>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</si>
  <si>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</si>
  <si>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</si>
  <si>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</si>
  <si>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</si>
  <si>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</si>
  <si>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</si>
  <si>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</si>
  <si>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</si>
  <si>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</si>
  <si>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</si>
  <si>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</si>
  <si>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</si>
  <si>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</si>
  <si>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</si>
  <si>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</si>
  <si>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</si>
  <si>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</si>
  <si>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</si>
  <si>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</si>
  <si>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</si>
  <si>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</si>
  <si>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</si>
  <si>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</si>
  <si>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</si>
  <si>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</si>
  <si>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</si>
  <si>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</si>
  <si>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</si>
  <si>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</si>
  <si>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</si>
  <si>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</si>
  <si>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</si>
  <si>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</si>
  <si>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</si>
  <si>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</si>
  <si>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</si>
  <si>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</si>
  <si>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</si>
  <si>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</si>
  <si>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</si>
  <si>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</si>
  <si>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</si>
  <si>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</si>
  <si>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</si>
  <si>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</si>
  <si>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</si>
  <si>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</si>
  <si>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</si>
  <si>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</si>
  <si>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</si>
  <si>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</si>
  <si>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</si>
  <si>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</si>
  <si>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</si>
  <si>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</si>
  <si>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</si>
  <si>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</si>
  <si>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</si>
  <si>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</si>
  <si>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</si>
  <si>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</si>
  <si>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</si>
  <si>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</si>
  <si>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</si>
  <si>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</si>
  <si>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</si>
  <si>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</si>
  <si>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</si>
  <si>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</si>
  <si>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</si>
  <si>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</si>
  <si>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</si>
  <si>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</si>
  <si>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</si>
  <si>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</si>
  <si>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</si>
  <si>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</si>
  <si>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</si>
  <si>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</si>
  <si>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</si>
  <si>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</si>
  <si>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</si>
  <si>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</si>
  <si>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</si>
  <si>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</si>
  <si>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</si>
  <si>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</si>
  <si>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</si>
  <si>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</si>
  <si>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</si>
  <si>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</si>
  <si>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</si>
  <si>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</si>
  <si>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</si>
  <si>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</si>
  <si>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</si>
  <si>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</si>
  <si>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</si>
  <si>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</si>
  <si>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</si>
  <si>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</si>
  <si>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</si>
  <si>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</si>
  <si>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</si>
  <si>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</si>
  <si>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</si>
  <si>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</si>
  <si>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</si>
  <si>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</si>
  <si>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</si>
  <si>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</si>
  <si>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</si>
  <si>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</si>
  <si>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</si>
  <si>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</si>
  <si>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</si>
  <si>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</si>
  <si>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</si>
  <si>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</si>
  <si>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</si>
  <si>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</si>
  <si>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</si>
  <si>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</si>
  <si>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</si>
  <si>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</si>
  <si>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</si>
  <si>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</si>
  <si>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</si>
  <si>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</si>
  <si>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</si>
  <si>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</si>
  <si>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</si>
  <si>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</si>
  <si>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</si>
  <si>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</si>
  <si>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</si>
  <si>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</si>
  <si>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</si>
  <si>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</si>
  <si>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</si>
  <si>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</si>
  <si>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</si>
  <si>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</si>
  <si>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</si>
  <si>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</si>
  <si>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</si>
  <si>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</si>
  <si>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</si>
  <si>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</si>
  <si>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</si>
  <si>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</si>
  <si>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</si>
  <si>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</si>
  <si>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</si>
  <si>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</si>
  <si>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</si>
  <si>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</si>
  <si>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</si>
  <si>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</si>
  <si>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</si>
  <si>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</si>
  <si>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</si>
  <si>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</si>
  <si>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</si>
  <si>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</si>
  <si>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</si>
  <si>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</si>
  <si>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</si>
  <si>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</si>
  <si>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</si>
  <si>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</si>
  <si>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</si>
  <si>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</si>
  <si>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</si>
  <si>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</si>
  <si>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</si>
  <si>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</si>
  <si>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</si>
  <si>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</si>
  <si>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ツモ支払</t>
  </si>
  <si>
    <t>ツモ</t>
  </si>
  <si>
    <t>ロン</t>
  </si>
  <si>
    <t>放銃</t>
  </si>
  <si>
    <t>*</t>
  </si>
  <si>
    <t>01</t>
  </si>
  <si>
    <t>52</t>
  </si>
  <si>
    <t>T</t>
  </si>
  <si>
    <t>N</t>
  </si>
  <si>
    <t>流局</t>
    <phoneticPr fontId="1"/>
  </si>
  <si>
    <t>5</t>
  </si>
  <si>
    <t>りくと</t>
  </si>
  <si>
    <t>だいち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</si>
</sst>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937D-4C47-4DDE-8D6C-5BE61E19E115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203</v>
      </c>
      <c r="G1" s="67"/>
      <c r="H1" s="67"/>
      <c r="I1" s="68"/>
      <c r="J1" s="69"/>
      <c r="K1" s="66" t="s">
        <v>191</v>
      </c>
      <c r="L1" s="67"/>
      <c r="M1" s="67"/>
      <c r="N1" s="68"/>
      <c r="O1" s="69"/>
      <c r="P1" s="66" t="s">
        <v>204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りくと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まっつん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だいち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まっつん</v>
      </c>
      <c r="W2" s="16" t="str">
        <f>$P$1</f>
        <v>だいち</v>
      </c>
      <c r="Y2" s="59" t="s">
        <v>23</v>
      </c>
      <c r="Z2" s="62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2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2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203</v>
      </c>
      <c r="F4" s="8" t="s">
        <v>195</v>
      </c>
      <c r="G4" s="9">
        <v>-2600</v>
      </c>
      <c r="H4" s="9">
        <v>-1000</v>
      </c>
      <c r="I4" s="48">
        <v>0</v>
      </c>
      <c r="J4" s="21">
        <f>IF(COUNTA($F4,$K4,$P4)&gt;0,J3+SUM(G4:I4),"")</f>
        <v>31400</v>
      </c>
      <c r="K4" s="8" t="s">
        <v>194</v>
      </c>
      <c r="L4" s="9">
        <v>2600</v>
      </c>
      <c r="M4" s="9">
        <v>1000</v>
      </c>
      <c r="N4" s="48">
        <v>0</v>
      </c>
      <c r="O4" s="21">
        <f>IF(COUNTA($F4,$K4,$P4)&gt;0,O3+SUM(L4:N4),"")</f>
        <v>38600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-23.6</v>
      </c>
      <c r="V4" s="54">
        <f>IF($O4="","",ROUND(($O4-$O$3)/1000,1)+(_xlfn.RANK.AVG($O4,($J4,$O4,$T4),1)-2)*20)</f>
        <v>23.6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40</v>
      </c>
      <c r="AZ4" s="40" t="s">
        <v>197</v>
      </c>
      <c r="BA4" s="41" t="s">
        <v>202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195</v>
      </c>
      <c r="G5" s="9">
        <v>-8000</v>
      </c>
      <c r="H5" s="9"/>
      <c r="I5" s="48">
        <v>0</v>
      </c>
      <c r="J5" s="21">
        <f t="shared" ref="J5:J30" si="2">IF(COUNTA($F5,$K5,$P5)&gt;0,J4+SUM(G5:I5),"")</f>
        <v>23400</v>
      </c>
      <c r="K5" s="8"/>
      <c r="L5" s="9"/>
      <c r="M5" s="9"/>
      <c r="N5" s="48"/>
      <c r="O5" s="21">
        <f t="shared" ref="O5:O30" si="3">IF(COUNTA($F5,$K5,$P5)&gt;0,O4+SUM(L5:N5),"")</f>
        <v>38600</v>
      </c>
      <c r="P5" s="8" t="s">
        <v>194</v>
      </c>
      <c r="Q5" s="9">
        <v>8000</v>
      </c>
      <c r="R5" s="9"/>
      <c r="S5" s="48">
        <v>0</v>
      </c>
      <c r="T5" s="21">
        <f t="shared" ref="T5:T30" si="4">IF(COUNTA($F5,$K5,$P5)&gt;0,T4+SUM(Q5:S5),"")</f>
        <v>43000</v>
      </c>
      <c r="U5" s="53">
        <f>IF($J5="","",ROUND(($J5-$J$3)/1000,1)+(_xlfn.RANK.AVG($J5,($J5,$O5,$T5),1)-2)*20)</f>
        <v>-31.6</v>
      </c>
      <c r="V5" s="54">
        <f>IF($O5="","",ROUND(($O5-$O$3)/1000,1)+(_xlfn.RANK.AVG($O5,($J5,$O5,$T5),1)-2)*20)</f>
        <v>3.6</v>
      </c>
      <c r="W5" s="55">
        <f>IF($T5="","",ROUND(($T5-$T$3)/1000,1)+(_xlfn.RANK.AVG($T5,($J5,$O5,$T5),1)-2)*20)</f>
        <v>28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40</v>
      </c>
      <c r="BU5" s="40" t="s">
        <v>86</v>
      </c>
      <c r="BV5" s="41" t="s">
        <v>81</v>
      </c>
      <c r="BW5" s="41" t="s">
        <v>81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204</v>
      </c>
      <c r="F6" s="8"/>
      <c r="G6" s="9"/>
      <c r="H6" s="9"/>
      <c r="I6" s="48"/>
      <c r="J6" s="21">
        <f t="shared" si="2"/>
        <v>23400</v>
      </c>
      <c r="K6" s="8" t="s">
        <v>194</v>
      </c>
      <c r="L6" s="9">
        <v>16000</v>
      </c>
      <c r="M6" s="9">
        <v>1000</v>
      </c>
      <c r="N6" s="48">
        <v>0</v>
      </c>
      <c r="O6" s="21">
        <f t="shared" si="3"/>
        <v>55600</v>
      </c>
      <c r="P6" s="8" t="s">
        <v>195</v>
      </c>
      <c r="Q6" s="9">
        <v>-16000</v>
      </c>
      <c r="R6" s="9">
        <v>-1000</v>
      </c>
      <c r="S6" s="48">
        <v>0</v>
      </c>
      <c r="T6" s="21">
        <f t="shared" si="4"/>
        <v>26000</v>
      </c>
      <c r="U6" s="53">
        <f>IF($J6="","",ROUND(($J6-$J$3)/1000,1)+(_xlfn.RANK.AVG($J6,($J6,$O6,$T6),1)-2)*20)</f>
        <v>-31.6</v>
      </c>
      <c r="V6" s="54">
        <f>IF($O6="","",ROUND(($O6-$O$3)/1000,1)+(_xlfn.RANK.AVG($O6,($J6,$O6,$T6),1)-2)*20)</f>
        <v>40.6</v>
      </c>
      <c r="W6" s="55">
        <f>IF($T6="","",ROUND(($T6-$T$3)/1000,1)+(_xlfn.RANK.AVG($T6,($J6,$O6,$T6),1)-2)*20)</f>
        <v>-9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10</v>
      </c>
      <c r="AY6" s="30" t="s">
        <v>196</v>
      </c>
      <c r="AZ6" s="40" t="s">
        <v>197</v>
      </c>
      <c r="BA6" s="41" t="s">
        <v>85</v>
      </c>
      <c r="BB6" s="41" t="s">
        <v>80</v>
      </c>
      <c r="BC6" s="41" t="s">
        <v>80</v>
      </c>
      <c r="BD6" s="41" t="s">
        <v>80</v>
      </c>
      <c r="BE6" s="41" t="s">
        <v>80</v>
      </c>
      <c r="BF6" s="41" t="s">
        <v>80</v>
      </c>
      <c r="BG6" s="41" t="s">
        <v>198</v>
      </c>
      <c r="BH6" s="41" t="s">
        <v>81</v>
      </c>
      <c r="BI6" s="41" t="s">
        <v>202</v>
      </c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203</v>
      </c>
      <c r="F7" s="8" t="s">
        <v>192</v>
      </c>
      <c r="G7" s="9">
        <v>-4800</v>
      </c>
      <c r="H7" s="9"/>
      <c r="I7" s="48">
        <v>0</v>
      </c>
      <c r="J7" s="21">
        <f t="shared" si="2"/>
        <v>18600</v>
      </c>
      <c r="K7" s="8" t="s">
        <v>192</v>
      </c>
      <c r="L7" s="9">
        <v>-2900</v>
      </c>
      <c r="M7" s="9"/>
      <c r="N7" s="48">
        <v>0</v>
      </c>
      <c r="O7" s="21">
        <f t="shared" si="3"/>
        <v>52700</v>
      </c>
      <c r="P7" s="8" t="s">
        <v>193</v>
      </c>
      <c r="Q7" s="9">
        <v>7700</v>
      </c>
      <c r="R7" s="9"/>
      <c r="S7" s="48">
        <v>0</v>
      </c>
      <c r="T7" s="21">
        <f t="shared" si="4"/>
        <v>33700</v>
      </c>
      <c r="U7" s="53">
        <f>IF($J7="","",ROUND(($J7-$J$3)/1000,1)+(_xlfn.RANK.AVG($J7,($J7,$O7,$T7),1)-2)*20)</f>
        <v>-36.4</v>
      </c>
      <c r="V7" s="54">
        <f>IF($O7="","",ROUND(($O7-$O$3)/1000,1)+(_xlfn.RANK.AVG($O7,($J7,$O7,$T7),1)-2)*20)</f>
        <v>37.700000000000003</v>
      </c>
      <c r="W7" s="55">
        <f>IF($T7="","",ROUND(($T7-$T$3)/1000,1)+(_xlfn.RANK.AVG($T7,($J7,$O7,$T7),1)-2)*20)</f>
        <v>-1.3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197</v>
      </c>
      <c r="BV7" s="41" t="s">
        <v>82</v>
      </c>
      <c r="BW7" s="41" t="s">
        <v>198</v>
      </c>
      <c r="BX7" s="41" t="s">
        <v>80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201</v>
      </c>
      <c r="G8" s="9">
        <v>3000</v>
      </c>
      <c r="H8" s="9">
        <v>-1000</v>
      </c>
      <c r="I8" s="48"/>
      <c r="J8" s="21">
        <f t="shared" si="2"/>
        <v>20600</v>
      </c>
      <c r="K8" s="8" t="s">
        <v>201</v>
      </c>
      <c r="L8" s="9">
        <v>-1500</v>
      </c>
      <c r="M8" s="9"/>
      <c r="N8" s="48"/>
      <c r="O8" s="21">
        <f t="shared" si="3"/>
        <v>51200</v>
      </c>
      <c r="P8" s="8" t="s">
        <v>201</v>
      </c>
      <c r="Q8" s="9">
        <v>-1500</v>
      </c>
      <c r="R8" s="9"/>
      <c r="S8" s="48"/>
      <c r="T8" s="21">
        <f t="shared" si="4"/>
        <v>32200</v>
      </c>
      <c r="U8" s="53">
        <f>IF($J8="","",ROUND(($J8-$J$3)/1000,1)+(_xlfn.RANK.AVG($J8,($J8,$O8,$T8),1)-2)*20)</f>
        <v>-34.4</v>
      </c>
      <c r="V8" s="54">
        <f>IF($O8="","",ROUND(($O8-$O$3)/1000,1)+(_xlfn.RANK.AVG($O8,($J8,$O8,$T8),1)-2)*20)</f>
        <v>36.200000000000003</v>
      </c>
      <c r="W8" s="55">
        <f>IF($T8="","",ROUND(($T8-$T$3)/1000,1)+(_xlfn.RANK.AVG($T8,($J8,$O8,$T8),1)-2)*20)</f>
        <v>-2.8</v>
      </c>
      <c r="Y8" s="8" t="s">
        <v>199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200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200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1</v>
      </c>
      <c r="D9" s="18">
        <f t="shared" si="1"/>
        <v>1</v>
      </c>
      <c r="E9" s="4" t="s">
        <v>204</v>
      </c>
      <c r="F9" s="8" t="s">
        <v>201</v>
      </c>
      <c r="G9" s="9">
        <v>-1500</v>
      </c>
      <c r="H9" s="9"/>
      <c r="I9" s="48"/>
      <c r="J9" s="21">
        <f t="shared" si="2"/>
        <v>19100</v>
      </c>
      <c r="K9" s="8" t="s">
        <v>201</v>
      </c>
      <c r="L9" s="9">
        <v>-1500</v>
      </c>
      <c r="M9" s="9"/>
      <c r="N9" s="48"/>
      <c r="O9" s="21">
        <f t="shared" si="3"/>
        <v>49700</v>
      </c>
      <c r="P9" s="8" t="s">
        <v>201</v>
      </c>
      <c r="Q9" s="9">
        <v>3000</v>
      </c>
      <c r="R9" s="9"/>
      <c r="S9" s="48"/>
      <c r="T9" s="21">
        <f t="shared" si="4"/>
        <v>35200</v>
      </c>
      <c r="U9" s="53">
        <f>IF($J9="","",ROUND(($J9-$J$3)/1000,1)+(_xlfn.RANK.AVG($J9,($J9,$O9,$T9),1)-2)*20)</f>
        <v>-35.9</v>
      </c>
      <c r="V9" s="54">
        <f>IF($O9="","",ROUND(($O9-$O$3)/1000,1)+(_xlfn.RANK.AVG($O9,($J9,$O9,$T9),1)-2)*20)</f>
        <v>34.700000000000003</v>
      </c>
      <c r="W9" s="55">
        <f>IF($T9="","",ROUND(($T9-$T$3)/1000,1)+(_xlfn.RANK.AVG($T9,($J9,$O9,$T9),1)-2)*20)</f>
        <v>0.2</v>
      </c>
      <c r="Y9" s="8" t="s">
        <v>200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200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199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2</v>
      </c>
      <c r="D10" s="18">
        <f t="shared" si="1"/>
        <v>1</v>
      </c>
      <c r="E10" s="4" t="s">
        <v>204</v>
      </c>
      <c r="F10" s="8" t="s">
        <v>195</v>
      </c>
      <c r="G10" s="9">
        <v>-18000</v>
      </c>
      <c r="H10" s="9"/>
      <c r="I10" s="48">
        <v>-2000</v>
      </c>
      <c r="J10" s="21">
        <f t="shared" si="2"/>
        <v>-900</v>
      </c>
      <c r="K10" s="8"/>
      <c r="L10" s="9"/>
      <c r="M10" s="9">
        <v>-1000</v>
      </c>
      <c r="N10" s="48"/>
      <c r="O10" s="21">
        <f t="shared" si="3"/>
        <v>48700</v>
      </c>
      <c r="P10" s="8" t="s">
        <v>194</v>
      </c>
      <c r="Q10" s="9">
        <v>18000</v>
      </c>
      <c r="R10" s="9">
        <v>2000</v>
      </c>
      <c r="S10" s="48">
        <v>2000</v>
      </c>
      <c r="T10" s="21">
        <f t="shared" si="4"/>
        <v>57200</v>
      </c>
      <c r="U10" s="53">
        <f>IF($J10="","",ROUND(($J10-$J$3)/1000,1)+(_xlfn.RANK.AVG($J10,($J10,$O10,$T10),1)-2)*20)</f>
        <v>-55.9</v>
      </c>
      <c r="V10" s="54">
        <f>IF($O10="","",ROUND(($O10-$O$3)/1000,1)+(_xlfn.RANK.AVG($O10,($J10,$O10,$T10),1)-2)*20)</f>
        <v>13.7</v>
      </c>
      <c r="W10" s="55">
        <f>IF($T10="","",ROUND(($T10-$T$3)/1000,1)+(_xlfn.RANK.AVG($T10,($J10,$O10,$T10),1)-2)*20)</f>
        <v>42.2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7</v>
      </c>
      <c r="BT10" s="30" t="s">
        <v>196</v>
      </c>
      <c r="BU10" s="40" t="s">
        <v>106</v>
      </c>
      <c r="BV10" s="41" t="s">
        <v>202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1C9A1972-71FA-4334-ABB3-83EB123B73BB}">
      <formula1>"だいち,りくと,ただ,れんたろう,たかの,ぱぱ,まっつん,あさひ,いっしー,ほたに,かわたつ,やがさき,"</formula1>
    </dataValidation>
    <dataValidation type="list" showInputMessage="1" showErrorMessage="1" sqref="K4:K30 P4:P30 F4:F30" xr:uid="{9FBCF944-A729-44D2-9030-1482E9EF8F52}">
      <formula1>"ロン,ツモ,放銃,ツモ支払,流局,チョンボ"</formula1>
    </dataValidation>
    <dataValidation type="list" allowBlank="1" showInputMessage="1" showErrorMessage="1" sqref="E4:E30" xr:uid="{F69DC51A-ADFB-4EEE-B51D-CAE0885DF45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855C9-5D92-41F8-882C-AEACDDA7A594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203</v>
      </c>
      <c r="G1" s="67"/>
      <c r="H1" s="67"/>
      <c r="I1" s="68"/>
      <c r="J1" s="69"/>
      <c r="K1" s="66" t="s">
        <v>191</v>
      </c>
      <c r="L1" s="67"/>
      <c r="M1" s="67"/>
      <c r="N1" s="68"/>
      <c r="O1" s="69"/>
      <c r="P1" s="66" t="s">
        <v>204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りくと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まっつん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だいち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まっつん</v>
      </c>
      <c r="W2" s="16" t="str">
        <f>$P$1</f>
        <v>だいち</v>
      </c>
      <c r="Y2" s="59" t="s">
        <v>23</v>
      </c>
      <c r="Z2" s="62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2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2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203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-8000</v>
      </c>
      <c r="M4" s="9">
        <v>-1000</v>
      </c>
      <c r="N4" s="48">
        <v>0</v>
      </c>
      <c r="O4" s="21">
        <f>IF(COUNTA($F4,$K4,$P4)&gt;0,O3+SUM(L4:N4),"")</f>
        <v>26000</v>
      </c>
      <c r="P4" s="8" t="s">
        <v>194</v>
      </c>
      <c r="Q4" s="9">
        <v>8000</v>
      </c>
      <c r="R4" s="9">
        <v>1000</v>
      </c>
      <c r="S4" s="48">
        <v>0</v>
      </c>
      <c r="T4" s="21">
        <f>IF(COUNTA($F4,$K4,$P4)&gt;0,T3+SUM(Q4:S4),"")</f>
        <v>44000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-29</v>
      </c>
      <c r="W4" s="55">
        <f>IF($T4="","",ROUND(($T4-$T$3)/1000,1)+(_xlfn.RANK.AVG($T4,($J4,$O4,$T4),1)-2)*20)</f>
        <v>29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5</v>
      </c>
      <c r="BT4" s="30" t="s">
        <v>196</v>
      </c>
      <c r="BU4" s="40" t="s">
        <v>101</v>
      </c>
      <c r="BV4" s="41" t="s">
        <v>79</v>
      </c>
      <c r="BW4" s="41" t="s">
        <v>79</v>
      </c>
      <c r="BX4" s="41" t="s">
        <v>202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201</v>
      </c>
      <c r="G5" s="9">
        <v>3000</v>
      </c>
      <c r="H5" s="9">
        <v>-1000</v>
      </c>
      <c r="I5" s="48"/>
      <c r="J5" s="21">
        <f t="shared" ref="J5:J30" si="2">IF(COUNTA($F5,$K5,$P5)&gt;0,J4+SUM(G5:I5),"")</f>
        <v>37000</v>
      </c>
      <c r="K5" s="8" t="s">
        <v>201</v>
      </c>
      <c r="L5" s="9">
        <v>-1500</v>
      </c>
      <c r="M5" s="9"/>
      <c r="N5" s="48"/>
      <c r="O5" s="21">
        <f t="shared" ref="O5:O30" si="3">IF(COUNTA($F5,$K5,$P5)&gt;0,O4+SUM(L5:N5),"")</f>
        <v>24500</v>
      </c>
      <c r="P5" s="8" t="s">
        <v>201</v>
      </c>
      <c r="Q5" s="9">
        <v>-1500</v>
      </c>
      <c r="R5" s="9"/>
      <c r="S5" s="48"/>
      <c r="T5" s="21">
        <f t="shared" ref="T5:T30" si="4">IF(COUNTA($F5,$K5,$P5)&gt;0,T4+SUM(Q5:S5),"")</f>
        <v>42500</v>
      </c>
      <c r="U5" s="53">
        <f>IF($J5="","",ROUND(($J5-$J$3)/1000,1)+(_xlfn.RANK.AVG($J5,($J5,$O5,$T5),1)-2)*20)</f>
        <v>2</v>
      </c>
      <c r="V5" s="54">
        <f>IF($O5="","",ROUND(($O5-$O$3)/1000,1)+(_xlfn.RANK.AVG($O5,($J5,$O5,$T5),1)-2)*20)</f>
        <v>-30.5</v>
      </c>
      <c r="W5" s="55">
        <f>IF($T5="","",ROUND(($T5-$T$3)/1000,1)+(_xlfn.RANK.AVG($T5,($J5,$O5,$T5),1)-2)*20)</f>
        <v>27.5</v>
      </c>
      <c r="Y5" s="8" t="s">
        <v>199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200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200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204</v>
      </c>
      <c r="F6" s="8" t="s">
        <v>194</v>
      </c>
      <c r="G6" s="9">
        <v>16000</v>
      </c>
      <c r="H6" s="9">
        <v>2000</v>
      </c>
      <c r="I6" s="48">
        <v>1000</v>
      </c>
      <c r="J6" s="21">
        <f t="shared" si="2"/>
        <v>56000</v>
      </c>
      <c r="K6" s="8" t="s">
        <v>195</v>
      </c>
      <c r="L6" s="9">
        <v>-16000</v>
      </c>
      <c r="M6" s="9">
        <v>-1000</v>
      </c>
      <c r="N6" s="48">
        <v>-1000</v>
      </c>
      <c r="O6" s="21">
        <f t="shared" si="3"/>
        <v>6500</v>
      </c>
      <c r="P6" s="8"/>
      <c r="Q6" s="9"/>
      <c r="R6" s="9"/>
      <c r="S6" s="48"/>
      <c r="T6" s="21">
        <f t="shared" si="4"/>
        <v>42500</v>
      </c>
      <c r="U6" s="53">
        <f>IF($J6="","",ROUND(($J6-$J$3)/1000,1)+(_xlfn.RANK.AVG($J6,($J6,$O6,$T6),1)-2)*20)</f>
        <v>41</v>
      </c>
      <c r="V6" s="54">
        <f>IF($O6="","",ROUND(($O6-$O$3)/1000,1)+(_xlfn.RANK.AVG($O6,($J6,$O6,$T6),1)-2)*20)</f>
        <v>-48.5</v>
      </c>
      <c r="W6" s="55">
        <f>IF($T6="","",ROUND(($T6-$T$3)/1000,1)+(_xlfn.RANK.AVG($T6,($J6,$O6,$T6),1)-2)*20)</f>
        <v>7.5</v>
      </c>
      <c r="Y6" s="8"/>
      <c r="Z6" s="34"/>
      <c r="AA6" s="26">
        <v>1</v>
      </c>
      <c r="AB6" s="26"/>
      <c r="AC6" s="26">
        <v>8</v>
      </c>
      <c r="AD6" s="30" t="s">
        <v>196</v>
      </c>
      <c r="AE6" s="40" t="s">
        <v>197</v>
      </c>
      <c r="AF6" s="41" t="s">
        <v>79</v>
      </c>
      <c r="AG6" s="41" t="s">
        <v>79</v>
      </c>
      <c r="AH6" s="41" t="s">
        <v>79</v>
      </c>
      <c r="AI6" s="41" t="s">
        <v>96</v>
      </c>
      <c r="AJ6" s="41" t="s">
        <v>198</v>
      </c>
      <c r="AK6" s="41" t="s">
        <v>80</v>
      </c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203</v>
      </c>
      <c r="F7" s="8" t="s">
        <v>201</v>
      </c>
      <c r="G7" s="9">
        <v>1500</v>
      </c>
      <c r="H7" s="9"/>
      <c r="I7" s="48"/>
      <c r="J7" s="21">
        <f t="shared" si="2"/>
        <v>57500</v>
      </c>
      <c r="K7" s="8" t="s">
        <v>201</v>
      </c>
      <c r="L7" s="9">
        <v>1500</v>
      </c>
      <c r="M7" s="9">
        <v>-1000</v>
      </c>
      <c r="N7" s="48"/>
      <c r="O7" s="21">
        <f t="shared" si="3"/>
        <v>7000</v>
      </c>
      <c r="P7" s="8" t="s">
        <v>201</v>
      </c>
      <c r="Q7" s="9">
        <v>-3000</v>
      </c>
      <c r="R7" s="9"/>
      <c r="S7" s="48"/>
      <c r="T7" s="21">
        <f t="shared" si="4"/>
        <v>39500</v>
      </c>
      <c r="U7" s="53">
        <f>IF($J7="","",ROUND(($J7-$J$3)/1000,1)+(_xlfn.RANK.AVG($J7,($J7,$O7,$T7),1)-2)*20)</f>
        <v>42.5</v>
      </c>
      <c r="V7" s="54">
        <f>IF($O7="","",ROUND(($O7-$O$3)/1000,1)+(_xlfn.RANK.AVG($O7,($J7,$O7,$T7),1)-2)*20)</f>
        <v>-48</v>
      </c>
      <c r="W7" s="55">
        <f>IF($T7="","",ROUND(($T7-$T$3)/1000,1)+(_xlfn.RANK.AVG($T7,($J7,$O7,$T7),1)-2)*20)</f>
        <v>4.5</v>
      </c>
      <c r="Y7" s="8" t="s">
        <v>199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199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200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">
        <v>203</v>
      </c>
      <c r="F8" s="8" t="s">
        <v>193</v>
      </c>
      <c r="G8" s="9">
        <v>18000</v>
      </c>
      <c r="H8" s="9">
        <v>1000</v>
      </c>
      <c r="I8" s="48">
        <v>1000</v>
      </c>
      <c r="J8" s="21">
        <f t="shared" si="2"/>
        <v>77500</v>
      </c>
      <c r="K8" s="8" t="s">
        <v>192</v>
      </c>
      <c r="L8" s="9">
        <v>-9000</v>
      </c>
      <c r="M8" s="9"/>
      <c r="N8" s="48">
        <v>-500</v>
      </c>
      <c r="O8" s="21">
        <f t="shared" si="3"/>
        <v>-2500</v>
      </c>
      <c r="P8" s="8" t="s">
        <v>192</v>
      </c>
      <c r="Q8" s="9">
        <v>-9000</v>
      </c>
      <c r="R8" s="9"/>
      <c r="S8" s="48">
        <v>-500</v>
      </c>
      <c r="T8" s="21">
        <f t="shared" si="4"/>
        <v>30000</v>
      </c>
      <c r="U8" s="53">
        <f>IF($J8="","",ROUND(($J8-$J$3)/1000,1)+(_xlfn.RANK.AVG($J8,($J8,$O8,$T8),1)-2)*20)</f>
        <v>62.5</v>
      </c>
      <c r="V8" s="54">
        <f>IF($O8="","",ROUND(($O8-$O$3)/1000,1)+(_xlfn.RANK.AVG($O8,($J8,$O8,$T8),1)-2)*20)</f>
        <v>-57.5</v>
      </c>
      <c r="W8" s="55">
        <f>IF($T8="","",ROUND(($T8-$T$3)/1000,1)+(_xlfn.RANK.AVG($T8,($J8,$O8,$T8),1)-2)*20)</f>
        <v>-5</v>
      </c>
      <c r="Y8" s="8"/>
      <c r="Z8" s="34"/>
      <c r="AA8" s="26">
        <v>1</v>
      </c>
      <c r="AB8" s="26"/>
      <c r="AC8" s="26">
        <v>7</v>
      </c>
      <c r="AD8" s="30" t="s">
        <v>196</v>
      </c>
      <c r="AE8" s="40" t="s">
        <v>197</v>
      </c>
      <c r="AF8" s="41" t="s">
        <v>82</v>
      </c>
      <c r="AG8" s="41" t="s">
        <v>83</v>
      </c>
      <c r="AH8" s="41" t="s">
        <v>79</v>
      </c>
      <c r="AI8" s="41" t="s">
        <v>79</v>
      </c>
      <c r="AJ8" s="41" t="s">
        <v>198</v>
      </c>
      <c r="AK8" s="41" t="s">
        <v>81</v>
      </c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203</v>
      </c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6366ABFC-BDC1-4967-8382-710FEDA79D2F}">
      <formula1>$U$2:$W$2</formula1>
    </dataValidation>
    <dataValidation type="list" showInputMessage="1" showErrorMessage="1" sqref="K4:K30 P4:P30 F4:F30" xr:uid="{741DC12B-FCA4-4AA2-BD51-B1ADD064F33C}">
      <formula1>"ロン,ツモ,放銃,ツモ支払,流局,チョンボ"</formula1>
    </dataValidation>
    <dataValidation type="list" allowBlank="1" showInputMessage="1" sqref="F1:T1" xr:uid="{85BE9F6D-4DAB-4F62-BD9B-F3B5CEFC30B5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2019-06-30T14:47:19Z</dcterms:modified>
</cp:coreProperties>
</file>