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新元号『令和』決定記念杯\"/>
    </mc:Choice>
  </mc:AlternateContent>
  <xr:revisionPtr revIDLastSave="0" documentId="13_ncr:1_{6C4541B1-9CDD-443F-840E-74F4168F8B7A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7" r:id="rId1"/>
    <sheet name="Sheet2" sheetId="19" r:id="rId2"/>
    <sheet name="Sheet3" sheetId="20" r:id="rId3"/>
    <sheet name="Sheet4" sheetId="21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30" i="21" l="1"/>
  <c r="V29" i="21"/>
  <c r="V26" i="21"/>
  <c r="U26" i="21"/>
  <c r="V22" i="21"/>
  <c r="U22" i="21"/>
  <c r="V21" i="21"/>
  <c r="V19" i="21"/>
  <c r="U18" i="21"/>
  <c r="V17" i="21"/>
  <c r="U14" i="21"/>
  <c r="V6" i="21"/>
  <c r="V5" i="21"/>
  <c r="W3" i="21"/>
  <c r="V3" i="21"/>
  <c r="U3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W30" i="19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7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T30" i="21"/>
  <c r="W30" i="21" s="1"/>
  <c r="O30" i="21"/>
  <c r="V30" i="21" s="1"/>
  <c r="J30" i="21"/>
  <c r="D30" i="21"/>
  <c r="C30" i="21"/>
  <c r="B30" i="21"/>
  <c r="A30" i="21"/>
  <c r="T29" i="21"/>
  <c r="W29" i="21" s="1"/>
  <c r="O29" i="2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J26" i="2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J22" i="21"/>
  <c r="D22" i="21"/>
  <c r="C22" i="21"/>
  <c r="B22" i="21"/>
  <c r="A22" i="21"/>
  <c r="T21" i="21"/>
  <c r="W21" i="21" s="1"/>
  <c r="O21" i="2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J19" i="21"/>
  <c r="U19" i="21" s="1"/>
  <c r="D19" i="21"/>
  <c r="C19" i="21"/>
  <c r="B19" i="21"/>
  <c r="A19" i="21"/>
  <c r="T18" i="21"/>
  <c r="W18" i="21" s="1"/>
  <c r="O18" i="21"/>
  <c r="V18" i="21" s="1"/>
  <c r="J18" i="21"/>
  <c r="D18" i="21"/>
  <c r="C18" i="21"/>
  <c r="B18" i="21"/>
  <c r="A18" i="21"/>
  <c r="T17" i="21"/>
  <c r="W17" i="21" s="1"/>
  <c r="O17" i="2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D14" i="21"/>
  <c r="C14" i="21"/>
  <c r="B14" i="21"/>
  <c r="A14" i="21"/>
  <c r="D13" i="21"/>
  <c r="C13" i="21"/>
  <c r="D12" i="21"/>
  <c r="D11" i="21"/>
  <c r="D10" i="21"/>
  <c r="C10" i="21"/>
  <c r="C11" i="21" s="1"/>
  <c r="C12" i="21" s="1"/>
  <c r="D9" i="21"/>
  <c r="D8" i="21"/>
  <c r="C8" i="21"/>
  <c r="C9" i="21" s="1"/>
  <c r="D7" i="21"/>
  <c r="C7" i="21"/>
  <c r="D6" i="21"/>
  <c r="C6" i="21"/>
  <c r="O5" i="21"/>
  <c r="O6" i="21" s="1"/>
  <c r="J5" i="21"/>
  <c r="U5" i="21" s="1"/>
  <c r="D5" i="21"/>
  <c r="C5" i="21"/>
  <c r="B5" i="21"/>
  <c r="B6" i="21" s="1"/>
  <c r="A5" i="21"/>
  <c r="T4" i="21"/>
  <c r="W4" i="21" s="1"/>
  <c r="O4" i="21"/>
  <c r="V4" i="21" s="1"/>
  <c r="J4" i="21"/>
  <c r="U4" i="21" s="1"/>
  <c r="W2" i="21"/>
  <c r="V2" i="21"/>
  <c r="U2" i="21"/>
  <c r="BO1" i="21"/>
  <c r="AT1" i="21"/>
  <c r="Y1" i="21"/>
  <c r="B7" i="21" l="1"/>
  <c r="A7" i="21" s="1"/>
  <c r="O7" i="21"/>
  <c r="V7" i="21" s="1"/>
  <c r="T5" i="21"/>
  <c r="W5" i="21" s="1"/>
  <c r="J6" i="21"/>
  <c r="U6" i="21" s="1"/>
  <c r="A6" i="2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D11" i="20"/>
  <c r="C11" i="20"/>
  <c r="D10" i="20"/>
  <c r="D9" i="20"/>
  <c r="C9" i="20"/>
  <c r="C10" i="20" s="1"/>
  <c r="D8" i="20"/>
  <c r="C8" i="20"/>
  <c r="D7" i="20"/>
  <c r="C7" i="20"/>
  <c r="B7" i="20"/>
  <c r="D6" i="20"/>
  <c r="B6" i="20"/>
  <c r="T5" i="20"/>
  <c r="O5" i="20"/>
  <c r="O6" i="20" s="1"/>
  <c r="D5" i="20"/>
  <c r="C5" i="20"/>
  <c r="C6" i="20" s="1"/>
  <c r="B5" i="20"/>
  <c r="A5" i="20" s="1"/>
  <c r="T4" i="20"/>
  <c r="O4" i="20"/>
  <c r="J4" i="20"/>
  <c r="W2" i="20"/>
  <c r="V2" i="20"/>
  <c r="U2" i="20"/>
  <c r="BO1" i="20"/>
  <c r="AT1" i="20"/>
  <c r="Y1" i="20"/>
  <c r="J7" i="21" l="1"/>
  <c r="U7" i="21" s="1"/>
  <c r="T6" i="21"/>
  <c r="W6" i="21" s="1"/>
  <c r="O8" i="21"/>
  <c r="V8" i="21" s="1"/>
  <c r="B8" i="21"/>
  <c r="O7" i="20"/>
  <c r="A8" i="20"/>
  <c r="A6" i="20"/>
  <c r="J5" i="20"/>
  <c r="A7" i="20"/>
  <c r="B8" i="20"/>
  <c r="T6" i="20"/>
  <c r="Y1" i="19"/>
  <c r="AT1" i="19"/>
  <c r="BO1" i="19"/>
  <c r="U2" i="19"/>
  <c r="V2" i="19"/>
  <c r="W2" i="19"/>
  <c r="J4" i="19"/>
  <c r="O4" i="19"/>
  <c r="T4" i="19"/>
  <c r="B5" i="19"/>
  <c r="A5" i="19" s="1"/>
  <c r="C5" i="19"/>
  <c r="D5" i="19"/>
  <c r="J5" i="19"/>
  <c r="O5" i="19"/>
  <c r="T5" i="19"/>
  <c r="B6" i="19"/>
  <c r="A6" i="19" s="1"/>
  <c r="C6" i="19"/>
  <c r="D6" i="19"/>
  <c r="J6" i="19"/>
  <c r="O6" i="19"/>
  <c r="T6" i="19"/>
  <c r="B7" i="19"/>
  <c r="A7" i="19" s="1"/>
  <c r="C7" i="19"/>
  <c r="D7" i="19"/>
  <c r="J7" i="19"/>
  <c r="O7" i="19"/>
  <c r="T7" i="19"/>
  <c r="B8" i="19"/>
  <c r="A8" i="19" s="1"/>
  <c r="C8" i="19"/>
  <c r="D8" i="19"/>
  <c r="J8" i="19"/>
  <c r="O8" i="19"/>
  <c r="T8" i="19"/>
  <c r="B9" i="19"/>
  <c r="A9" i="19" s="1"/>
  <c r="C9" i="19"/>
  <c r="D9" i="19"/>
  <c r="J9" i="19"/>
  <c r="O9" i="19"/>
  <c r="T9" i="19"/>
  <c r="A10" i="19"/>
  <c r="B10" i="19"/>
  <c r="C10" i="19"/>
  <c r="D10" i="19"/>
  <c r="J10" i="19"/>
  <c r="O10" i="19"/>
  <c r="T10" i="19"/>
  <c r="B11" i="19"/>
  <c r="A11" i="19" s="1"/>
  <c r="C11" i="19"/>
  <c r="D11" i="19"/>
  <c r="J11" i="19"/>
  <c r="O11" i="19"/>
  <c r="T11" i="19"/>
  <c r="B12" i="19"/>
  <c r="A12" i="19" s="1"/>
  <c r="C12" i="19"/>
  <c r="D12" i="19"/>
  <c r="J12" i="19"/>
  <c r="O12" i="19"/>
  <c r="T12" i="19"/>
  <c r="A13" i="19"/>
  <c r="B13" i="19"/>
  <c r="C13" i="19"/>
  <c r="D13" i="19"/>
  <c r="J13" i="19"/>
  <c r="O13" i="19"/>
  <c r="T13" i="19"/>
  <c r="A14" i="19"/>
  <c r="B14" i="19"/>
  <c r="C14" i="19"/>
  <c r="D14" i="19"/>
  <c r="J14" i="19"/>
  <c r="O14" i="19"/>
  <c r="T14" i="19"/>
  <c r="A15" i="19"/>
  <c r="B15" i="19"/>
  <c r="C15" i="19"/>
  <c r="D15" i="19"/>
  <c r="J15" i="19"/>
  <c r="O15" i="19"/>
  <c r="T15" i="19"/>
  <c r="A16" i="19"/>
  <c r="B16" i="19"/>
  <c r="C16" i="19"/>
  <c r="D16" i="19"/>
  <c r="J16" i="19"/>
  <c r="O16" i="19"/>
  <c r="T16" i="19"/>
  <c r="A17" i="19"/>
  <c r="B17" i="19"/>
  <c r="C17" i="19"/>
  <c r="D17" i="19"/>
  <c r="J17" i="19"/>
  <c r="O17" i="19"/>
  <c r="T17" i="19"/>
  <c r="A18" i="19"/>
  <c r="B18" i="19"/>
  <c r="C18" i="19"/>
  <c r="D18" i="19"/>
  <c r="J18" i="19"/>
  <c r="O18" i="19"/>
  <c r="T18" i="19"/>
  <c r="A19" i="19"/>
  <c r="B19" i="19"/>
  <c r="C19" i="19"/>
  <c r="D19" i="19"/>
  <c r="J19" i="19"/>
  <c r="O19" i="19"/>
  <c r="T19" i="19"/>
  <c r="A20" i="19"/>
  <c r="B20" i="19"/>
  <c r="C20" i="19"/>
  <c r="D20" i="19"/>
  <c r="J20" i="19"/>
  <c r="O20" i="19"/>
  <c r="T20" i="19"/>
  <c r="A21" i="19"/>
  <c r="B21" i="19"/>
  <c r="C21" i="19"/>
  <c r="D21" i="19"/>
  <c r="J21" i="19"/>
  <c r="O21" i="19"/>
  <c r="T21" i="19"/>
  <c r="A22" i="19"/>
  <c r="B22" i="19"/>
  <c r="C22" i="19"/>
  <c r="D22" i="19"/>
  <c r="J22" i="19"/>
  <c r="O22" i="19"/>
  <c r="T22" i="19"/>
  <c r="A23" i="19"/>
  <c r="B23" i="19"/>
  <c r="C23" i="19"/>
  <c r="D23" i="19"/>
  <c r="J23" i="19"/>
  <c r="O23" i="19"/>
  <c r="T23" i="19"/>
  <c r="A24" i="19"/>
  <c r="B24" i="19"/>
  <c r="C24" i="19"/>
  <c r="D24" i="19"/>
  <c r="J24" i="19"/>
  <c r="O24" i="19"/>
  <c r="T24" i="19"/>
  <c r="A25" i="19"/>
  <c r="B25" i="19"/>
  <c r="C25" i="19"/>
  <c r="D25" i="19"/>
  <c r="J25" i="19"/>
  <c r="O25" i="19"/>
  <c r="T25" i="19"/>
  <c r="A26" i="19"/>
  <c r="B26" i="19"/>
  <c r="C26" i="19"/>
  <c r="D26" i="19"/>
  <c r="J26" i="19"/>
  <c r="O26" i="19"/>
  <c r="T26" i="19"/>
  <c r="A27" i="19"/>
  <c r="B27" i="19"/>
  <c r="C27" i="19"/>
  <c r="D27" i="19"/>
  <c r="J27" i="19"/>
  <c r="O27" i="19"/>
  <c r="T27" i="19"/>
  <c r="A28" i="19"/>
  <c r="B28" i="19"/>
  <c r="C28" i="19"/>
  <c r="D28" i="19"/>
  <c r="J28" i="19"/>
  <c r="O28" i="19"/>
  <c r="T28" i="19"/>
  <c r="A29" i="19"/>
  <c r="B29" i="19"/>
  <c r="C29" i="19"/>
  <c r="D29" i="19"/>
  <c r="J29" i="19"/>
  <c r="O29" i="19"/>
  <c r="T29" i="19"/>
  <c r="A30" i="19"/>
  <c r="B30" i="19"/>
  <c r="C30" i="19"/>
  <c r="D30" i="19"/>
  <c r="J30" i="19"/>
  <c r="O30" i="19"/>
  <c r="T30" i="19"/>
  <c r="T30" i="17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T12" i="17"/>
  <c r="O12" i="17"/>
  <c r="J12" i="17"/>
  <c r="D12" i="17"/>
  <c r="C12" i="17"/>
  <c r="B12" i="17"/>
  <c r="A12" i="17"/>
  <c r="D11" i="17"/>
  <c r="C11" i="17"/>
  <c r="D10" i="17"/>
  <c r="D9" i="17"/>
  <c r="C9" i="17"/>
  <c r="C10" i="17" s="1"/>
  <c r="D8" i="17"/>
  <c r="D7" i="17"/>
  <c r="D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2" i="17"/>
  <c r="V2" i="17"/>
  <c r="U2" i="17"/>
  <c r="BO1" i="17"/>
  <c r="AT1" i="17"/>
  <c r="Y1" i="17"/>
  <c r="J8" i="21" l="1"/>
  <c r="U8" i="21" s="1"/>
  <c r="O9" i="21"/>
  <c r="V9" i="21" s="1"/>
  <c r="B9" i="21"/>
  <c r="A9" i="21" s="1"/>
  <c r="T7" i="21"/>
  <c r="W7" i="21" s="1"/>
  <c r="A8" i="21"/>
  <c r="O8" i="20"/>
  <c r="B9" i="20"/>
  <c r="T7" i="20"/>
  <c r="J6" i="20"/>
  <c r="B6" i="17"/>
  <c r="B7" i="17" s="1"/>
  <c r="J5" i="17"/>
  <c r="O6" i="17"/>
  <c r="B8" i="17"/>
  <c r="T6" i="17"/>
  <c r="B10" i="21" l="1"/>
  <c r="A10" i="21"/>
  <c r="J9" i="21"/>
  <c r="U9" i="21" s="1"/>
  <c r="T8" i="21"/>
  <c r="W8" i="21" s="1"/>
  <c r="O10" i="21"/>
  <c r="V10" i="21" s="1"/>
  <c r="J7" i="20"/>
  <c r="T8" i="20"/>
  <c r="B10" i="20"/>
  <c r="A9" i="20"/>
  <c r="O9" i="20"/>
  <c r="A6" i="17"/>
  <c r="A7" i="17" s="1"/>
  <c r="A8" i="17" s="1"/>
  <c r="B9" i="17"/>
  <c r="T7" i="17"/>
  <c r="O7" i="17"/>
  <c r="J6" i="17"/>
  <c r="T9" i="21" l="1"/>
  <c r="W9" i="21" s="1"/>
  <c r="B11" i="21"/>
  <c r="A11" i="21"/>
  <c r="O11" i="21"/>
  <c r="V11" i="21" s="1"/>
  <c r="J10" i="21"/>
  <c r="U10" i="21" s="1"/>
  <c r="B11" i="20"/>
  <c r="A11" i="20" s="1"/>
  <c r="A10" i="20"/>
  <c r="T9" i="20"/>
  <c r="O10" i="20"/>
  <c r="J8" i="20"/>
  <c r="A9" i="17"/>
  <c r="B10" i="17"/>
  <c r="J7" i="17"/>
  <c r="O8" i="17"/>
  <c r="T8" i="17"/>
  <c r="O12" i="21" l="1"/>
  <c r="V12" i="21" s="1"/>
  <c r="B12" i="21"/>
  <c r="A12" i="21" s="1"/>
  <c r="J11" i="21"/>
  <c r="U11" i="21" s="1"/>
  <c r="T10" i="21"/>
  <c r="W10" i="21" s="1"/>
  <c r="O11" i="20"/>
  <c r="T10" i="20"/>
  <c r="J9" i="20"/>
  <c r="B11" i="17"/>
  <c r="O9" i="17"/>
  <c r="A10" i="17"/>
  <c r="A11" i="17" s="1"/>
  <c r="T9" i="17"/>
  <c r="J8" i="17"/>
  <c r="J12" i="21" l="1"/>
  <c r="U12" i="21" s="1"/>
  <c r="O13" i="21"/>
  <c r="V13" i="21" s="1"/>
  <c r="T11" i="21"/>
  <c r="W11" i="21" s="1"/>
  <c r="B13" i="21"/>
  <c r="A13" i="21"/>
  <c r="T11" i="20"/>
  <c r="J10" i="20"/>
  <c r="J9" i="17"/>
  <c r="O10" i="17"/>
  <c r="T10" i="17"/>
  <c r="J13" i="21" l="1"/>
  <c r="U13" i="21" s="1"/>
  <c r="T12" i="21"/>
  <c r="W12" i="21" s="1"/>
  <c r="J11" i="20"/>
  <c r="J10" i="17"/>
  <c r="T11" i="17"/>
  <c r="O11" i="17"/>
  <c r="T13" i="21" l="1"/>
  <c r="W13" i="21" s="1"/>
  <c r="J11" i="17"/>
</calcChain>
</file>

<file path=xl/sharedStrings.xml><?xml version="1.0" encoding="utf-8"?>
<sst xmlns="http://schemas.openxmlformats.org/spreadsheetml/2006/main" count="790" uniqueCount="164">
  <si>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</si>
  <si>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</si>
  <si>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</si>
  <si>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</si>
  <si>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</si>
  <si>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</si>
  <si>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</si>
  <si>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</si>
  <si>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</si>
  <si>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</si>
  <si>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</si>
  <si>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</si>
  <si>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</si>
  <si>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</si>
  <si>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</si>
  <si>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</si>
  <si>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</si>
  <si>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</si>
  <si>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</si>
  <si>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</si>
  <si>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</si>
  <si>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</si>
  <si>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</si>
  <si>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</si>
  <si>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</si>
  <si>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</si>
  <si>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</si>
  <si>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</si>
  <si>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</si>
  <si>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</si>
  <si>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</si>
  <si>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</si>
  <si>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</si>
  <si>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</si>
  <si>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</si>
  <si>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</si>
  <si>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</si>
  <si>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</si>
  <si>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</si>
  <si>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</si>
  <si>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</si>
  <si>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</si>
  <si>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</si>
  <si>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</si>
  <si>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</si>
  <si>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</si>
  <si>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</si>
  <si>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</si>
  <si>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</si>
  <si>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</si>
  <si>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</si>
  <si>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</si>
  <si>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</si>
  <si>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</si>
  <si>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</si>
  <si>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</si>
  <si>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</si>
  <si>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</si>
  <si>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</si>
  <si>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</si>
  <si>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</si>
  <si>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</si>
  <si>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</si>
  <si>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</si>
  <si>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</si>
  <si>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</si>
  <si>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</si>
  <si>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</si>
  <si>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</si>
  <si>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</si>
  <si>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</si>
  <si>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</si>
  <si>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</si>
  <si>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</si>
  <si>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</si>
  <si>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</si>
  <si>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</si>
  <si>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</si>
  <si>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</si>
  <si>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</si>
  <si>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</si>
  <si>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</si>
  <si>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</si>
  <si>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</si>
  <si>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</si>
  <si>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</si>
  <si>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</si>
  <si>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</si>
  <si>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</si>
  <si>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</si>
  <si>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</si>
  <si>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</si>
  <si>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</si>
  <si>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</si>
  <si>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</si>
  <si>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</si>
  <si>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</si>
  <si>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</si>
  <si>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</si>
  <si>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</si>
  <si>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</si>
  <si>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</si>
  <si>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</si>
  <si>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</si>
  <si>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</si>
  <si>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</si>
  <si>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</si>
  <si>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</si>
  <si>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</si>
  <si>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</si>
  <si>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</si>
  <si>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</si>
  <si>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</si>
  <si>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</si>
  <si>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</si>
  <si>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</si>
  <si>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</si>
  <si>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</si>
  <si>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</si>
  <si>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</si>
  <si>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</si>
  <si>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</si>
  <si>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</si>
  <si>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</si>
  <si>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</si>
  <si>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</si>
  <si>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</si>
  <si>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</si>
  <si>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</si>
  <si>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</si>
  <si>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</si>
  <si>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</si>
  <si>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</si>
  <si>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</si>
  <si>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</si>
  <si>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</si>
  <si>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</si>
  <si>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</si>
  <si>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</si>
  <si>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</si>
  <si>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</si>
  <si>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</si>
  <si>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</si>
  <si>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</si>
  <si>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</si>
  <si>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放銃</t>
  </si>
  <si>
    <t>ロン</t>
  </si>
  <si>
    <t>52</t>
  </si>
  <si>
    <t>02</t>
  </si>
  <si>
    <t>だいち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</si>
  <si>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</si>
  <si>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</si>
  <si>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</si>
  <si>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</si>
  <si>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</si>
  <si>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だいち</t>
  </si>
  <si>
    <t>T</t>
  </si>
  <si>
    <t>N</t>
  </si>
  <si>
    <t>流局</t>
    <phoneticPr fontId="1"/>
  </si>
  <si>
    <t>まっつん</t>
  </si>
  <si>
    <t>まっつん</t>
    <phoneticPr fontId="1"/>
  </si>
  <si>
    <t>A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</si>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</sst>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151</v>
      </c>
      <c r="G1" s="78"/>
      <c r="H1" s="78"/>
      <c r="I1" s="79"/>
      <c r="J1" s="80"/>
      <c r="K1" s="77" t="s">
        <v>139</v>
      </c>
      <c r="L1" s="78"/>
      <c r="M1" s="78"/>
      <c r="N1" s="79"/>
      <c r="O1" s="80"/>
      <c r="P1" s="77" t="s">
        <v>153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ぱぱ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-2000</v>
      </c>
      <c r="H4" s="9"/>
      <c r="I4" s="48">
        <v>0</v>
      </c>
      <c r="J4" s="21">
        <f>IF(COUNTA($F4,$K4,$P4)&gt;0,J3+SUM(G4:I4),"")</f>
        <v>98000</v>
      </c>
      <c r="K4" s="8" t="s">
        <v>142</v>
      </c>
      <c r="L4" s="9">
        <v>-1200</v>
      </c>
      <c r="M4" s="9"/>
      <c r="N4" s="48">
        <v>0</v>
      </c>
      <c r="O4" s="21">
        <f>IF(COUNTA($F4,$K4,$P4)&gt;0,O3+SUM(L4:N4),"")</f>
        <v>98800</v>
      </c>
      <c r="P4" s="8" t="s">
        <v>143</v>
      </c>
      <c r="Q4" s="9">
        <v>3200</v>
      </c>
      <c r="R4" s="9"/>
      <c r="S4" s="48">
        <v>0</v>
      </c>
      <c r="T4" s="21">
        <f>IF(COUNTA($F4,$K4,$P4)&gt;0,T3+SUM(Q4:S4),"")</f>
        <v>103200</v>
      </c>
      <c r="U4" s="53">
        <f t="shared" ref="U4:U30" si="0">IF($J4="","",ROUND(($J4-$J$3)/1000,1))</f>
        <v>-2</v>
      </c>
      <c r="V4" s="54">
        <f t="shared" ref="V4:V30" si="1">IF($O4="","",ROUND(($O4-$O$3)/1000,1))</f>
        <v>-1.2</v>
      </c>
      <c r="W4" s="55">
        <f t="shared" ref="W4:W30" si="2">IF($T4="","",ROUND(($T4-$T$3)/1000,1))</f>
        <v>3.2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5">IF(COUNTA($F5,$K5,$P5)&gt;0,J4+SUM(G5:I5),"")</f>
        <v>98000</v>
      </c>
      <c r="K5" s="8" t="s">
        <v>146</v>
      </c>
      <c r="L5" s="9">
        <v>5800</v>
      </c>
      <c r="M5" s="9"/>
      <c r="N5" s="48">
        <v>0</v>
      </c>
      <c r="O5" s="21">
        <f t="shared" ref="O5:O30" si="6">IF(COUNTA($F5,$K5,$P5)&gt;0,O4+SUM(L5:N5),"")</f>
        <v>104600</v>
      </c>
      <c r="P5" s="8" t="s">
        <v>145</v>
      </c>
      <c r="Q5" s="9">
        <v>-5800</v>
      </c>
      <c r="R5" s="9"/>
      <c r="S5" s="48">
        <v>0</v>
      </c>
      <c r="T5" s="21">
        <f t="shared" ref="T5:T30" si="7">IF(COUNTA($F5,$K5,$P5)&gt;0,T4+SUM(Q5:S5),"")</f>
        <v>97400</v>
      </c>
      <c r="U5" s="53">
        <f t="shared" si="0"/>
        <v>-2</v>
      </c>
      <c r="V5" s="54">
        <f t="shared" si="1"/>
        <v>4.5999999999999996</v>
      </c>
      <c r="W5" s="55">
        <f t="shared" si="2"/>
        <v>-2.6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138</v>
      </c>
      <c r="F6" s="8" t="s">
        <v>143</v>
      </c>
      <c r="G6" s="9">
        <v>7700</v>
      </c>
      <c r="H6" s="9"/>
      <c r="I6" s="48">
        <v>1000</v>
      </c>
      <c r="J6" s="21">
        <f t="shared" si="5"/>
        <v>106700</v>
      </c>
      <c r="K6" s="8" t="s">
        <v>142</v>
      </c>
      <c r="L6" s="9">
        <v>-4800</v>
      </c>
      <c r="M6" s="9"/>
      <c r="N6" s="48">
        <v>-500</v>
      </c>
      <c r="O6" s="21">
        <f t="shared" si="6"/>
        <v>99300</v>
      </c>
      <c r="P6" s="8" t="s">
        <v>142</v>
      </c>
      <c r="Q6" s="9">
        <v>-2900</v>
      </c>
      <c r="R6" s="9"/>
      <c r="S6" s="48">
        <v>-500</v>
      </c>
      <c r="T6" s="21">
        <f t="shared" si="7"/>
        <v>94000</v>
      </c>
      <c r="U6" s="53">
        <f t="shared" si="0"/>
        <v>6.7</v>
      </c>
      <c r="V6" s="54">
        <f t="shared" si="1"/>
        <v>-0.7</v>
      </c>
      <c r="W6" s="55">
        <f t="shared" si="2"/>
        <v>-6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87</v>
      </c>
      <c r="AG6" s="41" t="s">
        <v>147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146</v>
      </c>
      <c r="G7" s="9">
        <v>3900</v>
      </c>
      <c r="H7" s="9"/>
      <c r="I7" s="48">
        <v>0</v>
      </c>
      <c r="J7" s="21">
        <f t="shared" si="5"/>
        <v>110600</v>
      </c>
      <c r="K7" s="8"/>
      <c r="L7" s="9"/>
      <c r="M7" s="9"/>
      <c r="N7" s="48"/>
      <c r="O7" s="21">
        <f t="shared" si="6"/>
        <v>99300</v>
      </c>
      <c r="P7" s="8" t="s">
        <v>145</v>
      </c>
      <c r="Q7" s="9">
        <v>-3900</v>
      </c>
      <c r="R7" s="9"/>
      <c r="S7" s="48">
        <v>0</v>
      </c>
      <c r="T7" s="21">
        <f t="shared" si="7"/>
        <v>90100</v>
      </c>
      <c r="U7" s="53">
        <f t="shared" si="0"/>
        <v>10.6</v>
      </c>
      <c r="V7" s="54">
        <f t="shared" si="1"/>
        <v>-0.7</v>
      </c>
      <c r="W7" s="55">
        <f t="shared" si="2"/>
        <v>-9.9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144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150</v>
      </c>
      <c r="F8" s="8" t="s">
        <v>145</v>
      </c>
      <c r="G8" s="9">
        <v>-8000</v>
      </c>
      <c r="H8" s="9"/>
      <c r="I8" s="48">
        <v>0</v>
      </c>
      <c r="J8" s="21">
        <f t="shared" si="5"/>
        <v>102600</v>
      </c>
      <c r="K8" s="8"/>
      <c r="L8" s="9"/>
      <c r="M8" s="9"/>
      <c r="N8" s="48"/>
      <c r="O8" s="21">
        <f t="shared" si="6"/>
        <v>99300</v>
      </c>
      <c r="P8" s="8" t="s">
        <v>146</v>
      </c>
      <c r="Q8" s="9">
        <v>8000</v>
      </c>
      <c r="R8" s="9"/>
      <c r="S8" s="48">
        <v>0</v>
      </c>
      <c r="T8" s="21">
        <f t="shared" si="7"/>
        <v>98100</v>
      </c>
      <c r="U8" s="53">
        <f t="shared" si="0"/>
        <v>2.6</v>
      </c>
      <c r="V8" s="54">
        <f t="shared" si="1"/>
        <v>-0.7</v>
      </c>
      <c r="W8" s="55">
        <f t="shared" si="2"/>
        <v>-1.9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144</v>
      </c>
      <c r="BV8" s="41" t="s">
        <v>148</v>
      </c>
      <c r="BW8" s="41" t="s">
        <v>147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138</v>
      </c>
      <c r="F9" s="8"/>
      <c r="G9" s="9"/>
      <c r="H9" s="9"/>
      <c r="I9" s="48"/>
      <c r="J9" s="21">
        <f t="shared" si="5"/>
        <v>102600</v>
      </c>
      <c r="K9" s="8" t="s">
        <v>145</v>
      </c>
      <c r="L9" s="9">
        <v>-2000</v>
      </c>
      <c r="M9" s="9"/>
      <c r="N9" s="48">
        <v>0</v>
      </c>
      <c r="O9" s="21">
        <f t="shared" si="6"/>
        <v>97300</v>
      </c>
      <c r="P9" s="8" t="s">
        <v>146</v>
      </c>
      <c r="Q9" s="9">
        <v>2000</v>
      </c>
      <c r="R9" s="9"/>
      <c r="S9" s="48">
        <v>0</v>
      </c>
      <c r="T9" s="21">
        <f t="shared" si="7"/>
        <v>100100</v>
      </c>
      <c r="U9" s="53">
        <f t="shared" si="0"/>
        <v>2.6</v>
      </c>
      <c r="V9" s="54">
        <f t="shared" si="1"/>
        <v>-2.7</v>
      </c>
      <c r="W9" s="55">
        <f t="shared" si="2"/>
        <v>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152</v>
      </c>
      <c r="F10" s="8" t="s">
        <v>146</v>
      </c>
      <c r="G10" s="9">
        <v>5200</v>
      </c>
      <c r="H10" s="9"/>
      <c r="I10" s="48">
        <v>0</v>
      </c>
      <c r="J10" s="21">
        <f t="shared" si="5"/>
        <v>107800</v>
      </c>
      <c r="K10" s="8"/>
      <c r="L10" s="9"/>
      <c r="M10" s="9"/>
      <c r="N10" s="48"/>
      <c r="O10" s="21">
        <f t="shared" si="6"/>
        <v>97300</v>
      </c>
      <c r="P10" s="8" t="s">
        <v>145</v>
      </c>
      <c r="Q10" s="9">
        <v>-5200</v>
      </c>
      <c r="R10" s="9"/>
      <c r="S10" s="48">
        <v>0</v>
      </c>
      <c r="T10" s="21">
        <f t="shared" si="7"/>
        <v>94900</v>
      </c>
      <c r="U10" s="53">
        <f t="shared" si="0"/>
        <v>7.8</v>
      </c>
      <c r="V10" s="54">
        <f t="shared" si="1"/>
        <v>-2.7</v>
      </c>
      <c r="W10" s="55">
        <f t="shared" si="2"/>
        <v>-5.0999999999999996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144</v>
      </c>
      <c r="AF10" s="41" t="s">
        <v>148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09BF-AE78-4348-9EA0-716E4040AF9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153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97300</v>
      </c>
      <c r="K3" s="7"/>
      <c r="L3" s="23"/>
      <c r="M3" s="23"/>
      <c r="N3" s="47"/>
      <c r="O3" s="20">
        <v>117800</v>
      </c>
      <c r="P3" s="7"/>
      <c r="Q3" s="23"/>
      <c r="R3" s="23"/>
      <c r="S3" s="47"/>
      <c r="T3" s="20">
        <v>84900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143</v>
      </c>
      <c r="G4" s="9">
        <v>7700</v>
      </c>
      <c r="H4" s="9"/>
      <c r="I4" s="48">
        <v>0</v>
      </c>
      <c r="J4" s="21">
        <f t="shared" ref="J4:J30" si="0">IF(COUNTA($F4,$K4,$P4)&gt;0,J3+SUM(G4:I4),"")</f>
        <v>105000</v>
      </c>
      <c r="K4" s="8" t="s">
        <v>142</v>
      </c>
      <c r="L4" s="9">
        <v>-4800</v>
      </c>
      <c r="M4" s="9"/>
      <c r="N4" s="48">
        <v>0</v>
      </c>
      <c r="O4" s="21">
        <f t="shared" ref="O4:O30" si="1">IF(COUNTA($F4,$K4,$P4)&gt;0,O3+SUM(L4:N4),"")</f>
        <v>113000</v>
      </c>
      <c r="P4" s="8" t="s">
        <v>142</v>
      </c>
      <c r="Q4" s="9">
        <v>-2900</v>
      </c>
      <c r="R4" s="9"/>
      <c r="S4" s="48">
        <v>0</v>
      </c>
      <c r="T4" s="21">
        <f t="shared" ref="T4:T30" si="2">IF(COUNTA($F4,$K4,$P4)&gt;0,T3+SUM(Q4:S4),"")</f>
        <v>82000</v>
      </c>
      <c r="U4" s="53">
        <f t="shared" ref="U4:U30" si="3">IF($J4="","",ROUND(($J4-$J$3)/1000,1))</f>
        <v>7.7</v>
      </c>
      <c r="V4" s="54">
        <f t="shared" ref="V4:V30" si="4">IF($O4="","",ROUND(($O4-$O$3)/1000,1))</f>
        <v>-4.8</v>
      </c>
      <c r="W4" s="55">
        <f t="shared" ref="W4:W30" si="5">IF($T4="","",ROUND(($T4-$T$3)/1000,1))</f>
        <v>-2.9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152</v>
      </c>
      <c r="F5" s="8"/>
      <c r="G5" s="9"/>
      <c r="H5" s="9"/>
      <c r="I5" s="48"/>
      <c r="J5" s="21">
        <f t="shared" si="0"/>
        <v>105000</v>
      </c>
      <c r="K5" s="8" t="s">
        <v>145</v>
      </c>
      <c r="L5" s="9">
        <v>-12000</v>
      </c>
      <c r="M5" s="9"/>
      <c r="N5" s="48">
        <v>0</v>
      </c>
      <c r="O5" s="21">
        <f t="shared" si="1"/>
        <v>101000</v>
      </c>
      <c r="P5" s="8" t="s">
        <v>146</v>
      </c>
      <c r="Q5" s="9">
        <v>12000</v>
      </c>
      <c r="R5" s="9"/>
      <c r="S5" s="48">
        <v>0</v>
      </c>
      <c r="T5" s="21">
        <f t="shared" si="2"/>
        <v>94000</v>
      </c>
      <c r="U5" s="53">
        <f t="shared" si="3"/>
        <v>7.7</v>
      </c>
      <c r="V5" s="54">
        <f t="shared" si="4"/>
        <v>-16.8</v>
      </c>
      <c r="W5" s="55">
        <f t="shared" si="5"/>
        <v>9.1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154</v>
      </c>
      <c r="BU5" s="40" t="s">
        <v>144</v>
      </c>
      <c r="BV5" s="41" t="s">
        <v>148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1</v>
      </c>
      <c r="D6" s="18">
        <f t="shared" si="9"/>
        <v>0</v>
      </c>
      <c r="E6" s="4" t="s">
        <v>152</v>
      </c>
      <c r="F6" s="8" t="s">
        <v>143</v>
      </c>
      <c r="G6" s="9">
        <v>8000</v>
      </c>
      <c r="H6" s="9">
        <v>1000</v>
      </c>
      <c r="I6" s="48">
        <v>1000</v>
      </c>
      <c r="J6" s="21">
        <f t="shared" si="0"/>
        <v>115000</v>
      </c>
      <c r="K6" s="8" t="s">
        <v>142</v>
      </c>
      <c r="L6" s="9">
        <v>-3000</v>
      </c>
      <c r="M6" s="9">
        <v>-1000</v>
      </c>
      <c r="N6" s="48">
        <v>-500</v>
      </c>
      <c r="O6" s="21">
        <f t="shared" si="1"/>
        <v>96500</v>
      </c>
      <c r="P6" s="8" t="s">
        <v>142</v>
      </c>
      <c r="Q6" s="9">
        <v>-5000</v>
      </c>
      <c r="R6" s="9"/>
      <c r="S6" s="48">
        <v>-500</v>
      </c>
      <c r="T6" s="21">
        <f t="shared" si="2"/>
        <v>88500</v>
      </c>
      <c r="U6" s="53">
        <f t="shared" si="3"/>
        <v>17.7</v>
      </c>
      <c r="V6" s="54">
        <f t="shared" si="4"/>
        <v>-21.3</v>
      </c>
      <c r="W6" s="55">
        <f t="shared" si="5"/>
        <v>3.6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98</v>
      </c>
      <c r="AF6" s="41" t="s">
        <v>96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155</v>
      </c>
      <c r="F7" s="8"/>
      <c r="G7" s="9"/>
      <c r="H7" s="9"/>
      <c r="I7" s="48"/>
      <c r="J7" s="21">
        <f t="shared" si="0"/>
        <v>115000</v>
      </c>
      <c r="K7" s="8" t="s">
        <v>145</v>
      </c>
      <c r="L7" s="9">
        <v>-3900</v>
      </c>
      <c r="M7" s="9"/>
      <c r="N7" s="48">
        <v>0</v>
      </c>
      <c r="O7" s="21">
        <f t="shared" si="1"/>
        <v>92600</v>
      </c>
      <c r="P7" s="8" t="s">
        <v>146</v>
      </c>
      <c r="Q7" s="9">
        <v>3900</v>
      </c>
      <c r="R7" s="9"/>
      <c r="S7" s="48">
        <v>0</v>
      </c>
      <c r="T7" s="21">
        <f t="shared" si="2"/>
        <v>92400</v>
      </c>
      <c r="U7" s="53">
        <f t="shared" si="3"/>
        <v>17.7</v>
      </c>
      <c r="V7" s="54">
        <f t="shared" si="4"/>
        <v>-25.2</v>
      </c>
      <c r="W7" s="55">
        <f t="shared" si="5"/>
        <v>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144</v>
      </c>
      <c r="BV7" s="41" t="s">
        <v>83</v>
      </c>
      <c r="BW7" s="41" t="s">
        <v>147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140</v>
      </c>
      <c r="F8" s="8"/>
      <c r="G8" s="9"/>
      <c r="H8" s="9"/>
      <c r="I8" s="48"/>
      <c r="J8" s="21">
        <f t="shared" si="0"/>
        <v>115000</v>
      </c>
      <c r="K8" s="8" t="s">
        <v>145</v>
      </c>
      <c r="L8" s="9">
        <v>-12000</v>
      </c>
      <c r="M8" s="9"/>
      <c r="N8" s="48">
        <v>0</v>
      </c>
      <c r="O8" s="21">
        <f t="shared" si="1"/>
        <v>80600</v>
      </c>
      <c r="P8" s="8" t="s">
        <v>146</v>
      </c>
      <c r="Q8" s="9">
        <v>12000</v>
      </c>
      <c r="R8" s="9"/>
      <c r="S8" s="48">
        <v>0</v>
      </c>
      <c r="T8" s="21">
        <f t="shared" si="2"/>
        <v>104400</v>
      </c>
      <c r="U8" s="53">
        <f t="shared" si="3"/>
        <v>17.7</v>
      </c>
      <c r="V8" s="54">
        <f t="shared" si="4"/>
        <v>-37.200000000000003</v>
      </c>
      <c r="W8" s="55">
        <f t="shared" si="5"/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154</v>
      </c>
      <c r="BU8" s="40" t="s">
        <v>144</v>
      </c>
      <c r="BV8" s="41" t="s">
        <v>80</v>
      </c>
      <c r="BW8" s="41" t="s">
        <v>80</v>
      </c>
      <c r="BX8" s="41" t="s">
        <v>80</v>
      </c>
      <c r="BY8" s="41" t="s">
        <v>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2</v>
      </c>
      <c r="C9" s="18">
        <f t="shared" si="8"/>
        <v>0</v>
      </c>
      <c r="D9" s="18">
        <f t="shared" si="9"/>
        <v>0</v>
      </c>
      <c r="E9" s="4" t="s">
        <v>152</v>
      </c>
      <c r="F9" s="8" t="s">
        <v>158</v>
      </c>
      <c r="G9" s="9">
        <v>1500</v>
      </c>
      <c r="H9" s="9"/>
      <c r="I9" s="48"/>
      <c r="J9" s="21">
        <f t="shared" si="0"/>
        <v>116500</v>
      </c>
      <c r="K9" s="8" t="s">
        <v>158</v>
      </c>
      <c r="L9" s="9">
        <v>-3000</v>
      </c>
      <c r="M9" s="9"/>
      <c r="N9" s="48"/>
      <c r="O9" s="21">
        <f t="shared" si="1"/>
        <v>77600</v>
      </c>
      <c r="P9" s="8" t="s">
        <v>158</v>
      </c>
      <c r="Q9" s="9">
        <v>1500</v>
      </c>
      <c r="R9" s="9"/>
      <c r="S9" s="48"/>
      <c r="T9" s="21">
        <f t="shared" si="2"/>
        <v>105900</v>
      </c>
      <c r="U9" s="53">
        <f t="shared" si="3"/>
        <v>19.2</v>
      </c>
      <c r="V9" s="54">
        <f t="shared" si="4"/>
        <v>-40.200000000000003</v>
      </c>
      <c r="W9" s="55">
        <f t="shared" si="5"/>
        <v>21</v>
      </c>
      <c r="Y9" s="8" t="s">
        <v>156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1</v>
      </c>
      <c r="D10" s="18">
        <f t="shared" si="9"/>
        <v>0</v>
      </c>
      <c r="E10" s="4" t="s">
        <v>152</v>
      </c>
      <c r="F10" s="8" t="s">
        <v>143</v>
      </c>
      <c r="G10" s="9">
        <v>8000</v>
      </c>
      <c r="H10" s="9"/>
      <c r="I10" s="48">
        <v>1000</v>
      </c>
      <c r="J10" s="21">
        <f t="shared" si="0"/>
        <v>125500</v>
      </c>
      <c r="K10" s="8" t="s">
        <v>142</v>
      </c>
      <c r="L10" s="9">
        <v>-3000</v>
      </c>
      <c r="M10" s="9"/>
      <c r="N10" s="48">
        <v>-500</v>
      </c>
      <c r="O10" s="21">
        <f t="shared" si="1"/>
        <v>74100</v>
      </c>
      <c r="P10" s="8" t="s">
        <v>142</v>
      </c>
      <c r="Q10" s="9">
        <v>-5000</v>
      </c>
      <c r="R10" s="9"/>
      <c r="S10" s="48">
        <v>-500</v>
      </c>
      <c r="T10" s="21">
        <f t="shared" si="2"/>
        <v>100400</v>
      </c>
      <c r="U10" s="53">
        <f t="shared" si="3"/>
        <v>28.2</v>
      </c>
      <c r="V10" s="54">
        <f t="shared" si="4"/>
        <v>-43.7</v>
      </c>
      <c r="W10" s="55">
        <f t="shared" si="5"/>
        <v>15.5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3</v>
      </c>
      <c r="C11" s="18">
        <f t="shared" si="8"/>
        <v>0</v>
      </c>
      <c r="D11" s="18">
        <f t="shared" si="9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124500</v>
      </c>
      <c r="K11" s="8" t="s">
        <v>146</v>
      </c>
      <c r="L11" s="9">
        <v>12000</v>
      </c>
      <c r="M11" s="9">
        <v>1000</v>
      </c>
      <c r="N11" s="48">
        <v>0</v>
      </c>
      <c r="O11" s="21">
        <f t="shared" si="1"/>
        <v>87100</v>
      </c>
      <c r="P11" s="8" t="s">
        <v>145</v>
      </c>
      <c r="Q11" s="9">
        <v>-12000</v>
      </c>
      <c r="R11" s="9"/>
      <c r="S11" s="48">
        <v>0</v>
      </c>
      <c r="T11" s="21">
        <f t="shared" si="2"/>
        <v>88400</v>
      </c>
      <c r="U11" s="53">
        <f t="shared" si="3"/>
        <v>27.2</v>
      </c>
      <c r="V11" s="54">
        <f t="shared" si="4"/>
        <v>-30.7</v>
      </c>
      <c r="W11" s="55">
        <f t="shared" si="5"/>
        <v>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154</v>
      </c>
      <c r="AZ11" s="40" t="s">
        <v>86</v>
      </c>
      <c r="BA11" s="41" t="s">
        <v>86</v>
      </c>
      <c r="BB11" s="41" t="s">
        <v>86</v>
      </c>
      <c r="BC11" s="41" t="s">
        <v>104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2A99F51E-7A1A-439D-9EC7-7B3ABA4BE800}">
      <formula1>$U$2:$W$2</formula1>
    </dataValidation>
    <dataValidation type="list" showInputMessage="1" showErrorMessage="1" sqref="K4:K30 P4:P30 F4:F30" xr:uid="{63707296-EF7F-4D96-9AEC-6C5D31312B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0FBB-158A-4D81-B506-2567A8129C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151</v>
      </c>
      <c r="L1" s="78"/>
      <c r="M1" s="78"/>
      <c r="N1" s="79"/>
      <c r="O1" s="80"/>
      <c r="P1" s="77" t="s">
        <v>160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ぱぱ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りくと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134500</v>
      </c>
      <c r="K3" s="7"/>
      <c r="L3" s="23"/>
      <c r="M3" s="23"/>
      <c r="N3" s="47"/>
      <c r="O3" s="20">
        <v>77100</v>
      </c>
      <c r="P3" s="7"/>
      <c r="Q3" s="23"/>
      <c r="R3" s="23"/>
      <c r="S3" s="47"/>
      <c r="T3" s="20">
        <v>88400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12000</v>
      </c>
      <c r="H4" s="9"/>
      <c r="I4" s="48">
        <v>0</v>
      </c>
      <c r="J4" s="21">
        <f t="shared" ref="J4:J30" si="0">IF(COUNTA($F4,$K4,$P4)&gt;0,J3+SUM(G4:I4),"")</f>
        <v>146500</v>
      </c>
      <c r="K4" s="8" t="s">
        <v>145</v>
      </c>
      <c r="L4" s="9">
        <v>-12000</v>
      </c>
      <c r="M4" s="9"/>
      <c r="N4" s="48">
        <v>0</v>
      </c>
      <c r="O4" s="21">
        <f t="shared" ref="O4:O30" si="1">IF(COUNTA($F4,$K4,$P4)&gt;0,O3+SUM(L4:N4),"")</f>
        <v>65100</v>
      </c>
      <c r="P4" s="8"/>
      <c r="Q4" s="9"/>
      <c r="R4" s="9"/>
      <c r="S4" s="48"/>
      <c r="T4" s="21">
        <f t="shared" ref="T4:T30" si="2">IF(COUNTA($F4,$K4,$P4)&gt;0,T3+SUM(Q4:S4),"")</f>
        <v>88400</v>
      </c>
      <c r="U4" s="53">
        <f t="shared" ref="U4:U30" si="3">IF($J4="","",ROUND(($J4-$J$3)/1000,1))</f>
        <v>12</v>
      </c>
      <c r="V4" s="54">
        <f t="shared" ref="V4:V30" si="4">IF($O4="","",ROUND(($O4-$O$3)/1000,1))</f>
        <v>-12</v>
      </c>
      <c r="W4" s="55">
        <f t="shared" ref="W4:W30" si="5">IF($T4="","",ROUND(($T4-$T$3)/1000,1))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1</v>
      </c>
      <c r="C5" s="18">
        <f t="shared" ref="C5:C30" si="8">IF($E5="","",IF($F4="チョンボ",C4,IF(OR($E4=$E5,$F4="流局"),C4+1,0)))</f>
        <v>1</v>
      </c>
      <c r="D5" s="18">
        <f t="shared" ref="D5:D30" si="9">IF($E5="","",IF(OR($F4="流局",$F4="チョンボ"),D4+($H4+$M4+$R4)/-1000,0))</f>
        <v>0</v>
      </c>
      <c r="E5" s="4" t="s">
        <v>138</v>
      </c>
      <c r="F5" s="8" t="s">
        <v>145</v>
      </c>
      <c r="G5" s="9">
        <v>-7700</v>
      </c>
      <c r="H5" s="9"/>
      <c r="I5" s="48">
        <v>-1000</v>
      </c>
      <c r="J5" s="21">
        <f t="shared" si="0"/>
        <v>137800</v>
      </c>
      <c r="K5" s="8" t="s">
        <v>146</v>
      </c>
      <c r="L5" s="9">
        <v>7700</v>
      </c>
      <c r="M5" s="9"/>
      <c r="N5" s="48">
        <v>1000</v>
      </c>
      <c r="O5" s="21">
        <f t="shared" si="1"/>
        <v>73800</v>
      </c>
      <c r="P5" s="8"/>
      <c r="Q5" s="9"/>
      <c r="R5" s="9"/>
      <c r="S5" s="48"/>
      <c r="T5" s="21">
        <f t="shared" si="2"/>
        <v>88400</v>
      </c>
      <c r="U5" s="53">
        <f t="shared" si="3"/>
        <v>3.3</v>
      </c>
      <c r="V5" s="54">
        <f t="shared" si="4"/>
        <v>-3.3</v>
      </c>
      <c r="W5" s="55">
        <f t="shared" si="5"/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144</v>
      </c>
      <c r="BA5" s="41" t="s">
        <v>83</v>
      </c>
      <c r="BB5" s="41" t="s">
        <v>79</v>
      </c>
      <c r="BC5" s="41" t="s">
        <v>147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0</v>
      </c>
      <c r="D6" s="18">
        <f t="shared" si="9"/>
        <v>0</v>
      </c>
      <c r="E6" s="4" t="s">
        <v>150</v>
      </c>
      <c r="F6" s="8" t="s">
        <v>143</v>
      </c>
      <c r="G6" s="9">
        <v>2800</v>
      </c>
      <c r="H6" s="9"/>
      <c r="I6" s="48">
        <v>0</v>
      </c>
      <c r="J6" s="21">
        <f t="shared" si="0"/>
        <v>140600</v>
      </c>
      <c r="K6" s="8" t="s">
        <v>142</v>
      </c>
      <c r="L6" s="9">
        <v>-1700</v>
      </c>
      <c r="M6" s="9"/>
      <c r="N6" s="48">
        <v>0</v>
      </c>
      <c r="O6" s="21">
        <f t="shared" si="1"/>
        <v>72100</v>
      </c>
      <c r="P6" s="8" t="s">
        <v>142</v>
      </c>
      <c r="Q6" s="9">
        <v>-1100</v>
      </c>
      <c r="R6" s="9"/>
      <c r="S6" s="48">
        <v>0</v>
      </c>
      <c r="T6" s="21">
        <f t="shared" si="2"/>
        <v>87300</v>
      </c>
      <c r="U6" s="53">
        <f t="shared" si="3"/>
        <v>6.1</v>
      </c>
      <c r="V6" s="54">
        <f t="shared" si="4"/>
        <v>-5</v>
      </c>
      <c r="W6" s="55">
        <f t="shared" si="5"/>
        <v>-1.1000000000000001</v>
      </c>
      <c r="Y6" s="8"/>
      <c r="Z6" s="34"/>
      <c r="AA6" s="26"/>
      <c r="AB6" s="26"/>
      <c r="AC6" s="26">
        <v>3</v>
      </c>
      <c r="AD6" s="30">
        <v>20</v>
      </c>
      <c r="AE6" s="40" t="s">
        <v>82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159</v>
      </c>
      <c r="F7" s="8" t="s">
        <v>142</v>
      </c>
      <c r="G7" s="9">
        <v>-3000</v>
      </c>
      <c r="H7" s="9"/>
      <c r="I7" s="48">
        <v>0</v>
      </c>
      <c r="J7" s="21">
        <f t="shared" si="0"/>
        <v>137600</v>
      </c>
      <c r="K7" s="8" t="s">
        <v>143</v>
      </c>
      <c r="L7" s="9">
        <v>8000</v>
      </c>
      <c r="M7" s="9"/>
      <c r="N7" s="48">
        <v>0</v>
      </c>
      <c r="O7" s="21">
        <f t="shared" si="1"/>
        <v>80100</v>
      </c>
      <c r="P7" s="8" t="s">
        <v>142</v>
      </c>
      <c r="Q7" s="9">
        <v>-5000</v>
      </c>
      <c r="R7" s="9"/>
      <c r="S7" s="48">
        <v>0</v>
      </c>
      <c r="T7" s="21">
        <f t="shared" si="2"/>
        <v>82300</v>
      </c>
      <c r="U7" s="53">
        <f t="shared" si="3"/>
        <v>3.1</v>
      </c>
      <c r="V7" s="54">
        <f t="shared" si="4"/>
        <v>3</v>
      </c>
      <c r="W7" s="55">
        <f t="shared" si="5"/>
        <v>-6.1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138</v>
      </c>
      <c r="F8" s="8" t="s">
        <v>146</v>
      </c>
      <c r="G8" s="9">
        <v>2900</v>
      </c>
      <c r="H8" s="9"/>
      <c r="I8" s="48">
        <v>0</v>
      </c>
      <c r="J8" s="21">
        <f t="shared" si="0"/>
        <v>140500</v>
      </c>
      <c r="K8" s="8"/>
      <c r="L8" s="9"/>
      <c r="M8" s="9"/>
      <c r="N8" s="48"/>
      <c r="O8" s="21">
        <f t="shared" si="1"/>
        <v>80100</v>
      </c>
      <c r="P8" s="8" t="s">
        <v>145</v>
      </c>
      <c r="Q8" s="9">
        <v>-2900</v>
      </c>
      <c r="R8" s="9"/>
      <c r="S8" s="48">
        <v>0</v>
      </c>
      <c r="T8" s="21">
        <f t="shared" si="2"/>
        <v>79400</v>
      </c>
      <c r="U8" s="53">
        <f t="shared" si="3"/>
        <v>6</v>
      </c>
      <c r="V8" s="54">
        <f t="shared" si="4"/>
        <v>3</v>
      </c>
      <c r="W8" s="55">
        <f t="shared" si="5"/>
        <v>-9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147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1</v>
      </c>
      <c r="C9" s="18">
        <f t="shared" si="8"/>
        <v>1</v>
      </c>
      <c r="D9" s="18">
        <f t="shared" si="9"/>
        <v>0</v>
      </c>
      <c r="E9" s="4" t="s">
        <v>138</v>
      </c>
      <c r="F9" s="8" t="s">
        <v>142</v>
      </c>
      <c r="G9" s="9">
        <v>-5000</v>
      </c>
      <c r="H9" s="9"/>
      <c r="I9" s="48">
        <v>-500</v>
      </c>
      <c r="J9" s="21">
        <f t="shared" si="0"/>
        <v>135000</v>
      </c>
      <c r="K9" s="8" t="s">
        <v>142</v>
      </c>
      <c r="L9" s="9">
        <v>-3000</v>
      </c>
      <c r="M9" s="9"/>
      <c r="N9" s="48">
        <v>-500</v>
      </c>
      <c r="O9" s="21">
        <f t="shared" si="1"/>
        <v>76600</v>
      </c>
      <c r="P9" s="8" t="s">
        <v>143</v>
      </c>
      <c r="Q9" s="9">
        <v>8000</v>
      </c>
      <c r="R9" s="9"/>
      <c r="S9" s="48">
        <v>1000</v>
      </c>
      <c r="T9" s="21">
        <f t="shared" si="2"/>
        <v>88400</v>
      </c>
      <c r="U9" s="53">
        <f t="shared" si="3"/>
        <v>0.5</v>
      </c>
      <c r="V9" s="54">
        <f t="shared" si="4"/>
        <v>-0.5</v>
      </c>
      <c r="W9" s="55">
        <f t="shared" si="5"/>
        <v>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144</v>
      </c>
      <c r="BV9" s="41" t="s">
        <v>82</v>
      </c>
      <c r="BW9" s="41" t="s">
        <v>148</v>
      </c>
      <c r="BX9" s="41" t="s">
        <v>89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0</v>
      </c>
      <c r="D10" s="18">
        <f t="shared" si="9"/>
        <v>0</v>
      </c>
      <c r="E10" s="4" t="s">
        <v>150</v>
      </c>
      <c r="F10" s="8" t="s">
        <v>142</v>
      </c>
      <c r="G10" s="9">
        <v>-9000</v>
      </c>
      <c r="H10" s="9"/>
      <c r="I10" s="48">
        <v>0</v>
      </c>
      <c r="J10" s="21">
        <f t="shared" si="0"/>
        <v>126000</v>
      </c>
      <c r="K10" s="8" t="s">
        <v>143</v>
      </c>
      <c r="L10" s="9">
        <v>18000</v>
      </c>
      <c r="M10" s="9"/>
      <c r="N10" s="48">
        <v>0</v>
      </c>
      <c r="O10" s="21">
        <f t="shared" si="1"/>
        <v>94600</v>
      </c>
      <c r="P10" s="8" t="s">
        <v>142</v>
      </c>
      <c r="Q10" s="9">
        <v>-9000</v>
      </c>
      <c r="R10" s="9"/>
      <c r="S10" s="48">
        <v>0</v>
      </c>
      <c r="T10" s="21">
        <f t="shared" si="2"/>
        <v>79400</v>
      </c>
      <c r="U10" s="53">
        <f t="shared" si="3"/>
        <v>-8.5</v>
      </c>
      <c r="V10" s="54">
        <f t="shared" si="4"/>
        <v>17.5</v>
      </c>
      <c r="W10" s="55">
        <f t="shared" si="5"/>
        <v>-9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154</v>
      </c>
      <c r="AZ10" s="40" t="s">
        <v>144</v>
      </c>
      <c r="BA10" s="41" t="s">
        <v>82</v>
      </c>
      <c r="BB10" s="41" t="s">
        <v>89</v>
      </c>
      <c r="BC10" s="41" t="s">
        <v>86</v>
      </c>
      <c r="BD10" s="41" t="s">
        <v>80</v>
      </c>
      <c r="BE10" s="41" t="s">
        <v>96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1</v>
      </c>
      <c r="D11" s="18">
        <f t="shared" si="9"/>
        <v>0</v>
      </c>
      <c r="E11" s="4" t="s">
        <v>150</v>
      </c>
      <c r="F11" s="8"/>
      <c r="G11" s="9"/>
      <c r="H11" s="9"/>
      <c r="I11" s="48"/>
      <c r="J11" s="21">
        <f t="shared" si="0"/>
        <v>126000</v>
      </c>
      <c r="K11" s="8" t="s">
        <v>146</v>
      </c>
      <c r="L11" s="9">
        <v>2000</v>
      </c>
      <c r="M11" s="9"/>
      <c r="N11" s="48">
        <v>1000</v>
      </c>
      <c r="O11" s="21">
        <f t="shared" si="1"/>
        <v>97600</v>
      </c>
      <c r="P11" s="8" t="s">
        <v>145</v>
      </c>
      <c r="Q11" s="9">
        <v>-2000</v>
      </c>
      <c r="R11" s="9"/>
      <c r="S11" s="48">
        <v>-1000</v>
      </c>
      <c r="T11" s="21">
        <f t="shared" si="2"/>
        <v>76400</v>
      </c>
      <c r="U11" s="53">
        <f t="shared" si="3"/>
        <v>-8.5</v>
      </c>
      <c r="V11" s="54">
        <f t="shared" si="4"/>
        <v>20.5</v>
      </c>
      <c r="W11" s="55">
        <f t="shared" si="5"/>
        <v>-12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2</v>
      </c>
      <c r="C12" s="18">
        <f t="shared" si="8"/>
        <v>2</v>
      </c>
      <c r="D12" s="18">
        <f t="shared" si="9"/>
        <v>0</v>
      </c>
      <c r="E12" s="4" t="s">
        <v>150</v>
      </c>
      <c r="F12" s="8"/>
      <c r="G12" s="9"/>
      <c r="H12" s="9"/>
      <c r="I12" s="48"/>
      <c r="J12" s="21">
        <f t="shared" si="0"/>
        <v>126000</v>
      </c>
      <c r="K12" s="8" t="s">
        <v>145</v>
      </c>
      <c r="L12" s="9">
        <v>-3900</v>
      </c>
      <c r="M12" s="9"/>
      <c r="N12" s="48">
        <v>-2000</v>
      </c>
      <c r="O12" s="21">
        <f t="shared" si="1"/>
        <v>91700</v>
      </c>
      <c r="P12" s="8" t="s">
        <v>146</v>
      </c>
      <c r="Q12" s="9">
        <v>3900</v>
      </c>
      <c r="R12" s="9"/>
      <c r="S12" s="48">
        <v>2000</v>
      </c>
      <c r="T12" s="21">
        <f t="shared" si="2"/>
        <v>82300</v>
      </c>
      <c r="U12" s="53">
        <f t="shared" si="3"/>
        <v>-8.5</v>
      </c>
      <c r="V12" s="54">
        <f t="shared" si="4"/>
        <v>14.6</v>
      </c>
      <c r="W12" s="55">
        <f t="shared" si="5"/>
        <v>-6.1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3</v>
      </c>
      <c r="C13" s="18">
        <f t="shared" si="8"/>
        <v>0</v>
      </c>
      <c r="D13" s="18">
        <f t="shared" si="9"/>
        <v>0</v>
      </c>
      <c r="E13" s="4" t="s">
        <v>159</v>
      </c>
      <c r="F13" s="8"/>
      <c r="G13" s="9"/>
      <c r="H13" s="9"/>
      <c r="I13" s="48"/>
      <c r="J13" s="21">
        <f t="shared" si="0"/>
        <v>126000</v>
      </c>
      <c r="K13" s="8" t="s">
        <v>145</v>
      </c>
      <c r="L13" s="9">
        <v>-18000</v>
      </c>
      <c r="M13" s="9"/>
      <c r="N13" s="48">
        <v>0</v>
      </c>
      <c r="O13" s="21">
        <f t="shared" si="1"/>
        <v>73700</v>
      </c>
      <c r="P13" s="8" t="s">
        <v>146</v>
      </c>
      <c r="Q13" s="9">
        <v>18000</v>
      </c>
      <c r="R13" s="9"/>
      <c r="S13" s="48">
        <v>0</v>
      </c>
      <c r="T13" s="21">
        <f t="shared" si="2"/>
        <v>100300</v>
      </c>
      <c r="U13" s="53">
        <f t="shared" si="3"/>
        <v>-8.5</v>
      </c>
      <c r="V13" s="54">
        <f t="shared" si="4"/>
        <v>-3.4</v>
      </c>
      <c r="W13" s="55">
        <f t="shared" si="5"/>
        <v>11.9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154</v>
      </c>
      <c r="BU13" s="40" t="s">
        <v>144</v>
      </c>
      <c r="BV13" s="41" t="s">
        <v>83</v>
      </c>
      <c r="BW13" s="41" t="s">
        <v>79</v>
      </c>
      <c r="BX13" s="41" t="s">
        <v>79</v>
      </c>
      <c r="BY13" s="41" t="s">
        <v>80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C002C881-310B-4AA1-AC7F-E5F28178F0F4}">
      <formula1>"ロン,ツモ,放銃,ツモ支払,流局,チョンボ"</formula1>
    </dataValidation>
    <dataValidation type="list" allowBlank="1" showInputMessage="1" showErrorMessage="1" sqref="E4:E30" xr:uid="{FDE538A1-4B9F-4B49-891F-4B8E0E8695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289E-AE47-4747-9D2B-8FBF6B0F98AE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161</v>
      </c>
      <c r="G1" s="78"/>
      <c r="H1" s="78"/>
      <c r="I1" s="79"/>
      <c r="J1" s="80"/>
      <c r="K1" s="77" t="s">
        <v>162</v>
      </c>
      <c r="L1" s="78"/>
      <c r="M1" s="78"/>
      <c r="N1" s="79"/>
      <c r="O1" s="80"/>
      <c r="P1" s="77" t="s">
        <v>163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A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B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C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A</v>
      </c>
      <c r="V2" s="76" t="str">
        <f>$K$1</f>
        <v>B</v>
      </c>
      <c r="W2" s="16" t="str">
        <f>$P$1</f>
        <v>C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73700</v>
      </c>
      <c r="K3" s="7"/>
      <c r="L3" s="23"/>
      <c r="M3" s="23"/>
      <c r="N3" s="47"/>
      <c r="O3" s="20">
        <v>110300</v>
      </c>
      <c r="P3" s="7"/>
      <c r="Q3" s="23"/>
      <c r="R3" s="23"/>
      <c r="S3" s="47"/>
      <c r="T3" s="20">
        <v>116000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 t="shared" ref="J4:J30" si="0">IF(COUNTA($F4,$K4,$P4)&gt;0,J3+SUM(G4:I4),"")</f>
        <v/>
      </c>
      <c r="K4" s="8"/>
      <c r="L4" s="9"/>
      <c r="M4" s="9"/>
      <c r="N4" s="48"/>
      <c r="O4" s="21" t="str">
        <f t="shared" ref="O4:O30" si="1">IF(COUNTA($F4,$K4,$P4)&gt;0,O3+SUM(L4:N4),"")</f>
        <v/>
      </c>
      <c r="P4" s="8"/>
      <c r="Q4" s="9"/>
      <c r="R4" s="9"/>
      <c r="S4" s="48"/>
      <c r="T4" s="21" t="str">
        <f t="shared" ref="T4:T30" si="2">IF(COUNTA($F4,$K4,$P4)&gt;0,T3+SUM(Q4:S4),"")</f>
        <v/>
      </c>
      <c r="U4" s="53" t="str">
        <f t="shared" ref="U4:U30" si="3">IF($J4="","",ROUND(($J4-$J$3)/1000,1))</f>
        <v/>
      </c>
      <c r="V4" s="54" t="str">
        <f t="shared" ref="V4:V30" si="4">IF($O4="","",ROUND(($O4-$O$3)/1000,1))</f>
        <v/>
      </c>
      <c r="W4" s="55" t="str">
        <f t="shared" ref="W4:W30" si="5">IF($T4="","",ROUND(($T4-$T$3)/1000,1))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/>
      </c>
      <c r="B5" s="18" t="str">
        <f t="shared" ref="B5:B30" si="7">IF($E5="","",IF($E4=$E5,B4,IF(B4=3,1,B4+1)))</f>
        <v/>
      </c>
      <c r="C5" s="18" t="str">
        <f t="shared" ref="C5:C30" si="8">IF($E5="","",IF($F4="チョンボ",C4,IF(OR($E4=$E5,$F4="流局"),C4+1,0)))</f>
        <v/>
      </c>
      <c r="D5" s="18" t="str">
        <f t="shared" ref="D5:D30" si="9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si="0"/>
        <v/>
      </c>
      <c r="K5" s="8"/>
      <c r="L5" s="9"/>
      <c r="M5" s="9"/>
      <c r="N5" s="48"/>
      <c r="O5" s="21" t="str">
        <f t="shared" si="1"/>
        <v/>
      </c>
      <c r="P5" s="8"/>
      <c r="Q5" s="9"/>
      <c r="R5" s="9"/>
      <c r="S5" s="48"/>
      <c r="T5" s="21" t="str">
        <f t="shared" si="2"/>
        <v/>
      </c>
      <c r="U5" s="53" t="str">
        <f t="shared" si="3"/>
        <v/>
      </c>
      <c r="V5" s="54" t="str">
        <f t="shared" si="4"/>
        <v/>
      </c>
      <c r="W5" s="55" t="str">
        <f t="shared" si="5"/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/>
      </c>
      <c r="B6" s="18" t="str">
        <f t="shared" si="7"/>
        <v/>
      </c>
      <c r="C6" s="18" t="str">
        <f t="shared" si="8"/>
        <v/>
      </c>
      <c r="D6" s="18" t="str">
        <f t="shared" si="9"/>
        <v/>
      </c>
      <c r="E6" s="4"/>
      <c r="F6" s="8"/>
      <c r="G6" s="9"/>
      <c r="H6" s="9"/>
      <c r="I6" s="48"/>
      <c r="J6" s="21" t="str">
        <f t="shared" si="0"/>
        <v/>
      </c>
      <c r="K6" s="8"/>
      <c r="L6" s="9"/>
      <c r="M6" s="9"/>
      <c r="N6" s="48"/>
      <c r="O6" s="21" t="str">
        <f t="shared" si="1"/>
        <v/>
      </c>
      <c r="P6" s="8"/>
      <c r="Q6" s="9"/>
      <c r="R6" s="9"/>
      <c r="S6" s="48"/>
      <c r="T6" s="21" t="str">
        <f t="shared" si="2"/>
        <v/>
      </c>
      <c r="U6" s="53" t="str">
        <f t="shared" si="3"/>
        <v/>
      </c>
      <c r="V6" s="54" t="str">
        <f t="shared" si="4"/>
        <v/>
      </c>
      <c r="W6" s="55" t="str">
        <f t="shared" si="5"/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/>
      </c>
      <c r="B7" s="18" t="str">
        <f t="shared" si="7"/>
        <v/>
      </c>
      <c r="C7" s="18" t="str">
        <f t="shared" si="8"/>
        <v/>
      </c>
      <c r="D7" s="18" t="str">
        <f t="shared" si="9"/>
        <v/>
      </c>
      <c r="E7" s="4"/>
      <c r="F7" s="8"/>
      <c r="G7" s="9"/>
      <c r="H7" s="9"/>
      <c r="I7" s="48"/>
      <c r="J7" s="21" t="str">
        <f t="shared" si="0"/>
        <v/>
      </c>
      <c r="K7" s="8"/>
      <c r="L7" s="9"/>
      <c r="M7" s="9"/>
      <c r="N7" s="48"/>
      <c r="O7" s="21" t="str">
        <f t="shared" si="1"/>
        <v/>
      </c>
      <c r="P7" s="8"/>
      <c r="Q7" s="9"/>
      <c r="R7" s="9"/>
      <c r="S7" s="48"/>
      <c r="T7" s="21" t="str">
        <f t="shared" si="2"/>
        <v/>
      </c>
      <c r="U7" s="53" t="str">
        <f t="shared" si="3"/>
        <v/>
      </c>
      <c r="V7" s="54" t="str">
        <f t="shared" si="4"/>
        <v/>
      </c>
      <c r="W7" s="55" t="str">
        <f t="shared" si="5"/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/>
      </c>
      <c r="B8" s="18" t="str">
        <f t="shared" si="7"/>
        <v/>
      </c>
      <c r="C8" s="18" t="str">
        <f t="shared" si="8"/>
        <v/>
      </c>
      <c r="D8" s="18" t="str">
        <f t="shared" si="9"/>
        <v/>
      </c>
      <c r="E8" s="4"/>
      <c r="F8" s="8"/>
      <c r="G8" s="9"/>
      <c r="H8" s="9"/>
      <c r="I8" s="48"/>
      <c r="J8" s="21" t="str">
        <f t="shared" si="0"/>
        <v/>
      </c>
      <c r="K8" s="8"/>
      <c r="L8" s="9"/>
      <c r="M8" s="9"/>
      <c r="N8" s="48"/>
      <c r="O8" s="21" t="str">
        <f t="shared" si="1"/>
        <v/>
      </c>
      <c r="P8" s="8"/>
      <c r="Q8" s="9"/>
      <c r="R8" s="9"/>
      <c r="S8" s="48"/>
      <c r="T8" s="21" t="str">
        <f t="shared" si="2"/>
        <v/>
      </c>
      <c r="U8" s="53" t="str">
        <f t="shared" si="3"/>
        <v/>
      </c>
      <c r="V8" s="54" t="str">
        <f t="shared" si="4"/>
        <v/>
      </c>
      <c r="W8" s="55" t="str">
        <f t="shared" si="5"/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/>
      </c>
      <c r="B9" s="18" t="str">
        <f t="shared" si="7"/>
        <v/>
      </c>
      <c r="C9" s="18" t="str">
        <f t="shared" si="8"/>
        <v/>
      </c>
      <c r="D9" s="18" t="str">
        <f t="shared" si="9"/>
        <v/>
      </c>
      <c r="E9" s="4"/>
      <c r="F9" s="8"/>
      <c r="G9" s="9"/>
      <c r="H9" s="9"/>
      <c r="I9" s="48"/>
      <c r="J9" s="21" t="str">
        <f t="shared" si="0"/>
        <v/>
      </c>
      <c r="K9" s="8"/>
      <c r="L9" s="9"/>
      <c r="M9" s="9"/>
      <c r="N9" s="48"/>
      <c r="O9" s="21" t="str">
        <f t="shared" si="1"/>
        <v/>
      </c>
      <c r="P9" s="8"/>
      <c r="Q9" s="9"/>
      <c r="R9" s="9"/>
      <c r="S9" s="48"/>
      <c r="T9" s="21" t="str">
        <f t="shared" si="2"/>
        <v/>
      </c>
      <c r="U9" s="53" t="str">
        <f t="shared" si="3"/>
        <v/>
      </c>
      <c r="V9" s="54" t="str">
        <f t="shared" si="4"/>
        <v/>
      </c>
      <c r="W9" s="55" t="str">
        <f t="shared" si="5"/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F01E797-D211-408F-A6E1-3AE8408F80DC}">
      <formula1>$U$2:$W$2</formula1>
    </dataValidation>
    <dataValidation type="list" showInputMessage="1" showErrorMessage="1" sqref="K4:K30 P4:P30 F4:F30" xr:uid="{222B41D5-C6D0-40AB-BD9D-E18CF03E301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2019-04-06T03:00:26Z</dcterms:modified>
</cp:coreProperties>
</file>