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大会\新元号『令和』決定記念杯\"/>
    </mc:Choice>
  </mc:AlternateContent>
  <xr:revisionPtr revIDLastSave="0" documentId="13_ncr:1_{A120202E-74B8-420F-BD5A-BAB76ED263A2}" xr6:coauthVersionLast="36" xr6:coauthVersionMax="36" xr10:uidLastSave="{00000000-0000-0000-0000-000000000000}"/>
  <bookViews>
    <workbookView xWindow="0" yWindow="0" windowWidth="28800" windowHeight="12720" activeTab="2" xr2:uid="{4CDB34E1-560F-4998-ABAB-D6F7F2862621}"/>
  </bookViews>
  <sheets>
    <sheet name="Sheet1" sheetId="17" r:id="rId1"/>
    <sheet name="Sheet2" sheetId="19" r:id="rId2"/>
    <sheet name="Sheet3" sheetId="20" r:id="rId3"/>
    <sheet name="役一覧" sheetId="15" state="hidden" r:id="rId4"/>
    <sheet name="点数表(親ロン)" sheetId="4" state="hidden" r:id="rId5"/>
    <sheet name="点数表(親ツモ)" sheetId="9" state="hidden" r:id="rId6"/>
    <sheet name="点数表(子→親)" sheetId="7" state="hidden" r:id="rId7"/>
    <sheet name="点数表(子ロン)" sheetId="3" state="hidden" r:id="rId8"/>
    <sheet name="点数表(子ツモ)" sheetId="10" state="hidden" r:id="rId9"/>
    <sheet name="点数表(子→子)" sheetId="5" state="hidden" r:id="rId10"/>
    <sheet name="点数表(親→子)" sheetId="6" state="hidden" r:id="rId11"/>
  </sheets>
  <functionGroups builtInGroupCount="19"/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20" l="1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 s="1"/>
  <c r="T13" i="20"/>
  <c r="O13" i="20"/>
  <c r="J13" i="20"/>
  <c r="U13" i="20" s="1"/>
  <c r="D13" i="20"/>
  <c r="C13" i="20"/>
  <c r="B13" i="20"/>
  <c r="A13" i="20" s="1"/>
  <c r="T12" i="20"/>
  <c r="O12" i="20"/>
  <c r="J12" i="20"/>
  <c r="U12" i="20" s="1"/>
  <c r="D12" i="20"/>
  <c r="C12" i="20"/>
  <c r="B12" i="20"/>
  <c r="A12" i="20" s="1"/>
  <c r="D11" i="20"/>
  <c r="C11" i="20"/>
  <c r="D10" i="20"/>
  <c r="D9" i="20"/>
  <c r="C9" i="20"/>
  <c r="C10" i="20" s="1"/>
  <c r="D8" i="20"/>
  <c r="C8" i="20"/>
  <c r="D7" i="20"/>
  <c r="C7" i="20"/>
  <c r="B7" i="20"/>
  <c r="D6" i="20"/>
  <c r="B6" i="20"/>
  <c r="T5" i="20"/>
  <c r="O5" i="20"/>
  <c r="O6" i="20" s="1"/>
  <c r="D5" i="20"/>
  <c r="C5" i="20"/>
  <c r="C6" i="20" s="1"/>
  <c r="B5" i="20"/>
  <c r="A5" i="20" s="1"/>
  <c r="T4" i="20"/>
  <c r="O4" i="20"/>
  <c r="J4" i="20"/>
  <c r="W3" i="20"/>
  <c r="V3" i="20"/>
  <c r="U3" i="20"/>
  <c r="W2" i="20"/>
  <c r="V2" i="20"/>
  <c r="U2" i="20"/>
  <c r="BO1" i="20"/>
  <c r="AT1" i="20"/>
  <c r="Y1" i="20"/>
  <c r="W5" i="19"/>
  <c r="V5" i="19"/>
  <c r="U5" i="19"/>
  <c r="W4" i="19"/>
  <c r="V4" i="19"/>
  <c r="U4" i="19"/>
  <c r="W3" i="19"/>
  <c r="U3" i="19"/>
  <c r="V3" i="19"/>
  <c r="V13" i="20" l="1"/>
  <c r="W13" i="20"/>
  <c r="V12" i="20"/>
  <c r="W12" i="20"/>
  <c r="V4" i="20"/>
  <c r="W4" i="20"/>
  <c r="U4" i="20"/>
  <c r="O7" i="20"/>
  <c r="A8" i="20"/>
  <c r="A6" i="20"/>
  <c r="J5" i="20"/>
  <c r="V5" i="20" s="1"/>
  <c r="A7" i="20"/>
  <c r="B8" i="20"/>
  <c r="T6" i="20"/>
  <c r="Y1" i="19"/>
  <c r="AT1" i="19"/>
  <c r="BO1" i="19"/>
  <c r="U2" i="19"/>
  <c r="V2" i="19"/>
  <c r="W2" i="19"/>
  <c r="J4" i="19"/>
  <c r="O4" i="19"/>
  <c r="T4" i="19"/>
  <c r="B5" i="19"/>
  <c r="A5" i="19" s="1"/>
  <c r="C5" i="19"/>
  <c r="D5" i="19"/>
  <c r="J5" i="19"/>
  <c r="O5" i="19"/>
  <c r="T5" i="19"/>
  <c r="B6" i="19"/>
  <c r="A6" i="19" s="1"/>
  <c r="C6" i="19"/>
  <c r="D6" i="19"/>
  <c r="J6" i="19"/>
  <c r="O6" i="19"/>
  <c r="V6" i="19" s="1"/>
  <c r="T6" i="19"/>
  <c r="W6" i="19" s="1"/>
  <c r="B7" i="19"/>
  <c r="A7" i="19" s="1"/>
  <c r="C7" i="19"/>
  <c r="D7" i="19"/>
  <c r="J7" i="19"/>
  <c r="O7" i="19"/>
  <c r="T7" i="19"/>
  <c r="W7" i="19" s="1"/>
  <c r="B8" i="19"/>
  <c r="A8" i="19" s="1"/>
  <c r="C8" i="19"/>
  <c r="D8" i="19"/>
  <c r="J8" i="19"/>
  <c r="U8" i="19" s="1"/>
  <c r="O8" i="19"/>
  <c r="T8" i="19"/>
  <c r="B9" i="19"/>
  <c r="A9" i="19" s="1"/>
  <c r="C9" i="19"/>
  <c r="D9" i="19"/>
  <c r="J9" i="19"/>
  <c r="O9" i="19"/>
  <c r="T9" i="19"/>
  <c r="W9" i="19" s="1"/>
  <c r="A10" i="19"/>
  <c r="B10" i="19"/>
  <c r="C10" i="19"/>
  <c r="D10" i="19"/>
  <c r="J10" i="19"/>
  <c r="O10" i="19"/>
  <c r="T10" i="19"/>
  <c r="W10" i="19" s="1"/>
  <c r="B11" i="19"/>
  <c r="A11" i="19" s="1"/>
  <c r="C11" i="19"/>
  <c r="D11" i="19"/>
  <c r="J11" i="19"/>
  <c r="O11" i="19"/>
  <c r="T11" i="19"/>
  <c r="W11" i="19" s="1"/>
  <c r="B12" i="19"/>
  <c r="A12" i="19" s="1"/>
  <c r="C12" i="19"/>
  <c r="D12" i="19"/>
  <c r="J12" i="19"/>
  <c r="U12" i="19" s="1"/>
  <c r="O12" i="19"/>
  <c r="V12" i="19" s="1"/>
  <c r="T12" i="19"/>
  <c r="W12" i="19" s="1"/>
  <c r="A13" i="19"/>
  <c r="B13" i="19"/>
  <c r="C13" i="19"/>
  <c r="D13" i="19"/>
  <c r="J13" i="19"/>
  <c r="U13" i="19" s="1"/>
  <c r="O13" i="19"/>
  <c r="V13" i="19" s="1"/>
  <c r="T13" i="19"/>
  <c r="W13" i="19" s="1"/>
  <c r="A14" i="19"/>
  <c r="B14" i="19"/>
  <c r="C14" i="19"/>
  <c r="D14" i="19"/>
  <c r="J14" i="19"/>
  <c r="U14" i="19" s="1"/>
  <c r="O14" i="19"/>
  <c r="V14" i="19" s="1"/>
  <c r="T14" i="19"/>
  <c r="W14" i="19" s="1"/>
  <c r="A15" i="19"/>
  <c r="B15" i="19"/>
  <c r="C15" i="19"/>
  <c r="D15" i="19"/>
  <c r="J15" i="19"/>
  <c r="U15" i="19" s="1"/>
  <c r="O15" i="19"/>
  <c r="V15" i="19" s="1"/>
  <c r="T15" i="19"/>
  <c r="W15" i="19" s="1"/>
  <c r="A16" i="19"/>
  <c r="B16" i="19"/>
  <c r="C16" i="19"/>
  <c r="D16" i="19"/>
  <c r="J16" i="19"/>
  <c r="U16" i="19" s="1"/>
  <c r="O16" i="19"/>
  <c r="V16" i="19" s="1"/>
  <c r="T16" i="19"/>
  <c r="W16" i="19" s="1"/>
  <c r="A17" i="19"/>
  <c r="B17" i="19"/>
  <c r="C17" i="19"/>
  <c r="D17" i="19"/>
  <c r="J17" i="19"/>
  <c r="U17" i="19" s="1"/>
  <c r="O17" i="19"/>
  <c r="V17" i="19" s="1"/>
  <c r="T17" i="19"/>
  <c r="W17" i="19" s="1"/>
  <c r="A18" i="19"/>
  <c r="B18" i="19"/>
  <c r="C18" i="19"/>
  <c r="D18" i="19"/>
  <c r="J18" i="19"/>
  <c r="U18" i="19" s="1"/>
  <c r="O18" i="19"/>
  <c r="V18" i="19" s="1"/>
  <c r="T18" i="19"/>
  <c r="W18" i="19" s="1"/>
  <c r="A19" i="19"/>
  <c r="B19" i="19"/>
  <c r="C19" i="19"/>
  <c r="D19" i="19"/>
  <c r="J19" i="19"/>
  <c r="U19" i="19" s="1"/>
  <c r="O19" i="19"/>
  <c r="V19" i="19" s="1"/>
  <c r="T19" i="19"/>
  <c r="W19" i="19" s="1"/>
  <c r="A20" i="19"/>
  <c r="B20" i="19"/>
  <c r="C20" i="19"/>
  <c r="D20" i="19"/>
  <c r="J20" i="19"/>
  <c r="U20" i="19" s="1"/>
  <c r="O20" i="19"/>
  <c r="V20" i="19" s="1"/>
  <c r="T20" i="19"/>
  <c r="W20" i="19" s="1"/>
  <c r="A21" i="19"/>
  <c r="B21" i="19"/>
  <c r="C21" i="19"/>
  <c r="D21" i="19"/>
  <c r="J21" i="19"/>
  <c r="U21" i="19" s="1"/>
  <c r="O21" i="19"/>
  <c r="V21" i="19" s="1"/>
  <c r="T21" i="19"/>
  <c r="W21" i="19" s="1"/>
  <c r="A22" i="19"/>
  <c r="B22" i="19"/>
  <c r="C22" i="19"/>
  <c r="D22" i="19"/>
  <c r="J22" i="19"/>
  <c r="U22" i="19" s="1"/>
  <c r="O22" i="19"/>
  <c r="V22" i="19" s="1"/>
  <c r="T22" i="19"/>
  <c r="W22" i="19" s="1"/>
  <c r="A23" i="19"/>
  <c r="B23" i="19"/>
  <c r="C23" i="19"/>
  <c r="D23" i="19"/>
  <c r="J23" i="19"/>
  <c r="U23" i="19" s="1"/>
  <c r="O23" i="19"/>
  <c r="V23" i="19" s="1"/>
  <c r="T23" i="19"/>
  <c r="W23" i="19" s="1"/>
  <c r="A24" i="19"/>
  <c r="B24" i="19"/>
  <c r="C24" i="19"/>
  <c r="D24" i="19"/>
  <c r="J24" i="19"/>
  <c r="U24" i="19" s="1"/>
  <c r="O24" i="19"/>
  <c r="V24" i="19" s="1"/>
  <c r="T24" i="19"/>
  <c r="W24" i="19" s="1"/>
  <c r="A25" i="19"/>
  <c r="B25" i="19"/>
  <c r="C25" i="19"/>
  <c r="D25" i="19"/>
  <c r="J25" i="19"/>
  <c r="U25" i="19" s="1"/>
  <c r="O25" i="19"/>
  <c r="V25" i="19" s="1"/>
  <c r="T25" i="19"/>
  <c r="W25" i="19" s="1"/>
  <c r="A26" i="19"/>
  <c r="B26" i="19"/>
  <c r="C26" i="19"/>
  <c r="D26" i="19"/>
  <c r="J26" i="19"/>
  <c r="U26" i="19" s="1"/>
  <c r="O26" i="19"/>
  <c r="V26" i="19" s="1"/>
  <c r="T26" i="19"/>
  <c r="W26" i="19" s="1"/>
  <c r="A27" i="19"/>
  <c r="B27" i="19"/>
  <c r="C27" i="19"/>
  <c r="D27" i="19"/>
  <c r="J27" i="19"/>
  <c r="U27" i="19" s="1"/>
  <c r="O27" i="19"/>
  <c r="V27" i="19" s="1"/>
  <c r="T27" i="19"/>
  <c r="W27" i="19" s="1"/>
  <c r="A28" i="19"/>
  <c r="B28" i="19"/>
  <c r="C28" i="19"/>
  <c r="D28" i="19"/>
  <c r="J28" i="19"/>
  <c r="U28" i="19" s="1"/>
  <c r="O28" i="19"/>
  <c r="V28" i="19" s="1"/>
  <c r="T28" i="19"/>
  <c r="W28" i="19" s="1"/>
  <c r="A29" i="19"/>
  <c r="B29" i="19"/>
  <c r="C29" i="19"/>
  <c r="D29" i="19"/>
  <c r="J29" i="19"/>
  <c r="U29" i="19" s="1"/>
  <c r="O29" i="19"/>
  <c r="V29" i="19" s="1"/>
  <c r="T29" i="19"/>
  <c r="W29" i="19" s="1"/>
  <c r="A30" i="19"/>
  <c r="B30" i="19"/>
  <c r="C30" i="19"/>
  <c r="D30" i="19"/>
  <c r="J30" i="19"/>
  <c r="U30" i="19" s="1"/>
  <c r="O30" i="19"/>
  <c r="V30" i="19" s="1"/>
  <c r="T30" i="19"/>
  <c r="W30" i="19" s="1"/>
  <c r="T30" i="17"/>
  <c r="W30" i="17" s="1"/>
  <c r="O30" i="17"/>
  <c r="V30" i="17" s="1"/>
  <c r="J30" i="17"/>
  <c r="U30" i="17" s="1"/>
  <c r="D30" i="17"/>
  <c r="C30" i="17"/>
  <c r="B30" i="17"/>
  <c r="A30" i="17"/>
  <c r="T29" i="17"/>
  <c r="W29" i="17" s="1"/>
  <c r="O29" i="17"/>
  <c r="V29" i="17" s="1"/>
  <c r="J29" i="17"/>
  <c r="U29" i="17" s="1"/>
  <c r="D29" i="17"/>
  <c r="C29" i="17"/>
  <c r="B29" i="17"/>
  <c r="A29" i="17"/>
  <c r="T28" i="17"/>
  <c r="W28" i="17" s="1"/>
  <c r="O28" i="17"/>
  <c r="V28" i="17" s="1"/>
  <c r="J28" i="17"/>
  <c r="U28" i="17" s="1"/>
  <c r="D28" i="17"/>
  <c r="C28" i="17"/>
  <c r="B28" i="17"/>
  <c r="A28" i="17"/>
  <c r="T27" i="17"/>
  <c r="W27" i="17" s="1"/>
  <c r="O27" i="17"/>
  <c r="V27" i="17" s="1"/>
  <c r="J27" i="17"/>
  <c r="U27" i="17" s="1"/>
  <c r="D27" i="17"/>
  <c r="C27" i="17"/>
  <c r="B27" i="17"/>
  <c r="A27" i="17"/>
  <c r="T26" i="17"/>
  <c r="W26" i="17" s="1"/>
  <c r="O26" i="17"/>
  <c r="V26" i="17" s="1"/>
  <c r="J26" i="17"/>
  <c r="U26" i="17" s="1"/>
  <c r="D26" i="17"/>
  <c r="C26" i="17"/>
  <c r="B26" i="17"/>
  <c r="A26" i="17"/>
  <c r="T25" i="17"/>
  <c r="W25" i="17" s="1"/>
  <c r="O25" i="17"/>
  <c r="V25" i="17" s="1"/>
  <c r="J25" i="17"/>
  <c r="U25" i="17" s="1"/>
  <c r="D25" i="17"/>
  <c r="C25" i="17"/>
  <c r="B25" i="17"/>
  <c r="A25" i="17"/>
  <c r="T24" i="17"/>
  <c r="W24" i="17" s="1"/>
  <c r="O24" i="17"/>
  <c r="V24" i="17" s="1"/>
  <c r="J24" i="17"/>
  <c r="U24" i="17" s="1"/>
  <c r="D24" i="17"/>
  <c r="C24" i="17"/>
  <c r="B24" i="17"/>
  <c r="A24" i="17"/>
  <c r="T23" i="17"/>
  <c r="W23" i="17" s="1"/>
  <c r="O23" i="17"/>
  <c r="V23" i="17" s="1"/>
  <c r="J23" i="17"/>
  <c r="U23" i="17" s="1"/>
  <c r="D23" i="17"/>
  <c r="C23" i="17"/>
  <c r="B23" i="17"/>
  <c r="A23" i="17"/>
  <c r="T22" i="17"/>
  <c r="W22" i="17" s="1"/>
  <c r="O22" i="17"/>
  <c r="V22" i="17" s="1"/>
  <c r="J22" i="17"/>
  <c r="U22" i="17" s="1"/>
  <c r="D22" i="17"/>
  <c r="C22" i="17"/>
  <c r="B22" i="17"/>
  <c r="A22" i="17"/>
  <c r="T21" i="17"/>
  <c r="W21" i="17" s="1"/>
  <c r="O21" i="17"/>
  <c r="V21" i="17" s="1"/>
  <c r="J21" i="17"/>
  <c r="U21" i="17" s="1"/>
  <c r="D21" i="17"/>
  <c r="C21" i="17"/>
  <c r="B21" i="17"/>
  <c r="A21" i="17"/>
  <c r="T20" i="17"/>
  <c r="W20" i="17" s="1"/>
  <c r="O20" i="17"/>
  <c r="V20" i="17" s="1"/>
  <c r="J20" i="17"/>
  <c r="U20" i="17" s="1"/>
  <c r="D20" i="17"/>
  <c r="C20" i="17"/>
  <c r="B20" i="17"/>
  <c r="A20" i="17"/>
  <c r="T19" i="17"/>
  <c r="W19" i="17" s="1"/>
  <c r="O19" i="17"/>
  <c r="V19" i="17" s="1"/>
  <c r="J19" i="17"/>
  <c r="U19" i="17" s="1"/>
  <c r="D19" i="17"/>
  <c r="C19" i="17"/>
  <c r="B19" i="17"/>
  <c r="A19" i="17"/>
  <c r="T18" i="17"/>
  <c r="W18" i="17" s="1"/>
  <c r="O18" i="17"/>
  <c r="V18" i="17" s="1"/>
  <c r="J18" i="17"/>
  <c r="U18" i="17" s="1"/>
  <c r="D18" i="17"/>
  <c r="C18" i="17"/>
  <c r="B18" i="17"/>
  <c r="A18" i="17"/>
  <c r="T17" i="17"/>
  <c r="W17" i="17" s="1"/>
  <c r="O17" i="17"/>
  <c r="V17" i="17" s="1"/>
  <c r="J17" i="17"/>
  <c r="U17" i="17" s="1"/>
  <c r="D17" i="17"/>
  <c r="C17" i="17"/>
  <c r="B17" i="17"/>
  <c r="A17" i="17"/>
  <c r="T16" i="17"/>
  <c r="W16" i="17" s="1"/>
  <c r="O16" i="17"/>
  <c r="V16" i="17" s="1"/>
  <c r="J16" i="17"/>
  <c r="U16" i="17" s="1"/>
  <c r="D16" i="17"/>
  <c r="C16" i="17"/>
  <c r="B16" i="17"/>
  <c r="A16" i="17"/>
  <c r="T15" i="17"/>
  <c r="W15" i="17" s="1"/>
  <c r="O15" i="17"/>
  <c r="V15" i="17" s="1"/>
  <c r="J15" i="17"/>
  <c r="U15" i="17" s="1"/>
  <c r="D15" i="17"/>
  <c r="C15" i="17"/>
  <c r="B15" i="17"/>
  <c r="A15" i="17"/>
  <c r="T14" i="17"/>
  <c r="W14" i="17" s="1"/>
  <c r="O14" i="17"/>
  <c r="V14" i="17" s="1"/>
  <c r="J14" i="17"/>
  <c r="U14" i="17" s="1"/>
  <c r="D14" i="17"/>
  <c r="C14" i="17"/>
  <c r="B14" i="17"/>
  <c r="A14" i="17"/>
  <c r="T13" i="17"/>
  <c r="W13" i="17" s="1"/>
  <c r="O13" i="17"/>
  <c r="V13" i="17" s="1"/>
  <c r="J13" i="17"/>
  <c r="U13" i="17" s="1"/>
  <c r="D13" i="17"/>
  <c r="C13" i="17"/>
  <c r="B13" i="17"/>
  <c r="A13" i="17"/>
  <c r="T12" i="17"/>
  <c r="W12" i="17" s="1"/>
  <c r="O12" i="17"/>
  <c r="V12" i="17" s="1"/>
  <c r="J12" i="17"/>
  <c r="U12" i="17" s="1"/>
  <c r="D12" i="17"/>
  <c r="C12" i="17"/>
  <c r="B12" i="17"/>
  <c r="A12" i="17"/>
  <c r="D11" i="17"/>
  <c r="C11" i="17"/>
  <c r="D10" i="17"/>
  <c r="D9" i="17"/>
  <c r="C9" i="17"/>
  <c r="C10" i="17" s="1"/>
  <c r="D8" i="17"/>
  <c r="D7" i="17"/>
  <c r="D6" i="17"/>
  <c r="O5" i="17"/>
  <c r="D5" i="17"/>
  <c r="C5" i="17"/>
  <c r="C6" i="17" s="1"/>
  <c r="C7" i="17" s="1"/>
  <c r="C8" i="17" s="1"/>
  <c r="B5" i="17"/>
  <c r="A5" i="17" s="1"/>
  <c r="T4" i="17"/>
  <c r="T5" i="17" s="1"/>
  <c r="O4" i="17"/>
  <c r="J4" i="17"/>
  <c r="W3" i="17"/>
  <c r="V3" i="17"/>
  <c r="U3" i="17"/>
  <c r="W2" i="17"/>
  <c r="V2" i="17"/>
  <c r="U2" i="17"/>
  <c r="BO1" i="17"/>
  <c r="AT1" i="17"/>
  <c r="Y1" i="17"/>
  <c r="W5" i="20" l="1"/>
  <c r="O8" i="20"/>
  <c r="B9" i="20"/>
  <c r="T7" i="20"/>
  <c r="J6" i="20"/>
  <c r="W6" i="20" s="1"/>
  <c r="U5" i="20"/>
  <c r="V11" i="19"/>
  <c r="U11" i="19"/>
  <c r="V10" i="19"/>
  <c r="U10" i="19"/>
  <c r="V9" i="19"/>
  <c r="U9" i="19"/>
  <c r="V8" i="19"/>
  <c r="W8" i="19"/>
  <c r="V7" i="19"/>
  <c r="U7" i="19"/>
  <c r="U6" i="19"/>
  <c r="B6" i="17"/>
  <c r="B7" i="17" s="1"/>
  <c r="W4" i="17"/>
  <c r="U4" i="17"/>
  <c r="V4" i="17"/>
  <c r="V5" i="17"/>
  <c r="J5" i="17"/>
  <c r="O6" i="17"/>
  <c r="B8" i="17"/>
  <c r="T6" i="17"/>
  <c r="U6" i="20" l="1"/>
  <c r="J7" i="20"/>
  <c r="V6" i="20"/>
  <c r="W7" i="20"/>
  <c r="T8" i="20"/>
  <c r="B10" i="20"/>
  <c r="A9" i="20"/>
  <c r="O9" i="20"/>
  <c r="A6" i="17"/>
  <c r="A7" i="17" s="1"/>
  <c r="A8" i="17" s="1"/>
  <c r="B9" i="17"/>
  <c r="T7" i="17"/>
  <c r="O7" i="17"/>
  <c r="U5" i="17"/>
  <c r="J6" i="17"/>
  <c r="W6" i="17" s="1"/>
  <c r="W5" i="17"/>
  <c r="B11" i="20" l="1"/>
  <c r="A11" i="20" s="1"/>
  <c r="A10" i="20"/>
  <c r="T9" i="20"/>
  <c r="O10" i="20"/>
  <c r="J8" i="20"/>
  <c r="U7" i="20"/>
  <c r="V7" i="20"/>
  <c r="A9" i="17"/>
  <c r="B10" i="17"/>
  <c r="U6" i="17"/>
  <c r="J7" i="17"/>
  <c r="O8" i="17"/>
  <c r="V7" i="17"/>
  <c r="W7" i="17"/>
  <c r="T8" i="17"/>
  <c r="V6" i="17"/>
  <c r="W8" i="20" l="1"/>
  <c r="O11" i="20"/>
  <c r="T10" i="20"/>
  <c r="J9" i="20"/>
  <c r="U8" i="20"/>
  <c r="V8" i="20"/>
  <c r="B11" i="17"/>
  <c r="O9" i="17"/>
  <c r="A10" i="17"/>
  <c r="A11" i="17" s="1"/>
  <c r="T9" i="17"/>
  <c r="J8" i="17"/>
  <c r="V8" i="17" s="1"/>
  <c r="U7" i="17"/>
  <c r="T11" i="20" l="1"/>
  <c r="U9" i="20"/>
  <c r="J10" i="20"/>
  <c r="V9" i="20"/>
  <c r="W9" i="20"/>
  <c r="W8" i="17"/>
  <c r="U8" i="17"/>
  <c r="J9" i="17"/>
  <c r="O10" i="17"/>
  <c r="T10" i="17"/>
  <c r="U10" i="20" l="1"/>
  <c r="J11" i="20"/>
  <c r="V10" i="20"/>
  <c r="W10" i="20"/>
  <c r="W11" i="20"/>
  <c r="U9" i="17"/>
  <c r="J10" i="17"/>
  <c r="T11" i="17"/>
  <c r="W9" i="17"/>
  <c r="O11" i="17"/>
  <c r="V9" i="17"/>
  <c r="U11" i="20" l="1"/>
  <c r="V11" i="20"/>
  <c r="U10" i="17"/>
  <c r="J11" i="17"/>
  <c r="U11" i="17" s="1"/>
  <c r="V11" i="17"/>
  <c r="V10" i="17"/>
  <c r="W10" i="17"/>
  <c r="W11" i="17" l="1"/>
</calcChain>
</file>

<file path=xl/sharedStrings.xml><?xml version="1.0" encoding="utf-8"?>
<sst xmlns="http://schemas.openxmlformats.org/spreadsheetml/2006/main" count="744" uniqueCount="161">
  <si>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</si>
  <si>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</si>
  <si>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</si>
  <si>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</si>
  <si>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</si>
  <si>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</si>
  <si>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</si>
  <si>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</si>
  <si>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</si>
  <si>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</si>
  <si>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</si>
  <si>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</si>
  <si>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</si>
  <si>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</si>
  <si>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</si>
  <si>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</si>
  <si>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</si>
  <si>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</si>
  <si>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</si>
  <si>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</si>
  <si>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</si>
  <si>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</si>
  <si>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</si>
  <si>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</si>
  <si>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</si>
  <si>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</si>
  <si>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</si>
  <si>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</si>
  <si>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</si>
  <si>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</si>
  <si>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</si>
  <si>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</si>
  <si>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</si>
  <si>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</si>
  <si>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</si>
  <si>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</si>
  <si>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</si>
  <si>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</si>
  <si>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</si>
  <si>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</si>
  <si>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</si>
  <si>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</si>
  <si>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</si>
  <si>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</si>
  <si>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</si>
  <si>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</si>
  <si>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</si>
  <si>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</si>
  <si>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</si>
  <si>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</si>
  <si>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</si>
  <si>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</si>
  <si>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</si>
  <si>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</si>
  <si>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</si>
  <si>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</si>
  <si>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</si>
  <si>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</si>
  <si>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</si>
  <si>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</si>
  <si>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</si>
  <si>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</si>
  <si>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</si>
  <si>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</si>
  <si>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</si>
  <si>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</si>
  <si>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</si>
  <si>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</si>
  <si>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</si>
  <si>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</si>
  <si>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</si>
  <si>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</si>
  <si>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</si>
  <si>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</si>
  <si>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</si>
  <si>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</si>
  <si>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</si>
  <si>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</si>
  <si>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</si>
  <si>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</si>
  <si>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</si>
  <si>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</si>
  <si>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</si>
  <si>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</si>
  <si>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</si>
  <si>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</si>
  <si>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</si>
  <si>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</si>
  <si>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</si>
  <si>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</si>
  <si>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</si>
  <si>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</si>
  <si>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</si>
  <si>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</si>
  <si>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</si>
  <si>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</si>
  <si>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</si>
  <si>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</si>
  <si>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</si>
  <si>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</si>
  <si>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</si>
  <si>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</si>
  <si>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</si>
  <si>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</si>
  <si>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</si>
  <si>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</si>
  <si>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</si>
  <si>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</si>
  <si>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</si>
  <si>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</si>
  <si>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</si>
  <si>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</si>
  <si>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</si>
  <si>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</si>
  <si>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</si>
  <si>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</si>
  <si>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</si>
  <si>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</si>
  <si>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</si>
  <si>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</si>
  <si>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</si>
  <si>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</si>
  <si>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</si>
  <si>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</si>
  <si>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</si>
  <si>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</si>
  <si>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</si>
  <si>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</si>
  <si>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</si>
  <si>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</si>
  <si>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</si>
  <si>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</si>
  <si>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</si>
  <si>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</si>
  <si>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</si>
  <si>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</si>
  <si>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</si>
  <si>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</si>
  <si>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ぱぱ</t>
  </si>
  <si>
    <t>ぱぱ</t>
    <phoneticPr fontId="1"/>
  </si>
  <si>
    <t>れんたろう</t>
  </si>
  <si>
    <t>れんたろう</t>
    <phoneticPr fontId="1"/>
  </si>
  <si>
    <t>ツモ支払</t>
  </si>
  <si>
    <t>ツモ</t>
  </si>
  <si>
    <t>01</t>
  </si>
  <si>
    <t>放銃</t>
  </si>
  <si>
    <t>ロン</t>
  </si>
  <si>
    <t>52</t>
  </si>
  <si>
    <t>02</t>
  </si>
  <si>
    <t>だいち</t>
    <phoneticPr fontId="1"/>
  </si>
  <si>
    <t>りくと</t>
  </si>
  <si>
    <t>りくと</t>
    <phoneticPr fontId="1"/>
  </si>
  <si>
    <t>たかの</t>
  </si>
  <si>
    <t>たかの</t>
    <phoneticPr fontId="1"/>
  </si>
  <si>
    <t>*</t>
  </si>
  <si>
    <t>だいち</t>
  </si>
  <si>
    <t>T</t>
  </si>
  <si>
    <t>N</t>
  </si>
  <si>
    <t>流局</t>
    <phoneticPr fontId="1"/>
  </si>
  <si>
    <t>まっつん</t>
  </si>
  <si>
    <t>まっつん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</si>
</sst>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1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4DDDFE-5D94-4875-9506-50284877B9AF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151</v>
      </c>
      <c r="G1" s="72"/>
      <c r="H1" s="72"/>
      <c r="I1" s="73"/>
      <c r="J1" s="74"/>
      <c r="K1" s="71" t="s">
        <v>139</v>
      </c>
      <c r="L1" s="72"/>
      <c r="M1" s="72"/>
      <c r="N1" s="73"/>
      <c r="O1" s="74"/>
      <c r="P1" s="71" t="s">
        <v>153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りくと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ぱぱ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たかの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りくと</v>
      </c>
      <c r="V2" s="64" t="str">
        <f>$K$1</f>
        <v>ぱぱ</v>
      </c>
      <c r="W2" s="16" t="str">
        <f>$P$1</f>
        <v>たかの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100000</v>
      </c>
      <c r="K3" s="7"/>
      <c r="L3" s="23"/>
      <c r="M3" s="23"/>
      <c r="N3" s="47"/>
      <c r="O3" s="20">
        <v>100000</v>
      </c>
      <c r="P3" s="7"/>
      <c r="Q3" s="23"/>
      <c r="R3" s="23"/>
      <c r="S3" s="47"/>
      <c r="T3" s="20">
        <v>100000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150</v>
      </c>
      <c r="F4" s="8" t="s">
        <v>142</v>
      </c>
      <c r="G4" s="9">
        <v>-2000</v>
      </c>
      <c r="H4" s="9"/>
      <c r="I4" s="48">
        <v>0</v>
      </c>
      <c r="J4" s="21">
        <f>IF(COUNTA($F4,$K4,$P4)&gt;0,J3+SUM(G4:I4),"")</f>
        <v>98000</v>
      </c>
      <c r="K4" s="8" t="s">
        <v>142</v>
      </c>
      <c r="L4" s="9">
        <v>-1200</v>
      </c>
      <c r="M4" s="9"/>
      <c r="N4" s="48">
        <v>0</v>
      </c>
      <c r="O4" s="21">
        <f>IF(COUNTA($F4,$K4,$P4)&gt;0,O3+SUM(L4:N4),"")</f>
        <v>98800</v>
      </c>
      <c r="P4" s="8" t="s">
        <v>143</v>
      </c>
      <c r="Q4" s="9">
        <v>3200</v>
      </c>
      <c r="R4" s="9"/>
      <c r="S4" s="48">
        <v>0</v>
      </c>
      <c r="T4" s="21">
        <f>IF(COUNTA($F4,$K4,$P4)&gt;0,T3+SUM(Q4:S4),"")</f>
        <v>103200</v>
      </c>
      <c r="U4" s="53">
        <f>IF($J4="","",ROUND(($J4-$J$3)/1000,1)+(_xlfn.RANK.AVG($J4,($J4,$O4,$T4),1)-2)*20)</f>
        <v>-22</v>
      </c>
      <c r="V4" s="54">
        <f>IF($O4="","",ROUND(($O4-$O$3)/1000,1)+(_xlfn.RANK.AVG($O4,($J4,$O4,$T4),1)-2)*20)</f>
        <v>-1.2</v>
      </c>
      <c r="W4" s="55">
        <f>IF($T4="","",ROUND(($T4-$T$3)/1000,1)+(_xlfn.RANK.AVG($T4,($J4,$O4,$T4),1)-2)*20)</f>
        <v>23.2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>
        <v>3</v>
      </c>
      <c r="BT4" s="30">
        <v>25</v>
      </c>
      <c r="BU4" s="40" t="s">
        <v>82</v>
      </c>
      <c r="BV4" s="41" t="s">
        <v>101</v>
      </c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138</v>
      </c>
      <c r="F5" s="8"/>
      <c r="G5" s="9"/>
      <c r="H5" s="9"/>
      <c r="I5" s="48"/>
      <c r="J5" s="21">
        <f t="shared" ref="J5:J30" si="2">IF(COUNTA($F5,$K5,$P5)&gt;0,J4+SUM(G5:I5),"")</f>
        <v>98000</v>
      </c>
      <c r="K5" s="8" t="s">
        <v>146</v>
      </c>
      <c r="L5" s="9">
        <v>5800</v>
      </c>
      <c r="M5" s="9"/>
      <c r="N5" s="48">
        <v>0</v>
      </c>
      <c r="O5" s="21">
        <f t="shared" ref="O5:O30" si="3">IF(COUNTA($F5,$K5,$P5)&gt;0,O4+SUM(L5:N5),"")</f>
        <v>104600</v>
      </c>
      <c r="P5" s="8" t="s">
        <v>145</v>
      </c>
      <c r="Q5" s="9">
        <v>-5800</v>
      </c>
      <c r="R5" s="9"/>
      <c r="S5" s="48">
        <v>0</v>
      </c>
      <c r="T5" s="21">
        <f t="shared" ref="T5:T30" si="4">IF(COUNTA($F5,$K5,$P5)&gt;0,T4+SUM(Q5:S5),"")</f>
        <v>97400</v>
      </c>
      <c r="U5" s="53">
        <f>IF($J5="","",ROUND(($J5-$J$3)/1000,1)+(_xlfn.RANK.AVG($J5,($J5,$O5,$T5),1)-2)*20)</f>
        <v>-2</v>
      </c>
      <c r="V5" s="54">
        <f>IF($O5="","",ROUND(($O5-$O$3)/1000,1)+(_xlfn.RANK.AVG($O5,($J5,$O5,$T5),1)-2)*20)</f>
        <v>24.6</v>
      </c>
      <c r="W5" s="55">
        <f>IF($T5="","",ROUND(($T5-$T$3)/1000,1)+(_xlfn.RANK.AVG($T5,($J5,$O5,$T5),1)-2)*20)</f>
        <v>-22.6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>
        <v>3</v>
      </c>
      <c r="AY5" s="30">
        <v>30</v>
      </c>
      <c r="AZ5" s="40" t="s">
        <v>86</v>
      </c>
      <c r="BA5" s="41" t="s">
        <v>79</v>
      </c>
      <c r="BB5" s="41" t="s">
        <v>79</v>
      </c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138</v>
      </c>
      <c r="F6" s="8" t="s">
        <v>143</v>
      </c>
      <c r="G6" s="9">
        <v>7700</v>
      </c>
      <c r="H6" s="9"/>
      <c r="I6" s="48">
        <v>1000</v>
      </c>
      <c r="J6" s="21">
        <f t="shared" si="2"/>
        <v>106700</v>
      </c>
      <c r="K6" s="8" t="s">
        <v>142</v>
      </c>
      <c r="L6" s="9">
        <v>-4800</v>
      </c>
      <c r="M6" s="9"/>
      <c r="N6" s="48">
        <v>-500</v>
      </c>
      <c r="O6" s="21">
        <f t="shared" si="3"/>
        <v>99300</v>
      </c>
      <c r="P6" s="8" t="s">
        <v>142</v>
      </c>
      <c r="Q6" s="9">
        <v>-2900</v>
      </c>
      <c r="R6" s="9"/>
      <c r="S6" s="48">
        <v>-500</v>
      </c>
      <c r="T6" s="21">
        <f t="shared" si="4"/>
        <v>94000</v>
      </c>
      <c r="U6" s="53">
        <f>IF($J6="","",ROUND(($J6-$J$3)/1000,1)+(_xlfn.RANK.AVG($J6,($J6,$O6,$T6),1)-2)*20)</f>
        <v>26.7</v>
      </c>
      <c r="V6" s="54">
        <f>IF($O6="","",ROUND(($O6-$O$3)/1000,1)+(_xlfn.RANK.AVG($O6,($J6,$O6,$T6),1)-2)*20)</f>
        <v>-0.7</v>
      </c>
      <c r="W6" s="55">
        <f>IF($T6="","",ROUND(($T6-$T$3)/1000,1)+(_xlfn.RANK.AVG($T6,($J6,$O6,$T6),1)-2)*20)</f>
        <v>-26</v>
      </c>
      <c r="Y6" s="8"/>
      <c r="Z6" s="34"/>
      <c r="AA6" s="26"/>
      <c r="AB6" s="26"/>
      <c r="AC6" s="26">
        <v>4</v>
      </c>
      <c r="AD6" s="30">
        <v>30</v>
      </c>
      <c r="AE6" s="40" t="s">
        <v>82</v>
      </c>
      <c r="AF6" s="41" t="s">
        <v>87</v>
      </c>
      <c r="AG6" s="41" t="s">
        <v>147</v>
      </c>
      <c r="AH6" s="41" t="s">
        <v>79</v>
      </c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152</v>
      </c>
      <c r="F7" s="8" t="s">
        <v>146</v>
      </c>
      <c r="G7" s="9">
        <v>3900</v>
      </c>
      <c r="H7" s="9"/>
      <c r="I7" s="48">
        <v>0</v>
      </c>
      <c r="J7" s="21">
        <f t="shared" si="2"/>
        <v>110600</v>
      </c>
      <c r="K7" s="8"/>
      <c r="L7" s="9"/>
      <c r="M7" s="9"/>
      <c r="N7" s="48"/>
      <c r="O7" s="21">
        <f t="shared" si="3"/>
        <v>99300</v>
      </c>
      <c r="P7" s="8" t="s">
        <v>145</v>
      </c>
      <c r="Q7" s="9">
        <v>-3900</v>
      </c>
      <c r="R7" s="9"/>
      <c r="S7" s="48">
        <v>0</v>
      </c>
      <c r="T7" s="21">
        <f t="shared" si="4"/>
        <v>90100</v>
      </c>
      <c r="U7" s="53">
        <f>IF($J7="","",ROUND(($J7-$J$3)/1000,1)+(_xlfn.RANK.AVG($J7,($J7,$O7,$T7),1)-2)*20)</f>
        <v>30.6</v>
      </c>
      <c r="V7" s="54">
        <f>IF($O7="","",ROUND(($O7-$O$3)/1000,1)+(_xlfn.RANK.AVG($O7,($J7,$O7,$T7),1)-2)*20)</f>
        <v>-0.7</v>
      </c>
      <c r="W7" s="55">
        <f>IF($T7="","",ROUND(($T7-$T$3)/1000,1)+(_xlfn.RANK.AVG($T7,($J7,$O7,$T7),1)-2)*20)</f>
        <v>-29.9</v>
      </c>
      <c r="Y7" s="8"/>
      <c r="Z7" s="34"/>
      <c r="AA7" s="26">
        <v>1</v>
      </c>
      <c r="AB7" s="26"/>
      <c r="AC7" s="26">
        <v>3</v>
      </c>
      <c r="AD7" s="30">
        <v>30</v>
      </c>
      <c r="AE7" s="40" t="s">
        <v>144</v>
      </c>
      <c r="AF7" s="41" t="s">
        <v>85</v>
      </c>
      <c r="AG7" s="41" t="s">
        <v>83</v>
      </c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150</v>
      </c>
      <c r="F8" s="8" t="s">
        <v>145</v>
      </c>
      <c r="G8" s="9">
        <v>-8000</v>
      </c>
      <c r="H8" s="9"/>
      <c r="I8" s="48">
        <v>0</v>
      </c>
      <c r="J8" s="21">
        <f t="shared" si="2"/>
        <v>102600</v>
      </c>
      <c r="K8" s="8"/>
      <c r="L8" s="9"/>
      <c r="M8" s="9"/>
      <c r="N8" s="48"/>
      <c r="O8" s="21">
        <f t="shared" si="3"/>
        <v>99300</v>
      </c>
      <c r="P8" s="8" t="s">
        <v>146</v>
      </c>
      <c r="Q8" s="9">
        <v>8000</v>
      </c>
      <c r="R8" s="9"/>
      <c r="S8" s="48">
        <v>0</v>
      </c>
      <c r="T8" s="21">
        <f t="shared" si="4"/>
        <v>98100</v>
      </c>
      <c r="U8" s="53">
        <f>IF($J8="","",ROUND(($J8-$J$3)/1000,1)+(_xlfn.RANK.AVG($J8,($J8,$O8,$T8),1)-2)*20)</f>
        <v>22.6</v>
      </c>
      <c r="V8" s="54">
        <f>IF($O8="","",ROUND(($O8-$O$3)/1000,1)+(_xlfn.RANK.AVG($O8,($J8,$O8,$T8),1)-2)*20)</f>
        <v>-0.7</v>
      </c>
      <c r="W8" s="55">
        <f>IF($T8="","",ROUND(($T8-$T$3)/1000,1)+(_xlfn.RANK.AVG($T8,($J8,$O8,$T8),1)-2)*20)</f>
        <v>-21.9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4</v>
      </c>
      <c r="BT8" s="30">
        <v>40</v>
      </c>
      <c r="BU8" s="40" t="s">
        <v>144</v>
      </c>
      <c r="BV8" s="41" t="s">
        <v>148</v>
      </c>
      <c r="BW8" s="41" t="s">
        <v>147</v>
      </c>
      <c r="BX8" s="41" t="s">
        <v>80</v>
      </c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138</v>
      </c>
      <c r="F9" s="8"/>
      <c r="G9" s="9"/>
      <c r="H9" s="9"/>
      <c r="I9" s="48"/>
      <c r="J9" s="21">
        <f t="shared" si="2"/>
        <v>102600</v>
      </c>
      <c r="K9" s="8" t="s">
        <v>145</v>
      </c>
      <c r="L9" s="9">
        <v>-2000</v>
      </c>
      <c r="M9" s="9"/>
      <c r="N9" s="48">
        <v>0</v>
      </c>
      <c r="O9" s="21">
        <f t="shared" si="3"/>
        <v>97300</v>
      </c>
      <c r="P9" s="8" t="s">
        <v>146</v>
      </c>
      <c r="Q9" s="9">
        <v>2000</v>
      </c>
      <c r="R9" s="9"/>
      <c r="S9" s="48">
        <v>0</v>
      </c>
      <c r="T9" s="21">
        <f t="shared" si="4"/>
        <v>100100</v>
      </c>
      <c r="U9" s="53">
        <f>IF($J9="","",ROUND(($J9-$J$3)/1000,1)+(_xlfn.RANK.AVG($J9,($J9,$O9,$T9),1)-2)*20)</f>
        <v>22.6</v>
      </c>
      <c r="V9" s="54">
        <f>IF($O9="","",ROUND(($O9-$O$3)/1000,1)+(_xlfn.RANK.AVG($O9,($J9,$O9,$T9),1)-2)*20)</f>
        <v>-22.7</v>
      </c>
      <c r="W9" s="55">
        <f>IF($T9="","",ROUND(($T9-$T$3)/1000,1)+(_xlfn.RANK.AVG($T9,($J9,$O9,$T9),1)-2)*20)</f>
        <v>0.1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2</v>
      </c>
      <c r="BT9" s="30">
        <v>30</v>
      </c>
      <c r="BU9" s="40" t="s">
        <v>86</v>
      </c>
      <c r="BV9" s="41" t="s">
        <v>79</v>
      </c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152</v>
      </c>
      <c r="F10" s="8" t="s">
        <v>146</v>
      </c>
      <c r="G10" s="9">
        <v>5200</v>
      </c>
      <c r="H10" s="9"/>
      <c r="I10" s="48">
        <v>0</v>
      </c>
      <c r="J10" s="21">
        <f t="shared" si="2"/>
        <v>107800</v>
      </c>
      <c r="K10" s="8"/>
      <c r="L10" s="9"/>
      <c r="M10" s="9"/>
      <c r="N10" s="48"/>
      <c r="O10" s="21">
        <f t="shared" si="3"/>
        <v>97300</v>
      </c>
      <c r="P10" s="8" t="s">
        <v>145</v>
      </c>
      <c r="Q10" s="9">
        <v>-5200</v>
      </c>
      <c r="R10" s="9"/>
      <c r="S10" s="48">
        <v>0</v>
      </c>
      <c r="T10" s="21">
        <f t="shared" si="4"/>
        <v>94900</v>
      </c>
      <c r="U10" s="53">
        <f>IF($J10="","",ROUND(($J10-$J$3)/1000,1)+(_xlfn.RANK.AVG($J10,($J10,$O10,$T10),1)-2)*20)</f>
        <v>27.8</v>
      </c>
      <c r="V10" s="54">
        <f>IF($O10="","",ROUND(($O10-$O$3)/1000,1)+(_xlfn.RANK.AVG($O10,($J10,$O10,$T10),1)-2)*20)</f>
        <v>-2.7</v>
      </c>
      <c r="W10" s="55">
        <f>IF($T10="","",ROUND(($T10-$T$3)/1000,1)+(_xlfn.RANK.AVG($T10,($J10,$O10,$T10),1)-2)*20)</f>
        <v>-25.1</v>
      </c>
      <c r="Y10" s="8"/>
      <c r="Z10" s="34"/>
      <c r="AA10" s="26">
        <v>1</v>
      </c>
      <c r="AB10" s="26"/>
      <c r="AC10" s="26">
        <v>3</v>
      </c>
      <c r="AD10" s="30">
        <v>40</v>
      </c>
      <c r="AE10" s="40" t="s">
        <v>144</v>
      </c>
      <c r="AF10" s="41" t="s">
        <v>148</v>
      </c>
      <c r="AG10" s="41" t="s">
        <v>80</v>
      </c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showInputMessage="1" showErrorMessage="1" sqref="K4:K30 P4:P30 F4:F30" xr:uid="{407EDA98-55A2-40C4-A707-3C4CE7F03CE9}">
      <formula1>"ロン,ツモ,放銃,ツモ支払,流局,チョンボ"</formula1>
    </dataValidation>
    <dataValidation type="list" allowBlank="1" showInputMessage="1" showErrorMessage="1" sqref="E4:E30" xr:uid="{D31631DE-3CB0-44C9-ADC8-DE094D4AF2F6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109BF-AE78-4348-9EA0-716E4040AF9F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149</v>
      </c>
      <c r="G1" s="72"/>
      <c r="H1" s="72"/>
      <c r="I1" s="73"/>
      <c r="J1" s="74"/>
      <c r="K1" s="71" t="s">
        <v>141</v>
      </c>
      <c r="L1" s="72"/>
      <c r="M1" s="72"/>
      <c r="N1" s="73"/>
      <c r="O1" s="74"/>
      <c r="P1" s="71" t="s">
        <v>153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だいち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れんたろう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たかの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だいち</v>
      </c>
      <c r="V2" s="64" t="str">
        <f>$K$1</f>
        <v>れんたろう</v>
      </c>
      <c r="W2" s="16" t="str">
        <f>$P$1</f>
        <v>たかの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97300</v>
      </c>
      <c r="K3" s="7"/>
      <c r="L3" s="23"/>
      <c r="M3" s="23"/>
      <c r="N3" s="47"/>
      <c r="O3" s="20">
        <v>117800</v>
      </c>
      <c r="P3" s="7"/>
      <c r="Q3" s="23"/>
      <c r="R3" s="23"/>
      <c r="S3" s="47"/>
      <c r="T3" s="20">
        <v>84900</v>
      </c>
      <c r="U3" s="50">
        <f>IF($J3="","",ROUND(($J3-$J$3)/1000,1)+(_xlfn.RANK.AVG($J3,($J3,$O3,$T3),1)-2)*0)</f>
        <v>0</v>
      </c>
      <c r="V3" s="51">
        <f>IF($O3="","",ROUND(($O3-$O$3)/1000,1)+(_xlfn.RANK.AVG($O3,($J3,$O3,$T3),1)-2)*0)</f>
        <v>0</v>
      </c>
      <c r="W3" s="52">
        <f>IF($T3="","",ROUND(($T3-$T$3)/1000,1)+(_xlfn.RANK.AVG($T3,($J3,$O3,$T3),1)-2)*0)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140</v>
      </c>
      <c r="F4" s="8" t="s">
        <v>143</v>
      </c>
      <c r="G4" s="9">
        <v>7700</v>
      </c>
      <c r="H4" s="9"/>
      <c r="I4" s="48">
        <v>0</v>
      </c>
      <c r="J4" s="21">
        <f t="shared" ref="J4:J30" si="0">IF(COUNTA($F4,$K4,$P4)&gt;0,J3+SUM(G4:I4),"")</f>
        <v>105000</v>
      </c>
      <c r="K4" s="8" t="s">
        <v>142</v>
      </c>
      <c r="L4" s="9">
        <v>-4800</v>
      </c>
      <c r="M4" s="9"/>
      <c r="N4" s="48">
        <v>0</v>
      </c>
      <c r="O4" s="21">
        <f t="shared" ref="O4:O30" si="1">IF(COUNTA($F4,$K4,$P4)&gt;0,O3+SUM(L4:N4),"")</f>
        <v>113000</v>
      </c>
      <c r="P4" s="8" t="s">
        <v>142</v>
      </c>
      <c r="Q4" s="9">
        <v>-2900</v>
      </c>
      <c r="R4" s="9"/>
      <c r="S4" s="48">
        <v>0</v>
      </c>
      <c r="T4" s="21">
        <f t="shared" ref="T4:T30" si="2">IF(COUNTA($F4,$K4,$P4)&gt;0,T3+SUM(Q4:S4),"")</f>
        <v>82000</v>
      </c>
      <c r="U4" s="53">
        <f>IF($J4="","",ROUND(($J4-$J$3)/1000,1)+(_xlfn.RANK.AVG($J4,($J4,$O4,$T4),1)-2)*0)</f>
        <v>7.7</v>
      </c>
      <c r="V4" s="54">
        <f>IF($O4="","",ROUND(($O4-$O$3)/1000,1)+(_xlfn.RANK.AVG($O4,($J4,$O4,$T4),1)-2)*0)</f>
        <v>-4.8</v>
      </c>
      <c r="W4" s="55">
        <f>IF($T4="","",ROUND(($T4-$T$3)/1000,1)+(_xlfn.RANK.AVG($T4,($J4,$O4,$T4),1)-2)*0)</f>
        <v>-2.9</v>
      </c>
      <c r="Y4" s="8"/>
      <c r="Z4" s="34"/>
      <c r="AA4" s="26"/>
      <c r="AB4" s="26">
        <v>1</v>
      </c>
      <c r="AC4" s="26">
        <v>4</v>
      </c>
      <c r="AD4" s="30">
        <v>30</v>
      </c>
      <c r="AE4" s="40" t="s">
        <v>86</v>
      </c>
      <c r="AF4" s="41" t="s">
        <v>86</v>
      </c>
      <c r="AG4" s="41" t="s">
        <v>104</v>
      </c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 t="shared" ref="B5:B30" si="4">IF($E5="","",IF($E4=$E5,B4,IF(B4=3,1,B4+1)))</f>
        <v>2</v>
      </c>
      <c r="C5" s="18">
        <f t="shared" ref="C5:C30" si="5">IF($E5="","",IF($F4="チョンボ",C4,IF(OR($E4=$E5,$F4="流局"),C4+1,0)))</f>
        <v>0</v>
      </c>
      <c r="D5" s="18">
        <f t="shared" ref="D5:D30" si="6">IF($E5="","",IF(OR($F4="流局",$F4="チョンボ"),D4+($H4+$M4+$R4)/-1000,0))</f>
        <v>0</v>
      </c>
      <c r="E5" s="4" t="s">
        <v>152</v>
      </c>
      <c r="F5" s="8"/>
      <c r="G5" s="9"/>
      <c r="H5" s="9"/>
      <c r="I5" s="48"/>
      <c r="J5" s="21">
        <f t="shared" si="0"/>
        <v>105000</v>
      </c>
      <c r="K5" s="8" t="s">
        <v>145</v>
      </c>
      <c r="L5" s="9">
        <v>-12000</v>
      </c>
      <c r="M5" s="9"/>
      <c r="N5" s="48">
        <v>0</v>
      </c>
      <c r="O5" s="21">
        <f t="shared" si="1"/>
        <v>101000</v>
      </c>
      <c r="P5" s="8" t="s">
        <v>146</v>
      </c>
      <c r="Q5" s="9">
        <v>12000</v>
      </c>
      <c r="R5" s="9"/>
      <c r="S5" s="48">
        <v>0</v>
      </c>
      <c r="T5" s="21">
        <f t="shared" si="2"/>
        <v>94000</v>
      </c>
      <c r="U5" s="53">
        <f>IF($J5="","",ROUND(($J5-$J$3)/1000,1)+(_xlfn.RANK.AVG($J5,($J5,$O5,$T5),1)-2)*0)</f>
        <v>7.7</v>
      </c>
      <c r="V5" s="54">
        <f>IF($O5="","",ROUND(($O5-$O$3)/1000,1)+(_xlfn.RANK.AVG($O5,($J5,$O5,$T5),1)-2)*0)</f>
        <v>-16.8</v>
      </c>
      <c r="W5" s="55">
        <f>IF($T5="","",ROUND(($T5-$T$3)/1000,1)+(_xlfn.RANK.AVG($T5,($J5,$O5,$T5),1)-2)*0)</f>
        <v>9.1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5</v>
      </c>
      <c r="BT5" s="30" t="s">
        <v>154</v>
      </c>
      <c r="BU5" s="40" t="s">
        <v>144</v>
      </c>
      <c r="BV5" s="41" t="s">
        <v>148</v>
      </c>
      <c r="BW5" s="41" t="s">
        <v>79</v>
      </c>
      <c r="BX5" s="41" t="s">
        <v>79</v>
      </c>
      <c r="BY5" s="41" t="s">
        <v>79</v>
      </c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3"/>
        <v>東</v>
      </c>
      <c r="B6" s="18">
        <f t="shared" si="4"/>
        <v>2</v>
      </c>
      <c r="C6" s="18">
        <f t="shared" si="5"/>
        <v>1</v>
      </c>
      <c r="D6" s="18">
        <f t="shared" si="6"/>
        <v>0</v>
      </c>
      <c r="E6" s="4" t="s">
        <v>152</v>
      </c>
      <c r="F6" s="8" t="s">
        <v>143</v>
      </c>
      <c r="G6" s="9">
        <v>8000</v>
      </c>
      <c r="H6" s="9">
        <v>1000</v>
      </c>
      <c r="I6" s="48">
        <v>1000</v>
      </c>
      <c r="J6" s="21">
        <f t="shared" si="0"/>
        <v>115000</v>
      </c>
      <c r="K6" s="8" t="s">
        <v>142</v>
      </c>
      <c r="L6" s="9">
        <v>-3000</v>
      </c>
      <c r="M6" s="9">
        <v>-1000</v>
      </c>
      <c r="N6" s="48">
        <v>-500</v>
      </c>
      <c r="O6" s="21">
        <f t="shared" si="1"/>
        <v>96500</v>
      </c>
      <c r="P6" s="8" t="s">
        <v>142</v>
      </c>
      <c r="Q6" s="9">
        <v>-5000</v>
      </c>
      <c r="R6" s="9"/>
      <c r="S6" s="48">
        <v>-500</v>
      </c>
      <c r="T6" s="21">
        <f t="shared" si="2"/>
        <v>88500</v>
      </c>
      <c r="U6" s="53">
        <f>IF($J6="","",ROUND(($J6-$J$3)/1000,1)+(_xlfn.RANK.AVG($J6,($J6,$O6,$T6),1)-2)*0)</f>
        <v>17.7</v>
      </c>
      <c r="V6" s="54">
        <f>IF($O6="","",ROUND(($O6-$O$3)/1000,1)+(_xlfn.RANK.AVG($O6,($J6,$O6,$T6),1)-2)*0)</f>
        <v>-21.3</v>
      </c>
      <c r="W6" s="55">
        <f>IF($T6="","",ROUND(($T6-$T$3)/1000,1)+(_xlfn.RANK.AVG($T6,($J6,$O6,$T6),1)-2)*0)</f>
        <v>3.6</v>
      </c>
      <c r="Y6" s="8"/>
      <c r="Z6" s="34"/>
      <c r="AA6" s="26"/>
      <c r="AB6" s="26">
        <v>1</v>
      </c>
      <c r="AC6" s="26">
        <v>4</v>
      </c>
      <c r="AD6" s="30">
        <v>40</v>
      </c>
      <c r="AE6" s="40" t="s">
        <v>98</v>
      </c>
      <c r="AF6" s="41" t="s">
        <v>96</v>
      </c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3"/>
        <v>東</v>
      </c>
      <c r="B7" s="18">
        <f t="shared" si="4"/>
        <v>3</v>
      </c>
      <c r="C7" s="18">
        <f t="shared" si="5"/>
        <v>0</v>
      </c>
      <c r="D7" s="18">
        <f t="shared" si="6"/>
        <v>0</v>
      </c>
      <c r="E7" s="4" t="s">
        <v>155</v>
      </c>
      <c r="F7" s="8"/>
      <c r="G7" s="9"/>
      <c r="H7" s="9"/>
      <c r="I7" s="48"/>
      <c r="J7" s="21">
        <f t="shared" si="0"/>
        <v>115000</v>
      </c>
      <c r="K7" s="8" t="s">
        <v>145</v>
      </c>
      <c r="L7" s="9">
        <v>-3900</v>
      </c>
      <c r="M7" s="9"/>
      <c r="N7" s="48">
        <v>0</v>
      </c>
      <c r="O7" s="21">
        <f t="shared" si="1"/>
        <v>92600</v>
      </c>
      <c r="P7" s="8" t="s">
        <v>146</v>
      </c>
      <c r="Q7" s="9">
        <v>3900</v>
      </c>
      <c r="R7" s="9"/>
      <c r="S7" s="48">
        <v>0</v>
      </c>
      <c r="T7" s="21">
        <f t="shared" si="2"/>
        <v>92400</v>
      </c>
      <c r="U7" s="53">
        <f>IF($J7="","",ROUND(($J7-$J$3)/1000,1)+(_xlfn.RANK.AVG($J7,($J7,$O7,$T7),1)-2)*0)</f>
        <v>17.7</v>
      </c>
      <c r="V7" s="54">
        <f>IF($O7="","",ROUND(($O7-$O$3)/1000,1)+(_xlfn.RANK.AVG($O7,($J7,$O7,$T7),1)-2)*0)</f>
        <v>-25.2</v>
      </c>
      <c r="W7" s="55">
        <f>IF($T7="","",ROUND(($T7-$T$3)/1000,1)+(_xlfn.RANK.AVG($T7,($J7,$O7,$T7),1)-2)*0)</f>
        <v>7.5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3</v>
      </c>
      <c r="BT7" s="30">
        <v>30</v>
      </c>
      <c r="BU7" s="40" t="s">
        <v>144</v>
      </c>
      <c r="BV7" s="41" t="s">
        <v>83</v>
      </c>
      <c r="BW7" s="41" t="s">
        <v>147</v>
      </c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3"/>
        <v>南</v>
      </c>
      <c r="B8" s="18">
        <f t="shared" si="4"/>
        <v>1</v>
      </c>
      <c r="C8" s="18">
        <f t="shared" si="5"/>
        <v>0</v>
      </c>
      <c r="D8" s="18">
        <f t="shared" si="6"/>
        <v>0</v>
      </c>
      <c r="E8" s="4" t="s">
        <v>140</v>
      </c>
      <c r="F8" s="8"/>
      <c r="G8" s="9"/>
      <c r="H8" s="9"/>
      <c r="I8" s="48"/>
      <c r="J8" s="21">
        <f t="shared" si="0"/>
        <v>115000</v>
      </c>
      <c r="K8" s="8" t="s">
        <v>145</v>
      </c>
      <c r="L8" s="9">
        <v>-12000</v>
      </c>
      <c r="M8" s="9"/>
      <c r="N8" s="48">
        <v>0</v>
      </c>
      <c r="O8" s="21">
        <f t="shared" si="1"/>
        <v>80600</v>
      </c>
      <c r="P8" s="8" t="s">
        <v>146</v>
      </c>
      <c r="Q8" s="9">
        <v>12000</v>
      </c>
      <c r="R8" s="9"/>
      <c r="S8" s="48">
        <v>0</v>
      </c>
      <c r="T8" s="21">
        <f t="shared" si="2"/>
        <v>104400</v>
      </c>
      <c r="U8" s="53">
        <f>IF($J8="","",ROUND(($J8-$J$3)/1000,1)+(_xlfn.RANK.AVG($J8,($J8,$O8,$T8),1)-2)*0)</f>
        <v>17.7</v>
      </c>
      <c r="V8" s="54">
        <f>IF($O8="","",ROUND(($O8-$O$3)/1000,1)+(_xlfn.RANK.AVG($O8,($J8,$O8,$T8),1)-2)*0)</f>
        <v>-37.200000000000003</v>
      </c>
      <c r="W8" s="55">
        <f>IF($T8="","",ROUND(($T8-$T$3)/1000,1)+(_xlfn.RANK.AVG($T8,($J8,$O8,$T8),1)-2)*0)</f>
        <v>19.5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6</v>
      </c>
      <c r="BT8" s="30" t="s">
        <v>154</v>
      </c>
      <c r="BU8" s="40" t="s">
        <v>144</v>
      </c>
      <c r="BV8" s="41" t="s">
        <v>80</v>
      </c>
      <c r="BW8" s="41" t="s">
        <v>80</v>
      </c>
      <c r="BX8" s="41" t="s">
        <v>80</v>
      </c>
      <c r="BY8" s="41" t="s">
        <v>96</v>
      </c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3"/>
        <v>南</v>
      </c>
      <c r="B9" s="18">
        <f t="shared" si="4"/>
        <v>2</v>
      </c>
      <c r="C9" s="18">
        <f t="shared" si="5"/>
        <v>0</v>
      </c>
      <c r="D9" s="18">
        <f t="shared" si="6"/>
        <v>0</v>
      </c>
      <c r="E9" s="4" t="s">
        <v>152</v>
      </c>
      <c r="F9" s="8" t="s">
        <v>158</v>
      </c>
      <c r="G9" s="9">
        <v>1500</v>
      </c>
      <c r="H9" s="9"/>
      <c r="I9" s="48"/>
      <c r="J9" s="21">
        <f t="shared" si="0"/>
        <v>116500</v>
      </c>
      <c r="K9" s="8" t="s">
        <v>158</v>
      </c>
      <c r="L9" s="9">
        <v>-3000</v>
      </c>
      <c r="M9" s="9"/>
      <c r="N9" s="48"/>
      <c r="O9" s="21">
        <f t="shared" si="1"/>
        <v>77600</v>
      </c>
      <c r="P9" s="8" t="s">
        <v>158</v>
      </c>
      <c r="Q9" s="9">
        <v>1500</v>
      </c>
      <c r="R9" s="9"/>
      <c r="S9" s="48"/>
      <c r="T9" s="21">
        <f t="shared" si="2"/>
        <v>105900</v>
      </c>
      <c r="U9" s="53">
        <f>IF($J9="","",ROUND(($J9-$J$3)/1000,1)+(_xlfn.RANK.AVG($J9,($J9,$O9,$T9),1)-2)*0)</f>
        <v>19.2</v>
      </c>
      <c r="V9" s="54">
        <f>IF($O9="","",ROUND(($O9-$O$3)/1000,1)+(_xlfn.RANK.AVG($O9,($J9,$O9,$T9),1)-2)*0)</f>
        <v>-40.200000000000003</v>
      </c>
      <c r="W9" s="55">
        <f>IF($T9="","",ROUND(($T9-$T$3)/1000,1)+(_xlfn.RANK.AVG($T9,($J9,$O9,$T9),1)-2)*0)</f>
        <v>21</v>
      </c>
      <c r="Y9" s="8" t="s">
        <v>156</v>
      </c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157</v>
      </c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156</v>
      </c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3"/>
        <v>南</v>
      </c>
      <c r="B10" s="18">
        <f t="shared" si="4"/>
        <v>2</v>
      </c>
      <c r="C10" s="18">
        <f t="shared" si="5"/>
        <v>1</v>
      </c>
      <c r="D10" s="18">
        <f t="shared" si="6"/>
        <v>0</v>
      </c>
      <c r="E10" s="4" t="s">
        <v>152</v>
      </c>
      <c r="F10" s="8" t="s">
        <v>143</v>
      </c>
      <c r="G10" s="9">
        <v>8000</v>
      </c>
      <c r="H10" s="9"/>
      <c r="I10" s="48">
        <v>1000</v>
      </c>
      <c r="J10" s="21">
        <f t="shared" si="0"/>
        <v>125500</v>
      </c>
      <c r="K10" s="8" t="s">
        <v>142</v>
      </c>
      <c r="L10" s="9">
        <v>-3000</v>
      </c>
      <c r="M10" s="9"/>
      <c r="N10" s="48">
        <v>-500</v>
      </c>
      <c r="O10" s="21">
        <f t="shared" si="1"/>
        <v>74100</v>
      </c>
      <c r="P10" s="8" t="s">
        <v>142</v>
      </c>
      <c r="Q10" s="9">
        <v>-5000</v>
      </c>
      <c r="R10" s="9"/>
      <c r="S10" s="48">
        <v>-500</v>
      </c>
      <c r="T10" s="21">
        <f t="shared" si="2"/>
        <v>100400</v>
      </c>
      <c r="U10" s="53">
        <f>IF($J10="","",ROUND(($J10-$J$3)/1000,1)+(_xlfn.RANK.AVG($J10,($J10,$O10,$T10),1)-2)*0)</f>
        <v>28.2</v>
      </c>
      <c r="V10" s="54">
        <f>IF($O10="","",ROUND(($O10-$O$3)/1000,1)+(_xlfn.RANK.AVG($O10,($J10,$O10,$T10),1)-2)*0)</f>
        <v>-43.7</v>
      </c>
      <c r="W10" s="55">
        <f>IF($T10="","",ROUND(($T10-$T$3)/1000,1)+(_xlfn.RANK.AVG($T10,($J10,$O10,$T10),1)-2)*0)</f>
        <v>15.5</v>
      </c>
      <c r="Y10" s="8"/>
      <c r="Z10" s="34"/>
      <c r="AA10" s="26"/>
      <c r="AB10" s="26">
        <v>1</v>
      </c>
      <c r="AC10" s="26">
        <v>4</v>
      </c>
      <c r="AD10" s="30">
        <v>40</v>
      </c>
      <c r="AE10" s="40" t="s">
        <v>86</v>
      </c>
      <c r="AF10" s="41" t="s">
        <v>86</v>
      </c>
      <c r="AG10" s="41" t="s">
        <v>86</v>
      </c>
      <c r="AH10" s="41" t="s">
        <v>79</v>
      </c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3"/>
        <v>南</v>
      </c>
      <c r="B11" s="18">
        <f t="shared" si="4"/>
        <v>3</v>
      </c>
      <c r="C11" s="18">
        <f t="shared" si="5"/>
        <v>0</v>
      </c>
      <c r="D11" s="18">
        <f t="shared" si="6"/>
        <v>0</v>
      </c>
      <c r="E11" s="4" t="s">
        <v>155</v>
      </c>
      <c r="F11" s="8"/>
      <c r="G11" s="9"/>
      <c r="H11" s="9">
        <v>-1000</v>
      </c>
      <c r="I11" s="48"/>
      <c r="J11" s="21">
        <f t="shared" si="0"/>
        <v>124500</v>
      </c>
      <c r="K11" s="8" t="s">
        <v>146</v>
      </c>
      <c r="L11" s="9">
        <v>12000</v>
      </c>
      <c r="M11" s="9">
        <v>1000</v>
      </c>
      <c r="N11" s="48">
        <v>0</v>
      </c>
      <c r="O11" s="21">
        <f t="shared" si="1"/>
        <v>87100</v>
      </c>
      <c r="P11" s="8" t="s">
        <v>145</v>
      </c>
      <c r="Q11" s="9">
        <v>-12000</v>
      </c>
      <c r="R11" s="9"/>
      <c r="S11" s="48">
        <v>0</v>
      </c>
      <c r="T11" s="21">
        <f t="shared" si="2"/>
        <v>88400</v>
      </c>
      <c r="U11" s="53">
        <f>IF($J11="","",ROUND(($J11-$J$3)/1000,1)+(_xlfn.RANK.AVG($J11,($J11,$O11,$T11),1)-2)*0)</f>
        <v>27.2</v>
      </c>
      <c r="V11" s="54">
        <f>IF($O11="","",ROUND(($O11-$O$3)/1000,1)+(_xlfn.RANK.AVG($O11,($J11,$O11,$T11),1)-2)*0)</f>
        <v>-30.7</v>
      </c>
      <c r="W11" s="55">
        <f>IF($T11="","",ROUND(($T11-$T$3)/1000,1)+(_xlfn.RANK.AVG($T11,($J11,$O11,$T11),1)-2)*0)</f>
        <v>3.5</v>
      </c>
      <c r="Y11" s="8"/>
      <c r="Z11" s="34"/>
      <c r="AA11" s="26">
        <v>1</v>
      </c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>
        <v>6</v>
      </c>
      <c r="AY11" s="30" t="s">
        <v>154</v>
      </c>
      <c r="AZ11" s="40" t="s">
        <v>86</v>
      </c>
      <c r="BA11" s="41" t="s">
        <v>86</v>
      </c>
      <c r="BB11" s="41" t="s">
        <v>86</v>
      </c>
      <c r="BC11" s="41" t="s">
        <v>104</v>
      </c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3"/>
        <v/>
      </c>
      <c r="B12" s="18" t="str">
        <f t="shared" si="4"/>
        <v/>
      </c>
      <c r="C12" s="18" t="str">
        <f t="shared" si="5"/>
        <v/>
      </c>
      <c r="D12" s="18" t="str">
        <f t="shared" si="6"/>
        <v/>
      </c>
      <c r="E12" s="4"/>
      <c r="F12" s="8"/>
      <c r="G12" s="9"/>
      <c r="H12" s="9"/>
      <c r="I12" s="48"/>
      <c r="J12" s="21" t="str">
        <f t="shared" si="0"/>
        <v/>
      </c>
      <c r="K12" s="8"/>
      <c r="L12" s="9"/>
      <c r="M12" s="9"/>
      <c r="N12" s="48"/>
      <c r="O12" s="21" t="str">
        <f t="shared" si="1"/>
        <v/>
      </c>
      <c r="P12" s="8"/>
      <c r="Q12" s="9"/>
      <c r="R12" s="9"/>
      <c r="S12" s="48"/>
      <c r="T12" s="21" t="str">
        <f t="shared" si="2"/>
        <v/>
      </c>
      <c r="U12" s="53" t="str">
        <f>IF($J12="","",ROUND(($J12-$J$3)/1000,1)+(_xlfn.RANK.AVG($J12,($J12,$O12,$T12),1)-2)*0)</f>
        <v/>
      </c>
      <c r="V12" s="54" t="str">
        <f>IF($O12="","",ROUND(($O12-$O$3)/1000,1)+(_xlfn.RANK.AVG($O12,($J12,$O12,$T12),1)-2)*0)</f>
        <v/>
      </c>
      <c r="W12" s="55" t="str">
        <f>IF($T12="","",ROUND(($T12-$T$3)/1000,1)+(_xlfn.RANK.AVG($T12,($J12,$O12,$T12),1)-2)*0)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3"/>
        <v/>
      </c>
      <c r="B13" s="18" t="str">
        <f t="shared" si="4"/>
        <v/>
      </c>
      <c r="C13" s="18" t="str">
        <f t="shared" si="5"/>
        <v/>
      </c>
      <c r="D13" s="18" t="str">
        <f t="shared" si="6"/>
        <v/>
      </c>
      <c r="E13" s="4"/>
      <c r="F13" s="8"/>
      <c r="G13" s="9"/>
      <c r="H13" s="9"/>
      <c r="I13" s="48"/>
      <c r="J13" s="21" t="str">
        <f t="shared" si="0"/>
        <v/>
      </c>
      <c r="K13" s="8"/>
      <c r="L13" s="9"/>
      <c r="M13" s="9"/>
      <c r="N13" s="48"/>
      <c r="O13" s="21" t="str">
        <f t="shared" si="1"/>
        <v/>
      </c>
      <c r="P13" s="8"/>
      <c r="Q13" s="9"/>
      <c r="R13" s="9"/>
      <c r="S13" s="48"/>
      <c r="T13" s="21" t="str">
        <f t="shared" si="2"/>
        <v/>
      </c>
      <c r="U13" s="53" t="str">
        <f>IF($J13="","",ROUND(($J13-$J$3)/1000,1)+(_xlfn.RANK.AVG($J13,($J13,$O13,$T13),1)-2)*0)</f>
        <v/>
      </c>
      <c r="V13" s="54" t="str">
        <f>IF($O13="","",ROUND(($O13-$O$3)/1000,1)+(_xlfn.RANK.AVG($O13,($J13,$O13,$T13),1)-2)*0)</f>
        <v/>
      </c>
      <c r="W13" s="55" t="str">
        <f>IF($T13="","",ROUND(($T13-$T$3)/1000,1)+(_xlfn.RANK.AVG($T13,($J13,$O13,$T13),1)-2)*0)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3"/>
        <v/>
      </c>
      <c r="B14" s="18" t="str">
        <f t="shared" si="4"/>
        <v/>
      </c>
      <c r="C14" s="18" t="str">
        <f t="shared" si="5"/>
        <v/>
      </c>
      <c r="D14" s="18" t="str">
        <f t="shared" si="6"/>
        <v/>
      </c>
      <c r="E14" s="4"/>
      <c r="F14" s="8"/>
      <c r="G14" s="9"/>
      <c r="H14" s="9"/>
      <c r="I14" s="48"/>
      <c r="J14" s="21" t="str">
        <f t="shared" si="0"/>
        <v/>
      </c>
      <c r="K14" s="8"/>
      <c r="L14" s="9"/>
      <c r="M14" s="9"/>
      <c r="N14" s="48"/>
      <c r="O14" s="21" t="str">
        <f t="shared" si="1"/>
        <v/>
      </c>
      <c r="P14" s="8"/>
      <c r="Q14" s="9"/>
      <c r="R14" s="9"/>
      <c r="S14" s="48"/>
      <c r="T14" s="21" t="str">
        <f t="shared" si="2"/>
        <v/>
      </c>
      <c r="U14" s="53" t="str">
        <f>IF($J14="","",ROUND(($J14-$J$3)/1000,1)+(_xlfn.RANK.AVG($J14,($J14,$O14,$T14),1)-2)*0)</f>
        <v/>
      </c>
      <c r="V14" s="54" t="str">
        <f>IF($O14="","",ROUND(($O14-$O$3)/1000,1)+(_xlfn.RANK.AVG($O14,($J14,$O14,$T14),1)-2)*0)</f>
        <v/>
      </c>
      <c r="W14" s="55" t="str">
        <f>IF($T14="","",ROUND(($T14-$T$3)/1000,1)+(_xlfn.RANK.AVG($T14,($J14,$O14,$T14),1)-2)*0)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3"/>
        <v/>
      </c>
      <c r="B15" s="18" t="str">
        <f t="shared" si="4"/>
        <v/>
      </c>
      <c r="C15" s="18" t="str">
        <f t="shared" si="5"/>
        <v/>
      </c>
      <c r="D15" s="18" t="str">
        <f t="shared" si="6"/>
        <v/>
      </c>
      <c r="E15" s="4"/>
      <c r="F15" s="8"/>
      <c r="G15" s="9"/>
      <c r="H15" s="9"/>
      <c r="I15" s="48"/>
      <c r="J15" s="21" t="str">
        <f t="shared" si="0"/>
        <v/>
      </c>
      <c r="K15" s="8"/>
      <c r="L15" s="9"/>
      <c r="M15" s="9"/>
      <c r="N15" s="48"/>
      <c r="O15" s="21" t="str">
        <f t="shared" si="1"/>
        <v/>
      </c>
      <c r="P15" s="8"/>
      <c r="Q15" s="9"/>
      <c r="R15" s="9"/>
      <c r="S15" s="48"/>
      <c r="T15" s="21" t="str">
        <f t="shared" si="2"/>
        <v/>
      </c>
      <c r="U15" s="53" t="str">
        <f>IF($J15="","",ROUND(($J15-$J$3)/1000,1)+(_xlfn.RANK.AVG($J15,($J15,$O15,$T15),1)-2)*0)</f>
        <v/>
      </c>
      <c r="V15" s="54" t="str">
        <f>IF($O15="","",ROUND(($O15-$O$3)/1000,1)+(_xlfn.RANK.AVG($O15,($J15,$O15,$T15),1)-2)*0)</f>
        <v/>
      </c>
      <c r="W15" s="55" t="str">
        <f>IF($T15="","",ROUND(($T15-$T$3)/1000,1)+(_xlfn.RANK.AVG($T15,($J15,$O15,$T15),1)-2)*0)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3"/>
        <v/>
      </c>
      <c r="B16" s="18" t="str">
        <f t="shared" si="4"/>
        <v/>
      </c>
      <c r="C16" s="18" t="str">
        <f t="shared" si="5"/>
        <v/>
      </c>
      <c r="D16" s="18" t="str">
        <f t="shared" si="6"/>
        <v/>
      </c>
      <c r="E16" s="4"/>
      <c r="F16" s="8"/>
      <c r="G16" s="9"/>
      <c r="H16" s="9"/>
      <c r="I16" s="48"/>
      <c r="J16" s="21" t="str">
        <f t="shared" si="0"/>
        <v/>
      </c>
      <c r="K16" s="8"/>
      <c r="L16" s="9"/>
      <c r="M16" s="9"/>
      <c r="N16" s="48"/>
      <c r="O16" s="21" t="str">
        <f t="shared" si="1"/>
        <v/>
      </c>
      <c r="P16" s="8"/>
      <c r="Q16" s="9"/>
      <c r="R16" s="9"/>
      <c r="S16" s="48"/>
      <c r="T16" s="21" t="str">
        <f t="shared" si="2"/>
        <v/>
      </c>
      <c r="U16" s="53" t="str">
        <f>IF($J16="","",ROUND(($J16-$J$3)/1000,1)+(_xlfn.RANK.AVG($J16,($J16,$O16,$T16),1)-2)*0)</f>
        <v/>
      </c>
      <c r="V16" s="54" t="str">
        <f>IF($O16="","",ROUND(($O16-$O$3)/1000,1)+(_xlfn.RANK.AVG($O16,($J16,$O16,$T16),1)-2)*0)</f>
        <v/>
      </c>
      <c r="W16" s="55" t="str">
        <f>IF($T16="","",ROUND(($T16-$T$3)/1000,1)+(_xlfn.RANK.AVG($T16,($J16,$O16,$T16),1)-2)*0)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3"/>
        <v/>
      </c>
      <c r="B17" s="18" t="str">
        <f t="shared" si="4"/>
        <v/>
      </c>
      <c r="C17" s="18" t="str">
        <f t="shared" si="5"/>
        <v/>
      </c>
      <c r="D17" s="18" t="str">
        <f t="shared" si="6"/>
        <v/>
      </c>
      <c r="E17" s="4"/>
      <c r="F17" s="8"/>
      <c r="G17" s="9"/>
      <c r="H17" s="9"/>
      <c r="I17" s="48"/>
      <c r="J17" s="21" t="str">
        <f t="shared" si="0"/>
        <v/>
      </c>
      <c r="K17" s="8"/>
      <c r="L17" s="9"/>
      <c r="M17" s="9"/>
      <c r="N17" s="48"/>
      <c r="O17" s="21" t="str">
        <f t="shared" si="1"/>
        <v/>
      </c>
      <c r="P17" s="8"/>
      <c r="Q17" s="9"/>
      <c r="R17" s="9"/>
      <c r="S17" s="48"/>
      <c r="T17" s="21" t="str">
        <f t="shared" si="2"/>
        <v/>
      </c>
      <c r="U17" s="53" t="str">
        <f>IF($J17="","",ROUND(($J17-$J$3)/1000,1)+(_xlfn.RANK.AVG($J17,($J17,$O17,$T17),1)-2)*0)</f>
        <v/>
      </c>
      <c r="V17" s="54" t="str">
        <f>IF($O17="","",ROUND(($O17-$O$3)/1000,1)+(_xlfn.RANK.AVG($O17,($J17,$O17,$T17),1)-2)*0)</f>
        <v/>
      </c>
      <c r="W17" s="55" t="str">
        <f>IF($T17="","",ROUND(($T17-$T$3)/1000,1)+(_xlfn.RANK.AVG($T17,($J17,$O17,$T17),1)-2)*0)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3"/>
        <v/>
      </c>
      <c r="B18" s="18" t="str">
        <f t="shared" si="4"/>
        <v/>
      </c>
      <c r="C18" s="18" t="str">
        <f t="shared" si="5"/>
        <v/>
      </c>
      <c r="D18" s="18" t="str">
        <f t="shared" si="6"/>
        <v/>
      </c>
      <c r="E18" s="4"/>
      <c r="F18" s="8"/>
      <c r="G18" s="9"/>
      <c r="H18" s="9"/>
      <c r="I18" s="48"/>
      <c r="J18" s="21" t="str">
        <f t="shared" si="0"/>
        <v/>
      </c>
      <c r="K18" s="8"/>
      <c r="L18" s="9"/>
      <c r="M18" s="9"/>
      <c r="N18" s="48"/>
      <c r="O18" s="21" t="str">
        <f t="shared" si="1"/>
        <v/>
      </c>
      <c r="P18" s="8"/>
      <c r="Q18" s="9"/>
      <c r="R18" s="9"/>
      <c r="S18" s="48"/>
      <c r="T18" s="21" t="str">
        <f t="shared" si="2"/>
        <v/>
      </c>
      <c r="U18" s="53" t="str">
        <f>IF($J18="","",ROUND(($J18-$J$3)/1000,1)+(_xlfn.RANK.AVG($J18,($J18,$O18,$T18),1)-2)*0)</f>
        <v/>
      </c>
      <c r="V18" s="54" t="str">
        <f>IF($O18="","",ROUND(($O18-$O$3)/1000,1)+(_xlfn.RANK.AVG($O18,($J18,$O18,$T18),1)-2)*0)</f>
        <v/>
      </c>
      <c r="W18" s="55" t="str">
        <f>IF($T18="","",ROUND(($T18-$T$3)/1000,1)+(_xlfn.RANK.AVG($T18,($J18,$O18,$T18),1)-2)*0)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3"/>
        <v/>
      </c>
      <c r="B19" s="18" t="str">
        <f t="shared" si="4"/>
        <v/>
      </c>
      <c r="C19" s="18" t="str">
        <f t="shared" si="5"/>
        <v/>
      </c>
      <c r="D19" s="18" t="str">
        <f t="shared" si="6"/>
        <v/>
      </c>
      <c r="E19" s="4"/>
      <c r="F19" s="8"/>
      <c r="G19" s="9"/>
      <c r="H19" s="9"/>
      <c r="I19" s="48"/>
      <c r="J19" s="21" t="str">
        <f t="shared" si="0"/>
        <v/>
      </c>
      <c r="K19" s="8"/>
      <c r="L19" s="9"/>
      <c r="M19" s="9"/>
      <c r="N19" s="48"/>
      <c r="O19" s="21" t="str">
        <f t="shared" si="1"/>
        <v/>
      </c>
      <c r="P19" s="8"/>
      <c r="Q19" s="9"/>
      <c r="R19" s="9"/>
      <c r="S19" s="48"/>
      <c r="T19" s="21" t="str">
        <f t="shared" si="2"/>
        <v/>
      </c>
      <c r="U19" s="53" t="str">
        <f>IF($J19="","",ROUND(($J19-$J$3)/1000,1)+(_xlfn.RANK.AVG($J19,($J19,$O19,$T19),1)-2)*0)</f>
        <v/>
      </c>
      <c r="V19" s="54" t="str">
        <f>IF($O19="","",ROUND(($O19-$O$3)/1000,1)+(_xlfn.RANK.AVG($O19,($J19,$O19,$T19),1)-2)*0)</f>
        <v/>
      </c>
      <c r="W19" s="55" t="str">
        <f>IF($T19="","",ROUND(($T19-$T$3)/1000,1)+(_xlfn.RANK.AVG($T19,($J19,$O19,$T19),1)-2)*0)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3"/>
        <v/>
      </c>
      <c r="B20" s="18" t="str">
        <f t="shared" si="4"/>
        <v/>
      </c>
      <c r="C20" s="18" t="str">
        <f t="shared" si="5"/>
        <v/>
      </c>
      <c r="D20" s="18" t="str">
        <f t="shared" si="6"/>
        <v/>
      </c>
      <c r="E20" s="4"/>
      <c r="F20" s="8"/>
      <c r="G20" s="9"/>
      <c r="H20" s="9"/>
      <c r="I20" s="48"/>
      <c r="J20" s="21" t="str">
        <f t="shared" si="0"/>
        <v/>
      </c>
      <c r="K20" s="8"/>
      <c r="L20" s="9"/>
      <c r="M20" s="9"/>
      <c r="N20" s="48"/>
      <c r="O20" s="21" t="str">
        <f t="shared" si="1"/>
        <v/>
      </c>
      <c r="P20" s="8"/>
      <c r="Q20" s="9"/>
      <c r="R20" s="9"/>
      <c r="S20" s="48"/>
      <c r="T20" s="21" t="str">
        <f t="shared" si="2"/>
        <v/>
      </c>
      <c r="U20" s="53" t="str">
        <f>IF($J20="","",ROUND(($J20-$J$3)/1000,1)+(_xlfn.RANK.AVG($J20,($J20,$O20,$T20),1)-2)*0)</f>
        <v/>
      </c>
      <c r="V20" s="54" t="str">
        <f>IF($O20="","",ROUND(($O20-$O$3)/1000,1)+(_xlfn.RANK.AVG($O20,($J20,$O20,$T20),1)-2)*0)</f>
        <v/>
      </c>
      <c r="W20" s="55" t="str">
        <f>IF($T20="","",ROUND(($T20-$T$3)/1000,1)+(_xlfn.RANK.AVG($T20,($J20,$O20,$T20),1)-2)*0)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3"/>
        <v/>
      </c>
      <c r="B21" s="18" t="str">
        <f t="shared" si="4"/>
        <v/>
      </c>
      <c r="C21" s="18" t="str">
        <f t="shared" si="5"/>
        <v/>
      </c>
      <c r="D21" s="18" t="str">
        <f t="shared" si="6"/>
        <v/>
      </c>
      <c r="E21" s="4"/>
      <c r="F21" s="8"/>
      <c r="G21" s="9"/>
      <c r="H21" s="9"/>
      <c r="I21" s="48"/>
      <c r="J21" s="21" t="str">
        <f t="shared" si="0"/>
        <v/>
      </c>
      <c r="K21" s="8"/>
      <c r="L21" s="9"/>
      <c r="M21" s="9"/>
      <c r="N21" s="48"/>
      <c r="O21" s="21" t="str">
        <f t="shared" si="1"/>
        <v/>
      </c>
      <c r="P21" s="8"/>
      <c r="Q21" s="9"/>
      <c r="R21" s="9"/>
      <c r="S21" s="48"/>
      <c r="T21" s="21" t="str">
        <f t="shared" si="2"/>
        <v/>
      </c>
      <c r="U21" s="53" t="str">
        <f>IF($J21="","",ROUND(($J21-$J$3)/1000,1)+(_xlfn.RANK.AVG($J21,($J21,$O21,$T21),1)-2)*0)</f>
        <v/>
      </c>
      <c r="V21" s="54" t="str">
        <f>IF($O21="","",ROUND(($O21-$O$3)/1000,1)+(_xlfn.RANK.AVG($O21,($J21,$O21,$T21),1)-2)*0)</f>
        <v/>
      </c>
      <c r="W21" s="55" t="str">
        <f>IF($T21="","",ROUND(($T21-$T$3)/1000,1)+(_xlfn.RANK.AVG($T21,($J21,$O21,$T21),1)-2)*0)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3"/>
        <v/>
      </c>
      <c r="B22" s="18" t="str">
        <f t="shared" si="4"/>
        <v/>
      </c>
      <c r="C22" s="18" t="str">
        <f t="shared" si="5"/>
        <v/>
      </c>
      <c r="D22" s="18" t="str">
        <f t="shared" si="6"/>
        <v/>
      </c>
      <c r="E22" s="4"/>
      <c r="F22" s="8"/>
      <c r="G22" s="9"/>
      <c r="H22" s="9"/>
      <c r="I22" s="48"/>
      <c r="J22" s="21" t="str">
        <f t="shared" si="0"/>
        <v/>
      </c>
      <c r="K22" s="8"/>
      <c r="L22" s="9"/>
      <c r="M22" s="9"/>
      <c r="N22" s="48"/>
      <c r="O22" s="21" t="str">
        <f t="shared" si="1"/>
        <v/>
      </c>
      <c r="P22" s="8"/>
      <c r="Q22" s="9"/>
      <c r="R22" s="9"/>
      <c r="S22" s="48"/>
      <c r="T22" s="21" t="str">
        <f t="shared" si="2"/>
        <v/>
      </c>
      <c r="U22" s="53" t="str">
        <f>IF($J22="","",ROUND(($J22-$J$3)/1000,1)+(_xlfn.RANK.AVG($J22,($J22,$O22,$T22),1)-2)*0)</f>
        <v/>
      </c>
      <c r="V22" s="54" t="str">
        <f>IF($O22="","",ROUND(($O22-$O$3)/1000,1)+(_xlfn.RANK.AVG($O22,($J22,$O22,$T22),1)-2)*0)</f>
        <v/>
      </c>
      <c r="W22" s="55" t="str">
        <f>IF($T22="","",ROUND(($T22-$T$3)/1000,1)+(_xlfn.RANK.AVG($T22,($J22,$O22,$T22),1)-2)*0)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3"/>
        <v/>
      </c>
      <c r="B23" s="18" t="str">
        <f t="shared" si="4"/>
        <v/>
      </c>
      <c r="C23" s="18" t="str">
        <f t="shared" si="5"/>
        <v/>
      </c>
      <c r="D23" s="18" t="str">
        <f t="shared" si="6"/>
        <v/>
      </c>
      <c r="E23" s="4"/>
      <c r="F23" s="8"/>
      <c r="G23" s="9"/>
      <c r="H23" s="9"/>
      <c r="I23" s="48"/>
      <c r="J23" s="21" t="str">
        <f t="shared" si="0"/>
        <v/>
      </c>
      <c r="K23" s="8"/>
      <c r="L23" s="9"/>
      <c r="M23" s="9"/>
      <c r="N23" s="48"/>
      <c r="O23" s="21" t="str">
        <f t="shared" si="1"/>
        <v/>
      </c>
      <c r="P23" s="8"/>
      <c r="Q23" s="9"/>
      <c r="R23" s="9"/>
      <c r="S23" s="48"/>
      <c r="T23" s="21" t="str">
        <f t="shared" si="2"/>
        <v/>
      </c>
      <c r="U23" s="53" t="str">
        <f>IF($J23="","",ROUND(($J23-$J$3)/1000,1)+(_xlfn.RANK.AVG($J23,($J23,$O23,$T23),1)-2)*0)</f>
        <v/>
      </c>
      <c r="V23" s="54" t="str">
        <f>IF($O23="","",ROUND(($O23-$O$3)/1000,1)+(_xlfn.RANK.AVG($O23,($J23,$O23,$T23),1)-2)*0)</f>
        <v/>
      </c>
      <c r="W23" s="55" t="str">
        <f>IF($T23="","",ROUND(($T23-$T$3)/1000,1)+(_xlfn.RANK.AVG($T23,($J23,$O23,$T23),1)-2)*0)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3"/>
        <v/>
      </c>
      <c r="B24" s="18" t="str">
        <f t="shared" si="4"/>
        <v/>
      </c>
      <c r="C24" s="18" t="str">
        <f t="shared" si="5"/>
        <v/>
      </c>
      <c r="D24" s="18" t="str">
        <f t="shared" si="6"/>
        <v/>
      </c>
      <c r="E24" s="4"/>
      <c r="F24" s="8"/>
      <c r="G24" s="9"/>
      <c r="H24" s="9"/>
      <c r="I24" s="48"/>
      <c r="J24" s="21" t="str">
        <f t="shared" si="0"/>
        <v/>
      </c>
      <c r="K24" s="8"/>
      <c r="L24" s="9"/>
      <c r="M24" s="9"/>
      <c r="N24" s="48"/>
      <c r="O24" s="21" t="str">
        <f t="shared" si="1"/>
        <v/>
      </c>
      <c r="P24" s="8"/>
      <c r="Q24" s="9"/>
      <c r="R24" s="9"/>
      <c r="S24" s="48"/>
      <c r="T24" s="21" t="str">
        <f t="shared" si="2"/>
        <v/>
      </c>
      <c r="U24" s="53" t="str">
        <f>IF($J24="","",ROUND(($J24-$J$3)/1000,1)+(_xlfn.RANK.AVG($J24,($J24,$O24,$T24),1)-2)*0)</f>
        <v/>
      </c>
      <c r="V24" s="54" t="str">
        <f>IF($O24="","",ROUND(($O24-$O$3)/1000,1)+(_xlfn.RANK.AVG($O24,($J24,$O24,$T24),1)-2)*0)</f>
        <v/>
      </c>
      <c r="W24" s="55" t="str">
        <f>IF($T24="","",ROUND(($T24-$T$3)/1000,1)+(_xlfn.RANK.AVG($T24,($J24,$O24,$T24),1)-2)*0)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3"/>
        <v/>
      </c>
      <c r="B25" s="18" t="str">
        <f t="shared" si="4"/>
        <v/>
      </c>
      <c r="C25" s="18" t="str">
        <f t="shared" si="5"/>
        <v/>
      </c>
      <c r="D25" s="18" t="str">
        <f t="shared" si="6"/>
        <v/>
      </c>
      <c r="E25" s="4"/>
      <c r="F25" s="8"/>
      <c r="G25" s="9"/>
      <c r="H25" s="9"/>
      <c r="I25" s="48"/>
      <c r="J25" s="21" t="str">
        <f t="shared" si="0"/>
        <v/>
      </c>
      <c r="K25" s="8"/>
      <c r="L25" s="9"/>
      <c r="M25" s="9"/>
      <c r="N25" s="48"/>
      <c r="O25" s="21" t="str">
        <f t="shared" si="1"/>
        <v/>
      </c>
      <c r="P25" s="8"/>
      <c r="Q25" s="9"/>
      <c r="R25" s="9"/>
      <c r="S25" s="48"/>
      <c r="T25" s="21" t="str">
        <f t="shared" si="2"/>
        <v/>
      </c>
      <c r="U25" s="53" t="str">
        <f>IF($J25="","",ROUND(($J25-$J$3)/1000,1)+(_xlfn.RANK.AVG($J25,($J25,$O25,$T25),1)-2)*0)</f>
        <v/>
      </c>
      <c r="V25" s="54" t="str">
        <f>IF($O25="","",ROUND(($O25-$O$3)/1000,1)+(_xlfn.RANK.AVG($O25,($J25,$O25,$T25),1)-2)*0)</f>
        <v/>
      </c>
      <c r="W25" s="55" t="str">
        <f>IF($T25="","",ROUND(($T25-$T$3)/1000,1)+(_xlfn.RANK.AVG($T25,($J25,$O25,$T25),1)-2)*0)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3"/>
        <v/>
      </c>
      <c r="B26" s="18" t="str">
        <f t="shared" si="4"/>
        <v/>
      </c>
      <c r="C26" s="18" t="str">
        <f t="shared" si="5"/>
        <v/>
      </c>
      <c r="D26" s="18" t="str">
        <f t="shared" si="6"/>
        <v/>
      </c>
      <c r="E26" s="4"/>
      <c r="F26" s="8"/>
      <c r="G26" s="9"/>
      <c r="H26" s="9"/>
      <c r="I26" s="48"/>
      <c r="J26" s="21" t="str">
        <f t="shared" si="0"/>
        <v/>
      </c>
      <c r="K26" s="8"/>
      <c r="L26" s="9"/>
      <c r="M26" s="9"/>
      <c r="N26" s="48"/>
      <c r="O26" s="21" t="str">
        <f t="shared" si="1"/>
        <v/>
      </c>
      <c r="P26" s="8"/>
      <c r="Q26" s="9"/>
      <c r="R26" s="9"/>
      <c r="S26" s="48"/>
      <c r="T26" s="21" t="str">
        <f t="shared" si="2"/>
        <v/>
      </c>
      <c r="U26" s="53" t="str">
        <f>IF($J26="","",ROUND(($J26-$J$3)/1000,1)+(_xlfn.RANK.AVG($J26,($J26,$O26,$T26),1)-2)*0)</f>
        <v/>
      </c>
      <c r="V26" s="54" t="str">
        <f>IF($O26="","",ROUND(($O26-$O$3)/1000,1)+(_xlfn.RANK.AVG($O26,($J26,$O26,$T26),1)-2)*0)</f>
        <v/>
      </c>
      <c r="W26" s="55" t="str">
        <f>IF($T26="","",ROUND(($T26-$T$3)/1000,1)+(_xlfn.RANK.AVG($T26,($J26,$O26,$T26),1)-2)*0)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3"/>
        <v/>
      </c>
      <c r="B27" s="18" t="str">
        <f t="shared" si="4"/>
        <v/>
      </c>
      <c r="C27" s="18" t="str">
        <f t="shared" si="5"/>
        <v/>
      </c>
      <c r="D27" s="18" t="str">
        <f t="shared" si="6"/>
        <v/>
      </c>
      <c r="E27" s="4"/>
      <c r="F27" s="8"/>
      <c r="G27" s="9"/>
      <c r="H27" s="9"/>
      <c r="I27" s="48"/>
      <c r="J27" s="21" t="str">
        <f t="shared" si="0"/>
        <v/>
      </c>
      <c r="K27" s="8"/>
      <c r="L27" s="9"/>
      <c r="M27" s="9"/>
      <c r="N27" s="48"/>
      <c r="O27" s="21" t="str">
        <f t="shared" si="1"/>
        <v/>
      </c>
      <c r="P27" s="8"/>
      <c r="Q27" s="9"/>
      <c r="R27" s="9"/>
      <c r="S27" s="48"/>
      <c r="T27" s="21" t="str">
        <f t="shared" si="2"/>
        <v/>
      </c>
      <c r="U27" s="53" t="str">
        <f>IF($J27="","",ROUND(($J27-$J$3)/1000,1)+(_xlfn.RANK.AVG($J27,($J27,$O27,$T27),1)-2)*0)</f>
        <v/>
      </c>
      <c r="V27" s="54" t="str">
        <f>IF($O27="","",ROUND(($O27-$O$3)/1000,1)+(_xlfn.RANK.AVG($O27,($J27,$O27,$T27),1)-2)*0)</f>
        <v/>
      </c>
      <c r="W27" s="55" t="str">
        <f>IF($T27="","",ROUND(($T27-$T$3)/1000,1)+(_xlfn.RANK.AVG($T27,($J27,$O27,$T27),1)-2)*0)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3"/>
        <v/>
      </c>
      <c r="B28" s="18" t="str">
        <f t="shared" si="4"/>
        <v/>
      </c>
      <c r="C28" s="18" t="str">
        <f t="shared" si="5"/>
        <v/>
      </c>
      <c r="D28" s="18" t="str">
        <f t="shared" si="6"/>
        <v/>
      </c>
      <c r="E28" s="4"/>
      <c r="F28" s="8"/>
      <c r="G28" s="9"/>
      <c r="H28" s="9"/>
      <c r="I28" s="48"/>
      <c r="J28" s="21" t="str">
        <f t="shared" si="0"/>
        <v/>
      </c>
      <c r="K28" s="8"/>
      <c r="L28" s="9"/>
      <c r="M28" s="9"/>
      <c r="N28" s="48"/>
      <c r="O28" s="21" t="str">
        <f t="shared" si="1"/>
        <v/>
      </c>
      <c r="P28" s="8"/>
      <c r="Q28" s="9"/>
      <c r="R28" s="9"/>
      <c r="S28" s="48"/>
      <c r="T28" s="21" t="str">
        <f t="shared" si="2"/>
        <v/>
      </c>
      <c r="U28" s="53" t="str">
        <f>IF($J28="","",ROUND(($J28-$J$3)/1000,1)+(_xlfn.RANK.AVG($J28,($J28,$O28,$T28),1)-2)*0)</f>
        <v/>
      </c>
      <c r="V28" s="54" t="str">
        <f>IF($O28="","",ROUND(($O28-$O$3)/1000,1)+(_xlfn.RANK.AVG($O28,($J28,$O28,$T28),1)-2)*0)</f>
        <v/>
      </c>
      <c r="W28" s="55" t="str">
        <f>IF($T28="","",ROUND(($T28-$T$3)/1000,1)+(_xlfn.RANK.AVG($T28,($J28,$O28,$T28),1)-2)*0)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3"/>
        <v/>
      </c>
      <c r="B29" s="18" t="str">
        <f t="shared" si="4"/>
        <v/>
      </c>
      <c r="C29" s="18" t="str">
        <f t="shared" si="5"/>
        <v/>
      </c>
      <c r="D29" s="18" t="str">
        <f t="shared" si="6"/>
        <v/>
      </c>
      <c r="E29" s="4"/>
      <c r="F29" s="8"/>
      <c r="G29" s="9"/>
      <c r="H29" s="9"/>
      <c r="I29" s="48"/>
      <c r="J29" s="21" t="str">
        <f t="shared" si="0"/>
        <v/>
      </c>
      <c r="K29" s="8"/>
      <c r="L29" s="9"/>
      <c r="M29" s="9"/>
      <c r="N29" s="48"/>
      <c r="O29" s="21" t="str">
        <f t="shared" si="1"/>
        <v/>
      </c>
      <c r="P29" s="8"/>
      <c r="Q29" s="9"/>
      <c r="R29" s="9"/>
      <c r="S29" s="48"/>
      <c r="T29" s="21" t="str">
        <f t="shared" si="2"/>
        <v/>
      </c>
      <c r="U29" s="53" t="str">
        <f>IF($J29="","",ROUND(($J29-$J$3)/1000,1)+(_xlfn.RANK.AVG($J29,($J29,$O29,$T29),1)-2)*0)</f>
        <v/>
      </c>
      <c r="V29" s="54" t="str">
        <f>IF($O29="","",ROUND(($O29-$O$3)/1000,1)+(_xlfn.RANK.AVG($O29,($J29,$O29,$T29),1)-2)*0)</f>
        <v/>
      </c>
      <c r="W29" s="55" t="str">
        <f>IF($T29="","",ROUND(($T29-$T$3)/1000,1)+(_xlfn.RANK.AVG($T29,($J29,$O29,$T29),1)-2)*0)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3"/>
        <v/>
      </c>
      <c r="B30" s="19" t="str">
        <f t="shared" si="4"/>
        <v/>
      </c>
      <c r="C30" s="19" t="str">
        <f t="shared" si="5"/>
        <v/>
      </c>
      <c r="D30" s="19" t="str">
        <f t="shared" si="6"/>
        <v/>
      </c>
      <c r="E30" s="5"/>
      <c r="F30" s="10"/>
      <c r="G30" s="11"/>
      <c r="H30" s="11"/>
      <c r="I30" s="49"/>
      <c r="J30" s="22" t="str">
        <f t="shared" si="0"/>
        <v/>
      </c>
      <c r="K30" s="10"/>
      <c r="L30" s="11"/>
      <c r="M30" s="11"/>
      <c r="N30" s="49"/>
      <c r="O30" s="22" t="str">
        <f t="shared" si="1"/>
        <v/>
      </c>
      <c r="P30" s="10"/>
      <c r="Q30" s="11"/>
      <c r="R30" s="11"/>
      <c r="S30" s="49"/>
      <c r="T30" s="22" t="str">
        <f t="shared" si="2"/>
        <v/>
      </c>
      <c r="U30" s="56" t="str">
        <f>IF($J30="","",ROUND(($J30-$J$3)/1000,1)+(_xlfn.RANK.AVG($J30,($J30,$O30,$T30),1)-2)*0)</f>
        <v/>
      </c>
      <c r="V30" s="57" t="str">
        <f>IF($O30="","",ROUND(($O30-$O$3)/1000,1)+(_xlfn.RANK.AVG($O30,($J30,$O30,$T30),1)-2)*0)</f>
        <v/>
      </c>
      <c r="W30" s="58" t="str">
        <f>IF($T30="","",ROUND(($T30-$T$3)/1000,1)+(_xlfn.RANK.AVG($T30,($J30,$O30,$T30),1)-2)*0)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allowBlank="1" showInputMessage="1" showErrorMessage="1" sqref="E4:E30" xr:uid="{2A99F51E-7A1A-439D-9EC7-7B3ABA4BE800}">
      <formula1>$U$2:$W$2</formula1>
    </dataValidation>
    <dataValidation type="list" showInputMessage="1" showErrorMessage="1" sqref="K4:K30 P4:P30 F4:F30" xr:uid="{63707296-EF7F-4D96-9AEC-6C5D31312BC3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5E0FBB-158A-4D81-B506-2567A8129C2C}">
  <sheetPr codeName="Sheet13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139</v>
      </c>
      <c r="G1" s="72"/>
      <c r="H1" s="72"/>
      <c r="I1" s="73"/>
      <c r="J1" s="74"/>
      <c r="K1" s="71" t="s">
        <v>151</v>
      </c>
      <c r="L1" s="72"/>
      <c r="M1" s="72"/>
      <c r="N1" s="73"/>
      <c r="O1" s="74"/>
      <c r="P1" s="71" t="s">
        <v>160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ぱぱ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りくと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まっつん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ぱぱ</v>
      </c>
      <c r="V2" s="70" t="str">
        <f>$K$1</f>
        <v>りくと</v>
      </c>
      <c r="W2" s="16" t="str">
        <f>$P$1</f>
        <v>まっつん</v>
      </c>
      <c r="Y2" s="65" t="s">
        <v>23</v>
      </c>
      <c r="Z2" s="66" t="s">
        <v>26</v>
      </c>
      <c r="AA2" s="67" t="s">
        <v>24</v>
      </c>
      <c r="AB2" s="67" t="s">
        <v>127</v>
      </c>
      <c r="AC2" s="67" t="s">
        <v>18</v>
      </c>
      <c r="AD2" s="68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6" t="s">
        <v>26</v>
      </c>
      <c r="AV2" s="67" t="s">
        <v>24</v>
      </c>
      <c r="AW2" s="67" t="s">
        <v>128</v>
      </c>
      <c r="AX2" s="67" t="s">
        <v>18</v>
      </c>
      <c r="AY2" s="68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6" t="s">
        <v>26</v>
      </c>
      <c r="BQ2" s="67" t="s">
        <v>24</v>
      </c>
      <c r="BR2" s="67" t="s">
        <v>128</v>
      </c>
      <c r="BS2" s="67" t="s">
        <v>18</v>
      </c>
      <c r="BT2" s="68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134500</v>
      </c>
      <c r="K3" s="7"/>
      <c r="L3" s="23"/>
      <c r="M3" s="23"/>
      <c r="N3" s="47"/>
      <c r="O3" s="20">
        <v>77100</v>
      </c>
      <c r="P3" s="7"/>
      <c r="Q3" s="23"/>
      <c r="R3" s="23"/>
      <c r="S3" s="47"/>
      <c r="T3" s="20">
        <v>88400</v>
      </c>
      <c r="U3" s="50">
        <f>IF($J3="","",ROUND(($J3-$J$3)/1000,1)+(_xlfn.RANK.AVG($J3,($J3,$O3,$T3),1)-2)*0)</f>
        <v>0</v>
      </c>
      <c r="V3" s="51">
        <f>IF($O3="","",ROUND(($O3-$O$3)/1000,1)+(_xlfn.RANK.AVG($O3,($J3,$O3,$T3),1)-2)*0)</f>
        <v>0</v>
      </c>
      <c r="W3" s="52">
        <f>IF($T3="","",ROUND(($T3-$T$3)/1000,1)+(_xlfn.RANK.AVG($T3,($J3,$O3,$T3),1)-2)*0)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138</v>
      </c>
      <c r="F4" s="8" t="s">
        <v>146</v>
      </c>
      <c r="G4" s="9">
        <v>12000</v>
      </c>
      <c r="H4" s="9"/>
      <c r="I4" s="48">
        <v>0</v>
      </c>
      <c r="J4" s="21">
        <f t="shared" ref="J4:J30" si="0">IF(COUNTA($F4,$K4,$P4)&gt;0,J3+SUM(G4:I4),"")</f>
        <v>146500</v>
      </c>
      <c r="K4" s="8" t="s">
        <v>145</v>
      </c>
      <c r="L4" s="9">
        <v>-12000</v>
      </c>
      <c r="M4" s="9"/>
      <c r="N4" s="48">
        <v>0</v>
      </c>
      <c r="O4" s="21">
        <f t="shared" ref="O4:O30" si="1">IF(COUNTA($F4,$K4,$P4)&gt;0,O3+SUM(L4:N4),"")</f>
        <v>65100</v>
      </c>
      <c r="P4" s="8"/>
      <c r="Q4" s="9"/>
      <c r="R4" s="9"/>
      <c r="S4" s="48"/>
      <c r="T4" s="21">
        <f t="shared" ref="T4:T30" si="2">IF(COUNTA($F4,$K4,$P4)&gt;0,T3+SUM(Q4:S4),"")</f>
        <v>88400</v>
      </c>
      <c r="U4" s="53">
        <f>IF($J4="","",ROUND(($J4-$J$3)/1000,1)+(_xlfn.RANK.AVG($J4,($J4,$O4,$T4),1)-2)*0)</f>
        <v>12</v>
      </c>
      <c r="V4" s="54">
        <f>IF($O4="","",ROUND(($O4-$O$3)/1000,1)+(_xlfn.RANK.AVG($O4,($J4,$O4,$T4),1)-2)*0)</f>
        <v>-12</v>
      </c>
      <c r="W4" s="55">
        <f>IF($T4="","",ROUND(($T4-$T$3)/1000,1)+(_xlfn.RANK.AVG($T4,($J4,$O4,$T4),1)-2)*0)</f>
        <v>0</v>
      </c>
      <c r="Y4" s="8"/>
      <c r="Z4" s="34"/>
      <c r="AA4" s="26"/>
      <c r="AB4" s="26">
        <v>1</v>
      </c>
      <c r="AC4" s="26">
        <v>4</v>
      </c>
      <c r="AD4" s="30">
        <v>40</v>
      </c>
      <c r="AE4" s="40" t="s">
        <v>98</v>
      </c>
      <c r="AF4" s="41" t="s">
        <v>86</v>
      </c>
      <c r="AG4" s="41" t="s">
        <v>86</v>
      </c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 t="shared" ref="B5:B30" si="4">IF($E5="","",IF($E4=$E5,B4,IF(B4=3,1,B4+1)))</f>
        <v>1</v>
      </c>
      <c r="C5" s="18">
        <f t="shared" ref="C5:C30" si="5">IF($E5="","",IF($F4="チョンボ",C4,IF(OR($E4=$E5,$F4="流局"),C4+1,0)))</f>
        <v>1</v>
      </c>
      <c r="D5" s="18">
        <f t="shared" ref="D5:D30" si="6">IF($E5="","",IF(OR($F4="流局",$F4="チョンボ"),D4+($H4+$M4+$R4)/-1000,0))</f>
        <v>0</v>
      </c>
      <c r="E5" s="4" t="s">
        <v>138</v>
      </c>
      <c r="F5" s="8" t="s">
        <v>145</v>
      </c>
      <c r="G5" s="9">
        <v>-7700</v>
      </c>
      <c r="H5" s="9"/>
      <c r="I5" s="48">
        <v>-1000</v>
      </c>
      <c r="J5" s="21">
        <f t="shared" si="0"/>
        <v>137800</v>
      </c>
      <c r="K5" s="8" t="s">
        <v>146</v>
      </c>
      <c r="L5" s="9">
        <v>7700</v>
      </c>
      <c r="M5" s="9"/>
      <c r="N5" s="48">
        <v>1000</v>
      </c>
      <c r="O5" s="21">
        <f t="shared" si="1"/>
        <v>73800</v>
      </c>
      <c r="P5" s="8"/>
      <c r="Q5" s="9"/>
      <c r="R5" s="9"/>
      <c r="S5" s="48"/>
      <c r="T5" s="21">
        <f t="shared" si="2"/>
        <v>88400</v>
      </c>
      <c r="U5" s="53">
        <f>IF($J5="","",ROUND(($J5-$J$3)/1000,1)+(_xlfn.RANK.AVG($J5,($J5,$O5,$T5),1)-2)*0)</f>
        <v>3.3</v>
      </c>
      <c r="V5" s="54">
        <f>IF($O5="","",ROUND(($O5-$O$3)/1000,1)+(_xlfn.RANK.AVG($O5,($J5,$O5,$T5),1)-2)*0)</f>
        <v>-3.3</v>
      </c>
      <c r="W5" s="55">
        <f>IF($T5="","",ROUND(($T5-$T$3)/1000,1)+(_xlfn.RANK.AVG($T5,($J5,$O5,$T5),1)-2)*0)</f>
        <v>0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4</v>
      </c>
      <c r="AY5" s="30">
        <v>30</v>
      </c>
      <c r="AZ5" s="40" t="s">
        <v>144</v>
      </c>
      <c r="BA5" s="41" t="s">
        <v>83</v>
      </c>
      <c r="BB5" s="41" t="s">
        <v>79</v>
      </c>
      <c r="BC5" s="41" t="s">
        <v>147</v>
      </c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3"/>
        <v>東</v>
      </c>
      <c r="B6" s="18">
        <f t="shared" si="4"/>
        <v>2</v>
      </c>
      <c r="C6" s="18">
        <f t="shared" si="5"/>
        <v>0</v>
      </c>
      <c r="D6" s="18">
        <f t="shared" si="6"/>
        <v>0</v>
      </c>
      <c r="E6" s="4" t="s">
        <v>150</v>
      </c>
      <c r="F6" s="8" t="s">
        <v>143</v>
      </c>
      <c r="G6" s="9">
        <v>2800</v>
      </c>
      <c r="H6" s="9"/>
      <c r="I6" s="48">
        <v>0</v>
      </c>
      <c r="J6" s="21">
        <f t="shared" si="0"/>
        <v>140600</v>
      </c>
      <c r="K6" s="8" t="s">
        <v>142</v>
      </c>
      <c r="L6" s="9">
        <v>-1700</v>
      </c>
      <c r="M6" s="9"/>
      <c r="N6" s="48">
        <v>0</v>
      </c>
      <c r="O6" s="21">
        <f t="shared" si="1"/>
        <v>72100</v>
      </c>
      <c r="P6" s="8" t="s">
        <v>142</v>
      </c>
      <c r="Q6" s="9">
        <v>-1100</v>
      </c>
      <c r="R6" s="9"/>
      <c r="S6" s="48">
        <v>0</v>
      </c>
      <c r="T6" s="21">
        <f t="shared" si="2"/>
        <v>87300</v>
      </c>
      <c r="U6" s="53">
        <f>IF($J6="","",ROUND(($J6-$J$3)/1000,1)+(_xlfn.RANK.AVG($J6,($J6,$O6,$T6),1)-2)*0)</f>
        <v>6.1</v>
      </c>
      <c r="V6" s="54">
        <f>IF($O6="","",ROUND(($O6-$O$3)/1000,1)+(_xlfn.RANK.AVG($O6,($J6,$O6,$T6),1)-2)*0)</f>
        <v>-5</v>
      </c>
      <c r="W6" s="55">
        <f>IF($T6="","",ROUND(($T6-$T$3)/1000,1)+(_xlfn.RANK.AVG($T6,($J6,$O6,$T6),1)-2)*0)</f>
        <v>-1.1000000000000001</v>
      </c>
      <c r="Y6" s="8"/>
      <c r="Z6" s="34"/>
      <c r="AA6" s="26"/>
      <c r="AB6" s="26"/>
      <c r="AC6" s="26">
        <v>3</v>
      </c>
      <c r="AD6" s="30">
        <v>20</v>
      </c>
      <c r="AE6" s="40" t="s">
        <v>82</v>
      </c>
      <c r="AF6" s="41" t="s">
        <v>83</v>
      </c>
      <c r="AG6" s="41" t="s">
        <v>84</v>
      </c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3"/>
        <v>東</v>
      </c>
      <c r="B7" s="18">
        <f t="shared" si="4"/>
        <v>3</v>
      </c>
      <c r="C7" s="18">
        <f t="shared" si="5"/>
        <v>0</v>
      </c>
      <c r="D7" s="18">
        <f t="shared" si="6"/>
        <v>0</v>
      </c>
      <c r="E7" s="4" t="s">
        <v>159</v>
      </c>
      <c r="F7" s="8" t="s">
        <v>142</v>
      </c>
      <c r="G7" s="9">
        <v>-3000</v>
      </c>
      <c r="H7" s="9"/>
      <c r="I7" s="48">
        <v>0</v>
      </c>
      <c r="J7" s="21">
        <f t="shared" si="0"/>
        <v>137600</v>
      </c>
      <c r="K7" s="8" t="s">
        <v>143</v>
      </c>
      <c r="L7" s="9">
        <v>8000</v>
      </c>
      <c r="M7" s="9"/>
      <c r="N7" s="48">
        <v>0</v>
      </c>
      <c r="O7" s="21">
        <f t="shared" si="1"/>
        <v>80100</v>
      </c>
      <c r="P7" s="8" t="s">
        <v>142</v>
      </c>
      <c r="Q7" s="9">
        <v>-5000</v>
      </c>
      <c r="R7" s="9"/>
      <c r="S7" s="48">
        <v>0</v>
      </c>
      <c r="T7" s="21">
        <f t="shared" si="2"/>
        <v>82300</v>
      </c>
      <c r="U7" s="53">
        <f>IF($J7="","",ROUND(($J7-$J$3)/1000,1)+(_xlfn.RANK.AVG($J7,($J7,$O7,$T7),1)-2)*0)</f>
        <v>3.1</v>
      </c>
      <c r="V7" s="54">
        <f>IF($O7="","",ROUND(($O7-$O$3)/1000,1)+(_xlfn.RANK.AVG($O7,($J7,$O7,$T7),1)-2)*0)</f>
        <v>3</v>
      </c>
      <c r="W7" s="55">
        <f>IF($T7="","",ROUND(($T7-$T$3)/1000,1)+(_xlfn.RANK.AVG($T7,($J7,$O7,$T7),1)-2)*0)</f>
        <v>-6.1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4</v>
      </c>
      <c r="AY7" s="30">
        <v>40</v>
      </c>
      <c r="AZ7" s="40" t="s">
        <v>79</v>
      </c>
      <c r="BA7" s="41" t="s">
        <v>79</v>
      </c>
      <c r="BB7" s="41" t="s">
        <v>79</v>
      </c>
      <c r="BC7" s="41" t="s">
        <v>86</v>
      </c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3"/>
        <v>南</v>
      </c>
      <c r="B8" s="18">
        <f t="shared" si="4"/>
        <v>1</v>
      </c>
      <c r="C8" s="18">
        <f t="shared" si="5"/>
        <v>0</v>
      </c>
      <c r="D8" s="18">
        <f t="shared" si="6"/>
        <v>0</v>
      </c>
      <c r="E8" s="4" t="s">
        <v>138</v>
      </c>
      <c r="F8" s="8" t="s">
        <v>146</v>
      </c>
      <c r="G8" s="9">
        <v>2900</v>
      </c>
      <c r="H8" s="9"/>
      <c r="I8" s="48">
        <v>0</v>
      </c>
      <c r="J8" s="21">
        <f t="shared" si="0"/>
        <v>140500</v>
      </c>
      <c r="K8" s="8"/>
      <c r="L8" s="9"/>
      <c r="M8" s="9"/>
      <c r="N8" s="48"/>
      <c r="O8" s="21">
        <f t="shared" si="1"/>
        <v>80100</v>
      </c>
      <c r="P8" s="8" t="s">
        <v>145</v>
      </c>
      <c r="Q8" s="9">
        <v>-2900</v>
      </c>
      <c r="R8" s="9"/>
      <c r="S8" s="48">
        <v>0</v>
      </c>
      <c r="T8" s="21">
        <f t="shared" si="2"/>
        <v>79400</v>
      </c>
      <c r="U8" s="53">
        <f>IF($J8="","",ROUND(($J8-$J$3)/1000,1)+(_xlfn.RANK.AVG($J8,($J8,$O8,$T8),1)-2)*0)</f>
        <v>6</v>
      </c>
      <c r="V8" s="54">
        <f>IF($O8="","",ROUND(($O8-$O$3)/1000,1)+(_xlfn.RANK.AVG($O8,($J8,$O8,$T8),1)-2)*0)</f>
        <v>3</v>
      </c>
      <c r="W8" s="55">
        <f>IF($T8="","",ROUND(($T8-$T$3)/1000,1)+(_xlfn.RANK.AVG($T8,($J8,$O8,$T8),1)-2)*0)</f>
        <v>-9</v>
      </c>
      <c r="Y8" s="8"/>
      <c r="Z8" s="34"/>
      <c r="AA8" s="26"/>
      <c r="AB8" s="26">
        <v>1</v>
      </c>
      <c r="AC8" s="26">
        <v>2</v>
      </c>
      <c r="AD8" s="30">
        <v>30</v>
      </c>
      <c r="AE8" s="40" t="s">
        <v>147</v>
      </c>
      <c r="AF8" s="41" t="s">
        <v>86</v>
      </c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3"/>
        <v>南</v>
      </c>
      <c r="B9" s="18">
        <f t="shared" si="4"/>
        <v>1</v>
      </c>
      <c r="C9" s="18">
        <f t="shared" si="5"/>
        <v>1</v>
      </c>
      <c r="D9" s="18">
        <f t="shared" si="6"/>
        <v>0</v>
      </c>
      <c r="E9" s="4" t="s">
        <v>138</v>
      </c>
      <c r="F9" s="8" t="s">
        <v>142</v>
      </c>
      <c r="G9" s="9">
        <v>-5000</v>
      </c>
      <c r="H9" s="9"/>
      <c r="I9" s="48">
        <v>-500</v>
      </c>
      <c r="J9" s="21">
        <f t="shared" si="0"/>
        <v>135000</v>
      </c>
      <c r="K9" s="8" t="s">
        <v>142</v>
      </c>
      <c r="L9" s="9">
        <v>-3000</v>
      </c>
      <c r="M9" s="9"/>
      <c r="N9" s="48">
        <v>-500</v>
      </c>
      <c r="O9" s="21">
        <f t="shared" si="1"/>
        <v>76600</v>
      </c>
      <c r="P9" s="8" t="s">
        <v>143</v>
      </c>
      <c r="Q9" s="9">
        <v>8000</v>
      </c>
      <c r="R9" s="9"/>
      <c r="S9" s="48">
        <v>1000</v>
      </c>
      <c r="T9" s="21">
        <f t="shared" si="2"/>
        <v>88400</v>
      </c>
      <c r="U9" s="53">
        <f>IF($J9="","",ROUND(($J9-$J$3)/1000,1)+(_xlfn.RANK.AVG($J9,($J9,$O9,$T9),1)-2)*0)</f>
        <v>0.5</v>
      </c>
      <c r="V9" s="54">
        <f>IF($O9="","",ROUND(($O9-$O$3)/1000,1)+(_xlfn.RANK.AVG($O9,($J9,$O9,$T9),1)-2)*0)</f>
        <v>-0.5</v>
      </c>
      <c r="W9" s="55">
        <f>IF($T9="","",ROUND(($T9-$T$3)/1000,1)+(_xlfn.RANK.AVG($T9,($J9,$O9,$T9),1)-2)*0)</f>
        <v>0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4</v>
      </c>
      <c r="BT9" s="30">
        <v>40</v>
      </c>
      <c r="BU9" s="40" t="s">
        <v>144</v>
      </c>
      <c r="BV9" s="41" t="s">
        <v>82</v>
      </c>
      <c r="BW9" s="41" t="s">
        <v>148</v>
      </c>
      <c r="BX9" s="41" t="s">
        <v>89</v>
      </c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3"/>
        <v>南</v>
      </c>
      <c r="B10" s="18">
        <f t="shared" si="4"/>
        <v>2</v>
      </c>
      <c r="C10" s="18">
        <f t="shared" si="5"/>
        <v>0</v>
      </c>
      <c r="D10" s="18">
        <f t="shared" si="6"/>
        <v>0</v>
      </c>
      <c r="E10" s="4" t="s">
        <v>150</v>
      </c>
      <c r="F10" s="8" t="s">
        <v>142</v>
      </c>
      <c r="G10" s="9">
        <v>-9000</v>
      </c>
      <c r="H10" s="9"/>
      <c r="I10" s="48">
        <v>0</v>
      </c>
      <c r="J10" s="21">
        <f t="shared" si="0"/>
        <v>126000</v>
      </c>
      <c r="K10" s="8" t="s">
        <v>143</v>
      </c>
      <c r="L10" s="9">
        <v>18000</v>
      </c>
      <c r="M10" s="9"/>
      <c r="N10" s="48">
        <v>0</v>
      </c>
      <c r="O10" s="21">
        <f t="shared" si="1"/>
        <v>94600</v>
      </c>
      <c r="P10" s="8" t="s">
        <v>142</v>
      </c>
      <c r="Q10" s="9">
        <v>-9000</v>
      </c>
      <c r="R10" s="9"/>
      <c r="S10" s="48">
        <v>0</v>
      </c>
      <c r="T10" s="21">
        <f t="shared" si="2"/>
        <v>79400</v>
      </c>
      <c r="U10" s="53">
        <f>IF($J10="","",ROUND(($J10-$J$3)/1000,1)+(_xlfn.RANK.AVG($J10,($J10,$O10,$T10),1)-2)*0)</f>
        <v>-8.5</v>
      </c>
      <c r="V10" s="54">
        <f>IF($O10="","",ROUND(($O10-$O$3)/1000,1)+(_xlfn.RANK.AVG($O10,($J10,$O10,$T10),1)-2)*0)</f>
        <v>17.5</v>
      </c>
      <c r="W10" s="55">
        <f>IF($T10="","",ROUND(($T10-$T$3)/1000,1)+(_xlfn.RANK.AVG($T10,($J10,$O10,$T10),1)-2)*0)</f>
        <v>-9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7</v>
      </c>
      <c r="AY10" s="30" t="s">
        <v>154</v>
      </c>
      <c r="AZ10" s="40" t="s">
        <v>144</v>
      </c>
      <c r="BA10" s="41" t="s">
        <v>82</v>
      </c>
      <c r="BB10" s="41" t="s">
        <v>89</v>
      </c>
      <c r="BC10" s="41" t="s">
        <v>86</v>
      </c>
      <c r="BD10" s="41" t="s">
        <v>80</v>
      </c>
      <c r="BE10" s="41" t="s">
        <v>96</v>
      </c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3"/>
        <v>南</v>
      </c>
      <c r="B11" s="18">
        <f t="shared" si="4"/>
        <v>2</v>
      </c>
      <c r="C11" s="18">
        <f t="shared" si="5"/>
        <v>1</v>
      </c>
      <c r="D11" s="18">
        <f t="shared" si="6"/>
        <v>0</v>
      </c>
      <c r="E11" s="4" t="s">
        <v>150</v>
      </c>
      <c r="F11" s="8"/>
      <c r="G11" s="9"/>
      <c r="H11" s="9"/>
      <c r="I11" s="48"/>
      <c r="J11" s="21">
        <f t="shared" si="0"/>
        <v>126000</v>
      </c>
      <c r="K11" s="8" t="s">
        <v>146</v>
      </c>
      <c r="L11" s="9">
        <v>2000</v>
      </c>
      <c r="M11" s="9"/>
      <c r="N11" s="48">
        <v>1000</v>
      </c>
      <c r="O11" s="21">
        <f t="shared" si="1"/>
        <v>97600</v>
      </c>
      <c r="P11" s="8" t="s">
        <v>145</v>
      </c>
      <c r="Q11" s="9">
        <v>-2000</v>
      </c>
      <c r="R11" s="9"/>
      <c r="S11" s="48">
        <v>-1000</v>
      </c>
      <c r="T11" s="21">
        <f t="shared" si="2"/>
        <v>76400</v>
      </c>
      <c r="U11" s="53">
        <f>IF($J11="","",ROUND(($J11-$J$3)/1000,1)+(_xlfn.RANK.AVG($J11,($J11,$O11,$T11),1)-2)*0)</f>
        <v>-8.5</v>
      </c>
      <c r="V11" s="54">
        <f>IF($O11="","",ROUND(($O11-$O$3)/1000,1)+(_xlfn.RANK.AVG($O11,($J11,$O11,$T11),1)-2)*0)</f>
        <v>20.5</v>
      </c>
      <c r="W11" s="55">
        <f>IF($T11="","",ROUND(($T11-$T$3)/1000,1)+(_xlfn.RANK.AVG($T11,($J11,$O11,$T11),1)-2)*0)</f>
        <v>-12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>
        <v>1</v>
      </c>
      <c r="AY11" s="30">
        <v>40</v>
      </c>
      <c r="AZ11" s="40" t="s">
        <v>84</v>
      </c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3"/>
        <v>南</v>
      </c>
      <c r="B12" s="18">
        <f t="shared" si="4"/>
        <v>2</v>
      </c>
      <c r="C12" s="18">
        <f t="shared" si="5"/>
        <v>2</v>
      </c>
      <c r="D12" s="18">
        <f t="shared" si="6"/>
        <v>0</v>
      </c>
      <c r="E12" s="4" t="s">
        <v>150</v>
      </c>
      <c r="F12" s="8"/>
      <c r="G12" s="9"/>
      <c r="H12" s="9"/>
      <c r="I12" s="48"/>
      <c r="J12" s="21">
        <f t="shared" si="0"/>
        <v>126000</v>
      </c>
      <c r="K12" s="8" t="s">
        <v>145</v>
      </c>
      <c r="L12" s="9">
        <v>-3900</v>
      </c>
      <c r="M12" s="9"/>
      <c r="N12" s="48">
        <v>-2000</v>
      </c>
      <c r="O12" s="21">
        <f t="shared" si="1"/>
        <v>91700</v>
      </c>
      <c r="P12" s="8" t="s">
        <v>146</v>
      </c>
      <c r="Q12" s="9">
        <v>3900</v>
      </c>
      <c r="R12" s="9"/>
      <c r="S12" s="48">
        <v>2000</v>
      </c>
      <c r="T12" s="21">
        <f t="shared" si="2"/>
        <v>82300</v>
      </c>
      <c r="U12" s="53">
        <f>IF($J12="","",ROUND(($J12-$J$3)/1000,1)+(_xlfn.RANK.AVG($J12,($J12,$O12,$T12),1)-2)*0)</f>
        <v>-8.5</v>
      </c>
      <c r="V12" s="54">
        <f>IF($O12="","",ROUND(($O12-$O$3)/1000,1)+(_xlfn.RANK.AVG($O12,($J12,$O12,$T12),1)-2)*0)</f>
        <v>14.6</v>
      </c>
      <c r="W12" s="55">
        <f>IF($T12="","",ROUND(($T12-$T$3)/1000,1)+(_xlfn.RANK.AVG($T12,($J12,$O12,$T12),1)-2)*0)</f>
        <v>-6.1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>
        <v>3</v>
      </c>
      <c r="BT12" s="30">
        <v>30</v>
      </c>
      <c r="BU12" s="40" t="s">
        <v>104</v>
      </c>
      <c r="BV12" s="41" t="s">
        <v>86</v>
      </c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3"/>
        <v>南</v>
      </c>
      <c r="B13" s="18">
        <f t="shared" si="4"/>
        <v>3</v>
      </c>
      <c r="C13" s="18">
        <f t="shared" si="5"/>
        <v>0</v>
      </c>
      <c r="D13" s="18">
        <f t="shared" si="6"/>
        <v>0</v>
      </c>
      <c r="E13" s="4" t="s">
        <v>159</v>
      </c>
      <c r="F13" s="8"/>
      <c r="G13" s="9"/>
      <c r="H13" s="9"/>
      <c r="I13" s="48"/>
      <c r="J13" s="21">
        <f t="shared" si="0"/>
        <v>126000</v>
      </c>
      <c r="K13" s="8" t="s">
        <v>145</v>
      </c>
      <c r="L13" s="9">
        <v>-18000</v>
      </c>
      <c r="M13" s="9"/>
      <c r="N13" s="48">
        <v>0</v>
      </c>
      <c r="O13" s="21">
        <f t="shared" si="1"/>
        <v>73700</v>
      </c>
      <c r="P13" s="8" t="s">
        <v>146</v>
      </c>
      <c r="Q13" s="9">
        <v>18000</v>
      </c>
      <c r="R13" s="9"/>
      <c r="S13" s="48">
        <v>0</v>
      </c>
      <c r="T13" s="21">
        <f t="shared" si="2"/>
        <v>100300</v>
      </c>
      <c r="U13" s="53">
        <f>IF($J13="","",ROUND(($J13-$J$3)/1000,1)+(_xlfn.RANK.AVG($J13,($J13,$O13,$T13),1)-2)*0)</f>
        <v>-8.5</v>
      </c>
      <c r="V13" s="54">
        <f>IF($O13="","",ROUND(($O13-$O$3)/1000,1)+(_xlfn.RANK.AVG($O13,($J13,$O13,$T13),1)-2)*0)</f>
        <v>-3.4</v>
      </c>
      <c r="W13" s="55">
        <f>IF($T13="","",ROUND(($T13-$T$3)/1000,1)+(_xlfn.RANK.AVG($T13,($J13,$O13,$T13),1)-2)*0)</f>
        <v>11.9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>
        <v>1</v>
      </c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>
        <v>1</v>
      </c>
      <c r="BR13" s="26"/>
      <c r="BS13" s="26">
        <v>6</v>
      </c>
      <c r="BT13" s="30" t="s">
        <v>154</v>
      </c>
      <c r="BU13" s="40" t="s">
        <v>144</v>
      </c>
      <c r="BV13" s="41" t="s">
        <v>83</v>
      </c>
      <c r="BW13" s="41" t="s">
        <v>79</v>
      </c>
      <c r="BX13" s="41" t="s">
        <v>79</v>
      </c>
      <c r="BY13" s="41" t="s">
        <v>80</v>
      </c>
      <c r="BZ13" s="41" t="s">
        <v>80</v>
      </c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3"/>
        <v/>
      </c>
      <c r="B14" s="18" t="str">
        <f t="shared" si="4"/>
        <v/>
      </c>
      <c r="C14" s="18" t="str">
        <f t="shared" si="5"/>
        <v/>
      </c>
      <c r="D14" s="18" t="str">
        <f t="shared" si="6"/>
        <v/>
      </c>
      <c r="E14" s="4"/>
      <c r="F14" s="8"/>
      <c r="G14" s="9"/>
      <c r="H14" s="9"/>
      <c r="I14" s="48"/>
      <c r="J14" s="21" t="str">
        <f t="shared" si="0"/>
        <v/>
      </c>
      <c r="K14" s="8"/>
      <c r="L14" s="9"/>
      <c r="M14" s="9"/>
      <c r="N14" s="48"/>
      <c r="O14" s="21" t="str">
        <f t="shared" si="1"/>
        <v/>
      </c>
      <c r="P14" s="8"/>
      <c r="Q14" s="9"/>
      <c r="R14" s="9"/>
      <c r="S14" s="48"/>
      <c r="T14" s="21" t="str">
        <f t="shared" si="2"/>
        <v/>
      </c>
      <c r="U14" s="53" t="str">
        <f>IF($J14="","",ROUND(($J14-$J$3)/1000,1)+(_xlfn.RANK.AVG($J14,($J14,$O14,$T14),1)-2)*0)</f>
        <v/>
      </c>
      <c r="V14" s="54" t="str">
        <f>IF($O14="","",ROUND(($O14-$O$3)/1000,1)+(_xlfn.RANK.AVG($O14,($J14,$O14,$T14),1)-2)*0)</f>
        <v/>
      </c>
      <c r="W14" s="55" t="str">
        <f>IF($T14="","",ROUND(($T14-$T$3)/1000,1)+(_xlfn.RANK.AVG($T14,($J14,$O14,$T14),1)-2)*0)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3"/>
        <v/>
      </c>
      <c r="B15" s="18" t="str">
        <f t="shared" si="4"/>
        <v/>
      </c>
      <c r="C15" s="18" t="str">
        <f t="shared" si="5"/>
        <v/>
      </c>
      <c r="D15" s="18" t="str">
        <f t="shared" si="6"/>
        <v/>
      </c>
      <c r="E15" s="4"/>
      <c r="F15" s="8"/>
      <c r="G15" s="9"/>
      <c r="H15" s="9"/>
      <c r="I15" s="48"/>
      <c r="J15" s="21" t="str">
        <f t="shared" si="0"/>
        <v/>
      </c>
      <c r="K15" s="8"/>
      <c r="L15" s="9"/>
      <c r="M15" s="9"/>
      <c r="N15" s="48"/>
      <c r="O15" s="21" t="str">
        <f t="shared" si="1"/>
        <v/>
      </c>
      <c r="P15" s="8"/>
      <c r="Q15" s="9"/>
      <c r="R15" s="9"/>
      <c r="S15" s="48"/>
      <c r="T15" s="21" t="str">
        <f t="shared" si="2"/>
        <v/>
      </c>
      <c r="U15" s="53" t="str">
        <f>IF($J15="","",ROUND(($J15-$J$3)/1000,1)+(_xlfn.RANK.AVG($J15,($J15,$O15,$T15),1)-2)*0)</f>
        <v/>
      </c>
      <c r="V15" s="54" t="str">
        <f>IF($O15="","",ROUND(($O15-$O$3)/1000,1)+(_xlfn.RANK.AVG($O15,($J15,$O15,$T15),1)-2)*0)</f>
        <v/>
      </c>
      <c r="W15" s="55" t="str">
        <f>IF($T15="","",ROUND(($T15-$T$3)/1000,1)+(_xlfn.RANK.AVG($T15,($J15,$O15,$T15),1)-2)*0)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3"/>
        <v/>
      </c>
      <c r="B16" s="18" t="str">
        <f t="shared" si="4"/>
        <v/>
      </c>
      <c r="C16" s="18" t="str">
        <f t="shared" si="5"/>
        <v/>
      </c>
      <c r="D16" s="18" t="str">
        <f t="shared" si="6"/>
        <v/>
      </c>
      <c r="E16" s="4"/>
      <c r="F16" s="8"/>
      <c r="G16" s="9"/>
      <c r="H16" s="9"/>
      <c r="I16" s="48"/>
      <c r="J16" s="21" t="str">
        <f t="shared" si="0"/>
        <v/>
      </c>
      <c r="K16" s="8"/>
      <c r="L16" s="9"/>
      <c r="M16" s="9"/>
      <c r="N16" s="48"/>
      <c r="O16" s="21" t="str">
        <f t="shared" si="1"/>
        <v/>
      </c>
      <c r="P16" s="8"/>
      <c r="Q16" s="9"/>
      <c r="R16" s="9"/>
      <c r="S16" s="48"/>
      <c r="T16" s="21" t="str">
        <f t="shared" si="2"/>
        <v/>
      </c>
      <c r="U16" s="53" t="str">
        <f>IF($J16="","",ROUND(($J16-$J$3)/1000,1)+(_xlfn.RANK.AVG($J16,($J16,$O16,$T16),1)-2)*0)</f>
        <v/>
      </c>
      <c r="V16" s="54" t="str">
        <f>IF($O16="","",ROUND(($O16-$O$3)/1000,1)+(_xlfn.RANK.AVG($O16,($J16,$O16,$T16),1)-2)*0)</f>
        <v/>
      </c>
      <c r="W16" s="55" t="str">
        <f>IF($T16="","",ROUND(($T16-$T$3)/1000,1)+(_xlfn.RANK.AVG($T16,($J16,$O16,$T16),1)-2)*0)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3"/>
        <v/>
      </c>
      <c r="B17" s="18" t="str">
        <f t="shared" si="4"/>
        <v/>
      </c>
      <c r="C17" s="18" t="str">
        <f t="shared" si="5"/>
        <v/>
      </c>
      <c r="D17" s="18" t="str">
        <f t="shared" si="6"/>
        <v/>
      </c>
      <c r="E17" s="4"/>
      <c r="F17" s="8"/>
      <c r="G17" s="9"/>
      <c r="H17" s="9"/>
      <c r="I17" s="48"/>
      <c r="J17" s="21" t="str">
        <f t="shared" si="0"/>
        <v/>
      </c>
      <c r="K17" s="8"/>
      <c r="L17" s="9"/>
      <c r="M17" s="9"/>
      <c r="N17" s="48"/>
      <c r="O17" s="21" t="str">
        <f t="shared" si="1"/>
        <v/>
      </c>
      <c r="P17" s="8"/>
      <c r="Q17" s="9"/>
      <c r="R17" s="9"/>
      <c r="S17" s="48"/>
      <c r="T17" s="21" t="str">
        <f t="shared" si="2"/>
        <v/>
      </c>
      <c r="U17" s="53" t="str">
        <f>IF($J17="","",ROUND(($J17-$J$3)/1000,1)+(_xlfn.RANK.AVG($J17,($J17,$O17,$T17),1)-2)*0)</f>
        <v/>
      </c>
      <c r="V17" s="54" t="str">
        <f>IF($O17="","",ROUND(($O17-$O$3)/1000,1)+(_xlfn.RANK.AVG($O17,($J17,$O17,$T17),1)-2)*0)</f>
        <v/>
      </c>
      <c r="W17" s="55" t="str">
        <f>IF($T17="","",ROUND(($T17-$T$3)/1000,1)+(_xlfn.RANK.AVG($T17,($J17,$O17,$T17),1)-2)*0)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3"/>
        <v/>
      </c>
      <c r="B18" s="18" t="str">
        <f t="shared" si="4"/>
        <v/>
      </c>
      <c r="C18" s="18" t="str">
        <f t="shared" si="5"/>
        <v/>
      </c>
      <c r="D18" s="18" t="str">
        <f t="shared" si="6"/>
        <v/>
      </c>
      <c r="E18" s="4"/>
      <c r="F18" s="8"/>
      <c r="G18" s="9"/>
      <c r="H18" s="9"/>
      <c r="I18" s="48"/>
      <c r="J18" s="21" t="str">
        <f t="shared" si="0"/>
        <v/>
      </c>
      <c r="K18" s="8"/>
      <c r="L18" s="9"/>
      <c r="M18" s="9"/>
      <c r="N18" s="48"/>
      <c r="O18" s="21" t="str">
        <f t="shared" si="1"/>
        <v/>
      </c>
      <c r="P18" s="8"/>
      <c r="Q18" s="9"/>
      <c r="R18" s="9"/>
      <c r="S18" s="48"/>
      <c r="T18" s="21" t="str">
        <f t="shared" si="2"/>
        <v/>
      </c>
      <c r="U18" s="53" t="str">
        <f>IF($J18="","",ROUND(($J18-$J$3)/1000,1)+(_xlfn.RANK.AVG($J18,($J18,$O18,$T18),1)-2)*0)</f>
        <v/>
      </c>
      <c r="V18" s="54" t="str">
        <f>IF($O18="","",ROUND(($O18-$O$3)/1000,1)+(_xlfn.RANK.AVG($O18,($J18,$O18,$T18),1)-2)*0)</f>
        <v/>
      </c>
      <c r="W18" s="55" t="str">
        <f>IF($T18="","",ROUND(($T18-$T$3)/1000,1)+(_xlfn.RANK.AVG($T18,($J18,$O18,$T18),1)-2)*0)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3"/>
        <v/>
      </c>
      <c r="B19" s="18" t="str">
        <f t="shared" si="4"/>
        <v/>
      </c>
      <c r="C19" s="18" t="str">
        <f t="shared" si="5"/>
        <v/>
      </c>
      <c r="D19" s="18" t="str">
        <f t="shared" si="6"/>
        <v/>
      </c>
      <c r="E19" s="4"/>
      <c r="F19" s="8"/>
      <c r="G19" s="9"/>
      <c r="H19" s="9"/>
      <c r="I19" s="48"/>
      <c r="J19" s="21" t="str">
        <f t="shared" si="0"/>
        <v/>
      </c>
      <c r="K19" s="8"/>
      <c r="L19" s="9"/>
      <c r="M19" s="9"/>
      <c r="N19" s="48"/>
      <c r="O19" s="21" t="str">
        <f t="shared" si="1"/>
        <v/>
      </c>
      <c r="P19" s="8"/>
      <c r="Q19" s="9"/>
      <c r="R19" s="9"/>
      <c r="S19" s="48"/>
      <c r="T19" s="21" t="str">
        <f t="shared" si="2"/>
        <v/>
      </c>
      <c r="U19" s="53" t="str">
        <f>IF($J19="","",ROUND(($J19-$J$3)/1000,1)+(_xlfn.RANK.AVG($J19,($J19,$O19,$T19),1)-2)*0)</f>
        <v/>
      </c>
      <c r="V19" s="54" t="str">
        <f>IF($O19="","",ROUND(($O19-$O$3)/1000,1)+(_xlfn.RANK.AVG($O19,($J19,$O19,$T19),1)-2)*0)</f>
        <v/>
      </c>
      <c r="W19" s="55" t="str">
        <f>IF($T19="","",ROUND(($T19-$T$3)/1000,1)+(_xlfn.RANK.AVG($T19,($J19,$O19,$T19),1)-2)*0)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3"/>
        <v/>
      </c>
      <c r="B20" s="18" t="str">
        <f t="shared" si="4"/>
        <v/>
      </c>
      <c r="C20" s="18" t="str">
        <f t="shared" si="5"/>
        <v/>
      </c>
      <c r="D20" s="18" t="str">
        <f t="shared" si="6"/>
        <v/>
      </c>
      <c r="E20" s="4"/>
      <c r="F20" s="8"/>
      <c r="G20" s="9"/>
      <c r="H20" s="9"/>
      <c r="I20" s="48"/>
      <c r="J20" s="21" t="str">
        <f t="shared" si="0"/>
        <v/>
      </c>
      <c r="K20" s="8"/>
      <c r="L20" s="9"/>
      <c r="M20" s="9"/>
      <c r="N20" s="48"/>
      <c r="O20" s="21" t="str">
        <f t="shared" si="1"/>
        <v/>
      </c>
      <c r="P20" s="8"/>
      <c r="Q20" s="9"/>
      <c r="R20" s="9"/>
      <c r="S20" s="48"/>
      <c r="T20" s="21" t="str">
        <f t="shared" si="2"/>
        <v/>
      </c>
      <c r="U20" s="53" t="str">
        <f>IF($J20="","",ROUND(($J20-$J$3)/1000,1)+(_xlfn.RANK.AVG($J20,($J20,$O20,$T20),1)-2)*0)</f>
        <v/>
      </c>
      <c r="V20" s="54" t="str">
        <f>IF($O20="","",ROUND(($O20-$O$3)/1000,1)+(_xlfn.RANK.AVG($O20,($J20,$O20,$T20),1)-2)*0)</f>
        <v/>
      </c>
      <c r="W20" s="55" t="str">
        <f>IF($T20="","",ROUND(($T20-$T$3)/1000,1)+(_xlfn.RANK.AVG($T20,($J20,$O20,$T20),1)-2)*0)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3"/>
        <v/>
      </c>
      <c r="B21" s="18" t="str">
        <f t="shared" si="4"/>
        <v/>
      </c>
      <c r="C21" s="18" t="str">
        <f t="shared" si="5"/>
        <v/>
      </c>
      <c r="D21" s="18" t="str">
        <f t="shared" si="6"/>
        <v/>
      </c>
      <c r="E21" s="4"/>
      <c r="F21" s="8"/>
      <c r="G21" s="9"/>
      <c r="H21" s="9"/>
      <c r="I21" s="48"/>
      <c r="J21" s="21" t="str">
        <f t="shared" si="0"/>
        <v/>
      </c>
      <c r="K21" s="8"/>
      <c r="L21" s="9"/>
      <c r="M21" s="9"/>
      <c r="N21" s="48"/>
      <c r="O21" s="21" t="str">
        <f t="shared" si="1"/>
        <v/>
      </c>
      <c r="P21" s="8"/>
      <c r="Q21" s="9"/>
      <c r="R21" s="9"/>
      <c r="S21" s="48"/>
      <c r="T21" s="21" t="str">
        <f t="shared" si="2"/>
        <v/>
      </c>
      <c r="U21" s="53" t="str">
        <f>IF($J21="","",ROUND(($J21-$J$3)/1000,1)+(_xlfn.RANK.AVG($J21,($J21,$O21,$T21),1)-2)*0)</f>
        <v/>
      </c>
      <c r="V21" s="54" t="str">
        <f>IF($O21="","",ROUND(($O21-$O$3)/1000,1)+(_xlfn.RANK.AVG($O21,($J21,$O21,$T21),1)-2)*0)</f>
        <v/>
      </c>
      <c r="W21" s="55" t="str">
        <f>IF($T21="","",ROUND(($T21-$T$3)/1000,1)+(_xlfn.RANK.AVG($T21,($J21,$O21,$T21),1)-2)*0)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3"/>
        <v/>
      </c>
      <c r="B22" s="18" t="str">
        <f t="shared" si="4"/>
        <v/>
      </c>
      <c r="C22" s="18" t="str">
        <f t="shared" si="5"/>
        <v/>
      </c>
      <c r="D22" s="18" t="str">
        <f t="shared" si="6"/>
        <v/>
      </c>
      <c r="E22" s="4"/>
      <c r="F22" s="8"/>
      <c r="G22" s="9"/>
      <c r="H22" s="9"/>
      <c r="I22" s="48"/>
      <c r="J22" s="21" t="str">
        <f t="shared" si="0"/>
        <v/>
      </c>
      <c r="K22" s="8"/>
      <c r="L22" s="9"/>
      <c r="M22" s="9"/>
      <c r="N22" s="48"/>
      <c r="O22" s="21" t="str">
        <f t="shared" si="1"/>
        <v/>
      </c>
      <c r="P22" s="8"/>
      <c r="Q22" s="9"/>
      <c r="R22" s="9"/>
      <c r="S22" s="48"/>
      <c r="T22" s="21" t="str">
        <f t="shared" si="2"/>
        <v/>
      </c>
      <c r="U22" s="53" t="str">
        <f>IF($J22="","",ROUND(($J22-$J$3)/1000,1)+(_xlfn.RANK.AVG($J22,($J22,$O22,$T22),1)-2)*0)</f>
        <v/>
      </c>
      <c r="V22" s="54" t="str">
        <f>IF($O22="","",ROUND(($O22-$O$3)/1000,1)+(_xlfn.RANK.AVG($O22,($J22,$O22,$T22),1)-2)*0)</f>
        <v/>
      </c>
      <c r="W22" s="55" t="str">
        <f>IF($T22="","",ROUND(($T22-$T$3)/1000,1)+(_xlfn.RANK.AVG($T22,($J22,$O22,$T22),1)-2)*0)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3"/>
        <v/>
      </c>
      <c r="B23" s="18" t="str">
        <f t="shared" si="4"/>
        <v/>
      </c>
      <c r="C23" s="18" t="str">
        <f t="shared" si="5"/>
        <v/>
      </c>
      <c r="D23" s="18" t="str">
        <f t="shared" si="6"/>
        <v/>
      </c>
      <c r="E23" s="4"/>
      <c r="F23" s="8"/>
      <c r="G23" s="9"/>
      <c r="H23" s="9"/>
      <c r="I23" s="48"/>
      <c r="J23" s="21" t="str">
        <f t="shared" si="0"/>
        <v/>
      </c>
      <c r="K23" s="8"/>
      <c r="L23" s="9"/>
      <c r="M23" s="9"/>
      <c r="N23" s="48"/>
      <c r="O23" s="21" t="str">
        <f t="shared" si="1"/>
        <v/>
      </c>
      <c r="P23" s="8"/>
      <c r="Q23" s="9"/>
      <c r="R23" s="9"/>
      <c r="S23" s="48"/>
      <c r="T23" s="21" t="str">
        <f t="shared" si="2"/>
        <v/>
      </c>
      <c r="U23" s="53" t="str">
        <f>IF($J23="","",ROUND(($J23-$J$3)/1000,1)+(_xlfn.RANK.AVG($J23,($J23,$O23,$T23),1)-2)*0)</f>
        <v/>
      </c>
      <c r="V23" s="54" t="str">
        <f>IF($O23="","",ROUND(($O23-$O$3)/1000,1)+(_xlfn.RANK.AVG($O23,($J23,$O23,$T23),1)-2)*0)</f>
        <v/>
      </c>
      <c r="W23" s="55" t="str">
        <f>IF($T23="","",ROUND(($T23-$T$3)/1000,1)+(_xlfn.RANK.AVG($T23,($J23,$O23,$T23),1)-2)*0)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3"/>
        <v/>
      </c>
      <c r="B24" s="18" t="str">
        <f t="shared" si="4"/>
        <v/>
      </c>
      <c r="C24" s="18" t="str">
        <f t="shared" si="5"/>
        <v/>
      </c>
      <c r="D24" s="18" t="str">
        <f t="shared" si="6"/>
        <v/>
      </c>
      <c r="E24" s="4"/>
      <c r="F24" s="8"/>
      <c r="G24" s="9"/>
      <c r="H24" s="9"/>
      <c r="I24" s="48"/>
      <c r="J24" s="21" t="str">
        <f t="shared" si="0"/>
        <v/>
      </c>
      <c r="K24" s="8"/>
      <c r="L24" s="9"/>
      <c r="M24" s="9"/>
      <c r="N24" s="48"/>
      <c r="O24" s="21" t="str">
        <f t="shared" si="1"/>
        <v/>
      </c>
      <c r="P24" s="8"/>
      <c r="Q24" s="9"/>
      <c r="R24" s="9"/>
      <c r="S24" s="48"/>
      <c r="T24" s="21" t="str">
        <f t="shared" si="2"/>
        <v/>
      </c>
      <c r="U24" s="53" t="str">
        <f>IF($J24="","",ROUND(($J24-$J$3)/1000,1)+(_xlfn.RANK.AVG($J24,($J24,$O24,$T24),1)-2)*0)</f>
        <v/>
      </c>
      <c r="V24" s="54" t="str">
        <f>IF($O24="","",ROUND(($O24-$O$3)/1000,1)+(_xlfn.RANK.AVG($O24,($J24,$O24,$T24),1)-2)*0)</f>
        <v/>
      </c>
      <c r="W24" s="55" t="str">
        <f>IF($T24="","",ROUND(($T24-$T$3)/1000,1)+(_xlfn.RANK.AVG($T24,($J24,$O24,$T24),1)-2)*0)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3"/>
        <v/>
      </c>
      <c r="B25" s="18" t="str">
        <f t="shared" si="4"/>
        <v/>
      </c>
      <c r="C25" s="18" t="str">
        <f t="shared" si="5"/>
        <v/>
      </c>
      <c r="D25" s="18" t="str">
        <f t="shared" si="6"/>
        <v/>
      </c>
      <c r="E25" s="4"/>
      <c r="F25" s="8"/>
      <c r="G25" s="9"/>
      <c r="H25" s="9"/>
      <c r="I25" s="48"/>
      <c r="J25" s="21" t="str">
        <f t="shared" si="0"/>
        <v/>
      </c>
      <c r="K25" s="8"/>
      <c r="L25" s="9"/>
      <c r="M25" s="9"/>
      <c r="N25" s="48"/>
      <c r="O25" s="21" t="str">
        <f t="shared" si="1"/>
        <v/>
      </c>
      <c r="P25" s="8"/>
      <c r="Q25" s="9"/>
      <c r="R25" s="9"/>
      <c r="S25" s="48"/>
      <c r="T25" s="21" t="str">
        <f t="shared" si="2"/>
        <v/>
      </c>
      <c r="U25" s="53" t="str">
        <f>IF($J25="","",ROUND(($J25-$J$3)/1000,1)+(_xlfn.RANK.AVG($J25,($J25,$O25,$T25),1)-2)*0)</f>
        <v/>
      </c>
      <c r="V25" s="54" t="str">
        <f>IF($O25="","",ROUND(($O25-$O$3)/1000,1)+(_xlfn.RANK.AVG($O25,($J25,$O25,$T25),1)-2)*0)</f>
        <v/>
      </c>
      <c r="W25" s="55" t="str">
        <f>IF($T25="","",ROUND(($T25-$T$3)/1000,1)+(_xlfn.RANK.AVG($T25,($J25,$O25,$T25),1)-2)*0)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3"/>
        <v/>
      </c>
      <c r="B26" s="18" t="str">
        <f t="shared" si="4"/>
        <v/>
      </c>
      <c r="C26" s="18" t="str">
        <f t="shared" si="5"/>
        <v/>
      </c>
      <c r="D26" s="18" t="str">
        <f t="shared" si="6"/>
        <v/>
      </c>
      <c r="E26" s="4"/>
      <c r="F26" s="8"/>
      <c r="G26" s="9"/>
      <c r="H26" s="9"/>
      <c r="I26" s="48"/>
      <c r="J26" s="21" t="str">
        <f t="shared" si="0"/>
        <v/>
      </c>
      <c r="K26" s="8"/>
      <c r="L26" s="9"/>
      <c r="M26" s="9"/>
      <c r="N26" s="48"/>
      <c r="O26" s="21" t="str">
        <f t="shared" si="1"/>
        <v/>
      </c>
      <c r="P26" s="8"/>
      <c r="Q26" s="9"/>
      <c r="R26" s="9"/>
      <c r="S26" s="48"/>
      <c r="T26" s="21" t="str">
        <f t="shared" si="2"/>
        <v/>
      </c>
      <c r="U26" s="53" t="str">
        <f>IF($J26="","",ROUND(($J26-$J$3)/1000,1)+(_xlfn.RANK.AVG($J26,($J26,$O26,$T26),1)-2)*0)</f>
        <v/>
      </c>
      <c r="V26" s="54" t="str">
        <f>IF($O26="","",ROUND(($O26-$O$3)/1000,1)+(_xlfn.RANK.AVG($O26,($J26,$O26,$T26),1)-2)*0)</f>
        <v/>
      </c>
      <c r="W26" s="55" t="str">
        <f>IF($T26="","",ROUND(($T26-$T$3)/1000,1)+(_xlfn.RANK.AVG($T26,($J26,$O26,$T26),1)-2)*0)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3"/>
        <v/>
      </c>
      <c r="B27" s="18" t="str">
        <f t="shared" si="4"/>
        <v/>
      </c>
      <c r="C27" s="18" t="str">
        <f t="shared" si="5"/>
        <v/>
      </c>
      <c r="D27" s="18" t="str">
        <f t="shared" si="6"/>
        <v/>
      </c>
      <c r="E27" s="4"/>
      <c r="F27" s="8"/>
      <c r="G27" s="9"/>
      <c r="H27" s="9"/>
      <c r="I27" s="48"/>
      <c r="J27" s="21" t="str">
        <f t="shared" si="0"/>
        <v/>
      </c>
      <c r="K27" s="8"/>
      <c r="L27" s="9"/>
      <c r="M27" s="9"/>
      <c r="N27" s="48"/>
      <c r="O27" s="21" t="str">
        <f t="shared" si="1"/>
        <v/>
      </c>
      <c r="P27" s="8"/>
      <c r="Q27" s="9"/>
      <c r="R27" s="9"/>
      <c r="S27" s="48"/>
      <c r="T27" s="21" t="str">
        <f t="shared" si="2"/>
        <v/>
      </c>
      <c r="U27" s="53" t="str">
        <f>IF($J27="","",ROUND(($J27-$J$3)/1000,1)+(_xlfn.RANK.AVG($J27,($J27,$O27,$T27),1)-2)*0)</f>
        <v/>
      </c>
      <c r="V27" s="54" t="str">
        <f>IF($O27="","",ROUND(($O27-$O$3)/1000,1)+(_xlfn.RANK.AVG($O27,($J27,$O27,$T27),1)-2)*0)</f>
        <v/>
      </c>
      <c r="W27" s="55" t="str">
        <f>IF($T27="","",ROUND(($T27-$T$3)/1000,1)+(_xlfn.RANK.AVG($T27,($J27,$O27,$T27),1)-2)*0)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3"/>
        <v/>
      </c>
      <c r="B28" s="18" t="str">
        <f t="shared" si="4"/>
        <v/>
      </c>
      <c r="C28" s="18" t="str">
        <f t="shared" si="5"/>
        <v/>
      </c>
      <c r="D28" s="18" t="str">
        <f t="shared" si="6"/>
        <v/>
      </c>
      <c r="E28" s="4"/>
      <c r="F28" s="8"/>
      <c r="G28" s="9"/>
      <c r="H28" s="9"/>
      <c r="I28" s="48"/>
      <c r="J28" s="21" t="str">
        <f t="shared" si="0"/>
        <v/>
      </c>
      <c r="K28" s="8"/>
      <c r="L28" s="9"/>
      <c r="M28" s="9"/>
      <c r="N28" s="48"/>
      <c r="O28" s="21" t="str">
        <f t="shared" si="1"/>
        <v/>
      </c>
      <c r="P28" s="8"/>
      <c r="Q28" s="9"/>
      <c r="R28" s="9"/>
      <c r="S28" s="48"/>
      <c r="T28" s="21" t="str">
        <f t="shared" si="2"/>
        <v/>
      </c>
      <c r="U28" s="53" t="str">
        <f>IF($J28="","",ROUND(($J28-$J$3)/1000,1)+(_xlfn.RANK.AVG($J28,($J28,$O28,$T28),1)-2)*0)</f>
        <v/>
      </c>
      <c r="V28" s="54" t="str">
        <f>IF($O28="","",ROUND(($O28-$O$3)/1000,1)+(_xlfn.RANK.AVG($O28,($J28,$O28,$T28),1)-2)*0)</f>
        <v/>
      </c>
      <c r="W28" s="55" t="str">
        <f>IF($T28="","",ROUND(($T28-$T$3)/1000,1)+(_xlfn.RANK.AVG($T28,($J28,$O28,$T28),1)-2)*0)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3"/>
        <v/>
      </c>
      <c r="B29" s="18" t="str">
        <f t="shared" si="4"/>
        <v/>
      </c>
      <c r="C29" s="18" t="str">
        <f t="shared" si="5"/>
        <v/>
      </c>
      <c r="D29" s="18" t="str">
        <f t="shared" si="6"/>
        <v/>
      </c>
      <c r="E29" s="4"/>
      <c r="F29" s="8"/>
      <c r="G29" s="9"/>
      <c r="H29" s="9"/>
      <c r="I29" s="48"/>
      <c r="J29" s="21" t="str">
        <f t="shared" si="0"/>
        <v/>
      </c>
      <c r="K29" s="8"/>
      <c r="L29" s="9"/>
      <c r="M29" s="9"/>
      <c r="N29" s="48"/>
      <c r="O29" s="21" t="str">
        <f t="shared" si="1"/>
        <v/>
      </c>
      <c r="P29" s="8"/>
      <c r="Q29" s="9"/>
      <c r="R29" s="9"/>
      <c r="S29" s="48"/>
      <c r="T29" s="21" t="str">
        <f t="shared" si="2"/>
        <v/>
      </c>
      <c r="U29" s="53" t="str">
        <f>IF($J29="","",ROUND(($J29-$J$3)/1000,1)+(_xlfn.RANK.AVG($J29,($J29,$O29,$T29),1)-2)*0)</f>
        <v/>
      </c>
      <c r="V29" s="54" t="str">
        <f>IF($O29="","",ROUND(($O29-$O$3)/1000,1)+(_xlfn.RANK.AVG($O29,($J29,$O29,$T29),1)-2)*0)</f>
        <v/>
      </c>
      <c r="W29" s="55" t="str">
        <f>IF($T29="","",ROUND(($T29-$T$3)/1000,1)+(_xlfn.RANK.AVG($T29,($J29,$O29,$T29),1)-2)*0)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3"/>
        <v/>
      </c>
      <c r="B30" s="19" t="str">
        <f t="shared" si="4"/>
        <v/>
      </c>
      <c r="C30" s="19" t="str">
        <f t="shared" si="5"/>
        <v/>
      </c>
      <c r="D30" s="19" t="str">
        <f t="shared" si="6"/>
        <v/>
      </c>
      <c r="E30" s="5"/>
      <c r="F30" s="10"/>
      <c r="G30" s="11"/>
      <c r="H30" s="11"/>
      <c r="I30" s="49"/>
      <c r="J30" s="22" t="str">
        <f t="shared" si="0"/>
        <v/>
      </c>
      <c r="K30" s="10"/>
      <c r="L30" s="11"/>
      <c r="M30" s="11"/>
      <c r="N30" s="49"/>
      <c r="O30" s="22" t="str">
        <f t="shared" si="1"/>
        <v/>
      </c>
      <c r="P30" s="10"/>
      <c r="Q30" s="11"/>
      <c r="R30" s="11"/>
      <c r="S30" s="49"/>
      <c r="T30" s="22" t="str">
        <f t="shared" si="2"/>
        <v/>
      </c>
      <c r="U30" s="56" t="str">
        <f>IF($J30="","",ROUND(($J30-$J$3)/1000,1)+(_xlfn.RANK.AVG($J30,($J30,$O30,$T30),1)-2)*0)</f>
        <v/>
      </c>
      <c r="V30" s="57" t="str">
        <f>IF($O30="","",ROUND(($O30-$O$3)/1000,1)+(_xlfn.RANK.AVG($O30,($J30,$O30,$T30),1)-2)*0)</f>
        <v/>
      </c>
      <c r="W30" s="58" t="str">
        <f>IF($T30="","",ROUND(($T30-$T$3)/1000,1)+(_xlfn.RANK.AVG($T30,($J30,$O30,$T30),1)-2)*0)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C002C881-310B-4AA1-AC7F-E5F28178F0F4}">
      <formula1>"ロン,ツモ,放銃,ツモ支払,流局,チョンボ"</formula1>
    </dataValidation>
    <dataValidation type="list" allowBlank="1" showInputMessage="1" showErrorMessage="1" sqref="E4:E30" xr:uid="{FDE538A1-4B9F-4B49-891F-4B8E0E869576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3"/>
  <sheetViews>
    <sheetView workbookViewId="0"/>
  </sheetViews>
  <sheetFormatPr defaultRowHeight="18.75" x14ac:dyDescent="0.4"/>
  <cols>
    <col min="1" max="1" width="9" style="36" customWidth="1"/>
    <col min="2" max="2" width="19.25" style="15" bestFit="1" customWidth="1"/>
    <col min="3" max="4" width="6.5" style="15" customWidth="1"/>
  </cols>
  <sheetData>
    <row r="1" spans="1:4" x14ac:dyDescent="0.4">
      <c r="A1" s="36" t="s">
        <v>27</v>
      </c>
      <c r="B1" s="15" t="s">
        <v>28</v>
      </c>
      <c r="C1" s="15" t="s">
        <v>29</v>
      </c>
      <c r="D1" s="15" t="s">
        <v>30</v>
      </c>
    </row>
    <row r="2" spans="1:4" x14ac:dyDescent="0.4">
      <c r="A2" s="36" t="s">
        <v>77</v>
      </c>
      <c r="B2" s="15" t="s">
        <v>132</v>
      </c>
      <c r="C2" s="15">
        <v>1</v>
      </c>
    </row>
    <row r="3" spans="1:4" x14ac:dyDescent="0.4">
      <c r="A3" s="36" t="s">
        <v>78</v>
      </c>
      <c r="B3" s="15" t="s">
        <v>31</v>
      </c>
      <c r="C3" s="15">
        <v>1</v>
      </c>
    </row>
    <row r="4" spans="1:4" x14ac:dyDescent="0.4">
      <c r="A4" s="36" t="s">
        <v>79</v>
      </c>
      <c r="B4" s="15" t="s">
        <v>32</v>
      </c>
      <c r="C4" s="15">
        <v>1</v>
      </c>
      <c r="D4" s="15">
        <v>1</v>
      </c>
    </row>
    <row r="5" spans="1:4" x14ac:dyDescent="0.4">
      <c r="A5" s="36" t="s">
        <v>80</v>
      </c>
      <c r="B5" s="15" t="s">
        <v>33</v>
      </c>
      <c r="C5" s="15">
        <v>1</v>
      </c>
    </row>
    <row r="6" spans="1:4" x14ac:dyDescent="0.4">
      <c r="A6" s="36" t="s">
        <v>81</v>
      </c>
      <c r="B6" s="15" t="s">
        <v>34</v>
      </c>
      <c r="C6" s="15">
        <v>1</v>
      </c>
      <c r="D6" s="15">
        <v>1</v>
      </c>
    </row>
    <row r="7" spans="1:4" x14ac:dyDescent="0.4">
      <c r="A7" s="36" t="s">
        <v>82</v>
      </c>
      <c r="B7" s="15" t="s">
        <v>35</v>
      </c>
      <c r="C7" s="15">
        <v>1</v>
      </c>
    </row>
    <row r="8" spans="1:4" x14ac:dyDescent="0.4">
      <c r="A8" s="36" t="s">
        <v>83</v>
      </c>
      <c r="B8" s="15" t="s">
        <v>36</v>
      </c>
      <c r="C8" s="15">
        <v>1</v>
      </c>
    </row>
    <row r="9" spans="1:4" x14ac:dyDescent="0.4">
      <c r="A9" s="36" t="s">
        <v>84</v>
      </c>
      <c r="B9" s="15" t="s">
        <v>37</v>
      </c>
      <c r="C9" s="15">
        <v>1</v>
      </c>
    </row>
    <row r="10" spans="1:4" x14ac:dyDescent="0.4">
      <c r="A10" s="36" t="s">
        <v>85</v>
      </c>
      <c r="B10" s="15" t="s">
        <v>129</v>
      </c>
      <c r="C10" s="15">
        <v>1</v>
      </c>
      <c r="D10" s="15">
        <v>1</v>
      </c>
    </row>
    <row r="11" spans="1:4" x14ac:dyDescent="0.4">
      <c r="A11" s="36" t="s">
        <v>86</v>
      </c>
      <c r="B11" s="15" t="s">
        <v>38</v>
      </c>
      <c r="C11" s="15">
        <v>1</v>
      </c>
      <c r="D11" s="15">
        <v>1</v>
      </c>
    </row>
    <row r="12" spans="1:4" x14ac:dyDescent="0.4">
      <c r="A12" s="36" t="s">
        <v>87</v>
      </c>
      <c r="B12" s="15" t="s">
        <v>39</v>
      </c>
      <c r="C12" s="15">
        <v>1</v>
      </c>
      <c r="D12" s="15">
        <v>1</v>
      </c>
    </row>
    <row r="13" spans="1:4" x14ac:dyDescent="0.4">
      <c r="A13" s="36" t="s">
        <v>88</v>
      </c>
      <c r="B13" s="15" t="s">
        <v>40</v>
      </c>
      <c r="C13" s="15">
        <v>1</v>
      </c>
      <c r="D13" s="15">
        <v>1</v>
      </c>
    </row>
    <row r="14" spans="1:4" x14ac:dyDescent="0.4">
      <c r="A14" s="36" t="s">
        <v>89</v>
      </c>
      <c r="B14" s="15" t="s">
        <v>41</v>
      </c>
      <c r="C14" s="15">
        <v>1</v>
      </c>
      <c r="D14" s="15">
        <v>1</v>
      </c>
    </row>
    <row r="15" spans="1:4" x14ac:dyDescent="0.4">
      <c r="A15" s="36" t="s">
        <v>90</v>
      </c>
      <c r="B15" s="15" t="s">
        <v>42</v>
      </c>
      <c r="C15" s="15">
        <v>1</v>
      </c>
      <c r="D15" s="15">
        <v>1</v>
      </c>
    </row>
    <row r="16" spans="1:4" x14ac:dyDescent="0.4">
      <c r="A16" s="36" t="s">
        <v>91</v>
      </c>
      <c r="B16" s="15" t="s">
        <v>43</v>
      </c>
      <c r="C16" s="15">
        <v>2</v>
      </c>
    </row>
    <row r="17" spans="1:4" x14ac:dyDescent="0.4">
      <c r="A17" s="36" t="s">
        <v>92</v>
      </c>
      <c r="B17" s="15" t="s">
        <v>44</v>
      </c>
      <c r="C17" s="15">
        <v>2</v>
      </c>
      <c r="D17" s="15">
        <v>1</v>
      </c>
    </row>
    <row r="18" spans="1:4" x14ac:dyDescent="0.4">
      <c r="A18" s="36" t="s">
        <v>93</v>
      </c>
      <c r="B18" s="15" t="s">
        <v>131</v>
      </c>
      <c r="C18" s="15">
        <v>2</v>
      </c>
      <c r="D18" s="15">
        <v>1</v>
      </c>
    </row>
    <row r="19" spans="1:4" x14ac:dyDescent="0.4">
      <c r="A19" s="36" t="s">
        <v>94</v>
      </c>
      <c r="B19" s="15" t="s">
        <v>45</v>
      </c>
      <c r="C19" s="15">
        <v>2</v>
      </c>
      <c r="D19" s="15">
        <v>1</v>
      </c>
    </row>
    <row r="20" spans="1:4" x14ac:dyDescent="0.4">
      <c r="A20" s="36" t="s">
        <v>95</v>
      </c>
      <c r="B20" s="15" t="s">
        <v>46</v>
      </c>
      <c r="C20" s="15">
        <v>2</v>
      </c>
      <c r="D20" s="15">
        <v>2</v>
      </c>
    </row>
    <row r="21" spans="1:4" x14ac:dyDescent="0.4">
      <c r="A21" s="36" t="s">
        <v>96</v>
      </c>
      <c r="B21" s="15" t="s">
        <v>47</v>
      </c>
      <c r="C21" s="15">
        <v>2</v>
      </c>
      <c r="D21" s="15">
        <v>2</v>
      </c>
    </row>
    <row r="22" spans="1:4" x14ac:dyDescent="0.4">
      <c r="A22" s="36" t="s">
        <v>97</v>
      </c>
      <c r="B22" s="15" t="s">
        <v>48</v>
      </c>
      <c r="C22" s="15">
        <v>2</v>
      </c>
      <c r="D22" s="15">
        <v>2</v>
      </c>
    </row>
    <row r="23" spans="1:4" x14ac:dyDescent="0.4">
      <c r="A23" s="36" t="s">
        <v>98</v>
      </c>
      <c r="B23" s="15" t="s">
        <v>49</v>
      </c>
      <c r="C23" s="15">
        <v>2</v>
      </c>
      <c r="D23" s="15">
        <v>2</v>
      </c>
    </row>
    <row r="24" spans="1:4" x14ac:dyDescent="0.4">
      <c r="A24" s="36" t="s">
        <v>99</v>
      </c>
      <c r="B24" s="15" t="s">
        <v>50</v>
      </c>
      <c r="C24" s="15">
        <v>2</v>
      </c>
      <c r="D24" s="15">
        <v>2</v>
      </c>
    </row>
    <row r="25" spans="1:4" x14ac:dyDescent="0.4">
      <c r="A25" s="36" t="s">
        <v>100</v>
      </c>
      <c r="B25" s="15" t="s">
        <v>51</v>
      </c>
      <c r="C25" s="15">
        <v>2</v>
      </c>
      <c r="D25" s="15">
        <v>2</v>
      </c>
    </row>
    <row r="26" spans="1:4" x14ac:dyDescent="0.4">
      <c r="A26" s="36" t="s">
        <v>101</v>
      </c>
      <c r="B26" s="15" t="s">
        <v>52</v>
      </c>
      <c r="C26" s="15">
        <v>2</v>
      </c>
    </row>
    <row r="27" spans="1:4" x14ac:dyDescent="0.4">
      <c r="A27" s="36" t="s">
        <v>102</v>
      </c>
      <c r="B27" s="15" t="s">
        <v>53</v>
      </c>
      <c r="C27" s="15">
        <v>3</v>
      </c>
    </row>
    <row r="28" spans="1:4" x14ac:dyDescent="0.4">
      <c r="A28" s="36" t="s">
        <v>103</v>
      </c>
      <c r="B28" s="15" t="s">
        <v>130</v>
      </c>
      <c r="C28" s="15">
        <v>3</v>
      </c>
      <c r="D28" s="15">
        <v>2</v>
      </c>
    </row>
    <row r="29" spans="1:4" x14ac:dyDescent="0.4">
      <c r="A29" s="36" t="s">
        <v>104</v>
      </c>
      <c r="B29" s="15" t="s">
        <v>54</v>
      </c>
      <c r="C29" s="15">
        <v>3</v>
      </c>
      <c r="D29" s="15">
        <v>2</v>
      </c>
    </row>
    <row r="30" spans="1:4" x14ac:dyDescent="0.4">
      <c r="A30" s="36" t="s">
        <v>105</v>
      </c>
      <c r="B30" s="15" t="s">
        <v>55</v>
      </c>
      <c r="C30" s="15">
        <v>5</v>
      </c>
    </row>
    <row r="31" spans="1:4" x14ac:dyDescent="0.4">
      <c r="A31" s="36" t="s">
        <v>106</v>
      </c>
      <c r="B31" s="15" t="s">
        <v>56</v>
      </c>
      <c r="C31" s="15">
        <v>6</v>
      </c>
      <c r="D31" s="15">
        <v>5</v>
      </c>
    </row>
    <row r="32" spans="1:4" x14ac:dyDescent="0.4">
      <c r="A32" s="36" t="s">
        <v>107</v>
      </c>
      <c r="B32" s="15" t="s">
        <v>57</v>
      </c>
      <c r="C32" s="15">
        <v>13</v>
      </c>
    </row>
    <row r="33" spans="1:4" x14ac:dyDescent="0.4">
      <c r="A33" s="36" t="s">
        <v>108</v>
      </c>
      <c r="B33" s="15" t="s">
        <v>58</v>
      </c>
      <c r="C33" s="15">
        <v>13</v>
      </c>
    </row>
    <row r="34" spans="1:4" x14ac:dyDescent="0.4">
      <c r="A34" s="36" t="s">
        <v>109</v>
      </c>
      <c r="B34" s="15" t="s">
        <v>59</v>
      </c>
      <c r="C34" s="15">
        <v>13</v>
      </c>
      <c r="D34" s="15">
        <v>13</v>
      </c>
    </row>
    <row r="35" spans="1:4" x14ac:dyDescent="0.4">
      <c r="A35" s="36" t="s">
        <v>110</v>
      </c>
      <c r="B35" s="15" t="s">
        <v>60</v>
      </c>
      <c r="C35" s="15">
        <v>13</v>
      </c>
      <c r="D35" s="15">
        <v>13</v>
      </c>
    </row>
    <row r="36" spans="1:4" x14ac:dyDescent="0.4">
      <c r="A36" s="36" t="s">
        <v>111</v>
      </c>
      <c r="B36" s="15" t="s">
        <v>61</v>
      </c>
      <c r="C36" s="15">
        <v>26</v>
      </c>
      <c r="D36" s="15">
        <v>26</v>
      </c>
    </row>
    <row r="37" spans="1:4" x14ac:dyDescent="0.4">
      <c r="A37" s="36" t="s">
        <v>112</v>
      </c>
      <c r="B37" s="15" t="s">
        <v>62</v>
      </c>
      <c r="C37" s="15">
        <v>13</v>
      </c>
      <c r="D37" s="15">
        <v>13</v>
      </c>
    </row>
    <row r="38" spans="1:4" x14ac:dyDescent="0.4">
      <c r="A38" s="36" t="s">
        <v>113</v>
      </c>
      <c r="B38" s="15" t="s">
        <v>63</v>
      </c>
      <c r="C38" s="15">
        <v>13</v>
      </c>
      <c r="D38" s="15">
        <v>13</v>
      </c>
    </row>
    <row r="39" spans="1:4" x14ac:dyDescent="0.4">
      <c r="A39" s="36" t="s">
        <v>114</v>
      </c>
      <c r="B39" s="15" t="s">
        <v>64</v>
      </c>
      <c r="C39" s="15">
        <v>13</v>
      </c>
      <c r="D39" s="15">
        <v>13</v>
      </c>
    </row>
    <row r="40" spans="1:4" x14ac:dyDescent="0.4">
      <c r="A40" s="36" t="s">
        <v>115</v>
      </c>
      <c r="B40" s="15" t="s">
        <v>65</v>
      </c>
      <c r="C40" s="15">
        <v>13</v>
      </c>
      <c r="D40" s="15">
        <v>13</v>
      </c>
    </row>
    <row r="41" spans="1:4" x14ac:dyDescent="0.4">
      <c r="A41" s="36" t="s">
        <v>116</v>
      </c>
      <c r="B41" s="15" t="s">
        <v>66</v>
      </c>
      <c r="C41" s="15">
        <v>13</v>
      </c>
    </row>
    <row r="42" spans="1:4" x14ac:dyDescent="0.4">
      <c r="A42" s="36" t="s">
        <v>117</v>
      </c>
      <c r="B42" s="15" t="s">
        <v>67</v>
      </c>
      <c r="C42" s="15">
        <v>13</v>
      </c>
    </row>
    <row r="43" spans="1:4" x14ac:dyDescent="0.4">
      <c r="A43" s="36" t="s">
        <v>118</v>
      </c>
      <c r="B43" s="15" t="s">
        <v>68</v>
      </c>
      <c r="C43" s="15">
        <v>13</v>
      </c>
    </row>
    <row r="44" spans="1:4" x14ac:dyDescent="0.4">
      <c r="A44" s="36" t="s">
        <v>119</v>
      </c>
      <c r="B44" s="15" t="s">
        <v>69</v>
      </c>
      <c r="C44" s="15">
        <v>13</v>
      </c>
    </row>
    <row r="45" spans="1:4" x14ac:dyDescent="0.4">
      <c r="A45" s="36" t="s">
        <v>120</v>
      </c>
      <c r="B45" s="15" t="s">
        <v>70</v>
      </c>
      <c r="C45" s="15">
        <v>26</v>
      </c>
    </row>
    <row r="46" spans="1:4" x14ac:dyDescent="0.4">
      <c r="A46" s="36" t="s">
        <v>121</v>
      </c>
      <c r="B46" s="15" t="s">
        <v>71</v>
      </c>
      <c r="C46" s="15">
        <v>26</v>
      </c>
    </row>
    <row r="47" spans="1:4" x14ac:dyDescent="0.4">
      <c r="A47" s="36" t="s">
        <v>122</v>
      </c>
      <c r="B47" s="15" t="s">
        <v>72</v>
      </c>
      <c r="C47" s="15">
        <v>26</v>
      </c>
    </row>
    <row r="48" spans="1:4" x14ac:dyDescent="0.4">
      <c r="A48" s="36" t="s">
        <v>123</v>
      </c>
      <c r="B48" s="15" t="s">
        <v>73</v>
      </c>
      <c r="C48" s="15">
        <v>13</v>
      </c>
    </row>
    <row r="49" spans="1:4" x14ac:dyDescent="0.4">
      <c r="A49" s="36" t="s">
        <v>124</v>
      </c>
      <c r="B49" s="15" t="s">
        <v>74</v>
      </c>
      <c r="C49" s="15">
        <v>13</v>
      </c>
    </row>
    <row r="50" spans="1:4" x14ac:dyDescent="0.4">
      <c r="A50" s="36" t="s">
        <v>125</v>
      </c>
      <c r="B50" s="15" t="s">
        <v>75</v>
      </c>
      <c r="C50" s="15">
        <v>13</v>
      </c>
    </row>
    <row r="51" spans="1:4" x14ac:dyDescent="0.4">
      <c r="A51" s="36" t="s">
        <v>126</v>
      </c>
      <c r="B51" s="15" t="s">
        <v>76</v>
      </c>
      <c r="C51" s="15">
        <v>13</v>
      </c>
    </row>
    <row r="52" spans="1:4" x14ac:dyDescent="0.4">
      <c r="A52" s="36" t="s">
        <v>134</v>
      </c>
      <c r="B52" s="15" t="s">
        <v>135</v>
      </c>
      <c r="C52" s="15">
        <v>2</v>
      </c>
    </row>
    <row r="53" spans="1:4" x14ac:dyDescent="0.4">
      <c r="A53" s="36" t="s">
        <v>136</v>
      </c>
      <c r="B53" s="15" t="s">
        <v>137</v>
      </c>
      <c r="C53" s="15">
        <v>1</v>
      </c>
      <c r="D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2019-04-05T17:31:19Z</dcterms:modified>
</cp:coreProperties>
</file>