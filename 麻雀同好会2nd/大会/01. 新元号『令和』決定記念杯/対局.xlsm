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大会\新元号『令和』決定記念杯\"/>
    </mc:Choice>
  </mc:AlternateContent>
  <xr:revisionPtr revIDLastSave="0" documentId="13_ncr:1_{D932D60E-0D73-4185-B283-E7B92983D0D1}" xr6:coauthVersionLast="36" xr6:coauthVersionMax="36" xr10:uidLastSave="{00000000-0000-0000-0000-000000000000}"/>
  <bookViews>
    <workbookView xWindow="0" yWindow="0" windowWidth="20490" windowHeight="10755" xr2:uid="{4CDB34E1-560F-4998-ABAB-D6F7F2862621}"/>
  </bookViews>
  <sheets>
    <sheet name="Sheet1" sheetId="17" r:id="rId1"/>
    <sheet name="Sheet2" sheetId="19" r:id="rId2"/>
    <sheet name="Sheet3" sheetId="20" r:id="rId3"/>
    <sheet name="Sheet4" sheetId="21" r:id="rId4"/>
    <sheet name="Sheet5" sheetId="22" r:id="rId5"/>
    <sheet name="Sheet6" sheetId="23" r:id="rId6"/>
    <sheet name="Sheet7" sheetId="25" r:id="rId7"/>
    <sheet name="Sheet8" sheetId="27" r:id="rId8"/>
    <sheet name="Sheet9" sheetId="28" r:id="rId9"/>
    <sheet name="Sheet10" sheetId="30" r:id="rId10"/>
    <sheet name="役一覧" sheetId="15" state="hidden" r:id="rId11"/>
    <sheet name="点数表(親ロン)" sheetId="4" state="hidden" r:id="rId12"/>
    <sheet name="点数表(親ツモ)" sheetId="9" state="hidden" r:id="rId13"/>
    <sheet name="点数表(子→親)" sheetId="7" state="hidden" r:id="rId14"/>
    <sheet name="点数表(子ロン)" sheetId="3" state="hidden" r:id="rId15"/>
    <sheet name="点数表(子ツモ)" sheetId="10" state="hidden" r:id="rId16"/>
    <sheet name="点数表(子→子)" sheetId="5" state="hidden" r:id="rId17"/>
    <sheet name="点数表(親→子)" sheetId="6" state="hidden" r:id="rId1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30" l="1"/>
  <c r="W30" i="30" s="1"/>
  <c r="O30" i="30"/>
  <c r="V30" i="30" s="1"/>
  <c r="J30" i="30"/>
  <c r="U30" i="30" s="1"/>
  <c r="D30" i="30"/>
  <c r="C30" i="30"/>
  <c r="B30" i="30"/>
  <c r="A30" i="30"/>
  <c r="T29" i="30"/>
  <c r="W29" i="30" s="1"/>
  <c r="O29" i="30"/>
  <c r="V29" i="30" s="1"/>
  <c r="J29" i="30"/>
  <c r="U29" i="30" s="1"/>
  <c r="D29" i="30"/>
  <c r="C29" i="30"/>
  <c r="B29" i="30"/>
  <c r="A29" i="30"/>
  <c r="T28" i="30"/>
  <c r="W28" i="30" s="1"/>
  <c r="O28" i="30"/>
  <c r="V28" i="30" s="1"/>
  <c r="J28" i="30"/>
  <c r="U28" i="30" s="1"/>
  <c r="D28" i="30"/>
  <c r="C28" i="30"/>
  <c r="B28" i="30"/>
  <c r="A28" i="30"/>
  <c r="T27" i="30"/>
  <c r="W27" i="30" s="1"/>
  <c r="O27" i="30"/>
  <c r="V27" i="30" s="1"/>
  <c r="J27" i="30"/>
  <c r="U27" i="30" s="1"/>
  <c r="D27" i="30"/>
  <c r="C27" i="30"/>
  <c r="B27" i="30"/>
  <c r="A27" i="30"/>
  <c r="T26" i="30"/>
  <c r="W26" i="30" s="1"/>
  <c r="O26" i="30"/>
  <c r="V26" i="30" s="1"/>
  <c r="J26" i="30"/>
  <c r="U26" i="30" s="1"/>
  <c r="D26" i="30"/>
  <c r="C26" i="30"/>
  <c r="B26" i="30"/>
  <c r="A26" i="30"/>
  <c r="T25" i="30"/>
  <c r="W25" i="30" s="1"/>
  <c r="O25" i="30"/>
  <c r="V25" i="30" s="1"/>
  <c r="J25" i="30"/>
  <c r="U25" i="30" s="1"/>
  <c r="D25" i="30"/>
  <c r="C25" i="30"/>
  <c r="B25" i="30"/>
  <c r="A25" i="30"/>
  <c r="T24" i="30"/>
  <c r="W24" i="30" s="1"/>
  <c r="O24" i="30"/>
  <c r="V24" i="30" s="1"/>
  <c r="J24" i="30"/>
  <c r="U24" i="30" s="1"/>
  <c r="D24" i="30"/>
  <c r="C24" i="30"/>
  <c r="B24" i="30"/>
  <c r="A24" i="30"/>
  <c r="T23" i="30"/>
  <c r="W23" i="30" s="1"/>
  <c r="O23" i="30"/>
  <c r="V23" i="30" s="1"/>
  <c r="J23" i="30"/>
  <c r="U23" i="30" s="1"/>
  <c r="D23" i="30"/>
  <c r="C23" i="30"/>
  <c r="B23" i="30"/>
  <c r="A23" i="30"/>
  <c r="T22" i="30"/>
  <c r="W22" i="30" s="1"/>
  <c r="O22" i="30"/>
  <c r="V22" i="30" s="1"/>
  <c r="J22" i="30"/>
  <c r="U22" i="30" s="1"/>
  <c r="D22" i="30"/>
  <c r="C22" i="30"/>
  <c r="B22" i="30"/>
  <c r="A22" i="30"/>
  <c r="T21" i="30"/>
  <c r="W21" i="30" s="1"/>
  <c r="O21" i="30"/>
  <c r="V21" i="30" s="1"/>
  <c r="J21" i="30"/>
  <c r="U21" i="30" s="1"/>
  <c r="D21" i="30"/>
  <c r="C21" i="30"/>
  <c r="B21" i="30"/>
  <c r="A21" i="30"/>
  <c r="T20" i="30"/>
  <c r="W20" i="30" s="1"/>
  <c r="O20" i="30"/>
  <c r="V20" i="30" s="1"/>
  <c r="J20" i="30"/>
  <c r="U20" i="30" s="1"/>
  <c r="D20" i="30"/>
  <c r="C20" i="30"/>
  <c r="B20" i="30"/>
  <c r="A20" i="30"/>
  <c r="T19" i="30"/>
  <c r="W19" i="30" s="1"/>
  <c r="O19" i="30"/>
  <c r="V19" i="30" s="1"/>
  <c r="J19" i="30"/>
  <c r="U19" i="30" s="1"/>
  <c r="D19" i="30"/>
  <c r="C19" i="30"/>
  <c r="B19" i="30"/>
  <c r="A19" i="30"/>
  <c r="T18" i="30"/>
  <c r="W18" i="30" s="1"/>
  <c r="O18" i="30"/>
  <c r="V18" i="30" s="1"/>
  <c r="J18" i="30"/>
  <c r="U18" i="30" s="1"/>
  <c r="D18" i="30"/>
  <c r="C18" i="30"/>
  <c r="B18" i="30"/>
  <c r="A18" i="30"/>
  <c r="T17" i="30"/>
  <c r="W17" i="30" s="1"/>
  <c r="O17" i="30"/>
  <c r="V17" i="30" s="1"/>
  <c r="J17" i="30"/>
  <c r="U17" i="30" s="1"/>
  <c r="D17" i="30"/>
  <c r="C17" i="30"/>
  <c r="B17" i="30"/>
  <c r="A17" i="30"/>
  <c r="D16" i="30"/>
  <c r="C16" i="30"/>
  <c r="D15" i="30"/>
  <c r="C15" i="30"/>
  <c r="C14" i="30"/>
  <c r="C13" i="30"/>
  <c r="D12" i="30"/>
  <c r="D13" i="30" s="1"/>
  <c r="D14" i="30" s="1"/>
  <c r="C12" i="30"/>
  <c r="D11" i="30"/>
  <c r="C11" i="30"/>
  <c r="D10" i="30"/>
  <c r="C10" i="30"/>
  <c r="D9" i="30"/>
  <c r="D8" i="30"/>
  <c r="D7" i="30"/>
  <c r="D6" i="30"/>
  <c r="C6" i="30"/>
  <c r="C7" i="30" s="1"/>
  <c r="C8" i="30" s="1"/>
  <c r="C9" i="30" s="1"/>
  <c r="J5" i="30"/>
  <c r="U5" i="30" s="1"/>
  <c r="D5" i="30"/>
  <c r="C5" i="30"/>
  <c r="B5" i="30"/>
  <c r="B6" i="30" s="1"/>
  <c r="T4" i="30"/>
  <c r="W4" i="30" s="1"/>
  <c r="O4" i="30"/>
  <c r="V4" i="30" s="1"/>
  <c r="J4" i="30"/>
  <c r="U4" i="30" s="1"/>
  <c r="W3" i="30"/>
  <c r="V3" i="30"/>
  <c r="U3" i="30"/>
  <c r="W2" i="30"/>
  <c r="V2" i="30"/>
  <c r="U2" i="30"/>
  <c r="BO1" i="30"/>
  <c r="AT1" i="30"/>
  <c r="Y1" i="30"/>
  <c r="A5" i="30" l="1"/>
  <c r="A6" i="30"/>
  <c r="B7" i="30"/>
  <c r="O5" i="30"/>
  <c r="J6" i="30"/>
  <c r="T5" i="30"/>
  <c r="T30" i="28"/>
  <c r="W30" i="28" s="1"/>
  <c r="O30" i="28"/>
  <c r="V30" i="28" s="1"/>
  <c r="J30" i="28"/>
  <c r="U30" i="28" s="1"/>
  <c r="D30" i="28"/>
  <c r="C30" i="28"/>
  <c r="B30" i="28"/>
  <c r="A30" i="28"/>
  <c r="T29" i="28"/>
  <c r="W29" i="28" s="1"/>
  <c r="O29" i="28"/>
  <c r="V29" i="28" s="1"/>
  <c r="J29" i="28"/>
  <c r="U29" i="28" s="1"/>
  <c r="D29" i="28"/>
  <c r="C29" i="28"/>
  <c r="B29" i="28"/>
  <c r="A29" i="28"/>
  <c r="T28" i="28"/>
  <c r="W28" i="28" s="1"/>
  <c r="O28" i="28"/>
  <c r="V28" i="28" s="1"/>
  <c r="J28" i="28"/>
  <c r="U28" i="28" s="1"/>
  <c r="D28" i="28"/>
  <c r="C28" i="28"/>
  <c r="B28" i="28"/>
  <c r="A28" i="28"/>
  <c r="T27" i="28"/>
  <c r="W27" i="28" s="1"/>
  <c r="O27" i="28"/>
  <c r="V27" i="28" s="1"/>
  <c r="J27" i="28"/>
  <c r="U27" i="28" s="1"/>
  <c r="D27" i="28"/>
  <c r="C27" i="28"/>
  <c r="B27" i="28"/>
  <c r="A27" i="28"/>
  <c r="T26" i="28"/>
  <c r="W26" i="28" s="1"/>
  <c r="O26" i="28"/>
  <c r="V26" i="28" s="1"/>
  <c r="J26" i="28"/>
  <c r="U26" i="28" s="1"/>
  <c r="D26" i="28"/>
  <c r="C26" i="28"/>
  <c r="B26" i="28"/>
  <c r="A26" i="28"/>
  <c r="T25" i="28"/>
  <c r="W25" i="28" s="1"/>
  <c r="O25" i="28"/>
  <c r="V25" i="28" s="1"/>
  <c r="J25" i="28"/>
  <c r="U25" i="28" s="1"/>
  <c r="D25" i="28"/>
  <c r="C25" i="28"/>
  <c r="B25" i="28"/>
  <c r="A25" i="28"/>
  <c r="T24" i="28"/>
  <c r="W24" i="28" s="1"/>
  <c r="O24" i="28"/>
  <c r="V24" i="28" s="1"/>
  <c r="J24" i="28"/>
  <c r="U24" i="28" s="1"/>
  <c r="D24" i="28"/>
  <c r="C24" i="28"/>
  <c r="B24" i="28"/>
  <c r="A24" i="28"/>
  <c r="T23" i="28"/>
  <c r="W23" i="28" s="1"/>
  <c r="O23" i="28"/>
  <c r="V23" i="28" s="1"/>
  <c r="J23" i="28"/>
  <c r="U23" i="28" s="1"/>
  <c r="D23" i="28"/>
  <c r="C23" i="28"/>
  <c r="B23" i="28"/>
  <c r="A23" i="28"/>
  <c r="T22" i="28"/>
  <c r="W22" i="28" s="1"/>
  <c r="O22" i="28"/>
  <c r="V22" i="28" s="1"/>
  <c r="J22" i="28"/>
  <c r="U22" i="28" s="1"/>
  <c r="D22" i="28"/>
  <c r="C22" i="28"/>
  <c r="B22" i="28"/>
  <c r="A22" i="28"/>
  <c r="T21" i="28"/>
  <c r="W21" i="28" s="1"/>
  <c r="O21" i="28"/>
  <c r="V21" i="28" s="1"/>
  <c r="J21" i="28"/>
  <c r="U21" i="28" s="1"/>
  <c r="D21" i="28"/>
  <c r="C21" i="28"/>
  <c r="B21" i="28"/>
  <c r="A21" i="28"/>
  <c r="T20" i="28"/>
  <c r="W20" i="28" s="1"/>
  <c r="O20" i="28"/>
  <c r="V20" i="28" s="1"/>
  <c r="J20" i="28"/>
  <c r="U20" i="28" s="1"/>
  <c r="D20" i="28"/>
  <c r="C20" i="28"/>
  <c r="B20" i="28"/>
  <c r="A20" i="28"/>
  <c r="T19" i="28"/>
  <c r="W19" i="28" s="1"/>
  <c r="O19" i="28"/>
  <c r="V19" i="28" s="1"/>
  <c r="J19" i="28"/>
  <c r="U19" i="28" s="1"/>
  <c r="D19" i="28"/>
  <c r="C19" i="28"/>
  <c r="B19" i="28"/>
  <c r="A19" i="28"/>
  <c r="T18" i="28"/>
  <c r="W18" i="28" s="1"/>
  <c r="O18" i="28"/>
  <c r="V18" i="28" s="1"/>
  <c r="J18" i="28"/>
  <c r="U18" i="28" s="1"/>
  <c r="D18" i="28"/>
  <c r="C18" i="28"/>
  <c r="B18" i="28"/>
  <c r="A18" i="28"/>
  <c r="D17" i="28"/>
  <c r="C17" i="28"/>
  <c r="D16" i="28"/>
  <c r="C16" i="28"/>
  <c r="D15" i="28"/>
  <c r="D14" i="28"/>
  <c r="C14" i="28"/>
  <c r="C15" i="28" s="1"/>
  <c r="D13" i="28"/>
  <c r="C13" i="28"/>
  <c r="D12" i="28"/>
  <c r="D11" i="28"/>
  <c r="D10" i="28"/>
  <c r="C10" i="28"/>
  <c r="C11" i="28" s="1"/>
  <c r="C12" i="28" s="1"/>
  <c r="D9" i="28"/>
  <c r="C9" i="28"/>
  <c r="D8" i="28"/>
  <c r="C8" i="28"/>
  <c r="D7" i="28"/>
  <c r="D6" i="28"/>
  <c r="C6" i="28"/>
  <c r="C7" i="28" s="1"/>
  <c r="B6" i="28"/>
  <c r="D5" i="28"/>
  <c r="C5" i="28"/>
  <c r="B5" i="28"/>
  <c r="A5" i="28"/>
  <c r="T4" i="28"/>
  <c r="T5" i="28" s="1"/>
  <c r="O4" i="28"/>
  <c r="O5" i="28" s="1"/>
  <c r="J4" i="28"/>
  <c r="J5" i="28" s="1"/>
  <c r="J6" i="28" s="1"/>
  <c r="W3" i="28"/>
  <c r="V3" i="28"/>
  <c r="U3" i="28"/>
  <c r="W2" i="28"/>
  <c r="V2" i="28"/>
  <c r="U2" i="28"/>
  <c r="BO1" i="28"/>
  <c r="AT1" i="28"/>
  <c r="Y1" i="28"/>
  <c r="W5" i="30" l="1"/>
  <c r="T6" i="30"/>
  <c r="U6" i="30"/>
  <c r="J7" i="30"/>
  <c r="V5" i="30"/>
  <c r="O6" i="30"/>
  <c r="B8" i="30"/>
  <c r="A7" i="30"/>
  <c r="A6" i="28"/>
  <c r="U4" i="28"/>
  <c r="W5" i="28"/>
  <c r="T6" i="28"/>
  <c r="U6" i="28"/>
  <c r="J7" i="28"/>
  <c r="V5" i="28"/>
  <c r="O6" i="28"/>
  <c r="B7" i="28"/>
  <c r="A7" i="28" s="1"/>
  <c r="V4" i="28"/>
  <c r="W4" i="28"/>
  <c r="U5" i="28"/>
  <c r="V6" i="30" l="1"/>
  <c r="O7" i="30"/>
  <c r="B9" i="30"/>
  <c r="A9" i="30" s="1"/>
  <c r="U7" i="30"/>
  <c r="J8" i="30"/>
  <c r="A8" i="30"/>
  <c r="W6" i="30"/>
  <c r="T7" i="30"/>
  <c r="J8" i="28"/>
  <c r="U7" i="28"/>
  <c r="B8" i="28"/>
  <c r="V6" i="28"/>
  <c r="O7" i="28"/>
  <c r="T7" i="28"/>
  <c r="W6" i="28"/>
  <c r="B10" i="30" l="1"/>
  <c r="A10" i="30" s="1"/>
  <c r="O8" i="30"/>
  <c r="V7" i="30"/>
  <c r="U8" i="30"/>
  <c r="J9" i="30"/>
  <c r="T8" i="30"/>
  <c r="W7" i="30"/>
  <c r="B9" i="28"/>
  <c r="O8" i="28"/>
  <c r="V7" i="28"/>
  <c r="W7" i="28"/>
  <c r="T8" i="28"/>
  <c r="A8" i="28"/>
  <c r="A9" i="28" s="1"/>
  <c r="J9" i="28"/>
  <c r="U8" i="28"/>
  <c r="W8" i="30" l="1"/>
  <c r="T9" i="30"/>
  <c r="V8" i="30"/>
  <c r="O9" i="30"/>
  <c r="U9" i="30"/>
  <c r="J10" i="30"/>
  <c r="B11" i="30"/>
  <c r="O9" i="28"/>
  <c r="V8" i="28"/>
  <c r="J10" i="28"/>
  <c r="U9" i="28"/>
  <c r="W8" i="28"/>
  <c r="T9" i="28"/>
  <c r="B10" i="28"/>
  <c r="A10" i="28" s="1"/>
  <c r="U10" i="30" l="1"/>
  <c r="J11" i="30"/>
  <c r="V9" i="30"/>
  <c r="O10" i="30"/>
  <c r="B12" i="30"/>
  <c r="A12" i="30" s="1"/>
  <c r="A11" i="30"/>
  <c r="W9" i="30"/>
  <c r="T10" i="30"/>
  <c r="B11" i="28"/>
  <c r="A11" i="28" s="1"/>
  <c r="U10" i="28"/>
  <c r="J11" i="28"/>
  <c r="W9" i="28"/>
  <c r="T10" i="28"/>
  <c r="V9" i="28"/>
  <c r="O10" i="28"/>
  <c r="B13" i="30" l="1"/>
  <c r="A13" i="30" s="1"/>
  <c r="V10" i="30"/>
  <c r="O11" i="30"/>
  <c r="U11" i="30"/>
  <c r="J12" i="30"/>
  <c r="W10" i="30"/>
  <c r="T11" i="30"/>
  <c r="U11" i="28"/>
  <c r="J12" i="28"/>
  <c r="W10" i="28"/>
  <c r="T11" i="28"/>
  <c r="V10" i="28"/>
  <c r="O11" i="28"/>
  <c r="B12" i="28"/>
  <c r="A12" i="28" s="1"/>
  <c r="J13" i="30" l="1"/>
  <c r="U12" i="30"/>
  <c r="W11" i="30"/>
  <c r="T12" i="30"/>
  <c r="O12" i="30"/>
  <c r="V11" i="30"/>
  <c r="B14" i="30"/>
  <c r="A14" i="30" s="1"/>
  <c r="W11" i="28"/>
  <c r="T12" i="28"/>
  <c r="O12" i="28"/>
  <c r="V11" i="28"/>
  <c r="J13" i="28"/>
  <c r="U12" i="28"/>
  <c r="B13" i="28"/>
  <c r="A13" i="28" s="1"/>
  <c r="B15" i="30" l="1"/>
  <c r="V12" i="30"/>
  <c r="O13" i="30"/>
  <c r="W12" i="30"/>
  <c r="T13" i="30"/>
  <c r="U13" i="30"/>
  <c r="J14" i="30"/>
  <c r="B14" i="28"/>
  <c r="A14" i="28" s="1"/>
  <c r="J14" i="28"/>
  <c r="U13" i="28"/>
  <c r="O13" i="28"/>
  <c r="V12" i="28"/>
  <c r="W12" i="28"/>
  <c r="T13" i="28"/>
  <c r="W13" i="30" l="1"/>
  <c r="T14" i="30"/>
  <c r="V13" i="30"/>
  <c r="O14" i="30"/>
  <c r="B16" i="30"/>
  <c r="A16" i="30" s="1"/>
  <c r="U14" i="30"/>
  <c r="J15" i="30"/>
  <c r="A15" i="30"/>
  <c r="W13" i="28"/>
  <c r="T14" i="28"/>
  <c r="V13" i="28"/>
  <c r="O14" i="28"/>
  <c r="U14" i="28"/>
  <c r="J15" i="28"/>
  <c r="B15" i="28"/>
  <c r="A15" i="28" s="1"/>
  <c r="U15" i="30" l="1"/>
  <c r="J16" i="30"/>
  <c r="U16" i="30" s="1"/>
  <c r="V14" i="30"/>
  <c r="O15" i="30"/>
  <c r="W14" i="30"/>
  <c r="T15" i="30"/>
  <c r="B16" i="28"/>
  <c r="A16" i="28" s="1"/>
  <c r="U15" i="28"/>
  <c r="J16" i="28"/>
  <c r="V14" i="28"/>
  <c r="O15" i="28"/>
  <c r="W14" i="28"/>
  <c r="T15" i="28"/>
  <c r="O16" i="30" l="1"/>
  <c r="V16" i="30" s="1"/>
  <c r="V15" i="30"/>
  <c r="W15" i="30"/>
  <c r="T16" i="30"/>
  <c r="W16" i="30" s="1"/>
  <c r="T16" i="28"/>
  <c r="W15" i="28"/>
  <c r="J17" i="28"/>
  <c r="U17" i="28" s="1"/>
  <c r="U16" i="28"/>
  <c r="O16" i="28"/>
  <c r="V15" i="28"/>
  <c r="B17" i="28"/>
  <c r="A17" i="28" s="1"/>
  <c r="O17" i="28" l="1"/>
  <c r="V17" i="28" s="1"/>
  <c r="V16" i="28"/>
  <c r="T17" i="28"/>
  <c r="W17" i="28" s="1"/>
  <c r="W16" i="28"/>
  <c r="T30" i="27" l="1"/>
  <c r="W30" i="27" s="1"/>
  <c r="O30" i="27"/>
  <c r="V30" i="27" s="1"/>
  <c r="J30" i="27"/>
  <c r="U30" i="27" s="1"/>
  <c r="D30" i="27"/>
  <c r="C30" i="27"/>
  <c r="B30" i="27"/>
  <c r="A30" i="27"/>
  <c r="T29" i="27"/>
  <c r="W29" i="27" s="1"/>
  <c r="O29" i="27"/>
  <c r="V29" i="27" s="1"/>
  <c r="J29" i="27"/>
  <c r="U29" i="27" s="1"/>
  <c r="D29" i="27"/>
  <c r="C29" i="27"/>
  <c r="B29" i="27"/>
  <c r="A29" i="27"/>
  <c r="T28" i="27"/>
  <c r="W28" i="27" s="1"/>
  <c r="O28" i="27"/>
  <c r="V28" i="27" s="1"/>
  <c r="J28" i="27"/>
  <c r="U28" i="27" s="1"/>
  <c r="D28" i="27"/>
  <c r="C28" i="27"/>
  <c r="B28" i="27"/>
  <c r="A28" i="27"/>
  <c r="T27" i="27"/>
  <c r="W27" i="27" s="1"/>
  <c r="O27" i="27"/>
  <c r="V27" i="27" s="1"/>
  <c r="J27" i="27"/>
  <c r="U27" i="27" s="1"/>
  <c r="D27" i="27"/>
  <c r="C27" i="27"/>
  <c r="B27" i="27"/>
  <c r="A27" i="27"/>
  <c r="T26" i="27"/>
  <c r="W26" i="27" s="1"/>
  <c r="O26" i="27"/>
  <c r="V26" i="27" s="1"/>
  <c r="J26" i="27"/>
  <c r="U26" i="27" s="1"/>
  <c r="D26" i="27"/>
  <c r="C26" i="27"/>
  <c r="B26" i="27"/>
  <c r="A26" i="27"/>
  <c r="T25" i="27"/>
  <c r="W25" i="27" s="1"/>
  <c r="O25" i="27"/>
  <c r="V25" i="27" s="1"/>
  <c r="J25" i="27"/>
  <c r="U25" i="27" s="1"/>
  <c r="D25" i="27"/>
  <c r="C25" i="27"/>
  <c r="B25" i="27"/>
  <c r="A25" i="27"/>
  <c r="T24" i="27"/>
  <c r="W24" i="27" s="1"/>
  <c r="O24" i="27"/>
  <c r="V24" i="27" s="1"/>
  <c r="J24" i="27"/>
  <c r="U24" i="27" s="1"/>
  <c r="D24" i="27"/>
  <c r="C24" i="27"/>
  <c r="B24" i="27"/>
  <c r="A24" i="27"/>
  <c r="T23" i="27"/>
  <c r="W23" i="27" s="1"/>
  <c r="O23" i="27"/>
  <c r="V23" i="27" s="1"/>
  <c r="J23" i="27"/>
  <c r="U23" i="27" s="1"/>
  <c r="D23" i="27"/>
  <c r="C23" i="27"/>
  <c r="B23" i="27"/>
  <c r="A23" i="27"/>
  <c r="T22" i="27"/>
  <c r="W22" i="27" s="1"/>
  <c r="O22" i="27"/>
  <c r="V22" i="27" s="1"/>
  <c r="J22" i="27"/>
  <c r="U22" i="27" s="1"/>
  <c r="D22" i="27"/>
  <c r="C22" i="27"/>
  <c r="B22" i="27"/>
  <c r="A22" i="27"/>
  <c r="T21" i="27"/>
  <c r="W21" i="27" s="1"/>
  <c r="O21" i="27"/>
  <c r="V21" i="27" s="1"/>
  <c r="J21" i="27"/>
  <c r="U21" i="27" s="1"/>
  <c r="D21" i="27"/>
  <c r="C21" i="27"/>
  <c r="B21" i="27"/>
  <c r="A21" i="27"/>
  <c r="T20" i="27"/>
  <c r="W20" i="27" s="1"/>
  <c r="O20" i="27"/>
  <c r="V20" i="27" s="1"/>
  <c r="J20" i="27"/>
  <c r="U20" i="27" s="1"/>
  <c r="D20" i="27"/>
  <c r="C20" i="27"/>
  <c r="B20" i="27"/>
  <c r="A20" i="27"/>
  <c r="T19" i="27"/>
  <c r="W19" i="27" s="1"/>
  <c r="O19" i="27"/>
  <c r="V19" i="27" s="1"/>
  <c r="J19" i="27"/>
  <c r="U19" i="27" s="1"/>
  <c r="D19" i="27"/>
  <c r="C19" i="27"/>
  <c r="B19" i="27"/>
  <c r="A19" i="27"/>
  <c r="T18" i="27"/>
  <c r="W18" i="27" s="1"/>
  <c r="O18" i="27"/>
  <c r="V18" i="27" s="1"/>
  <c r="J18" i="27"/>
  <c r="U18" i="27" s="1"/>
  <c r="D18" i="27"/>
  <c r="C18" i="27"/>
  <c r="B18" i="27"/>
  <c r="A18" i="27" s="1"/>
  <c r="T17" i="27"/>
  <c r="W17" i="27" s="1"/>
  <c r="O17" i="27"/>
  <c r="V17" i="27" s="1"/>
  <c r="J17" i="27"/>
  <c r="U17" i="27" s="1"/>
  <c r="D17" i="27"/>
  <c r="C17" i="27"/>
  <c r="B17" i="27"/>
  <c r="A17" i="27" s="1"/>
  <c r="T16" i="27"/>
  <c r="W16" i="27" s="1"/>
  <c r="O16" i="27"/>
  <c r="V16" i="27" s="1"/>
  <c r="J16" i="27"/>
  <c r="U16" i="27" s="1"/>
  <c r="D16" i="27"/>
  <c r="C16" i="27"/>
  <c r="B16" i="27"/>
  <c r="A16" i="27" s="1"/>
  <c r="T15" i="27"/>
  <c r="W15" i="27" s="1"/>
  <c r="O15" i="27"/>
  <c r="V15" i="27" s="1"/>
  <c r="J15" i="27"/>
  <c r="U15" i="27" s="1"/>
  <c r="D15" i="27"/>
  <c r="C15" i="27"/>
  <c r="B15" i="27"/>
  <c r="A15" i="27" s="1"/>
  <c r="T14" i="27"/>
  <c r="W14" i="27" s="1"/>
  <c r="O14" i="27"/>
  <c r="V14" i="27" s="1"/>
  <c r="J14" i="27"/>
  <c r="U14" i="27" s="1"/>
  <c r="D14" i="27"/>
  <c r="C14" i="27"/>
  <c r="B14" i="27"/>
  <c r="A14" i="27"/>
  <c r="T13" i="27"/>
  <c r="W13" i="27" s="1"/>
  <c r="O13" i="27"/>
  <c r="V13" i="27" s="1"/>
  <c r="J13" i="27"/>
  <c r="U13" i="27" s="1"/>
  <c r="D13" i="27"/>
  <c r="C13" i="27"/>
  <c r="B13" i="27"/>
  <c r="A13" i="27" s="1"/>
  <c r="T12" i="27"/>
  <c r="W12" i="27" s="1"/>
  <c r="O12" i="27"/>
  <c r="V12" i="27" s="1"/>
  <c r="J12" i="27"/>
  <c r="U12" i="27" s="1"/>
  <c r="D12" i="27"/>
  <c r="C12" i="27"/>
  <c r="B12" i="27"/>
  <c r="A12" i="27" s="1"/>
  <c r="T11" i="27"/>
  <c r="W11" i="27" s="1"/>
  <c r="O11" i="27"/>
  <c r="V11" i="27" s="1"/>
  <c r="J11" i="27"/>
  <c r="U11" i="27" s="1"/>
  <c r="D11" i="27"/>
  <c r="C11" i="27"/>
  <c r="B11" i="27"/>
  <c r="A11" i="27"/>
  <c r="T10" i="27"/>
  <c r="W10" i="27" s="1"/>
  <c r="O10" i="27"/>
  <c r="V10" i="27" s="1"/>
  <c r="J10" i="27"/>
  <c r="U10" i="27" s="1"/>
  <c r="D10" i="27"/>
  <c r="C10" i="27"/>
  <c r="B10" i="27"/>
  <c r="A10" i="27" s="1"/>
  <c r="D9" i="27"/>
  <c r="C9" i="27"/>
  <c r="D8" i="27"/>
  <c r="C8" i="27"/>
  <c r="D7" i="27"/>
  <c r="C7" i="27"/>
  <c r="D6" i="27"/>
  <c r="C6" i="27"/>
  <c r="J5" i="27"/>
  <c r="U5" i="27" s="1"/>
  <c r="D5" i="27"/>
  <c r="C5" i="27"/>
  <c r="B5" i="27"/>
  <c r="B6" i="27" s="1"/>
  <c r="T4" i="27"/>
  <c r="O4" i="27"/>
  <c r="J4" i="27"/>
  <c r="W3" i="27"/>
  <c r="V3" i="27"/>
  <c r="U3" i="27"/>
  <c r="W2" i="27"/>
  <c r="V2" i="27"/>
  <c r="U2" i="27"/>
  <c r="BO1" i="27"/>
  <c r="AT1" i="27"/>
  <c r="Y1" i="27"/>
  <c r="V4" i="27" l="1"/>
  <c r="U4" i="27"/>
  <c r="W4" i="27"/>
  <c r="O5" i="27"/>
  <c r="B7" i="27"/>
  <c r="T5" i="27"/>
  <c r="J6" i="27"/>
  <c r="A5" i="27"/>
  <c r="V5" i="27" l="1"/>
  <c r="A6" i="27"/>
  <c r="O6" i="27"/>
  <c r="O7" i="27"/>
  <c r="U6" i="27"/>
  <c r="J7" i="27"/>
  <c r="W5" i="27"/>
  <c r="T6" i="27"/>
  <c r="B8" i="27"/>
  <c r="A8" i="27" s="1"/>
  <c r="A7" i="27"/>
  <c r="V6" i="27" l="1"/>
  <c r="W6" i="27"/>
  <c r="T7" i="27"/>
  <c r="O8" i="27"/>
  <c r="V7" i="27"/>
  <c r="B9" i="27"/>
  <c r="A9" i="27" s="1"/>
  <c r="U7" i="27"/>
  <c r="J8" i="27"/>
  <c r="O9" i="27" l="1"/>
  <c r="V8" i="27"/>
  <c r="U8" i="27"/>
  <c r="J9" i="27"/>
  <c r="T8" i="27"/>
  <c r="W7" i="27"/>
  <c r="U9" i="27" l="1"/>
  <c r="V9" i="27"/>
  <c r="W8" i="27"/>
  <c r="T9" i="27"/>
  <c r="W9" i="27" l="1"/>
  <c r="T30" i="25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T14" i="25"/>
  <c r="W14" i="25" s="1"/>
  <c r="O14" i="25"/>
  <c r="V14" i="25" s="1"/>
  <c r="J14" i="25"/>
  <c r="U14" i="25" s="1"/>
  <c r="D14" i="25"/>
  <c r="C14" i="25"/>
  <c r="B14" i="25"/>
  <c r="A14" i="25"/>
  <c r="T13" i="25"/>
  <c r="W13" i="25" s="1"/>
  <c r="O13" i="25"/>
  <c r="V13" i="25" s="1"/>
  <c r="J13" i="25"/>
  <c r="U13" i="25" s="1"/>
  <c r="D13" i="25"/>
  <c r="C13" i="25"/>
  <c r="B13" i="25"/>
  <c r="A13" i="25"/>
  <c r="T12" i="25"/>
  <c r="W12" i="25" s="1"/>
  <c r="O12" i="25"/>
  <c r="V12" i="25" s="1"/>
  <c r="J12" i="25"/>
  <c r="U12" i="25" s="1"/>
  <c r="D12" i="25"/>
  <c r="C12" i="25"/>
  <c r="B12" i="25"/>
  <c r="A12" i="25"/>
  <c r="T11" i="25"/>
  <c r="W11" i="25" s="1"/>
  <c r="O11" i="25"/>
  <c r="V11" i="25" s="1"/>
  <c r="J11" i="25"/>
  <c r="U11" i="25" s="1"/>
  <c r="D11" i="25"/>
  <c r="C11" i="25"/>
  <c r="B11" i="25"/>
  <c r="A11" i="25"/>
  <c r="T10" i="25"/>
  <c r="W10" i="25" s="1"/>
  <c r="O10" i="25"/>
  <c r="V10" i="25" s="1"/>
  <c r="J10" i="25"/>
  <c r="U10" i="25" s="1"/>
  <c r="D10" i="25"/>
  <c r="C10" i="25"/>
  <c r="B10" i="25"/>
  <c r="A10" i="25" s="1"/>
  <c r="D9" i="25"/>
  <c r="C9" i="25"/>
  <c r="D8" i="25"/>
  <c r="C8" i="25"/>
  <c r="D7" i="25"/>
  <c r="C7" i="25"/>
  <c r="B7" i="25"/>
  <c r="B8" i="25" s="1"/>
  <c r="D6" i="25"/>
  <c r="C6" i="25"/>
  <c r="B6" i="25"/>
  <c r="D5" i="25"/>
  <c r="C5" i="25"/>
  <c r="B5" i="25"/>
  <c r="A5" i="25" s="1"/>
  <c r="T4" i="25"/>
  <c r="W4" i="25" s="1"/>
  <c r="O4" i="25"/>
  <c r="V4" i="25" s="1"/>
  <c r="J4" i="25"/>
  <c r="J5" i="25" s="1"/>
  <c r="W3" i="25"/>
  <c r="V3" i="25"/>
  <c r="U3" i="25"/>
  <c r="W2" i="25"/>
  <c r="V2" i="25"/>
  <c r="U2" i="25"/>
  <c r="BO1" i="25"/>
  <c r="AT1" i="25"/>
  <c r="Y1" i="25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D12" i="23"/>
  <c r="C12" i="23"/>
  <c r="D11" i="23"/>
  <c r="C11" i="23"/>
  <c r="D10" i="23"/>
  <c r="C10" i="23"/>
  <c r="D9" i="23"/>
  <c r="C9" i="23"/>
  <c r="D8" i="23"/>
  <c r="C8" i="23"/>
  <c r="B8" i="23"/>
  <c r="B9" i="23" s="1"/>
  <c r="D7" i="23"/>
  <c r="C7" i="23"/>
  <c r="B7" i="23"/>
  <c r="A8" i="23" s="1"/>
  <c r="T6" i="23"/>
  <c r="W6" i="23" s="1"/>
  <c r="O6" i="23"/>
  <c r="O7" i="23" s="1"/>
  <c r="D6" i="23"/>
  <c r="C6" i="23"/>
  <c r="B6" i="23"/>
  <c r="A7" i="23" s="1"/>
  <c r="T5" i="23"/>
  <c r="W5" i="23" s="1"/>
  <c r="O5" i="23"/>
  <c r="V5" i="23" s="1"/>
  <c r="D5" i="23"/>
  <c r="C5" i="23"/>
  <c r="B5" i="23"/>
  <c r="A5" i="23" s="1"/>
  <c r="T4" i="23"/>
  <c r="W4" i="23" s="1"/>
  <c r="O4" i="23"/>
  <c r="V4" i="23" s="1"/>
  <c r="J4" i="23"/>
  <c r="U4" i="23" s="1"/>
  <c r="W3" i="23"/>
  <c r="V3" i="23"/>
  <c r="U3" i="23"/>
  <c r="W2" i="23"/>
  <c r="V2" i="23"/>
  <c r="U2" i="23"/>
  <c r="BO1" i="23"/>
  <c r="AT1" i="23"/>
  <c r="Y1" i="23"/>
  <c r="A7" i="25" l="1"/>
  <c r="A6" i="25"/>
  <c r="T5" i="25"/>
  <c r="W5" i="25" s="1"/>
  <c r="O5" i="25"/>
  <c r="V5" i="25" s="1"/>
  <c r="U4" i="25"/>
  <c r="B9" i="25"/>
  <c r="A9" i="25" s="1"/>
  <c r="U5" i="25"/>
  <c r="J6" i="25"/>
  <c r="A8" i="25"/>
  <c r="O6" i="25"/>
  <c r="T6" i="25"/>
  <c r="A6" i="23"/>
  <c r="T7" i="23"/>
  <c r="W7" i="23" s="1"/>
  <c r="B10" i="23"/>
  <c r="A10" i="23" s="1"/>
  <c r="V7" i="23"/>
  <c r="O8" i="23"/>
  <c r="V6" i="23"/>
  <c r="J5" i="23"/>
  <c r="A9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 s="1"/>
  <c r="T11" i="22"/>
  <c r="W11" i="22" s="1"/>
  <c r="O11" i="22"/>
  <c r="V11" i="22" s="1"/>
  <c r="J11" i="22"/>
  <c r="U11" i="22" s="1"/>
  <c r="D11" i="22"/>
  <c r="C11" i="22"/>
  <c r="B11" i="22"/>
  <c r="A11" i="22"/>
  <c r="D10" i="22"/>
  <c r="C10" i="22"/>
  <c r="D9" i="22"/>
  <c r="C9" i="22"/>
  <c r="D8" i="22"/>
  <c r="C8" i="22"/>
  <c r="D7" i="22"/>
  <c r="C7" i="22"/>
  <c r="O6" i="22"/>
  <c r="O7" i="22" s="1"/>
  <c r="D6" i="22"/>
  <c r="C6" i="22"/>
  <c r="O5" i="22"/>
  <c r="V5" i="22" s="1"/>
  <c r="D5" i="22"/>
  <c r="C5" i="22"/>
  <c r="B5" i="22"/>
  <c r="A5" i="22" s="1"/>
  <c r="T4" i="22"/>
  <c r="T5" i="22" s="1"/>
  <c r="O4" i="22"/>
  <c r="V4" i="22" s="1"/>
  <c r="J4" i="22"/>
  <c r="U4" i="22" s="1"/>
  <c r="W3" i="22"/>
  <c r="V3" i="22"/>
  <c r="U3" i="22"/>
  <c r="W2" i="22"/>
  <c r="V2" i="22"/>
  <c r="U2" i="22"/>
  <c r="BO1" i="22"/>
  <c r="AT1" i="22"/>
  <c r="Y1" i="22"/>
  <c r="T7" i="25" l="1"/>
  <c r="W6" i="25"/>
  <c r="V6" i="25"/>
  <c r="O7" i="25"/>
  <c r="U6" i="25"/>
  <c r="J7" i="25"/>
  <c r="T8" i="23"/>
  <c r="W8" i="23" s="1"/>
  <c r="T9" i="23"/>
  <c r="J6" i="23"/>
  <c r="U5" i="23"/>
  <c r="V8" i="23"/>
  <c r="O9" i="23"/>
  <c r="B11" i="23"/>
  <c r="A11" i="23" s="1"/>
  <c r="W4" i="22"/>
  <c r="W5" i="22"/>
  <c r="T6" i="22"/>
  <c r="V7" i="22"/>
  <c r="O8" i="22"/>
  <c r="B6" i="22"/>
  <c r="J5" i="22"/>
  <c r="V6" i="22"/>
  <c r="W3" i="21"/>
  <c r="V3" i="21"/>
  <c r="U3" i="21"/>
  <c r="W30" i="20"/>
  <c r="V30" i="20"/>
  <c r="U30" i="20"/>
  <c r="W29" i="20"/>
  <c r="V29" i="20"/>
  <c r="U29" i="20"/>
  <c r="W28" i="20"/>
  <c r="V28" i="20"/>
  <c r="U28" i="20"/>
  <c r="W27" i="20"/>
  <c r="V27" i="20"/>
  <c r="U27" i="20"/>
  <c r="W26" i="20"/>
  <c r="V26" i="20"/>
  <c r="U26" i="20"/>
  <c r="W25" i="20"/>
  <c r="V25" i="20"/>
  <c r="U25" i="20"/>
  <c r="W24" i="20"/>
  <c r="V24" i="20"/>
  <c r="U24" i="20"/>
  <c r="W23" i="20"/>
  <c r="V23" i="20"/>
  <c r="U23" i="20"/>
  <c r="W22" i="20"/>
  <c r="V22" i="20"/>
  <c r="U22" i="20"/>
  <c r="W21" i="20"/>
  <c r="V21" i="20"/>
  <c r="U21" i="20"/>
  <c r="W20" i="20"/>
  <c r="V20" i="20"/>
  <c r="U20" i="20"/>
  <c r="W19" i="20"/>
  <c r="V19" i="20"/>
  <c r="U19" i="20"/>
  <c r="W18" i="20"/>
  <c r="V18" i="20"/>
  <c r="U18" i="20"/>
  <c r="W17" i="20"/>
  <c r="V17" i="20"/>
  <c r="U17" i="20"/>
  <c r="W16" i="20"/>
  <c r="V16" i="20"/>
  <c r="U16" i="20"/>
  <c r="W15" i="20"/>
  <c r="V15" i="20"/>
  <c r="U15" i="20"/>
  <c r="W14" i="20"/>
  <c r="V14" i="20"/>
  <c r="U14" i="20"/>
  <c r="W13" i="20"/>
  <c r="V13" i="20"/>
  <c r="U13" i="20"/>
  <c r="W12" i="20"/>
  <c r="V12" i="20"/>
  <c r="U12" i="20"/>
  <c r="W11" i="20"/>
  <c r="V11" i="20"/>
  <c r="U11" i="20"/>
  <c r="W10" i="20"/>
  <c r="V10" i="20"/>
  <c r="U10" i="20"/>
  <c r="W9" i="20"/>
  <c r="V9" i="20"/>
  <c r="U9" i="20"/>
  <c r="W8" i="20"/>
  <c r="V8" i="20"/>
  <c r="U8" i="20"/>
  <c r="W7" i="20"/>
  <c r="V7" i="20"/>
  <c r="U7" i="20"/>
  <c r="W6" i="20"/>
  <c r="V6" i="20"/>
  <c r="U6" i="20"/>
  <c r="W5" i="20"/>
  <c r="V5" i="20"/>
  <c r="U5" i="20"/>
  <c r="W4" i="20"/>
  <c r="V4" i="20"/>
  <c r="U4" i="20"/>
  <c r="W3" i="20"/>
  <c r="V3" i="20"/>
  <c r="U3" i="20"/>
  <c r="W30" i="19"/>
  <c r="V30" i="19"/>
  <c r="U30" i="19"/>
  <c r="W29" i="19"/>
  <c r="V29" i="19"/>
  <c r="U29" i="19"/>
  <c r="W28" i="19"/>
  <c r="V28" i="19"/>
  <c r="U28" i="19"/>
  <c r="W27" i="19"/>
  <c r="V27" i="19"/>
  <c r="U27" i="19"/>
  <c r="W26" i="19"/>
  <c r="V26" i="19"/>
  <c r="U26" i="19"/>
  <c r="W25" i="19"/>
  <c r="V25" i="19"/>
  <c r="U25" i="19"/>
  <c r="W24" i="19"/>
  <c r="V24" i="19"/>
  <c r="U24" i="19"/>
  <c r="W23" i="19"/>
  <c r="V23" i="19"/>
  <c r="U23" i="19"/>
  <c r="W22" i="19"/>
  <c r="V22" i="19"/>
  <c r="U22" i="19"/>
  <c r="W21" i="19"/>
  <c r="V21" i="19"/>
  <c r="U21" i="19"/>
  <c r="W20" i="19"/>
  <c r="V20" i="19"/>
  <c r="U20" i="19"/>
  <c r="W19" i="19"/>
  <c r="V19" i="19"/>
  <c r="U19" i="19"/>
  <c r="W18" i="19"/>
  <c r="V18" i="19"/>
  <c r="U18" i="19"/>
  <c r="W17" i="19"/>
  <c r="V17" i="19"/>
  <c r="U17" i="19"/>
  <c r="W16" i="19"/>
  <c r="V16" i="19"/>
  <c r="U16" i="19"/>
  <c r="W15" i="19"/>
  <c r="V15" i="19"/>
  <c r="U15" i="19"/>
  <c r="W14" i="19"/>
  <c r="V14" i="19"/>
  <c r="U14" i="19"/>
  <c r="W13" i="19"/>
  <c r="V13" i="19"/>
  <c r="U13" i="19"/>
  <c r="W12" i="19"/>
  <c r="V12" i="19"/>
  <c r="U12" i="19"/>
  <c r="W11" i="19"/>
  <c r="V11" i="19"/>
  <c r="U11" i="19"/>
  <c r="W10" i="19"/>
  <c r="V10" i="19"/>
  <c r="U10" i="19"/>
  <c r="W9" i="19"/>
  <c r="V9" i="19"/>
  <c r="U9" i="19"/>
  <c r="W8" i="19"/>
  <c r="V8" i="19"/>
  <c r="U8" i="19"/>
  <c r="W7" i="19"/>
  <c r="V7" i="19"/>
  <c r="U7" i="19"/>
  <c r="W6" i="19"/>
  <c r="V6" i="19"/>
  <c r="U6" i="19"/>
  <c r="W5" i="19"/>
  <c r="V5" i="19"/>
  <c r="U5" i="19"/>
  <c r="W4" i="19"/>
  <c r="V4" i="19"/>
  <c r="U4" i="19"/>
  <c r="W3" i="19"/>
  <c r="V3" i="19"/>
  <c r="U3" i="19"/>
  <c r="W30" i="17"/>
  <c r="V30" i="17"/>
  <c r="U30" i="17"/>
  <c r="W29" i="17"/>
  <c r="V29" i="17"/>
  <c r="U29" i="17"/>
  <c r="W28" i="17"/>
  <c r="V28" i="17"/>
  <c r="U28" i="17"/>
  <c r="W27" i="17"/>
  <c r="V27" i="17"/>
  <c r="U27" i="17"/>
  <c r="W26" i="17"/>
  <c r="V26" i="17"/>
  <c r="U26" i="17"/>
  <c r="W25" i="17"/>
  <c r="V25" i="17"/>
  <c r="U25" i="17"/>
  <c r="W24" i="17"/>
  <c r="V24" i="17"/>
  <c r="U24" i="17"/>
  <c r="W23" i="17"/>
  <c r="V23" i="17"/>
  <c r="U23" i="17"/>
  <c r="W22" i="17"/>
  <c r="V22" i="17"/>
  <c r="U22" i="17"/>
  <c r="W21" i="17"/>
  <c r="V21" i="17"/>
  <c r="U21" i="17"/>
  <c r="W20" i="17"/>
  <c r="V20" i="17"/>
  <c r="U20" i="17"/>
  <c r="W19" i="17"/>
  <c r="V19" i="17"/>
  <c r="U19" i="17"/>
  <c r="W18" i="17"/>
  <c r="V18" i="17"/>
  <c r="U18" i="17"/>
  <c r="W17" i="17"/>
  <c r="V17" i="17"/>
  <c r="U17" i="17"/>
  <c r="W16" i="17"/>
  <c r="V16" i="17"/>
  <c r="U16" i="17"/>
  <c r="W15" i="17"/>
  <c r="V15" i="17"/>
  <c r="U15" i="17"/>
  <c r="W14" i="17"/>
  <c r="V14" i="17"/>
  <c r="U14" i="17"/>
  <c r="W13" i="17"/>
  <c r="V13" i="17"/>
  <c r="U13" i="17"/>
  <c r="W12" i="17"/>
  <c r="V12" i="17"/>
  <c r="U12" i="17"/>
  <c r="W11" i="17"/>
  <c r="V11" i="17"/>
  <c r="U11" i="17"/>
  <c r="W10" i="17"/>
  <c r="V10" i="17"/>
  <c r="U10" i="17"/>
  <c r="W9" i="17"/>
  <c r="V9" i="17"/>
  <c r="U9" i="17"/>
  <c r="W8" i="17"/>
  <c r="V8" i="17"/>
  <c r="U8" i="17"/>
  <c r="W7" i="17"/>
  <c r="V7" i="17"/>
  <c r="U7" i="17"/>
  <c r="W6" i="17"/>
  <c r="V6" i="17"/>
  <c r="U6" i="17"/>
  <c r="W5" i="17"/>
  <c r="V5" i="17"/>
  <c r="U5" i="17"/>
  <c r="W4" i="17"/>
  <c r="V4" i="17"/>
  <c r="U4" i="17"/>
  <c r="W3" i="17"/>
  <c r="V3" i="17"/>
  <c r="U3" i="17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D13" i="21"/>
  <c r="C13" i="21"/>
  <c r="D12" i="21"/>
  <c r="D11" i="21"/>
  <c r="D10" i="21"/>
  <c r="C10" i="21"/>
  <c r="C11" i="21" s="1"/>
  <c r="C12" i="21" s="1"/>
  <c r="D9" i="21"/>
  <c r="D8" i="21"/>
  <c r="C8" i="21"/>
  <c r="C9" i="21" s="1"/>
  <c r="D7" i="21"/>
  <c r="C7" i="21"/>
  <c r="D6" i="21"/>
  <c r="C6" i="21"/>
  <c r="O5" i="21"/>
  <c r="O6" i="21" s="1"/>
  <c r="V6" i="21" s="1"/>
  <c r="J5" i="21"/>
  <c r="U5" i="21" s="1"/>
  <c r="D5" i="21"/>
  <c r="C5" i="21"/>
  <c r="B5" i="21"/>
  <c r="B6" i="21" s="1"/>
  <c r="T4" i="21"/>
  <c r="W4" i="21" s="1"/>
  <c r="O4" i="21"/>
  <c r="V4" i="21" s="1"/>
  <c r="J4" i="21"/>
  <c r="U4" i="21" s="1"/>
  <c r="W2" i="21"/>
  <c r="V2" i="21"/>
  <c r="U2" i="21"/>
  <c r="BO1" i="21"/>
  <c r="AT1" i="21"/>
  <c r="Y1" i="21"/>
  <c r="J8" i="25" l="1"/>
  <c r="U7" i="25"/>
  <c r="V7" i="25"/>
  <c r="O8" i="25"/>
  <c r="W7" i="25"/>
  <c r="T8" i="25"/>
  <c r="B12" i="23"/>
  <c r="A12" i="23" s="1"/>
  <c r="V9" i="23"/>
  <c r="O10" i="23"/>
  <c r="U6" i="23"/>
  <c r="J7" i="23"/>
  <c r="W9" i="23"/>
  <c r="T10" i="23"/>
  <c r="J6" i="22"/>
  <c r="U5" i="22"/>
  <c r="B7" i="22"/>
  <c r="A6" i="22"/>
  <c r="V8" i="22"/>
  <c r="O9" i="22"/>
  <c r="T7" i="22"/>
  <c r="W6" i="22"/>
  <c r="A5" i="21"/>
  <c r="V5" i="21"/>
  <c r="B7" i="21"/>
  <c r="A7" i="21" s="1"/>
  <c r="O7" i="21"/>
  <c r="V7" i="21" s="1"/>
  <c r="T5" i="21"/>
  <c r="W5" i="21" s="1"/>
  <c r="J6" i="21"/>
  <c r="U6" i="21" s="1"/>
  <c r="A6" i="21"/>
  <c r="T30" i="20"/>
  <c r="O30" i="20"/>
  <c r="J30" i="20"/>
  <c r="D30" i="20"/>
  <c r="C30" i="20"/>
  <c r="B30" i="20"/>
  <c r="A30" i="20"/>
  <c r="T29" i="20"/>
  <c r="O29" i="20"/>
  <c r="J29" i="20"/>
  <c r="D29" i="20"/>
  <c r="C29" i="20"/>
  <c r="B29" i="20"/>
  <c r="A29" i="20"/>
  <c r="T28" i="20"/>
  <c r="O28" i="20"/>
  <c r="J28" i="20"/>
  <c r="D28" i="20"/>
  <c r="C28" i="20"/>
  <c r="B28" i="20"/>
  <c r="A28" i="20"/>
  <c r="T27" i="20"/>
  <c r="O27" i="20"/>
  <c r="J27" i="20"/>
  <c r="D27" i="20"/>
  <c r="C27" i="20"/>
  <c r="B27" i="20"/>
  <c r="A27" i="20"/>
  <c r="T26" i="20"/>
  <c r="O26" i="20"/>
  <c r="J26" i="20"/>
  <c r="D26" i="20"/>
  <c r="C26" i="20"/>
  <c r="B26" i="20"/>
  <c r="A26" i="20"/>
  <c r="T25" i="20"/>
  <c r="O25" i="20"/>
  <c r="J25" i="20"/>
  <c r="D25" i="20"/>
  <c r="C25" i="20"/>
  <c r="B25" i="20"/>
  <c r="A25" i="20"/>
  <c r="T24" i="20"/>
  <c r="O24" i="20"/>
  <c r="J24" i="20"/>
  <c r="D24" i="20"/>
  <c r="C24" i="20"/>
  <c r="B24" i="20"/>
  <c r="A24" i="20"/>
  <c r="T23" i="20"/>
  <c r="O23" i="20"/>
  <c r="J23" i="20"/>
  <c r="D23" i="20"/>
  <c r="C23" i="20"/>
  <c r="B23" i="20"/>
  <c r="A23" i="20"/>
  <c r="T22" i="20"/>
  <c r="O22" i="20"/>
  <c r="J22" i="20"/>
  <c r="D22" i="20"/>
  <c r="C22" i="20"/>
  <c r="B22" i="20"/>
  <c r="A22" i="20"/>
  <c r="T21" i="20"/>
  <c r="O21" i="20"/>
  <c r="J21" i="20"/>
  <c r="D21" i="20"/>
  <c r="C21" i="20"/>
  <c r="B21" i="20"/>
  <c r="A21" i="20"/>
  <c r="T20" i="20"/>
  <c r="O20" i="20"/>
  <c r="J20" i="20"/>
  <c r="D20" i="20"/>
  <c r="C20" i="20"/>
  <c r="B20" i="20"/>
  <c r="A20" i="20"/>
  <c r="T19" i="20"/>
  <c r="O19" i="20"/>
  <c r="J19" i="20"/>
  <c r="D19" i="20"/>
  <c r="C19" i="20"/>
  <c r="B19" i="20"/>
  <c r="A19" i="20"/>
  <c r="T18" i="20"/>
  <c r="O18" i="20"/>
  <c r="J18" i="20"/>
  <c r="D18" i="20"/>
  <c r="C18" i="20"/>
  <c r="B18" i="20"/>
  <c r="A18" i="20"/>
  <c r="T17" i="20"/>
  <c r="O17" i="20"/>
  <c r="J17" i="20"/>
  <c r="D17" i="20"/>
  <c r="C17" i="20"/>
  <c r="B17" i="20"/>
  <c r="A17" i="20"/>
  <c r="T16" i="20"/>
  <c r="O16" i="20"/>
  <c r="J16" i="20"/>
  <c r="D16" i="20"/>
  <c r="C16" i="20"/>
  <c r="B16" i="20"/>
  <c r="A16" i="20"/>
  <c r="T15" i="20"/>
  <c r="O15" i="20"/>
  <c r="J15" i="20"/>
  <c r="D15" i="20"/>
  <c r="C15" i="20"/>
  <c r="B15" i="20"/>
  <c r="A15" i="20"/>
  <c r="T14" i="20"/>
  <c r="O14" i="20"/>
  <c r="J14" i="20"/>
  <c r="D14" i="20"/>
  <c r="C14" i="20"/>
  <c r="B14" i="20"/>
  <c r="A14" i="20" s="1"/>
  <c r="T13" i="20"/>
  <c r="O13" i="20"/>
  <c r="J13" i="20"/>
  <c r="D13" i="20"/>
  <c r="C13" i="20"/>
  <c r="B13" i="20"/>
  <c r="A13" i="20" s="1"/>
  <c r="T12" i="20"/>
  <c r="O12" i="20"/>
  <c r="J12" i="20"/>
  <c r="D12" i="20"/>
  <c r="C12" i="20"/>
  <c r="B12" i="20"/>
  <c r="A12" i="20" s="1"/>
  <c r="D11" i="20"/>
  <c r="C11" i="20"/>
  <c r="D10" i="20"/>
  <c r="D9" i="20"/>
  <c r="C9" i="20"/>
  <c r="C10" i="20" s="1"/>
  <c r="D8" i="20"/>
  <c r="C8" i="20"/>
  <c r="D7" i="20"/>
  <c r="C7" i="20"/>
  <c r="B7" i="20"/>
  <c r="D6" i="20"/>
  <c r="B6" i="20"/>
  <c r="T5" i="20"/>
  <c r="O5" i="20"/>
  <c r="O6" i="20" s="1"/>
  <c r="D5" i="20"/>
  <c r="C5" i="20"/>
  <c r="C6" i="20" s="1"/>
  <c r="B5" i="20"/>
  <c r="A5" i="20" s="1"/>
  <c r="T4" i="20"/>
  <c r="O4" i="20"/>
  <c r="J4" i="20"/>
  <c r="W2" i="20"/>
  <c r="V2" i="20"/>
  <c r="U2" i="20"/>
  <c r="BO1" i="20"/>
  <c r="AT1" i="20"/>
  <c r="Y1" i="20"/>
  <c r="W8" i="25" l="1"/>
  <c r="T9" i="25"/>
  <c r="W9" i="25" s="1"/>
  <c r="V8" i="25"/>
  <c r="O9" i="25"/>
  <c r="V9" i="25" s="1"/>
  <c r="U8" i="25"/>
  <c r="J9" i="25"/>
  <c r="U9" i="25" s="1"/>
  <c r="J8" i="23"/>
  <c r="U7" i="23"/>
  <c r="W10" i="23"/>
  <c r="T11" i="23"/>
  <c r="V10" i="23"/>
  <c r="O11" i="23"/>
  <c r="A7" i="22"/>
  <c r="W7" i="22"/>
  <c r="T8" i="22"/>
  <c r="O10" i="22"/>
  <c r="V9" i="22"/>
  <c r="U6" i="22"/>
  <c r="J7" i="22"/>
  <c r="B8" i="22"/>
  <c r="A8" i="22" s="1"/>
  <c r="J7" i="21"/>
  <c r="U7" i="21" s="1"/>
  <c r="T6" i="21"/>
  <c r="W6" i="21" s="1"/>
  <c r="O8" i="21"/>
  <c r="V8" i="21" s="1"/>
  <c r="B8" i="21"/>
  <c r="O7" i="20"/>
  <c r="A8" i="20"/>
  <c r="A6" i="20"/>
  <c r="J5" i="20"/>
  <c r="A7" i="20"/>
  <c r="B8" i="20"/>
  <c r="T6" i="20"/>
  <c r="Y1" i="19"/>
  <c r="AT1" i="19"/>
  <c r="BO1" i="19"/>
  <c r="U2" i="19"/>
  <c r="V2" i="19"/>
  <c r="W2" i="19"/>
  <c r="J4" i="19"/>
  <c r="O4" i="19"/>
  <c r="T4" i="19"/>
  <c r="B5" i="19"/>
  <c r="A5" i="19" s="1"/>
  <c r="C5" i="19"/>
  <c r="D5" i="19"/>
  <c r="J5" i="19"/>
  <c r="O5" i="19"/>
  <c r="T5" i="19"/>
  <c r="B6" i="19"/>
  <c r="A6" i="19" s="1"/>
  <c r="C6" i="19"/>
  <c r="D6" i="19"/>
  <c r="J6" i="19"/>
  <c r="O6" i="19"/>
  <c r="T6" i="19"/>
  <c r="B7" i="19"/>
  <c r="A7" i="19" s="1"/>
  <c r="C7" i="19"/>
  <c r="D7" i="19"/>
  <c r="J7" i="19"/>
  <c r="O7" i="19"/>
  <c r="T7" i="19"/>
  <c r="B8" i="19"/>
  <c r="A8" i="19" s="1"/>
  <c r="C8" i="19"/>
  <c r="D8" i="19"/>
  <c r="J8" i="19"/>
  <c r="O8" i="19"/>
  <c r="T8" i="19"/>
  <c r="B9" i="19"/>
  <c r="A9" i="19" s="1"/>
  <c r="C9" i="19"/>
  <c r="D9" i="19"/>
  <c r="J9" i="19"/>
  <c r="O9" i="19"/>
  <c r="T9" i="19"/>
  <c r="A10" i="19"/>
  <c r="B10" i="19"/>
  <c r="C10" i="19"/>
  <c r="D10" i="19"/>
  <c r="J10" i="19"/>
  <c r="O10" i="19"/>
  <c r="T10" i="19"/>
  <c r="B11" i="19"/>
  <c r="A11" i="19" s="1"/>
  <c r="C11" i="19"/>
  <c r="D11" i="19"/>
  <c r="J11" i="19"/>
  <c r="O11" i="19"/>
  <c r="T11" i="19"/>
  <c r="B12" i="19"/>
  <c r="A12" i="19" s="1"/>
  <c r="C12" i="19"/>
  <c r="D12" i="19"/>
  <c r="J12" i="19"/>
  <c r="O12" i="19"/>
  <c r="T12" i="19"/>
  <c r="A13" i="19"/>
  <c r="B13" i="19"/>
  <c r="C13" i="19"/>
  <c r="D13" i="19"/>
  <c r="J13" i="19"/>
  <c r="O13" i="19"/>
  <c r="T13" i="19"/>
  <c r="A14" i="19"/>
  <c r="B14" i="19"/>
  <c r="C14" i="19"/>
  <c r="D14" i="19"/>
  <c r="J14" i="19"/>
  <c r="O14" i="19"/>
  <c r="T14" i="19"/>
  <c r="A15" i="19"/>
  <c r="B15" i="19"/>
  <c r="C15" i="19"/>
  <c r="D15" i="19"/>
  <c r="J15" i="19"/>
  <c r="O15" i="19"/>
  <c r="T15" i="19"/>
  <c r="A16" i="19"/>
  <c r="B16" i="19"/>
  <c r="C16" i="19"/>
  <c r="D16" i="19"/>
  <c r="J16" i="19"/>
  <c r="O16" i="19"/>
  <c r="T16" i="19"/>
  <c r="A17" i="19"/>
  <c r="B17" i="19"/>
  <c r="C17" i="19"/>
  <c r="D17" i="19"/>
  <c r="J17" i="19"/>
  <c r="O17" i="19"/>
  <c r="T17" i="19"/>
  <c r="A18" i="19"/>
  <c r="B18" i="19"/>
  <c r="C18" i="19"/>
  <c r="D18" i="19"/>
  <c r="J18" i="19"/>
  <c r="O18" i="19"/>
  <c r="T18" i="19"/>
  <c r="A19" i="19"/>
  <c r="B19" i="19"/>
  <c r="C19" i="19"/>
  <c r="D19" i="19"/>
  <c r="J19" i="19"/>
  <c r="O19" i="19"/>
  <c r="T19" i="19"/>
  <c r="A20" i="19"/>
  <c r="B20" i="19"/>
  <c r="C20" i="19"/>
  <c r="D20" i="19"/>
  <c r="J20" i="19"/>
  <c r="O20" i="19"/>
  <c r="T20" i="19"/>
  <c r="A21" i="19"/>
  <c r="B21" i="19"/>
  <c r="C21" i="19"/>
  <c r="D21" i="19"/>
  <c r="J21" i="19"/>
  <c r="O21" i="19"/>
  <c r="T21" i="19"/>
  <c r="A22" i="19"/>
  <c r="B22" i="19"/>
  <c r="C22" i="19"/>
  <c r="D22" i="19"/>
  <c r="J22" i="19"/>
  <c r="O22" i="19"/>
  <c r="T22" i="19"/>
  <c r="A23" i="19"/>
  <c r="B23" i="19"/>
  <c r="C23" i="19"/>
  <c r="D23" i="19"/>
  <c r="J23" i="19"/>
  <c r="O23" i="19"/>
  <c r="T23" i="19"/>
  <c r="A24" i="19"/>
  <c r="B24" i="19"/>
  <c r="C24" i="19"/>
  <c r="D24" i="19"/>
  <c r="J24" i="19"/>
  <c r="O24" i="19"/>
  <c r="T24" i="19"/>
  <c r="A25" i="19"/>
  <c r="B25" i="19"/>
  <c r="C25" i="19"/>
  <c r="D25" i="19"/>
  <c r="J25" i="19"/>
  <c r="O25" i="19"/>
  <c r="T25" i="19"/>
  <c r="A26" i="19"/>
  <c r="B26" i="19"/>
  <c r="C26" i="19"/>
  <c r="D26" i="19"/>
  <c r="J26" i="19"/>
  <c r="O26" i="19"/>
  <c r="T26" i="19"/>
  <c r="A27" i="19"/>
  <c r="B27" i="19"/>
  <c r="C27" i="19"/>
  <c r="D27" i="19"/>
  <c r="J27" i="19"/>
  <c r="O27" i="19"/>
  <c r="T27" i="19"/>
  <c r="A28" i="19"/>
  <c r="B28" i="19"/>
  <c r="C28" i="19"/>
  <c r="D28" i="19"/>
  <c r="J28" i="19"/>
  <c r="O28" i="19"/>
  <c r="T28" i="19"/>
  <c r="A29" i="19"/>
  <c r="B29" i="19"/>
  <c r="C29" i="19"/>
  <c r="D29" i="19"/>
  <c r="J29" i="19"/>
  <c r="O29" i="19"/>
  <c r="T29" i="19"/>
  <c r="A30" i="19"/>
  <c r="B30" i="19"/>
  <c r="C30" i="19"/>
  <c r="D30" i="19"/>
  <c r="J30" i="19"/>
  <c r="O30" i="19"/>
  <c r="T30" i="19"/>
  <c r="T30" i="17"/>
  <c r="O30" i="17"/>
  <c r="J30" i="17"/>
  <c r="D30" i="17"/>
  <c r="C30" i="17"/>
  <c r="B30" i="17"/>
  <c r="A30" i="17"/>
  <c r="T29" i="17"/>
  <c r="O29" i="17"/>
  <c r="J29" i="17"/>
  <c r="D29" i="17"/>
  <c r="C29" i="17"/>
  <c r="B29" i="17"/>
  <c r="A29" i="17"/>
  <c r="T28" i="17"/>
  <c r="O28" i="17"/>
  <c r="J28" i="17"/>
  <c r="D28" i="17"/>
  <c r="C28" i="17"/>
  <c r="B28" i="17"/>
  <c r="A28" i="17"/>
  <c r="T27" i="17"/>
  <c r="O27" i="17"/>
  <c r="J27" i="17"/>
  <c r="D27" i="17"/>
  <c r="C27" i="17"/>
  <c r="B27" i="17"/>
  <c r="A27" i="17"/>
  <c r="T26" i="17"/>
  <c r="O26" i="17"/>
  <c r="J26" i="17"/>
  <c r="D26" i="17"/>
  <c r="C26" i="17"/>
  <c r="B26" i="17"/>
  <c r="A26" i="17"/>
  <c r="T25" i="17"/>
  <c r="O25" i="17"/>
  <c r="J25" i="17"/>
  <c r="D25" i="17"/>
  <c r="C25" i="17"/>
  <c r="B25" i="17"/>
  <c r="A25" i="17"/>
  <c r="T24" i="17"/>
  <c r="O24" i="17"/>
  <c r="J24" i="17"/>
  <c r="D24" i="17"/>
  <c r="C24" i="17"/>
  <c r="B24" i="17"/>
  <c r="A24" i="17"/>
  <c r="T23" i="17"/>
  <c r="O23" i="17"/>
  <c r="J23" i="17"/>
  <c r="D23" i="17"/>
  <c r="C23" i="17"/>
  <c r="B23" i="17"/>
  <c r="A23" i="17"/>
  <c r="T22" i="17"/>
  <c r="O22" i="17"/>
  <c r="J22" i="17"/>
  <c r="D22" i="17"/>
  <c r="C22" i="17"/>
  <c r="B22" i="17"/>
  <c r="A22" i="17"/>
  <c r="T21" i="17"/>
  <c r="O21" i="17"/>
  <c r="J21" i="17"/>
  <c r="D21" i="17"/>
  <c r="C21" i="17"/>
  <c r="B21" i="17"/>
  <c r="A21" i="17"/>
  <c r="T20" i="17"/>
  <c r="O20" i="17"/>
  <c r="J20" i="17"/>
  <c r="D20" i="17"/>
  <c r="C20" i="17"/>
  <c r="B20" i="17"/>
  <c r="A20" i="17"/>
  <c r="T19" i="17"/>
  <c r="O19" i="17"/>
  <c r="J19" i="17"/>
  <c r="D19" i="17"/>
  <c r="C19" i="17"/>
  <c r="B19" i="17"/>
  <c r="A19" i="17"/>
  <c r="T18" i="17"/>
  <c r="O18" i="17"/>
  <c r="J18" i="17"/>
  <c r="D18" i="17"/>
  <c r="C18" i="17"/>
  <c r="B18" i="17"/>
  <c r="A18" i="17"/>
  <c r="T17" i="17"/>
  <c r="O17" i="17"/>
  <c r="J17" i="17"/>
  <c r="D17" i="17"/>
  <c r="C17" i="17"/>
  <c r="B17" i="17"/>
  <c r="A17" i="17"/>
  <c r="T16" i="17"/>
  <c r="O16" i="17"/>
  <c r="J16" i="17"/>
  <c r="D16" i="17"/>
  <c r="C16" i="17"/>
  <c r="B16" i="17"/>
  <c r="A16" i="17"/>
  <c r="T15" i="17"/>
  <c r="O15" i="17"/>
  <c r="J15" i="17"/>
  <c r="D15" i="17"/>
  <c r="C15" i="17"/>
  <c r="B15" i="17"/>
  <c r="A15" i="17"/>
  <c r="T14" i="17"/>
  <c r="O14" i="17"/>
  <c r="J14" i="17"/>
  <c r="D14" i="17"/>
  <c r="C14" i="17"/>
  <c r="B14" i="17"/>
  <c r="A14" i="17"/>
  <c r="T13" i="17"/>
  <c r="O13" i="17"/>
  <c r="J13" i="17"/>
  <c r="D13" i="17"/>
  <c r="C13" i="17"/>
  <c r="B13" i="17"/>
  <c r="A13" i="17"/>
  <c r="T12" i="17"/>
  <c r="O12" i="17"/>
  <c r="J12" i="17"/>
  <c r="D12" i="17"/>
  <c r="C12" i="17"/>
  <c r="B12" i="17"/>
  <c r="A12" i="17"/>
  <c r="D11" i="17"/>
  <c r="C11" i="17"/>
  <c r="D10" i="17"/>
  <c r="D9" i="17"/>
  <c r="C9" i="17"/>
  <c r="C10" i="17" s="1"/>
  <c r="D8" i="17"/>
  <c r="D7" i="17"/>
  <c r="D6" i="17"/>
  <c r="O5" i="17"/>
  <c r="D5" i="17"/>
  <c r="C5" i="17"/>
  <c r="C6" i="17" s="1"/>
  <c r="C7" i="17" s="1"/>
  <c r="C8" i="17" s="1"/>
  <c r="B5" i="17"/>
  <c r="A5" i="17" s="1"/>
  <c r="T4" i="17"/>
  <c r="T5" i="17" s="1"/>
  <c r="O4" i="17"/>
  <c r="J4" i="17"/>
  <c r="W2" i="17"/>
  <c r="V2" i="17"/>
  <c r="U2" i="17"/>
  <c r="BO1" i="17"/>
  <c r="AT1" i="17"/>
  <c r="Y1" i="17"/>
  <c r="V11" i="23" l="1"/>
  <c r="O12" i="23"/>
  <c r="W11" i="23"/>
  <c r="T12" i="23"/>
  <c r="W12" i="23" s="1"/>
  <c r="U8" i="23"/>
  <c r="J9" i="23"/>
  <c r="V10" i="22"/>
  <c r="B9" i="22"/>
  <c r="A9" i="22" s="1"/>
  <c r="U7" i="22"/>
  <c r="J8" i="22"/>
  <c r="W8" i="22"/>
  <c r="T9" i="22"/>
  <c r="J8" i="21"/>
  <c r="U8" i="21" s="1"/>
  <c r="O9" i="21"/>
  <c r="V9" i="21" s="1"/>
  <c r="B9" i="21"/>
  <c r="A9" i="21" s="1"/>
  <c r="T7" i="21"/>
  <c r="W7" i="21" s="1"/>
  <c r="A8" i="21"/>
  <c r="O8" i="20"/>
  <c r="B9" i="20"/>
  <c r="T7" i="20"/>
  <c r="J6" i="20"/>
  <c r="B6" i="17"/>
  <c r="B7" i="17" s="1"/>
  <c r="J5" i="17"/>
  <c r="O6" i="17"/>
  <c r="B8" i="17"/>
  <c r="T6" i="17"/>
  <c r="V12" i="23" l="1"/>
  <c r="U9" i="23"/>
  <c r="J10" i="23"/>
  <c r="U8" i="22"/>
  <c r="J9" i="22"/>
  <c r="B10" i="22"/>
  <c r="A10" i="22"/>
  <c r="W9" i="22"/>
  <c r="T10" i="22"/>
  <c r="B10" i="21"/>
  <c r="A10" i="21" s="1"/>
  <c r="J9" i="21"/>
  <c r="U9" i="21" s="1"/>
  <c r="T8" i="21"/>
  <c r="W8" i="21" s="1"/>
  <c r="O10" i="21"/>
  <c r="V10" i="21" s="1"/>
  <c r="J7" i="20"/>
  <c r="T8" i="20"/>
  <c r="B10" i="20"/>
  <c r="A9" i="20"/>
  <c r="O9" i="20"/>
  <c r="A6" i="17"/>
  <c r="A7" i="17" s="1"/>
  <c r="A8" i="17" s="1"/>
  <c r="B9" i="17"/>
  <c r="T7" i="17"/>
  <c r="O7" i="17"/>
  <c r="J6" i="17"/>
  <c r="U10" i="23" l="1"/>
  <c r="J11" i="23"/>
  <c r="W10" i="22"/>
  <c r="U9" i="22"/>
  <c r="J10" i="22"/>
  <c r="T9" i="21"/>
  <c r="W9" i="21" s="1"/>
  <c r="B11" i="21"/>
  <c r="A11" i="21"/>
  <c r="O11" i="21"/>
  <c r="V11" i="21" s="1"/>
  <c r="J10" i="21"/>
  <c r="U10" i="21" s="1"/>
  <c r="B11" i="20"/>
  <c r="A11" i="20" s="1"/>
  <c r="A10" i="20"/>
  <c r="T9" i="20"/>
  <c r="O10" i="20"/>
  <c r="J8" i="20"/>
  <c r="A9" i="17"/>
  <c r="B10" i="17"/>
  <c r="J7" i="17"/>
  <c r="O8" i="17"/>
  <c r="T8" i="17"/>
  <c r="J12" i="23" l="1"/>
  <c r="U11" i="23"/>
  <c r="U10" i="22"/>
  <c r="O12" i="21"/>
  <c r="V12" i="21" s="1"/>
  <c r="B12" i="21"/>
  <c r="A12" i="21" s="1"/>
  <c r="J11" i="21"/>
  <c r="U11" i="21" s="1"/>
  <c r="T10" i="21"/>
  <c r="W10" i="21" s="1"/>
  <c r="O11" i="20"/>
  <c r="T10" i="20"/>
  <c r="J9" i="20"/>
  <c r="B11" i="17"/>
  <c r="O9" i="17"/>
  <c r="A10" i="17"/>
  <c r="A11" i="17" s="1"/>
  <c r="T9" i="17"/>
  <c r="J8" i="17"/>
  <c r="U12" i="23" l="1"/>
  <c r="J12" i="21"/>
  <c r="U12" i="21" s="1"/>
  <c r="O13" i="21"/>
  <c r="V13" i="21" s="1"/>
  <c r="T11" i="21"/>
  <c r="W11" i="21" s="1"/>
  <c r="B13" i="21"/>
  <c r="A13" i="21"/>
  <c r="T11" i="20"/>
  <c r="J10" i="20"/>
  <c r="J9" i="17"/>
  <c r="O10" i="17"/>
  <c r="T10" i="17"/>
  <c r="J13" i="21" l="1"/>
  <c r="U13" i="21" s="1"/>
  <c r="T12" i="21"/>
  <c r="W12" i="21" s="1"/>
  <c r="J11" i="20"/>
  <c r="J10" i="17"/>
  <c r="T11" i="17"/>
  <c r="O11" i="17"/>
  <c r="T13" i="21" l="1"/>
  <c r="W13" i="21" s="1"/>
  <c r="J11" i="17"/>
</calcChain>
</file>

<file path=xl/sharedStrings.xml><?xml version="1.0" encoding="utf-8"?>
<sst xmlns="http://schemas.openxmlformats.org/spreadsheetml/2006/main" count="1527" uniqueCount="169">
  <si>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</si>
  <si>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</si>
  <si>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</si>
  <si>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</si>
  <si>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</si>
  <si>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</si>
  <si>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</si>
  <si>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</si>
  <si>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</si>
  <si>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</si>
  <si>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</si>
  <si>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</si>
  <si>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</si>
  <si>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</si>
  <si>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</si>
  <si>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</si>
  <si>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</si>
  <si>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</si>
  <si>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</si>
  <si>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</si>
  <si>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</si>
  <si>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</si>
  <si>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</si>
  <si>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</si>
  <si>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</si>
  <si>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</si>
  <si>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</si>
  <si>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</si>
  <si>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</si>
  <si>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</si>
  <si>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</si>
  <si>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</si>
  <si>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</si>
  <si>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</si>
  <si>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</si>
  <si>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</si>
  <si>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</si>
  <si>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</si>
  <si>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</si>
  <si>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</si>
  <si>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</si>
  <si>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</si>
  <si>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</si>
  <si>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</si>
  <si>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</si>
  <si>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</si>
  <si>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</si>
  <si>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</si>
  <si>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</si>
  <si>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</si>
  <si>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</si>
  <si>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</si>
  <si>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</si>
  <si>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</si>
  <si>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</si>
  <si>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</si>
  <si>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</si>
  <si>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</si>
  <si>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</si>
  <si>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</si>
  <si>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</si>
  <si>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</si>
  <si>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</si>
  <si>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</si>
  <si>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</si>
  <si>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</si>
  <si>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</si>
  <si>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</si>
  <si>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</si>
  <si>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</si>
  <si>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</si>
  <si>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</si>
  <si>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</si>
  <si>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</si>
  <si>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</si>
  <si>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</si>
  <si>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</si>
  <si>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</si>
  <si>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</si>
  <si>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</si>
  <si>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</si>
  <si>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</si>
  <si>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</si>
  <si>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</si>
  <si>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</si>
  <si>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</si>
  <si>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</si>
  <si>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</si>
  <si>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</si>
  <si>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</si>
  <si>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</si>
  <si>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</si>
  <si>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</si>
  <si>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</si>
  <si>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</si>
  <si>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</si>
  <si>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</si>
  <si>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</si>
  <si>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</si>
  <si>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</si>
  <si>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</si>
  <si>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</si>
  <si>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</si>
  <si>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</si>
  <si>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</si>
  <si>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</si>
  <si>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</si>
  <si>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</si>
  <si>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</si>
  <si>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</si>
  <si>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</si>
  <si>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</si>
  <si>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</si>
  <si>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</si>
  <si>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</si>
  <si>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</si>
  <si>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</si>
  <si>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</si>
  <si>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</si>
  <si>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</si>
  <si>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</si>
  <si>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</si>
  <si>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</si>
  <si>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</si>
  <si>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</si>
  <si>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</si>
  <si>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</si>
  <si>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</si>
  <si>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</si>
  <si>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</si>
  <si>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</si>
  <si>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</si>
  <si>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</si>
  <si>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</si>
  <si>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</si>
  <si>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</si>
  <si>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</si>
  <si>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</si>
  <si>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ぱぱ</t>
  </si>
  <si>
    <t>ぱぱ</t>
    <phoneticPr fontId="1"/>
  </si>
  <si>
    <t>れんたろう</t>
  </si>
  <si>
    <t>れんたろう</t>
    <phoneticPr fontId="1"/>
  </si>
  <si>
    <t>ツモ支払</t>
  </si>
  <si>
    <t>ツモ</t>
  </si>
  <si>
    <t>01</t>
  </si>
  <si>
    <t>放銃</t>
  </si>
  <si>
    <t>ロン</t>
  </si>
  <si>
    <t>52</t>
  </si>
  <si>
    <t>02</t>
  </si>
  <si>
    <t>だいち</t>
    <phoneticPr fontId="1"/>
  </si>
  <si>
    <t>りくと</t>
  </si>
  <si>
    <t>りくと</t>
    <phoneticPr fontId="1"/>
  </si>
  <si>
    <t>たかの</t>
  </si>
  <si>
    <t>たかの</t>
    <phoneticPr fontId="1"/>
  </si>
  <si>
    <t>*</t>
  </si>
  <si>
    <t>だいち</t>
  </si>
  <si>
    <t>T</t>
  </si>
  <si>
    <t>N</t>
  </si>
  <si>
    <t>流局</t>
    <phoneticPr fontId="1"/>
  </si>
  <si>
    <t>まっつん</t>
  </si>
  <si>
    <t>まっつん</t>
    <phoneticPr fontId="1"/>
  </si>
  <si>
    <t>あさひ</t>
  </si>
  <si>
    <t>あさひ</t>
    <phoneticPr fontId="1"/>
  </si>
  <si>
    <t>いっしー</t>
  </si>
  <si>
    <t>いっしー</t>
    <phoneticPr fontId="1"/>
  </si>
  <si>
    <t>ただ</t>
  </si>
  <si>
    <t>ただ</t>
    <phoneticPr fontId="1"/>
  </si>
  <si>
    <t>流局</t>
    <phoneticPr fontId="1"/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</si>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</sst>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1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DDDFE-5D94-4875-9506-50284877B9AF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93" t="s">
        <v>0</v>
      </c>
      <c r="B1" s="95" t="s">
        <v>2</v>
      </c>
      <c r="C1" s="95" t="s">
        <v>1</v>
      </c>
      <c r="D1" s="95" t="s">
        <v>21</v>
      </c>
      <c r="E1" s="97" t="s">
        <v>3</v>
      </c>
      <c r="F1" s="89" t="s">
        <v>151</v>
      </c>
      <c r="G1" s="90"/>
      <c r="H1" s="90"/>
      <c r="I1" s="91"/>
      <c r="J1" s="92"/>
      <c r="K1" s="89" t="s">
        <v>139</v>
      </c>
      <c r="L1" s="90"/>
      <c r="M1" s="90"/>
      <c r="N1" s="91"/>
      <c r="O1" s="92"/>
      <c r="P1" s="89" t="s">
        <v>153</v>
      </c>
      <c r="Q1" s="90"/>
      <c r="R1" s="90"/>
      <c r="S1" s="91"/>
      <c r="T1" s="92"/>
      <c r="U1" s="89" t="s">
        <v>6</v>
      </c>
      <c r="V1" s="90"/>
      <c r="W1" s="92"/>
      <c r="Y1" s="89" t="str">
        <f>F1</f>
        <v>りくと</v>
      </c>
      <c r="Z1" s="10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2"/>
      <c r="AT1" s="89" t="str">
        <f>K1</f>
        <v>ぱぱ</v>
      </c>
      <c r="AU1" s="100"/>
      <c r="AV1" s="90"/>
      <c r="AW1" s="90"/>
      <c r="AX1" s="90"/>
      <c r="AY1" s="90"/>
      <c r="AZ1" s="90"/>
      <c r="BA1" s="90"/>
      <c r="BB1" s="90"/>
      <c r="BC1" s="90"/>
      <c r="BD1" s="90"/>
      <c r="BE1" s="90"/>
      <c r="BF1" s="90"/>
      <c r="BG1" s="90"/>
      <c r="BH1" s="90"/>
      <c r="BI1" s="90"/>
      <c r="BJ1" s="90"/>
      <c r="BK1" s="90"/>
      <c r="BL1" s="90"/>
      <c r="BM1" s="90"/>
      <c r="BN1" s="92"/>
      <c r="BO1" s="89" t="str">
        <f>P1</f>
        <v>たかの</v>
      </c>
      <c r="BP1" s="100"/>
      <c r="BQ1" s="90"/>
      <c r="BR1" s="90"/>
      <c r="BS1" s="90"/>
      <c r="BT1" s="90"/>
      <c r="BU1" s="90"/>
      <c r="BV1" s="90"/>
      <c r="BW1" s="90"/>
      <c r="BX1" s="90"/>
      <c r="BY1" s="90"/>
      <c r="BZ1" s="90"/>
      <c r="CA1" s="90"/>
      <c r="CB1" s="90"/>
      <c r="CC1" s="90"/>
      <c r="CD1" s="90"/>
      <c r="CE1" s="90"/>
      <c r="CF1" s="90"/>
      <c r="CG1" s="90"/>
      <c r="CH1" s="90"/>
      <c r="CI1" s="92"/>
    </row>
    <row r="2" spans="1:87" x14ac:dyDescent="0.4">
      <c r="A2" s="94"/>
      <c r="B2" s="96"/>
      <c r="C2" s="96"/>
      <c r="D2" s="96"/>
      <c r="E2" s="9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ぱぱ</v>
      </c>
      <c r="W2" s="16" t="str">
        <f>$P$1</f>
        <v>たかの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99" t="s">
        <v>20</v>
      </c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99" t="s">
        <v>20</v>
      </c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99" t="s">
        <v>20</v>
      </c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99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100000</v>
      </c>
      <c r="K3" s="7"/>
      <c r="L3" s="23"/>
      <c r="M3" s="23"/>
      <c r="N3" s="47"/>
      <c r="O3" s="20">
        <v>100000</v>
      </c>
      <c r="P3" s="7"/>
      <c r="Q3" s="23"/>
      <c r="R3" s="23"/>
      <c r="S3" s="47"/>
      <c r="T3" s="20">
        <v>100000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150</v>
      </c>
      <c r="F4" s="8" t="s">
        <v>142</v>
      </c>
      <c r="G4" s="9">
        <v>-2000</v>
      </c>
      <c r="H4" s="9"/>
      <c r="I4" s="48">
        <v>0</v>
      </c>
      <c r="J4" s="21">
        <f>IF(COUNTA($F4,$K4,$P4)&gt;0,J3+SUM(G4:I4),"")</f>
        <v>98000</v>
      </c>
      <c r="K4" s="8" t="s">
        <v>142</v>
      </c>
      <c r="L4" s="9">
        <v>-1200</v>
      </c>
      <c r="M4" s="9"/>
      <c r="N4" s="48">
        <v>0</v>
      </c>
      <c r="O4" s="21">
        <f>IF(COUNTA($F4,$K4,$P4)&gt;0,O3+SUM(L4:N4),"")</f>
        <v>98800</v>
      </c>
      <c r="P4" s="8" t="s">
        <v>143</v>
      </c>
      <c r="Q4" s="9">
        <v>3200</v>
      </c>
      <c r="R4" s="9"/>
      <c r="S4" s="48">
        <v>0</v>
      </c>
      <c r="T4" s="21">
        <f>IF(COUNTA($F4,$K4,$P4)&gt;0,T3+SUM(Q4:S4),"")</f>
        <v>103200</v>
      </c>
      <c r="U4" s="53">
        <f t="shared" ref="U4:U30" si="0">IF($J4="","",ROUND(($J4-$J$3)/1000,1))</f>
        <v>-2</v>
      </c>
      <c r="V4" s="54">
        <f t="shared" ref="V4:V30" si="1">IF($O4="","",ROUND(($O4-$O$3)/1000,1))</f>
        <v>-1.2</v>
      </c>
      <c r="W4" s="55">
        <f t="shared" ref="W4:W30" si="2">IF($T4="","",ROUND(($T4-$T$3)/1000,1))</f>
        <v>3.2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3</v>
      </c>
      <c r="BT4" s="30">
        <v>25</v>
      </c>
      <c r="BU4" s="40" t="s">
        <v>82</v>
      </c>
      <c r="BV4" s="41" t="s">
        <v>101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138</v>
      </c>
      <c r="F5" s="8"/>
      <c r="G5" s="9"/>
      <c r="H5" s="9"/>
      <c r="I5" s="48"/>
      <c r="J5" s="21">
        <f t="shared" ref="J5:J30" si="5">IF(COUNTA($F5,$K5,$P5)&gt;0,J4+SUM(G5:I5),"")</f>
        <v>98000</v>
      </c>
      <c r="K5" s="8" t="s">
        <v>146</v>
      </c>
      <c r="L5" s="9">
        <v>5800</v>
      </c>
      <c r="M5" s="9"/>
      <c r="N5" s="48">
        <v>0</v>
      </c>
      <c r="O5" s="21">
        <f t="shared" ref="O5:O30" si="6">IF(COUNTA($F5,$K5,$P5)&gt;0,O4+SUM(L5:N5),"")</f>
        <v>104600</v>
      </c>
      <c r="P5" s="8" t="s">
        <v>145</v>
      </c>
      <c r="Q5" s="9">
        <v>-5800</v>
      </c>
      <c r="R5" s="9"/>
      <c r="S5" s="48">
        <v>0</v>
      </c>
      <c r="T5" s="21">
        <f t="shared" ref="T5:T30" si="7">IF(COUNTA($F5,$K5,$P5)&gt;0,T4+SUM(Q5:S5),"")</f>
        <v>97400</v>
      </c>
      <c r="U5" s="53">
        <f t="shared" si="0"/>
        <v>-2</v>
      </c>
      <c r="V5" s="54">
        <f t="shared" si="1"/>
        <v>4.5999999999999996</v>
      </c>
      <c r="W5" s="55">
        <f t="shared" si="2"/>
        <v>-2.6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3</v>
      </c>
      <c r="AY5" s="30">
        <v>30</v>
      </c>
      <c r="AZ5" s="40" t="s">
        <v>86</v>
      </c>
      <c r="BA5" s="41" t="s">
        <v>79</v>
      </c>
      <c r="BB5" s="41" t="s">
        <v>79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1</v>
      </c>
      <c r="D6" s="18">
        <f t="shared" si="4"/>
        <v>0</v>
      </c>
      <c r="E6" s="4" t="s">
        <v>138</v>
      </c>
      <c r="F6" s="8" t="s">
        <v>143</v>
      </c>
      <c r="G6" s="9">
        <v>7700</v>
      </c>
      <c r="H6" s="9"/>
      <c r="I6" s="48">
        <v>1000</v>
      </c>
      <c r="J6" s="21">
        <f t="shared" si="5"/>
        <v>106700</v>
      </c>
      <c r="K6" s="8" t="s">
        <v>142</v>
      </c>
      <c r="L6" s="9">
        <v>-4800</v>
      </c>
      <c r="M6" s="9"/>
      <c r="N6" s="48">
        <v>-500</v>
      </c>
      <c r="O6" s="21">
        <f t="shared" si="6"/>
        <v>99300</v>
      </c>
      <c r="P6" s="8" t="s">
        <v>142</v>
      </c>
      <c r="Q6" s="9">
        <v>-2900</v>
      </c>
      <c r="R6" s="9"/>
      <c r="S6" s="48">
        <v>-500</v>
      </c>
      <c r="T6" s="21">
        <f t="shared" si="7"/>
        <v>94000</v>
      </c>
      <c r="U6" s="53">
        <f t="shared" si="0"/>
        <v>6.7</v>
      </c>
      <c r="V6" s="54">
        <f t="shared" si="1"/>
        <v>-0.7</v>
      </c>
      <c r="W6" s="55">
        <f t="shared" si="2"/>
        <v>-6</v>
      </c>
      <c r="Y6" s="8"/>
      <c r="Z6" s="34"/>
      <c r="AA6" s="26"/>
      <c r="AB6" s="26"/>
      <c r="AC6" s="26">
        <v>4</v>
      </c>
      <c r="AD6" s="30">
        <v>30</v>
      </c>
      <c r="AE6" s="40" t="s">
        <v>82</v>
      </c>
      <c r="AF6" s="41" t="s">
        <v>87</v>
      </c>
      <c r="AG6" s="41" t="s">
        <v>147</v>
      </c>
      <c r="AH6" s="41" t="s">
        <v>79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">
        <v>152</v>
      </c>
      <c r="F7" s="8" t="s">
        <v>146</v>
      </c>
      <c r="G7" s="9">
        <v>3900</v>
      </c>
      <c r="H7" s="9"/>
      <c r="I7" s="48">
        <v>0</v>
      </c>
      <c r="J7" s="21">
        <f t="shared" si="5"/>
        <v>110600</v>
      </c>
      <c r="K7" s="8"/>
      <c r="L7" s="9"/>
      <c r="M7" s="9"/>
      <c r="N7" s="48"/>
      <c r="O7" s="21">
        <f t="shared" si="6"/>
        <v>99300</v>
      </c>
      <c r="P7" s="8" t="s">
        <v>145</v>
      </c>
      <c r="Q7" s="9">
        <v>-3900</v>
      </c>
      <c r="R7" s="9"/>
      <c r="S7" s="48">
        <v>0</v>
      </c>
      <c r="T7" s="21">
        <f t="shared" si="7"/>
        <v>90100</v>
      </c>
      <c r="U7" s="53">
        <f t="shared" si="0"/>
        <v>10.6</v>
      </c>
      <c r="V7" s="54">
        <f t="shared" si="1"/>
        <v>-0.7</v>
      </c>
      <c r="W7" s="55">
        <f t="shared" si="2"/>
        <v>-9.9</v>
      </c>
      <c r="Y7" s="8"/>
      <c r="Z7" s="34"/>
      <c r="AA7" s="26">
        <v>1</v>
      </c>
      <c r="AB7" s="26"/>
      <c r="AC7" s="26">
        <v>3</v>
      </c>
      <c r="AD7" s="30">
        <v>30</v>
      </c>
      <c r="AE7" s="40" t="s">
        <v>144</v>
      </c>
      <c r="AF7" s="41" t="s">
        <v>85</v>
      </c>
      <c r="AG7" s="41" t="s">
        <v>83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0</v>
      </c>
      <c r="D8" s="18">
        <f t="shared" si="4"/>
        <v>0</v>
      </c>
      <c r="E8" s="4" t="s">
        <v>150</v>
      </c>
      <c r="F8" s="8" t="s">
        <v>145</v>
      </c>
      <c r="G8" s="9">
        <v>-8000</v>
      </c>
      <c r="H8" s="9"/>
      <c r="I8" s="48">
        <v>0</v>
      </c>
      <c r="J8" s="21">
        <f t="shared" si="5"/>
        <v>102600</v>
      </c>
      <c r="K8" s="8"/>
      <c r="L8" s="9"/>
      <c r="M8" s="9"/>
      <c r="N8" s="48"/>
      <c r="O8" s="21">
        <f t="shared" si="6"/>
        <v>99300</v>
      </c>
      <c r="P8" s="8" t="s">
        <v>146</v>
      </c>
      <c r="Q8" s="9">
        <v>8000</v>
      </c>
      <c r="R8" s="9"/>
      <c r="S8" s="48">
        <v>0</v>
      </c>
      <c r="T8" s="21">
        <f t="shared" si="7"/>
        <v>98100</v>
      </c>
      <c r="U8" s="53">
        <f t="shared" si="0"/>
        <v>2.6</v>
      </c>
      <c r="V8" s="54">
        <f t="shared" si="1"/>
        <v>-0.7</v>
      </c>
      <c r="W8" s="55">
        <f t="shared" si="2"/>
        <v>-1.9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4</v>
      </c>
      <c r="BT8" s="30">
        <v>40</v>
      </c>
      <c r="BU8" s="40" t="s">
        <v>144</v>
      </c>
      <c r="BV8" s="41" t="s">
        <v>148</v>
      </c>
      <c r="BW8" s="41" t="s">
        <v>147</v>
      </c>
      <c r="BX8" s="41" t="s">
        <v>80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南</v>
      </c>
      <c r="B9" s="18">
        <f t="shared" si="8"/>
        <v>2</v>
      </c>
      <c r="C9" s="18">
        <f t="shared" si="9"/>
        <v>0</v>
      </c>
      <c r="D9" s="18">
        <f t="shared" si="4"/>
        <v>0</v>
      </c>
      <c r="E9" s="4" t="s">
        <v>138</v>
      </c>
      <c r="F9" s="8"/>
      <c r="G9" s="9"/>
      <c r="H9" s="9"/>
      <c r="I9" s="48"/>
      <c r="J9" s="21">
        <f t="shared" si="5"/>
        <v>102600</v>
      </c>
      <c r="K9" s="8" t="s">
        <v>145</v>
      </c>
      <c r="L9" s="9">
        <v>-2000</v>
      </c>
      <c r="M9" s="9"/>
      <c r="N9" s="48">
        <v>0</v>
      </c>
      <c r="O9" s="21">
        <f t="shared" si="6"/>
        <v>97300</v>
      </c>
      <c r="P9" s="8" t="s">
        <v>146</v>
      </c>
      <c r="Q9" s="9">
        <v>2000</v>
      </c>
      <c r="R9" s="9"/>
      <c r="S9" s="48">
        <v>0</v>
      </c>
      <c r="T9" s="21">
        <f t="shared" si="7"/>
        <v>100100</v>
      </c>
      <c r="U9" s="53">
        <f t="shared" si="0"/>
        <v>2.6</v>
      </c>
      <c r="V9" s="54">
        <f t="shared" si="1"/>
        <v>-2.7</v>
      </c>
      <c r="W9" s="55">
        <f t="shared" si="2"/>
        <v>0.1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2</v>
      </c>
      <c r="BT9" s="30">
        <v>30</v>
      </c>
      <c r="BU9" s="40" t="s">
        <v>86</v>
      </c>
      <c r="BV9" s="41" t="s">
        <v>79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8"/>
        <v>3</v>
      </c>
      <c r="C10" s="18">
        <f t="shared" si="9"/>
        <v>0</v>
      </c>
      <c r="D10" s="18">
        <f t="shared" si="4"/>
        <v>0</v>
      </c>
      <c r="E10" s="4" t="s">
        <v>152</v>
      </c>
      <c r="F10" s="8" t="s">
        <v>146</v>
      </c>
      <c r="G10" s="9">
        <v>5200</v>
      </c>
      <c r="H10" s="9"/>
      <c r="I10" s="48">
        <v>0</v>
      </c>
      <c r="J10" s="21">
        <f t="shared" si="5"/>
        <v>107800</v>
      </c>
      <c r="K10" s="8"/>
      <c r="L10" s="9"/>
      <c r="M10" s="9"/>
      <c r="N10" s="48"/>
      <c r="O10" s="21">
        <f t="shared" si="6"/>
        <v>97300</v>
      </c>
      <c r="P10" s="8" t="s">
        <v>145</v>
      </c>
      <c r="Q10" s="9">
        <v>-5200</v>
      </c>
      <c r="R10" s="9"/>
      <c r="S10" s="48">
        <v>0</v>
      </c>
      <c r="T10" s="21">
        <f t="shared" si="7"/>
        <v>94900</v>
      </c>
      <c r="U10" s="53">
        <f t="shared" si="0"/>
        <v>7.8</v>
      </c>
      <c r="V10" s="54">
        <f t="shared" si="1"/>
        <v>-2.7</v>
      </c>
      <c r="W10" s="55">
        <f t="shared" si="2"/>
        <v>-5.0999999999999996</v>
      </c>
      <c r="Y10" s="8"/>
      <c r="Z10" s="34"/>
      <c r="AA10" s="26">
        <v>1</v>
      </c>
      <c r="AB10" s="26"/>
      <c r="AC10" s="26">
        <v>3</v>
      </c>
      <c r="AD10" s="30">
        <v>40</v>
      </c>
      <c r="AE10" s="40" t="s">
        <v>144</v>
      </c>
      <c r="AF10" s="41" t="s">
        <v>148</v>
      </c>
      <c r="AG10" s="41" t="s">
        <v>80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48"/>
      <c r="J11" s="21" t="str">
        <f t="shared" si="5"/>
        <v/>
      </c>
      <c r="K11" s="8"/>
      <c r="L11" s="9"/>
      <c r="M11" s="9"/>
      <c r="N11" s="48"/>
      <c r="O11" s="21" t="str">
        <f t="shared" si="6"/>
        <v/>
      </c>
      <c r="P11" s="8"/>
      <c r="Q11" s="9"/>
      <c r="R11" s="9"/>
      <c r="S11" s="48"/>
      <c r="T11" s="21" t="str">
        <f t="shared" si="7"/>
        <v/>
      </c>
      <c r="U11" s="53" t="str">
        <f t="shared" si="0"/>
        <v/>
      </c>
      <c r="V11" s="54" t="str">
        <f t="shared" si="1"/>
        <v/>
      </c>
      <c r="W11" s="55" t="str">
        <f t="shared" si="2"/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48"/>
      <c r="J12" s="21" t="str">
        <f t="shared" si="5"/>
        <v/>
      </c>
      <c r="K12" s="8"/>
      <c r="L12" s="9"/>
      <c r="M12" s="9"/>
      <c r="N12" s="48"/>
      <c r="O12" s="21" t="str">
        <f t="shared" si="6"/>
        <v/>
      </c>
      <c r="P12" s="8"/>
      <c r="Q12" s="9"/>
      <c r="R12" s="9"/>
      <c r="S12" s="48"/>
      <c r="T12" s="21" t="str">
        <f t="shared" si="7"/>
        <v/>
      </c>
      <c r="U12" s="53" t="str">
        <f t="shared" si="0"/>
        <v/>
      </c>
      <c r="V12" s="54" t="str">
        <f t="shared" si="1"/>
        <v/>
      </c>
      <c r="W12" s="55" t="str">
        <f t="shared" si="2"/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48"/>
      <c r="J13" s="21" t="str">
        <f t="shared" si="5"/>
        <v/>
      </c>
      <c r="K13" s="8"/>
      <c r="L13" s="9"/>
      <c r="M13" s="9"/>
      <c r="N13" s="48"/>
      <c r="O13" s="21" t="str">
        <f t="shared" si="6"/>
        <v/>
      </c>
      <c r="P13" s="8"/>
      <c r="Q13" s="9"/>
      <c r="R13" s="9"/>
      <c r="S13" s="48"/>
      <c r="T13" s="21" t="str">
        <f t="shared" si="7"/>
        <v/>
      </c>
      <c r="U13" s="53" t="str">
        <f t="shared" si="0"/>
        <v/>
      </c>
      <c r="V13" s="54" t="str">
        <f t="shared" si="1"/>
        <v/>
      </c>
      <c r="W13" s="55" t="str">
        <f t="shared" si="2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48"/>
      <c r="J14" s="21" t="str">
        <f t="shared" si="5"/>
        <v/>
      </c>
      <c r="K14" s="8"/>
      <c r="L14" s="9"/>
      <c r="M14" s="9"/>
      <c r="N14" s="48"/>
      <c r="O14" s="21" t="str">
        <f t="shared" si="6"/>
        <v/>
      </c>
      <c r="P14" s="8"/>
      <c r="Q14" s="9"/>
      <c r="R14" s="9"/>
      <c r="S14" s="48"/>
      <c r="T14" s="21" t="str">
        <f t="shared" si="7"/>
        <v/>
      </c>
      <c r="U14" s="53" t="str">
        <f t="shared" si="0"/>
        <v/>
      </c>
      <c r="V14" s="54" t="str">
        <f t="shared" si="1"/>
        <v/>
      </c>
      <c r="W14" s="55" t="str">
        <f t="shared" si="2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9" priority="5">
      <formula>IF(G4&lt;&gt;"",SUM($G4:$I4,$L4:$N4,$Q4:$S4)-$D4*1000+$D5*1000)</formula>
    </cfRule>
  </conditionalFormatting>
  <conditionalFormatting sqref="F1:G1 I1:L1 S1:T1 N1:Q1">
    <cfRule type="duplicateValues" dxfId="48" priority="4"/>
  </conditionalFormatting>
  <conditionalFormatting sqref="H1">
    <cfRule type="duplicateValues" dxfId="47" priority="3"/>
  </conditionalFormatting>
  <conditionalFormatting sqref="R1">
    <cfRule type="duplicateValues" dxfId="46" priority="2"/>
  </conditionalFormatting>
  <conditionalFormatting sqref="M1">
    <cfRule type="duplicateValues" dxfId="45" priority="1"/>
  </conditionalFormatting>
  <dataValidations count="2">
    <dataValidation type="list" showInputMessage="1" showErrorMessage="1" sqref="K4:K30 P4:P30 F4:F30" xr:uid="{407EDA98-55A2-40C4-A707-3C4CE7F03CE9}">
      <formula1>"ロン,ツモ,放銃,ツモ支払,流局,チョンボ"</formula1>
    </dataValidation>
    <dataValidation type="list" allowBlank="1" showInputMessage="1" showErrorMessage="1" sqref="E4:E30" xr:uid="{D31631DE-3CB0-44C9-ADC8-DE094D4AF2F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109BF-AE78-4348-9EA0-716E4040AF9F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93" t="s">
        <v>0</v>
      </c>
      <c r="B1" s="95" t="s">
        <v>2</v>
      </c>
      <c r="C1" s="95" t="s">
        <v>1</v>
      </c>
      <c r="D1" s="95" t="s">
        <v>21</v>
      </c>
      <c r="E1" s="97" t="s">
        <v>3</v>
      </c>
      <c r="F1" s="89" t="s">
        <v>149</v>
      </c>
      <c r="G1" s="90"/>
      <c r="H1" s="90"/>
      <c r="I1" s="91"/>
      <c r="J1" s="92"/>
      <c r="K1" s="89" t="s">
        <v>141</v>
      </c>
      <c r="L1" s="90"/>
      <c r="M1" s="90"/>
      <c r="N1" s="91"/>
      <c r="O1" s="92"/>
      <c r="P1" s="89" t="s">
        <v>153</v>
      </c>
      <c r="Q1" s="90"/>
      <c r="R1" s="90"/>
      <c r="S1" s="91"/>
      <c r="T1" s="92"/>
      <c r="U1" s="89" t="s">
        <v>6</v>
      </c>
      <c r="V1" s="90"/>
      <c r="W1" s="92"/>
      <c r="Y1" s="89" t="str">
        <f>F1</f>
        <v>だいち</v>
      </c>
      <c r="Z1" s="10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2"/>
      <c r="AT1" s="89" t="str">
        <f>K1</f>
        <v>れんたろう</v>
      </c>
      <c r="AU1" s="100"/>
      <c r="AV1" s="90"/>
      <c r="AW1" s="90"/>
      <c r="AX1" s="90"/>
      <c r="AY1" s="90"/>
      <c r="AZ1" s="90"/>
      <c r="BA1" s="90"/>
      <c r="BB1" s="90"/>
      <c r="BC1" s="90"/>
      <c r="BD1" s="90"/>
      <c r="BE1" s="90"/>
      <c r="BF1" s="90"/>
      <c r="BG1" s="90"/>
      <c r="BH1" s="90"/>
      <c r="BI1" s="90"/>
      <c r="BJ1" s="90"/>
      <c r="BK1" s="90"/>
      <c r="BL1" s="90"/>
      <c r="BM1" s="90"/>
      <c r="BN1" s="92"/>
      <c r="BO1" s="89" t="str">
        <f>P1</f>
        <v>たかの</v>
      </c>
      <c r="BP1" s="100"/>
      <c r="BQ1" s="90"/>
      <c r="BR1" s="90"/>
      <c r="BS1" s="90"/>
      <c r="BT1" s="90"/>
      <c r="BU1" s="90"/>
      <c r="BV1" s="90"/>
      <c r="BW1" s="90"/>
      <c r="BX1" s="90"/>
      <c r="BY1" s="90"/>
      <c r="BZ1" s="90"/>
      <c r="CA1" s="90"/>
      <c r="CB1" s="90"/>
      <c r="CC1" s="90"/>
      <c r="CD1" s="90"/>
      <c r="CE1" s="90"/>
      <c r="CF1" s="90"/>
      <c r="CG1" s="90"/>
      <c r="CH1" s="90"/>
      <c r="CI1" s="92"/>
    </row>
    <row r="2" spans="1:87" x14ac:dyDescent="0.4">
      <c r="A2" s="94"/>
      <c r="B2" s="96"/>
      <c r="C2" s="96"/>
      <c r="D2" s="96"/>
      <c r="E2" s="9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れんたろう</v>
      </c>
      <c r="W2" s="16" t="str">
        <f>$P$1</f>
        <v>たかの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99" t="s">
        <v>20</v>
      </c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99" t="s">
        <v>20</v>
      </c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99" t="s">
        <v>20</v>
      </c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99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97300</v>
      </c>
      <c r="K3" s="7"/>
      <c r="L3" s="23"/>
      <c r="M3" s="23"/>
      <c r="N3" s="47"/>
      <c r="O3" s="20">
        <v>117800</v>
      </c>
      <c r="P3" s="7"/>
      <c r="Q3" s="23"/>
      <c r="R3" s="23"/>
      <c r="S3" s="47"/>
      <c r="T3" s="20">
        <v>84900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140</v>
      </c>
      <c r="F4" s="8" t="s">
        <v>143</v>
      </c>
      <c r="G4" s="9">
        <v>7700</v>
      </c>
      <c r="H4" s="9"/>
      <c r="I4" s="48">
        <v>0</v>
      </c>
      <c r="J4" s="21">
        <f t="shared" ref="J4:J30" si="0">IF(COUNTA($F4,$K4,$P4)&gt;0,J3+SUM(G4:I4),"")</f>
        <v>105000</v>
      </c>
      <c r="K4" s="8" t="s">
        <v>142</v>
      </c>
      <c r="L4" s="9">
        <v>-4800</v>
      </c>
      <c r="M4" s="9"/>
      <c r="N4" s="48">
        <v>0</v>
      </c>
      <c r="O4" s="21">
        <f t="shared" ref="O4:O30" si="1">IF(COUNTA($F4,$K4,$P4)&gt;0,O3+SUM(L4:N4),"")</f>
        <v>113000</v>
      </c>
      <c r="P4" s="8" t="s">
        <v>142</v>
      </c>
      <c r="Q4" s="9">
        <v>-2900</v>
      </c>
      <c r="R4" s="9"/>
      <c r="S4" s="48">
        <v>0</v>
      </c>
      <c r="T4" s="21">
        <f t="shared" ref="T4:T30" si="2">IF(COUNTA($F4,$K4,$P4)&gt;0,T3+SUM(Q4:S4),"")</f>
        <v>82000</v>
      </c>
      <c r="U4" s="53">
        <f t="shared" ref="U4:U30" si="3">IF($J4="","",ROUND(($J4-$J$3)/1000,1))</f>
        <v>7.7</v>
      </c>
      <c r="V4" s="54">
        <f t="shared" ref="V4:V30" si="4">IF($O4="","",ROUND(($O4-$O$3)/1000,1))</f>
        <v>-4.8</v>
      </c>
      <c r="W4" s="55">
        <f t="shared" ref="W4:W30" si="5">IF($T4="","",ROUND(($T4-$T$3)/1000,1))</f>
        <v>-2.9</v>
      </c>
      <c r="Y4" s="8"/>
      <c r="Z4" s="34"/>
      <c r="AA4" s="26"/>
      <c r="AB4" s="26">
        <v>1</v>
      </c>
      <c r="AC4" s="26">
        <v>4</v>
      </c>
      <c r="AD4" s="30">
        <v>30</v>
      </c>
      <c r="AE4" s="40" t="s">
        <v>86</v>
      </c>
      <c r="AF4" s="41" t="s">
        <v>86</v>
      </c>
      <c r="AG4" s="41" t="s">
        <v>104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6">IF($E5="","",IF(AND(B4=3,B5=1),_xlfn.SWITCH(A4,"東","南","南","西","西","北","北","東"),A4))</f>
        <v>東</v>
      </c>
      <c r="B5" s="18">
        <f t="shared" ref="B5:B30" si="7">IF($E5="","",IF($E4=$E5,B4,IF(B4=3,1,B4+1)))</f>
        <v>2</v>
      </c>
      <c r="C5" s="18">
        <f t="shared" ref="C5:C30" si="8">IF($E5="","",IF($F4="チョンボ",C4,IF(OR($E4=$E5,$F4="流局"),C4+1,0)))</f>
        <v>0</v>
      </c>
      <c r="D5" s="18">
        <f t="shared" ref="D5:D30" si="9">IF($E5="","",IF(OR($F4="流局",$F4="チョンボ"),D4+($H4+$M4+$R4)/-1000,0))</f>
        <v>0</v>
      </c>
      <c r="E5" s="4" t="s">
        <v>152</v>
      </c>
      <c r="F5" s="8"/>
      <c r="G5" s="9"/>
      <c r="H5" s="9"/>
      <c r="I5" s="48"/>
      <c r="J5" s="21">
        <f t="shared" si="0"/>
        <v>105000</v>
      </c>
      <c r="K5" s="8" t="s">
        <v>145</v>
      </c>
      <c r="L5" s="9">
        <v>-12000</v>
      </c>
      <c r="M5" s="9"/>
      <c r="N5" s="48">
        <v>0</v>
      </c>
      <c r="O5" s="21">
        <f t="shared" si="1"/>
        <v>101000</v>
      </c>
      <c r="P5" s="8" t="s">
        <v>146</v>
      </c>
      <c r="Q5" s="9">
        <v>12000</v>
      </c>
      <c r="R5" s="9"/>
      <c r="S5" s="48">
        <v>0</v>
      </c>
      <c r="T5" s="21">
        <f t="shared" si="2"/>
        <v>94000</v>
      </c>
      <c r="U5" s="53">
        <f t="shared" si="3"/>
        <v>7.7</v>
      </c>
      <c r="V5" s="54">
        <f t="shared" si="4"/>
        <v>-16.8</v>
      </c>
      <c r="W5" s="55">
        <f t="shared" si="5"/>
        <v>9.1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154</v>
      </c>
      <c r="BU5" s="40" t="s">
        <v>144</v>
      </c>
      <c r="BV5" s="41" t="s">
        <v>148</v>
      </c>
      <c r="BW5" s="41" t="s">
        <v>79</v>
      </c>
      <c r="BX5" s="41" t="s">
        <v>79</v>
      </c>
      <c r="BY5" s="41" t="s">
        <v>79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6"/>
        <v>東</v>
      </c>
      <c r="B6" s="18">
        <f t="shared" si="7"/>
        <v>2</v>
      </c>
      <c r="C6" s="18">
        <f t="shared" si="8"/>
        <v>1</v>
      </c>
      <c r="D6" s="18">
        <f t="shared" si="9"/>
        <v>0</v>
      </c>
      <c r="E6" s="4" t="s">
        <v>152</v>
      </c>
      <c r="F6" s="8" t="s">
        <v>143</v>
      </c>
      <c r="G6" s="9">
        <v>8000</v>
      </c>
      <c r="H6" s="9">
        <v>1000</v>
      </c>
      <c r="I6" s="48">
        <v>1000</v>
      </c>
      <c r="J6" s="21">
        <f t="shared" si="0"/>
        <v>115000</v>
      </c>
      <c r="K6" s="8" t="s">
        <v>142</v>
      </c>
      <c r="L6" s="9">
        <v>-3000</v>
      </c>
      <c r="M6" s="9">
        <v>-1000</v>
      </c>
      <c r="N6" s="48">
        <v>-500</v>
      </c>
      <c r="O6" s="21">
        <f t="shared" si="1"/>
        <v>96500</v>
      </c>
      <c r="P6" s="8" t="s">
        <v>142</v>
      </c>
      <c r="Q6" s="9">
        <v>-5000</v>
      </c>
      <c r="R6" s="9"/>
      <c r="S6" s="48">
        <v>-500</v>
      </c>
      <c r="T6" s="21">
        <f t="shared" si="2"/>
        <v>88500</v>
      </c>
      <c r="U6" s="53">
        <f t="shared" si="3"/>
        <v>17.7</v>
      </c>
      <c r="V6" s="54">
        <f t="shared" si="4"/>
        <v>-21.3</v>
      </c>
      <c r="W6" s="55">
        <f t="shared" si="5"/>
        <v>3.6</v>
      </c>
      <c r="Y6" s="8"/>
      <c r="Z6" s="34"/>
      <c r="AA6" s="26"/>
      <c r="AB6" s="26">
        <v>1</v>
      </c>
      <c r="AC6" s="26">
        <v>4</v>
      </c>
      <c r="AD6" s="30">
        <v>40</v>
      </c>
      <c r="AE6" s="40" t="s">
        <v>98</v>
      </c>
      <c r="AF6" s="41" t="s">
        <v>96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6"/>
        <v>東</v>
      </c>
      <c r="B7" s="18">
        <f t="shared" si="7"/>
        <v>3</v>
      </c>
      <c r="C7" s="18">
        <f t="shared" si="8"/>
        <v>0</v>
      </c>
      <c r="D7" s="18">
        <f t="shared" si="9"/>
        <v>0</v>
      </c>
      <c r="E7" s="4" t="s">
        <v>155</v>
      </c>
      <c r="F7" s="8"/>
      <c r="G7" s="9"/>
      <c r="H7" s="9"/>
      <c r="I7" s="48"/>
      <c r="J7" s="21">
        <f t="shared" si="0"/>
        <v>115000</v>
      </c>
      <c r="K7" s="8" t="s">
        <v>145</v>
      </c>
      <c r="L7" s="9">
        <v>-3900</v>
      </c>
      <c r="M7" s="9"/>
      <c r="N7" s="48">
        <v>0</v>
      </c>
      <c r="O7" s="21">
        <f t="shared" si="1"/>
        <v>92600</v>
      </c>
      <c r="P7" s="8" t="s">
        <v>146</v>
      </c>
      <c r="Q7" s="9">
        <v>3900</v>
      </c>
      <c r="R7" s="9"/>
      <c r="S7" s="48">
        <v>0</v>
      </c>
      <c r="T7" s="21">
        <f t="shared" si="2"/>
        <v>92400</v>
      </c>
      <c r="U7" s="53">
        <f t="shared" si="3"/>
        <v>17.7</v>
      </c>
      <c r="V7" s="54">
        <f t="shared" si="4"/>
        <v>-25.2</v>
      </c>
      <c r="W7" s="55">
        <f t="shared" si="5"/>
        <v>7.5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30</v>
      </c>
      <c r="BU7" s="40" t="s">
        <v>144</v>
      </c>
      <c r="BV7" s="41" t="s">
        <v>83</v>
      </c>
      <c r="BW7" s="41" t="s">
        <v>147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6"/>
        <v>南</v>
      </c>
      <c r="B8" s="18">
        <f t="shared" si="7"/>
        <v>1</v>
      </c>
      <c r="C8" s="18">
        <f t="shared" si="8"/>
        <v>0</v>
      </c>
      <c r="D8" s="18">
        <f t="shared" si="9"/>
        <v>0</v>
      </c>
      <c r="E8" s="4" t="s">
        <v>140</v>
      </c>
      <c r="F8" s="8"/>
      <c r="G8" s="9"/>
      <c r="H8" s="9"/>
      <c r="I8" s="48"/>
      <c r="J8" s="21">
        <f t="shared" si="0"/>
        <v>115000</v>
      </c>
      <c r="K8" s="8" t="s">
        <v>145</v>
      </c>
      <c r="L8" s="9">
        <v>-12000</v>
      </c>
      <c r="M8" s="9"/>
      <c r="N8" s="48">
        <v>0</v>
      </c>
      <c r="O8" s="21">
        <f t="shared" si="1"/>
        <v>80600</v>
      </c>
      <c r="P8" s="8" t="s">
        <v>146</v>
      </c>
      <c r="Q8" s="9">
        <v>12000</v>
      </c>
      <c r="R8" s="9"/>
      <c r="S8" s="48">
        <v>0</v>
      </c>
      <c r="T8" s="21">
        <f t="shared" si="2"/>
        <v>104400</v>
      </c>
      <c r="U8" s="53">
        <f t="shared" si="3"/>
        <v>17.7</v>
      </c>
      <c r="V8" s="54">
        <f t="shared" si="4"/>
        <v>-37.200000000000003</v>
      </c>
      <c r="W8" s="55">
        <f t="shared" si="5"/>
        <v>19.5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6</v>
      </c>
      <c r="BT8" s="30" t="s">
        <v>154</v>
      </c>
      <c r="BU8" s="40" t="s">
        <v>144</v>
      </c>
      <c r="BV8" s="41" t="s">
        <v>80</v>
      </c>
      <c r="BW8" s="41" t="s">
        <v>80</v>
      </c>
      <c r="BX8" s="41" t="s">
        <v>80</v>
      </c>
      <c r="BY8" s="41" t="s">
        <v>96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6"/>
        <v>南</v>
      </c>
      <c r="B9" s="18">
        <f t="shared" si="7"/>
        <v>2</v>
      </c>
      <c r="C9" s="18">
        <f t="shared" si="8"/>
        <v>0</v>
      </c>
      <c r="D9" s="18">
        <f t="shared" si="9"/>
        <v>0</v>
      </c>
      <c r="E9" s="4" t="s">
        <v>152</v>
      </c>
      <c r="F9" s="8" t="s">
        <v>158</v>
      </c>
      <c r="G9" s="9">
        <v>1500</v>
      </c>
      <c r="H9" s="9"/>
      <c r="I9" s="48"/>
      <c r="J9" s="21">
        <f t="shared" si="0"/>
        <v>116500</v>
      </c>
      <c r="K9" s="8" t="s">
        <v>158</v>
      </c>
      <c r="L9" s="9">
        <v>-3000</v>
      </c>
      <c r="M9" s="9"/>
      <c r="N9" s="48"/>
      <c r="O9" s="21">
        <f t="shared" si="1"/>
        <v>77600</v>
      </c>
      <c r="P9" s="8" t="s">
        <v>158</v>
      </c>
      <c r="Q9" s="9">
        <v>1500</v>
      </c>
      <c r="R9" s="9"/>
      <c r="S9" s="48"/>
      <c r="T9" s="21">
        <f t="shared" si="2"/>
        <v>105900</v>
      </c>
      <c r="U9" s="53">
        <f t="shared" si="3"/>
        <v>19.2</v>
      </c>
      <c r="V9" s="54">
        <f t="shared" si="4"/>
        <v>-40.200000000000003</v>
      </c>
      <c r="W9" s="55">
        <f t="shared" si="5"/>
        <v>21</v>
      </c>
      <c r="Y9" s="8" t="s">
        <v>156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157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156</v>
      </c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6"/>
        <v>南</v>
      </c>
      <c r="B10" s="18">
        <f t="shared" si="7"/>
        <v>2</v>
      </c>
      <c r="C10" s="18">
        <f t="shared" si="8"/>
        <v>1</v>
      </c>
      <c r="D10" s="18">
        <f t="shared" si="9"/>
        <v>0</v>
      </c>
      <c r="E10" s="4" t="s">
        <v>152</v>
      </c>
      <c r="F10" s="8" t="s">
        <v>143</v>
      </c>
      <c r="G10" s="9">
        <v>8000</v>
      </c>
      <c r="H10" s="9"/>
      <c r="I10" s="48">
        <v>1000</v>
      </c>
      <c r="J10" s="21">
        <f t="shared" si="0"/>
        <v>125500</v>
      </c>
      <c r="K10" s="8" t="s">
        <v>142</v>
      </c>
      <c r="L10" s="9">
        <v>-3000</v>
      </c>
      <c r="M10" s="9"/>
      <c r="N10" s="48">
        <v>-500</v>
      </c>
      <c r="O10" s="21">
        <f t="shared" si="1"/>
        <v>74100</v>
      </c>
      <c r="P10" s="8" t="s">
        <v>142</v>
      </c>
      <c r="Q10" s="9">
        <v>-5000</v>
      </c>
      <c r="R10" s="9"/>
      <c r="S10" s="48">
        <v>-500</v>
      </c>
      <c r="T10" s="21">
        <f t="shared" si="2"/>
        <v>100400</v>
      </c>
      <c r="U10" s="53">
        <f t="shared" si="3"/>
        <v>28.2</v>
      </c>
      <c r="V10" s="54">
        <f t="shared" si="4"/>
        <v>-43.7</v>
      </c>
      <c r="W10" s="55">
        <f t="shared" si="5"/>
        <v>15.5</v>
      </c>
      <c r="Y10" s="8"/>
      <c r="Z10" s="34"/>
      <c r="AA10" s="26"/>
      <c r="AB10" s="26">
        <v>1</v>
      </c>
      <c r="AC10" s="26">
        <v>4</v>
      </c>
      <c r="AD10" s="30">
        <v>40</v>
      </c>
      <c r="AE10" s="40" t="s">
        <v>86</v>
      </c>
      <c r="AF10" s="41" t="s">
        <v>86</v>
      </c>
      <c r="AG10" s="41" t="s">
        <v>86</v>
      </c>
      <c r="AH10" s="41" t="s">
        <v>79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6"/>
        <v>南</v>
      </c>
      <c r="B11" s="18">
        <f t="shared" si="7"/>
        <v>3</v>
      </c>
      <c r="C11" s="18">
        <f t="shared" si="8"/>
        <v>0</v>
      </c>
      <c r="D11" s="18">
        <f t="shared" si="9"/>
        <v>0</v>
      </c>
      <c r="E11" s="4" t="s">
        <v>155</v>
      </c>
      <c r="F11" s="8"/>
      <c r="G11" s="9"/>
      <c r="H11" s="9">
        <v>-1000</v>
      </c>
      <c r="I11" s="48"/>
      <c r="J11" s="21">
        <f t="shared" si="0"/>
        <v>124500</v>
      </c>
      <c r="K11" s="8" t="s">
        <v>146</v>
      </c>
      <c r="L11" s="9">
        <v>12000</v>
      </c>
      <c r="M11" s="9">
        <v>1000</v>
      </c>
      <c r="N11" s="48">
        <v>0</v>
      </c>
      <c r="O11" s="21">
        <f t="shared" si="1"/>
        <v>87100</v>
      </c>
      <c r="P11" s="8" t="s">
        <v>145</v>
      </c>
      <c r="Q11" s="9">
        <v>-12000</v>
      </c>
      <c r="R11" s="9"/>
      <c r="S11" s="48">
        <v>0</v>
      </c>
      <c r="T11" s="21">
        <f t="shared" si="2"/>
        <v>88400</v>
      </c>
      <c r="U11" s="53">
        <f t="shared" si="3"/>
        <v>27.2</v>
      </c>
      <c r="V11" s="54">
        <f t="shared" si="4"/>
        <v>-30.7</v>
      </c>
      <c r="W11" s="55">
        <f t="shared" si="5"/>
        <v>3.5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6</v>
      </c>
      <c r="AY11" s="30" t="s">
        <v>154</v>
      </c>
      <c r="AZ11" s="40" t="s">
        <v>86</v>
      </c>
      <c r="BA11" s="41" t="s">
        <v>86</v>
      </c>
      <c r="BB11" s="41" t="s">
        <v>86</v>
      </c>
      <c r="BC11" s="41" t="s">
        <v>104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6"/>
        <v/>
      </c>
      <c r="B12" s="18" t="str">
        <f t="shared" si="7"/>
        <v/>
      </c>
      <c r="C12" s="18" t="str">
        <f t="shared" si="8"/>
        <v/>
      </c>
      <c r="D12" s="18" t="str">
        <f t="shared" si="9"/>
        <v/>
      </c>
      <c r="E12" s="4"/>
      <c r="F12" s="8"/>
      <c r="G12" s="9"/>
      <c r="H12" s="9"/>
      <c r="I12" s="48"/>
      <c r="J12" s="21" t="str">
        <f t="shared" si="0"/>
        <v/>
      </c>
      <c r="K12" s="8"/>
      <c r="L12" s="9"/>
      <c r="M12" s="9"/>
      <c r="N12" s="48"/>
      <c r="O12" s="21" t="str">
        <f t="shared" si="1"/>
        <v/>
      </c>
      <c r="P12" s="8"/>
      <c r="Q12" s="9"/>
      <c r="R12" s="9"/>
      <c r="S12" s="48"/>
      <c r="T12" s="21" t="str">
        <f t="shared" si="2"/>
        <v/>
      </c>
      <c r="U12" s="53" t="str">
        <f t="shared" si="3"/>
        <v/>
      </c>
      <c r="V12" s="54" t="str">
        <f t="shared" si="4"/>
        <v/>
      </c>
      <c r="W12" s="55" t="str">
        <f t="shared" si="5"/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6"/>
        <v/>
      </c>
      <c r="B13" s="18" t="str">
        <f t="shared" si="7"/>
        <v/>
      </c>
      <c r="C13" s="18" t="str">
        <f t="shared" si="8"/>
        <v/>
      </c>
      <c r="D13" s="18" t="str">
        <f t="shared" si="9"/>
        <v/>
      </c>
      <c r="E13" s="4"/>
      <c r="F13" s="8"/>
      <c r="G13" s="9"/>
      <c r="H13" s="9"/>
      <c r="I13" s="48"/>
      <c r="J13" s="21" t="str">
        <f t="shared" si="0"/>
        <v/>
      </c>
      <c r="K13" s="8"/>
      <c r="L13" s="9"/>
      <c r="M13" s="9"/>
      <c r="N13" s="48"/>
      <c r="O13" s="21" t="str">
        <f t="shared" si="1"/>
        <v/>
      </c>
      <c r="P13" s="8"/>
      <c r="Q13" s="9"/>
      <c r="R13" s="9"/>
      <c r="S13" s="48"/>
      <c r="T13" s="21" t="str">
        <f t="shared" si="2"/>
        <v/>
      </c>
      <c r="U13" s="53" t="str">
        <f t="shared" si="3"/>
        <v/>
      </c>
      <c r="V13" s="54" t="str">
        <f t="shared" si="4"/>
        <v/>
      </c>
      <c r="W13" s="55" t="str">
        <f t="shared" si="5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6"/>
        <v/>
      </c>
      <c r="B14" s="18" t="str">
        <f t="shared" si="7"/>
        <v/>
      </c>
      <c r="C14" s="18" t="str">
        <f t="shared" si="8"/>
        <v/>
      </c>
      <c r="D14" s="18" t="str">
        <f t="shared" si="9"/>
        <v/>
      </c>
      <c r="E14" s="4"/>
      <c r="F14" s="8"/>
      <c r="G14" s="9"/>
      <c r="H14" s="9"/>
      <c r="I14" s="48"/>
      <c r="J14" s="21" t="str">
        <f t="shared" si="0"/>
        <v/>
      </c>
      <c r="K14" s="8"/>
      <c r="L14" s="9"/>
      <c r="M14" s="9"/>
      <c r="N14" s="48"/>
      <c r="O14" s="21" t="str">
        <f t="shared" si="1"/>
        <v/>
      </c>
      <c r="P14" s="8"/>
      <c r="Q14" s="9"/>
      <c r="R14" s="9"/>
      <c r="S14" s="48"/>
      <c r="T14" s="21" t="str">
        <f t="shared" si="2"/>
        <v/>
      </c>
      <c r="U14" s="53" t="str">
        <f t="shared" si="3"/>
        <v/>
      </c>
      <c r="V14" s="54" t="str">
        <f t="shared" si="4"/>
        <v/>
      </c>
      <c r="W14" s="55" t="str">
        <f t="shared" si="5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6"/>
        <v/>
      </c>
      <c r="B15" s="18" t="str">
        <f t="shared" si="7"/>
        <v/>
      </c>
      <c r="C15" s="18" t="str">
        <f t="shared" si="8"/>
        <v/>
      </c>
      <c r="D15" s="18" t="str">
        <f t="shared" si="9"/>
        <v/>
      </c>
      <c r="E15" s="4"/>
      <c r="F15" s="8"/>
      <c r="G15" s="9"/>
      <c r="H15" s="9"/>
      <c r="I15" s="48"/>
      <c r="J15" s="21" t="str">
        <f t="shared" si="0"/>
        <v/>
      </c>
      <c r="K15" s="8"/>
      <c r="L15" s="9"/>
      <c r="M15" s="9"/>
      <c r="N15" s="48"/>
      <c r="O15" s="21" t="str">
        <f t="shared" si="1"/>
        <v/>
      </c>
      <c r="P15" s="8"/>
      <c r="Q15" s="9"/>
      <c r="R15" s="9"/>
      <c r="S15" s="48"/>
      <c r="T15" s="21" t="str">
        <f t="shared" si="2"/>
        <v/>
      </c>
      <c r="U15" s="53" t="str">
        <f t="shared" si="3"/>
        <v/>
      </c>
      <c r="V15" s="54" t="str">
        <f t="shared" si="4"/>
        <v/>
      </c>
      <c r="W15" s="55" t="str">
        <f t="shared" si="5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6"/>
        <v/>
      </c>
      <c r="B16" s="18" t="str">
        <f t="shared" si="7"/>
        <v/>
      </c>
      <c r="C16" s="18" t="str">
        <f t="shared" si="8"/>
        <v/>
      </c>
      <c r="D16" s="18" t="str">
        <f t="shared" si="9"/>
        <v/>
      </c>
      <c r="E16" s="4"/>
      <c r="F16" s="8"/>
      <c r="G16" s="9"/>
      <c r="H16" s="9"/>
      <c r="I16" s="48"/>
      <c r="J16" s="21" t="str">
        <f t="shared" si="0"/>
        <v/>
      </c>
      <c r="K16" s="8"/>
      <c r="L16" s="9"/>
      <c r="M16" s="9"/>
      <c r="N16" s="48"/>
      <c r="O16" s="21" t="str">
        <f t="shared" si="1"/>
        <v/>
      </c>
      <c r="P16" s="8"/>
      <c r="Q16" s="9"/>
      <c r="R16" s="9"/>
      <c r="S16" s="48"/>
      <c r="T16" s="21" t="str">
        <f t="shared" si="2"/>
        <v/>
      </c>
      <c r="U16" s="53" t="str">
        <f t="shared" si="3"/>
        <v/>
      </c>
      <c r="V16" s="54" t="str">
        <f t="shared" si="4"/>
        <v/>
      </c>
      <c r="W16" s="55" t="str">
        <f t="shared" si="5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6"/>
        <v/>
      </c>
      <c r="B17" s="18" t="str">
        <f t="shared" si="7"/>
        <v/>
      </c>
      <c r="C17" s="18" t="str">
        <f t="shared" si="8"/>
        <v/>
      </c>
      <c r="D17" s="18" t="str">
        <f t="shared" si="9"/>
        <v/>
      </c>
      <c r="E17" s="4"/>
      <c r="F17" s="8"/>
      <c r="G17" s="9"/>
      <c r="H17" s="9"/>
      <c r="I17" s="48"/>
      <c r="J17" s="21" t="str">
        <f t="shared" si="0"/>
        <v/>
      </c>
      <c r="K17" s="8"/>
      <c r="L17" s="9"/>
      <c r="M17" s="9"/>
      <c r="N17" s="48"/>
      <c r="O17" s="21" t="str">
        <f t="shared" si="1"/>
        <v/>
      </c>
      <c r="P17" s="8"/>
      <c r="Q17" s="9"/>
      <c r="R17" s="9"/>
      <c r="S17" s="48"/>
      <c r="T17" s="21" t="str">
        <f t="shared" si="2"/>
        <v/>
      </c>
      <c r="U17" s="53" t="str">
        <f t="shared" si="3"/>
        <v/>
      </c>
      <c r="V17" s="54" t="str">
        <f t="shared" si="4"/>
        <v/>
      </c>
      <c r="W17" s="55" t="str">
        <f t="shared" si="5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6"/>
        <v/>
      </c>
      <c r="B18" s="18" t="str">
        <f t="shared" si="7"/>
        <v/>
      </c>
      <c r="C18" s="18" t="str">
        <f t="shared" si="8"/>
        <v/>
      </c>
      <c r="D18" s="18" t="str">
        <f t="shared" si="9"/>
        <v/>
      </c>
      <c r="E18" s="4"/>
      <c r="F18" s="8"/>
      <c r="G18" s="9"/>
      <c r="H18" s="9"/>
      <c r="I18" s="48"/>
      <c r="J18" s="21" t="str">
        <f t="shared" si="0"/>
        <v/>
      </c>
      <c r="K18" s="8"/>
      <c r="L18" s="9"/>
      <c r="M18" s="9"/>
      <c r="N18" s="48"/>
      <c r="O18" s="21" t="str">
        <f t="shared" si="1"/>
        <v/>
      </c>
      <c r="P18" s="8"/>
      <c r="Q18" s="9"/>
      <c r="R18" s="9"/>
      <c r="S18" s="48"/>
      <c r="T18" s="21" t="str">
        <f t="shared" si="2"/>
        <v/>
      </c>
      <c r="U18" s="53" t="str">
        <f t="shared" si="3"/>
        <v/>
      </c>
      <c r="V18" s="54" t="str">
        <f t="shared" si="4"/>
        <v/>
      </c>
      <c r="W18" s="55" t="str">
        <f t="shared" si="5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6"/>
        <v/>
      </c>
      <c r="B19" s="18" t="str">
        <f t="shared" si="7"/>
        <v/>
      </c>
      <c r="C19" s="18" t="str">
        <f t="shared" si="8"/>
        <v/>
      </c>
      <c r="D19" s="18" t="str">
        <f t="shared" si="9"/>
        <v/>
      </c>
      <c r="E19" s="4"/>
      <c r="F19" s="8"/>
      <c r="G19" s="9"/>
      <c r="H19" s="9"/>
      <c r="I19" s="48"/>
      <c r="J19" s="21" t="str">
        <f t="shared" si="0"/>
        <v/>
      </c>
      <c r="K19" s="8"/>
      <c r="L19" s="9"/>
      <c r="M19" s="9"/>
      <c r="N19" s="48"/>
      <c r="O19" s="21" t="str">
        <f t="shared" si="1"/>
        <v/>
      </c>
      <c r="P19" s="8"/>
      <c r="Q19" s="9"/>
      <c r="R19" s="9"/>
      <c r="S19" s="48"/>
      <c r="T19" s="21" t="str">
        <f t="shared" si="2"/>
        <v/>
      </c>
      <c r="U19" s="53" t="str">
        <f t="shared" si="3"/>
        <v/>
      </c>
      <c r="V19" s="54" t="str">
        <f t="shared" si="4"/>
        <v/>
      </c>
      <c r="W19" s="55" t="str">
        <f t="shared" si="5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6"/>
        <v/>
      </c>
      <c r="B20" s="18" t="str">
        <f t="shared" si="7"/>
        <v/>
      </c>
      <c r="C20" s="18" t="str">
        <f t="shared" si="8"/>
        <v/>
      </c>
      <c r="D20" s="18" t="str">
        <f t="shared" si="9"/>
        <v/>
      </c>
      <c r="E20" s="4"/>
      <c r="F20" s="8"/>
      <c r="G20" s="9"/>
      <c r="H20" s="9"/>
      <c r="I20" s="48"/>
      <c r="J20" s="21" t="str">
        <f t="shared" si="0"/>
        <v/>
      </c>
      <c r="K20" s="8"/>
      <c r="L20" s="9"/>
      <c r="M20" s="9"/>
      <c r="N20" s="48"/>
      <c r="O20" s="21" t="str">
        <f t="shared" si="1"/>
        <v/>
      </c>
      <c r="P20" s="8"/>
      <c r="Q20" s="9"/>
      <c r="R20" s="9"/>
      <c r="S20" s="48"/>
      <c r="T20" s="21" t="str">
        <f t="shared" si="2"/>
        <v/>
      </c>
      <c r="U20" s="53" t="str">
        <f t="shared" si="3"/>
        <v/>
      </c>
      <c r="V20" s="54" t="str">
        <f t="shared" si="4"/>
        <v/>
      </c>
      <c r="W20" s="55" t="str">
        <f t="shared" si="5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6"/>
        <v/>
      </c>
      <c r="B21" s="18" t="str">
        <f t="shared" si="7"/>
        <v/>
      </c>
      <c r="C21" s="18" t="str">
        <f t="shared" si="8"/>
        <v/>
      </c>
      <c r="D21" s="18" t="str">
        <f t="shared" si="9"/>
        <v/>
      </c>
      <c r="E21" s="4"/>
      <c r="F21" s="8"/>
      <c r="G21" s="9"/>
      <c r="H21" s="9"/>
      <c r="I21" s="48"/>
      <c r="J21" s="21" t="str">
        <f t="shared" si="0"/>
        <v/>
      </c>
      <c r="K21" s="8"/>
      <c r="L21" s="9"/>
      <c r="M21" s="9"/>
      <c r="N21" s="48"/>
      <c r="O21" s="21" t="str">
        <f t="shared" si="1"/>
        <v/>
      </c>
      <c r="P21" s="8"/>
      <c r="Q21" s="9"/>
      <c r="R21" s="9"/>
      <c r="S21" s="48"/>
      <c r="T21" s="21" t="str">
        <f t="shared" si="2"/>
        <v/>
      </c>
      <c r="U21" s="53" t="str">
        <f t="shared" si="3"/>
        <v/>
      </c>
      <c r="V21" s="54" t="str">
        <f t="shared" si="4"/>
        <v/>
      </c>
      <c r="W21" s="55" t="str">
        <f t="shared" si="5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6"/>
        <v/>
      </c>
      <c r="B22" s="18" t="str">
        <f t="shared" si="7"/>
        <v/>
      </c>
      <c r="C22" s="18" t="str">
        <f t="shared" si="8"/>
        <v/>
      </c>
      <c r="D22" s="18" t="str">
        <f t="shared" si="9"/>
        <v/>
      </c>
      <c r="E22" s="4"/>
      <c r="F22" s="8"/>
      <c r="G22" s="9"/>
      <c r="H22" s="9"/>
      <c r="I22" s="48"/>
      <c r="J22" s="21" t="str">
        <f t="shared" si="0"/>
        <v/>
      </c>
      <c r="K22" s="8"/>
      <c r="L22" s="9"/>
      <c r="M22" s="9"/>
      <c r="N22" s="48"/>
      <c r="O22" s="21" t="str">
        <f t="shared" si="1"/>
        <v/>
      </c>
      <c r="P22" s="8"/>
      <c r="Q22" s="9"/>
      <c r="R22" s="9"/>
      <c r="S22" s="48"/>
      <c r="T22" s="21" t="str">
        <f t="shared" si="2"/>
        <v/>
      </c>
      <c r="U22" s="53" t="str">
        <f t="shared" si="3"/>
        <v/>
      </c>
      <c r="V22" s="54" t="str">
        <f t="shared" si="4"/>
        <v/>
      </c>
      <c r="W22" s="55" t="str">
        <f t="shared" si="5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6"/>
        <v/>
      </c>
      <c r="B23" s="18" t="str">
        <f t="shared" si="7"/>
        <v/>
      </c>
      <c r="C23" s="18" t="str">
        <f t="shared" si="8"/>
        <v/>
      </c>
      <c r="D23" s="18" t="str">
        <f t="shared" si="9"/>
        <v/>
      </c>
      <c r="E23" s="4"/>
      <c r="F23" s="8"/>
      <c r="G23" s="9"/>
      <c r="H23" s="9"/>
      <c r="I23" s="48"/>
      <c r="J23" s="21" t="str">
        <f t="shared" si="0"/>
        <v/>
      </c>
      <c r="K23" s="8"/>
      <c r="L23" s="9"/>
      <c r="M23" s="9"/>
      <c r="N23" s="48"/>
      <c r="O23" s="21" t="str">
        <f t="shared" si="1"/>
        <v/>
      </c>
      <c r="P23" s="8"/>
      <c r="Q23" s="9"/>
      <c r="R23" s="9"/>
      <c r="S23" s="48"/>
      <c r="T23" s="21" t="str">
        <f t="shared" si="2"/>
        <v/>
      </c>
      <c r="U23" s="53" t="str">
        <f t="shared" si="3"/>
        <v/>
      </c>
      <c r="V23" s="54" t="str">
        <f t="shared" si="4"/>
        <v/>
      </c>
      <c r="W23" s="55" t="str">
        <f t="shared" si="5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6"/>
        <v/>
      </c>
      <c r="B24" s="18" t="str">
        <f t="shared" si="7"/>
        <v/>
      </c>
      <c r="C24" s="18" t="str">
        <f t="shared" si="8"/>
        <v/>
      </c>
      <c r="D24" s="18" t="str">
        <f t="shared" si="9"/>
        <v/>
      </c>
      <c r="E24" s="4"/>
      <c r="F24" s="8"/>
      <c r="G24" s="9"/>
      <c r="H24" s="9"/>
      <c r="I24" s="48"/>
      <c r="J24" s="21" t="str">
        <f t="shared" si="0"/>
        <v/>
      </c>
      <c r="K24" s="8"/>
      <c r="L24" s="9"/>
      <c r="M24" s="9"/>
      <c r="N24" s="48"/>
      <c r="O24" s="21" t="str">
        <f t="shared" si="1"/>
        <v/>
      </c>
      <c r="P24" s="8"/>
      <c r="Q24" s="9"/>
      <c r="R24" s="9"/>
      <c r="S24" s="48"/>
      <c r="T24" s="21" t="str">
        <f t="shared" si="2"/>
        <v/>
      </c>
      <c r="U24" s="53" t="str">
        <f t="shared" si="3"/>
        <v/>
      </c>
      <c r="V24" s="54" t="str">
        <f t="shared" si="4"/>
        <v/>
      </c>
      <c r="W24" s="55" t="str">
        <f t="shared" si="5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6"/>
        <v/>
      </c>
      <c r="B25" s="18" t="str">
        <f t="shared" si="7"/>
        <v/>
      </c>
      <c r="C25" s="18" t="str">
        <f t="shared" si="8"/>
        <v/>
      </c>
      <c r="D25" s="18" t="str">
        <f t="shared" si="9"/>
        <v/>
      </c>
      <c r="E25" s="4"/>
      <c r="F25" s="8"/>
      <c r="G25" s="9"/>
      <c r="H25" s="9"/>
      <c r="I25" s="48"/>
      <c r="J25" s="21" t="str">
        <f t="shared" si="0"/>
        <v/>
      </c>
      <c r="K25" s="8"/>
      <c r="L25" s="9"/>
      <c r="M25" s="9"/>
      <c r="N25" s="48"/>
      <c r="O25" s="21" t="str">
        <f t="shared" si="1"/>
        <v/>
      </c>
      <c r="P25" s="8"/>
      <c r="Q25" s="9"/>
      <c r="R25" s="9"/>
      <c r="S25" s="48"/>
      <c r="T25" s="21" t="str">
        <f t="shared" si="2"/>
        <v/>
      </c>
      <c r="U25" s="53" t="str">
        <f t="shared" si="3"/>
        <v/>
      </c>
      <c r="V25" s="54" t="str">
        <f t="shared" si="4"/>
        <v/>
      </c>
      <c r="W25" s="55" t="str">
        <f t="shared" si="5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6"/>
        <v/>
      </c>
      <c r="B26" s="18" t="str">
        <f t="shared" si="7"/>
        <v/>
      </c>
      <c r="C26" s="18" t="str">
        <f t="shared" si="8"/>
        <v/>
      </c>
      <c r="D26" s="18" t="str">
        <f t="shared" si="9"/>
        <v/>
      </c>
      <c r="E26" s="4"/>
      <c r="F26" s="8"/>
      <c r="G26" s="9"/>
      <c r="H26" s="9"/>
      <c r="I26" s="48"/>
      <c r="J26" s="21" t="str">
        <f t="shared" si="0"/>
        <v/>
      </c>
      <c r="K26" s="8"/>
      <c r="L26" s="9"/>
      <c r="M26" s="9"/>
      <c r="N26" s="48"/>
      <c r="O26" s="21" t="str">
        <f t="shared" si="1"/>
        <v/>
      </c>
      <c r="P26" s="8"/>
      <c r="Q26" s="9"/>
      <c r="R26" s="9"/>
      <c r="S26" s="48"/>
      <c r="T26" s="21" t="str">
        <f t="shared" si="2"/>
        <v/>
      </c>
      <c r="U26" s="53" t="str">
        <f t="shared" si="3"/>
        <v/>
      </c>
      <c r="V26" s="54" t="str">
        <f t="shared" si="4"/>
        <v/>
      </c>
      <c r="W26" s="55" t="str">
        <f t="shared" si="5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6"/>
        <v/>
      </c>
      <c r="B27" s="18" t="str">
        <f t="shared" si="7"/>
        <v/>
      </c>
      <c r="C27" s="18" t="str">
        <f t="shared" si="8"/>
        <v/>
      </c>
      <c r="D27" s="18" t="str">
        <f t="shared" si="9"/>
        <v/>
      </c>
      <c r="E27" s="4"/>
      <c r="F27" s="8"/>
      <c r="G27" s="9"/>
      <c r="H27" s="9"/>
      <c r="I27" s="48"/>
      <c r="J27" s="21" t="str">
        <f t="shared" si="0"/>
        <v/>
      </c>
      <c r="K27" s="8"/>
      <c r="L27" s="9"/>
      <c r="M27" s="9"/>
      <c r="N27" s="48"/>
      <c r="O27" s="21" t="str">
        <f t="shared" si="1"/>
        <v/>
      </c>
      <c r="P27" s="8"/>
      <c r="Q27" s="9"/>
      <c r="R27" s="9"/>
      <c r="S27" s="48"/>
      <c r="T27" s="21" t="str">
        <f t="shared" si="2"/>
        <v/>
      </c>
      <c r="U27" s="53" t="str">
        <f t="shared" si="3"/>
        <v/>
      </c>
      <c r="V27" s="54" t="str">
        <f t="shared" si="4"/>
        <v/>
      </c>
      <c r="W27" s="55" t="str">
        <f t="shared" si="5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6"/>
        <v/>
      </c>
      <c r="B28" s="18" t="str">
        <f t="shared" si="7"/>
        <v/>
      </c>
      <c r="C28" s="18" t="str">
        <f t="shared" si="8"/>
        <v/>
      </c>
      <c r="D28" s="18" t="str">
        <f t="shared" si="9"/>
        <v/>
      </c>
      <c r="E28" s="4"/>
      <c r="F28" s="8"/>
      <c r="G28" s="9"/>
      <c r="H28" s="9"/>
      <c r="I28" s="48"/>
      <c r="J28" s="21" t="str">
        <f t="shared" si="0"/>
        <v/>
      </c>
      <c r="K28" s="8"/>
      <c r="L28" s="9"/>
      <c r="M28" s="9"/>
      <c r="N28" s="48"/>
      <c r="O28" s="21" t="str">
        <f t="shared" si="1"/>
        <v/>
      </c>
      <c r="P28" s="8"/>
      <c r="Q28" s="9"/>
      <c r="R28" s="9"/>
      <c r="S28" s="48"/>
      <c r="T28" s="21" t="str">
        <f t="shared" si="2"/>
        <v/>
      </c>
      <c r="U28" s="53" t="str">
        <f t="shared" si="3"/>
        <v/>
      </c>
      <c r="V28" s="54" t="str">
        <f t="shared" si="4"/>
        <v/>
      </c>
      <c r="W28" s="55" t="str">
        <f t="shared" si="5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6"/>
        <v/>
      </c>
      <c r="B29" s="18" t="str">
        <f t="shared" si="7"/>
        <v/>
      </c>
      <c r="C29" s="18" t="str">
        <f t="shared" si="8"/>
        <v/>
      </c>
      <c r="D29" s="18" t="str">
        <f t="shared" si="9"/>
        <v/>
      </c>
      <c r="E29" s="4"/>
      <c r="F29" s="8"/>
      <c r="G29" s="9"/>
      <c r="H29" s="9"/>
      <c r="I29" s="48"/>
      <c r="J29" s="21" t="str">
        <f t="shared" si="0"/>
        <v/>
      </c>
      <c r="K29" s="8"/>
      <c r="L29" s="9"/>
      <c r="M29" s="9"/>
      <c r="N29" s="48"/>
      <c r="O29" s="21" t="str">
        <f t="shared" si="1"/>
        <v/>
      </c>
      <c r="P29" s="8"/>
      <c r="Q29" s="9"/>
      <c r="R29" s="9"/>
      <c r="S29" s="48"/>
      <c r="T29" s="21" t="str">
        <f t="shared" si="2"/>
        <v/>
      </c>
      <c r="U29" s="53" t="str">
        <f t="shared" si="3"/>
        <v/>
      </c>
      <c r="V29" s="54" t="str">
        <f t="shared" si="4"/>
        <v/>
      </c>
      <c r="W29" s="55" t="str">
        <f t="shared" si="5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6"/>
        <v/>
      </c>
      <c r="B30" s="19" t="str">
        <f t="shared" si="7"/>
        <v/>
      </c>
      <c r="C30" s="19" t="str">
        <f t="shared" si="8"/>
        <v/>
      </c>
      <c r="D30" s="19" t="str">
        <f t="shared" si="9"/>
        <v/>
      </c>
      <c r="E30" s="5"/>
      <c r="F30" s="10"/>
      <c r="G30" s="11"/>
      <c r="H30" s="11"/>
      <c r="I30" s="49"/>
      <c r="J30" s="22" t="str">
        <f t="shared" si="0"/>
        <v/>
      </c>
      <c r="K30" s="10"/>
      <c r="L30" s="11"/>
      <c r="M30" s="11"/>
      <c r="N30" s="49"/>
      <c r="O30" s="22" t="str">
        <f t="shared" si="1"/>
        <v/>
      </c>
      <c r="P30" s="10"/>
      <c r="Q30" s="11"/>
      <c r="R30" s="11"/>
      <c r="S30" s="49"/>
      <c r="T30" s="22" t="str">
        <f t="shared" si="2"/>
        <v/>
      </c>
      <c r="U30" s="56" t="str">
        <f t="shared" si="3"/>
        <v/>
      </c>
      <c r="V30" s="57" t="str">
        <f t="shared" si="4"/>
        <v/>
      </c>
      <c r="W30" s="58" t="str">
        <f t="shared" si="5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4" priority="5">
      <formula>IF(G4&lt;&gt;"",SUM($G4:$I4,$L4:$N4,$Q4:$S4)-$D4*1000+$D5*1000)</formula>
    </cfRule>
  </conditionalFormatting>
  <conditionalFormatting sqref="F1:G1 I1:L1 S1:T1 N1:Q1">
    <cfRule type="duplicateValues" dxfId="43" priority="4"/>
  </conditionalFormatting>
  <conditionalFormatting sqref="H1">
    <cfRule type="duplicateValues" dxfId="42" priority="3"/>
  </conditionalFormatting>
  <conditionalFormatting sqref="R1">
    <cfRule type="duplicateValues" dxfId="41" priority="2"/>
  </conditionalFormatting>
  <conditionalFormatting sqref="M1">
    <cfRule type="duplicateValues" dxfId="40" priority="1"/>
  </conditionalFormatting>
  <dataValidations count="2">
    <dataValidation type="list" allowBlank="1" showInputMessage="1" showErrorMessage="1" sqref="E4:E30" xr:uid="{2A99F51E-7A1A-439D-9EC7-7B3ABA4BE800}">
      <formula1>$U$2:$W$2</formula1>
    </dataValidation>
    <dataValidation type="list" showInputMessage="1" showErrorMessage="1" sqref="K4:K30 P4:P30 F4:F30" xr:uid="{63707296-EF7F-4D96-9AEC-6C5D31312BC3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E0FBB-158A-4D81-B506-2567A8129C2C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93" t="s">
        <v>0</v>
      </c>
      <c r="B1" s="95" t="s">
        <v>2</v>
      </c>
      <c r="C1" s="95" t="s">
        <v>1</v>
      </c>
      <c r="D1" s="95" t="s">
        <v>21</v>
      </c>
      <c r="E1" s="97" t="s">
        <v>3</v>
      </c>
      <c r="F1" s="89" t="s">
        <v>139</v>
      </c>
      <c r="G1" s="90"/>
      <c r="H1" s="90"/>
      <c r="I1" s="91"/>
      <c r="J1" s="92"/>
      <c r="K1" s="89" t="s">
        <v>151</v>
      </c>
      <c r="L1" s="90"/>
      <c r="M1" s="90"/>
      <c r="N1" s="91"/>
      <c r="O1" s="92"/>
      <c r="P1" s="89" t="s">
        <v>160</v>
      </c>
      <c r="Q1" s="90"/>
      <c r="R1" s="90"/>
      <c r="S1" s="91"/>
      <c r="T1" s="92"/>
      <c r="U1" s="89" t="s">
        <v>6</v>
      </c>
      <c r="V1" s="90"/>
      <c r="W1" s="92"/>
      <c r="Y1" s="89" t="str">
        <f>F1</f>
        <v>ぱぱ</v>
      </c>
      <c r="Z1" s="10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2"/>
      <c r="AT1" s="89" t="str">
        <f>K1</f>
        <v>りくと</v>
      </c>
      <c r="AU1" s="100"/>
      <c r="AV1" s="90"/>
      <c r="AW1" s="90"/>
      <c r="AX1" s="90"/>
      <c r="AY1" s="90"/>
      <c r="AZ1" s="90"/>
      <c r="BA1" s="90"/>
      <c r="BB1" s="90"/>
      <c r="BC1" s="90"/>
      <c r="BD1" s="90"/>
      <c r="BE1" s="90"/>
      <c r="BF1" s="90"/>
      <c r="BG1" s="90"/>
      <c r="BH1" s="90"/>
      <c r="BI1" s="90"/>
      <c r="BJ1" s="90"/>
      <c r="BK1" s="90"/>
      <c r="BL1" s="90"/>
      <c r="BM1" s="90"/>
      <c r="BN1" s="92"/>
      <c r="BO1" s="89" t="str">
        <f>P1</f>
        <v>まっつん</v>
      </c>
      <c r="BP1" s="100"/>
      <c r="BQ1" s="90"/>
      <c r="BR1" s="90"/>
      <c r="BS1" s="90"/>
      <c r="BT1" s="90"/>
      <c r="BU1" s="90"/>
      <c r="BV1" s="90"/>
      <c r="BW1" s="90"/>
      <c r="BX1" s="90"/>
      <c r="BY1" s="90"/>
      <c r="BZ1" s="90"/>
      <c r="CA1" s="90"/>
      <c r="CB1" s="90"/>
      <c r="CC1" s="90"/>
      <c r="CD1" s="90"/>
      <c r="CE1" s="90"/>
      <c r="CF1" s="90"/>
      <c r="CG1" s="90"/>
      <c r="CH1" s="90"/>
      <c r="CI1" s="92"/>
    </row>
    <row r="2" spans="1:87" x14ac:dyDescent="0.4">
      <c r="A2" s="94"/>
      <c r="B2" s="96"/>
      <c r="C2" s="96"/>
      <c r="D2" s="96"/>
      <c r="E2" s="9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ぱぱ</v>
      </c>
      <c r="V2" s="70" t="str">
        <f>$K$1</f>
        <v>りくと</v>
      </c>
      <c r="W2" s="16" t="str">
        <f>$P$1</f>
        <v>まっつん</v>
      </c>
      <c r="Y2" s="65" t="s">
        <v>23</v>
      </c>
      <c r="Z2" s="66" t="s">
        <v>26</v>
      </c>
      <c r="AA2" s="67" t="s">
        <v>24</v>
      </c>
      <c r="AB2" s="67" t="s">
        <v>127</v>
      </c>
      <c r="AC2" s="67" t="s">
        <v>18</v>
      </c>
      <c r="AD2" s="68" t="s">
        <v>19</v>
      </c>
      <c r="AE2" s="99" t="s">
        <v>20</v>
      </c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  <c r="AT2" s="65" t="s">
        <v>23</v>
      </c>
      <c r="AU2" s="66" t="s">
        <v>26</v>
      </c>
      <c r="AV2" s="67" t="s">
        <v>24</v>
      </c>
      <c r="AW2" s="67" t="s">
        <v>128</v>
      </c>
      <c r="AX2" s="67" t="s">
        <v>18</v>
      </c>
      <c r="AY2" s="68" t="s">
        <v>19</v>
      </c>
      <c r="AZ2" s="99" t="s">
        <v>20</v>
      </c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65" t="s">
        <v>23</v>
      </c>
      <c r="BP2" s="66" t="s">
        <v>26</v>
      </c>
      <c r="BQ2" s="67" t="s">
        <v>24</v>
      </c>
      <c r="BR2" s="67" t="s">
        <v>128</v>
      </c>
      <c r="BS2" s="67" t="s">
        <v>18</v>
      </c>
      <c r="BT2" s="68" t="s">
        <v>19</v>
      </c>
      <c r="BU2" s="99" t="s">
        <v>20</v>
      </c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99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134500</v>
      </c>
      <c r="K3" s="7"/>
      <c r="L3" s="23"/>
      <c r="M3" s="23"/>
      <c r="N3" s="47"/>
      <c r="O3" s="20">
        <v>77100</v>
      </c>
      <c r="P3" s="7"/>
      <c r="Q3" s="23"/>
      <c r="R3" s="23"/>
      <c r="S3" s="47"/>
      <c r="T3" s="20">
        <v>88400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 t="s">
        <v>146</v>
      </c>
      <c r="G4" s="9">
        <v>12000</v>
      </c>
      <c r="H4" s="9"/>
      <c r="I4" s="48">
        <v>0</v>
      </c>
      <c r="J4" s="21">
        <f t="shared" ref="J4:J30" si="0">IF(COUNTA($F4,$K4,$P4)&gt;0,J3+SUM(G4:I4),"")</f>
        <v>146500</v>
      </c>
      <c r="K4" s="8" t="s">
        <v>145</v>
      </c>
      <c r="L4" s="9">
        <v>-12000</v>
      </c>
      <c r="M4" s="9"/>
      <c r="N4" s="48">
        <v>0</v>
      </c>
      <c r="O4" s="21">
        <f t="shared" ref="O4:O30" si="1">IF(COUNTA($F4,$K4,$P4)&gt;0,O3+SUM(L4:N4),"")</f>
        <v>65100</v>
      </c>
      <c r="P4" s="8"/>
      <c r="Q4" s="9"/>
      <c r="R4" s="9"/>
      <c r="S4" s="48"/>
      <c r="T4" s="21">
        <f t="shared" ref="T4:T30" si="2">IF(COUNTA($F4,$K4,$P4)&gt;0,T3+SUM(Q4:S4),"")</f>
        <v>88400</v>
      </c>
      <c r="U4" s="53">
        <f t="shared" ref="U4:U30" si="3">IF($J4="","",ROUND(($J4-$J$3)/1000,1))</f>
        <v>12</v>
      </c>
      <c r="V4" s="54">
        <f t="shared" ref="V4:V30" si="4">IF($O4="","",ROUND(($O4-$O$3)/1000,1))</f>
        <v>-12</v>
      </c>
      <c r="W4" s="55">
        <f t="shared" ref="W4:W30" si="5">IF($T4="","",ROUND(($T4-$T$3)/1000,1))</f>
        <v>0</v>
      </c>
      <c r="Y4" s="8"/>
      <c r="Z4" s="34"/>
      <c r="AA4" s="26"/>
      <c r="AB4" s="26">
        <v>1</v>
      </c>
      <c r="AC4" s="26">
        <v>4</v>
      </c>
      <c r="AD4" s="30">
        <v>40</v>
      </c>
      <c r="AE4" s="40" t="s">
        <v>98</v>
      </c>
      <c r="AF4" s="41" t="s">
        <v>86</v>
      </c>
      <c r="AG4" s="41" t="s">
        <v>86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6">IF($E5="","",IF(AND(B4=3,B5=1),_xlfn.SWITCH(A4,"東","南","南","西","西","北","北","東"),A4))</f>
        <v>東</v>
      </c>
      <c r="B5" s="18">
        <f t="shared" ref="B5:B30" si="7">IF($E5="","",IF($E4=$E5,B4,IF(B4=3,1,B4+1)))</f>
        <v>1</v>
      </c>
      <c r="C5" s="18">
        <f t="shared" ref="C5:C30" si="8">IF($E5="","",IF($F4="チョンボ",C4,IF(OR($E4=$E5,$F4="流局"),C4+1,0)))</f>
        <v>1</v>
      </c>
      <c r="D5" s="18">
        <f t="shared" ref="D5:D30" si="9">IF($E5="","",IF(OR($F4="流局",$F4="チョンボ"),D4+($H4+$M4+$R4)/-1000,0))</f>
        <v>0</v>
      </c>
      <c r="E5" s="4" t="s">
        <v>138</v>
      </c>
      <c r="F5" s="8" t="s">
        <v>145</v>
      </c>
      <c r="G5" s="9">
        <v>-7700</v>
      </c>
      <c r="H5" s="9"/>
      <c r="I5" s="48">
        <v>-1000</v>
      </c>
      <c r="J5" s="21">
        <f t="shared" si="0"/>
        <v>137800</v>
      </c>
      <c r="K5" s="8" t="s">
        <v>146</v>
      </c>
      <c r="L5" s="9">
        <v>7700</v>
      </c>
      <c r="M5" s="9"/>
      <c r="N5" s="48">
        <v>1000</v>
      </c>
      <c r="O5" s="21">
        <f t="shared" si="1"/>
        <v>73800</v>
      </c>
      <c r="P5" s="8"/>
      <c r="Q5" s="9"/>
      <c r="R5" s="9"/>
      <c r="S5" s="48"/>
      <c r="T5" s="21">
        <f t="shared" si="2"/>
        <v>88400</v>
      </c>
      <c r="U5" s="53">
        <f t="shared" si="3"/>
        <v>3.3</v>
      </c>
      <c r="V5" s="54">
        <f t="shared" si="4"/>
        <v>-3.3</v>
      </c>
      <c r="W5" s="55">
        <f t="shared" si="5"/>
        <v>0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30</v>
      </c>
      <c r="AZ5" s="40" t="s">
        <v>144</v>
      </c>
      <c r="BA5" s="41" t="s">
        <v>83</v>
      </c>
      <c r="BB5" s="41" t="s">
        <v>79</v>
      </c>
      <c r="BC5" s="41" t="s">
        <v>147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6"/>
        <v>東</v>
      </c>
      <c r="B6" s="18">
        <f t="shared" si="7"/>
        <v>2</v>
      </c>
      <c r="C6" s="18">
        <f t="shared" si="8"/>
        <v>0</v>
      </c>
      <c r="D6" s="18">
        <f t="shared" si="9"/>
        <v>0</v>
      </c>
      <c r="E6" s="4" t="s">
        <v>150</v>
      </c>
      <c r="F6" s="8" t="s">
        <v>143</v>
      </c>
      <c r="G6" s="9">
        <v>2800</v>
      </c>
      <c r="H6" s="9"/>
      <c r="I6" s="48">
        <v>0</v>
      </c>
      <c r="J6" s="21">
        <f t="shared" si="0"/>
        <v>140600</v>
      </c>
      <c r="K6" s="8" t="s">
        <v>142</v>
      </c>
      <c r="L6" s="9">
        <v>-1700</v>
      </c>
      <c r="M6" s="9"/>
      <c r="N6" s="48">
        <v>0</v>
      </c>
      <c r="O6" s="21">
        <f t="shared" si="1"/>
        <v>72100</v>
      </c>
      <c r="P6" s="8" t="s">
        <v>142</v>
      </c>
      <c r="Q6" s="9">
        <v>-1100</v>
      </c>
      <c r="R6" s="9"/>
      <c r="S6" s="48">
        <v>0</v>
      </c>
      <c r="T6" s="21">
        <f t="shared" si="2"/>
        <v>87300</v>
      </c>
      <c r="U6" s="53">
        <f t="shared" si="3"/>
        <v>6.1</v>
      </c>
      <c r="V6" s="54">
        <f t="shared" si="4"/>
        <v>-5</v>
      </c>
      <c r="W6" s="55">
        <f t="shared" si="5"/>
        <v>-1.1000000000000001</v>
      </c>
      <c r="Y6" s="8"/>
      <c r="Z6" s="34"/>
      <c r="AA6" s="26"/>
      <c r="AB6" s="26"/>
      <c r="AC6" s="26">
        <v>3</v>
      </c>
      <c r="AD6" s="30">
        <v>20</v>
      </c>
      <c r="AE6" s="40" t="s">
        <v>82</v>
      </c>
      <c r="AF6" s="41" t="s">
        <v>83</v>
      </c>
      <c r="AG6" s="41" t="s">
        <v>84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6"/>
        <v>東</v>
      </c>
      <c r="B7" s="18">
        <f t="shared" si="7"/>
        <v>3</v>
      </c>
      <c r="C7" s="18">
        <f t="shared" si="8"/>
        <v>0</v>
      </c>
      <c r="D7" s="18">
        <f t="shared" si="9"/>
        <v>0</v>
      </c>
      <c r="E7" s="4" t="s">
        <v>159</v>
      </c>
      <c r="F7" s="8" t="s">
        <v>142</v>
      </c>
      <c r="G7" s="9">
        <v>-3000</v>
      </c>
      <c r="H7" s="9"/>
      <c r="I7" s="48">
        <v>0</v>
      </c>
      <c r="J7" s="21">
        <f t="shared" si="0"/>
        <v>137600</v>
      </c>
      <c r="K7" s="8" t="s">
        <v>143</v>
      </c>
      <c r="L7" s="9">
        <v>8000</v>
      </c>
      <c r="M7" s="9"/>
      <c r="N7" s="48">
        <v>0</v>
      </c>
      <c r="O7" s="21">
        <f t="shared" si="1"/>
        <v>80100</v>
      </c>
      <c r="P7" s="8" t="s">
        <v>142</v>
      </c>
      <c r="Q7" s="9">
        <v>-5000</v>
      </c>
      <c r="R7" s="9"/>
      <c r="S7" s="48">
        <v>0</v>
      </c>
      <c r="T7" s="21">
        <f t="shared" si="2"/>
        <v>82300</v>
      </c>
      <c r="U7" s="53">
        <f t="shared" si="3"/>
        <v>3.1</v>
      </c>
      <c r="V7" s="54">
        <f t="shared" si="4"/>
        <v>3</v>
      </c>
      <c r="W7" s="55">
        <f t="shared" si="5"/>
        <v>-6.1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4</v>
      </c>
      <c r="AY7" s="30">
        <v>40</v>
      </c>
      <c r="AZ7" s="40" t="s">
        <v>79</v>
      </c>
      <c r="BA7" s="41" t="s">
        <v>79</v>
      </c>
      <c r="BB7" s="41" t="s">
        <v>79</v>
      </c>
      <c r="BC7" s="41" t="s">
        <v>86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6"/>
        <v>南</v>
      </c>
      <c r="B8" s="18">
        <f t="shared" si="7"/>
        <v>1</v>
      </c>
      <c r="C8" s="18">
        <f t="shared" si="8"/>
        <v>0</v>
      </c>
      <c r="D8" s="18">
        <f t="shared" si="9"/>
        <v>0</v>
      </c>
      <c r="E8" s="4" t="s">
        <v>138</v>
      </c>
      <c r="F8" s="8" t="s">
        <v>146</v>
      </c>
      <c r="G8" s="9">
        <v>2900</v>
      </c>
      <c r="H8" s="9"/>
      <c r="I8" s="48">
        <v>0</v>
      </c>
      <c r="J8" s="21">
        <f t="shared" si="0"/>
        <v>140500</v>
      </c>
      <c r="K8" s="8"/>
      <c r="L8" s="9"/>
      <c r="M8" s="9"/>
      <c r="N8" s="48"/>
      <c r="O8" s="21">
        <f t="shared" si="1"/>
        <v>80100</v>
      </c>
      <c r="P8" s="8" t="s">
        <v>145</v>
      </c>
      <c r="Q8" s="9">
        <v>-2900</v>
      </c>
      <c r="R8" s="9"/>
      <c r="S8" s="48">
        <v>0</v>
      </c>
      <c r="T8" s="21">
        <f t="shared" si="2"/>
        <v>79400</v>
      </c>
      <c r="U8" s="53">
        <f t="shared" si="3"/>
        <v>6</v>
      </c>
      <c r="V8" s="54">
        <f t="shared" si="4"/>
        <v>3</v>
      </c>
      <c r="W8" s="55">
        <f t="shared" si="5"/>
        <v>-9</v>
      </c>
      <c r="Y8" s="8"/>
      <c r="Z8" s="34"/>
      <c r="AA8" s="26"/>
      <c r="AB8" s="26">
        <v>1</v>
      </c>
      <c r="AC8" s="26">
        <v>2</v>
      </c>
      <c r="AD8" s="30">
        <v>30</v>
      </c>
      <c r="AE8" s="40" t="s">
        <v>147</v>
      </c>
      <c r="AF8" s="41" t="s">
        <v>86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6"/>
        <v>南</v>
      </c>
      <c r="B9" s="18">
        <f t="shared" si="7"/>
        <v>1</v>
      </c>
      <c r="C9" s="18">
        <f t="shared" si="8"/>
        <v>1</v>
      </c>
      <c r="D9" s="18">
        <f t="shared" si="9"/>
        <v>0</v>
      </c>
      <c r="E9" s="4" t="s">
        <v>138</v>
      </c>
      <c r="F9" s="8" t="s">
        <v>142</v>
      </c>
      <c r="G9" s="9">
        <v>-5000</v>
      </c>
      <c r="H9" s="9"/>
      <c r="I9" s="48">
        <v>-500</v>
      </c>
      <c r="J9" s="21">
        <f t="shared" si="0"/>
        <v>135000</v>
      </c>
      <c r="K9" s="8" t="s">
        <v>142</v>
      </c>
      <c r="L9" s="9">
        <v>-3000</v>
      </c>
      <c r="M9" s="9"/>
      <c r="N9" s="48">
        <v>-500</v>
      </c>
      <c r="O9" s="21">
        <f t="shared" si="1"/>
        <v>76600</v>
      </c>
      <c r="P9" s="8" t="s">
        <v>143</v>
      </c>
      <c r="Q9" s="9">
        <v>8000</v>
      </c>
      <c r="R9" s="9"/>
      <c r="S9" s="48">
        <v>1000</v>
      </c>
      <c r="T9" s="21">
        <f t="shared" si="2"/>
        <v>88400</v>
      </c>
      <c r="U9" s="53">
        <f t="shared" si="3"/>
        <v>0.5</v>
      </c>
      <c r="V9" s="54">
        <f t="shared" si="4"/>
        <v>-0.5</v>
      </c>
      <c r="W9" s="55">
        <f t="shared" si="5"/>
        <v>0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4</v>
      </c>
      <c r="BT9" s="30">
        <v>40</v>
      </c>
      <c r="BU9" s="40" t="s">
        <v>144</v>
      </c>
      <c r="BV9" s="41" t="s">
        <v>82</v>
      </c>
      <c r="BW9" s="41" t="s">
        <v>148</v>
      </c>
      <c r="BX9" s="41" t="s">
        <v>89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6"/>
        <v>南</v>
      </c>
      <c r="B10" s="18">
        <f t="shared" si="7"/>
        <v>2</v>
      </c>
      <c r="C10" s="18">
        <f t="shared" si="8"/>
        <v>0</v>
      </c>
      <c r="D10" s="18">
        <f t="shared" si="9"/>
        <v>0</v>
      </c>
      <c r="E10" s="4" t="s">
        <v>150</v>
      </c>
      <c r="F10" s="8" t="s">
        <v>142</v>
      </c>
      <c r="G10" s="9">
        <v>-9000</v>
      </c>
      <c r="H10" s="9"/>
      <c r="I10" s="48">
        <v>0</v>
      </c>
      <c r="J10" s="21">
        <f t="shared" si="0"/>
        <v>126000</v>
      </c>
      <c r="K10" s="8" t="s">
        <v>143</v>
      </c>
      <c r="L10" s="9">
        <v>18000</v>
      </c>
      <c r="M10" s="9"/>
      <c r="N10" s="48">
        <v>0</v>
      </c>
      <c r="O10" s="21">
        <f t="shared" si="1"/>
        <v>94600</v>
      </c>
      <c r="P10" s="8" t="s">
        <v>142</v>
      </c>
      <c r="Q10" s="9">
        <v>-9000</v>
      </c>
      <c r="R10" s="9"/>
      <c r="S10" s="48">
        <v>0</v>
      </c>
      <c r="T10" s="21">
        <f t="shared" si="2"/>
        <v>79400</v>
      </c>
      <c r="U10" s="53">
        <f t="shared" si="3"/>
        <v>-8.5</v>
      </c>
      <c r="V10" s="54">
        <f t="shared" si="4"/>
        <v>17.5</v>
      </c>
      <c r="W10" s="55">
        <f t="shared" si="5"/>
        <v>-9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7</v>
      </c>
      <c r="AY10" s="30" t="s">
        <v>154</v>
      </c>
      <c r="AZ10" s="40" t="s">
        <v>144</v>
      </c>
      <c r="BA10" s="41" t="s">
        <v>82</v>
      </c>
      <c r="BB10" s="41" t="s">
        <v>89</v>
      </c>
      <c r="BC10" s="41" t="s">
        <v>86</v>
      </c>
      <c r="BD10" s="41" t="s">
        <v>80</v>
      </c>
      <c r="BE10" s="41" t="s">
        <v>96</v>
      </c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6"/>
        <v>南</v>
      </c>
      <c r="B11" s="18">
        <f t="shared" si="7"/>
        <v>2</v>
      </c>
      <c r="C11" s="18">
        <f t="shared" si="8"/>
        <v>1</v>
      </c>
      <c r="D11" s="18">
        <f t="shared" si="9"/>
        <v>0</v>
      </c>
      <c r="E11" s="4" t="s">
        <v>150</v>
      </c>
      <c r="F11" s="8"/>
      <c r="G11" s="9"/>
      <c r="H11" s="9"/>
      <c r="I11" s="48"/>
      <c r="J11" s="21">
        <f t="shared" si="0"/>
        <v>126000</v>
      </c>
      <c r="K11" s="8" t="s">
        <v>146</v>
      </c>
      <c r="L11" s="9">
        <v>2000</v>
      </c>
      <c r="M11" s="9"/>
      <c r="N11" s="48">
        <v>1000</v>
      </c>
      <c r="O11" s="21">
        <f t="shared" si="1"/>
        <v>97600</v>
      </c>
      <c r="P11" s="8" t="s">
        <v>145</v>
      </c>
      <c r="Q11" s="9">
        <v>-2000</v>
      </c>
      <c r="R11" s="9"/>
      <c r="S11" s="48">
        <v>-1000</v>
      </c>
      <c r="T11" s="21">
        <f t="shared" si="2"/>
        <v>76400</v>
      </c>
      <c r="U11" s="53">
        <f t="shared" si="3"/>
        <v>-8.5</v>
      </c>
      <c r="V11" s="54">
        <f t="shared" si="4"/>
        <v>20.5</v>
      </c>
      <c r="W11" s="55">
        <f t="shared" si="5"/>
        <v>-12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1</v>
      </c>
      <c r="AY11" s="30">
        <v>40</v>
      </c>
      <c r="AZ11" s="40" t="s">
        <v>84</v>
      </c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6"/>
        <v>南</v>
      </c>
      <c r="B12" s="18">
        <f t="shared" si="7"/>
        <v>2</v>
      </c>
      <c r="C12" s="18">
        <f t="shared" si="8"/>
        <v>2</v>
      </c>
      <c r="D12" s="18">
        <f t="shared" si="9"/>
        <v>0</v>
      </c>
      <c r="E12" s="4" t="s">
        <v>150</v>
      </c>
      <c r="F12" s="8"/>
      <c r="G12" s="9"/>
      <c r="H12" s="9"/>
      <c r="I12" s="48"/>
      <c r="J12" s="21">
        <f t="shared" si="0"/>
        <v>126000</v>
      </c>
      <c r="K12" s="8" t="s">
        <v>145</v>
      </c>
      <c r="L12" s="9">
        <v>-3900</v>
      </c>
      <c r="M12" s="9"/>
      <c r="N12" s="48">
        <v>-2000</v>
      </c>
      <c r="O12" s="21">
        <f t="shared" si="1"/>
        <v>91700</v>
      </c>
      <c r="P12" s="8" t="s">
        <v>146</v>
      </c>
      <c r="Q12" s="9">
        <v>3900</v>
      </c>
      <c r="R12" s="9"/>
      <c r="S12" s="48">
        <v>2000</v>
      </c>
      <c r="T12" s="21">
        <f t="shared" si="2"/>
        <v>82300</v>
      </c>
      <c r="U12" s="53">
        <f t="shared" si="3"/>
        <v>-8.5</v>
      </c>
      <c r="V12" s="54">
        <f t="shared" si="4"/>
        <v>14.6</v>
      </c>
      <c r="W12" s="55">
        <f t="shared" si="5"/>
        <v>-6.1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3</v>
      </c>
      <c r="BT12" s="30">
        <v>30</v>
      </c>
      <c r="BU12" s="40" t="s">
        <v>104</v>
      </c>
      <c r="BV12" s="41" t="s">
        <v>86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6"/>
        <v>南</v>
      </c>
      <c r="B13" s="18">
        <f t="shared" si="7"/>
        <v>3</v>
      </c>
      <c r="C13" s="18">
        <f t="shared" si="8"/>
        <v>0</v>
      </c>
      <c r="D13" s="18">
        <f t="shared" si="9"/>
        <v>0</v>
      </c>
      <c r="E13" s="4" t="s">
        <v>159</v>
      </c>
      <c r="F13" s="8"/>
      <c r="G13" s="9"/>
      <c r="H13" s="9"/>
      <c r="I13" s="48"/>
      <c r="J13" s="21">
        <f t="shared" si="0"/>
        <v>126000</v>
      </c>
      <c r="K13" s="8" t="s">
        <v>145</v>
      </c>
      <c r="L13" s="9">
        <v>-18000</v>
      </c>
      <c r="M13" s="9"/>
      <c r="N13" s="48">
        <v>0</v>
      </c>
      <c r="O13" s="21">
        <f t="shared" si="1"/>
        <v>73700</v>
      </c>
      <c r="P13" s="8" t="s">
        <v>146</v>
      </c>
      <c r="Q13" s="9">
        <v>18000</v>
      </c>
      <c r="R13" s="9"/>
      <c r="S13" s="48">
        <v>0</v>
      </c>
      <c r="T13" s="21">
        <f t="shared" si="2"/>
        <v>100300</v>
      </c>
      <c r="U13" s="53">
        <f t="shared" si="3"/>
        <v>-8.5</v>
      </c>
      <c r="V13" s="54">
        <f t="shared" si="4"/>
        <v>-3.4</v>
      </c>
      <c r="W13" s="55">
        <f t="shared" si="5"/>
        <v>11.9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6</v>
      </c>
      <c r="BT13" s="30" t="s">
        <v>154</v>
      </c>
      <c r="BU13" s="40" t="s">
        <v>144</v>
      </c>
      <c r="BV13" s="41" t="s">
        <v>83</v>
      </c>
      <c r="BW13" s="41" t="s">
        <v>79</v>
      </c>
      <c r="BX13" s="41" t="s">
        <v>79</v>
      </c>
      <c r="BY13" s="41" t="s">
        <v>80</v>
      </c>
      <c r="BZ13" s="41" t="s">
        <v>80</v>
      </c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6"/>
        <v/>
      </c>
      <c r="B14" s="18" t="str">
        <f t="shared" si="7"/>
        <v/>
      </c>
      <c r="C14" s="18" t="str">
        <f t="shared" si="8"/>
        <v/>
      </c>
      <c r="D14" s="18" t="str">
        <f t="shared" si="9"/>
        <v/>
      </c>
      <c r="E14" s="4"/>
      <c r="F14" s="8"/>
      <c r="G14" s="9"/>
      <c r="H14" s="9"/>
      <c r="I14" s="48"/>
      <c r="J14" s="21" t="str">
        <f t="shared" si="0"/>
        <v/>
      </c>
      <c r="K14" s="8"/>
      <c r="L14" s="9"/>
      <c r="M14" s="9"/>
      <c r="N14" s="48"/>
      <c r="O14" s="21" t="str">
        <f t="shared" si="1"/>
        <v/>
      </c>
      <c r="P14" s="8"/>
      <c r="Q14" s="9"/>
      <c r="R14" s="9"/>
      <c r="S14" s="48"/>
      <c r="T14" s="21" t="str">
        <f t="shared" si="2"/>
        <v/>
      </c>
      <c r="U14" s="53" t="str">
        <f t="shared" si="3"/>
        <v/>
      </c>
      <c r="V14" s="54" t="str">
        <f t="shared" si="4"/>
        <v/>
      </c>
      <c r="W14" s="55" t="str">
        <f t="shared" si="5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6"/>
        <v/>
      </c>
      <c r="B15" s="18" t="str">
        <f t="shared" si="7"/>
        <v/>
      </c>
      <c r="C15" s="18" t="str">
        <f t="shared" si="8"/>
        <v/>
      </c>
      <c r="D15" s="18" t="str">
        <f t="shared" si="9"/>
        <v/>
      </c>
      <c r="E15" s="4"/>
      <c r="F15" s="8"/>
      <c r="G15" s="9"/>
      <c r="H15" s="9"/>
      <c r="I15" s="48"/>
      <c r="J15" s="21" t="str">
        <f t="shared" si="0"/>
        <v/>
      </c>
      <c r="K15" s="8"/>
      <c r="L15" s="9"/>
      <c r="M15" s="9"/>
      <c r="N15" s="48"/>
      <c r="O15" s="21" t="str">
        <f t="shared" si="1"/>
        <v/>
      </c>
      <c r="P15" s="8"/>
      <c r="Q15" s="9"/>
      <c r="R15" s="9"/>
      <c r="S15" s="48"/>
      <c r="T15" s="21" t="str">
        <f t="shared" si="2"/>
        <v/>
      </c>
      <c r="U15" s="53" t="str">
        <f t="shared" si="3"/>
        <v/>
      </c>
      <c r="V15" s="54" t="str">
        <f t="shared" si="4"/>
        <v/>
      </c>
      <c r="W15" s="55" t="str">
        <f t="shared" si="5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6"/>
        <v/>
      </c>
      <c r="B16" s="18" t="str">
        <f t="shared" si="7"/>
        <v/>
      </c>
      <c r="C16" s="18" t="str">
        <f t="shared" si="8"/>
        <v/>
      </c>
      <c r="D16" s="18" t="str">
        <f t="shared" si="9"/>
        <v/>
      </c>
      <c r="E16" s="4"/>
      <c r="F16" s="8"/>
      <c r="G16" s="9"/>
      <c r="H16" s="9"/>
      <c r="I16" s="48"/>
      <c r="J16" s="21" t="str">
        <f t="shared" si="0"/>
        <v/>
      </c>
      <c r="K16" s="8"/>
      <c r="L16" s="9"/>
      <c r="M16" s="9"/>
      <c r="N16" s="48"/>
      <c r="O16" s="21" t="str">
        <f t="shared" si="1"/>
        <v/>
      </c>
      <c r="P16" s="8"/>
      <c r="Q16" s="9"/>
      <c r="R16" s="9"/>
      <c r="S16" s="48"/>
      <c r="T16" s="21" t="str">
        <f t="shared" si="2"/>
        <v/>
      </c>
      <c r="U16" s="53" t="str">
        <f t="shared" si="3"/>
        <v/>
      </c>
      <c r="V16" s="54" t="str">
        <f t="shared" si="4"/>
        <v/>
      </c>
      <c r="W16" s="55" t="str">
        <f t="shared" si="5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6"/>
        <v/>
      </c>
      <c r="B17" s="18" t="str">
        <f t="shared" si="7"/>
        <v/>
      </c>
      <c r="C17" s="18" t="str">
        <f t="shared" si="8"/>
        <v/>
      </c>
      <c r="D17" s="18" t="str">
        <f t="shared" si="9"/>
        <v/>
      </c>
      <c r="E17" s="4"/>
      <c r="F17" s="8"/>
      <c r="G17" s="9"/>
      <c r="H17" s="9"/>
      <c r="I17" s="48"/>
      <c r="J17" s="21" t="str">
        <f t="shared" si="0"/>
        <v/>
      </c>
      <c r="K17" s="8"/>
      <c r="L17" s="9"/>
      <c r="M17" s="9"/>
      <c r="N17" s="48"/>
      <c r="O17" s="21" t="str">
        <f t="shared" si="1"/>
        <v/>
      </c>
      <c r="P17" s="8"/>
      <c r="Q17" s="9"/>
      <c r="R17" s="9"/>
      <c r="S17" s="48"/>
      <c r="T17" s="21" t="str">
        <f t="shared" si="2"/>
        <v/>
      </c>
      <c r="U17" s="53" t="str">
        <f t="shared" si="3"/>
        <v/>
      </c>
      <c r="V17" s="54" t="str">
        <f t="shared" si="4"/>
        <v/>
      </c>
      <c r="W17" s="55" t="str">
        <f t="shared" si="5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6"/>
        <v/>
      </c>
      <c r="B18" s="18" t="str">
        <f t="shared" si="7"/>
        <v/>
      </c>
      <c r="C18" s="18" t="str">
        <f t="shared" si="8"/>
        <v/>
      </c>
      <c r="D18" s="18" t="str">
        <f t="shared" si="9"/>
        <v/>
      </c>
      <c r="E18" s="4"/>
      <c r="F18" s="8"/>
      <c r="G18" s="9"/>
      <c r="H18" s="9"/>
      <c r="I18" s="48"/>
      <c r="J18" s="21" t="str">
        <f t="shared" si="0"/>
        <v/>
      </c>
      <c r="K18" s="8"/>
      <c r="L18" s="9"/>
      <c r="M18" s="9"/>
      <c r="N18" s="48"/>
      <c r="O18" s="21" t="str">
        <f t="shared" si="1"/>
        <v/>
      </c>
      <c r="P18" s="8"/>
      <c r="Q18" s="9"/>
      <c r="R18" s="9"/>
      <c r="S18" s="48"/>
      <c r="T18" s="21" t="str">
        <f t="shared" si="2"/>
        <v/>
      </c>
      <c r="U18" s="53" t="str">
        <f t="shared" si="3"/>
        <v/>
      </c>
      <c r="V18" s="54" t="str">
        <f t="shared" si="4"/>
        <v/>
      </c>
      <c r="W18" s="55" t="str">
        <f t="shared" si="5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6"/>
        <v/>
      </c>
      <c r="B19" s="18" t="str">
        <f t="shared" si="7"/>
        <v/>
      </c>
      <c r="C19" s="18" t="str">
        <f t="shared" si="8"/>
        <v/>
      </c>
      <c r="D19" s="18" t="str">
        <f t="shared" si="9"/>
        <v/>
      </c>
      <c r="E19" s="4"/>
      <c r="F19" s="8"/>
      <c r="G19" s="9"/>
      <c r="H19" s="9"/>
      <c r="I19" s="48"/>
      <c r="J19" s="21" t="str">
        <f t="shared" si="0"/>
        <v/>
      </c>
      <c r="K19" s="8"/>
      <c r="L19" s="9"/>
      <c r="M19" s="9"/>
      <c r="N19" s="48"/>
      <c r="O19" s="21" t="str">
        <f t="shared" si="1"/>
        <v/>
      </c>
      <c r="P19" s="8"/>
      <c r="Q19" s="9"/>
      <c r="R19" s="9"/>
      <c r="S19" s="48"/>
      <c r="T19" s="21" t="str">
        <f t="shared" si="2"/>
        <v/>
      </c>
      <c r="U19" s="53" t="str">
        <f t="shared" si="3"/>
        <v/>
      </c>
      <c r="V19" s="54" t="str">
        <f t="shared" si="4"/>
        <v/>
      </c>
      <c r="W19" s="55" t="str">
        <f t="shared" si="5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6"/>
        <v/>
      </c>
      <c r="B20" s="18" t="str">
        <f t="shared" si="7"/>
        <v/>
      </c>
      <c r="C20" s="18" t="str">
        <f t="shared" si="8"/>
        <v/>
      </c>
      <c r="D20" s="18" t="str">
        <f t="shared" si="9"/>
        <v/>
      </c>
      <c r="E20" s="4"/>
      <c r="F20" s="8"/>
      <c r="G20" s="9"/>
      <c r="H20" s="9"/>
      <c r="I20" s="48"/>
      <c r="J20" s="21" t="str">
        <f t="shared" si="0"/>
        <v/>
      </c>
      <c r="K20" s="8"/>
      <c r="L20" s="9"/>
      <c r="M20" s="9"/>
      <c r="N20" s="48"/>
      <c r="O20" s="21" t="str">
        <f t="shared" si="1"/>
        <v/>
      </c>
      <c r="P20" s="8"/>
      <c r="Q20" s="9"/>
      <c r="R20" s="9"/>
      <c r="S20" s="48"/>
      <c r="T20" s="21" t="str">
        <f t="shared" si="2"/>
        <v/>
      </c>
      <c r="U20" s="53" t="str">
        <f t="shared" si="3"/>
        <v/>
      </c>
      <c r="V20" s="54" t="str">
        <f t="shared" si="4"/>
        <v/>
      </c>
      <c r="W20" s="55" t="str">
        <f t="shared" si="5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6"/>
        <v/>
      </c>
      <c r="B21" s="18" t="str">
        <f t="shared" si="7"/>
        <v/>
      </c>
      <c r="C21" s="18" t="str">
        <f t="shared" si="8"/>
        <v/>
      </c>
      <c r="D21" s="18" t="str">
        <f t="shared" si="9"/>
        <v/>
      </c>
      <c r="E21" s="4"/>
      <c r="F21" s="8"/>
      <c r="G21" s="9"/>
      <c r="H21" s="9"/>
      <c r="I21" s="48"/>
      <c r="J21" s="21" t="str">
        <f t="shared" si="0"/>
        <v/>
      </c>
      <c r="K21" s="8"/>
      <c r="L21" s="9"/>
      <c r="M21" s="9"/>
      <c r="N21" s="48"/>
      <c r="O21" s="21" t="str">
        <f t="shared" si="1"/>
        <v/>
      </c>
      <c r="P21" s="8"/>
      <c r="Q21" s="9"/>
      <c r="R21" s="9"/>
      <c r="S21" s="48"/>
      <c r="T21" s="21" t="str">
        <f t="shared" si="2"/>
        <v/>
      </c>
      <c r="U21" s="53" t="str">
        <f t="shared" si="3"/>
        <v/>
      </c>
      <c r="V21" s="54" t="str">
        <f t="shared" si="4"/>
        <v/>
      </c>
      <c r="W21" s="55" t="str">
        <f t="shared" si="5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6"/>
        <v/>
      </c>
      <c r="B22" s="18" t="str">
        <f t="shared" si="7"/>
        <v/>
      </c>
      <c r="C22" s="18" t="str">
        <f t="shared" si="8"/>
        <v/>
      </c>
      <c r="D22" s="18" t="str">
        <f t="shared" si="9"/>
        <v/>
      </c>
      <c r="E22" s="4"/>
      <c r="F22" s="8"/>
      <c r="G22" s="9"/>
      <c r="H22" s="9"/>
      <c r="I22" s="48"/>
      <c r="J22" s="21" t="str">
        <f t="shared" si="0"/>
        <v/>
      </c>
      <c r="K22" s="8"/>
      <c r="L22" s="9"/>
      <c r="M22" s="9"/>
      <c r="N22" s="48"/>
      <c r="O22" s="21" t="str">
        <f t="shared" si="1"/>
        <v/>
      </c>
      <c r="P22" s="8"/>
      <c r="Q22" s="9"/>
      <c r="R22" s="9"/>
      <c r="S22" s="48"/>
      <c r="T22" s="21" t="str">
        <f t="shared" si="2"/>
        <v/>
      </c>
      <c r="U22" s="53" t="str">
        <f t="shared" si="3"/>
        <v/>
      </c>
      <c r="V22" s="54" t="str">
        <f t="shared" si="4"/>
        <v/>
      </c>
      <c r="W22" s="55" t="str">
        <f t="shared" si="5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6"/>
        <v/>
      </c>
      <c r="B23" s="18" t="str">
        <f t="shared" si="7"/>
        <v/>
      </c>
      <c r="C23" s="18" t="str">
        <f t="shared" si="8"/>
        <v/>
      </c>
      <c r="D23" s="18" t="str">
        <f t="shared" si="9"/>
        <v/>
      </c>
      <c r="E23" s="4"/>
      <c r="F23" s="8"/>
      <c r="G23" s="9"/>
      <c r="H23" s="9"/>
      <c r="I23" s="48"/>
      <c r="J23" s="21" t="str">
        <f t="shared" si="0"/>
        <v/>
      </c>
      <c r="K23" s="8"/>
      <c r="L23" s="9"/>
      <c r="M23" s="9"/>
      <c r="N23" s="48"/>
      <c r="O23" s="21" t="str">
        <f t="shared" si="1"/>
        <v/>
      </c>
      <c r="P23" s="8"/>
      <c r="Q23" s="9"/>
      <c r="R23" s="9"/>
      <c r="S23" s="48"/>
      <c r="T23" s="21" t="str">
        <f t="shared" si="2"/>
        <v/>
      </c>
      <c r="U23" s="53" t="str">
        <f t="shared" si="3"/>
        <v/>
      </c>
      <c r="V23" s="54" t="str">
        <f t="shared" si="4"/>
        <v/>
      </c>
      <c r="W23" s="55" t="str">
        <f t="shared" si="5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6"/>
        <v/>
      </c>
      <c r="B24" s="18" t="str">
        <f t="shared" si="7"/>
        <v/>
      </c>
      <c r="C24" s="18" t="str">
        <f t="shared" si="8"/>
        <v/>
      </c>
      <c r="D24" s="18" t="str">
        <f t="shared" si="9"/>
        <v/>
      </c>
      <c r="E24" s="4"/>
      <c r="F24" s="8"/>
      <c r="G24" s="9"/>
      <c r="H24" s="9"/>
      <c r="I24" s="48"/>
      <c r="J24" s="21" t="str">
        <f t="shared" si="0"/>
        <v/>
      </c>
      <c r="K24" s="8"/>
      <c r="L24" s="9"/>
      <c r="M24" s="9"/>
      <c r="N24" s="48"/>
      <c r="O24" s="21" t="str">
        <f t="shared" si="1"/>
        <v/>
      </c>
      <c r="P24" s="8"/>
      <c r="Q24" s="9"/>
      <c r="R24" s="9"/>
      <c r="S24" s="48"/>
      <c r="T24" s="21" t="str">
        <f t="shared" si="2"/>
        <v/>
      </c>
      <c r="U24" s="53" t="str">
        <f t="shared" si="3"/>
        <v/>
      </c>
      <c r="V24" s="54" t="str">
        <f t="shared" si="4"/>
        <v/>
      </c>
      <c r="W24" s="55" t="str">
        <f t="shared" si="5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6"/>
        <v/>
      </c>
      <c r="B25" s="18" t="str">
        <f t="shared" si="7"/>
        <v/>
      </c>
      <c r="C25" s="18" t="str">
        <f t="shared" si="8"/>
        <v/>
      </c>
      <c r="D25" s="18" t="str">
        <f t="shared" si="9"/>
        <v/>
      </c>
      <c r="E25" s="4"/>
      <c r="F25" s="8"/>
      <c r="G25" s="9"/>
      <c r="H25" s="9"/>
      <c r="I25" s="48"/>
      <c r="J25" s="21" t="str">
        <f t="shared" si="0"/>
        <v/>
      </c>
      <c r="K25" s="8"/>
      <c r="L25" s="9"/>
      <c r="M25" s="9"/>
      <c r="N25" s="48"/>
      <c r="O25" s="21" t="str">
        <f t="shared" si="1"/>
        <v/>
      </c>
      <c r="P25" s="8"/>
      <c r="Q25" s="9"/>
      <c r="R25" s="9"/>
      <c r="S25" s="48"/>
      <c r="T25" s="21" t="str">
        <f t="shared" si="2"/>
        <v/>
      </c>
      <c r="U25" s="53" t="str">
        <f t="shared" si="3"/>
        <v/>
      </c>
      <c r="V25" s="54" t="str">
        <f t="shared" si="4"/>
        <v/>
      </c>
      <c r="W25" s="55" t="str">
        <f t="shared" si="5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6"/>
        <v/>
      </c>
      <c r="B26" s="18" t="str">
        <f t="shared" si="7"/>
        <v/>
      </c>
      <c r="C26" s="18" t="str">
        <f t="shared" si="8"/>
        <v/>
      </c>
      <c r="D26" s="18" t="str">
        <f t="shared" si="9"/>
        <v/>
      </c>
      <c r="E26" s="4"/>
      <c r="F26" s="8"/>
      <c r="G26" s="9"/>
      <c r="H26" s="9"/>
      <c r="I26" s="48"/>
      <c r="J26" s="21" t="str">
        <f t="shared" si="0"/>
        <v/>
      </c>
      <c r="K26" s="8"/>
      <c r="L26" s="9"/>
      <c r="M26" s="9"/>
      <c r="N26" s="48"/>
      <c r="O26" s="21" t="str">
        <f t="shared" si="1"/>
        <v/>
      </c>
      <c r="P26" s="8"/>
      <c r="Q26" s="9"/>
      <c r="R26" s="9"/>
      <c r="S26" s="48"/>
      <c r="T26" s="21" t="str">
        <f t="shared" si="2"/>
        <v/>
      </c>
      <c r="U26" s="53" t="str">
        <f t="shared" si="3"/>
        <v/>
      </c>
      <c r="V26" s="54" t="str">
        <f t="shared" si="4"/>
        <v/>
      </c>
      <c r="W26" s="55" t="str">
        <f t="shared" si="5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6"/>
        <v/>
      </c>
      <c r="B27" s="18" t="str">
        <f t="shared" si="7"/>
        <v/>
      </c>
      <c r="C27" s="18" t="str">
        <f t="shared" si="8"/>
        <v/>
      </c>
      <c r="D27" s="18" t="str">
        <f t="shared" si="9"/>
        <v/>
      </c>
      <c r="E27" s="4"/>
      <c r="F27" s="8"/>
      <c r="G27" s="9"/>
      <c r="H27" s="9"/>
      <c r="I27" s="48"/>
      <c r="J27" s="21" t="str">
        <f t="shared" si="0"/>
        <v/>
      </c>
      <c r="K27" s="8"/>
      <c r="L27" s="9"/>
      <c r="M27" s="9"/>
      <c r="N27" s="48"/>
      <c r="O27" s="21" t="str">
        <f t="shared" si="1"/>
        <v/>
      </c>
      <c r="P27" s="8"/>
      <c r="Q27" s="9"/>
      <c r="R27" s="9"/>
      <c r="S27" s="48"/>
      <c r="T27" s="21" t="str">
        <f t="shared" si="2"/>
        <v/>
      </c>
      <c r="U27" s="53" t="str">
        <f t="shared" si="3"/>
        <v/>
      </c>
      <c r="V27" s="54" t="str">
        <f t="shared" si="4"/>
        <v/>
      </c>
      <c r="W27" s="55" t="str">
        <f t="shared" si="5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6"/>
        <v/>
      </c>
      <c r="B28" s="18" t="str">
        <f t="shared" si="7"/>
        <v/>
      </c>
      <c r="C28" s="18" t="str">
        <f t="shared" si="8"/>
        <v/>
      </c>
      <c r="D28" s="18" t="str">
        <f t="shared" si="9"/>
        <v/>
      </c>
      <c r="E28" s="4"/>
      <c r="F28" s="8"/>
      <c r="G28" s="9"/>
      <c r="H28" s="9"/>
      <c r="I28" s="48"/>
      <c r="J28" s="21" t="str">
        <f t="shared" si="0"/>
        <v/>
      </c>
      <c r="K28" s="8"/>
      <c r="L28" s="9"/>
      <c r="M28" s="9"/>
      <c r="N28" s="48"/>
      <c r="O28" s="21" t="str">
        <f t="shared" si="1"/>
        <v/>
      </c>
      <c r="P28" s="8"/>
      <c r="Q28" s="9"/>
      <c r="R28" s="9"/>
      <c r="S28" s="48"/>
      <c r="T28" s="21" t="str">
        <f t="shared" si="2"/>
        <v/>
      </c>
      <c r="U28" s="53" t="str">
        <f t="shared" si="3"/>
        <v/>
      </c>
      <c r="V28" s="54" t="str">
        <f t="shared" si="4"/>
        <v/>
      </c>
      <c r="W28" s="55" t="str">
        <f t="shared" si="5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6"/>
        <v/>
      </c>
      <c r="B29" s="18" t="str">
        <f t="shared" si="7"/>
        <v/>
      </c>
      <c r="C29" s="18" t="str">
        <f t="shared" si="8"/>
        <v/>
      </c>
      <c r="D29" s="18" t="str">
        <f t="shared" si="9"/>
        <v/>
      </c>
      <c r="E29" s="4"/>
      <c r="F29" s="8"/>
      <c r="G29" s="9"/>
      <c r="H29" s="9"/>
      <c r="I29" s="48"/>
      <c r="J29" s="21" t="str">
        <f t="shared" si="0"/>
        <v/>
      </c>
      <c r="K29" s="8"/>
      <c r="L29" s="9"/>
      <c r="M29" s="9"/>
      <c r="N29" s="48"/>
      <c r="O29" s="21" t="str">
        <f t="shared" si="1"/>
        <v/>
      </c>
      <c r="P29" s="8"/>
      <c r="Q29" s="9"/>
      <c r="R29" s="9"/>
      <c r="S29" s="48"/>
      <c r="T29" s="21" t="str">
        <f t="shared" si="2"/>
        <v/>
      </c>
      <c r="U29" s="53" t="str">
        <f t="shared" si="3"/>
        <v/>
      </c>
      <c r="V29" s="54" t="str">
        <f t="shared" si="4"/>
        <v/>
      </c>
      <c r="W29" s="55" t="str">
        <f t="shared" si="5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6"/>
        <v/>
      </c>
      <c r="B30" s="19" t="str">
        <f t="shared" si="7"/>
        <v/>
      </c>
      <c r="C30" s="19" t="str">
        <f t="shared" si="8"/>
        <v/>
      </c>
      <c r="D30" s="19" t="str">
        <f t="shared" si="9"/>
        <v/>
      </c>
      <c r="E30" s="5"/>
      <c r="F30" s="10"/>
      <c r="G30" s="11"/>
      <c r="H30" s="11"/>
      <c r="I30" s="49"/>
      <c r="J30" s="22" t="str">
        <f t="shared" si="0"/>
        <v/>
      </c>
      <c r="K30" s="10"/>
      <c r="L30" s="11"/>
      <c r="M30" s="11"/>
      <c r="N30" s="49"/>
      <c r="O30" s="22" t="str">
        <f t="shared" si="1"/>
        <v/>
      </c>
      <c r="P30" s="10"/>
      <c r="Q30" s="11"/>
      <c r="R30" s="11"/>
      <c r="S30" s="49"/>
      <c r="T30" s="22" t="str">
        <f t="shared" si="2"/>
        <v/>
      </c>
      <c r="U30" s="56" t="str">
        <f t="shared" si="3"/>
        <v/>
      </c>
      <c r="V30" s="57" t="str">
        <f t="shared" si="4"/>
        <v/>
      </c>
      <c r="W30" s="58" t="str">
        <f t="shared" si="5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2">
    <dataValidation type="list" showInputMessage="1" showErrorMessage="1" sqref="K4:K30 P4:P30 F4:F30" xr:uid="{C002C881-310B-4AA1-AC7F-E5F28178F0F4}">
      <formula1>"ロン,ツモ,放銃,ツモ支払,流局,チョンボ"</formula1>
    </dataValidation>
    <dataValidation type="list" allowBlank="1" showInputMessage="1" showErrorMessage="1" sqref="E4:E30" xr:uid="{FDE538A1-4B9F-4B49-891F-4B8E0E86957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F289E-AE47-4747-9D2B-8FBF6B0F98AE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93" t="s">
        <v>0</v>
      </c>
      <c r="B1" s="95" t="s">
        <v>2</v>
      </c>
      <c r="C1" s="95" t="s">
        <v>1</v>
      </c>
      <c r="D1" s="95" t="s">
        <v>21</v>
      </c>
      <c r="E1" s="97" t="s">
        <v>3</v>
      </c>
      <c r="F1" s="89" t="s">
        <v>149</v>
      </c>
      <c r="G1" s="90"/>
      <c r="H1" s="90"/>
      <c r="I1" s="91"/>
      <c r="J1" s="92"/>
      <c r="K1" s="89" t="s">
        <v>160</v>
      </c>
      <c r="L1" s="90"/>
      <c r="M1" s="90"/>
      <c r="N1" s="91"/>
      <c r="O1" s="92"/>
      <c r="P1" s="89" t="s">
        <v>162</v>
      </c>
      <c r="Q1" s="90"/>
      <c r="R1" s="90"/>
      <c r="S1" s="91"/>
      <c r="T1" s="92"/>
      <c r="U1" s="89" t="s">
        <v>6</v>
      </c>
      <c r="V1" s="90"/>
      <c r="W1" s="92"/>
      <c r="Y1" s="89" t="str">
        <f>F1</f>
        <v>だいち</v>
      </c>
      <c r="Z1" s="10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2"/>
      <c r="AT1" s="89" t="str">
        <f>K1</f>
        <v>まっつん</v>
      </c>
      <c r="AU1" s="100"/>
      <c r="AV1" s="90"/>
      <c r="AW1" s="90"/>
      <c r="AX1" s="90"/>
      <c r="AY1" s="90"/>
      <c r="AZ1" s="90"/>
      <c r="BA1" s="90"/>
      <c r="BB1" s="90"/>
      <c r="BC1" s="90"/>
      <c r="BD1" s="90"/>
      <c r="BE1" s="90"/>
      <c r="BF1" s="90"/>
      <c r="BG1" s="90"/>
      <c r="BH1" s="90"/>
      <c r="BI1" s="90"/>
      <c r="BJ1" s="90"/>
      <c r="BK1" s="90"/>
      <c r="BL1" s="90"/>
      <c r="BM1" s="90"/>
      <c r="BN1" s="92"/>
      <c r="BO1" s="89" t="str">
        <f>P1</f>
        <v>あさひ</v>
      </c>
      <c r="BP1" s="100"/>
      <c r="BQ1" s="90"/>
      <c r="BR1" s="90"/>
      <c r="BS1" s="90"/>
      <c r="BT1" s="90"/>
      <c r="BU1" s="90"/>
      <c r="BV1" s="90"/>
      <c r="BW1" s="90"/>
      <c r="BX1" s="90"/>
      <c r="BY1" s="90"/>
      <c r="BZ1" s="90"/>
      <c r="CA1" s="90"/>
      <c r="CB1" s="90"/>
      <c r="CC1" s="90"/>
      <c r="CD1" s="90"/>
      <c r="CE1" s="90"/>
      <c r="CF1" s="90"/>
      <c r="CG1" s="90"/>
      <c r="CH1" s="90"/>
      <c r="CI1" s="92"/>
    </row>
    <row r="2" spans="1:87" x14ac:dyDescent="0.4">
      <c r="A2" s="94"/>
      <c r="B2" s="96"/>
      <c r="C2" s="96"/>
      <c r="D2" s="96"/>
      <c r="E2" s="9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だいち</v>
      </c>
      <c r="V2" s="76" t="str">
        <f>$K$1</f>
        <v>まっつん</v>
      </c>
      <c r="W2" s="16" t="str">
        <f>$P$1</f>
        <v>あさひ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99" t="s">
        <v>20</v>
      </c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99" t="s">
        <v>20</v>
      </c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99" t="s">
        <v>20</v>
      </c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99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116000</v>
      </c>
      <c r="K3" s="7"/>
      <c r="L3" s="23"/>
      <c r="M3" s="23"/>
      <c r="N3" s="47"/>
      <c r="O3" s="20">
        <v>110300</v>
      </c>
      <c r="P3" s="7"/>
      <c r="Q3" s="23"/>
      <c r="R3" s="23"/>
      <c r="S3" s="47"/>
      <c r="T3" s="20">
        <v>73700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155</v>
      </c>
      <c r="F4" s="8" t="s">
        <v>145</v>
      </c>
      <c r="G4" s="9">
        <v>-2600</v>
      </c>
      <c r="H4" s="9"/>
      <c r="I4" s="48">
        <v>0</v>
      </c>
      <c r="J4" s="21">
        <f t="shared" ref="J4:J30" si="0">IF(COUNTA($F4,$K4,$P4)&gt;0,J3+SUM(G4:I4),"")</f>
        <v>113400</v>
      </c>
      <c r="K4" s="8" t="s">
        <v>146</v>
      </c>
      <c r="L4" s="9">
        <v>2600</v>
      </c>
      <c r="M4" s="9"/>
      <c r="N4" s="48">
        <v>0</v>
      </c>
      <c r="O4" s="21">
        <f t="shared" ref="O4:O30" si="1">IF(COUNTA($F4,$K4,$P4)&gt;0,O3+SUM(L4:N4),"")</f>
        <v>112900</v>
      </c>
      <c r="P4" s="8"/>
      <c r="Q4" s="9"/>
      <c r="R4" s="9"/>
      <c r="S4" s="48"/>
      <c r="T4" s="21">
        <f t="shared" ref="T4:T30" si="2">IF(COUNTA($F4,$K4,$P4)&gt;0,T3+SUM(Q4:S4),"")</f>
        <v>73700</v>
      </c>
      <c r="U4" s="53">
        <f t="shared" ref="U4:U30" si="3">IF($J4="","",ROUND(($J4-$J$3)/1000,1))</f>
        <v>-2.6</v>
      </c>
      <c r="V4" s="54">
        <f t="shared" ref="V4:V30" si="4">IF($O4="","",ROUND(($O4-$O$3)/1000,1))</f>
        <v>2.6</v>
      </c>
      <c r="W4" s="55">
        <f t="shared" ref="W4:W30" si="5">IF($T4="","",ROUND(($T4-$T$3)/1000,1))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2</v>
      </c>
      <c r="AY4" s="30">
        <v>40</v>
      </c>
      <c r="AZ4" s="40" t="s">
        <v>144</v>
      </c>
      <c r="BA4" s="41" t="s">
        <v>80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6">IF($E5="","",IF(AND(B4=3,B5=1),_xlfn.SWITCH(A4,"東","南","南","西","西","北","北","東"),A4))</f>
        <v>東</v>
      </c>
      <c r="B5" s="18">
        <f t="shared" ref="B5:B30" si="7">IF($E5="","",IF($E4=$E5,B4,IF(B4=3,1,B4+1)))</f>
        <v>2</v>
      </c>
      <c r="C5" s="18">
        <f t="shared" ref="C5:C30" si="8">IF($E5="","",IF($F4="チョンボ",C4,IF(OR($E4=$E5,$F4="流局"),C4+1,0)))</f>
        <v>0</v>
      </c>
      <c r="D5" s="18">
        <f t="shared" ref="D5:D30" si="9">IF($E5="","",IF(OR($F4="流局",$F4="チョンボ"),D4+($H4+$M4+$R4)/-1000,0))</f>
        <v>0</v>
      </c>
      <c r="E5" s="4" t="s">
        <v>159</v>
      </c>
      <c r="F5" s="8" t="s">
        <v>146</v>
      </c>
      <c r="G5" s="9">
        <v>12000</v>
      </c>
      <c r="H5" s="9">
        <v>1000</v>
      </c>
      <c r="I5" s="48">
        <v>0</v>
      </c>
      <c r="J5" s="21">
        <f t="shared" si="0"/>
        <v>126400</v>
      </c>
      <c r="K5" s="8" t="s">
        <v>145</v>
      </c>
      <c r="L5" s="9">
        <v>-12000</v>
      </c>
      <c r="M5" s="9"/>
      <c r="N5" s="48">
        <v>0</v>
      </c>
      <c r="O5" s="21">
        <f t="shared" si="1"/>
        <v>100900</v>
      </c>
      <c r="P5" s="8"/>
      <c r="Q5" s="9"/>
      <c r="R5" s="9">
        <v>-1000</v>
      </c>
      <c r="S5" s="48"/>
      <c r="T5" s="21">
        <f t="shared" si="2"/>
        <v>72700</v>
      </c>
      <c r="U5" s="53">
        <f t="shared" si="3"/>
        <v>10.4</v>
      </c>
      <c r="V5" s="54">
        <f t="shared" si="4"/>
        <v>-9.4</v>
      </c>
      <c r="W5" s="55">
        <f t="shared" si="5"/>
        <v>-1</v>
      </c>
      <c r="Y5" s="8"/>
      <c r="Z5" s="34"/>
      <c r="AA5" s="26"/>
      <c r="AB5" s="26">
        <v>1</v>
      </c>
      <c r="AC5" s="26">
        <v>6</v>
      </c>
      <c r="AD5" s="30" t="s">
        <v>154</v>
      </c>
      <c r="AE5" s="40" t="s">
        <v>86</v>
      </c>
      <c r="AF5" s="41" t="s">
        <v>86</v>
      </c>
      <c r="AG5" s="41" t="s">
        <v>79</v>
      </c>
      <c r="AH5" s="41" t="s">
        <v>79</v>
      </c>
      <c r="AI5" s="41" t="s">
        <v>79</v>
      </c>
      <c r="AJ5" s="41" t="s">
        <v>79</v>
      </c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6"/>
        <v>東</v>
      </c>
      <c r="B6" s="18">
        <f t="shared" si="7"/>
        <v>3</v>
      </c>
      <c r="C6" s="18">
        <f t="shared" si="8"/>
        <v>0</v>
      </c>
      <c r="D6" s="18">
        <f t="shared" si="9"/>
        <v>0</v>
      </c>
      <c r="E6" s="4" t="s">
        <v>161</v>
      </c>
      <c r="F6" s="8" t="s">
        <v>143</v>
      </c>
      <c r="G6" s="9">
        <v>2100</v>
      </c>
      <c r="H6" s="9">
        <v>1000</v>
      </c>
      <c r="I6" s="48">
        <v>0</v>
      </c>
      <c r="J6" s="21">
        <f t="shared" si="0"/>
        <v>129500</v>
      </c>
      <c r="K6" s="8" t="s">
        <v>142</v>
      </c>
      <c r="L6" s="9">
        <v>-800</v>
      </c>
      <c r="M6" s="9">
        <v>-1000</v>
      </c>
      <c r="N6" s="48">
        <v>0</v>
      </c>
      <c r="O6" s="21">
        <f t="shared" si="1"/>
        <v>99100</v>
      </c>
      <c r="P6" s="8" t="s">
        <v>142</v>
      </c>
      <c r="Q6" s="9">
        <v>-1300</v>
      </c>
      <c r="R6" s="9"/>
      <c r="S6" s="48">
        <v>0</v>
      </c>
      <c r="T6" s="21">
        <f t="shared" si="2"/>
        <v>71400</v>
      </c>
      <c r="U6" s="53">
        <f t="shared" si="3"/>
        <v>13.5</v>
      </c>
      <c r="V6" s="54">
        <f t="shared" si="4"/>
        <v>-11.2</v>
      </c>
      <c r="W6" s="55">
        <f t="shared" si="5"/>
        <v>-2.2999999999999998</v>
      </c>
      <c r="Y6" s="8"/>
      <c r="Z6" s="34"/>
      <c r="AA6" s="26"/>
      <c r="AB6" s="26">
        <v>1</v>
      </c>
      <c r="AC6" s="26">
        <v>2</v>
      </c>
      <c r="AD6" s="30">
        <v>30</v>
      </c>
      <c r="AE6" s="40" t="s">
        <v>86</v>
      </c>
      <c r="AF6" s="41" t="s">
        <v>147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6"/>
        <v>南</v>
      </c>
      <c r="B7" s="18">
        <f t="shared" si="7"/>
        <v>1</v>
      </c>
      <c r="C7" s="18">
        <f t="shared" si="8"/>
        <v>0</v>
      </c>
      <c r="D7" s="18">
        <f t="shared" si="9"/>
        <v>0</v>
      </c>
      <c r="E7" s="4" t="s">
        <v>155</v>
      </c>
      <c r="F7" s="8" t="s">
        <v>146</v>
      </c>
      <c r="G7" s="9">
        <v>12000</v>
      </c>
      <c r="H7" s="9"/>
      <c r="I7" s="48">
        <v>0</v>
      </c>
      <c r="J7" s="21">
        <f t="shared" si="0"/>
        <v>141500</v>
      </c>
      <c r="K7" s="8" t="s">
        <v>145</v>
      </c>
      <c r="L7" s="9">
        <v>-12000</v>
      </c>
      <c r="M7" s="9"/>
      <c r="N7" s="48">
        <v>0</v>
      </c>
      <c r="O7" s="21">
        <f t="shared" si="1"/>
        <v>87100</v>
      </c>
      <c r="P7" s="8"/>
      <c r="Q7" s="9"/>
      <c r="R7" s="9"/>
      <c r="S7" s="48"/>
      <c r="T7" s="21">
        <f t="shared" si="2"/>
        <v>71400</v>
      </c>
      <c r="U7" s="53">
        <f t="shared" si="3"/>
        <v>25.5</v>
      </c>
      <c r="V7" s="54">
        <f t="shared" si="4"/>
        <v>-23.2</v>
      </c>
      <c r="W7" s="55">
        <f t="shared" si="5"/>
        <v>-2.2999999999999998</v>
      </c>
      <c r="Y7" s="8"/>
      <c r="Z7" s="34"/>
      <c r="AA7" s="26">
        <v>1</v>
      </c>
      <c r="AB7" s="26"/>
      <c r="AC7" s="26">
        <v>4</v>
      </c>
      <c r="AD7" s="30">
        <v>40</v>
      </c>
      <c r="AE7" s="40" t="s">
        <v>144</v>
      </c>
      <c r="AF7" s="41" t="s">
        <v>80</v>
      </c>
      <c r="AG7" s="41" t="s">
        <v>80</v>
      </c>
      <c r="AH7" s="41" t="s">
        <v>147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6"/>
        <v>南</v>
      </c>
      <c r="B8" s="18">
        <f t="shared" si="7"/>
        <v>1</v>
      </c>
      <c r="C8" s="18">
        <f t="shared" si="8"/>
        <v>1</v>
      </c>
      <c r="D8" s="18">
        <f t="shared" si="9"/>
        <v>0</v>
      </c>
      <c r="E8" s="4" t="s">
        <v>155</v>
      </c>
      <c r="F8" s="8" t="s">
        <v>142</v>
      </c>
      <c r="G8" s="9">
        <v>-700</v>
      </c>
      <c r="H8" s="9">
        <v>-1000</v>
      </c>
      <c r="I8" s="48">
        <v>-500</v>
      </c>
      <c r="J8" s="21">
        <f t="shared" si="0"/>
        <v>139300</v>
      </c>
      <c r="K8" s="8" t="s">
        <v>143</v>
      </c>
      <c r="L8" s="9">
        <v>1200</v>
      </c>
      <c r="M8" s="9">
        <v>1000</v>
      </c>
      <c r="N8" s="48">
        <v>1000</v>
      </c>
      <c r="O8" s="21">
        <f t="shared" si="1"/>
        <v>90300</v>
      </c>
      <c r="P8" s="8" t="s">
        <v>142</v>
      </c>
      <c r="Q8" s="9">
        <v>-500</v>
      </c>
      <c r="R8" s="9"/>
      <c r="S8" s="48">
        <v>-500</v>
      </c>
      <c r="T8" s="21">
        <f t="shared" si="2"/>
        <v>70400</v>
      </c>
      <c r="U8" s="53">
        <f t="shared" si="3"/>
        <v>23.3</v>
      </c>
      <c r="V8" s="54">
        <f t="shared" si="4"/>
        <v>-20</v>
      </c>
      <c r="W8" s="55">
        <f t="shared" si="5"/>
        <v>-3.3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1</v>
      </c>
      <c r="AY8" s="30">
        <v>30</v>
      </c>
      <c r="AZ8" s="40" t="s">
        <v>86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6"/>
        <v>南</v>
      </c>
      <c r="B9" s="18">
        <f t="shared" si="7"/>
        <v>2</v>
      </c>
      <c r="C9" s="18">
        <f t="shared" si="8"/>
        <v>0</v>
      </c>
      <c r="D9" s="18">
        <f t="shared" si="9"/>
        <v>0</v>
      </c>
      <c r="E9" s="4" t="s">
        <v>159</v>
      </c>
      <c r="F9" s="8" t="s">
        <v>146</v>
      </c>
      <c r="G9" s="9">
        <v>2600</v>
      </c>
      <c r="H9" s="9">
        <v>1000</v>
      </c>
      <c r="I9" s="48">
        <v>0</v>
      </c>
      <c r="J9" s="21">
        <f t="shared" si="0"/>
        <v>142900</v>
      </c>
      <c r="K9" s="8"/>
      <c r="L9" s="9"/>
      <c r="M9" s="9"/>
      <c r="N9" s="48"/>
      <c r="O9" s="21">
        <f t="shared" si="1"/>
        <v>90300</v>
      </c>
      <c r="P9" s="8" t="s">
        <v>145</v>
      </c>
      <c r="Q9" s="9">
        <v>-2600</v>
      </c>
      <c r="R9" s="9">
        <v>-1000</v>
      </c>
      <c r="S9" s="48">
        <v>0</v>
      </c>
      <c r="T9" s="21">
        <f t="shared" si="2"/>
        <v>66800</v>
      </c>
      <c r="U9" s="53">
        <f t="shared" si="3"/>
        <v>26.9</v>
      </c>
      <c r="V9" s="54">
        <f t="shared" si="4"/>
        <v>-20</v>
      </c>
      <c r="W9" s="55">
        <f t="shared" si="5"/>
        <v>-6.9</v>
      </c>
      <c r="Y9" s="8"/>
      <c r="Z9" s="34"/>
      <c r="AA9" s="26">
        <v>1</v>
      </c>
      <c r="AB9" s="26"/>
      <c r="AC9" s="26">
        <v>2</v>
      </c>
      <c r="AD9" s="30">
        <v>40</v>
      </c>
      <c r="AE9" s="40" t="s">
        <v>144</v>
      </c>
      <c r="AF9" s="41" t="s">
        <v>79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6"/>
        <v>南</v>
      </c>
      <c r="B10" s="18">
        <f t="shared" si="7"/>
        <v>3</v>
      </c>
      <c r="C10" s="18">
        <f t="shared" si="8"/>
        <v>0</v>
      </c>
      <c r="D10" s="18">
        <f t="shared" si="9"/>
        <v>0</v>
      </c>
      <c r="E10" s="4" t="s">
        <v>161</v>
      </c>
      <c r="F10" s="8" t="s">
        <v>146</v>
      </c>
      <c r="G10" s="9">
        <v>7700</v>
      </c>
      <c r="H10" s="9"/>
      <c r="I10" s="48">
        <v>0</v>
      </c>
      <c r="J10" s="21">
        <f t="shared" si="0"/>
        <v>150600</v>
      </c>
      <c r="K10" s="8"/>
      <c r="L10" s="9"/>
      <c r="M10" s="9"/>
      <c r="N10" s="48"/>
      <c r="O10" s="21">
        <f t="shared" si="1"/>
        <v>90300</v>
      </c>
      <c r="P10" s="8" t="s">
        <v>145</v>
      </c>
      <c r="Q10" s="9">
        <v>-7700</v>
      </c>
      <c r="R10" s="9"/>
      <c r="S10" s="48">
        <v>0</v>
      </c>
      <c r="T10" s="21">
        <f t="shared" si="2"/>
        <v>59100</v>
      </c>
      <c r="U10" s="53">
        <f t="shared" si="3"/>
        <v>34.6</v>
      </c>
      <c r="V10" s="54">
        <f t="shared" si="4"/>
        <v>-20</v>
      </c>
      <c r="W10" s="55">
        <f t="shared" si="5"/>
        <v>-14.6</v>
      </c>
      <c r="Y10" s="8"/>
      <c r="Z10" s="34"/>
      <c r="AA10" s="26">
        <v>1</v>
      </c>
      <c r="AB10" s="26"/>
      <c r="AC10" s="26">
        <v>4</v>
      </c>
      <c r="AD10" s="30">
        <v>30</v>
      </c>
      <c r="AE10" s="40" t="s">
        <v>144</v>
      </c>
      <c r="AF10" s="41" t="s">
        <v>148</v>
      </c>
      <c r="AG10" s="41" t="s">
        <v>83</v>
      </c>
      <c r="AH10" s="41" t="s">
        <v>80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6"/>
        <v/>
      </c>
      <c r="B11" s="18" t="str">
        <f t="shared" si="7"/>
        <v/>
      </c>
      <c r="C11" s="18" t="str">
        <f t="shared" si="8"/>
        <v/>
      </c>
      <c r="D11" s="18" t="str">
        <f t="shared" si="9"/>
        <v/>
      </c>
      <c r="E11" s="4"/>
      <c r="F11" s="8"/>
      <c r="G11" s="9"/>
      <c r="H11" s="9"/>
      <c r="I11" s="48"/>
      <c r="J11" s="21" t="str">
        <f t="shared" si="0"/>
        <v/>
      </c>
      <c r="K11" s="8"/>
      <c r="L11" s="9"/>
      <c r="M11" s="9"/>
      <c r="N11" s="48"/>
      <c r="O11" s="21" t="str">
        <f t="shared" si="1"/>
        <v/>
      </c>
      <c r="P11" s="8"/>
      <c r="Q11" s="9"/>
      <c r="R11" s="9"/>
      <c r="S11" s="48"/>
      <c r="T11" s="21" t="str">
        <f t="shared" si="2"/>
        <v/>
      </c>
      <c r="U11" s="53" t="str">
        <f t="shared" si="3"/>
        <v/>
      </c>
      <c r="V11" s="54" t="str">
        <f t="shared" si="4"/>
        <v/>
      </c>
      <c r="W11" s="55" t="str">
        <f t="shared" si="5"/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6"/>
        <v/>
      </c>
      <c r="B12" s="18" t="str">
        <f t="shared" si="7"/>
        <v/>
      </c>
      <c r="C12" s="18" t="str">
        <f t="shared" si="8"/>
        <v/>
      </c>
      <c r="D12" s="18" t="str">
        <f t="shared" si="9"/>
        <v/>
      </c>
      <c r="E12" s="4"/>
      <c r="F12" s="8"/>
      <c r="G12" s="9"/>
      <c r="H12" s="9"/>
      <c r="I12" s="48"/>
      <c r="J12" s="21" t="str">
        <f t="shared" si="0"/>
        <v/>
      </c>
      <c r="K12" s="8"/>
      <c r="L12" s="9"/>
      <c r="M12" s="9"/>
      <c r="N12" s="48"/>
      <c r="O12" s="21" t="str">
        <f t="shared" si="1"/>
        <v/>
      </c>
      <c r="P12" s="8"/>
      <c r="Q12" s="9"/>
      <c r="R12" s="9"/>
      <c r="S12" s="48"/>
      <c r="T12" s="21" t="str">
        <f t="shared" si="2"/>
        <v/>
      </c>
      <c r="U12" s="53" t="str">
        <f t="shared" si="3"/>
        <v/>
      </c>
      <c r="V12" s="54" t="str">
        <f t="shared" si="4"/>
        <v/>
      </c>
      <c r="W12" s="55" t="str">
        <f t="shared" si="5"/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6"/>
        <v/>
      </c>
      <c r="B13" s="18" t="str">
        <f t="shared" si="7"/>
        <v/>
      </c>
      <c r="C13" s="18" t="str">
        <f t="shared" si="8"/>
        <v/>
      </c>
      <c r="D13" s="18" t="str">
        <f t="shared" si="9"/>
        <v/>
      </c>
      <c r="E13" s="4"/>
      <c r="F13" s="8"/>
      <c r="G13" s="9"/>
      <c r="H13" s="9"/>
      <c r="I13" s="48"/>
      <c r="J13" s="21" t="str">
        <f t="shared" si="0"/>
        <v/>
      </c>
      <c r="K13" s="8"/>
      <c r="L13" s="9"/>
      <c r="M13" s="9"/>
      <c r="N13" s="48"/>
      <c r="O13" s="21" t="str">
        <f t="shared" si="1"/>
        <v/>
      </c>
      <c r="P13" s="8"/>
      <c r="Q13" s="9"/>
      <c r="R13" s="9"/>
      <c r="S13" s="48"/>
      <c r="T13" s="21" t="str">
        <f t="shared" si="2"/>
        <v/>
      </c>
      <c r="U13" s="53" t="str">
        <f t="shared" si="3"/>
        <v/>
      </c>
      <c r="V13" s="54" t="str">
        <f t="shared" si="4"/>
        <v/>
      </c>
      <c r="W13" s="55" t="str">
        <f t="shared" si="5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6"/>
        <v/>
      </c>
      <c r="B14" s="18" t="str">
        <f t="shared" si="7"/>
        <v/>
      </c>
      <c r="C14" s="18" t="str">
        <f t="shared" si="8"/>
        <v/>
      </c>
      <c r="D14" s="18" t="str">
        <f t="shared" si="9"/>
        <v/>
      </c>
      <c r="E14" s="4"/>
      <c r="F14" s="8"/>
      <c r="G14" s="9"/>
      <c r="H14" s="9"/>
      <c r="I14" s="48"/>
      <c r="J14" s="21" t="str">
        <f t="shared" si="0"/>
        <v/>
      </c>
      <c r="K14" s="8"/>
      <c r="L14" s="9"/>
      <c r="M14" s="9"/>
      <c r="N14" s="48"/>
      <c r="O14" s="21" t="str">
        <f t="shared" si="1"/>
        <v/>
      </c>
      <c r="P14" s="8"/>
      <c r="Q14" s="9"/>
      <c r="R14" s="9"/>
      <c r="S14" s="48"/>
      <c r="T14" s="21" t="str">
        <f t="shared" si="2"/>
        <v/>
      </c>
      <c r="U14" s="53" t="str">
        <f t="shared" si="3"/>
        <v/>
      </c>
      <c r="V14" s="54" t="str">
        <f t="shared" si="4"/>
        <v/>
      </c>
      <c r="W14" s="55" t="str">
        <f t="shared" si="5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6"/>
        <v/>
      </c>
      <c r="B15" s="18" t="str">
        <f t="shared" si="7"/>
        <v/>
      </c>
      <c r="C15" s="18" t="str">
        <f t="shared" si="8"/>
        <v/>
      </c>
      <c r="D15" s="18" t="str">
        <f t="shared" si="9"/>
        <v/>
      </c>
      <c r="E15" s="4"/>
      <c r="F15" s="8"/>
      <c r="G15" s="9"/>
      <c r="H15" s="9"/>
      <c r="I15" s="48"/>
      <c r="J15" s="21" t="str">
        <f t="shared" si="0"/>
        <v/>
      </c>
      <c r="K15" s="8"/>
      <c r="L15" s="9"/>
      <c r="M15" s="9"/>
      <c r="N15" s="48"/>
      <c r="O15" s="21" t="str">
        <f t="shared" si="1"/>
        <v/>
      </c>
      <c r="P15" s="8"/>
      <c r="Q15" s="9"/>
      <c r="R15" s="9"/>
      <c r="S15" s="48"/>
      <c r="T15" s="21" t="str">
        <f t="shared" si="2"/>
        <v/>
      </c>
      <c r="U15" s="53" t="str">
        <f t="shared" si="3"/>
        <v/>
      </c>
      <c r="V15" s="54" t="str">
        <f t="shared" si="4"/>
        <v/>
      </c>
      <c r="W15" s="55" t="str">
        <f t="shared" si="5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6"/>
        <v/>
      </c>
      <c r="B16" s="18" t="str">
        <f t="shared" si="7"/>
        <v/>
      </c>
      <c r="C16" s="18" t="str">
        <f t="shared" si="8"/>
        <v/>
      </c>
      <c r="D16" s="18" t="str">
        <f t="shared" si="9"/>
        <v/>
      </c>
      <c r="E16" s="4"/>
      <c r="F16" s="8"/>
      <c r="G16" s="9"/>
      <c r="H16" s="9"/>
      <c r="I16" s="48"/>
      <c r="J16" s="21" t="str">
        <f t="shared" si="0"/>
        <v/>
      </c>
      <c r="K16" s="8"/>
      <c r="L16" s="9"/>
      <c r="M16" s="9"/>
      <c r="N16" s="48"/>
      <c r="O16" s="21" t="str">
        <f t="shared" si="1"/>
        <v/>
      </c>
      <c r="P16" s="8"/>
      <c r="Q16" s="9"/>
      <c r="R16" s="9"/>
      <c r="S16" s="48"/>
      <c r="T16" s="21" t="str">
        <f t="shared" si="2"/>
        <v/>
      </c>
      <c r="U16" s="53" t="str">
        <f t="shared" si="3"/>
        <v/>
      </c>
      <c r="V16" s="54" t="str">
        <f t="shared" si="4"/>
        <v/>
      </c>
      <c r="W16" s="55" t="str">
        <f t="shared" si="5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6"/>
        <v/>
      </c>
      <c r="B17" s="18" t="str">
        <f t="shared" si="7"/>
        <v/>
      </c>
      <c r="C17" s="18" t="str">
        <f t="shared" si="8"/>
        <v/>
      </c>
      <c r="D17" s="18" t="str">
        <f t="shared" si="9"/>
        <v/>
      </c>
      <c r="E17" s="4"/>
      <c r="F17" s="8"/>
      <c r="G17" s="9"/>
      <c r="H17" s="9"/>
      <c r="I17" s="48"/>
      <c r="J17" s="21" t="str">
        <f t="shared" si="0"/>
        <v/>
      </c>
      <c r="K17" s="8"/>
      <c r="L17" s="9"/>
      <c r="M17" s="9"/>
      <c r="N17" s="48"/>
      <c r="O17" s="21" t="str">
        <f t="shared" si="1"/>
        <v/>
      </c>
      <c r="P17" s="8"/>
      <c r="Q17" s="9"/>
      <c r="R17" s="9"/>
      <c r="S17" s="48"/>
      <c r="T17" s="21" t="str">
        <f t="shared" si="2"/>
        <v/>
      </c>
      <c r="U17" s="53" t="str">
        <f t="shared" si="3"/>
        <v/>
      </c>
      <c r="V17" s="54" t="str">
        <f t="shared" si="4"/>
        <v/>
      </c>
      <c r="W17" s="55" t="str">
        <f t="shared" si="5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6"/>
        <v/>
      </c>
      <c r="B18" s="18" t="str">
        <f t="shared" si="7"/>
        <v/>
      </c>
      <c r="C18" s="18" t="str">
        <f t="shared" si="8"/>
        <v/>
      </c>
      <c r="D18" s="18" t="str">
        <f t="shared" si="9"/>
        <v/>
      </c>
      <c r="E18" s="4"/>
      <c r="F18" s="8"/>
      <c r="G18" s="9"/>
      <c r="H18" s="9"/>
      <c r="I18" s="48"/>
      <c r="J18" s="21" t="str">
        <f t="shared" si="0"/>
        <v/>
      </c>
      <c r="K18" s="8"/>
      <c r="L18" s="9"/>
      <c r="M18" s="9"/>
      <c r="N18" s="48"/>
      <c r="O18" s="21" t="str">
        <f t="shared" si="1"/>
        <v/>
      </c>
      <c r="P18" s="8"/>
      <c r="Q18" s="9"/>
      <c r="R18" s="9"/>
      <c r="S18" s="48"/>
      <c r="T18" s="21" t="str">
        <f t="shared" si="2"/>
        <v/>
      </c>
      <c r="U18" s="53" t="str">
        <f t="shared" si="3"/>
        <v/>
      </c>
      <c r="V18" s="54" t="str">
        <f t="shared" si="4"/>
        <v/>
      </c>
      <c r="W18" s="55" t="str">
        <f t="shared" si="5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6"/>
        <v/>
      </c>
      <c r="B19" s="18" t="str">
        <f t="shared" si="7"/>
        <v/>
      </c>
      <c r="C19" s="18" t="str">
        <f t="shared" si="8"/>
        <v/>
      </c>
      <c r="D19" s="18" t="str">
        <f t="shared" si="9"/>
        <v/>
      </c>
      <c r="E19" s="4"/>
      <c r="F19" s="8"/>
      <c r="G19" s="9"/>
      <c r="H19" s="9"/>
      <c r="I19" s="48"/>
      <c r="J19" s="21" t="str">
        <f t="shared" si="0"/>
        <v/>
      </c>
      <c r="K19" s="8"/>
      <c r="L19" s="9"/>
      <c r="M19" s="9"/>
      <c r="N19" s="48"/>
      <c r="O19" s="21" t="str">
        <f t="shared" si="1"/>
        <v/>
      </c>
      <c r="P19" s="8"/>
      <c r="Q19" s="9"/>
      <c r="R19" s="9"/>
      <c r="S19" s="48"/>
      <c r="T19" s="21" t="str">
        <f t="shared" si="2"/>
        <v/>
      </c>
      <c r="U19" s="53" t="str">
        <f t="shared" si="3"/>
        <v/>
      </c>
      <c r="V19" s="54" t="str">
        <f t="shared" si="4"/>
        <v/>
      </c>
      <c r="W19" s="55" t="str">
        <f t="shared" si="5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6"/>
        <v/>
      </c>
      <c r="B20" s="18" t="str">
        <f t="shared" si="7"/>
        <v/>
      </c>
      <c r="C20" s="18" t="str">
        <f t="shared" si="8"/>
        <v/>
      </c>
      <c r="D20" s="18" t="str">
        <f t="shared" si="9"/>
        <v/>
      </c>
      <c r="E20" s="4"/>
      <c r="F20" s="8"/>
      <c r="G20" s="9"/>
      <c r="H20" s="9"/>
      <c r="I20" s="48"/>
      <c r="J20" s="21" t="str">
        <f t="shared" si="0"/>
        <v/>
      </c>
      <c r="K20" s="8"/>
      <c r="L20" s="9"/>
      <c r="M20" s="9"/>
      <c r="N20" s="48"/>
      <c r="O20" s="21" t="str">
        <f t="shared" si="1"/>
        <v/>
      </c>
      <c r="P20" s="8"/>
      <c r="Q20" s="9"/>
      <c r="R20" s="9"/>
      <c r="S20" s="48"/>
      <c r="T20" s="21" t="str">
        <f t="shared" si="2"/>
        <v/>
      </c>
      <c r="U20" s="53" t="str">
        <f t="shared" si="3"/>
        <v/>
      </c>
      <c r="V20" s="54" t="str">
        <f t="shared" si="4"/>
        <v/>
      </c>
      <c r="W20" s="55" t="str">
        <f t="shared" si="5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6"/>
        <v/>
      </c>
      <c r="B21" s="18" t="str">
        <f t="shared" si="7"/>
        <v/>
      </c>
      <c r="C21" s="18" t="str">
        <f t="shared" si="8"/>
        <v/>
      </c>
      <c r="D21" s="18" t="str">
        <f t="shared" si="9"/>
        <v/>
      </c>
      <c r="E21" s="4"/>
      <c r="F21" s="8"/>
      <c r="G21" s="9"/>
      <c r="H21" s="9"/>
      <c r="I21" s="48"/>
      <c r="J21" s="21" t="str">
        <f t="shared" si="0"/>
        <v/>
      </c>
      <c r="K21" s="8"/>
      <c r="L21" s="9"/>
      <c r="M21" s="9"/>
      <c r="N21" s="48"/>
      <c r="O21" s="21" t="str">
        <f t="shared" si="1"/>
        <v/>
      </c>
      <c r="P21" s="8"/>
      <c r="Q21" s="9"/>
      <c r="R21" s="9"/>
      <c r="S21" s="48"/>
      <c r="T21" s="21" t="str">
        <f t="shared" si="2"/>
        <v/>
      </c>
      <c r="U21" s="53" t="str">
        <f t="shared" si="3"/>
        <v/>
      </c>
      <c r="V21" s="54" t="str">
        <f t="shared" si="4"/>
        <v/>
      </c>
      <c r="W21" s="55" t="str">
        <f t="shared" si="5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6"/>
        <v/>
      </c>
      <c r="B22" s="18" t="str">
        <f t="shared" si="7"/>
        <v/>
      </c>
      <c r="C22" s="18" t="str">
        <f t="shared" si="8"/>
        <v/>
      </c>
      <c r="D22" s="18" t="str">
        <f t="shared" si="9"/>
        <v/>
      </c>
      <c r="E22" s="4"/>
      <c r="F22" s="8"/>
      <c r="G22" s="9"/>
      <c r="H22" s="9"/>
      <c r="I22" s="48"/>
      <c r="J22" s="21" t="str">
        <f t="shared" si="0"/>
        <v/>
      </c>
      <c r="K22" s="8"/>
      <c r="L22" s="9"/>
      <c r="M22" s="9"/>
      <c r="N22" s="48"/>
      <c r="O22" s="21" t="str">
        <f t="shared" si="1"/>
        <v/>
      </c>
      <c r="P22" s="8"/>
      <c r="Q22" s="9"/>
      <c r="R22" s="9"/>
      <c r="S22" s="48"/>
      <c r="T22" s="21" t="str">
        <f t="shared" si="2"/>
        <v/>
      </c>
      <c r="U22" s="53" t="str">
        <f t="shared" si="3"/>
        <v/>
      </c>
      <c r="V22" s="54" t="str">
        <f t="shared" si="4"/>
        <v/>
      </c>
      <c r="W22" s="55" t="str">
        <f t="shared" si="5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6"/>
        <v/>
      </c>
      <c r="B23" s="18" t="str">
        <f t="shared" si="7"/>
        <v/>
      </c>
      <c r="C23" s="18" t="str">
        <f t="shared" si="8"/>
        <v/>
      </c>
      <c r="D23" s="18" t="str">
        <f t="shared" si="9"/>
        <v/>
      </c>
      <c r="E23" s="4"/>
      <c r="F23" s="8"/>
      <c r="G23" s="9"/>
      <c r="H23" s="9"/>
      <c r="I23" s="48"/>
      <c r="J23" s="21" t="str">
        <f t="shared" si="0"/>
        <v/>
      </c>
      <c r="K23" s="8"/>
      <c r="L23" s="9"/>
      <c r="M23" s="9"/>
      <c r="N23" s="48"/>
      <c r="O23" s="21" t="str">
        <f t="shared" si="1"/>
        <v/>
      </c>
      <c r="P23" s="8"/>
      <c r="Q23" s="9"/>
      <c r="R23" s="9"/>
      <c r="S23" s="48"/>
      <c r="T23" s="21" t="str">
        <f t="shared" si="2"/>
        <v/>
      </c>
      <c r="U23" s="53" t="str">
        <f t="shared" si="3"/>
        <v/>
      </c>
      <c r="V23" s="54" t="str">
        <f t="shared" si="4"/>
        <v/>
      </c>
      <c r="W23" s="55" t="str">
        <f t="shared" si="5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6"/>
        <v/>
      </c>
      <c r="B24" s="18" t="str">
        <f t="shared" si="7"/>
        <v/>
      </c>
      <c r="C24" s="18" t="str">
        <f t="shared" si="8"/>
        <v/>
      </c>
      <c r="D24" s="18" t="str">
        <f t="shared" si="9"/>
        <v/>
      </c>
      <c r="E24" s="4"/>
      <c r="F24" s="8"/>
      <c r="G24" s="9"/>
      <c r="H24" s="9"/>
      <c r="I24" s="48"/>
      <c r="J24" s="21" t="str">
        <f t="shared" si="0"/>
        <v/>
      </c>
      <c r="K24" s="8"/>
      <c r="L24" s="9"/>
      <c r="M24" s="9"/>
      <c r="N24" s="48"/>
      <c r="O24" s="21" t="str">
        <f t="shared" si="1"/>
        <v/>
      </c>
      <c r="P24" s="8"/>
      <c r="Q24" s="9"/>
      <c r="R24" s="9"/>
      <c r="S24" s="48"/>
      <c r="T24" s="21" t="str">
        <f t="shared" si="2"/>
        <v/>
      </c>
      <c r="U24" s="53" t="str">
        <f t="shared" si="3"/>
        <v/>
      </c>
      <c r="V24" s="54" t="str">
        <f t="shared" si="4"/>
        <v/>
      </c>
      <c r="W24" s="55" t="str">
        <f t="shared" si="5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6"/>
        <v/>
      </c>
      <c r="B25" s="18" t="str">
        <f t="shared" si="7"/>
        <v/>
      </c>
      <c r="C25" s="18" t="str">
        <f t="shared" si="8"/>
        <v/>
      </c>
      <c r="D25" s="18" t="str">
        <f t="shared" si="9"/>
        <v/>
      </c>
      <c r="E25" s="4"/>
      <c r="F25" s="8"/>
      <c r="G25" s="9"/>
      <c r="H25" s="9"/>
      <c r="I25" s="48"/>
      <c r="J25" s="21" t="str">
        <f t="shared" si="0"/>
        <v/>
      </c>
      <c r="K25" s="8"/>
      <c r="L25" s="9"/>
      <c r="M25" s="9"/>
      <c r="N25" s="48"/>
      <c r="O25" s="21" t="str">
        <f t="shared" si="1"/>
        <v/>
      </c>
      <c r="P25" s="8"/>
      <c r="Q25" s="9"/>
      <c r="R25" s="9"/>
      <c r="S25" s="48"/>
      <c r="T25" s="21" t="str">
        <f t="shared" si="2"/>
        <v/>
      </c>
      <c r="U25" s="53" t="str">
        <f t="shared" si="3"/>
        <v/>
      </c>
      <c r="V25" s="54" t="str">
        <f t="shared" si="4"/>
        <v/>
      </c>
      <c r="W25" s="55" t="str">
        <f t="shared" si="5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6"/>
        <v/>
      </c>
      <c r="B26" s="18" t="str">
        <f t="shared" si="7"/>
        <v/>
      </c>
      <c r="C26" s="18" t="str">
        <f t="shared" si="8"/>
        <v/>
      </c>
      <c r="D26" s="18" t="str">
        <f t="shared" si="9"/>
        <v/>
      </c>
      <c r="E26" s="4"/>
      <c r="F26" s="8"/>
      <c r="G26" s="9"/>
      <c r="H26" s="9"/>
      <c r="I26" s="48"/>
      <c r="J26" s="21" t="str">
        <f t="shared" si="0"/>
        <v/>
      </c>
      <c r="K26" s="8"/>
      <c r="L26" s="9"/>
      <c r="M26" s="9"/>
      <c r="N26" s="48"/>
      <c r="O26" s="21" t="str">
        <f t="shared" si="1"/>
        <v/>
      </c>
      <c r="P26" s="8"/>
      <c r="Q26" s="9"/>
      <c r="R26" s="9"/>
      <c r="S26" s="48"/>
      <c r="T26" s="21" t="str">
        <f t="shared" si="2"/>
        <v/>
      </c>
      <c r="U26" s="53" t="str">
        <f t="shared" si="3"/>
        <v/>
      </c>
      <c r="V26" s="54" t="str">
        <f t="shared" si="4"/>
        <v/>
      </c>
      <c r="W26" s="55" t="str">
        <f t="shared" si="5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6"/>
        <v/>
      </c>
      <c r="B27" s="18" t="str">
        <f t="shared" si="7"/>
        <v/>
      </c>
      <c r="C27" s="18" t="str">
        <f t="shared" si="8"/>
        <v/>
      </c>
      <c r="D27" s="18" t="str">
        <f t="shared" si="9"/>
        <v/>
      </c>
      <c r="E27" s="4"/>
      <c r="F27" s="8"/>
      <c r="G27" s="9"/>
      <c r="H27" s="9"/>
      <c r="I27" s="48"/>
      <c r="J27" s="21" t="str">
        <f t="shared" si="0"/>
        <v/>
      </c>
      <c r="K27" s="8"/>
      <c r="L27" s="9"/>
      <c r="M27" s="9"/>
      <c r="N27" s="48"/>
      <c r="O27" s="21" t="str">
        <f t="shared" si="1"/>
        <v/>
      </c>
      <c r="P27" s="8"/>
      <c r="Q27" s="9"/>
      <c r="R27" s="9"/>
      <c r="S27" s="48"/>
      <c r="T27" s="21" t="str">
        <f t="shared" si="2"/>
        <v/>
      </c>
      <c r="U27" s="53" t="str">
        <f t="shared" si="3"/>
        <v/>
      </c>
      <c r="V27" s="54" t="str">
        <f t="shared" si="4"/>
        <v/>
      </c>
      <c r="W27" s="55" t="str">
        <f t="shared" si="5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6"/>
        <v/>
      </c>
      <c r="B28" s="18" t="str">
        <f t="shared" si="7"/>
        <v/>
      </c>
      <c r="C28" s="18" t="str">
        <f t="shared" si="8"/>
        <v/>
      </c>
      <c r="D28" s="18" t="str">
        <f t="shared" si="9"/>
        <v/>
      </c>
      <c r="E28" s="4"/>
      <c r="F28" s="8"/>
      <c r="G28" s="9"/>
      <c r="H28" s="9"/>
      <c r="I28" s="48"/>
      <c r="J28" s="21" t="str">
        <f t="shared" si="0"/>
        <v/>
      </c>
      <c r="K28" s="8"/>
      <c r="L28" s="9"/>
      <c r="M28" s="9"/>
      <c r="N28" s="48"/>
      <c r="O28" s="21" t="str">
        <f t="shared" si="1"/>
        <v/>
      </c>
      <c r="P28" s="8"/>
      <c r="Q28" s="9"/>
      <c r="R28" s="9"/>
      <c r="S28" s="48"/>
      <c r="T28" s="21" t="str">
        <f t="shared" si="2"/>
        <v/>
      </c>
      <c r="U28" s="53" t="str">
        <f t="shared" si="3"/>
        <v/>
      </c>
      <c r="V28" s="54" t="str">
        <f t="shared" si="4"/>
        <v/>
      </c>
      <c r="W28" s="55" t="str">
        <f t="shared" si="5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6"/>
        <v/>
      </c>
      <c r="B29" s="18" t="str">
        <f t="shared" si="7"/>
        <v/>
      </c>
      <c r="C29" s="18" t="str">
        <f t="shared" si="8"/>
        <v/>
      </c>
      <c r="D29" s="18" t="str">
        <f t="shared" si="9"/>
        <v/>
      </c>
      <c r="E29" s="4"/>
      <c r="F29" s="8"/>
      <c r="G29" s="9"/>
      <c r="H29" s="9"/>
      <c r="I29" s="48"/>
      <c r="J29" s="21" t="str">
        <f t="shared" si="0"/>
        <v/>
      </c>
      <c r="K29" s="8"/>
      <c r="L29" s="9"/>
      <c r="M29" s="9"/>
      <c r="N29" s="48"/>
      <c r="O29" s="21" t="str">
        <f t="shared" si="1"/>
        <v/>
      </c>
      <c r="P29" s="8"/>
      <c r="Q29" s="9"/>
      <c r="R29" s="9"/>
      <c r="S29" s="48"/>
      <c r="T29" s="21" t="str">
        <f t="shared" si="2"/>
        <v/>
      </c>
      <c r="U29" s="53" t="str">
        <f t="shared" si="3"/>
        <v/>
      </c>
      <c r="V29" s="54" t="str">
        <f t="shared" si="4"/>
        <v/>
      </c>
      <c r="W29" s="55" t="str">
        <f t="shared" si="5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6"/>
        <v/>
      </c>
      <c r="B30" s="19" t="str">
        <f t="shared" si="7"/>
        <v/>
      </c>
      <c r="C30" s="19" t="str">
        <f t="shared" si="8"/>
        <v/>
      </c>
      <c r="D30" s="19" t="str">
        <f t="shared" si="9"/>
        <v/>
      </c>
      <c r="E30" s="5"/>
      <c r="F30" s="10"/>
      <c r="G30" s="11"/>
      <c r="H30" s="11"/>
      <c r="I30" s="49"/>
      <c r="J30" s="22" t="str">
        <f t="shared" si="0"/>
        <v/>
      </c>
      <c r="K30" s="10"/>
      <c r="L30" s="11"/>
      <c r="M30" s="11"/>
      <c r="N30" s="49"/>
      <c r="O30" s="22" t="str">
        <f t="shared" si="1"/>
        <v/>
      </c>
      <c r="P30" s="10"/>
      <c r="Q30" s="11"/>
      <c r="R30" s="11"/>
      <c r="S30" s="49"/>
      <c r="T30" s="22" t="str">
        <f t="shared" si="2"/>
        <v/>
      </c>
      <c r="U30" s="56" t="str">
        <f t="shared" si="3"/>
        <v/>
      </c>
      <c r="V30" s="57" t="str">
        <f t="shared" si="4"/>
        <v/>
      </c>
      <c r="W30" s="58" t="str">
        <f t="shared" si="5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2">
    <dataValidation type="list" allowBlank="1" showInputMessage="1" showErrorMessage="1" sqref="E4:E30" xr:uid="{7F01E797-D211-408F-A6E1-3AE8408F80DC}">
      <formula1>$U$2:$W$2</formula1>
    </dataValidation>
    <dataValidation type="list" showInputMessage="1" showErrorMessage="1" sqref="K4:K30 P4:P30 F4:F30" xr:uid="{222B41D5-C6D0-40AB-BD9D-E18CF03E301A}">
      <formula1>"ロン,ツモ,放銃,ツモ支払,流局,チョンボ"</formula1>
    </dataValidation>
  </dataValidations>
  <pageMargins left="0.7" right="0.7" top="0.75" bottom="0.75" header="0.3" footer="0.3"/>
  <pageSetup paperSize="9" scale="29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C96B2-2160-4CF4-A1AD-D275AC84F1A5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93" t="s">
        <v>0</v>
      </c>
      <c r="B1" s="95" t="s">
        <v>2</v>
      </c>
      <c r="C1" s="95" t="s">
        <v>1</v>
      </c>
      <c r="D1" s="95" t="s">
        <v>21</v>
      </c>
      <c r="E1" s="97" t="s">
        <v>3</v>
      </c>
      <c r="F1" s="89" t="s">
        <v>164</v>
      </c>
      <c r="G1" s="90"/>
      <c r="H1" s="90"/>
      <c r="I1" s="91"/>
      <c r="J1" s="92"/>
      <c r="K1" s="89" t="s">
        <v>160</v>
      </c>
      <c r="L1" s="90"/>
      <c r="M1" s="90"/>
      <c r="N1" s="91"/>
      <c r="O1" s="92"/>
      <c r="P1" s="89" t="s">
        <v>151</v>
      </c>
      <c r="Q1" s="90"/>
      <c r="R1" s="90"/>
      <c r="S1" s="91"/>
      <c r="T1" s="92"/>
      <c r="U1" s="89" t="s">
        <v>6</v>
      </c>
      <c r="V1" s="90"/>
      <c r="W1" s="92"/>
      <c r="Y1" s="89" t="str">
        <f>F1</f>
        <v>いっしー</v>
      </c>
      <c r="Z1" s="10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2"/>
      <c r="AT1" s="89" t="str">
        <f>K1</f>
        <v>まっつん</v>
      </c>
      <c r="AU1" s="100"/>
      <c r="AV1" s="90"/>
      <c r="AW1" s="90"/>
      <c r="AX1" s="90"/>
      <c r="AY1" s="90"/>
      <c r="AZ1" s="90"/>
      <c r="BA1" s="90"/>
      <c r="BB1" s="90"/>
      <c r="BC1" s="90"/>
      <c r="BD1" s="90"/>
      <c r="BE1" s="90"/>
      <c r="BF1" s="90"/>
      <c r="BG1" s="90"/>
      <c r="BH1" s="90"/>
      <c r="BI1" s="90"/>
      <c r="BJ1" s="90"/>
      <c r="BK1" s="90"/>
      <c r="BL1" s="90"/>
      <c r="BM1" s="90"/>
      <c r="BN1" s="92"/>
      <c r="BO1" s="89" t="str">
        <f>P1</f>
        <v>りくと</v>
      </c>
      <c r="BP1" s="100"/>
      <c r="BQ1" s="90"/>
      <c r="BR1" s="90"/>
      <c r="BS1" s="90"/>
      <c r="BT1" s="90"/>
      <c r="BU1" s="90"/>
      <c r="BV1" s="90"/>
      <c r="BW1" s="90"/>
      <c r="BX1" s="90"/>
      <c r="BY1" s="90"/>
      <c r="BZ1" s="90"/>
      <c r="CA1" s="90"/>
      <c r="CB1" s="90"/>
      <c r="CC1" s="90"/>
      <c r="CD1" s="90"/>
      <c r="CE1" s="90"/>
      <c r="CF1" s="90"/>
      <c r="CG1" s="90"/>
      <c r="CH1" s="90"/>
      <c r="CI1" s="92"/>
    </row>
    <row r="2" spans="1:87" x14ac:dyDescent="0.4">
      <c r="A2" s="94"/>
      <c r="B2" s="96"/>
      <c r="C2" s="96"/>
      <c r="D2" s="96"/>
      <c r="E2" s="9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0" t="str">
        <f>$F$1</f>
        <v>いっしー</v>
      </c>
      <c r="V2" s="81" t="str">
        <f>$K$1</f>
        <v>まっつん</v>
      </c>
      <c r="W2" s="16" t="str">
        <f>$P$1</f>
        <v>りくと</v>
      </c>
      <c r="Y2" s="77" t="s">
        <v>23</v>
      </c>
      <c r="Z2" s="82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99" t="s">
        <v>20</v>
      </c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  <c r="AT2" s="77" t="s">
        <v>23</v>
      </c>
      <c r="AU2" s="82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99" t="s">
        <v>20</v>
      </c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77" t="s">
        <v>23</v>
      </c>
      <c r="BP2" s="82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99" t="s">
        <v>20</v>
      </c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99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160600</v>
      </c>
      <c r="K3" s="7"/>
      <c r="L3" s="23"/>
      <c r="M3" s="23"/>
      <c r="N3" s="47"/>
      <c r="O3" s="20">
        <v>80300</v>
      </c>
      <c r="P3" s="7"/>
      <c r="Q3" s="23"/>
      <c r="R3" s="23"/>
      <c r="S3" s="47"/>
      <c r="T3" s="20">
        <v>59100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150</v>
      </c>
      <c r="F4" s="8" t="s">
        <v>146</v>
      </c>
      <c r="G4" s="9">
        <v>2000</v>
      </c>
      <c r="H4" s="9"/>
      <c r="I4" s="48">
        <v>0</v>
      </c>
      <c r="J4" s="21">
        <f t="shared" ref="J4:J30" si="0">IF(COUNTA($F4,$K4,$P4)&gt;0,J3+SUM(G4:I4),"")</f>
        <v>162600</v>
      </c>
      <c r="K4" s="8"/>
      <c r="L4" s="9"/>
      <c r="M4" s="9"/>
      <c r="N4" s="48"/>
      <c r="O4" s="21">
        <f t="shared" ref="O4:O30" si="1">IF(COUNTA($F4,$K4,$P4)&gt;0,O3+SUM(L4:N4),"")</f>
        <v>80300</v>
      </c>
      <c r="P4" s="8" t="s">
        <v>145</v>
      </c>
      <c r="Q4" s="9">
        <v>-2000</v>
      </c>
      <c r="R4" s="9"/>
      <c r="S4" s="48">
        <v>0</v>
      </c>
      <c r="T4" s="21">
        <f t="shared" ref="T4:T30" si="2">IF(COUNTA($F4,$K4,$P4)&gt;0,T3+SUM(Q4:S4),"")</f>
        <v>57100</v>
      </c>
      <c r="U4" s="53">
        <f t="shared" ref="U4:U30" si="3">IF($J4="","",ROUND(($J4-$J$3)/1000,1))</f>
        <v>2</v>
      </c>
      <c r="V4" s="54">
        <f t="shared" ref="V4:V30" si="4">IF($O4="","",ROUND(($O4-$O$3)/1000,1))</f>
        <v>0</v>
      </c>
      <c r="W4" s="55">
        <f t="shared" ref="W4:W30" si="5">IF($T4="","",ROUND(($T4-$T$3)/1000,1))</f>
        <v>-2</v>
      </c>
      <c r="Y4" s="8"/>
      <c r="Z4" s="34"/>
      <c r="AA4" s="26">
        <v>1</v>
      </c>
      <c r="AB4" s="26"/>
      <c r="AC4" s="26">
        <v>2</v>
      </c>
      <c r="AD4" s="30">
        <v>30</v>
      </c>
      <c r="AE4" s="40" t="s">
        <v>144</v>
      </c>
      <c r="AF4" s="41" t="s">
        <v>83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6">IF($E5="","",IF(AND(B4=3,B5=1),_xlfn.SWITCH(A4,"東","南","南","西","西","北","北","東"),A4))</f>
        <v>東</v>
      </c>
      <c r="B5" s="18">
        <f t="shared" ref="B5:B30" si="7">IF($E5="","",IF($E4=$E5,B4,IF(B4=3,1,B4+1)))</f>
        <v>2</v>
      </c>
      <c r="C5" s="18">
        <f t="shared" ref="C5:C30" si="8">IF($E5="","",IF($F4="チョンボ",C4,IF(OR($E4=$E5,$F4="流局"),C4+1,0)))</f>
        <v>0</v>
      </c>
      <c r="D5" s="18">
        <f t="shared" ref="D5:D30" si="9">IF($E5="","",IF(OR($F4="流局",$F4="チョンボ"),D4+($H4+$M4+$R4)/-1000,0))</f>
        <v>0</v>
      </c>
      <c r="E5" s="4" t="s">
        <v>163</v>
      </c>
      <c r="F5" s="8" t="s">
        <v>142</v>
      </c>
      <c r="G5" s="9">
        <v>-3300</v>
      </c>
      <c r="H5" s="9"/>
      <c r="I5" s="48">
        <v>0</v>
      </c>
      <c r="J5" s="21">
        <f t="shared" si="0"/>
        <v>159300</v>
      </c>
      <c r="K5" s="8" t="s">
        <v>143</v>
      </c>
      <c r="L5" s="9">
        <v>5300</v>
      </c>
      <c r="M5" s="9"/>
      <c r="N5" s="48">
        <v>0</v>
      </c>
      <c r="O5" s="21">
        <f t="shared" si="1"/>
        <v>85600</v>
      </c>
      <c r="P5" s="8" t="s">
        <v>142</v>
      </c>
      <c r="Q5" s="9">
        <v>-2000</v>
      </c>
      <c r="R5" s="9"/>
      <c r="S5" s="48">
        <v>0</v>
      </c>
      <c r="T5" s="21">
        <f t="shared" si="2"/>
        <v>55100</v>
      </c>
      <c r="U5" s="53">
        <f t="shared" si="3"/>
        <v>-1.3</v>
      </c>
      <c r="V5" s="54">
        <f t="shared" si="4"/>
        <v>5.3</v>
      </c>
      <c r="W5" s="55">
        <f t="shared" si="5"/>
        <v>-4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20</v>
      </c>
      <c r="AZ5" s="40" t="s">
        <v>144</v>
      </c>
      <c r="BA5" s="41" t="s">
        <v>82</v>
      </c>
      <c r="BB5" s="41" t="s">
        <v>83</v>
      </c>
      <c r="BC5" s="41" t="s">
        <v>79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6"/>
        <v>東</v>
      </c>
      <c r="B6" s="18">
        <f t="shared" si="7"/>
        <v>3</v>
      </c>
      <c r="C6" s="18">
        <f t="shared" si="8"/>
        <v>0</v>
      </c>
      <c r="D6" s="18">
        <f t="shared" si="9"/>
        <v>0</v>
      </c>
      <c r="E6" s="4" t="s">
        <v>159</v>
      </c>
      <c r="F6" s="8"/>
      <c r="G6" s="9"/>
      <c r="H6" s="9"/>
      <c r="I6" s="48"/>
      <c r="J6" s="21">
        <f t="shared" si="0"/>
        <v>159300</v>
      </c>
      <c r="K6" s="8" t="s">
        <v>146</v>
      </c>
      <c r="L6" s="9">
        <v>3900</v>
      </c>
      <c r="M6" s="9"/>
      <c r="N6" s="48">
        <v>0</v>
      </c>
      <c r="O6" s="21">
        <f t="shared" si="1"/>
        <v>89500</v>
      </c>
      <c r="P6" s="8" t="s">
        <v>145</v>
      </c>
      <c r="Q6" s="9">
        <v>-3900</v>
      </c>
      <c r="R6" s="9"/>
      <c r="S6" s="48">
        <v>0</v>
      </c>
      <c r="T6" s="21">
        <f t="shared" si="2"/>
        <v>51200</v>
      </c>
      <c r="U6" s="53">
        <f t="shared" si="3"/>
        <v>-1.3</v>
      </c>
      <c r="V6" s="54">
        <f t="shared" si="4"/>
        <v>9.1999999999999993</v>
      </c>
      <c r="W6" s="55">
        <f t="shared" si="5"/>
        <v>-7.9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2</v>
      </c>
      <c r="AY6" s="30">
        <v>40</v>
      </c>
      <c r="AZ6" s="40" t="s">
        <v>144</v>
      </c>
      <c r="BA6" s="41" t="s">
        <v>147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6"/>
        <v>東</v>
      </c>
      <c r="B7" s="18">
        <f t="shared" si="7"/>
        <v>3</v>
      </c>
      <c r="C7" s="18">
        <f t="shared" si="8"/>
        <v>1</v>
      </c>
      <c r="D7" s="18">
        <f t="shared" si="9"/>
        <v>0</v>
      </c>
      <c r="E7" s="4" t="s">
        <v>159</v>
      </c>
      <c r="F7" s="8"/>
      <c r="G7" s="9"/>
      <c r="H7" s="9"/>
      <c r="I7" s="48"/>
      <c r="J7" s="21">
        <f t="shared" si="0"/>
        <v>159300</v>
      </c>
      <c r="K7" s="8" t="s">
        <v>146</v>
      </c>
      <c r="L7" s="9">
        <v>3900</v>
      </c>
      <c r="M7" s="9"/>
      <c r="N7" s="48">
        <v>1000</v>
      </c>
      <c r="O7" s="21">
        <f t="shared" si="1"/>
        <v>94400</v>
      </c>
      <c r="P7" s="8" t="s">
        <v>145</v>
      </c>
      <c r="Q7" s="9">
        <v>-3900</v>
      </c>
      <c r="R7" s="9"/>
      <c r="S7" s="48">
        <v>-1000</v>
      </c>
      <c r="T7" s="21">
        <f t="shared" si="2"/>
        <v>46300</v>
      </c>
      <c r="U7" s="53">
        <f t="shared" si="3"/>
        <v>-1.3</v>
      </c>
      <c r="V7" s="54">
        <f t="shared" si="4"/>
        <v>14.1</v>
      </c>
      <c r="W7" s="55">
        <f t="shared" si="5"/>
        <v>-12.8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2</v>
      </c>
      <c r="AY7" s="30">
        <v>40</v>
      </c>
      <c r="AZ7" s="40" t="s">
        <v>144</v>
      </c>
      <c r="BA7" s="41" t="s">
        <v>148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6"/>
        <v>東</v>
      </c>
      <c r="B8" s="18">
        <f t="shared" si="7"/>
        <v>3</v>
      </c>
      <c r="C8" s="18">
        <f t="shared" si="8"/>
        <v>2</v>
      </c>
      <c r="D8" s="18">
        <f t="shared" si="9"/>
        <v>0</v>
      </c>
      <c r="E8" s="4" t="s">
        <v>159</v>
      </c>
      <c r="F8" s="8" t="s">
        <v>145</v>
      </c>
      <c r="G8" s="9">
        <v>-7700</v>
      </c>
      <c r="H8" s="9"/>
      <c r="I8" s="48">
        <v>-2000</v>
      </c>
      <c r="J8" s="21">
        <f t="shared" si="0"/>
        <v>149600</v>
      </c>
      <c r="K8" s="8" t="s">
        <v>146</v>
      </c>
      <c r="L8" s="9">
        <v>7700</v>
      </c>
      <c r="M8" s="9"/>
      <c r="N8" s="48">
        <v>2000</v>
      </c>
      <c r="O8" s="21">
        <f t="shared" si="1"/>
        <v>104100</v>
      </c>
      <c r="P8" s="8"/>
      <c r="Q8" s="9"/>
      <c r="R8" s="9"/>
      <c r="S8" s="48"/>
      <c r="T8" s="21">
        <f t="shared" si="2"/>
        <v>46300</v>
      </c>
      <c r="U8" s="53">
        <f t="shared" si="3"/>
        <v>-11</v>
      </c>
      <c r="V8" s="54">
        <f t="shared" si="4"/>
        <v>23.8</v>
      </c>
      <c r="W8" s="55">
        <f t="shared" si="5"/>
        <v>-12.8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3</v>
      </c>
      <c r="AY8" s="30">
        <v>40</v>
      </c>
      <c r="AZ8" s="40" t="s">
        <v>144</v>
      </c>
      <c r="BA8" s="41" t="s">
        <v>79</v>
      </c>
      <c r="BB8" s="41" t="s">
        <v>79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6"/>
        <v>東</v>
      </c>
      <c r="B9" s="18">
        <f t="shared" si="7"/>
        <v>3</v>
      </c>
      <c r="C9" s="18">
        <f t="shared" si="8"/>
        <v>3</v>
      </c>
      <c r="D9" s="18">
        <f t="shared" si="9"/>
        <v>0</v>
      </c>
      <c r="E9" s="4" t="s">
        <v>159</v>
      </c>
      <c r="F9" s="8" t="s">
        <v>143</v>
      </c>
      <c r="G9" s="9">
        <v>5300</v>
      </c>
      <c r="H9" s="9"/>
      <c r="I9" s="48">
        <v>3000</v>
      </c>
      <c r="J9" s="21">
        <f t="shared" si="0"/>
        <v>157900</v>
      </c>
      <c r="K9" s="8" t="s">
        <v>142</v>
      </c>
      <c r="L9" s="9">
        <v>-3300</v>
      </c>
      <c r="M9" s="9"/>
      <c r="N9" s="48">
        <v>-1500</v>
      </c>
      <c r="O9" s="21">
        <f t="shared" si="1"/>
        <v>99300</v>
      </c>
      <c r="P9" s="8" t="s">
        <v>142</v>
      </c>
      <c r="Q9" s="9">
        <v>-2000</v>
      </c>
      <c r="R9" s="9"/>
      <c r="S9" s="48">
        <v>-1500</v>
      </c>
      <c r="T9" s="21">
        <f t="shared" si="2"/>
        <v>42800</v>
      </c>
      <c r="U9" s="53">
        <f t="shared" si="3"/>
        <v>-2.7</v>
      </c>
      <c r="V9" s="54">
        <f t="shared" si="4"/>
        <v>19</v>
      </c>
      <c r="W9" s="55">
        <f t="shared" si="5"/>
        <v>-16.3</v>
      </c>
      <c r="Y9" s="8"/>
      <c r="Z9" s="34"/>
      <c r="AA9" s="26"/>
      <c r="AB9" s="26">
        <v>1</v>
      </c>
      <c r="AC9" s="26">
        <v>3</v>
      </c>
      <c r="AD9" s="30">
        <v>40</v>
      </c>
      <c r="AE9" s="40" t="s">
        <v>104</v>
      </c>
      <c r="AF9" s="41" t="s">
        <v>86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6"/>
        <v>南</v>
      </c>
      <c r="B10" s="18">
        <f t="shared" si="7"/>
        <v>1</v>
      </c>
      <c r="C10" s="18">
        <f t="shared" si="8"/>
        <v>0</v>
      </c>
      <c r="D10" s="18">
        <f t="shared" si="9"/>
        <v>0</v>
      </c>
      <c r="E10" s="4" t="s">
        <v>150</v>
      </c>
      <c r="F10" s="8" t="s">
        <v>145</v>
      </c>
      <c r="G10" s="9">
        <v>-16000</v>
      </c>
      <c r="H10" s="9"/>
      <c r="I10" s="48">
        <v>0</v>
      </c>
      <c r="J10" s="21">
        <f t="shared" si="0"/>
        <v>141900</v>
      </c>
      <c r="K10" s="8" t="s">
        <v>146</v>
      </c>
      <c r="L10" s="9">
        <v>16000</v>
      </c>
      <c r="M10" s="9"/>
      <c r="N10" s="48">
        <v>0</v>
      </c>
      <c r="O10" s="21">
        <f t="shared" si="1"/>
        <v>115300</v>
      </c>
      <c r="P10" s="8"/>
      <c r="Q10" s="9"/>
      <c r="R10" s="9"/>
      <c r="S10" s="48"/>
      <c r="T10" s="21">
        <f t="shared" si="2"/>
        <v>42800</v>
      </c>
      <c r="U10" s="53">
        <f t="shared" si="3"/>
        <v>-18.7</v>
      </c>
      <c r="V10" s="54">
        <f t="shared" si="4"/>
        <v>35</v>
      </c>
      <c r="W10" s="55">
        <f t="shared" si="5"/>
        <v>-16.3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9</v>
      </c>
      <c r="AY10" s="30" t="s">
        <v>154</v>
      </c>
      <c r="AZ10" s="40" t="s">
        <v>104</v>
      </c>
      <c r="BA10" s="41" t="s">
        <v>98</v>
      </c>
      <c r="BB10" s="41" t="s">
        <v>100</v>
      </c>
      <c r="BC10" s="41" t="s">
        <v>86</v>
      </c>
      <c r="BD10" s="41" t="s">
        <v>86</v>
      </c>
      <c r="BE10" s="41" t="s">
        <v>86</v>
      </c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6"/>
        <v>南</v>
      </c>
      <c r="B11" s="18">
        <f t="shared" si="7"/>
        <v>2</v>
      </c>
      <c r="C11" s="18">
        <f t="shared" si="8"/>
        <v>0</v>
      </c>
      <c r="D11" s="18">
        <f t="shared" si="9"/>
        <v>0</v>
      </c>
      <c r="E11" s="4" t="s">
        <v>163</v>
      </c>
      <c r="F11" s="8" t="s">
        <v>145</v>
      </c>
      <c r="G11" s="9">
        <v>-2000</v>
      </c>
      <c r="H11" s="9"/>
      <c r="I11" s="48">
        <v>0</v>
      </c>
      <c r="J11" s="21">
        <f t="shared" si="0"/>
        <v>139900</v>
      </c>
      <c r="K11" s="8"/>
      <c r="L11" s="9"/>
      <c r="M11" s="9"/>
      <c r="N11" s="48"/>
      <c r="O11" s="21">
        <f t="shared" si="1"/>
        <v>115300</v>
      </c>
      <c r="P11" s="8" t="s">
        <v>146</v>
      </c>
      <c r="Q11" s="9">
        <v>2000</v>
      </c>
      <c r="R11" s="9"/>
      <c r="S11" s="48">
        <v>0</v>
      </c>
      <c r="T11" s="21">
        <f t="shared" si="2"/>
        <v>44800</v>
      </c>
      <c r="U11" s="53">
        <f t="shared" si="3"/>
        <v>-20.7</v>
      </c>
      <c r="V11" s="54">
        <f t="shared" si="4"/>
        <v>35</v>
      </c>
      <c r="W11" s="55">
        <f t="shared" si="5"/>
        <v>-14.3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2</v>
      </c>
      <c r="BT11" s="30">
        <v>30</v>
      </c>
      <c r="BU11" s="40" t="s">
        <v>86</v>
      </c>
      <c r="BV11" s="41" t="s">
        <v>86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6"/>
        <v>南</v>
      </c>
      <c r="B12" s="18">
        <f t="shared" si="7"/>
        <v>3</v>
      </c>
      <c r="C12" s="18">
        <f t="shared" si="8"/>
        <v>0</v>
      </c>
      <c r="D12" s="18">
        <f t="shared" si="9"/>
        <v>0</v>
      </c>
      <c r="E12" s="4" t="s">
        <v>159</v>
      </c>
      <c r="F12" s="8" t="s">
        <v>142</v>
      </c>
      <c r="G12" s="9">
        <v>-3000</v>
      </c>
      <c r="H12" s="9"/>
      <c r="I12" s="48">
        <v>0</v>
      </c>
      <c r="J12" s="21">
        <f t="shared" si="0"/>
        <v>136900</v>
      </c>
      <c r="K12" s="8" t="s">
        <v>142</v>
      </c>
      <c r="L12" s="9">
        <v>-5000</v>
      </c>
      <c r="M12" s="9"/>
      <c r="N12" s="48">
        <v>0</v>
      </c>
      <c r="O12" s="21">
        <f t="shared" si="1"/>
        <v>110300</v>
      </c>
      <c r="P12" s="8" t="s">
        <v>143</v>
      </c>
      <c r="Q12" s="9">
        <v>8000</v>
      </c>
      <c r="R12" s="9"/>
      <c r="S12" s="48">
        <v>0</v>
      </c>
      <c r="T12" s="21">
        <f t="shared" si="2"/>
        <v>52800</v>
      </c>
      <c r="U12" s="53">
        <f t="shared" si="3"/>
        <v>-23.7</v>
      </c>
      <c r="V12" s="54">
        <f t="shared" si="4"/>
        <v>30</v>
      </c>
      <c r="W12" s="55">
        <f t="shared" si="5"/>
        <v>-6.3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5</v>
      </c>
      <c r="BT12" s="30" t="s">
        <v>154</v>
      </c>
      <c r="BU12" s="40" t="s">
        <v>144</v>
      </c>
      <c r="BV12" s="41" t="s">
        <v>82</v>
      </c>
      <c r="BW12" s="41" t="s">
        <v>79</v>
      </c>
      <c r="BX12" s="41" t="s">
        <v>79</v>
      </c>
      <c r="BY12" s="41" t="s">
        <v>147</v>
      </c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6"/>
        <v/>
      </c>
      <c r="B13" s="18" t="str">
        <f t="shared" si="7"/>
        <v/>
      </c>
      <c r="C13" s="18" t="str">
        <f t="shared" si="8"/>
        <v/>
      </c>
      <c r="D13" s="18" t="str">
        <f t="shared" si="9"/>
        <v/>
      </c>
      <c r="E13" s="4"/>
      <c r="F13" s="8"/>
      <c r="G13" s="9"/>
      <c r="H13" s="9"/>
      <c r="I13" s="48"/>
      <c r="J13" s="21" t="str">
        <f t="shared" si="0"/>
        <v/>
      </c>
      <c r="K13" s="8"/>
      <c r="L13" s="9"/>
      <c r="M13" s="9"/>
      <c r="N13" s="48"/>
      <c r="O13" s="21" t="str">
        <f t="shared" si="1"/>
        <v/>
      </c>
      <c r="P13" s="8"/>
      <c r="Q13" s="9"/>
      <c r="R13" s="9"/>
      <c r="S13" s="48"/>
      <c r="T13" s="21" t="str">
        <f t="shared" si="2"/>
        <v/>
      </c>
      <c r="U13" s="53" t="str">
        <f t="shared" si="3"/>
        <v/>
      </c>
      <c r="V13" s="54" t="str">
        <f t="shared" si="4"/>
        <v/>
      </c>
      <c r="W13" s="55" t="str">
        <f t="shared" si="5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6"/>
        <v/>
      </c>
      <c r="B14" s="18" t="str">
        <f t="shared" si="7"/>
        <v/>
      </c>
      <c r="C14" s="18" t="str">
        <f t="shared" si="8"/>
        <v/>
      </c>
      <c r="D14" s="18" t="str">
        <f t="shared" si="9"/>
        <v/>
      </c>
      <c r="E14" s="4"/>
      <c r="F14" s="8"/>
      <c r="G14" s="9"/>
      <c r="H14" s="9"/>
      <c r="I14" s="48"/>
      <c r="J14" s="21" t="str">
        <f t="shared" si="0"/>
        <v/>
      </c>
      <c r="K14" s="8"/>
      <c r="L14" s="9"/>
      <c r="M14" s="9"/>
      <c r="N14" s="48"/>
      <c r="O14" s="21" t="str">
        <f t="shared" si="1"/>
        <v/>
      </c>
      <c r="P14" s="8"/>
      <c r="Q14" s="9"/>
      <c r="R14" s="9"/>
      <c r="S14" s="48"/>
      <c r="T14" s="21" t="str">
        <f t="shared" si="2"/>
        <v/>
      </c>
      <c r="U14" s="53" t="str">
        <f t="shared" si="3"/>
        <v/>
      </c>
      <c r="V14" s="54" t="str">
        <f t="shared" si="4"/>
        <v/>
      </c>
      <c r="W14" s="55" t="str">
        <f t="shared" si="5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6"/>
        <v/>
      </c>
      <c r="B15" s="18" t="str">
        <f t="shared" si="7"/>
        <v/>
      </c>
      <c r="C15" s="18" t="str">
        <f t="shared" si="8"/>
        <v/>
      </c>
      <c r="D15" s="18" t="str">
        <f t="shared" si="9"/>
        <v/>
      </c>
      <c r="E15" s="4"/>
      <c r="F15" s="8"/>
      <c r="G15" s="9"/>
      <c r="H15" s="9"/>
      <c r="I15" s="48"/>
      <c r="J15" s="21" t="str">
        <f t="shared" si="0"/>
        <v/>
      </c>
      <c r="K15" s="8"/>
      <c r="L15" s="9"/>
      <c r="M15" s="9"/>
      <c r="N15" s="48"/>
      <c r="O15" s="21" t="str">
        <f t="shared" si="1"/>
        <v/>
      </c>
      <c r="P15" s="8"/>
      <c r="Q15" s="9"/>
      <c r="R15" s="9"/>
      <c r="S15" s="48"/>
      <c r="T15" s="21" t="str">
        <f t="shared" si="2"/>
        <v/>
      </c>
      <c r="U15" s="53" t="str">
        <f t="shared" si="3"/>
        <v/>
      </c>
      <c r="V15" s="54" t="str">
        <f t="shared" si="4"/>
        <v/>
      </c>
      <c r="W15" s="55" t="str">
        <f t="shared" si="5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6"/>
        <v/>
      </c>
      <c r="B16" s="18" t="str">
        <f t="shared" si="7"/>
        <v/>
      </c>
      <c r="C16" s="18" t="str">
        <f t="shared" si="8"/>
        <v/>
      </c>
      <c r="D16" s="18" t="str">
        <f t="shared" si="9"/>
        <v/>
      </c>
      <c r="E16" s="4"/>
      <c r="F16" s="8"/>
      <c r="G16" s="9"/>
      <c r="H16" s="9"/>
      <c r="I16" s="48"/>
      <c r="J16" s="21" t="str">
        <f t="shared" si="0"/>
        <v/>
      </c>
      <c r="K16" s="8"/>
      <c r="L16" s="9"/>
      <c r="M16" s="9"/>
      <c r="N16" s="48"/>
      <c r="O16" s="21" t="str">
        <f t="shared" si="1"/>
        <v/>
      </c>
      <c r="P16" s="8"/>
      <c r="Q16" s="9"/>
      <c r="R16" s="9"/>
      <c r="S16" s="48"/>
      <c r="T16" s="21" t="str">
        <f t="shared" si="2"/>
        <v/>
      </c>
      <c r="U16" s="53" t="str">
        <f t="shared" si="3"/>
        <v/>
      </c>
      <c r="V16" s="54" t="str">
        <f t="shared" si="4"/>
        <v/>
      </c>
      <c r="W16" s="55" t="str">
        <f t="shared" si="5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6"/>
        <v/>
      </c>
      <c r="B17" s="18" t="str">
        <f t="shared" si="7"/>
        <v/>
      </c>
      <c r="C17" s="18" t="str">
        <f t="shared" si="8"/>
        <v/>
      </c>
      <c r="D17" s="18" t="str">
        <f t="shared" si="9"/>
        <v/>
      </c>
      <c r="E17" s="4"/>
      <c r="F17" s="8"/>
      <c r="G17" s="9"/>
      <c r="H17" s="9"/>
      <c r="I17" s="48"/>
      <c r="J17" s="21" t="str">
        <f t="shared" si="0"/>
        <v/>
      </c>
      <c r="K17" s="8"/>
      <c r="L17" s="9"/>
      <c r="M17" s="9"/>
      <c r="N17" s="48"/>
      <c r="O17" s="21" t="str">
        <f t="shared" si="1"/>
        <v/>
      </c>
      <c r="P17" s="8"/>
      <c r="Q17" s="9"/>
      <c r="R17" s="9"/>
      <c r="S17" s="48"/>
      <c r="T17" s="21" t="str">
        <f t="shared" si="2"/>
        <v/>
      </c>
      <c r="U17" s="53" t="str">
        <f t="shared" si="3"/>
        <v/>
      </c>
      <c r="V17" s="54" t="str">
        <f t="shared" si="4"/>
        <v/>
      </c>
      <c r="W17" s="55" t="str">
        <f t="shared" si="5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6"/>
        <v/>
      </c>
      <c r="B18" s="18" t="str">
        <f t="shared" si="7"/>
        <v/>
      </c>
      <c r="C18" s="18" t="str">
        <f t="shared" si="8"/>
        <v/>
      </c>
      <c r="D18" s="18" t="str">
        <f t="shared" si="9"/>
        <v/>
      </c>
      <c r="E18" s="4"/>
      <c r="F18" s="8"/>
      <c r="G18" s="9"/>
      <c r="H18" s="9"/>
      <c r="I18" s="48"/>
      <c r="J18" s="21" t="str">
        <f t="shared" si="0"/>
        <v/>
      </c>
      <c r="K18" s="8"/>
      <c r="L18" s="9"/>
      <c r="M18" s="9"/>
      <c r="N18" s="48"/>
      <c r="O18" s="21" t="str">
        <f t="shared" si="1"/>
        <v/>
      </c>
      <c r="P18" s="8"/>
      <c r="Q18" s="9"/>
      <c r="R18" s="9"/>
      <c r="S18" s="48"/>
      <c r="T18" s="21" t="str">
        <f t="shared" si="2"/>
        <v/>
      </c>
      <c r="U18" s="53" t="str">
        <f t="shared" si="3"/>
        <v/>
      </c>
      <c r="V18" s="54" t="str">
        <f t="shared" si="4"/>
        <v/>
      </c>
      <c r="W18" s="55" t="str">
        <f t="shared" si="5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6"/>
        <v/>
      </c>
      <c r="B19" s="18" t="str">
        <f t="shared" si="7"/>
        <v/>
      </c>
      <c r="C19" s="18" t="str">
        <f t="shared" si="8"/>
        <v/>
      </c>
      <c r="D19" s="18" t="str">
        <f t="shared" si="9"/>
        <v/>
      </c>
      <c r="E19" s="4"/>
      <c r="F19" s="8"/>
      <c r="G19" s="9"/>
      <c r="H19" s="9"/>
      <c r="I19" s="48"/>
      <c r="J19" s="21" t="str">
        <f t="shared" si="0"/>
        <v/>
      </c>
      <c r="K19" s="8"/>
      <c r="L19" s="9"/>
      <c r="M19" s="9"/>
      <c r="N19" s="48"/>
      <c r="O19" s="21" t="str">
        <f t="shared" si="1"/>
        <v/>
      </c>
      <c r="P19" s="8"/>
      <c r="Q19" s="9"/>
      <c r="R19" s="9"/>
      <c r="S19" s="48"/>
      <c r="T19" s="21" t="str">
        <f t="shared" si="2"/>
        <v/>
      </c>
      <c r="U19" s="53" t="str">
        <f t="shared" si="3"/>
        <v/>
      </c>
      <c r="V19" s="54" t="str">
        <f t="shared" si="4"/>
        <v/>
      </c>
      <c r="W19" s="55" t="str">
        <f t="shared" si="5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6"/>
        <v/>
      </c>
      <c r="B20" s="18" t="str">
        <f t="shared" si="7"/>
        <v/>
      </c>
      <c r="C20" s="18" t="str">
        <f t="shared" si="8"/>
        <v/>
      </c>
      <c r="D20" s="18" t="str">
        <f t="shared" si="9"/>
        <v/>
      </c>
      <c r="E20" s="4"/>
      <c r="F20" s="8"/>
      <c r="G20" s="9"/>
      <c r="H20" s="9"/>
      <c r="I20" s="48"/>
      <c r="J20" s="21" t="str">
        <f t="shared" si="0"/>
        <v/>
      </c>
      <c r="K20" s="8"/>
      <c r="L20" s="9"/>
      <c r="M20" s="9"/>
      <c r="N20" s="48"/>
      <c r="O20" s="21" t="str">
        <f t="shared" si="1"/>
        <v/>
      </c>
      <c r="P20" s="8"/>
      <c r="Q20" s="9"/>
      <c r="R20" s="9"/>
      <c r="S20" s="48"/>
      <c r="T20" s="21" t="str">
        <f t="shared" si="2"/>
        <v/>
      </c>
      <c r="U20" s="53" t="str">
        <f t="shared" si="3"/>
        <v/>
      </c>
      <c r="V20" s="54" t="str">
        <f t="shared" si="4"/>
        <v/>
      </c>
      <c r="W20" s="55" t="str">
        <f t="shared" si="5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6"/>
        <v/>
      </c>
      <c r="B21" s="18" t="str">
        <f t="shared" si="7"/>
        <v/>
      </c>
      <c r="C21" s="18" t="str">
        <f t="shared" si="8"/>
        <v/>
      </c>
      <c r="D21" s="18" t="str">
        <f t="shared" si="9"/>
        <v/>
      </c>
      <c r="E21" s="4"/>
      <c r="F21" s="8"/>
      <c r="G21" s="9"/>
      <c r="H21" s="9"/>
      <c r="I21" s="48"/>
      <c r="J21" s="21" t="str">
        <f t="shared" si="0"/>
        <v/>
      </c>
      <c r="K21" s="8"/>
      <c r="L21" s="9"/>
      <c r="M21" s="9"/>
      <c r="N21" s="48"/>
      <c r="O21" s="21" t="str">
        <f t="shared" si="1"/>
        <v/>
      </c>
      <c r="P21" s="8"/>
      <c r="Q21" s="9"/>
      <c r="R21" s="9"/>
      <c r="S21" s="48"/>
      <c r="T21" s="21" t="str">
        <f t="shared" si="2"/>
        <v/>
      </c>
      <c r="U21" s="53" t="str">
        <f t="shared" si="3"/>
        <v/>
      </c>
      <c r="V21" s="54" t="str">
        <f t="shared" si="4"/>
        <v/>
      </c>
      <c r="W21" s="55" t="str">
        <f t="shared" si="5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6"/>
        <v/>
      </c>
      <c r="B22" s="18" t="str">
        <f t="shared" si="7"/>
        <v/>
      </c>
      <c r="C22" s="18" t="str">
        <f t="shared" si="8"/>
        <v/>
      </c>
      <c r="D22" s="18" t="str">
        <f t="shared" si="9"/>
        <v/>
      </c>
      <c r="E22" s="4"/>
      <c r="F22" s="8"/>
      <c r="G22" s="9"/>
      <c r="H22" s="9"/>
      <c r="I22" s="48"/>
      <c r="J22" s="21" t="str">
        <f t="shared" si="0"/>
        <v/>
      </c>
      <c r="K22" s="8"/>
      <c r="L22" s="9"/>
      <c r="M22" s="9"/>
      <c r="N22" s="48"/>
      <c r="O22" s="21" t="str">
        <f t="shared" si="1"/>
        <v/>
      </c>
      <c r="P22" s="8"/>
      <c r="Q22" s="9"/>
      <c r="R22" s="9"/>
      <c r="S22" s="48"/>
      <c r="T22" s="21" t="str">
        <f t="shared" si="2"/>
        <v/>
      </c>
      <c r="U22" s="53" t="str">
        <f t="shared" si="3"/>
        <v/>
      </c>
      <c r="V22" s="54" t="str">
        <f t="shared" si="4"/>
        <v/>
      </c>
      <c r="W22" s="55" t="str">
        <f t="shared" si="5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6"/>
        <v/>
      </c>
      <c r="B23" s="18" t="str">
        <f t="shared" si="7"/>
        <v/>
      </c>
      <c r="C23" s="18" t="str">
        <f t="shared" si="8"/>
        <v/>
      </c>
      <c r="D23" s="18" t="str">
        <f t="shared" si="9"/>
        <v/>
      </c>
      <c r="E23" s="4"/>
      <c r="F23" s="8"/>
      <c r="G23" s="9"/>
      <c r="H23" s="9"/>
      <c r="I23" s="48"/>
      <c r="J23" s="21" t="str">
        <f t="shared" si="0"/>
        <v/>
      </c>
      <c r="K23" s="8"/>
      <c r="L23" s="9"/>
      <c r="M23" s="9"/>
      <c r="N23" s="48"/>
      <c r="O23" s="21" t="str">
        <f t="shared" si="1"/>
        <v/>
      </c>
      <c r="P23" s="8"/>
      <c r="Q23" s="9"/>
      <c r="R23" s="9"/>
      <c r="S23" s="48"/>
      <c r="T23" s="21" t="str">
        <f t="shared" si="2"/>
        <v/>
      </c>
      <c r="U23" s="53" t="str">
        <f t="shared" si="3"/>
        <v/>
      </c>
      <c r="V23" s="54" t="str">
        <f t="shared" si="4"/>
        <v/>
      </c>
      <c r="W23" s="55" t="str">
        <f t="shared" si="5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6"/>
        <v/>
      </c>
      <c r="B24" s="18" t="str">
        <f t="shared" si="7"/>
        <v/>
      </c>
      <c r="C24" s="18" t="str">
        <f t="shared" si="8"/>
        <v/>
      </c>
      <c r="D24" s="18" t="str">
        <f t="shared" si="9"/>
        <v/>
      </c>
      <c r="E24" s="4"/>
      <c r="F24" s="8"/>
      <c r="G24" s="9"/>
      <c r="H24" s="9"/>
      <c r="I24" s="48"/>
      <c r="J24" s="21" t="str">
        <f t="shared" si="0"/>
        <v/>
      </c>
      <c r="K24" s="8"/>
      <c r="L24" s="9"/>
      <c r="M24" s="9"/>
      <c r="N24" s="48"/>
      <c r="O24" s="21" t="str">
        <f t="shared" si="1"/>
        <v/>
      </c>
      <c r="P24" s="8"/>
      <c r="Q24" s="9"/>
      <c r="R24" s="9"/>
      <c r="S24" s="48"/>
      <c r="T24" s="21" t="str">
        <f t="shared" si="2"/>
        <v/>
      </c>
      <c r="U24" s="53" t="str">
        <f t="shared" si="3"/>
        <v/>
      </c>
      <c r="V24" s="54" t="str">
        <f t="shared" si="4"/>
        <v/>
      </c>
      <c r="W24" s="55" t="str">
        <f t="shared" si="5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6"/>
        <v/>
      </c>
      <c r="B25" s="18" t="str">
        <f t="shared" si="7"/>
        <v/>
      </c>
      <c r="C25" s="18" t="str">
        <f t="shared" si="8"/>
        <v/>
      </c>
      <c r="D25" s="18" t="str">
        <f t="shared" si="9"/>
        <v/>
      </c>
      <c r="E25" s="4"/>
      <c r="F25" s="8"/>
      <c r="G25" s="9"/>
      <c r="H25" s="9"/>
      <c r="I25" s="48"/>
      <c r="J25" s="21" t="str">
        <f t="shared" si="0"/>
        <v/>
      </c>
      <c r="K25" s="8"/>
      <c r="L25" s="9"/>
      <c r="M25" s="9"/>
      <c r="N25" s="48"/>
      <c r="O25" s="21" t="str">
        <f t="shared" si="1"/>
        <v/>
      </c>
      <c r="P25" s="8"/>
      <c r="Q25" s="9"/>
      <c r="R25" s="9"/>
      <c r="S25" s="48"/>
      <c r="T25" s="21" t="str">
        <f t="shared" si="2"/>
        <v/>
      </c>
      <c r="U25" s="53" t="str">
        <f t="shared" si="3"/>
        <v/>
      </c>
      <c r="V25" s="54" t="str">
        <f t="shared" si="4"/>
        <v/>
      </c>
      <c r="W25" s="55" t="str">
        <f t="shared" si="5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6"/>
        <v/>
      </c>
      <c r="B26" s="18" t="str">
        <f t="shared" si="7"/>
        <v/>
      </c>
      <c r="C26" s="18" t="str">
        <f t="shared" si="8"/>
        <v/>
      </c>
      <c r="D26" s="18" t="str">
        <f t="shared" si="9"/>
        <v/>
      </c>
      <c r="E26" s="4"/>
      <c r="F26" s="8"/>
      <c r="G26" s="9"/>
      <c r="H26" s="9"/>
      <c r="I26" s="48"/>
      <c r="J26" s="21" t="str">
        <f t="shared" si="0"/>
        <v/>
      </c>
      <c r="K26" s="8"/>
      <c r="L26" s="9"/>
      <c r="M26" s="9"/>
      <c r="N26" s="48"/>
      <c r="O26" s="21" t="str">
        <f t="shared" si="1"/>
        <v/>
      </c>
      <c r="P26" s="8"/>
      <c r="Q26" s="9"/>
      <c r="R26" s="9"/>
      <c r="S26" s="48"/>
      <c r="T26" s="21" t="str">
        <f t="shared" si="2"/>
        <v/>
      </c>
      <c r="U26" s="53" t="str">
        <f t="shared" si="3"/>
        <v/>
      </c>
      <c r="V26" s="54" t="str">
        <f t="shared" si="4"/>
        <v/>
      </c>
      <c r="W26" s="55" t="str">
        <f t="shared" si="5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6"/>
        <v/>
      </c>
      <c r="B27" s="18" t="str">
        <f t="shared" si="7"/>
        <v/>
      </c>
      <c r="C27" s="18" t="str">
        <f t="shared" si="8"/>
        <v/>
      </c>
      <c r="D27" s="18" t="str">
        <f t="shared" si="9"/>
        <v/>
      </c>
      <c r="E27" s="4"/>
      <c r="F27" s="8"/>
      <c r="G27" s="9"/>
      <c r="H27" s="9"/>
      <c r="I27" s="48"/>
      <c r="J27" s="21" t="str">
        <f t="shared" si="0"/>
        <v/>
      </c>
      <c r="K27" s="8"/>
      <c r="L27" s="9"/>
      <c r="M27" s="9"/>
      <c r="N27" s="48"/>
      <c r="O27" s="21" t="str">
        <f t="shared" si="1"/>
        <v/>
      </c>
      <c r="P27" s="8"/>
      <c r="Q27" s="9"/>
      <c r="R27" s="9"/>
      <c r="S27" s="48"/>
      <c r="T27" s="21" t="str">
        <f t="shared" si="2"/>
        <v/>
      </c>
      <c r="U27" s="53" t="str">
        <f t="shared" si="3"/>
        <v/>
      </c>
      <c r="V27" s="54" t="str">
        <f t="shared" si="4"/>
        <v/>
      </c>
      <c r="W27" s="55" t="str">
        <f t="shared" si="5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6"/>
        <v/>
      </c>
      <c r="B28" s="18" t="str">
        <f t="shared" si="7"/>
        <v/>
      </c>
      <c r="C28" s="18" t="str">
        <f t="shared" si="8"/>
        <v/>
      </c>
      <c r="D28" s="18" t="str">
        <f t="shared" si="9"/>
        <v/>
      </c>
      <c r="E28" s="4"/>
      <c r="F28" s="8"/>
      <c r="G28" s="9"/>
      <c r="H28" s="9"/>
      <c r="I28" s="48"/>
      <c r="J28" s="21" t="str">
        <f t="shared" si="0"/>
        <v/>
      </c>
      <c r="K28" s="8"/>
      <c r="L28" s="9"/>
      <c r="M28" s="9"/>
      <c r="N28" s="48"/>
      <c r="O28" s="21" t="str">
        <f t="shared" si="1"/>
        <v/>
      </c>
      <c r="P28" s="8"/>
      <c r="Q28" s="9"/>
      <c r="R28" s="9"/>
      <c r="S28" s="48"/>
      <c r="T28" s="21" t="str">
        <f t="shared" si="2"/>
        <v/>
      </c>
      <c r="U28" s="53" t="str">
        <f t="shared" si="3"/>
        <v/>
      </c>
      <c r="V28" s="54" t="str">
        <f t="shared" si="4"/>
        <v/>
      </c>
      <c r="W28" s="55" t="str">
        <f t="shared" si="5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6"/>
        <v/>
      </c>
      <c r="B29" s="18" t="str">
        <f t="shared" si="7"/>
        <v/>
      </c>
      <c r="C29" s="18" t="str">
        <f t="shared" si="8"/>
        <v/>
      </c>
      <c r="D29" s="18" t="str">
        <f t="shared" si="9"/>
        <v/>
      </c>
      <c r="E29" s="4"/>
      <c r="F29" s="8"/>
      <c r="G29" s="9"/>
      <c r="H29" s="9"/>
      <c r="I29" s="48"/>
      <c r="J29" s="21" t="str">
        <f t="shared" si="0"/>
        <v/>
      </c>
      <c r="K29" s="8"/>
      <c r="L29" s="9"/>
      <c r="M29" s="9"/>
      <c r="N29" s="48"/>
      <c r="O29" s="21" t="str">
        <f t="shared" si="1"/>
        <v/>
      </c>
      <c r="P29" s="8"/>
      <c r="Q29" s="9"/>
      <c r="R29" s="9"/>
      <c r="S29" s="48"/>
      <c r="T29" s="21" t="str">
        <f t="shared" si="2"/>
        <v/>
      </c>
      <c r="U29" s="53" t="str">
        <f t="shared" si="3"/>
        <v/>
      </c>
      <c r="V29" s="54" t="str">
        <f t="shared" si="4"/>
        <v/>
      </c>
      <c r="W29" s="55" t="str">
        <f t="shared" si="5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6"/>
        <v/>
      </c>
      <c r="B30" s="19" t="str">
        <f t="shared" si="7"/>
        <v/>
      </c>
      <c r="C30" s="19" t="str">
        <f t="shared" si="8"/>
        <v/>
      </c>
      <c r="D30" s="19" t="str">
        <f t="shared" si="9"/>
        <v/>
      </c>
      <c r="E30" s="5"/>
      <c r="F30" s="10"/>
      <c r="G30" s="11"/>
      <c r="H30" s="11"/>
      <c r="I30" s="49"/>
      <c r="J30" s="22" t="str">
        <f t="shared" si="0"/>
        <v/>
      </c>
      <c r="K30" s="10"/>
      <c r="L30" s="11"/>
      <c r="M30" s="11"/>
      <c r="N30" s="49"/>
      <c r="O30" s="22" t="str">
        <f t="shared" si="1"/>
        <v/>
      </c>
      <c r="P30" s="10"/>
      <c r="Q30" s="11"/>
      <c r="R30" s="11"/>
      <c r="S30" s="49"/>
      <c r="T30" s="22" t="str">
        <f t="shared" si="2"/>
        <v/>
      </c>
      <c r="U30" s="56" t="str">
        <f t="shared" si="3"/>
        <v/>
      </c>
      <c r="V30" s="57" t="str">
        <f t="shared" si="4"/>
        <v/>
      </c>
      <c r="W30" s="58" t="str">
        <f t="shared" si="5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2">
    <dataValidation type="list" showInputMessage="1" showErrorMessage="1" sqref="K4:K30 P4:P30 F4:F30" xr:uid="{D693312D-79E6-4D5F-875B-7B11BEDF8BAA}">
      <formula1>"ロン,ツモ,放銃,ツモ支払,流局,チョンボ"</formula1>
    </dataValidation>
    <dataValidation type="list" allowBlank="1" showInputMessage="1" showErrorMessage="1" sqref="E4:E30" xr:uid="{33BC8FB5-C6A0-481F-BF79-D922F82AC8D8}">
      <formula1>$U$2:$W$2</formula1>
    </dataValidation>
  </dataValidations>
  <pageMargins left="0.7" right="0.7" top="0.75" bottom="0.75" header="0.3" footer="0.3"/>
  <pageSetup paperSize="9" scale="29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55F33-2E5C-45E1-B828-DB64D09CC92D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93" t="s">
        <v>0</v>
      </c>
      <c r="B1" s="95" t="s">
        <v>2</v>
      </c>
      <c r="C1" s="95" t="s">
        <v>1</v>
      </c>
      <c r="D1" s="95" t="s">
        <v>21</v>
      </c>
      <c r="E1" s="97" t="s">
        <v>3</v>
      </c>
      <c r="F1" s="89" t="s">
        <v>164</v>
      </c>
      <c r="G1" s="90"/>
      <c r="H1" s="90"/>
      <c r="I1" s="91"/>
      <c r="J1" s="92"/>
      <c r="K1" s="89" t="s">
        <v>160</v>
      </c>
      <c r="L1" s="90"/>
      <c r="M1" s="90"/>
      <c r="N1" s="91"/>
      <c r="O1" s="92"/>
      <c r="P1" s="89" t="s">
        <v>162</v>
      </c>
      <c r="Q1" s="90"/>
      <c r="R1" s="90"/>
      <c r="S1" s="91"/>
      <c r="T1" s="92"/>
      <c r="U1" s="89" t="s">
        <v>6</v>
      </c>
      <c r="V1" s="90"/>
      <c r="W1" s="92"/>
      <c r="Y1" s="89" t="str">
        <f>F1</f>
        <v>いっしー</v>
      </c>
      <c r="Z1" s="10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2"/>
      <c r="AT1" s="89" t="str">
        <f>K1</f>
        <v>まっつん</v>
      </c>
      <c r="AU1" s="100"/>
      <c r="AV1" s="90"/>
      <c r="AW1" s="90"/>
      <c r="AX1" s="90"/>
      <c r="AY1" s="90"/>
      <c r="AZ1" s="90"/>
      <c r="BA1" s="90"/>
      <c r="BB1" s="90"/>
      <c r="BC1" s="90"/>
      <c r="BD1" s="90"/>
      <c r="BE1" s="90"/>
      <c r="BF1" s="90"/>
      <c r="BG1" s="90"/>
      <c r="BH1" s="90"/>
      <c r="BI1" s="90"/>
      <c r="BJ1" s="90"/>
      <c r="BK1" s="90"/>
      <c r="BL1" s="90"/>
      <c r="BM1" s="90"/>
      <c r="BN1" s="92"/>
      <c r="BO1" s="89" t="str">
        <f>P1</f>
        <v>あさひ</v>
      </c>
      <c r="BP1" s="100"/>
      <c r="BQ1" s="90"/>
      <c r="BR1" s="90"/>
      <c r="BS1" s="90"/>
      <c r="BT1" s="90"/>
      <c r="BU1" s="90"/>
      <c r="BV1" s="90"/>
      <c r="BW1" s="90"/>
      <c r="BX1" s="90"/>
      <c r="BY1" s="90"/>
      <c r="BZ1" s="90"/>
      <c r="CA1" s="90"/>
      <c r="CB1" s="90"/>
      <c r="CC1" s="90"/>
      <c r="CD1" s="90"/>
      <c r="CE1" s="90"/>
      <c r="CF1" s="90"/>
      <c r="CG1" s="90"/>
      <c r="CH1" s="90"/>
      <c r="CI1" s="92"/>
    </row>
    <row r="2" spans="1:87" x14ac:dyDescent="0.4">
      <c r="A2" s="94"/>
      <c r="B2" s="96"/>
      <c r="C2" s="96"/>
      <c r="D2" s="96"/>
      <c r="E2" s="9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0" t="str">
        <f>$F$1</f>
        <v>いっしー</v>
      </c>
      <c r="V2" s="81" t="str">
        <f>$K$1</f>
        <v>まっつん</v>
      </c>
      <c r="W2" s="16" t="str">
        <f>$P$1</f>
        <v>あさひ</v>
      </c>
      <c r="Y2" s="77" t="s">
        <v>23</v>
      </c>
      <c r="Z2" s="82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99" t="s">
        <v>20</v>
      </c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  <c r="AT2" s="77" t="s">
        <v>23</v>
      </c>
      <c r="AU2" s="82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99" t="s">
        <v>20</v>
      </c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77" t="s">
        <v>23</v>
      </c>
      <c r="BP2" s="82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99" t="s">
        <v>20</v>
      </c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99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126900</v>
      </c>
      <c r="K3" s="7"/>
      <c r="L3" s="23"/>
      <c r="M3" s="23"/>
      <c r="N3" s="47"/>
      <c r="O3" s="20">
        <v>120300</v>
      </c>
      <c r="P3" s="7"/>
      <c r="Q3" s="23"/>
      <c r="R3" s="23"/>
      <c r="S3" s="47"/>
      <c r="T3" s="20">
        <v>52800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163</v>
      </c>
      <c r="F4" s="8" t="s">
        <v>145</v>
      </c>
      <c r="G4" s="9">
        <v>-1300</v>
      </c>
      <c r="H4" s="9"/>
      <c r="I4" s="48">
        <v>0</v>
      </c>
      <c r="J4" s="21">
        <f t="shared" ref="J4:J30" si="0">IF(COUNTA($F4,$K4,$P4)&gt;0,J3+SUM(G4:I4),"")</f>
        <v>125600</v>
      </c>
      <c r="K4" s="8" t="s">
        <v>146</v>
      </c>
      <c r="L4" s="9">
        <v>1300</v>
      </c>
      <c r="M4" s="9"/>
      <c r="N4" s="48">
        <v>0</v>
      </c>
      <c r="O4" s="21">
        <f t="shared" ref="O4:O30" si="1">IF(COUNTA($F4,$K4,$P4)&gt;0,O3+SUM(L4:N4),"")</f>
        <v>121600</v>
      </c>
      <c r="P4" s="8"/>
      <c r="Q4" s="9"/>
      <c r="R4" s="9"/>
      <c r="S4" s="48"/>
      <c r="T4" s="21">
        <f t="shared" ref="T4:T30" si="2">IF(COUNTA($F4,$K4,$P4)&gt;0,T3+SUM(Q4:S4),"")</f>
        <v>52800</v>
      </c>
      <c r="U4" s="53">
        <f t="shared" ref="U4:U30" si="3">IF($J4="","",ROUND(($J4-$J$3)/1000,1))</f>
        <v>-1.3</v>
      </c>
      <c r="V4" s="54">
        <f t="shared" ref="V4:V30" si="4">IF($O4="","",ROUND(($O4-$O$3)/1000,1))</f>
        <v>1.3</v>
      </c>
      <c r="W4" s="55">
        <f t="shared" ref="W4:W30" si="5">IF($T4="","",ROUND(($T4-$T$3)/1000,1))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1</v>
      </c>
      <c r="AY4" s="30">
        <v>40</v>
      </c>
      <c r="AZ4" s="40" t="s">
        <v>144</v>
      </c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6">IF($E5="","",IF(AND(B4=3,B5=1),_xlfn.SWITCH(A4,"東","南","南","西","西","北","北","東"),A4))</f>
        <v>東</v>
      </c>
      <c r="B5" s="18">
        <f t="shared" ref="B5:B30" si="7">IF($E5="","",IF($E4=$E5,B4,IF(B4=3,1,B4+1)))</f>
        <v>2</v>
      </c>
      <c r="C5" s="18">
        <f t="shared" ref="C5:C30" si="8">IF($E5="","",IF($F4="チョンボ",C4,IF(OR($E4=$E5,$F4="流局"),C4+1,0)))</f>
        <v>0</v>
      </c>
      <c r="D5" s="18">
        <f t="shared" ref="D5:D30" si="9">IF($E5="","",IF(OR($F4="流局",$F4="チョンボ"),D4+($H4+$M4+$R4)/-1000,0))</f>
        <v>0</v>
      </c>
      <c r="E5" s="4" t="s">
        <v>159</v>
      </c>
      <c r="F5" s="8" t="s">
        <v>145</v>
      </c>
      <c r="G5" s="9">
        <v>-7700</v>
      </c>
      <c r="H5" s="9"/>
      <c r="I5" s="48">
        <v>0</v>
      </c>
      <c r="J5" s="21">
        <f t="shared" si="0"/>
        <v>117900</v>
      </c>
      <c r="K5" s="8"/>
      <c r="L5" s="9"/>
      <c r="M5" s="9"/>
      <c r="N5" s="48"/>
      <c r="O5" s="21">
        <f t="shared" si="1"/>
        <v>121600</v>
      </c>
      <c r="P5" s="8" t="s">
        <v>146</v>
      </c>
      <c r="Q5" s="9">
        <v>7700</v>
      </c>
      <c r="R5" s="9"/>
      <c r="S5" s="48">
        <v>0</v>
      </c>
      <c r="T5" s="21">
        <f t="shared" si="2"/>
        <v>60500</v>
      </c>
      <c r="U5" s="53">
        <f t="shared" si="3"/>
        <v>-9</v>
      </c>
      <c r="V5" s="54">
        <f t="shared" si="4"/>
        <v>1.3</v>
      </c>
      <c r="W5" s="55">
        <f t="shared" si="5"/>
        <v>7.7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30</v>
      </c>
      <c r="BU5" s="40" t="s">
        <v>144</v>
      </c>
      <c r="BV5" s="41" t="s">
        <v>83</v>
      </c>
      <c r="BW5" s="41" t="s">
        <v>79</v>
      </c>
      <c r="BX5" s="41" t="s">
        <v>80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6"/>
        <v>東</v>
      </c>
      <c r="B6" s="18">
        <f t="shared" si="7"/>
        <v>3</v>
      </c>
      <c r="C6" s="18">
        <f t="shared" si="8"/>
        <v>0</v>
      </c>
      <c r="D6" s="18">
        <f t="shared" si="9"/>
        <v>0</v>
      </c>
      <c r="E6" s="4" t="s">
        <v>161</v>
      </c>
      <c r="F6" s="8" t="s">
        <v>143</v>
      </c>
      <c r="G6" s="9">
        <v>2800</v>
      </c>
      <c r="H6" s="9"/>
      <c r="I6" s="48">
        <v>0</v>
      </c>
      <c r="J6" s="21">
        <f t="shared" si="0"/>
        <v>120700</v>
      </c>
      <c r="K6" s="8" t="s">
        <v>142</v>
      </c>
      <c r="L6" s="9">
        <v>-1100</v>
      </c>
      <c r="M6" s="9"/>
      <c r="N6" s="48">
        <v>0</v>
      </c>
      <c r="O6" s="21">
        <f t="shared" si="1"/>
        <v>120500</v>
      </c>
      <c r="P6" s="8" t="s">
        <v>142</v>
      </c>
      <c r="Q6" s="9">
        <v>-1700</v>
      </c>
      <c r="R6" s="9"/>
      <c r="S6" s="48">
        <v>0</v>
      </c>
      <c r="T6" s="21">
        <f t="shared" si="2"/>
        <v>58800</v>
      </c>
      <c r="U6" s="53">
        <f t="shared" si="3"/>
        <v>-6.2</v>
      </c>
      <c r="V6" s="54">
        <f t="shared" si="4"/>
        <v>0.2</v>
      </c>
      <c r="W6" s="55">
        <f t="shared" si="5"/>
        <v>6</v>
      </c>
      <c r="Y6" s="8"/>
      <c r="Z6" s="34"/>
      <c r="AA6" s="26"/>
      <c r="AB6" s="26"/>
      <c r="AC6" s="26">
        <v>3</v>
      </c>
      <c r="AD6" s="30">
        <v>20</v>
      </c>
      <c r="AE6" s="40" t="s">
        <v>144</v>
      </c>
      <c r="AF6" s="41" t="s">
        <v>83</v>
      </c>
      <c r="AG6" s="41" t="s">
        <v>147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6"/>
        <v>南</v>
      </c>
      <c r="B7" s="18">
        <f t="shared" si="7"/>
        <v>1</v>
      </c>
      <c r="C7" s="18">
        <f t="shared" si="8"/>
        <v>0</v>
      </c>
      <c r="D7" s="18">
        <f t="shared" si="9"/>
        <v>0</v>
      </c>
      <c r="E7" s="4" t="s">
        <v>163</v>
      </c>
      <c r="F7" s="8" t="s">
        <v>142</v>
      </c>
      <c r="G7" s="9">
        <v>-4800</v>
      </c>
      <c r="H7" s="9"/>
      <c r="I7" s="48">
        <v>0</v>
      </c>
      <c r="J7" s="21">
        <f t="shared" si="0"/>
        <v>115900</v>
      </c>
      <c r="K7" s="8" t="s">
        <v>142</v>
      </c>
      <c r="L7" s="9">
        <v>-2900</v>
      </c>
      <c r="M7" s="9"/>
      <c r="N7" s="48">
        <v>0</v>
      </c>
      <c r="O7" s="21">
        <f t="shared" si="1"/>
        <v>117600</v>
      </c>
      <c r="P7" s="8" t="s">
        <v>143</v>
      </c>
      <c r="Q7" s="9">
        <v>7700</v>
      </c>
      <c r="R7" s="9"/>
      <c r="S7" s="48">
        <v>0</v>
      </c>
      <c r="T7" s="21">
        <f t="shared" si="2"/>
        <v>66500</v>
      </c>
      <c r="U7" s="53">
        <f t="shared" si="3"/>
        <v>-11</v>
      </c>
      <c r="V7" s="54">
        <f t="shared" si="4"/>
        <v>-2.7</v>
      </c>
      <c r="W7" s="55">
        <f t="shared" si="5"/>
        <v>13.7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30</v>
      </c>
      <c r="BU7" s="40" t="s">
        <v>144</v>
      </c>
      <c r="BV7" s="41" t="s">
        <v>82</v>
      </c>
      <c r="BW7" s="41" t="s">
        <v>85</v>
      </c>
      <c r="BX7" s="41" t="s">
        <v>80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6"/>
        <v>南</v>
      </c>
      <c r="B8" s="18">
        <f t="shared" si="7"/>
        <v>2</v>
      </c>
      <c r="C8" s="18">
        <f t="shared" si="8"/>
        <v>0</v>
      </c>
      <c r="D8" s="18">
        <f t="shared" si="9"/>
        <v>0</v>
      </c>
      <c r="E8" s="4" t="s">
        <v>159</v>
      </c>
      <c r="F8" s="8"/>
      <c r="G8" s="9"/>
      <c r="H8" s="9"/>
      <c r="I8" s="48"/>
      <c r="J8" s="21">
        <f t="shared" si="0"/>
        <v>115900</v>
      </c>
      <c r="K8" s="8" t="s">
        <v>145</v>
      </c>
      <c r="L8" s="9">
        <v>-3900</v>
      </c>
      <c r="M8" s="9"/>
      <c r="N8" s="48">
        <v>0</v>
      </c>
      <c r="O8" s="21">
        <f t="shared" si="1"/>
        <v>113700</v>
      </c>
      <c r="P8" s="8" t="s">
        <v>146</v>
      </c>
      <c r="Q8" s="9">
        <v>3900</v>
      </c>
      <c r="R8" s="9"/>
      <c r="S8" s="48">
        <v>0</v>
      </c>
      <c r="T8" s="21">
        <f t="shared" si="2"/>
        <v>70400</v>
      </c>
      <c r="U8" s="53">
        <f t="shared" si="3"/>
        <v>-11</v>
      </c>
      <c r="V8" s="54">
        <f t="shared" si="4"/>
        <v>-6.6</v>
      </c>
      <c r="W8" s="55">
        <f t="shared" si="5"/>
        <v>17.600000000000001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3</v>
      </c>
      <c r="BT8" s="30">
        <v>30</v>
      </c>
      <c r="BU8" s="40" t="s">
        <v>104</v>
      </c>
      <c r="BV8" s="41" t="s">
        <v>86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6"/>
        <v>南</v>
      </c>
      <c r="B9" s="18">
        <f t="shared" si="7"/>
        <v>3</v>
      </c>
      <c r="C9" s="18">
        <f t="shared" si="8"/>
        <v>0</v>
      </c>
      <c r="D9" s="18">
        <f t="shared" si="9"/>
        <v>0</v>
      </c>
      <c r="E9" s="4" t="s">
        <v>161</v>
      </c>
      <c r="F9" s="8" t="s">
        <v>158</v>
      </c>
      <c r="G9" s="9">
        <v>-1500</v>
      </c>
      <c r="H9" s="9"/>
      <c r="I9" s="48"/>
      <c r="J9" s="21">
        <f t="shared" si="0"/>
        <v>114400</v>
      </c>
      <c r="K9" s="8" t="s">
        <v>158</v>
      </c>
      <c r="L9" s="9">
        <v>3000</v>
      </c>
      <c r="M9" s="9">
        <v>-1000</v>
      </c>
      <c r="N9" s="48"/>
      <c r="O9" s="21">
        <f t="shared" si="1"/>
        <v>115700</v>
      </c>
      <c r="P9" s="8" t="s">
        <v>158</v>
      </c>
      <c r="Q9" s="9">
        <v>-1500</v>
      </c>
      <c r="R9" s="9">
        <v>1000</v>
      </c>
      <c r="S9" s="48"/>
      <c r="T9" s="21">
        <f t="shared" si="2"/>
        <v>69900</v>
      </c>
      <c r="U9" s="53">
        <f t="shared" si="3"/>
        <v>-12.5</v>
      </c>
      <c r="V9" s="54">
        <f t="shared" si="4"/>
        <v>-4.5999999999999996</v>
      </c>
      <c r="W9" s="55">
        <f t="shared" si="5"/>
        <v>17.100000000000001</v>
      </c>
      <c r="Y9" s="8" t="s">
        <v>157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156</v>
      </c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157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6"/>
        <v/>
      </c>
      <c r="B10" s="18" t="str">
        <f t="shared" si="7"/>
        <v/>
      </c>
      <c r="C10" s="18" t="str">
        <f t="shared" si="8"/>
        <v/>
      </c>
      <c r="D10" s="18" t="str">
        <f t="shared" si="9"/>
        <v/>
      </c>
      <c r="E10" s="4"/>
      <c r="F10" s="8"/>
      <c r="G10" s="9"/>
      <c r="H10" s="9"/>
      <c r="I10" s="48"/>
      <c r="J10" s="21" t="str">
        <f t="shared" si="0"/>
        <v/>
      </c>
      <c r="K10" s="8"/>
      <c r="L10" s="9"/>
      <c r="M10" s="9"/>
      <c r="N10" s="48"/>
      <c r="O10" s="21" t="str">
        <f t="shared" si="1"/>
        <v/>
      </c>
      <c r="P10" s="8"/>
      <c r="Q10" s="9"/>
      <c r="R10" s="9"/>
      <c r="S10" s="48"/>
      <c r="T10" s="21" t="str">
        <f t="shared" si="2"/>
        <v/>
      </c>
      <c r="U10" s="53" t="str">
        <f t="shared" si="3"/>
        <v/>
      </c>
      <c r="V10" s="54" t="str">
        <f t="shared" si="4"/>
        <v/>
      </c>
      <c r="W10" s="55" t="str">
        <f t="shared" si="5"/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6"/>
        <v/>
      </c>
      <c r="B11" s="18" t="str">
        <f t="shared" si="7"/>
        <v/>
      </c>
      <c r="C11" s="18" t="str">
        <f t="shared" si="8"/>
        <v/>
      </c>
      <c r="D11" s="18" t="str">
        <f t="shared" si="9"/>
        <v/>
      </c>
      <c r="E11" s="4"/>
      <c r="F11" s="8"/>
      <c r="G11" s="9"/>
      <c r="H11" s="9"/>
      <c r="I11" s="48"/>
      <c r="J11" s="21" t="str">
        <f t="shared" si="0"/>
        <v/>
      </c>
      <c r="K11" s="8"/>
      <c r="L11" s="9"/>
      <c r="M11" s="9"/>
      <c r="N11" s="48"/>
      <c r="O11" s="21" t="str">
        <f t="shared" si="1"/>
        <v/>
      </c>
      <c r="P11" s="8"/>
      <c r="Q11" s="9"/>
      <c r="R11" s="9"/>
      <c r="S11" s="48"/>
      <c r="T11" s="21" t="str">
        <f t="shared" si="2"/>
        <v/>
      </c>
      <c r="U11" s="53" t="str">
        <f t="shared" si="3"/>
        <v/>
      </c>
      <c r="V11" s="54" t="str">
        <f t="shared" si="4"/>
        <v/>
      </c>
      <c r="W11" s="55" t="str">
        <f t="shared" si="5"/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6"/>
        <v/>
      </c>
      <c r="B12" s="18" t="str">
        <f t="shared" si="7"/>
        <v/>
      </c>
      <c r="C12" s="18" t="str">
        <f t="shared" si="8"/>
        <v/>
      </c>
      <c r="D12" s="18" t="str">
        <f t="shared" si="9"/>
        <v/>
      </c>
      <c r="E12" s="4"/>
      <c r="F12" s="8"/>
      <c r="G12" s="9"/>
      <c r="H12" s="9"/>
      <c r="I12" s="48"/>
      <c r="J12" s="21" t="str">
        <f t="shared" si="0"/>
        <v/>
      </c>
      <c r="K12" s="8"/>
      <c r="L12" s="9"/>
      <c r="M12" s="9"/>
      <c r="N12" s="48"/>
      <c r="O12" s="21" t="str">
        <f t="shared" si="1"/>
        <v/>
      </c>
      <c r="P12" s="8"/>
      <c r="Q12" s="9"/>
      <c r="R12" s="9"/>
      <c r="S12" s="48"/>
      <c r="T12" s="21" t="str">
        <f t="shared" si="2"/>
        <v/>
      </c>
      <c r="U12" s="53" t="str">
        <f t="shared" si="3"/>
        <v/>
      </c>
      <c r="V12" s="54" t="str">
        <f t="shared" si="4"/>
        <v/>
      </c>
      <c r="W12" s="55" t="str">
        <f t="shared" si="5"/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6"/>
        <v/>
      </c>
      <c r="B13" s="18" t="str">
        <f t="shared" si="7"/>
        <v/>
      </c>
      <c r="C13" s="18" t="str">
        <f t="shared" si="8"/>
        <v/>
      </c>
      <c r="D13" s="18" t="str">
        <f t="shared" si="9"/>
        <v/>
      </c>
      <c r="E13" s="4"/>
      <c r="F13" s="8"/>
      <c r="G13" s="9"/>
      <c r="H13" s="9"/>
      <c r="I13" s="48"/>
      <c r="J13" s="21" t="str">
        <f t="shared" si="0"/>
        <v/>
      </c>
      <c r="K13" s="8"/>
      <c r="L13" s="9"/>
      <c r="M13" s="9"/>
      <c r="N13" s="48"/>
      <c r="O13" s="21" t="str">
        <f t="shared" si="1"/>
        <v/>
      </c>
      <c r="P13" s="8"/>
      <c r="Q13" s="9"/>
      <c r="R13" s="9"/>
      <c r="S13" s="48"/>
      <c r="T13" s="21" t="str">
        <f t="shared" si="2"/>
        <v/>
      </c>
      <c r="U13" s="53" t="str">
        <f t="shared" si="3"/>
        <v/>
      </c>
      <c r="V13" s="54" t="str">
        <f t="shared" si="4"/>
        <v/>
      </c>
      <c r="W13" s="55" t="str">
        <f t="shared" si="5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6"/>
        <v/>
      </c>
      <c r="B14" s="18" t="str">
        <f t="shared" si="7"/>
        <v/>
      </c>
      <c r="C14" s="18" t="str">
        <f t="shared" si="8"/>
        <v/>
      </c>
      <c r="D14" s="18" t="str">
        <f t="shared" si="9"/>
        <v/>
      </c>
      <c r="E14" s="4"/>
      <c r="F14" s="8"/>
      <c r="G14" s="9"/>
      <c r="H14" s="9"/>
      <c r="I14" s="48"/>
      <c r="J14" s="21" t="str">
        <f t="shared" si="0"/>
        <v/>
      </c>
      <c r="K14" s="8"/>
      <c r="L14" s="9"/>
      <c r="M14" s="9"/>
      <c r="N14" s="48"/>
      <c r="O14" s="21" t="str">
        <f t="shared" si="1"/>
        <v/>
      </c>
      <c r="P14" s="8"/>
      <c r="Q14" s="9"/>
      <c r="R14" s="9"/>
      <c r="S14" s="48"/>
      <c r="T14" s="21" t="str">
        <f t="shared" si="2"/>
        <v/>
      </c>
      <c r="U14" s="53" t="str">
        <f t="shared" si="3"/>
        <v/>
      </c>
      <c r="V14" s="54" t="str">
        <f t="shared" si="4"/>
        <v/>
      </c>
      <c r="W14" s="55" t="str">
        <f t="shared" si="5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6"/>
        <v/>
      </c>
      <c r="B15" s="18" t="str">
        <f t="shared" si="7"/>
        <v/>
      </c>
      <c r="C15" s="18" t="str">
        <f t="shared" si="8"/>
        <v/>
      </c>
      <c r="D15" s="18" t="str">
        <f t="shared" si="9"/>
        <v/>
      </c>
      <c r="E15" s="4"/>
      <c r="F15" s="8"/>
      <c r="G15" s="9"/>
      <c r="H15" s="9"/>
      <c r="I15" s="48"/>
      <c r="J15" s="21" t="str">
        <f t="shared" si="0"/>
        <v/>
      </c>
      <c r="K15" s="8"/>
      <c r="L15" s="9"/>
      <c r="M15" s="9"/>
      <c r="N15" s="48"/>
      <c r="O15" s="21" t="str">
        <f t="shared" si="1"/>
        <v/>
      </c>
      <c r="P15" s="8"/>
      <c r="Q15" s="9"/>
      <c r="R15" s="9"/>
      <c r="S15" s="48"/>
      <c r="T15" s="21" t="str">
        <f t="shared" si="2"/>
        <v/>
      </c>
      <c r="U15" s="53" t="str">
        <f t="shared" si="3"/>
        <v/>
      </c>
      <c r="V15" s="54" t="str">
        <f t="shared" si="4"/>
        <v/>
      </c>
      <c r="W15" s="55" t="str">
        <f t="shared" si="5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6"/>
        <v/>
      </c>
      <c r="B16" s="18" t="str">
        <f t="shared" si="7"/>
        <v/>
      </c>
      <c r="C16" s="18" t="str">
        <f t="shared" si="8"/>
        <v/>
      </c>
      <c r="D16" s="18" t="str">
        <f t="shared" si="9"/>
        <v/>
      </c>
      <c r="E16" s="4"/>
      <c r="F16" s="8"/>
      <c r="G16" s="9"/>
      <c r="H16" s="9"/>
      <c r="I16" s="48"/>
      <c r="J16" s="21" t="str">
        <f t="shared" si="0"/>
        <v/>
      </c>
      <c r="K16" s="8"/>
      <c r="L16" s="9"/>
      <c r="M16" s="9"/>
      <c r="N16" s="48"/>
      <c r="O16" s="21" t="str">
        <f t="shared" si="1"/>
        <v/>
      </c>
      <c r="P16" s="8"/>
      <c r="Q16" s="9"/>
      <c r="R16" s="9"/>
      <c r="S16" s="48"/>
      <c r="T16" s="21" t="str">
        <f t="shared" si="2"/>
        <v/>
      </c>
      <c r="U16" s="53" t="str">
        <f t="shared" si="3"/>
        <v/>
      </c>
      <c r="V16" s="54" t="str">
        <f t="shared" si="4"/>
        <v/>
      </c>
      <c r="W16" s="55" t="str">
        <f t="shared" si="5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6"/>
        <v/>
      </c>
      <c r="B17" s="18" t="str">
        <f t="shared" si="7"/>
        <v/>
      </c>
      <c r="C17" s="18" t="str">
        <f t="shared" si="8"/>
        <v/>
      </c>
      <c r="D17" s="18" t="str">
        <f t="shared" si="9"/>
        <v/>
      </c>
      <c r="E17" s="4"/>
      <c r="F17" s="8"/>
      <c r="G17" s="9"/>
      <c r="H17" s="9"/>
      <c r="I17" s="48"/>
      <c r="J17" s="21" t="str">
        <f t="shared" si="0"/>
        <v/>
      </c>
      <c r="K17" s="8"/>
      <c r="L17" s="9"/>
      <c r="M17" s="9"/>
      <c r="N17" s="48"/>
      <c r="O17" s="21" t="str">
        <f t="shared" si="1"/>
        <v/>
      </c>
      <c r="P17" s="8"/>
      <c r="Q17" s="9"/>
      <c r="R17" s="9"/>
      <c r="S17" s="48"/>
      <c r="T17" s="21" t="str">
        <f t="shared" si="2"/>
        <v/>
      </c>
      <c r="U17" s="53" t="str">
        <f t="shared" si="3"/>
        <v/>
      </c>
      <c r="V17" s="54" t="str">
        <f t="shared" si="4"/>
        <v/>
      </c>
      <c r="W17" s="55" t="str">
        <f t="shared" si="5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6"/>
        <v/>
      </c>
      <c r="B18" s="18" t="str">
        <f t="shared" si="7"/>
        <v/>
      </c>
      <c r="C18" s="18" t="str">
        <f t="shared" si="8"/>
        <v/>
      </c>
      <c r="D18" s="18" t="str">
        <f t="shared" si="9"/>
        <v/>
      </c>
      <c r="E18" s="4"/>
      <c r="F18" s="8"/>
      <c r="G18" s="9"/>
      <c r="H18" s="9"/>
      <c r="I18" s="48"/>
      <c r="J18" s="21" t="str">
        <f t="shared" si="0"/>
        <v/>
      </c>
      <c r="K18" s="8"/>
      <c r="L18" s="9"/>
      <c r="M18" s="9"/>
      <c r="N18" s="48"/>
      <c r="O18" s="21" t="str">
        <f t="shared" si="1"/>
        <v/>
      </c>
      <c r="P18" s="8"/>
      <c r="Q18" s="9"/>
      <c r="R18" s="9"/>
      <c r="S18" s="48"/>
      <c r="T18" s="21" t="str">
        <f t="shared" si="2"/>
        <v/>
      </c>
      <c r="U18" s="53" t="str">
        <f t="shared" si="3"/>
        <v/>
      </c>
      <c r="V18" s="54" t="str">
        <f t="shared" si="4"/>
        <v/>
      </c>
      <c r="W18" s="55" t="str">
        <f t="shared" si="5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6"/>
        <v/>
      </c>
      <c r="B19" s="18" t="str">
        <f t="shared" si="7"/>
        <v/>
      </c>
      <c r="C19" s="18" t="str">
        <f t="shared" si="8"/>
        <v/>
      </c>
      <c r="D19" s="18" t="str">
        <f t="shared" si="9"/>
        <v/>
      </c>
      <c r="E19" s="4"/>
      <c r="F19" s="8"/>
      <c r="G19" s="9"/>
      <c r="H19" s="9"/>
      <c r="I19" s="48"/>
      <c r="J19" s="21" t="str">
        <f t="shared" si="0"/>
        <v/>
      </c>
      <c r="K19" s="8"/>
      <c r="L19" s="9"/>
      <c r="M19" s="9"/>
      <c r="N19" s="48"/>
      <c r="O19" s="21" t="str">
        <f t="shared" si="1"/>
        <v/>
      </c>
      <c r="P19" s="8"/>
      <c r="Q19" s="9"/>
      <c r="R19" s="9"/>
      <c r="S19" s="48"/>
      <c r="T19" s="21" t="str">
        <f t="shared" si="2"/>
        <v/>
      </c>
      <c r="U19" s="53" t="str">
        <f t="shared" si="3"/>
        <v/>
      </c>
      <c r="V19" s="54" t="str">
        <f t="shared" si="4"/>
        <v/>
      </c>
      <c r="W19" s="55" t="str">
        <f t="shared" si="5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6"/>
        <v/>
      </c>
      <c r="B20" s="18" t="str">
        <f t="shared" si="7"/>
        <v/>
      </c>
      <c r="C20" s="18" t="str">
        <f t="shared" si="8"/>
        <v/>
      </c>
      <c r="D20" s="18" t="str">
        <f t="shared" si="9"/>
        <v/>
      </c>
      <c r="E20" s="4"/>
      <c r="F20" s="8"/>
      <c r="G20" s="9"/>
      <c r="H20" s="9"/>
      <c r="I20" s="48"/>
      <c r="J20" s="21" t="str">
        <f t="shared" si="0"/>
        <v/>
      </c>
      <c r="K20" s="8"/>
      <c r="L20" s="9"/>
      <c r="M20" s="9"/>
      <c r="N20" s="48"/>
      <c r="O20" s="21" t="str">
        <f t="shared" si="1"/>
        <v/>
      </c>
      <c r="P20" s="8"/>
      <c r="Q20" s="9"/>
      <c r="R20" s="9"/>
      <c r="S20" s="48"/>
      <c r="T20" s="21" t="str">
        <f t="shared" si="2"/>
        <v/>
      </c>
      <c r="U20" s="53" t="str">
        <f t="shared" si="3"/>
        <v/>
      </c>
      <c r="V20" s="54" t="str">
        <f t="shared" si="4"/>
        <v/>
      </c>
      <c r="W20" s="55" t="str">
        <f t="shared" si="5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6"/>
        <v/>
      </c>
      <c r="B21" s="18" t="str">
        <f t="shared" si="7"/>
        <v/>
      </c>
      <c r="C21" s="18" t="str">
        <f t="shared" si="8"/>
        <v/>
      </c>
      <c r="D21" s="18" t="str">
        <f t="shared" si="9"/>
        <v/>
      </c>
      <c r="E21" s="4"/>
      <c r="F21" s="8"/>
      <c r="G21" s="9"/>
      <c r="H21" s="9"/>
      <c r="I21" s="48"/>
      <c r="J21" s="21" t="str">
        <f t="shared" si="0"/>
        <v/>
      </c>
      <c r="K21" s="8"/>
      <c r="L21" s="9"/>
      <c r="M21" s="9"/>
      <c r="N21" s="48"/>
      <c r="O21" s="21" t="str">
        <f t="shared" si="1"/>
        <v/>
      </c>
      <c r="P21" s="8"/>
      <c r="Q21" s="9"/>
      <c r="R21" s="9"/>
      <c r="S21" s="48"/>
      <c r="T21" s="21" t="str">
        <f t="shared" si="2"/>
        <v/>
      </c>
      <c r="U21" s="53" t="str">
        <f t="shared" si="3"/>
        <v/>
      </c>
      <c r="V21" s="54" t="str">
        <f t="shared" si="4"/>
        <v/>
      </c>
      <c r="W21" s="55" t="str">
        <f t="shared" si="5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6"/>
        <v/>
      </c>
      <c r="B22" s="18" t="str">
        <f t="shared" si="7"/>
        <v/>
      </c>
      <c r="C22" s="18" t="str">
        <f t="shared" si="8"/>
        <v/>
      </c>
      <c r="D22" s="18" t="str">
        <f t="shared" si="9"/>
        <v/>
      </c>
      <c r="E22" s="4"/>
      <c r="F22" s="8"/>
      <c r="G22" s="9"/>
      <c r="H22" s="9"/>
      <c r="I22" s="48"/>
      <c r="J22" s="21" t="str">
        <f t="shared" si="0"/>
        <v/>
      </c>
      <c r="K22" s="8"/>
      <c r="L22" s="9"/>
      <c r="M22" s="9"/>
      <c r="N22" s="48"/>
      <c r="O22" s="21" t="str">
        <f t="shared" si="1"/>
        <v/>
      </c>
      <c r="P22" s="8"/>
      <c r="Q22" s="9"/>
      <c r="R22" s="9"/>
      <c r="S22" s="48"/>
      <c r="T22" s="21" t="str">
        <f t="shared" si="2"/>
        <v/>
      </c>
      <c r="U22" s="53" t="str">
        <f t="shared" si="3"/>
        <v/>
      </c>
      <c r="V22" s="54" t="str">
        <f t="shared" si="4"/>
        <v/>
      </c>
      <c r="W22" s="55" t="str">
        <f t="shared" si="5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6"/>
        <v/>
      </c>
      <c r="B23" s="18" t="str">
        <f t="shared" si="7"/>
        <v/>
      </c>
      <c r="C23" s="18" t="str">
        <f t="shared" si="8"/>
        <v/>
      </c>
      <c r="D23" s="18" t="str">
        <f t="shared" si="9"/>
        <v/>
      </c>
      <c r="E23" s="4"/>
      <c r="F23" s="8"/>
      <c r="G23" s="9"/>
      <c r="H23" s="9"/>
      <c r="I23" s="48"/>
      <c r="J23" s="21" t="str">
        <f t="shared" si="0"/>
        <v/>
      </c>
      <c r="K23" s="8"/>
      <c r="L23" s="9"/>
      <c r="M23" s="9"/>
      <c r="N23" s="48"/>
      <c r="O23" s="21" t="str">
        <f t="shared" si="1"/>
        <v/>
      </c>
      <c r="P23" s="8"/>
      <c r="Q23" s="9"/>
      <c r="R23" s="9"/>
      <c r="S23" s="48"/>
      <c r="T23" s="21" t="str">
        <f t="shared" si="2"/>
        <v/>
      </c>
      <c r="U23" s="53" t="str">
        <f t="shared" si="3"/>
        <v/>
      </c>
      <c r="V23" s="54" t="str">
        <f t="shared" si="4"/>
        <v/>
      </c>
      <c r="W23" s="55" t="str">
        <f t="shared" si="5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6"/>
        <v/>
      </c>
      <c r="B24" s="18" t="str">
        <f t="shared" si="7"/>
        <v/>
      </c>
      <c r="C24" s="18" t="str">
        <f t="shared" si="8"/>
        <v/>
      </c>
      <c r="D24" s="18" t="str">
        <f t="shared" si="9"/>
        <v/>
      </c>
      <c r="E24" s="4"/>
      <c r="F24" s="8"/>
      <c r="G24" s="9"/>
      <c r="H24" s="9"/>
      <c r="I24" s="48"/>
      <c r="J24" s="21" t="str">
        <f t="shared" si="0"/>
        <v/>
      </c>
      <c r="K24" s="8"/>
      <c r="L24" s="9"/>
      <c r="M24" s="9"/>
      <c r="N24" s="48"/>
      <c r="O24" s="21" t="str">
        <f t="shared" si="1"/>
        <v/>
      </c>
      <c r="P24" s="8"/>
      <c r="Q24" s="9"/>
      <c r="R24" s="9"/>
      <c r="S24" s="48"/>
      <c r="T24" s="21" t="str">
        <f t="shared" si="2"/>
        <v/>
      </c>
      <c r="U24" s="53" t="str">
        <f t="shared" si="3"/>
        <v/>
      </c>
      <c r="V24" s="54" t="str">
        <f t="shared" si="4"/>
        <v/>
      </c>
      <c r="W24" s="55" t="str">
        <f t="shared" si="5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6"/>
        <v/>
      </c>
      <c r="B25" s="18" t="str">
        <f t="shared" si="7"/>
        <v/>
      </c>
      <c r="C25" s="18" t="str">
        <f t="shared" si="8"/>
        <v/>
      </c>
      <c r="D25" s="18" t="str">
        <f t="shared" si="9"/>
        <v/>
      </c>
      <c r="E25" s="4"/>
      <c r="F25" s="8"/>
      <c r="G25" s="9"/>
      <c r="H25" s="9"/>
      <c r="I25" s="48"/>
      <c r="J25" s="21" t="str">
        <f t="shared" si="0"/>
        <v/>
      </c>
      <c r="K25" s="8"/>
      <c r="L25" s="9"/>
      <c r="M25" s="9"/>
      <c r="N25" s="48"/>
      <c r="O25" s="21" t="str">
        <f t="shared" si="1"/>
        <v/>
      </c>
      <c r="P25" s="8"/>
      <c r="Q25" s="9"/>
      <c r="R25" s="9"/>
      <c r="S25" s="48"/>
      <c r="T25" s="21" t="str">
        <f t="shared" si="2"/>
        <v/>
      </c>
      <c r="U25" s="53" t="str">
        <f t="shared" si="3"/>
        <v/>
      </c>
      <c r="V25" s="54" t="str">
        <f t="shared" si="4"/>
        <v/>
      </c>
      <c r="W25" s="55" t="str">
        <f t="shared" si="5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6"/>
        <v/>
      </c>
      <c r="B26" s="18" t="str">
        <f t="shared" si="7"/>
        <v/>
      </c>
      <c r="C26" s="18" t="str">
        <f t="shared" si="8"/>
        <v/>
      </c>
      <c r="D26" s="18" t="str">
        <f t="shared" si="9"/>
        <v/>
      </c>
      <c r="E26" s="4"/>
      <c r="F26" s="8"/>
      <c r="G26" s="9"/>
      <c r="H26" s="9"/>
      <c r="I26" s="48"/>
      <c r="J26" s="21" t="str">
        <f t="shared" si="0"/>
        <v/>
      </c>
      <c r="K26" s="8"/>
      <c r="L26" s="9"/>
      <c r="M26" s="9"/>
      <c r="N26" s="48"/>
      <c r="O26" s="21" t="str">
        <f t="shared" si="1"/>
        <v/>
      </c>
      <c r="P26" s="8"/>
      <c r="Q26" s="9"/>
      <c r="R26" s="9"/>
      <c r="S26" s="48"/>
      <c r="T26" s="21" t="str">
        <f t="shared" si="2"/>
        <v/>
      </c>
      <c r="U26" s="53" t="str">
        <f t="shared" si="3"/>
        <v/>
      </c>
      <c r="V26" s="54" t="str">
        <f t="shared" si="4"/>
        <v/>
      </c>
      <c r="W26" s="55" t="str">
        <f t="shared" si="5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6"/>
        <v/>
      </c>
      <c r="B27" s="18" t="str">
        <f t="shared" si="7"/>
        <v/>
      </c>
      <c r="C27" s="18" t="str">
        <f t="shared" si="8"/>
        <v/>
      </c>
      <c r="D27" s="18" t="str">
        <f t="shared" si="9"/>
        <v/>
      </c>
      <c r="E27" s="4"/>
      <c r="F27" s="8"/>
      <c r="G27" s="9"/>
      <c r="H27" s="9"/>
      <c r="I27" s="48"/>
      <c r="J27" s="21" t="str">
        <f t="shared" si="0"/>
        <v/>
      </c>
      <c r="K27" s="8"/>
      <c r="L27" s="9"/>
      <c r="M27" s="9"/>
      <c r="N27" s="48"/>
      <c r="O27" s="21" t="str">
        <f t="shared" si="1"/>
        <v/>
      </c>
      <c r="P27" s="8"/>
      <c r="Q27" s="9"/>
      <c r="R27" s="9"/>
      <c r="S27" s="48"/>
      <c r="T27" s="21" t="str">
        <f t="shared" si="2"/>
        <v/>
      </c>
      <c r="U27" s="53" t="str">
        <f t="shared" si="3"/>
        <v/>
      </c>
      <c r="V27" s="54" t="str">
        <f t="shared" si="4"/>
        <v/>
      </c>
      <c r="W27" s="55" t="str">
        <f t="shared" si="5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6"/>
        <v/>
      </c>
      <c r="B28" s="18" t="str">
        <f t="shared" si="7"/>
        <v/>
      </c>
      <c r="C28" s="18" t="str">
        <f t="shared" si="8"/>
        <v/>
      </c>
      <c r="D28" s="18" t="str">
        <f t="shared" si="9"/>
        <v/>
      </c>
      <c r="E28" s="4"/>
      <c r="F28" s="8"/>
      <c r="G28" s="9"/>
      <c r="H28" s="9"/>
      <c r="I28" s="48"/>
      <c r="J28" s="21" t="str">
        <f t="shared" si="0"/>
        <v/>
      </c>
      <c r="K28" s="8"/>
      <c r="L28" s="9"/>
      <c r="M28" s="9"/>
      <c r="N28" s="48"/>
      <c r="O28" s="21" t="str">
        <f t="shared" si="1"/>
        <v/>
      </c>
      <c r="P28" s="8"/>
      <c r="Q28" s="9"/>
      <c r="R28" s="9"/>
      <c r="S28" s="48"/>
      <c r="T28" s="21" t="str">
        <f t="shared" si="2"/>
        <v/>
      </c>
      <c r="U28" s="53" t="str">
        <f t="shared" si="3"/>
        <v/>
      </c>
      <c r="V28" s="54" t="str">
        <f t="shared" si="4"/>
        <v/>
      </c>
      <c r="W28" s="55" t="str">
        <f t="shared" si="5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6"/>
        <v/>
      </c>
      <c r="B29" s="18" t="str">
        <f t="shared" si="7"/>
        <v/>
      </c>
      <c r="C29" s="18" t="str">
        <f t="shared" si="8"/>
        <v/>
      </c>
      <c r="D29" s="18" t="str">
        <f t="shared" si="9"/>
        <v/>
      </c>
      <c r="E29" s="4"/>
      <c r="F29" s="8"/>
      <c r="G29" s="9"/>
      <c r="H29" s="9"/>
      <c r="I29" s="48"/>
      <c r="J29" s="21" t="str">
        <f t="shared" si="0"/>
        <v/>
      </c>
      <c r="K29" s="8"/>
      <c r="L29" s="9"/>
      <c r="M29" s="9"/>
      <c r="N29" s="48"/>
      <c r="O29" s="21" t="str">
        <f t="shared" si="1"/>
        <v/>
      </c>
      <c r="P29" s="8"/>
      <c r="Q29" s="9"/>
      <c r="R29" s="9"/>
      <c r="S29" s="48"/>
      <c r="T29" s="21" t="str">
        <f t="shared" si="2"/>
        <v/>
      </c>
      <c r="U29" s="53" t="str">
        <f t="shared" si="3"/>
        <v/>
      </c>
      <c r="V29" s="54" t="str">
        <f t="shared" si="4"/>
        <v/>
      </c>
      <c r="W29" s="55" t="str">
        <f t="shared" si="5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6"/>
        <v/>
      </c>
      <c r="B30" s="19" t="str">
        <f t="shared" si="7"/>
        <v/>
      </c>
      <c r="C30" s="19" t="str">
        <f t="shared" si="8"/>
        <v/>
      </c>
      <c r="D30" s="19" t="str">
        <f t="shared" si="9"/>
        <v/>
      </c>
      <c r="E30" s="5"/>
      <c r="F30" s="10"/>
      <c r="G30" s="11"/>
      <c r="H30" s="11"/>
      <c r="I30" s="49"/>
      <c r="J30" s="22" t="str">
        <f t="shared" si="0"/>
        <v/>
      </c>
      <c r="K30" s="10"/>
      <c r="L30" s="11"/>
      <c r="M30" s="11"/>
      <c r="N30" s="49"/>
      <c r="O30" s="22" t="str">
        <f t="shared" si="1"/>
        <v/>
      </c>
      <c r="P30" s="10"/>
      <c r="Q30" s="11"/>
      <c r="R30" s="11"/>
      <c r="S30" s="49"/>
      <c r="T30" s="22" t="str">
        <f t="shared" si="2"/>
        <v/>
      </c>
      <c r="U30" s="56" t="str">
        <f t="shared" si="3"/>
        <v/>
      </c>
      <c r="V30" s="57" t="str">
        <f t="shared" si="4"/>
        <v/>
      </c>
      <c r="W30" s="58" t="str">
        <f t="shared" si="5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allowBlank="1" showInputMessage="1" showErrorMessage="1" sqref="E4:E30" xr:uid="{CCF460EB-7868-42F8-AE42-131D64E66A4A}">
      <formula1>$U$2:$W$2</formula1>
    </dataValidation>
    <dataValidation type="list" showInputMessage="1" showErrorMessage="1" sqref="K4:K30 P4:P30 F4:F30" xr:uid="{685965BC-378D-4ACE-971E-33951226F3EC}">
      <formula1>"ロン,ツモ,放銃,ツモ支払,流局,チョンボ"</formula1>
    </dataValidation>
  </dataValidations>
  <pageMargins left="0.7" right="0.7" top="0.75" bottom="0.75" header="0.3" footer="0.3"/>
  <pageSetup paperSize="9" scale="28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3BBD5-00F0-4F6E-9316-23528867297E}">
  <sheetPr codeName="Sheet17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93" t="s">
        <v>0</v>
      </c>
      <c r="B1" s="95" t="s">
        <v>2</v>
      </c>
      <c r="C1" s="95" t="s">
        <v>1</v>
      </c>
      <c r="D1" s="95" t="s">
        <v>21</v>
      </c>
      <c r="E1" s="97" t="s">
        <v>3</v>
      </c>
      <c r="F1" s="89" t="s">
        <v>149</v>
      </c>
      <c r="G1" s="90"/>
      <c r="H1" s="90"/>
      <c r="I1" s="91"/>
      <c r="J1" s="92"/>
      <c r="K1" s="89" t="s">
        <v>153</v>
      </c>
      <c r="L1" s="90"/>
      <c r="M1" s="90"/>
      <c r="N1" s="91"/>
      <c r="O1" s="92"/>
      <c r="P1" s="89" t="s">
        <v>141</v>
      </c>
      <c r="Q1" s="90"/>
      <c r="R1" s="90"/>
      <c r="S1" s="91"/>
      <c r="T1" s="92"/>
      <c r="U1" s="89" t="s">
        <v>6</v>
      </c>
      <c r="V1" s="90"/>
      <c r="W1" s="92"/>
      <c r="Y1" s="89" t="str">
        <f>F1</f>
        <v>だいち</v>
      </c>
      <c r="Z1" s="10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2"/>
      <c r="AT1" s="89" t="str">
        <f>K1</f>
        <v>たかの</v>
      </c>
      <c r="AU1" s="100"/>
      <c r="AV1" s="90"/>
      <c r="AW1" s="90"/>
      <c r="AX1" s="90"/>
      <c r="AY1" s="90"/>
      <c r="AZ1" s="90"/>
      <c r="BA1" s="90"/>
      <c r="BB1" s="90"/>
      <c r="BC1" s="90"/>
      <c r="BD1" s="90"/>
      <c r="BE1" s="90"/>
      <c r="BF1" s="90"/>
      <c r="BG1" s="90"/>
      <c r="BH1" s="90"/>
      <c r="BI1" s="90"/>
      <c r="BJ1" s="90"/>
      <c r="BK1" s="90"/>
      <c r="BL1" s="90"/>
      <c r="BM1" s="90"/>
      <c r="BN1" s="92"/>
      <c r="BO1" s="89" t="str">
        <f>P1</f>
        <v>れんたろう</v>
      </c>
      <c r="BP1" s="100"/>
      <c r="BQ1" s="90"/>
      <c r="BR1" s="90"/>
      <c r="BS1" s="90"/>
      <c r="BT1" s="90"/>
      <c r="BU1" s="90"/>
      <c r="BV1" s="90"/>
      <c r="BW1" s="90"/>
      <c r="BX1" s="90"/>
      <c r="BY1" s="90"/>
      <c r="BZ1" s="90"/>
      <c r="CA1" s="90"/>
      <c r="CB1" s="90"/>
      <c r="CC1" s="90"/>
      <c r="CD1" s="90"/>
      <c r="CE1" s="90"/>
      <c r="CF1" s="90"/>
      <c r="CG1" s="90"/>
      <c r="CH1" s="90"/>
      <c r="CI1" s="92"/>
    </row>
    <row r="2" spans="1:87" x14ac:dyDescent="0.4">
      <c r="A2" s="94"/>
      <c r="B2" s="96"/>
      <c r="C2" s="96"/>
      <c r="D2" s="96"/>
      <c r="E2" s="9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0" t="str">
        <f>$F$1</f>
        <v>だいち</v>
      </c>
      <c r="V2" s="81" t="str">
        <f>$K$1</f>
        <v>たかの</v>
      </c>
      <c r="W2" s="16" t="str">
        <f>$P$1</f>
        <v>れんたろう</v>
      </c>
      <c r="Y2" s="77" t="s">
        <v>23</v>
      </c>
      <c r="Z2" s="82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99" t="s">
        <v>20</v>
      </c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  <c r="AT2" s="77" t="s">
        <v>23</v>
      </c>
      <c r="AU2" s="82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99" t="s">
        <v>20</v>
      </c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77" t="s">
        <v>23</v>
      </c>
      <c r="BP2" s="82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99" t="s">
        <v>20</v>
      </c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99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104400</v>
      </c>
      <c r="K3" s="7"/>
      <c r="L3" s="23"/>
      <c r="M3" s="23"/>
      <c r="N3" s="47"/>
      <c r="O3" s="20">
        <v>115700</v>
      </c>
      <c r="P3" s="7"/>
      <c r="Q3" s="23"/>
      <c r="R3" s="23"/>
      <c r="S3" s="47"/>
      <c r="T3" s="20">
        <v>79900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152</v>
      </c>
      <c r="F4" s="8"/>
      <c r="G4" s="9"/>
      <c r="H4" s="9"/>
      <c r="I4" s="48"/>
      <c r="J4" s="21">
        <f t="shared" ref="J4:J30" si="0">IF(COUNTA($F4,$K4,$P4)&gt;0,J3+SUM(G4:I4),"")</f>
        <v>104400</v>
      </c>
      <c r="K4" s="8" t="s">
        <v>145</v>
      </c>
      <c r="L4" s="9">
        <v>-8000</v>
      </c>
      <c r="M4" s="9">
        <v>-1000</v>
      </c>
      <c r="N4" s="48">
        <v>0</v>
      </c>
      <c r="O4" s="21">
        <f t="shared" ref="O4:O30" si="1">IF(COUNTA($F4,$K4,$P4)&gt;0,O3+SUM(L4:N4),"")</f>
        <v>106700</v>
      </c>
      <c r="P4" s="8" t="s">
        <v>146</v>
      </c>
      <c r="Q4" s="9">
        <v>8000</v>
      </c>
      <c r="R4" s="9">
        <v>1000</v>
      </c>
      <c r="S4" s="48">
        <v>0</v>
      </c>
      <c r="T4" s="21">
        <f t="shared" ref="T4:T30" si="2">IF(COUNTA($F4,$K4,$P4)&gt;0,T3+SUM(Q4:S4),"")</f>
        <v>88900</v>
      </c>
      <c r="U4" s="53">
        <f t="shared" ref="U4:U30" si="3">IF($J4="","",ROUND(($J4-$J$3)/1000,1))</f>
        <v>0</v>
      </c>
      <c r="V4" s="54">
        <f t="shared" ref="V4:V30" si="4">IF($O4="","",ROUND(($O4-$O$3)/1000,1))</f>
        <v>-9</v>
      </c>
      <c r="W4" s="55">
        <f t="shared" ref="W4:W30" si="5">IF($T4="","",ROUND(($T4-$T$3)/1000,1))</f>
        <v>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154</v>
      </c>
      <c r="BU4" s="40" t="s">
        <v>144</v>
      </c>
      <c r="BV4" s="41" t="s">
        <v>83</v>
      </c>
      <c r="BW4" s="41" t="s">
        <v>79</v>
      </c>
      <c r="BX4" s="41" t="s">
        <v>79</v>
      </c>
      <c r="BY4" s="41" t="s">
        <v>80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6">IF($E5="","",IF(AND(B4=3,B5=1),_xlfn.SWITCH(A4,"東","南","南","西","西","北","北","東"),A4))</f>
        <v>東</v>
      </c>
      <c r="B5" s="18">
        <f t="shared" ref="B5:B30" si="7">IF($E5="","",IF($E4=$E5,B4,IF(B4=3,1,B4+1)))</f>
        <v>2</v>
      </c>
      <c r="C5" s="18">
        <f t="shared" ref="C5:C30" si="8">IF($E5="","",IF($F4="チョンボ",C4,IF(OR($E4=$E5,$F4="流局"),C4+1,0)))</f>
        <v>0</v>
      </c>
      <c r="D5" s="18">
        <f t="shared" ref="D5:D30" si="9">IF($E5="","",IF(OR($F4="流局",$F4="チョンボ"),D4+($H4+$M4+$R4)/-1000,0))</f>
        <v>0</v>
      </c>
      <c r="E5" s="4" t="s">
        <v>140</v>
      </c>
      <c r="F5" s="8" t="s">
        <v>143</v>
      </c>
      <c r="G5" s="9">
        <v>5300</v>
      </c>
      <c r="H5" s="9"/>
      <c r="I5" s="48">
        <v>0</v>
      </c>
      <c r="J5" s="21">
        <f t="shared" si="0"/>
        <v>109700</v>
      </c>
      <c r="K5" s="8" t="s">
        <v>142</v>
      </c>
      <c r="L5" s="9">
        <v>-2000</v>
      </c>
      <c r="M5" s="9"/>
      <c r="N5" s="48">
        <v>0</v>
      </c>
      <c r="O5" s="21">
        <f t="shared" si="1"/>
        <v>104700</v>
      </c>
      <c r="P5" s="8" t="s">
        <v>142</v>
      </c>
      <c r="Q5" s="9">
        <v>-3300</v>
      </c>
      <c r="R5" s="9"/>
      <c r="S5" s="48">
        <v>0</v>
      </c>
      <c r="T5" s="21">
        <f t="shared" si="2"/>
        <v>85600</v>
      </c>
      <c r="U5" s="53">
        <f t="shared" si="3"/>
        <v>5.3</v>
      </c>
      <c r="V5" s="54">
        <f t="shared" si="4"/>
        <v>-11</v>
      </c>
      <c r="W5" s="55">
        <f t="shared" si="5"/>
        <v>5.7</v>
      </c>
      <c r="Y5" s="8"/>
      <c r="Z5" s="34"/>
      <c r="AA5" s="26">
        <v>1</v>
      </c>
      <c r="AB5" s="26"/>
      <c r="AC5" s="26">
        <v>4</v>
      </c>
      <c r="AD5" s="30">
        <v>20</v>
      </c>
      <c r="AE5" s="40" t="s">
        <v>144</v>
      </c>
      <c r="AF5" s="41" t="s">
        <v>82</v>
      </c>
      <c r="AG5" s="41" t="s">
        <v>83</v>
      </c>
      <c r="AH5" s="41" t="s">
        <v>147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6"/>
        <v>東</v>
      </c>
      <c r="B6" s="18">
        <f t="shared" si="7"/>
        <v>3</v>
      </c>
      <c r="C6" s="18">
        <f t="shared" si="8"/>
        <v>0</v>
      </c>
      <c r="D6" s="18">
        <f t="shared" si="9"/>
        <v>0</v>
      </c>
      <c r="E6" s="4" t="s">
        <v>155</v>
      </c>
      <c r="F6" s="8" t="s">
        <v>145</v>
      </c>
      <c r="G6" s="9">
        <v>-2000</v>
      </c>
      <c r="H6" s="9"/>
      <c r="I6" s="48">
        <v>0</v>
      </c>
      <c r="J6" s="21">
        <f t="shared" si="0"/>
        <v>107700</v>
      </c>
      <c r="K6" s="8"/>
      <c r="L6" s="9"/>
      <c r="M6" s="9"/>
      <c r="N6" s="48"/>
      <c r="O6" s="21">
        <f t="shared" si="1"/>
        <v>104700</v>
      </c>
      <c r="P6" s="8" t="s">
        <v>146</v>
      </c>
      <c r="Q6" s="9">
        <v>2000</v>
      </c>
      <c r="R6" s="9"/>
      <c r="S6" s="48">
        <v>0</v>
      </c>
      <c r="T6" s="21">
        <f t="shared" si="2"/>
        <v>87600</v>
      </c>
      <c r="U6" s="53">
        <f t="shared" si="3"/>
        <v>3.3</v>
      </c>
      <c r="V6" s="54">
        <f t="shared" si="4"/>
        <v>-11</v>
      </c>
      <c r="W6" s="55">
        <f t="shared" si="5"/>
        <v>7.7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2</v>
      </c>
      <c r="BT6" s="30">
        <v>30</v>
      </c>
      <c r="BU6" s="40" t="s">
        <v>86</v>
      </c>
      <c r="BV6" s="41" t="s">
        <v>147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6"/>
        <v>南</v>
      </c>
      <c r="B7" s="18">
        <f t="shared" si="7"/>
        <v>1</v>
      </c>
      <c r="C7" s="18">
        <f t="shared" si="8"/>
        <v>0</v>
      </c>
      <c r="D7" s="18">
        <f t="shared" si="9"/>
        <v>0</v>
      </c>
      <c r="E7" s="4" t="s">
        <v>152</v>
      </c>
      <c r="F7" s="8" t="s">
        <v>143</v>
      </c>
      <c r="G7" s="9">
        <v>7700</v>
      </c>
      <c r="H7" s="9"/>
      <c r="I7" s="48">
        <v>0</v>
      </c>
      <c r="J7" s="21">
        <f t="shared" si="0"/>
        <v>115400</v>
      </c>
      <c r="K7" s="8" t="s">
        <v>142</v>
      </c>
      <c r="L7" s="9">
        <v>-4800</v>
      </c>
      <c r="M7" s="9"/>
      <c r="N7" s="48">
        <v>0</v>
      </c>
      <c r="O7" s="21">
        <f t="shared" si="1"/>
        <v>99900</v>
      </c>
      <c r="P7" s="8" t="s">
        <v>142</v>
      </c>
      <c r="Q7" s="9">
        <v>-2900</v>
      </c>
      <c r="R7" s="9"/>
      <c r="S7" s="48">
        <v>0</v>
      </c>
      <c r="T7" s="21">
        <f t="shared" si="2"/>
        <v>84700</v>
      </c>
      <c r="U7" s="53">
        <f t="shared" si="3"/>
        <v>11</v>
      </c>
      <c r="V7" s="54">
        <f t="shared" si="4"/>
        <v>-15.8</v>
      </c>
      <c r="W7" s="55">
        <f t="shared" si="5"/>
        <v>4.8</v>
      </c>
      <c r="Y7" s="8"/>
      <c r="Z7" s="34"/>
      <c r="AA7" s="26"/>
      <c r="AB7" s="26">
        <v>1</v>
      </c>
      <c r="AC7" s="26">
        <v>4</v>
      </c>
      <c r="AD7" s="30">
        <v>30</v>
      </c>
      <c r="AE7" s="40" t="s">
        <v>92</v>
      </c>
      <c r="AF7" s="41" t="s">
        <v>104</v>
      </c>
      <c r="AG7" s="41" t="s">
        <v>86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6"/>
        <v>南</v>
      </c>
      <c r="B8" s="18">
        <f t="shared" si="7"/>
        <v>2</v>
      </c>
      <c r="C8" s="18">
        <f t="shared" si="8"/>
        <v>0</v>
      </c>
      <c r="D8" s="18">
        <f t="shared" si="9"/>
        <v>0</v>
      </c>
      <c r="E8" s="4" t="s">
        <v>140</v>
      </c>
      <c r="F8" s="8" t="s">
        <v>143</v>
      </c>
      <c r="G8" s="9">
        <v>4000</v>
      </c>
      <c r="H8" s="9">
        <v>1000</v>
      </c>
      <c r="I8" s="48">
        <v>0</v>
      </c>
      <c r="J8" s="21">
        <f t="shared" si="0"/>
        <v>120400</v>
      </c>
      <c r="K8" s="8" t="s">
        <v>142</v>
      </c>
      <c r="L8" s="9">
        <v>-1500</v>
      </c>
      <c r="M8" s="9"/>
      <c r="N8" s="48">
        <v>0</v>
      </c>
      <c r="O8" s="21">
        <f t="shared" si="1"/>
        <v>98400</v>
      </c>
      <c r="P8" s="8" t="s">
        <v>142</v>
      </c>
      <c r="Q8" s="9">
        <v>-2500</v>
      </c>
      <c r="R8" s="9">
        <v>-1000</v>
      </c>
      <c r="S8" s="48">
        <v>0</v>
      </c>
      <c r="T8" s="21">
        <f t="shared" si="2"/>
        <v>81200</v>
      </c>
      <c r="U8" s="53">
        <f t="shared" si="3"/>
        <v>16</v>
      </c>
      <c r="V8" s="54">
        <f t="shared" si="4"/>
        <v>-17.3</v>
      </c>
      <c r="W8" s="55">
        <f t="shared" si="5"/>
        <v>1.3</v>
      </c>
      <c r="Y8" s="8"/>
      <c r="Z8" s="34"/>
      <c r="AA8" s="26"/>
      <c r="AB8" s="26">
        <v>1</v>
      </c>
      <c r="AC8" s="26">
        <v>3</v>
      </c>
      <c r="AD8" s="30">
        <v>30</v>
      </c>
      <c r="AE8" s="40" t="s">
        <v>104</v>
      </c>
      <c r="AF8" s="41" t="s">
        <v>86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6"/>
        <v>南</v>
      </c>
      <c r="B9" s="18">
        <f t="shared" si="7"/>
        <v>3</v>
      </c>
      <c r="C9" s="18">
        <f t="shared" si="8"/>
        <v>0</v>
      </c>
      <c r="D9" s="18">
        <f t="shared" si="9"/>
        <v>0</v>
      </c>
      <c r="E9" s="4" t="s">
        <v>155</v>
      </c>
      <c r="F9" s="8" t="s">
        <v>145</v>
      </c>
      <c r="G9" s="9">
        <v>-8000</v>
      </c>
      <c r="H9" s="9"/>
      <c r="I9" s="48">
        <v>0</v>
      </c>
      <c r="J9" s="21">
        <f t="shared" si="0"/>
        <v>112400</v>
      </c>
      <c r="K9" s="8"/>
      <c r="L9" s="9"/>
      <c r="M9" s="9"/>
      <c r="N9" s="48"/>
      <c r="O9" s="21">
        <f t="shared" si="1"/>
        <v>98400</v>
      </c>
      <c r="P9" s="8" t="s">
        <v>146</v>
      </c>
      <c r="Q9" s="9">
        <v>8000</v>
      </c>
      <c r="R9" s="9"/>
      <c r="S9" s="48">
        <v>0</v>
      </c>
      <c r="T9" s="21">
        <f t="shared" si="2"/>
        <v>89200</v>
      </c>
      <c r="U9" s="53">
        <f t="shared" si="3"/>
        <v>8</v>
      </c>
      <c r="V9" s="54">
        <f t="shared" si="4"/>
        <v>-17.3</v>
      </c>
      <c r="W9" s="55">
        <f t="shared" si="5"/>
        <v>9.3000000000000007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4</v>
      </c>
      <c r="BT9" s="30">
        <v>40</v>
      </c>
      <c r="BU9" s="40" t="s">
        <v>104</v>
      </c>
      <c r="BV9" s="41" t="s">
        <v>86</v>
      </c>
      <c r="BW9" s="41" t="s">
        <v>86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6"/>
        <v/>
      </c>
      <c r="B10" s="18" t="str">
        <f t="shared" si="7"/>
        <v/>
      </c>
      <c r="C10" s="18" t="str">
        <f t="shared" si="8"/>
        <v/>
      </c>
      <c r="D10" s="18" t="str">
        <f t="shared" si="9"/>
        <v/>
      </c>
      <c r="E10" s="4"/>
      <c r="F10" s="8"/>
      <c r="G10" s="9"/>
      <c r="H10" s="9"/>
      <c r="I10" s="48"/>
      <c r="J10" s="21" t="str">
        <f t="shared" si="0"/>
        <v/>
      </c>
      <c r="K10" s="8"/>
      <c r="L10" s="9"/>
      <c r="M10" s="9"/>
      <c r="N10" s="48"/>
      <c r="O10" s="21" t="str">
        <f t="shared" si="1"/>
        <v/>
      </c>
      <c r="P10" s="8"/>
      <c r="Q10" s="9"/>
      <c r="R10" s="9"/>
      <c r="S10" s="48"/>
      <c r="T10" s="21" t="str">
        <f t="shared" si="2"/>
        <v/>
      </c>
      <c r="U10" s="53" t="str">
        <f t="shared" si="3"/>
        <v/>
      </c>
      <c r="V10" s="54" t="str">
        <f t="shared" si="4"/>
        <v/>
      </c>
      <c r="W10" s="55" t="str">
        <f t="shared" si="5"/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6"/>
        <v/>
      </c>
      <c r="B11" s="18" t="str">
        <f t="shared" si="7"/>
        <v/>
      </c>
      <c r="C11" s="18" t="str">
        <f t="shared" si="8"/>
        <v/>
      </c>
      <c r="D11" s="18" t="str">
        <f t="shared" si="9"/>
        <v/>
      </c>
      <c r="E11" s="4"/>
      <c r="F11" s="8"/>
      <c r="G11" s="9"/>
      <c r="H11" s="9"/>
      <c r="I11" s="48"/>
      <c r="J11" s="21" t="str">
        <f t="shared" si="0"/>
        <v/>
      </c>
      <c r="K11" s="8"/>
      <c r="L11" s="9"/>
      <c r="M11" s="9"/>
      <c r="N11" s="48"/>
      <c r="O11" s="21" t="str">
        <f t="shared" si="1"/>
        <v/>
      </c>
      <c r="P11" s="8"/>
      <c r="Q11" s="9"/>
      <c r="R11" s="9"/>
      <c r="S11" s="48"/>
      <c r="T11" s="21" t="str">
        <f t="shared" si="2"/>
        <v/>
      </c>
      <c r="U11" s="53" t="str">
        <f t="shared" si="3"/>
        <v/>
      </c>
      <c r="V11" s="54" t="str">
        <f t="shared" si="4"/>
        <v/>
      </c>
      <c r="W11" s="55" t="str">
        <f t="shared" si="5"/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6"/>
        <v/>
      </c>
      <c r="B12" s="18" t="str">
        <f t="shared" si="7"/>
        <v/>
      </c>
      <c r="C12" s="18" t="str">
        <f t="shared" si="8"/>
        <v/>
      </c>
      <c r="D12" s="18" t="str">
        <f t="shared" si="9"/>
        <v/>
      </c>
      <c r="E12" s="4"/>
      <c r="F12" s="8"/>
      <c r="G12" s="9"/>
      <c r="H12" s="9"/>
      <c r="I12" s="48"/>
      <c r="J12" s="21" t="str">
        <f t="shared" si="0"/>
        <v/>
      </c>
      <c r="K12" s="8"/>
      <c r="L12" s="9"/>
      <c r="M12" s="9"/>
      <c r="N12" s="48"/>
      <c r="O12" s="21" t="str">
        <f t="shared" si="1"/>
        <v/>
      </c>
      <c r="P12" s="8"/>
      <c r="Q12" s="9"/>
      <c r="R12" s="9"/>
      <c r="S12" s="48"/>
      <c r="T12" s="21" t="str">
        <f t="shared" si="2"/>
        <v/>
      </c>
      <c r="U12" s="53" t="str">
        <f t="shared" si="3"/>
        <v/>
      </c>
      <c r="V12" s="54" t="str">
        <f t="shared" si="4"/>
        <v/>
      </c>
      <c r="W12" s="55" t="str">
        <f t="shared" si="5"/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6"/>
        <v/>
      </c>
      <c r="B13" s="18" t="str">
        <f t="shared" si="7"/>
        <v/>
      </c>
      <c r="C13" s="18" t="str">
        <f t="shared" si="8"/>
        <v/>
      </c>
      <c r="D13" s="18" t="str">
        <f t="shared" si="9"/>
        <v/>
      </c>
      <c r="E13" s="4"/>
      <c r="F13" s="8"/>
      <c r="G13" s="9"/>
      <c r="H13" s="9"/>
      <c r="I13" s="48"/>
      <c r="J13" s="21" t="str">
        <f t="shared" si="0"/>
        <v/>
      </c>
      <c r="K13" s="8"/>
      <c r="L13" s="9"/>
      <c r="M13" s="9"/>
      <c r="N13" s="48"/>
      <c r="O13" s="21" t="str">
        <f t="shared" si="1"/>
        <v/>
      </c>
      <c r="P13" s="8"/>
      <c r="Q13" s="9"/>
      <c r="R13" s="9"/>
      <c r="S13" s="48"/>
      <c r="T13" s="21" t="str">
        <f t="shared" si="2"/>
        <v/>
      </c>
      <c r="U13" s="53" t="str">
        <f t="shared" si="3"/>
        <v/>
      </c>
      <c r="V13" s="54" t="str">
        <f t="shared" si="4"/>
        <v/>
      </c>
      <c r="W13" s="55" t="str">
        <f t="shared" si="5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6"/>
        <v/>
      </c>
      <c r="B14" s="18" t="str">
        <f t="shared" si="7"/>
        <v/>
      </c>
      <c r="C14" s="18" t="str">
        <f t="shared" si="8"/>
        <v/>
      </c>
      <c r="D14" s="18" t="str">
        <f t="shared" si="9"/>
        <v/>
      </c>
      <c r="E14" s="4"/>
      <c r="F14" s="8"/>
      <c r="G14" s="9"/>
      <c r="H14" s="9"/>
      <c r="I14" s="48"/>
      <c r="J14" s="21" t="str">
        <f t="shared" si="0"/>
        <v/>
      </c>
      <c r="K14" s="8"/>
      <c r="L14" s="9"/>
      <c r="M14" s="9"/>
      <c r="N14" s="48"/>
      <c r="O14" s="21" t="str">
        <f t="shared" si="1"/>
        <v/>
      </c>
      <c r="P14" s="8"/>
      <c r="Q14" s="9"/>
      <c r="R14" s="9"/>
      <c r="S14" s="48"/>
      <c r="T14" s="21" t="str">
        <f t="shared" si="2"/>
        <v/>
      </c>
      <c r="U14" s="53" t="str">
        <f t="shared" si="3"/>
        <v/>
      </c>
      <c r="V14" s="54" t="str">
        <f t="shared" si="4"/>
        <v/>
      </c>
      <c r="W14" s="55" t="str">
        <f t="shared" si="5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6"/>
        <v/>
      </c>
      <c r="B15" s="18" t="str">
        <f t="shared" si="7"/>
        <v/>
      </c>
      <c r="C15" s="18" t="str">
        <f t="shared" si="8"/>
        <v/>
      </c>
      <c r="D15" s="18" t="str">
        <f t="shared" si="9"/>
        <v/>
      </c>
      <c r="E15" s="4"/>
      <c r="F15" s="8"/>
      <c r="G15" s="9"/>
      <c r="H15" s="9"/>
      <c r="I15" s="48"/>
      <c r="J15" s="21" t="str">
        <f t="shared" si="0"/>
        <v/>
      </c>
      <c r="K15" s="8"/>
      <c r="L15" s="9"/>
      <c r="M15" s="9"/>
      <c r="N15" s="48"/>
      <c r="O15" s="21" t="str">
        <f t="shared" si="1"/>
        <v/>
      </c>
      <c r="P15" s="8"/>
      <c r="Q15" s="9"/>
      <c r="R15" s="9"/>
      <c r="S15" s="48"/>
      <c r="T15" s="21" t="str">
        <f t="shared" si="2"/>
        <v/>
      </c>
      <c r="U15" s="53" t="str">
        <f t="shared" si="3"/>
        <v/>
      </c>
      <c r="V15" s="54" t="str">
        <f t="shared" si="4"/>
        <v/>
      </c>
      <c r="W15" s="55" t="str">
        <f t="shared" si="5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6"/>
        <v/>
      </c>
      <c r="B16" s="18" t="str">
        <f t="shared" si="7"/>
        <v/>
      </c>
      <c r="C16" s="18" t="str">
        <f t="shared" si="8"/>
        <v/>
      </c>
      <c r="D16" s="18" t="str">
        <f t="shared" si="9"/>
        <v/>
      </c>
      <c r="E16" s="4"/>
      <c r="F16" s="8"/>
      <c r="G16" s="9"/>
      <c r="H16" s="9"/>
      <c r="I16" s="48"/>
      <c r="J16" s="21" t="str">
        <f t="shared" si="0"/>
        <v/>
      </c>
      <c r="K16" s="8"/>
      <c r="L16" s="9"/>
      <c r="M16" s="9"/>
      <c r="N16" s="48"/>
      <c r="O16" s="21" t="str">
        <f t="shared" si="1"/>
        <v/>
      </c>
      <c r="P16" s="8"/>
      <c r="Q16" s="9"/>
      <c r="R16" s="9"/>
      <c r="S16" s="48"/>
      <c r="T16" s="21" t="str">
        <f t="shared" si="2"/>
        <v/>
      </c>
      <c r="U16" s="53" t="str">
        <f t="shared" si="3"/>
        <v/>
      </c>
      <c r="V16" s="54" t="str">
        <f t="shared" si="4"/>
        <v/>
      </c>
      <c r="W16" s="55" t="str">
        <f t="shared" si="5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6"/>
        <v/>
      </c>
      <c r="B17" s="18" t="str">
        <f t="shared" si="7"/>
        <v/>
      </c>
      <c r="C17" s="18" t="str">
        <f t="shared" si="8"/>
        <v/>
      </c>
      <c r="D17" s="18" t="str">
        <f t="shared" si="9"/>
        <v/>
      </c>
      <c r="E17" s="4"/>
      <c r="F17" s="8"/>
      <c r="G17" s="9"/>
      <c r="H17" s="9"/>
      <c r="I17" s="48"/>
      <c r="J17" s="21" t="str">
        <f t="shared" si="0"/>
        <v/>
      </c>
      <c r="K17" s="8"/>
      <c r="L17" s="9"/>
      <c r="M17" s="9"/>
      <c r="N17" s="48"/>
      <c r="O17" s="21" t="str">
        <f t="shared" si="1"/>
        <v/>
      </c>
      <c r="P17" s="8"/>
      <c r="Q17" s="9"/>
      <c r="R17" s="9"/>
      <c r="S17" s="48"/>
      <c r="T17" s="21" t="str">
        <f t="shared" si="2"/>
        <v/>
      </c>
      <c r="U17" s="53" t="str">
        <f t="shared" si="3"/>
        <v/>
      </c>
      <c r="V17" s="54" t="str">
        <f t="shared" si="4"/>
        <v/>
      </c>
      <c r="W17" s="55" t="str">
        <f t="shared" si="5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6"/>
        <v/>
      </c>
      <c r="B18" s="18" t="str">
        <f t="shared" si="7"/>
        <v/>
      </c>
      <c r="C18" s="18" t="str">
        <f t="shared" si="8"/>
        <v/>
      </c>
      <c r="D18" s="18" t="str">
        <f t="shared" si="9"/>
        <v/>
      </c>
      <c r="E18" s="4"/>
      <c r="F18" s="8"/>
      <c r="G18" s="9"/>
      <c r="H18" s="9"/>
      <c r="I18" s="48"/>
      <c r="J18" s="21" t="str">
        <f t="shared" si="0"/>
        <v/>
      </c>
      <c r="K18" s="8"/>
      <c r="L18" s="9"/>
      <c r="M18" s="9"/>
      <c r="N18" s="48"/>
      <c r="O18" s="21" t="str">
        <f t="shared" si="1"/>
        <v/>
      </c>
      <c r="P18" s="8"/>
      <c r="Q18" s="9"/>
      <c r="R18" s="9"/>
      <c r="S18" s="48"/>
      <c r="T18" s="21" t="str">
        <f t="shared" si="2"/>
        <v/>
      </c>
      <c r="U18" s="53" t="str">
        <f t="shared" si="3"/>
        <v/>
      </c>
      <c r="V18" s="54" t="str">
        <f t="shared" si="4"/>
        <v/>
      </c>
      <c r="W18" s="55" t="str">
        <f t="shared" si="5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6"/>
        <v/>
      </c>
      <c r="B19" s="18" t="str">
        <f t="shared" si="7"/>
        <v/>
      </c>
      <c r="C19" s="18" t="str">
        <f t="shared" si="8"/>
        <v/>
      </c>
      <c r="D19" s="18" t="str">
        <f t="shared" si="9"/>
        <v/>
      </c>
      <c r="E19" s="4"/>
      <c r="F19" s="8"/>
      <c r="G19" s="9"/>
      <c r="H19" s="9"/>
      <c r="I19" s="48"/>
      <c r="J19" s="21" t="str">
        <f t="shared" si="0"/>
        <v/>
      </c>
      <c r="K19" s="8"/>
      <c r="L19" s="9"/>
      <c r="M19" s="9"/>
      <c r="N19" s="48"/>
      <c r="O19" s="21" t="str">
        <f t="shared" si="1"/>
        <v/>
      </c>
      <c r="P19" s="8"/>
      <c r="Q19" s="9"/>
      <c r="R19" s="9"/>
      <c r="S19" s="48"/>
      <c r="T19" s="21" t="str">
        <f t="shared" si="2"/>
        <v/>
      </c>
      <c r="U19" s="53" t="str">
        <f t="shared" si="3"/>
        <v/>
      </c>
      <c r="V19" s="54" t="str">
        <f t="shared" si="4"/>
        <v/>
      </c>
      <c r="W19" s="55" t="str">
        <f t="shared" si="5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6"/>
        <v/>
      </c>
      <c r="B20" s="18" t="str">
        <f t="shared" si="7"/>
        <v/>
      </c>
      <c r="C20" s="18" t="str">
        <f t="shared" si="8"/>
        <v/>
      </c>
      <c r="D20" s="18" t="str">
        <f t="shared" si="9"/>
        <v/>
      </c>
      <c r="E20" s="4"/>
      <c r="F20" s="8"/>
      <c r="G20" s="9"/>
      <c r="H20" s="9"/>
      <c r="I20" s="48"/>
      <c r="J20" s="21" t="str">
        <f t="shared" si="0"/>
        <v/>
      </c>
      <c r="K20" s="8"/>
      <c r="L20" s="9"/>
      <c r="M20" s="9"/>
      <c r="N20" s="48"/>
      <c r="O20" s="21" t="str">
        <f t="shared" si="1"/>
        <v/>
      </c>
      <c r="P20" s="8"/>
      <c r="Q20" s="9"/>
      <c r="R20" s="9"/>
      <c r="S20" s="48"/>
      <c r="T20" s="21" t="str">
        <f t="shared" si="2"/>
        <v/>
      </c>
      <c r="U20" s="53" t="str">
        <f t="shared" si="3"/>
        <v/>
      </c>
      <c r="V20" s="54" t="str">
        <f t="shared" si="4"/>
        <v/>
      </c>
      <c r="W20" s="55" t="str">
        <f t="shared" si="5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6"/>
        <v/>
      </c>
      <c r="B21" s="18" t="str">
        <f t="shared" si="7"/>
        <v/>
      </c>
      <c r="C21" s="18" t="str">
        <f t="shared" si="8"/>
        <v/>
      </c>
      <c r="D21" s="18" t="str">
        <f t="shared" si="9"/>
        <v/>
      </c>
      <c r="E21" s="4"/>
      <c r="F21" s="8"/>
      <c r="G21" s="9"/>
      <c r="H21" s="9"/>
      <c r="I21" s="48"/>
      <c r="J21" s="21" t="str">
        <f t="shared" si="0"/>
        <v/>
      </c>
      <c r="K21" s="8"/>
      <c r="L21" s="9"/>
      <c r="M21" s="9"/>
      <c r="N21" s="48"/>
      <c r="O21" s="21" t="str">
        <f t="shared" si="1"/>
        <v/>
      </c>
      <c r="P21" s="8"/>
      <c r="Q21" s="9"/>
      <c r="R21" s="9"/>
      <c r="S21" s="48"/>
      <c r="T21" s="21" t="str">
        <f t="shared" si="2"/>
        <v/>
      </c>
      <c r="U21" s="53" t="str">
        <f t="shared" si="3"/>
        <v/>
      </c>
      <c r="V21" s="54" t="str">
        <f t="shared" si="4"/>
        <v/>
      </c>
      <c r="W21" s="55" t="str">
        <f t="shared" si="5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6"/>
        <v/>
      </c>
      <c r="B22" s="18" t="str">
        <f t="shared" si="7"/>
        <v/>
      </c>
      <c r="C22" s="18" t="str">
        <f t="shared" si="8"/>
        <v/>
      </c>
      <c r="D22" s="18" t="str">
        <f t="shared" si="9"/>
        <v/>
      </c>
      <c r="E22" s="4"/>
      <c r="F22" s="8"/>
      <c r="G22" s="9"/>
      <c r="H22" s="9"/>
      <c r="I22" s="48"/>
      <c r="J22" s="21" t="str">
        <f t="shared" si="0"/>
        <v/>
      </c>
      <c r="K22" s="8"/>
      <c r="L22" s="9"/>
      <c r="M22" s="9"/>
      <c r="N22" s="48"/>
      <c r="O22" s="21" t="str">
        <f t="shared" si="1"/>
        <v/>
      </c>
      <c r="P22" s="8"/>
      <c r="Q22" s="9"/>
      <c r="R22" s="9"/>
      <c r="S22" s="48"/>
      <c r="T22" s="21" t="str">
        <f t="shared" si="2"/>
        <v/>
      </c>
      <c r="U22" s="53" t="str">
        <f t="shared" si="3"/>
        <v/>
      </c>
      <c r="V22" s="54" t="str">
        <f t="shared" si="4"/>
        <v/>
      </c>
      <c r="W22" s="55" t="str">
        <f t="shared" si="5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6"/>
        <v/>
      </c>
      <c r="B23" s="18" t="str">
        <f t="shared" si="7"/>
        <v/>
      </c>
      <c r="C23" s="18" t="str">
        <f t="shared" si="8"/>
        <v/>
      </c>
      <c r="D23" s="18" t="str">
        <f t="shared" si="9"/>
        <v/>
      </c>
      <c r="E23" s="4"/>
      <c r="F23" s="8"/>
      <c r="G23" s="9"/>
      <c r="H23" s="9"/>
      <c r="I23" s="48"/>
      <c r="J23" s="21" t="str">
        <f t="shared" si="0"/>
        <v/>
      </c>
      <c r="K23" s="8"/>
      <c r="L23" s="9"/>
      <c r="M23" s="9"/>
      <c r="N23" s="48"/>
      <c r="O23" s="21" t="str">
        <f t="shared" si="1"/>
        <v/>
      </c>
      <c r="P23" s="8"/>
      <c r="Q23" s="9"/>
      <c r="R23" s="9"/>
      <c r="S23" s="48"/>
      <c r="T23" s="21" t="str">
        <f t="shared" si="2"/>
        <v/>
      </c>
      <c r="U23" s="53" t="str">
        <f t="shared" si="3"/>
        <v/>
      </c>
      <c r="V23" s="54" t="str">
        <f t="shared" si="4"/>
        <v/>
      </c>
      <c r="W23" s="55" t="str">
        <f t="shared" si="5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6"/>
        <v/>
      </c>
      <c r="B24" s="18" t="str">
        <f t="shared" si="7"/>
        <v/>
      </c>
      <c r="C24" s="18" t="str">
        <f t="shared" si="8"/>
        <v/>
      </c>
      <c r="D24" s="18" t="str">
        <f t="shared" si="9"/>
        <v/>
      </c>
      <c r="E24" s="4"/>
      <c r="F24" s="8"/>
      <c r="G24" s="9"/>
      <c r="H24" s="9"/>
      <c r="I24" s="48"/>
      <c r="J24" s="21" t="str">
        <f t="shared" si="0"/>
        <v/>
      </c>
      <c r="K24" s="8"/>
      <c r="L24" s="9"/>
      <c r="M24" s="9"/>
      <c r="N24" s="48"/>
      <c r="O24" s="21" t="str">
        <f t="shared" si="1"/>
        <v/>
      </c>
      <c r="P24" s="8"/>
      <c r="Q24" s="9"/>
      <c r="R24" s="9"/>
      <c r="S24" s="48"/>
      <c r="T24" s="21" t="str">
        <f t="shared" si="2"/>
        <v/>
      </c>
      <c r="U24" s="53" t="str">
        <f t="shared" si="3"/>
        <v/>
      </c>
      <c r="V24" s="54" t="str">
        <f t="shared" si="4"/>
        <v/>
      </c>
      <c r="W24" s="55" t="str">
        <f t="shared" si="5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6"/>
        <v/>
      </c>
      <c r="B25" s="18" t="str">
        <f t="shared" si="7"/>
        <v/>
      </c>
      <c r="C25" s="18" t="str">
        <f t="shared" si="8"/>
        <v/>
      </c>
      <c r="D25" s="18" t="str">
        <f t="shared" si="9"/>
        <v/>
      </c>
      <c r="E25" s="4"/>
      <c r="F25" s="8"/>
      <c r="G25" s="9"/>
      <c r="H25" s="9"/>
      <c r="I25" s="48"/>
      <c r="J25" s="21" t="str">
        <f t="shared" si="0"/>
        <v/>
      </c>
      <c r="K25" s="8"/>
      <c r="L25" s="9"/>
      <c r="M25" s="9"/>
      <c r="N25" s="48"/>
      <c r="O25" s="21" t="str">
        <f t="shared" si="1"/>
        <v/>
      </c>
      <c r="P25" s="8"/>
      <c r="Q25" s="9"/>
      <c r="R25" s="9"/>
      <c r="S25" s="48"/>
      <c r="T25" s="21" t="str">
        <f t="shared" si="2"/>
        <v/>
      </c>
      <c r="U25" s="53" t="str">
        <f t="shared" si="3"/>
        <v/>
      </c>
      <c r="V25" s="54" t="str">
        <f t="shared" si="4"/>
        <v/>
      </c>
      <c r="W25" s="55" t="str">
        <f t="shared" si="5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6"/>
        <v/>
      </c>
      <c r="B26" s="18" t="str">
        <f t="shared" si="7"/>
        <v/>
      </c>
      <c r="C26" s="18" t="str">
        <f t="shared" si="8"/>
        <v/>
      </c>
      <c r="D26" s="18" t="str">
        <f t="shared" si="9"/>
        <v/>
      </c>
      <c r="E26" s="4"/>
      <c r="F26" s="8"/>
      <c r="G26" s="9"/>
      <c r="H26" s="9"/>
      <c r="I26" s="48"/>
      <c r="J26" s="21" t="str">
        <f t="shared" si="0"/>
        <v/>
      </c>
      <c r="K26" s="8"/>
      <c r="L26" s="9"/>
      <c r="M26" s="9"/>
      <c r="N26" s="48"/>
      <c r="O26" s="21" t="str">
        <f t="shared" si="1"/>
        <v/>
      </c>
      <c r="P26" s="8"/>
      <c r="Q26" s="9"/>
      <c r="R26" s="9"/>
      <c r="S26" s="48"/>
      <c r="T26" s="21" t="str">
        <f t="shared" si="2"/>
        <v/>
      </c>
      <c r="U26" s="53" t="str">
        <f t="shared" si="3"/>
        <v/>
      </c>
      <c r="V26" s="54" t="str">
        <f t="shared" si="4"/>
        <v/>
      </c>
      <c r="W26" s="55" t="str">
        <f t="shared" si="5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6"/>
        <v/>
      </c>
      <c r="B27" s="18" t="str">
        <f t="shared" si="7"/>
        <v/>
      </c>
      <c r="C27" s="18" t="str">
        <f t="shared" si="8"/>
        <v/>
      </c>
      <c r="D27" s="18" t="str">
        <f t="shared" si="9"/>
        <v/>
      </c>
      <c r="E27" s="4"/>
      <c r="F27" s="8"/>
      <c r="G27" s="9"/>
      <c r="H27" s="9"/>
      <c r="I27" s="48"/>
      <c r="J27" s="21" t="str">
        <f t="shared" si="0"/>
        <v/>
      </c>
      <c r="K27" s="8"/>
      <c r="L27" s="9"/>
      <c r="M27" s="9"/>
      <c r="N27" s="48"/>
      <c r="O27" s="21" t="str">
        <f t="shared" si="1"/>
        <v/>
      </c>
      <c r="P27" s="8"/>
      <c r="Q27" s="9"/>
      <c r="R27" s="9"/>
      <c r="S27" s="48"/>
      <c r="T27" s="21" t="str">
        <f t="shared" si="2"/>
        <v/>
      </c>
      <c r="U27" s="53" t="str">
        <f t="shared" si="3"/>
        <v/>
      </c>
      <c r="V27" s="54" t="str">
        <f t="shared" si="4"/>
        <v/>
      </c>
      <c r="W27" s="55" t="str">
        <f t="shared" si="5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6"/>
        <v/>
      </c>
      <c r="B28" s="18" t="str">
        <f t="shared" si="7"/>
        <v/>
      </c>
      <c r="C28" s="18" t="str">
        <f t="shared" si="8"/>
        <v/>
      </c>
      <c r="D28" s="18" t="str">
        <f t="shared" si="9"/>
        <v/>
      </c>
      <c r="E28" s="4"/>
      <c r="F28" s="8"/>
      <c r="G28" s="9"/>
      <c r="H28" s="9"/>
      <c r="I28" s="48"/>
      <c r="J28" s="21" t="str">
        <f t="shared" si="0"/>
        <v/>
      </c>
      <c r="K28" s="8"/>
      <c r="L28" s="9"/>
      <c r="M28" s="9"/>
      <c r="N28" s="48"/>
      <c r="O28" s="21" t="str">
        <f t="shared" si="1"/>
        <v/>
      </c>
      <c r="P28" s="8"/>
      <c r="Q28" s="9"/>
      <c r="R28" s="9"/>
      <c r="S28" s="48"/>
      <c r="T28" s="21" t="str">
        <f t="shared" si="2"/>
        <v/>
      </c>
      <c r="U28" s="53" t="str">
        <f t="shared" si="3"/>
        <v/>
      </c>
      <c r="V28" s="54" t="str">
        <f t="shared" si="4"/>
        <v/>
      </c>
      <c r="W28" s="55" t="str">
        <f t="shared" si="5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6"/>
        <v/>
      </c>
      <c r="B29" s="18" t="str">
        <f t="shared" si="7"/>
        <v/>
      </c>
      <c r="C29" s="18" t="str">
        <f t="shared" si="8"/>
        <v/>
      </c>
      <c r="D29" s="18" t="str">
        <f t="shared" si="9"/>
        <v/>
      </c>
      <c r="E29" s="4"/>
      <c r="F29" s="8"/>
      <c r="G29" s="9"/>
      <c r="H29" s="9"/>
      <c r="I29" s="48"/>
      <c r="J29" s="21" t="str">
        <f t="shared" si="0"/>
        <v/>
      </c>
      <c r="K29" s="8"/>
      <c r="L29" s="9"/>
      <c r="M29" s="9"/>
      <c r="N29" s="48"/>
      <c r="O29" s="21" t="str">
        <f t="shared" si="1"/>
        <v/>
      </c>
      <c r="P29" s="8"/>
      <c r="Q29" s="9"/>
      <c r="R29" s="9"/>
      <c r="S29" s="48"/>
      <c r="T29" s="21" t="str">
        <f t="shared" si="2"/>
        <v/>
      </c>
      <c r="U29" s="53" t="str">
        <f t="shared" si="3"/>
        <v/>
      </c>
      <c r="V29" s="54" t="str">
        <f t="shared" si="4"/>
        <v/>
      </c>
      <c r="W29" s="55" t="str">
        <f t="shared" si="5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6"/>
        <v/>
      </c>
      <c r="B30" s="19" t="str">
        <f t="shared" si="7"/>
        <v/>
      </c>
      <c r="C30" s="19" t="str">
        <f t="shared" si="8"/>
        <v/>
      </c>
      <c r="D30" s="19" t="str">
        <f t="shared" si="9"/>
        <v/>
      </c>
      <c r="E30" s="5"/>
      <c r="F30" s="10"/>
      <c r="G30" s="11"/>
      <c r="H30" s="11"/>
      <c r="I30" s="49"/>
      <c r="J30" s="22" t="str">
        <f t="shared" si="0"/>
        <v/>
      </c>
      <c r="K30" s="10"/>
      <c r="L30" s="11"/>
      <c r="M30" s="11"/>
      <c r="N30" s="49"/>
      <c r="O30" s="22" t="str">
        <f t="shared" si="1"/>
        <v/>
      </c>
      <c r="P30" s="10"/>
      <c r="Q30" s="11"/>
      <c r="R30" s="11"/>
      <c r="S30" s="49"/>
      <c r="T30" s="22" t="str">
        <f t="shared" si="2"/>
        <v/>
      </c>
      <c r="U30" s="56" t="str">
        <f t="shared" si="3"/>
        <v/>
      </c>
      <c r="V30" s="57" t="str">
        <f t="shared" si="4"/>
        <v/>
      </c>
      <c r="W30" s="58" t="str">
        <f t="shared" si="5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945C02B4-1169-4984-95B8-EBC3D1E22256}">
      <formula1>"ロン,ツモ,放銃,ツモ支払,流局,チョンボ"</formula1>
    </dataValidation>
    <dataValidation type="list" allowBlank="1" showInputMessage="1" showErrorMessage="1" sqref="E4:E30" xr:uid="{EB64EB8F-9122-47D1-9D7A-8FC10729D6F8}">
      <formula1>$U$2:$W$2</formula1>
    </dataValidation>
  </dataValidations>
  <pageMargins left="0.7" right="0.7" top="0.75" bottom="0.75" header="0.3" footer="0.3"/>
  <pageSetup paperSize="9" scale="28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D6641-EA97-40DE-AC1A-D916ECA018AA}">
  <sheetPr codeName="Sheet18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93" t="s">
        <v>0</v>
      </c>
      <c r="B1" s="95" t="s">
        <v>2</v>
      </c>
      <c r="C1" s="95" t="s">
        <v>1</v>
      </c>
      <c r="D1" s="95" t="s">
        <v>21</v>
      </c>
      <c r="E1" s="97" t="s">
        <v>3</v>
      </c>
      <c r="F1" s="89" t="s">
        <v>151</v>
      </c>
      <c r="G1" s="90"/>
      <c r="H1" s="90"/>
      <c r="I1" s="91"/>
      <c r="J1" s="92"/>
      <c r="K1" s="89" t="s">
        <v>166</v>
      </c>
      <c r="L1" s="90"/>
      <c r="M1" s="90"/>
      <c r="N1" s="91"/>
      <c r="O1" s="92"/>
      <c r="P1" s="89" t="s">
        <v>149</v>
      </c>
      <c r="Q1" s="90"/>
      <c r="R1" s="90"/>
      <c r="S1" s="91"/>
      <c r="T1" s="92"/>
      <c r="U1" s="89" t="s">
        <v>6</v>
      </c>
      <c r="V1" s="90"/>
      <c r="W1" s="92"/>
      <c r="Y1" s="89" t="str">
        <f>F1</f>
        <v>りくと</v>
      </c>
      <c r="Z1" s="10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2"/>
      <c r="AT1" s="89" t="str">
        <f>K1</f>
        <v>ただ</v>
      </c>
      <c r="AU1" s="100"/>
      <c r="AV1" s="90"/>
      <c r="AW1" s="90"/>
      <c r="AX1" s="90"/>
      <c r="AY1" s="90"/>
      <c r="AZ1" s="90"/>
      <c r="BA1" s="90"/>
      <c r="BB1" s="90"/>
      <c r="BC1" s="90"/>
      <c r="BD1" s="90"/>
      <c r="BE1" s="90"/>
      <c r="BF1" s="90"/>
      <c r="BG1" s="90"/>
      <c r="BH1" s="90"/>
      <c r="BI1" s="90"/>
      <c r="BJ1" s="90"/>
      <c r="BK1" s="90"/>
      <c r="BL1" s="90"/>
      <c r="BM1" s="90"/>
      <c r="BN1" s="92"/>
      <c r="BO1" s="89" t="str">
        <f>P1</f>
        <v>だいち</v>
      </c>
      <c r="BP1" s="100"/>
      <c r="BQ1" s="90"/>
      <c r="BR1" s="90"/>
      <c r="BS1" s="90"/>
      <c r="BT1" s="90"/>
      <c r="BU1" s="90"/>
      <c r="BV1" s="90"/>
      <c r="BW1" s="90"/>
      <c r="BX1" s="90"/>
      <c r="BY1" s="90"/>
      <c r="BZ1" s="90"/>
      <c r="CA1" s="90"/>
      <c r="CB1" s="90"/>
      <c r="CC1" s="90"/>
      <c r="CD1" s="90"/>
      <c r="CE1" s="90"/>
      <c r="CF1" s="90"/>
      <c r="CG1" s="90"/>
      <c r="CH1" s="90"/>
      <c r="CI1" s="92"/>
    </row>
    <row r="2" spans="1:87" x14ac:dyDescent="0.4">
      <c r="A2" s="94"/>
      <c r="B2" s="96"/>
      <c r="C2" s="96"/>
      <c r="D2" s="96"/>
      <c r="E2" s="9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0" t="str">
        <f>$F$1</f>
        <v>りくと</v>
      </c>
      <c r="V2" s="81" t="str">
        <f>$K$1</f>
        <v>ただ</v>
      </c>
      <c r="W2" s="16" t="str">
        <f>$P$1</f>
        <v>だいち</v>
      </c>
      <c r="Y2" s="77" t="s">
        <v>23</v>
      </c>
      <c r="Z2" s="82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99" t="s">
        <v>20</v>
      </c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  <c r="AT2" s="77" t="s">
        <v>23</v>
      </c>
      <c r="AU2" s="82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99" t="s">
        <v>20</v>
      </c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77" t="s">
        <v>23</v>
      </c>
      <c r="BP2" s="82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99" t="s">
        <v>20</v>
      </c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99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99200</v>
      </c>
      <c r="K3" s="7"/>
      <c r="L3" s="23"/>
      <c r="M3" s="23"/>
      <c r="N3" s="47"/>
      <c r="O3" s="20">
        <v>88400</v>
      </c>
      <c r="P3" s="7"/>
      <c r="Q3" s="23"/>
      <c r="R3" s="23"/>
      <c r="S3" s="47"/>
      <c r="T3" s="20">
        <v>112400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150</v>
      </c>
      <c r="F4" s="8" t="s">
        <v>167</v>
      </c>
      <c r="G4" s="9">
        <v>0</v>
      </c>
      <c r="H4" s="9"/>
      <c r="I4" s="48"/>
      <c r="J4" s="21">
        <f t="shared" ref="J4:J30" si="0">IF(COUNTA($F4,$K4,$P4)&gt;0,J3+SUM(G4:I4),"")</f>
        <v>99200</v>
      </c>
      <c r="K4" s="8" t="s">
        <v>167</v>
      </c>
      <c r="L4" s="9">
        <v>0</v>
      </c>
      <c r="M4" s="9"/>
      <c r="N4" s="48"/>
      <c r="O4" s="21">
        <f t="shared" ref="O4:O30" si="1">IF(COUNTA($F4,$K4,$P4)&gt;0,O3+SUM(L4:N4),"")</f>
        <v>88400</v>
      </c>
      <c r="P4" s="8" t="s">
        <v>167</v>
      </c>
      <c r="Q4" s="9">
        <v>0</v>
      </c>
      <c r="R4" s="9"/>
      <c r="S4" s="48"/>
      <c r="T4" s="21">
        <f t="shared" ref="T4:T30" si="2">IF(COUNTA($F4,$K4,$P4)&gt;0,T3+SUM(Q4:S4),"")</f>
        <v>112400</v>
      </c>
      <c r="U4" s="53">
        <f t="shared" ref="U4:U30" si="3">IF($J4="","",ROUND(($J4-$J$3)/1000,1))</f>
        <v>0</v>
      </c>
      <c r="V4" s="54">
        <f t="shared" ref="V4:V30" si="4">IF($O4="","",ROUND(($O4-$O$3)/1000,1))</f>
        <v>0</v>
      </c>
      <c r="W4" s="55">
        <f t="shared" ref="W4:W30" si="5">IF($T4="","",ROUND(($T4-$T$3)/1000,1))</f>
        <v>0</v>
      </c>
      <c r="Y4" s="8" t="s">
        <v>156</v>
      </c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156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156</v>
      </c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6">IF($E5="","",IF(AND(B4=3,B5=1),_xlfn.SWITCH(A4,"東","南","南","西","西","北","北","東"),A4))</f>
        <v>東</v>
      </c>
      <c r="B5" s="18">
        <f t="shared" ref="B5:B30" si="7">IF($E5="","",IF($E4=$E5,B4,IF(B4=3,1,B4+1)))</f>
        <v>1</v>
      </c>
      <c r="C5" s="18">
        <f t="shared" ref="C5:C30" si="8">IF($E5="","",IF($F4="チョンボ",C4,IF(OR($E4=$E5,$F4="流局"),C4+1,0)))</f>
        <v>1</v>
      </c>
      <c r="D5" s="18">
        <f t="shared" ref="D5:D30" si="9">IF($E5="","",IF(OR($F4="流局",$F4="チョンボ"),D4+($H4+$M4+$R4)/-1000,0))</f>
        <v>0</v>
      </c>
      <c r="E5" s="4" t="s">
        <v>150</v>
      </c>
      <c r="F5" s="8" t="s">
        <v>146</v>
      </c>
      <c r="G5" s="9">
        <v>18000</v>
      </c>
      <c r="H5" s="9"/>
      <c r="I5" s="48">
        <v>1000</v>
      </c>
      <c r="J5" s="21">
        <f t="shared" si="0"/>
        <v>118200</v>
      </c>
      <c r="K5" s="8" t="s">
        <v>145</v>
      </c>
      <c r="L5" s="9">
        <v>-18000</v>
      </c>
      <c r="M5" s="9"/>
      <c r="N5" s="48">
        <v>-1000</v>
      </c>
      <c r="O5" s="21">
        <f t="shared" si="1"/>
        <v>69400</v>
      </c>
      <c r="P5" s="8"/>
      <c r="Q5" s="9"/>
      <c r="R5" s="9"/>
      <c r="S5" s="48"/>
      <c r="T5" s="21">
        <f t="shared" si="2"/>
        <v>112400</v>
      </c>
      <c r="U5" s="53">
        <f t="shared" si="3"/>
        <v>19</v>
      </c>
      <c r="V5" s="54">
        <f t="shared" si="4"/>
        <v>-19</v>
      </c>
      <c r="W5" s="55">
        <f t="shared" si="5"/>
        <v>0</v>
      </c>
      <c r="Y5" s="8"/>
      <c r="Z5" s="34"/>
      <c r="AA5" s="26">
        <v>1</v>
      </c>
      <c r="AB5" s="26"/>
      <c r="AC5" s="26">
        <v>7</v>
      </c>
      <c r="AD5" s="30" t="s">
        <v>154</v>
      </c>
      <c r="AE5" s="40" t="s">
        <v>144</v>
      </c>
      <c r="AF5" s="41" t="s">
        <v>101</v>
      </c>
      <c r="AG5" s="41" t="s">
        <v>79</v>
      </c>
      <c r="AH5" s="41" t="s">
        <v>79</v>
      </c>
      <c r="AI5" s="41" t="s">
        <v>80</v>
      </c>
      <c r="AJ5" s="41" t="s">
        <v>80</v>
      </c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6"/>
        <v>東</v>
      </c>
      <c r="B6" s="18">
        <f t="shared" si="7"/>
        <v>1</v>
      </c>
      <c r="C6" s="18">
        <f t="shared" si="8"/>
        <v>2</v>
      </c>
      <c r="D6" s="18">
        <f t="shared" si="9"/>
        <v>0</v>
      </c>
      <c r="E6" s="4" t="s">
        <v>150</v>
      </c>
      <c r="F6" s="8" t="s">
        <v>143</v>
      </c>
      <c r="G6" s="9">
        <v>48000</v>
      </c>
      <c r="H6" s="9"/>
      <c r="I6" s="48">
        <v>2000</v>
      </c>
      <c r="J6" s="21">
        <f t="shared" si="0"/>
        <v>168200</v>
      </c>
      <c r="K6" s="8" t="s">
        <v>142</v>
      </c>
      <c r="L6" s="9">
        <v>-24000</v>
      </c>
      <c r="M6" s="9"/>
      <c r="N6" s="48">
        <v>-1000</v>
      </c>
      <c r="O6" s="21">
        <f t="shared" si="1"/>
        <v>44400</v>
      </c>
      <c r="P6" s="8" t="s">
        <v>142</v>
      </c>
      <c r="Q6" s="9">
        <v>-24000</v>
      </c>
      <c r="R6" s="9"/>
      <c r="S6" s="48">
        <v>-1000</v>
      </c>
      <c r="T6" s="21">
        <f t="shared" si="2"/>
        <v>87400</v>
      </c>
      <c r="U6" s="53">
        <f t="shared" si="3"/>
        <v>69</v>
      </c>
      <c r="V6" s="54">
        <f t="shared" si="4"/>
        <v>-44</v>
      </c>
      <c r="W6" s="55">
        <f t="shared" si="5"/>
        <v>-25</v>
      </c>
      <c r="Y6" s="8"/>
      <c r="Z6" s="34"/>
      <c r="AA6" s="26"/>
      <c r="AB6" s="26"/>
      <c r="AC6" s="26">
        <v>13</v>
      </c>
      <c r="AD6" s="30" t="s">
        <v>154</v>
      </c>
      <c r="AE6" s="40" t="s">
        <v>107</v>
      </c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6"/>
        <v>東</v>
      </c>
      <c r="B7" s="18">
        <f t="shared" si="7"/>
        <v>1</v>
      </c>
      <c r="C7" s="18">
        <f t="shared" si="8"/>
        <v>3</v>
      </c>
      <c r="D7" s="18">
        <f t="shared" si="9"/>
        <v>0</v>
      </c>
      <c r="E7" s="4" t="s">
        <v>150</v>
      </c>
      <c r="F7" s="8" t="s">
        <v>142</v>
      </c>
      <c r="G7" s="9">
        <v>-7500</v>
      </c>
      <c r="H7" s="9"/>
      <c r="I7" s="48">
        <v>-1500</v>
      </c>
      <c r="J7" s="21">
        <f t="shared" si="0"/>
        <v>159200</v>
      </c>
      <c r="K7" s="8" t="s">
        <v>143</v>
      </c>
      <c r="L7" s="9">
        <v>12000</v>
      </c>
      <c r="M7" s="9">
        <v>1000</v>
      </c>
      <c r="N7" s="48">
        <v>3000</v>
      </c>
      <c r="O7" s="21">
        <f t="shared" si="1"/>
        <v>60400</v>
      </c>
      <c r="P7" s="8" t="s">
        <v>142</v>
      </c>
      <c r="Q7" s="9">
        <v>-4500</v>
      </c>
      <c r="R7" s="9">
        <v>-1000</v>
      </c>
      <c r="S7" s="48">
        <v>-1500</v>
      </c>
      <c r="T7" s="21">
        <f t="shared" si="2"/>
        <v>80400</v>
      </c>
      <c r="U7" s="53">
        <f t="shared" si="3"/>
        <v>60</v>
      </c>
      <c r="V7" s="54">
        <f t="shared" si="4"/>
        <v>-28</v>
      </c>
      <c r="W7" s="55">
        <f t="shared" si="5"/>
        <v>-32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7</v>
      </c>
      <c r="AY7" s="30" t="s">
        <v>154</v>
      </c>
      <c r="AZ7" s="40" t="s">
        <v>144</v>
      </c>
      <c r="BA7" s="41" t="s">
        <v>82</v>
      </c>
      <c r="BB7" s="41" t="s">
        <v>84</v>
      </c>
      <c r="BC7" s="41" t="s">
        <v>104</v>
      </c>
      <c r="BD7" s="41" t="s">
        <v>147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6"/>
        <v>東</v>
      </c>
      <c r="B8" s="18">
        <f t="shared" si="7"/>
        <v>2</v>
      </c>
      <c r="C8" s="18">
        <f t="shared" si="8"/>
        <v>0</v>
      </c>
      <c r="D8" s="18">
        <f t="shared" si="9"/>
        <v>0</v>
      </c>
      <c r="E8" s="4" t="s">
        <v>165</v>
      </c>
      <c r="F8" s="8" t="s">
        <v>142</v>
      </c>
      <c r="G8" s="9">
        <v>-3000</v>
      </c>
      <c r="H8" s="9"/>
      <c r="I8" s="48">
        <v>0</v>
      </c>
      <c r="J8" s="21">
        <f t="shared" si="0"/>
        <v>156200</v>
      </c>
      <c r="K8" s="8" t="s">
        <v>142</v>
      </c>
      <c r="L8" s="9">
        <v>-5000</v>
      </c>
      <c r="M8" s="9"/>
      <c r="N8" s="48">
        <v>0</v>
      </c>
      <c r="O8" s="21">
        <f t="shared" si="1"/>
        <v>55400</v>
      </c>
      <c r="P8" s="8" t="s">
        <v>143</v>
      </c>
      <c r="Q8" s="9">
        <v>8000</v>
      </c>
      <c r="R8" s="9"/>
      <c r="S8" s="48">
        <v>0</v>
      </c>
      <c r="T8" s="21">
        <f t="shared" si="2"/>
        <v>88400</v>
      </c>
      <c r="U8" s="53">
        <f t="shared" si="3"/>
        <v>57</v>
      </c>
      <c r="V8" s="54">
        <f t="shared" si="4"/>
        <v>-33</v>
      </c>
      <c r="W8" s="55">
        <f t="shared" si="5"/>
        <v>-24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5</v>
      </c>
      <c r="BT8" s="30" t="s">
        <v>154</v>
      </c>
      <c r="BU8" s="40" t="s">
        <v>144</v>
      </c>
      <c r="BV8" s="41" t="s">
        <v>82</v>
      </c>
      <c r="BW8" s="41" t="s">
        <v>147</v>
      </c>
      <c r="BX8" s="41" t="s">
        <v>80</v>
      </c>
      <c r="BY8" s="41" t="s">
        <v>80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6"/>
        <v>東</v>
      </c>
      <c r="B9" s="18">
        <f t="shared" si="7"/>
        <v>3</v>
      </c>
      <c r="C9" s="18">
        <f t="shared" si="8"/>
        <v>0</v>
      </c>
      <c r="D9" s="18">
        <f t="shared" si="9"/>
        <v>0</v>
      </c>
      <c r="E9" s="4" t="s">
        <v>155</v>
      </c>
      <c r="F9" s="8" t="s">
        <v>142</v>
      </c>
      <c r="G9" s="9">
        <v>-9000</v>
      </c>
      <c r="H9" s="9">
        <v>-1000</v>
      </c>
      <c r="I9" s="48">
        <v>0</v>
      </c>
      <c r="J9" s="21">
        <f t="shared" si="0"/>
        <v>146200</v>
      </c>
      <c r="K9" s="8" t="s">
        <v>142</v>
      </c>
      <c r="L9" s="9">
        <v>-9000</v>
      </c>
      <c r="M9" s="9"/>
      <c r="N9" s="48">
        <v>0</v>
      </c>
      <c r="O9" s="21">
        <f t="shared" si="1"/>
        <v>46400</v>
      </c>
      <c r="P9" s="8" t="s">
        <v>143</v>
      </c>
      <c r="Q9" s="9">
        <v>18000</v>
      </c>
      <c r="R9" s="9">
        <v>1000</v>
      </c>
      <c r="S9" s="48">
        <v>0</v>
      </c>
      <c r="T9" s="21">
        <f t="shared" si="2"/>
        <v>107400</v>
      </c>
      <c r="U9" s="53">
        <f t="shared" si="3"/>
        <v>47</v>
      </c>
      <c r="V9" s="54">
        <f t="shared" si="4"/>
        <v>-42</v>
      </c>
      <c r="W9" s="55">
        <f t="shared" si="5"/>
        <v>-5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7</v>
      </c>
      <c r="BT9" s="30" t="s">
        <v>154</v>
      </c>
      <c r="BU9" s="40" t="s">
        <v>144</v>
      </c>
      <c r="BV9" s="41" t="s">
        <v>82</v>
      </c>
      <c r="BW9" s="41" t="s">
        <v>83</v>
      </c>
      <c r="BX9" s="41" t="s">
        <v>147</v>
      </c>
      <c r="BY9" s="41" t="s">
        <v>79</v>
      </c>
      <c r="BZ9" s="41" t="s">
        <v>80</v>
      </c>
      <c r="CA9" s="41" t="s">
        <v>80</v>
      </c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6"/>
        <v>東</v>
      </c>
      <c r="B10" s="18">
        <f t="shared" si="7"/>
        <v>3</v>
      </c>
      <c r="C10" s="18">
        <f t="shared" si="8"/>
        <v>1</v>
      </c>
      <c r="D10" s="18">
        <f t="shared" si="9"/>
        <v>0</v>
      </c>
      <c r="E10" s="4" t="s">
        <v>155</v>
      </c>
      <c r="F10" s="8" t="s">
        <v>142</v>
      </c>
      <c r="G10" s="9">
        <v>-6000</v>
      </c>
      <c r="H10" s="9"/>
      <c r="I10" s="48">
        <v>-500</v>
      </c>
      <c r="J10" s="21">
        <f t="shared" si="0"/>
        <v>139700</v>
      </c>
      <c r="K10" s="8" t="s">
        <v>142</v>
      </c>
      <c r="L10" s="9">
        <v>-6000</v>
      </c>
      <c r="M10" s="9">
        <v>-1000</v>
      </c>
      <c r="N10" s="48">
        <v>-500</v>
      </c>
      <c r="O10" s="21">
        <f t="shared" si="1"/>
        <v>38900</v>
      </c>
      <c r="P10" s="8" t="s">
        <v>143</v>
      </c>
      <c r="Q10" s="9">
        <v>12000</v>
      </c>
      <c r="R10" s="9">
        <v>1000</v>
      </c>
      <c r="S10" s="48">
        <v>1000</v>
      </c>
      <c r="T10" s="21">
        <f t="shared" si="2"/>
        <v>121400</v>
      </c>
      <c r="U10" s="53">
        <f t="shared" si="3"/>
        <v>40.5</v>
      </c>
      <c r="V10" s="54">
        <f t="shared" si="4"/>
        <v>-49.5</v>
      </c>
      <c r="W10" s="55">
        <f t="shared" si="5"/>
        <v>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5</v>
      </c>
      <c r="BT10" s="30" t="s">
        <v>154</v>
      </c>
      <c r="BU10" s="40" t="s">
        <v>105</v>
      </c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6"/>
        <v>東</v>
      </c>
      <c r="B11" s="18">
        <f t="shared" si="7"/>
        <v>3</v>
      </c>
      <c r="C11" s="18">
        <f t="shared" si="8"/>
        <v>2</v>
      </c>
      <c r="D11" s="18">
        <f t="shared" si="9"/>
        <v>0</v>
      </c>
      <c r="E11" s="4" t="s">
        <v>155</v>
      </c>
      <c r="F11" s="8"/>
      <c r="G11" s="9"/>
      <c r="H11" s="9">
        <v>-1000</v>
      </c>
      <c r="I11" s="48"/>
      <c r="J11" s="21">
        <f t="shared" si="0"/>
        <v>138700</v>
      </c>
      <c r="K11" s="8" t="s">
        <v>145</v>
      </c>
      <c r="L11" s="9">
        <v>-18000</v>
      </c>
      <c r="M11" s="9"/>
      <c r="N11" s="48">
        <v>-2000</v>
      </c>
      <c r="O11" s="21">
        <f t="shared" si="1"/>
        <v>18900</v>
      </c>
      <c r="P11" s="8" t="s">
        <v>146</v>
      </c>
      <c r="Q11" s="9">
        <v>18000</v>
      </c>
      <c r="R11" s="9">
        <v>1000</v>
      </c>
      <c r="S11" s="48">
        <v>2000</v>
      </c>
      <c r="T11" s="21">
        <f t="shared" si="2"/>
        <v>142400</v>
      </c>
      <c r="U11" s="53">
        <f t="shared" si="3"/>
        <v>39.5</v>
      </c>
      <c r="V11" s="54">
        <f t="shared" si="4"/>
        <v>-69.5</v>
      </c>
      <c r="W11" s="55">
        <f t="shared" si="5"/>
        <v>30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6</v>
      </c>
      <c r="BT11" s="30" t="s">
        <v>154</v>
      </c>
      <c r="BU11" s="40" t="s">
        <v>144</v>
      </c>
      <c r="BV11" s="41" t="s">
        <v>86</v>
      </c>
      <c r="BW11" s="41" t="s">
        <v>79</v>
      </c>
      <c r="BX11" s="41" t="s">
        <v>79</v>
      </c>
      <c r="BY11" s="41" t="s">
        <v>79</v>
      </c>
      <c r="BZ11" s="41" t="s">
        <v>80</v>
      </c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6"/>
        <v>東</v>
      </c>
      <c r="B12" s="18">
        <f t="shared" si="7"/>
        <v>3</v>
      </c>
      <c r="C12" s="18">
        <f t="shared" si="8"/>
        <v>3</v>
      </c>
      <c r="D12" s="18">
        <f t="shared" si="9"/>
        <v>0</v>
      </c>
      <c r="E12" s="4" t="s">
        <v>155</v>
      </c>
      <c r="F12" s="8" t="s">
        <v>142</v>
      </c>
      <c r="G12" s="9">
        <v>-3000</v>
      </c>
      <c r="H12" s="9"/>
      <c r="I12" s="48">
        <v>-1500</v>
      </c>
      <c r="J12" s="21">
        <f t="shared" si="0"/>
        <v>134200</v>
      </c>
      <c r="K12" s="8" t="s">
        <v>143</v>
      </c>
      <c r="L12" s="9">
        <v>8000</v>
      </c>
      <c r="M12" s="9"/>
      <c r="N12" s="48">
        <v>3000</v>
      </c>
      <c r="O12" s="21">
        <f t="shared" si="1"/>
        <v>29900</v>
      </c>
      <c r="P12" s="8" t="s">
        <v>142</v>
      </c>
      <c r="Q12" s="9">
        <v>-5000</v>
      </c>
      <c r="R12" s="9"/>
      <c r="S12" s="48">
        <v>-1500</v>
      </c>
      <c r="T12" s="21">
        <f t="shared" si="2"/>
        <v>135900</v>
      </c>
      <c r="U12" s="53">
        <f t="shared" si="3"/>
        <v>35</v>
      </c>
      <c r="V12" s="54">
        <f t="shared" si="4"/>
        <v>-58.5</v>
      </c>
      <c r="W12" s="55">
        <f t="shared" si="5"/>
        <v>23.5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4</v>
      </c>
      <c r="AY12" s="30">
        <v>40</v>
      </c>
      <c r="AZ12" s="40" t="s">
        <v>79</v>
      </c>
      <c r="BA12" s="41" t="s">
        <v>79</v>
      </c>
      <c r="BB12" s="41" t="s">
        <v>86</v>
      </c>
      <c r="BC12" s="41" t="s">
        <v>79</v>
      </c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6"/>
        <v>南</v>
      </c>
      <c r="B13" s="18">
        <f t="shared" si="7"/>
        <v>1</v>
      </c>
      <c r="C13" s="18">
        <f t="shared" si="8"/>
        <v>0</v>
      </c>
      <c r="D13" s="18">
        <f t="shared" si="9"/>
        <v>0</v>
      </c>
      <c r="E13" s="4" t="s">
        <v>150</v>
      </c>
      <c r="F13" s="8" t="s">
        <v>146</v>
      </c>
      <c r="G13" s="9">
        <v>2900</v>
      </c>
      <c r="H13" s="9">
        <v>1000</v>
      </c>
      <c r="I13" s="48">
        <v>0</v>
      </c>
      <c r="J13" s="21">
        <f t="shared" si="0"/>
        <v>138100</v>
      </c>
      <c r="K13" s="8" t="s">
        <v>145</v>
      </c>
      <c r="L13" s="9">
        <v>-2900</v>
      </c>
      <c r="M13" s="9">
        <v>-1000</v>
      </c>
      <c r="N13" s="48">
        <v>0</v>
      </c>
      <c r="O13" s="21">
        <f t="shared" si="1"/>
        <v>26000</v>
      </c>
      <c r="P13" s="8"/>
      <c r="Q13" s="9"/>
      <c r="R13" s="9"/>
      <c r="S13" s="48"/>
      <c r="T13" s="21">
        <f t="shared" si="2"/>
        <v>135900</v>
      </c>
      <c r="U13" s="53">
        <f t="shared" si="3"/>
        <v>38.9</v>
      </c>
      <c r="V13" s="54">
        <f t="shared" si="4"/>
        <v>-62.4</v>
      </c>
      <c r="W13" s="55">
        <f t="shared" si="5"/>
        <v>23.5</v>
      </c>
      <c r="Y13" s="8"/>
      <c r="Z13" s="34"/>
      <c r="AA13" s="26"/>
      <c r="AB13" s="26">
        <v>1</v>
      </c>
      <c r="AC13" s="26">
        <v>2</v>
      </c>
      <c r="AD13" s="30">
        <v>30</v>
      </c>
      <c r="AE13" s="40" t="s">
        <v>86</v>
      </c>
      <c r="AF13" s="41" t="s">
        <v>86</v>
      </c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6"/>
        <v>南</v>
      </c>
      <c r="B14" s="18">
        <f t="shared" si="7"/>
        <v>1</v>
      </c>
      <c r="C14" s="18">
        <f t="shared" si="8"/>
        <v>1</v>
      </c>
      <c r="D14" s="18">
        <f t="shared" si="9"/>
        <v>0</v>
      </c>
      <c r="E14" s="4" t="s">
        <v>150</v>
      </c>
      <c r="F14" s="8" t="s">
        <v>146</v>
      </c>
      <c r="G14" s="9">
        <v>7700</v>
      </c>
      <c r="H14" s="9"/>
      <c r="I14" s="48">
        <v>1000</v>
      </c>
      <c r="J14" s="21">
        <f t="shared" si="0"/>
        <v>146800</v>
      </c>
      <c r="K14" s="8" t="s">
        <v>145</v>
      </c>
      <c r="L14" s="9">
        <v>-7700</v>
      </c>
      <c r="M14" s="9"/>
      <c r="N14" s="48">
        <v>-1000</v>
      </c>
      <c r="O14" s="21">
        <f t="shared" si="1"/>
        <v>17300</v>
      </c>
      <c r="P14" s="8"/>
      <c r="Q14" s="9"/>
      <c r="R14" s="9"/>
      <c r="S14" s="48"/>
      <c r="T14" s="21">
        <f t="shared" si="2"/>
        <v>135900</v>
      </c>
      <c r="U14" s="53">
        <f t="shared" si="3"/>
        <v>47.6</v>
      </c>
      <c r="V14" s="54">
        <f t="shared" si="4"/>
        <v>-71.099999999999994</v>
      </c>
      <c r="W14" s="55">
        <f t="shared" si="5"/>
        <v>23.5</v>
      </c>
      <c r="Y14" s="8"/>
      <c r="Z14" s="34"/>
      <c r="AA14" s="26">
        <v>1</v>
      </c>
      <c r="AB14" s="26"/>
      <c r="AC14" s="26">
        <v>3</v>
      </c>
      <c r="AD14" s="30">
        <v>40</v>
      </c>
      <c r="AE14" s="40" t="s">
        <v>144</v>
      </c>
      <c r="AF14" s="41" t="s">
        <v>86</v>
      </c>
      <c r="AG14" s="41" t="s">
        <v>79</v>
      </c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6"/>
        <v>南</v>
      </c>
      <c r="B15" s="18">
        <f t="shared" si="7"/>
        <v>1</v>
      </c>
      <c r="C15" s="18">
        <f t="shared" si="8"/>
        <v>2</v>
      </c>
      <c r="D15" s="18">
        <f t="shared" si="9"/>
        <v>0</v>
      </c>
      <c r="E15" s="4" t="s">
        <v>150</v>
      </c>
      <c r="F15" s="8" t="s">
        <v>142</v>
      </c>
      <c r="G15" s="9">
        <v>-7500</v>
      </c>
      <c r="H15" s="9">
        <v>-1000</v>
      </c>
      <c r="I15" s="48">
        <v>-1000</v>
      </c>
      <c r="J15" s="21">
        <f t="shared" si="0"/>
        <v>137300</v>
      </c>
      <c r="K15" s="8" t="s">
        <v>142</v>
      </c>
      <c r="L15" s="9">
        <v>-4500</v>
      </c>
      <c r="M15" s="9"/>
      <c r="N15" s="48">
        <v>-1000</v>
      </c>
      <c r="O15" s="21">
        <f t="shared" si="1"/>
        <v>11800</v>
      </c>
      <c r="P15" s="8" t="s">
        <v>143</v>
      </c>
      <c r="Q15" s="9">
        <v>12000</v>
      </c>
      <c r="R15" s="9">
        <v>1000</v>
      </c>
      <c r="S15" s="48">
        <v>2000</v>
      </c>
      <c r="T15" s="21">
        <f t="shared" si="2"/>
        <v>150900</v>
      </c>
      <c r="U15" s="53">
        <f t="shared" si="3"/>
        <v>38.1</v>
      </c>
      <c r="V15" s="54">
        <f t="shared" si="4"/>
        <v>-76.599999999999994</v>
      </c>
      <c r="W15" s="55">
        <f t="shared" si="5"/>
        <v>38.5</v>
      </c>
      <c r="Y15" s="8"/>
      <c r="Z15" s="34"/>
      <c r="AA15" s="26">
        <v>1</v>
      </c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>
        <v>1</v>
      </c>
      <c r="BS15" s="26">
        <v>6</v>
      </c>
      <c r="BT15" s="30" t="s">
        <v>154</v>
      </c>
      <c r="BU15" s="40" t="s">
        <v>79</v>
      </c>
      <c r="BV15" s="41" t="s">
        <v>79</v>
      </c>
      <c r="BW15" s="41" t="s">
        <v>79</v>
      </c>
      <c r="BX15" s="41" t="s">
        <v>79</v>
      </c>
      <c r="BY15" s="41" t="s">
        <v>79</v>
      </c>
      <c r="BZ15" s="41" t="s">
        <v>86</v>
      </c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6"/>
        <v>南</v>
      </c>
      <c r="B16" s="18">
        <f t="shared" si="7"/>
        <v>2</v>
      </c>
      <c r="C16" s="18">
        <f t="shared" si="8"/>
        <v>0</v>
      </c>
      <c r="D16" s="18">
        <f t="shared" si="9"/>
        <v>0</v>
      </c>
      <c r="E16" s="4" t="s">
        <v>165</v>
      </c>
      <c r="F16" s="8"/>
      <c r="G16" s="9"/>
      <c r="H16" s="9"/>
      <c r="I16" s="48"/>
      <c r="J16" s="21">
        <f t="shared" si="0"/>
        <v>137300</v>
      </c>
      <c r="K16" s="8" t="s">
        <v>145</v>
      </c>
      <c r="L16" s="9">
        <v>-7700</v>
      </c>
      <c r="M16" s="9"/>
      <c r="N16" s="48">
        <v>0</v>
      </c>
      <c r="O16" s="21">
        <f t="shared" si="1"/>
        <v>4100</v>
      </c>
      <c r="P16" s="8" t="s">
        <v>146</v>
      </c>
      <c r="Q16" s="9">
        <v>7700</v>
      </c>
      <c r="R16" s="9"/>
      <c r="S16" s="48">
        <v>0</v>
      </c>
      <c r="T16" s="21">
        <f t="shared" si="2"/>
        <v>158600</v>
      </c>
      <c r="U16" s="53">
        <f t="shared" si="3"/>
        <v>38.1</v>
      </c>
      <c r="V16" s="54">
        <f t="shared" si="4"/>
        <v>-84.3</v>
      </c>
      <c r="W16" s="55">
        <f t="shared" si="5"/>
        <v>46.2</v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>
        <v>1</v>
      </c>
      <c r="BS16" s="26">
        <v>4</v>
      </c>
      <c r="BT16" s="30">
        <v>30</v>
      </c>
      <c r="BU16" s="40" t="s">
        <v>86</v>
      </c>
      <c r="BV16" s="41" t="s">
        <v>79</v>
      </c>
      <c r="BW16" s="41" t="s">
        <v>79</v>
      </c>
      <c r="BX16" s="41" t="s">
        <v>79</v>
      </c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6"/>
        <v>南</v>
      </c>
      <c r="B17" s="18">
        <f t="shared" si="7"/>
        <v>3</v>
      </c>
      <c r="C17" s="18">
        <f t="shared" si="8"/>
        <v>0</v>
      </c>
      <c r="D17" s="18">
        <f t="shared" si="9"/>
        <v>0</v>
      </c>
      <c r="E17" s="4" t="s">
        <v>155</v>
      </c>
      <c r="F17" s="8" t="s">
        <v>167</v>
      </c>
      <c r="G17" s="9">
        <v>1500</v>
      </c>
      <c r="H17" s="9"/>
      <c r="I17" s="48"/>
      <c r="J17" s="21">
        <f t="shared" si="0"/>
        <v>138800</v>
      </c>
      <c r="K17" s="8" t="s">
        <v>167</v>
      </c>
      <c r="L17" s="9">
        <v>1500</v>
      </c>
      <c r="M17" s="9">
        <v>-1000</v>
      </c>
      <c r="N17" s="48"/>
      <c r="O17" s="21">
        <f t="shared" si="1"/>
        <v>4600</v>
      </c>
      <c r="P17" s="8" t="s">
        <v>167</v>
      </c>
      <c r="Q17" s="9">
        <v>-3000</v>
      </c>
      <c r="R17" s="9"/>
      <c r="S17" s="48">
        <v>1000</v>
      </c>
      <c r="T17" s="21">
        <f t="shared" si="2"/>
        <v>156600</v>
      </c>
      <c r="U17" s="53">
        <f t="shared" si="3"/>
        <v>39.6</v>
      </c>
      <c r="V17" s="54">
        <f t="shared" si="4"/>
        <v>-83.8</v>
      </c>
      <c r="W17" s="55">
        <f t="shared" si="5"/>
        <v>44.2</v>
      </c>
      <c r="Y17" s="8" t="s">
        <v>156</v>
      </c>
      <c r="Z17" s="34"/>
      <c r="AA17" s="26"/>
      <c r="AB17" s="26">
        <v>1</v>
      </c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 t="s">
        <v>156</v>
      </c>
      <c r="AU17" s="34"/>
      <c r="AV17" s="26">
        <v>1</v>
      </c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 t="s">
        <v>157</v>
      </c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6"/>
        <v/>
      </c>
      <c r="B18" s="18" t="str">
        <f t="shared" si="7"/>
        <v/>
      </c>
      <c r="C18" s="18" t="str">
        <f t="shared" si="8"/>
        <v/>
      </c>
      <c r="D18" s="18" t="str">
        <f t="shared" si="9"/>
        <v/>
      </c>
      <c r="E18" s="4"/>
      <c r="F18" s="8"/>
      <c r="G18" s="9"/>
      <c r="H18" s="9"/>
      <c r="I18" s="48"/>
      <c r="J18" s="21" t="str">
        <f t="shared" si="0"/>
        <v/>
      </c>
      <c r="K18" s="8"/>
      <c r="L18" s="9"/>
      <c r="M18" s="9"/>
      <c r="N18" s="48"/>
      <c r="O18" s="21" t="str">
        <f t="shared" si="1"/>
        <v/>
      </c>
      <c r="P18" s="8"/>
      <c r="Q18" s="9"/>
      <c r="R18" s="9"/>
      <c r="S18" s="48"/>
      <c r="T18" s="21" t="str">
        <f t="shared" si="2"/>
        <v/>
      </c>
      <c r="U18" s="53" t="str">
        <f t="shared" si="3"/>
        <v/>
      </c>
      <c r="V18" s="54" t="str">
        <f t="shared" si="4"/>
        <v/>
      </c>
      <c r="W18" s="55" t="str">
        <f t="shared" si="5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6"/>
        <v/>
      </c>
      <c r="B19" s="18" t="str">
        <f t="shared" si="7"/>
        <v/>
      </c>
      <c r="C19" s="18" t="str">
        <f t="shared" si="8"/>
        <v/>
      </c>
      <c r="D19" s="18" t="str">
        <f t="shared" si="9"/>
        <v/>
      </c>
      <c r="E19" s="4"/>
      <c r="F19" s="8"/>
      <c r="G19" s="9"/>
      <c r="H19" s="9"/>
      <c r="I19" s="48"/>
      <c r="J19" s="21" t="str">
        <f t="shared" si="0"/>
        <v/>
      </c>
      <c r="K19" s="8"/>
      <c r="L19" s="9"/>
      <c r="M19" s="9"/>
      <c r="N19" s="48"/>
      <c r="O19" s="21" t="str">
        <f t="shared" si="1"/>
        <v/>
      </c>
      <c r="P19" s="8"/>
      <c r="Q19" s="9"/>
      <c r="R19" s="9"/>
      <c r="S19" s="48"/>
      <c r="T19" s="21" t="str">
        <f t="shared" si="2"/>
        <v/>
      </c>
      <c r="U19" s="53" t="str">
        <f t="shared" si="3"/>
        <v/>
      </c>
      <c r="V19" s="54" t="str">
        <f t="shared" si="4"/>
        <v/>
      </c>
      <c r="W19" s="55" t="str">
        <f t="shared" si="5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6"/>
        <v/>
      </c>
      <c r="B20" s="18" t="str">
        <f t="shared" si="7"/>
        <v/>
      </c>
      <c r="C20" s="18" t="str">
        <f t="shared" si="8"/>
        <v/>
      </c>
      <c r="D20" s="18" t="str">
        <f t="shared" si="9"/>
        <v/>
      </c>
      <c r="E20" s="4"/>
      <c r="F20" s="8"/>
      <c r="G20" s="9"/>
      <c r="H20" s="9"/>
      <c r="I20" s="48"/>
      <c r="J20" s="21" t="str">
        <f t="shared" si="0"/>
        <v/>
      </c>
      <c r="K20" s="8"/>
      <c r="L20" s="9"/>
      <c r="M20" s="9"/>
      <c r="N20" s="48"/>
      <c r="O20" s="21" t="str">
        <f t="shared" si="1"/>
        <v/>
      </c>
      <c r="P20" s="8"/>
      <c r="Q20" s="9"/>
      <c r="R20" s="9"/>
      <c r="S20" s="48"/>
      <c r="T20" s="21" t="str">
        <f t="shared" si="2"/>
        <v/>
      </c>
      <c r="U20" s="53" t="str">
        <f t="shared" si="3"/>
        <v/>
      </c>
      <c r="V20" s="54" t="str">
        <f t="shared" si="4"/>
        <v/>
      </c>
      <c r="W20" s="55" t="str">
        <f t="shared" si="5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6"/>
        <v/>
      </c>
      <c r="B21" s="18" t="str">
        <f t="shared" si="7"/>
        <v/>
      </c>
      <c r="C21" s="18" t="str">
        <f t="shared" si="8"/>
        <v/>
      </c>
      <c r="D21" s="18" t="str">
        <f t="shared" si="9"/>
        <v/>
      </c>
      <c r="E21" s="4"/>
      <c r="F21" s="8"/>
      <c r="G21" s="9"/>
      <c r="H21" s="9"/>
      <c r="I21" s="48"/>
      <c r="J21" s="21" t="str">
        <f t="shared" si="0"/>
        <v/>
      </c>
      <c r="K21" s="8"/>
      <c r="L21" s="9"/>
      <c r="M21" s="9"/>
      <c r="N21" s="48"/>
      <c r="O21" s="21" t="str">
        <f t="shared" si="1"/>
        <v/>
      </c>
      <c r="P21" s="8"/>
      <c r="Q21" s="9"/>
      <c r="R21" s="9"/>
      <c r="S21" s="48"/>
      <c r="T21" s="21" t="str">
        <f t="shared" si="2"/>
        <v/>
      </c>
      <c r="U21" s="53" t="str">
        <f t="shared" si="3"/>
        <v/>
      </c>
      <c r="V21" s="54" t="str">
        <f t="shared" si="4"/>
        <v/>
      </c>
      <c r="W21" s="55" t="str">
        <f t="shared" si="5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6"/>
        <v/>
      </c>
      <c r="B22" s="18" t="str">
        <f t="shared" si="7"/>
        <v/>
      </c>
      <c r="C22" s="18" t="str">
        <f t="shared" si="8"/>
        <v/>
      </c>
      <c r="D22" s="18" t="str">
        <f t="shared" si="9"/>
        <v/>
      </c>
      <c r="E22" s="4"/>
      <c r="F22" s="8"/>
      <c r="G22" s="9"/>
      <c r="H22" s="9"/>
      <c r="I22" s="48"/>
      <c r="J22" s="21" t="str">
        <f t="shared" si="0"/>
        <v/>
      </c>
      <c r="K22" s="8"/>
      <c r="L22" s="9"/>
      <c r="M22" s="9"/>
      <c r="N22" s="48"/>
      <c r="O22" s="21" t="str">
        <f t="shared" si="1"/>
        <v/>
      </c>
      <c r="P22" s="8"/>
      <c r="Q22" s="9"/>
      <c r="R22" s="9"/>
      <c r="S22" s="48"/>
      <c r="T22" s="21" t="str">
        <f t="shared" si="2"/>
        <v/>
      </c>
      <c r="U22" s="53" t="str">
        <f t="shared" si="3"/>
        <v/>
      </c>
      <c r="V22" s="54" t="str">
        <f t="shared" si="4"/>
        <v/>
      </c>
      <c r="W22" s="55" t="str">
        <f t="shared" si="5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6"/>
        <v/>
      </c>
      <c r="B23" s="18" t="str">
        <f t="shared" si="7"/>
        <v/>
      </c>
      <c r="C23" s="18" t="str">
        <f t="shared" si="8"/>
        <v/>
      </c>
      <c r="D23" s="18" t="str">
        <f t="shared" si="9"/>
        <v/>
      </c>
      <c r="E23" s="4"/>
      <c r="F23" s="8"/>
      <c r="G23" s="9"/>
      <c r="H23" s="9"/>
      <c r="I23" s="48"/>
      <c r="J23" s="21" t="str">
        <f t="shared" si="0"/>
        <v/>
      </c>
      <c r="K23" s="8"/>
      <c r="L23" s="9"/>
      <c r="M23" s="9"/>
      <c r="N23" s="48"/>
      <c r="O23" s="21" t="str">
        <f t="shared" si="1"/>
        <v/>
      </c>
      <c r="P23" s="8"/>
      <c r="Q23" s="9"/>
      <c r="R23" s="9"/>
      <c r="S23" s="48"/>
      <c r="T23" s="21" t="str">
        <f t="shared" si="2"/>
        <v/>
      </c>
      <c r="U23" s="53" t="str">
        <f t="shared" si="3"/>
        <v/>
      </c>
      <c r="V23" s="54" t="str">
        <f t="shared" si="4"/>
        <v/>
      </c>
      <c r="W23" s="55" t="str">
        <f t="shared" si="5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6"/>
        <v/>
      </c>
      <c r="B24" s="18" t="str">
        <f t="shared" si="7"/>
        <v/>
      </c>
      <c r="C24" s="18" t="str">
        <f t="shared" si="8"/>
        <v/>
      </c>
      <c r="D24" s="18" t="str">
        <f t="shared" si="9"/>
        <v/>
      </c>
      <c r="E24" s="4"/>
      <c r="F24" s="8"/>
      <c r="G24" s="9"/>
      <c r="H24" s="9"/>
      <c r="I24" s="48"/>
      <c r="J24" s="21" t="str">
        <f t="shared" si="0"/>
        <v/>
      </c>
      <c r="K24" s="8"/>
      <c r="L24" s="9"/>
      <c r="M24" s="9"/>
      <c r="N24" s="48"/>
      <c r="O24" s="21" t="str">
        <f t="shared" si="1"/>
        <v/>
      </c>
      <c r="P24" s="8"/>
      <c r="Q24" s="9"/>
      <c r="R24" s="9"/>
      <c r="S24" s="48"/>
      <c r="T24" s="21" t="str">
        <f t="shared" si="2"/>
        <v/>
      </c>
      <c r="U24" s="53" t="str">
        <f t="shared" si="3"/>
        <v/>
      </c>
      <c r="V24" s="54" t="str">
        <f t="shared" si="4"/>
        <v/>
      </c>
      <c r="W24" s="55" t="str">
        <f t="shared" si="5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6"/>
        <v/>
      </c>
      <c r="B25" s="18" t="str">
        <f t="shared" si="7"/>
        <v/>
      </c>
      <c r="C25" s="18" t="str">
        <f t="shared" si="8"/>
        <v/>
      </c>
      <c r="D25" s="18" t="str">
        <f t="shared" si="9"/>
        <v/>
      </c>
      <c r="E25" s="4"/>
      <c r="F25" s="8"/>
      <c r="G25" s="9"/>
      <c r="H25" s="9"/>
      <c r="I25" s="48"/>
      <c r="J25" s="21" t="str">
        <f t="shared" si="0"/>
        <v/>
      </c>
      <c r="K25" s="8"/>
      <c r="L25" s="9"/>
      <c r="M25" s="9"/>
      <c r="N25" s="48"/>
      <c r="O25" s="21" t="str">
        <f t="shared" si="1"/>
        <v/>
      </c>
      <c r="P25" s="8"/>
      <c r="Q25" s="9"/>
      <c r="R25" s="9"/>
      <c r="S25" s="48"/>
      <c r="T25" s="21" t="str">
        <f t="shared" si="2"/>
        <v/>
      </c>
      <c r="U25" s="53" t="str">
        <f t="shared" si="3"/>
        <v/>
      </c>
      <c r="V25" s="54" t="str">
        <f t="shared" si="4"/>
        <v/>
      </c>
      <c r="W25" s="55" t="str">
        <f t="shared" si="5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6"/>
        <v/>
      </c>
      <c r="B26" s="18" t="str">
        <f t="shared" si="7"/>
        <v/>
      </c>
      <c r="C26" s="18" t="str">
        <f t="shared" si="8"/>
        <v/>
      </c>
      <c r="D26" s="18" t="str">
        <f t="shared" si="9"/>
        <v/>
      </c>
      <c r="E26" s="4"/>
      <c r="F26" s="8"/>
      <c r="G26" s="9"/>
      <c r="H26" s="9"/>
      <c r="I26" s="48"/>
      <c r="J26" s="21" t="str">
        <f t="shared" si="0"/>
        <v/>
      </c>
      <c r="K26" s="8"/>
      <c r="L26" s="9"/>
      <c r="M26" s="9"/>
      <c r="N26" s="48"/>
      <c r="O26" s="21" t="str">
        <f t="shared" si="1"/>
        <v/>
      </c>
      <c r="P26" s="8"/>
      <c r="Q26" s="9"/>
      <c r="R26" s="9"/>
      <c r="S26" s="48"/>
      <c r="T26" s="21" t="str">
        <f t="shared" si="2"/>
        <v/>
      </c>
      <c r="U26" s="53" t="str">
        <f t="shared" si="3"/>
        <v/>
      </c>
      <c r="V26" s="54" t="str">
        <f t="shared" si="4"/>
        <v/>
      </c>
      <c r="W26" s="55" t="str">
        <f t="shared" si="5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6"/>
        <v/>
      </c>
      <c r="B27" s="18" t="str">
        <f t="shared" si="7"/>
        <v/>
      </c>
      <c r="C27" s="18" t="str">
        <f t="shared" si="8"/>
        <v/>
      </c>
      <c r="D27" s="18" t="str">
        <f t="shared" si="9"/>
        <v/>
      </c>
      <c r="E27" s="4"/>
      <c r="F27" s="8"/>
      <c r="G27" s="9"/>
      <c r="H27" s="9"/>
      <c r="I27" s="48"/>
      <c r="J27" s="21" t="str">
        <f t="shared" si="0"/>
        <v/>
      </c>
      <c r="K27" s="8"/>
      <c r="L27" s="9"/>
      <c r="M27" s="9"/>
      <c r="N27" s="48"/>
      <c r="O27" s="21" t="str">
        <f t="shared" si="1"/>
        <v/>
      </c>
      <c r="P27" s="8"/>
      <c r="Q27" s="9"/>
      <c r="R27" s="9"/>
      <c r="S27" s="48"/>
      <c r="T27" s="21" t="str">
        <f t="shared" si="2"/>
        <v/>
      </c>
      <c r="U27" s="53" t="str">
        <f t="shared" si="3"/>
        <v/>
      </c>
      <c r="V27" s="54" t="str">
        <f t="shared" si="4"/>
        <v/>
      </c>
      <c r="W27" s="55" t="str">
        <f t="shared" si="5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6"/>
        <v/>
      </c>
      <c r="B28" s="18" t="str">
        <f t="shared" si="7"/>
        <v/>
      </c>
      <c r="C28" s="18" t="str">
        <f t="shared" si="8"/>
        <v/>
      </c>
      <c r="D28" s="18" t="str">
        <f t="shared" si="9"/>
        <v/>
      </c>
      <c r="E28" s="4"/>
      <c r="F28" s="8"/>
      <c r="G28" s="9"/>
      <c r="H28" s="9"/>
      <c r="I28" s="48"/>
      <c r="J28" s="21" t="str">
        <f t="shared" si="0"/>
        <v/>
      </c>
      <c r="K28" s="8"/>
      <c r="L28" s="9"/>
      <c r="M28" s="9"/>
      <c r="N28" s="48"/>
      <c r="O28" s="21" t="str">
        <f t="shared" si="1"/>
        <v/>
      </c>
      <c r="P28" s="8"/>
      <c r="Q28" s="9"/>
      <c r="R28" s="9"/>
      <c r="S28" s="48"/>
      <c r="T28" s="21" t="str">
        <f t="shared" si="2"/>
        <v/>
      </c>
      <c r="U28" s="53" t="str">
        <f t="shared" si="3"/>
        <v/>
      </c>
      <c r="V28" s="54" t="str">
        <f t="shared" si="4"/>
        <v/>
      </c>
      <c r="W28" s="55" t="str">
        <f t="shared" si="5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6"/>
        <v/>
      </c>
      <c r="B29" s="18" t="str">
        <f t="shared" si="7"/>
        <v/>
      </c>
      <c r="C29" s="18" t="str">
        <f t="shared" si="8"/>
        <v/>
      </c>
      <c r="D29" s="18" t="str">
        <f t="shared" si="9"/>
        <v/>
      </c>
      <c r="E29" s="4"/>
      <c r="F29" s="8"/>
      <c r="G29" s="9"/>
      <c r="H29" s="9"/>
      <c r="I29" s="48"/>
      <c r="J29" s="21" t="str">
        <f t="shared" si="0"/>
        <v/>
      </c>
      <c r="K29" s="8"/>
      <c r="L29" s="9"/>
      <c r="M29" s="9"/>
      <c r="N29" s="48"/>
      <c r="O29" s="21" t="str">
        <f t="shared" si="1"/>
        <v/>
      </c>
      <c r="P29" s="8"/>
      <c r="Q29" s="9"/>
      <c r="R29" s="9"/>
      <c r="S29" s="48"/>
      <c r="T29" s="21" t="str">
        <f t="shared" si="2"/>
        <v/>
      </c>
      <c r="U29" s="53" t="str">
        <f t="shared" si="3"/>
        <v/>
      </c>
      <c r="V29" s="54" t="str">
        <f t="shared" si="4"/>
        <v/>
      </c>
      <c r="W29" s="55" t="str">
        <f t="shared" si="5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6"/>
        <v/>
      </c>
      <c r="B30" s="19" t="str">
        <f t="shared" si="7"/>
        <v/>
      </c>
      <c r="C30" s="19" t="str">
        <f t="shared" si="8"/>
        <v/>
      </c>
      <c r="D30" s="19" t="str">
        <f t="shared" si="9"/>
        <v/>
      </c>
      <c r="E30" s="5"/>
      <c r="F30" s="10"/>
      <c r="G30" s="11"/>
      <c r="H30" s="11"/>
      <c r="I30" s="49"/>
      <c r="J30" s="22" t="str">
        <f t="shared" si="0"/>
        <v/>
      </c>
      <c r="K30" s="10"/>
      <c r="L30" s="11"/>
      <c r="M30" s="11"/>
      <c r="N30" s="49"/>
      <c r="O30" s="22" t="str">
        <f t="shared" si="1"/>
        <v/>
      </c>
      <c r="P30" s="10"/>
      <c r="Q30" s="11"/>
      <c r="R30" s="11"/>
      <c r="S30" s="49"/>
      <c r="T30" s="22" t="str">
        <f t="shared" si="2"/>
        <v/>
      </c>
      <c r="U30" s="56" t="str">
        <f t="shared" si="3"/>
        <v/>
      </c>
      <c r="V30" s="57" t="str">
        <f t="shared" si="4"/>
        <v/>
      </c>
      <c r="W30" s="58" t="str">
        <f t="shared" si="5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CBBC4678-B1E1-4C05-AA30-FBF01611276D}">
      <formula1>$U$2:$W$2</formula1>
    </dataValidation>
    <dataValidation type="list" showInputMessage="1" showErrorMessage="1" sqref="K4:K30 P4:P30 F4:F30" xr:uid="{3F5F09CB-6415-4C77-9D5B-0BAFF164B1F3}">
      <formula1>"ロン,ツモ,放銃,ツモ支払,流局,チョンボ"</formula1>
    </dataValidation>
  </dataValidations>
  <pageMargins left="0.7" right="0.7" top="0.75" bottom="0.75" header="0.3" footer="0.3"/>
  <pageSetup paperSize="9" scale="28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27F4D-4F14-4793-A804-30864C07D297}">
  <sheetPr codeName="Sheet19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93" t="s">
        <v>0</v>
      </c>
      <c r="B1" s="95" t="s">
        <v>2</v>
      </c>
      <c r="C1" s="95" t="s">
        <v>1</v>
      </c>
      <c r="D1" s="95" t="s">
        <v>21</v>
      </c>
      <c r="E1" s="97" t="s">
        <v>3</v>
      </c>
      <c r="F1" s="89" t="s">
        <v>166</v>
      </c>
      <c r="G1" s="90"/>
      <c r="H1" s="90"/>
      <c r="I1" s="91"/>
      <c r="J1" s="92"/>
      <c r="K1" s="89" t="s">
        <v>141</v>
      </c>
      <c r="L1" s="90"/>
      <c r="M1" s="90"/>
      <c r="N1" s="91"/>
      <c r="O1" s="92"/>
      <c r="P1" s="89" t="s">
        <v>164</v>
      </c>
      <c r="Q1" s="90"/>
      <c r="R1" s="90"/>
      <c r="S1" s="91"/>
      <c r="T1" s="92"/>
      <c r="U1" s="89" t="s">
        <v>6</v>
      </c>
      <c r="V1" s="90"/>
      <c r="W1" s="92"/>
      <c r="Y1" s="89" t="str">
        <f>F1</f>
        <v>ただ</v>
      </c>
      <c r="Z1" s="10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2"/>
      <c r="AT1" s="89" t="str">
        <f>K1</f>
        <v>れんたろう</v>
      </c>
      <c r="AU1" s="100"/>
      <c r="AV1" s="90"/>
      <c r="AW1" s="90"/>
      <c r="AX1" s="90"/>
      <c r="AY1" s="90"/>
      <c r="AZ1" s="90"/>
      <c r="BA1" s="90"/>
      <c r="BB1" s="90"/>
      <c r="BC1" s="90"/>
      <c r="BD1" s="90"/>
      <c r="BE1" s="90"/>
      <c r="BF1" s="90"/>
      <c r="BG1" s="90"/>
      <c r="BH1" s="90"/>
      <c r="BI1" s="90"/>
      <c r="BJ1" s="90"/>
      <c r="BK1" s="90"/>
      <c r="BL1" s="90"/>
      <c r="BM1" s="90"/>
      <c r="BN1" s="92"/>
      <c r="BO1" s="89" t="str">
        <f>P1</f>
        <v>いっしー</v>
      </c>
      <c r="BP1" s="100"/>
      <c r="BQ1" s="90"/>
      <c r="BR1" s="90"/>
      <c r="BS1" s="90"/>
      <c r="BT1" s="90"/>
      <c r="BU1" s="90"/>
      <c r="BV1" s="90"/>
      <c r="BW1" s="90"/>
      <c r="BX1" s="90"/>
      <c r="BY1" s="90"/>
      <c r="BZ1" s="90"/>
      <c r="CA1" s="90"/>
      <c r="CB1" s="90"/>
      <c r="CC1" s="90"/>
      <c r="CD1" s="90"/>
      <c r="CE1" s="90"/>
      <c r="CF1" s="90"/>
      <c r="CG1" s="90"/>
      <c r="CH1" s="90"/>
      <c r="CI1" s="92"/>
    </row>
    <row r="2" spans="1:87" x14ac:dyDescent="0.4">
      <c r="A2" s="94"/>
      <c r="B2" s="96"/>
      <c r="C2" s="96"/>
      <c r="D2" s="96"/>
      <c r="E2" s="9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7" t="str">
        <f>$F$1</f>
        <v>ただ</v>
      </c>
      <c r="V2" s="88" t="str">
        <f>$K$1</f>
        <v>れんたろう</v>
      </c>
      <c r="W2" s="16" t="str">
        <f>$P$1</f>
        <v>いっしー</v>
      </c>
      <c r="Y2" s="83" t="s">
        <v>23</v>
      </c>
      <c r="Z2" s="86" t="s">
        <v>26</v>
      </c>
      <c r="AA2" s="84" t="s">
        <v>24</v>
      </c>
      <c r="AB2" s="84" t="s">
        <v>127</v>
      </c>
      <c r="AC2" s="84" t="s">
        <v>18</v>
      </c>
      <c r="AD2" s="85" t="s">
        <v>19</v>
      </c>
      <c r="AE2" s="99" t="s">
        <v>20</v>
      </c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  <c r="AT2" s="83" t="s">
        <v>23</v>
      </c>
      <c r="AU2" s="86" t="s">
        <v>26</v>
      </c>
      <c r="AV2" s="84" t="s">
        <v>24</v>
      </c>
      <c r="AW2" s="84" t="s">
        <v>128</v>
      </c>
      <c r="AX2" s="84" t="s">
        <v>18</v>
      </c>
      <c r="AY2" s="85" t="s">
        <v>19</v>
      </c>
      <c r="AZ2" s="99" t="s">
        <v>20</v>
      </c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83" t="s">
        <v>23</v>
      </c>
      <c r="BP2" s="86" t="s">
        <v>26</v>
      </c>
      <c r="BQ2" s="84" t="s">
        <v>24</v>
      </c>
      <c r="BR2" s="84" t="s">
        <v>128</v>
      </c>
      <c r="BS2" s="84" t="s">
        <v>18</v>
      </c>
      <c r="BT2" s="85" t="s">
        <v>19</v>
      </c>
      <c r="BU2" s="99" t="s">
        <v>20</v>
      </c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99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-5400</v>
      </c>
      <c r="K3" s="7"/>
      <c r="L3" s="23"/>
      <c r="M3" s="23"/>
      <c r="N3" s="47"/>
      <c r="O3" s="20">
        <v>138800</v>
      </c>
      <c r="P3" s="7"/>
      <c r="Q3" s="23"/>
      <c r="R3" s="23"/>
      <c r="S3" s="47"/>
      <c r="T3" s="20">
        <v>166600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140</v>
      </c>
      <c r="F4" s="8" t="s">
        <v>158</v>
      </c>
      <c r="G4" s="9">
        <v>-1500</v>
      </c>
      <c r="H4" s="9"/>
      <c r="I4" s="48"/>
      <c r="J4" s="21">
        <f t="shared" ref="J4:J30" si="0">IF(COUNTA($F4,$K4,$P4)&gt;0,J3+SUM(G4:I4),"")</f>
        <v>-6900</v>
      </c>
      <c r="K4" s="8" t="s">
        <v>158</v>
      </c>
      <c r="L4" s="9">
        <v>3000</v>
      </c>
      <c r="M4" s="9"/>
      <c r="N4" s="48"/>
      <c r="O4" s="21">
        <f t="shared" ref="O4:O30" si="1">IF(COUNTA($F4,$K4,$P4)&gt;0,O3+SUM(L4:N4),"")</f>
        <v>141800</v>
      </c>
      <c r="P4" s="8" t="s">
        <v>158</v>
      </c>
      <c r="Q4" s="9">
        <v>-1500</v>
      </c>
      <c r="R4" s="9"/>
      <c r="S4" s="48"/>
      <c r="T4" s="21">
        <f t="shared" ref="T4:T30" si="2">IF(COUNTA($F4,$K4,$P4)&gt;0,T3+SUM(Q4:S4),"")</f>
        <v>165100</v>
      </c>
      <c r="U4" s="53">
        <f t="shared" ref="U4:U30" si="3">IF($J4="","",ROUND(($J4-$J$3)/1000,1))</f>
        <v>-1.5</v>
      </c>
      <c r="V4" s="54">
        <f t="shared" ref="V4:V30" si="4">IF($O4="","",ROUND(($O4-$O$3)/1000,1))</f>
        <v>3</v>
      </c>
      <c r="W4" s="55">
        <f t="shared" ref="W4:W30" si="5">IF($T4="","",ROUND(($T4-$T$3)/1000,1))</f>
        <v>-1.5</v>
      </c>
      <c r="Y4" s="8" t="s">
        <v>157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156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157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6">IF($E5="","",IF(AND(B4=3,B5=1),_xlfn.SWITCH(A4,"東","南","南","西","西","北","北","東"),A4))</f>
        <v>東</v>
      </c>
      <c r="B5" s="18">
        <f t="shared" ref="B5:B30" si="7">IF($E5="","",IF($E4=$E5,B4,IF(B4=3,1,B4+1)))</f>
        <v>1</v>
      </c>
      <c r="C5" s="18">
        <f t="shared" ref="C5:C30" si="8">IF($E5="","",IF($F4="チョンボ",C4,IF(OR($E4=$E5,$F4="流局"),C4+1,0)))</f>
        <v>1</v>
      </c>
      <c r="D5" s="18">
        <f t="shared" ref="D5:D30" si="9">IF($E5="","",IF(OR($F4="流局",$F4="チョンボ"),D4+($H4+$M4+$R4)/-1000,0))</f>
        <v>0</v>
      </c>
      <c r="E5" s="4" t="s">
        <v>140</v>
      </c>
      <c r="F5" s="8" t="s">
        <v>142</v>
      </c>
      <c r="G5" s="9">
        <v>-5800</v>
      </c>
      <c r="H5" s="9"/>
      <c r="I5" s="48">
        <v>-500</v>
      </c>
      <c r="J5" s="21">
        <f t="shared" si="0"/>
        <v>-13200</v>
      </c>
      <c r="K5" s="8" t="s">
        <v>143</v>
      </c>
      <c r="L5" s="9">
        <v>11600</v>
      </c>
      <c r="M5" s="9"/>
      <c r="N5" s="48">
        <v>1000</v>
      </c>
      <c r="O5" s="21">
        <f t="shared" si="1"/>
        <v>154400</v>
      </c>
      <c r="P5" s="8" t="s">
        <v>142</v>
      </c>
      <c r="Q5" s="9">
        <v>-5800</v>
      </c>
      <c r="R5" s="9"/>
      <c r="S5" s="48">
        <v>-500</v>
      </c>
      <c r="T5" s="21">
        <f t="shared" si="2"/>
        <v>158800</v>
      </c>
      <c r="U5" s="53">
        <f t="shared" si="3"/>
        <v>-7.8</v>
      </c>
      <c r="V5" s="54">
        <f t="shared" si="4"/>
        <v>15.6</v>
      </c>
      <c r="W5" s="55">
        <f t="shared" si="5"/>
        <v>-7.8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4</v>
      </c>
      <c r="AY5" s="30">
        <v>30</v>
      </c>
      <c r="AZ5" s="40" t="s">
        <v>86</v>
      </c>
      <c r="BA5" s="41" t="s">
        <v>79</v>
      </c>
      <c r="BB5" s="41" t="s">
        <v>79</v>
      </c>
      <c r="BC5" s="41" t="s">
        <v>79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6"/>
        <v>東</v>
      </c>
      <c r="B6" s="18">
        <f t="shared" si="7"/>
        <v>1</v>
      </c>
      <c r="C6" s="18">
        <f t="shared" si="8"/>
        <v>2</v>
      </c>
      <c r="D6" s="18">
        <f t="shared" si="9"/>
        <v>0</v>
      </c>
      <c r="E6" s="4" t="s">
        <v>140</v>
      </c>
      <c r="F6" s="8" t="s">
        <v>145</v>
      </c>
      <c r="G6" s="9">
        <v>-20000</v>
      </c>
      <c r="H6" s="9">
        <v>-1000</v>
      </c>
      <c r="I6" s="48">
        <v>-2000</v>
      </c>
      <c r="J6" s="21">
        <f t="shared" si="0"/>
        <v>-36200</v>
      </c>
      <c r="K6" s="8" t="s">
        <v>146</v>
      </c>
      <c r="L6" s="9">
        <v>12000</v>
      </c>
      <c r="M6" s="9">
        <v>1000</v>
      </c>
      <c r="N6" s="48">
        <v>2000</v>
      </c>
      <c r="O6" s="21">
        <f t="shared" si="1"/>
        <v>169400</v>
      </c>
      <c r="P6" s="8" t="s">
        <v>146</v>
      </c>
      <c r="Q6" s="9">
        <v>8000</v>
      </c>
      <c r="R6" s="9"/>
      <c r="S6" s="48"/>
      <c r="T6" s="21">
        <f t="shared" si="2"/>
        <v>166800</v>
      </c>
      <c r="U6" s="53">
        <f t="shared" si="3"/>
        <v>-30.8</v>
      </c>
      <c r="V6" s="54">
        <f t="shared" si="4"/>
        <v>30.6</v>
      </c>
      <c r="W6" s="55">
        <f t="shared" si="5"/>
        <v>0.2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4</v>
      </c>
      <c r="AY6" s="30">
        <v>40</v>
      </c>
      <c r="AZ6" s="40" t="s">
        <v>104</v>
      </c>
      <c r="BA6" s="41" t="s">
        <v>86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40</v>
      </c>
      <c r="BU6" s="40" t="s">
        <v>104</v>
      </c>
      <c r="BV6" s="41" t="s">
        <v>86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6"/>
        <v>東</v>
      </c>
      <c r="B7" s="18">
        <f t="shared" si="7"/>
        <v>1</v>
      </c>
      <c r="C7" s="18">
        <f t="shared" si="8"/>
        <v>3</v>
      </c>
      <c r="D7" s="18">
        <f t="shared" si="9"/>
        <v>0</v>
      </c>
      <c r="E7" s="4" t="s">
        <v>140</v>
      </c>
      <c r="F7" s="8" t="s">
        <v>142</v>
      </c>
      <c r="G7" s="9">
        <v>-2400</v>
      </c>
      <c r="H7" s="9"/>
      <c r="I7" s="48">
        <v>-1500</v>
      </c>
      <c r="J7" s="21">
        <f t="shared" si="0"/>
        <v>-40100</v>
      </c>
      <c r="K7" s="8" t="s">
        <v>143</v>
      </c>
      <c r="L7" s="9">
        <v>4800</v>
      </c>
      <c r="M7" s="9"/>
      <c r="N7" s="48">
        <v>3000</v>
      </c>
      <c r="O7" s="21">
        <f t="shared" si="1"/>
        <v>177200</v>
      </c>
      <c r="P7" s="8" t="s">
        <v>142</v>
      </c>
      <c r="Q7" s="9">
        <v>-2400</v>
      </c>
      <c r="R7" s="9"/>
      <c r="S7" s="48">
        <v>-1500</v>
      </c>
      <c r="T7" s="21">
        <f t="shared" si="2"/>
        <v>162900</v>
      </c>
      <c r="U7" s="53">
        <f t="shared" si="3"/>
        <v>-34.700000000000003</v>
      </c>
      <c r="V7" s="54">
        <f t="shared" si="4"/>
        <v>38.4</v>
      </c>
      <c r="W7" s="55">
        <f t="shared" si="5"/>
        <v>-3.7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3</v>
      </c>
      <c r="AY7" s="30">
        <v>25</v>
      </c>
      <c r="AZ7" s="40" t="s">
        <v>101</v>
      </c>
      <c r="BA7" s="41" t="s">
        <v>147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6"/>
        <v>東</v>
      </c>
      <c r="B8" s="18">
        <f t="shared" si="7"/>
        <v>1</v>
      </c>
      <c r="C8" s="18">
        <f t="shared" si="8"/>
        <v>4</v>
      </c>
      <c r="D8" s="18">
        <f t="shared" si="9"/>
        <v>0</v>
      </c>
      <c r="E8" s="4" t="s">
        <v>140</v>
      </c>
      <c r="F8" s="8" t="s">
        <v>142</v>
      </c>
      <c r="G8" s="9">
        <v>-5800</v>
      </c>
      <c r="H8" s="9"/>
      <c r="I8" s="48">
        <v>-2000</v>
      </c>
      <c r="J8" s="21">
        <f t="shared" si="0"/>
        <v>-47900</v>
      </c>
      <c r="K8" s="8" t="s">
        <v>143</v>
      </c>
      <c r="L8" s="9">
        <v>11600</v>
      </c>
      <c r="M8" s="9"/>
      <c r="N8" s="48">
        <v>4000</v>
      </c>
      <c r="O8" s="21">
        <f t="shared" si="1"/>
        <v>192800</v>
      </c>
      <c r="P8" s="8" t="s">
        <v>142</v>
      </c>
      <c r="Q8" s="9">
        <v>-5800</v>
      </c>
      <c r="R8" s="9"/>
      <c r="S8" s="48">
        <v>-2000</v>
      </c>
      <c r="T8" s="21">
        <f t="shared" si="2"/>
        <v>155100</v>
      </c>
      <c r="U8" s="53">
        <f t="shared" si="3"/>
        <v>-42.5</v>
      </c>
      <c r="V8" s="54">
        <f t="shared" si="4"/>
        <v>54</v>
      </c>
      <c r="W8" s="55">
        <f t="shared" si="5"/>
        <v>-11.5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4</v>
      </c>
      <c r="AY8" s="30">
        <v>30</v>
      </c>
      <c r="AZ8" s="40" t="s">
        <v>144</v>
      </c>
      <c r="BA8" s="41" t="s">
        <v>82</v>
      </c>
      <c r="BB8" s="41" t="s">
        <v>86</v>
      </c>
      <c r="BC8" s="41" t="s">
        <v>86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6"/>
        <v>東</v>
      </c>
      <c r="B9" s="18">
        <f t="shared" si="7"/>
        <v>1</v>
      </c>
      <c r="C9" s="18">
        <f t="shared" si="8"/>
        <v>5</v>
      </c>
      <c r="D9" s="18">
        <f t="shared" si="9"/>
        <v>0</v>
      </c>
      <c r="E9" s="4" t="s">
        <v>140</v>
      </c>
      <c r="F9" s="8" t="s">
        <v>142</v>
      </c>
      <c r="G9" s="9">
        <v>-3000</v>
      </c>
      <c r="H9" s="9"/>
      <c r="I9" s="48">
        <v>-2500</v>
      </c>
      <c r="J9" s="21">
        <f t="shared" si="0"/>
        <v>-53400</v>
      </c>
      <c r="K9" s="8" t="s">
        <v>142</v>
      </c>
      <c r="L9" s="9">
        <v>-5000</v>
      </c>
      <c r="M9" s="9"/>
      <c r="N9" s="48">
        <v>-2500</v>
      </c>
      <c r="O9" s="21">
        <f t="shared" si="1"/>
        <v>185300</v>
      </c>
      <c r="P9" s="8" t="s">
        <v>143</v>
      </c>
      <c r="Q9" s="9">
        <v>8000</v>
      </c>
      <c r="R9" s="9"/>
      <c r="S9" s="48">
        <v>5000</v>
      </c>
      <c r="T9" s="21">
        <f t="shared" si="2"/>
        <v>168100</v>
      </c>
      <c r="U9" s="53">
        <f t="shared" si="3"/>
        <v>-48</v>
      </c>
      <c r="V9" s="54">
        <f t="shared" si="4"/>
        <v>46.5</v>
      </c>
      <c r="W9" s="55">
        <f t="shared" si="5"/>
        <v>1.5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5</v>
      </c>
      <c r="BT9" s="30" t="s">
        <v>154</v>
      </c>
      <c r="BU9" s="40" t="s">
        <v>104</v>
      </c>
      <c r="BV9" s="41" t="s">
        <v>86</v>
      </c>
      <c r="BW9" s="41" t="s">
        <v>86</v>
      </c>
      <c r="BX9" s="41" t="s">
        <v>147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6"/>
        <v>東</v>
      </c>
      <c r="B10" s="18">
        <f t="shared" si="7"/>
        <v>2</v>
      </c>
      <c r="C10" s="18">
        <f t="shared" si="8"/>
        <v>0</v>
      </c>
      <c r="D10" s="18">
        <f t="shared" si="9"/>
        <v>0</v>
      </c>
      <c r="E10" s="4" t="s">
        <v>163</v>
      </c>
      <c r="F10" s="8"/>
      <c r="G10" s="9"/>
      <c r="H10" s="9"/>
      <c r="I10" s="48"/>
      <c r="J10" s="21">
        <f t="shared" si="0"/>
        <v>-53400</v>
      </c>
      <c r="K10" s="8" t="s">
        <v>146</v>
      </c>
      <c r="L10" s="9">
        <v>8000</v>
      </c>
      <c r="M10" s="9"/>
      <c r="N10" s="48">
        <v>0</v>
      </c>
      <c r="O10" s="21">
        <f t="shared" si="1"/>
        <v>193300</v>
      </c>
      <c r="P10" s="8" t="s">
        <v>145</v>
      </c>
      <c r="Q10" s="9">
        <v>-8000</v>
      </c>
      <c r="R10" s="9"/>
      <c r="S10" s="48">
        <v>0</v>
      </c>
      <c r="T10" s="21">
        <f t="shared" si="2"/>
        <v>160100</v>
      </c>
      <c r="U10" s="53">
        <f t="shared" si="3"/>
        <v>-48</v>
      </c>
      <c r="V10" s="54">
        <f t="shared" si="4"/>
        <v>54.5</v>
      </c>
      <c r="W10" s="55">
        <f t="shared" si="5"/>
        <v>-6.5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5</v>
      </c>
      <c r="AY10" s="30" t="s">
        <v>154</v>
      </c>
      <c r="AZ10" s="40" t="s">
        <v>104</v>
      </c>
      <c r="BA10" s="41" t="s">
        <v>101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6"/>
        <v>東</v>
      </c>
      <c r="B11" s="18">
        <f t="shared" si="7"/>
        <v>3</v>
      </c>
      <c r="C11" s="18">
        <f t="shared" si="8"/>
        <v>0</v>
      </c>
      <c r="D11" s="18">
        <f t="shared" si="9"/>
        <v>0</v>
      </c>
      <c r="E11" s="4" t="s">
        <v>165</v>
      </c>
      <c r="F11" s="8"/>
      <c r="G11" s="9"/>
      <c r="H11" s="9"/>
      <c r="I11" s="48"/>
      <c r="J11" s="21">
        <f t="shared" si="0"/>
        <v>-53400</v>
      </c>
      <c r="K11" s="8" t="s">
        <v>145</v>
      </c>
      <c r="L11" s="9">
        <v>-1000</v>
      </c>
      <c r="M11" s="9"/>
      <c r="N11" s="48">
        <v>0</v>
      </c>
      <c r="O11" s="21">
        <f t="shared" si="1"/>
        <v>192300</v>
      </c>
      <c r="P11" s="8" t="s">
        <v>146</v>
      </c>
      <c r="Q11" s="9">
        <v>1000</v>
      </c>
      <c r="R11" s="9"/>
      <c r="S11" s="48">
        <v>0</v>
      </c>
      <c r="T11" s="21">
        <f t="shared" si="2"/>
        <v>161100</v>
      </c>
      <c r="U11" s="53">
        <f t="shared" si="3"/>
        <v>-48</v>
      </c>
      <c r="V11" s="54">
        <f t="shared" si="4"/>
        <v>53.5</v>
      </c>
      <c r="W11" s="55">
        <f t="shared" si="5"/>
        <v>-5.5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1</v>
      </c>
      <c r="BT11" s="30">
        <v>30</v>
      </c>
      <c r="BU11" s="40" t="s">
        <v>86</v>
      </c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6"/>
        <v>南</v>
      </c>
      <c r="B12" s="18">
        <f t="shared" si="7"/>
        <v>1</v>
      </c>
      <c r="C12" s="18">
        <f t="shared" si="8"/>
        <v>0</v>
      </c>
      <c r="D12" s="18">
        <f t="shared" si="9"/>
        <v>0</v>
      </c>
      <c r="E12" s="4" t="s">
        <v>140</v>
      </c>
      <c r="F12" s="8" t="s">
        <v>158</v>
      </c>
      <c r="G12" s="9">
        <v>-1500</v>
      </c>
      <c r="H12" s="9"/>
      <c r="I12" s="48"/>
      <c r="J12" s="21">
        <f t="shared" si="0"/>
        <v>-54900</v>
      </c>
      <c r="K12" s="8" t="s">
        <v>158</v>
      </c>
      <c r="L12" s="9">
        <v>3000</v>
      </c>
      <c r="M12" s="9">
        <v>-1000</v>
      </c>
      <c r="N12" s="48"/>
      <c r="O12" s="21">
        <f t="shared" si="1"/>
        <v>194300</v>
      </c>
      <c r="P12" s="8" t="s">
        <v>158</v>
      </c>
      <c r="Q12" s="9">
        <v>-1500</v>
      </c>
      <c r="R12" s="9"/>
      <c r="S12" s="48"/>
      <c r="T12" s="21">
        <f t="shared" si="2"/>
        <v>159600</v>
      </c>
      <c r="U12" s="53">
        <f t="shared" si="3"/>
        <v>-49.5</v>
      </c>
      <c r="V12" s="54">
        <f t="shared" si="4"/>
        <v>55.5</v>
      </c>
      <c r="W12" s="55">
        <f t="shared" si="5"/>
        <v>-7</v>
      </c>
      <c r="Y12" s="8" t="s">
        <v>157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156</v>
      </c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157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6"/>
        <v>南</v>
      </c>
      <c r="B13" s="18">
        <f t="shared" si="7"/>
        <v>1</v>
      </c>
      <c r="C13" s="18">
        <f t="shared" si="8"/>
        <v>1</v>
      </c>
      <c r="D13" s="18">
        <f t="shared" si="9"/>
        <v>1</v>
      </c>
      <c r="E13" s="4" t="s">
        <v>140</v>
      </c>
      <c r="F13" s="8" t="s">
        <v>158</v>
      </c>
      <c r="G13" s="9">
        <v>-3000</v>
      </c>
      <c r="H13" s="9"/>
      <c r="I13" s="48"/>
      <c r="J13" s="21">
        <f t="shared" si="0"/>
        <v>-57900</v>
      </c>
      <c r="K13" s="8" t="s">
        <v>158</v>
      </c>
      <c r="L13" s="9">
        <v>1500</v>
      </c>
      <c r="M13" s="9"/>
      <c r="N13" s="48"/>
      <c r="O13" s="21">
        <f t="shared" si="1"/>
        <v>195800</v>
      </c>
      <c r="P13" s="8" t="s">
        <v>158</v>
      </c>
      <c r="Q13" s="9">
        <v>1500</v>
      </c>
      <c r="R13" s="9"/>
      <c r="S13" s="48"/>
      <c r="T13" s="21">
        <f t="shared" si="2"/>
        <v>161100</v>
      </c>
      <c r="U13" s="53">
        <f t="shared" si="3"/>
        <v>-52.5</v>
      </c>
      <c r="V13" s="54">
        <f t="shared" si="4"/>
        <v>57</v>
      </c>
      <c r="W13" s="55">
        <f t="shared" si="5"/>
        <v>-5.5</v>
      </c>
      <c r="Y13" s="8" t="s">
        <v>157</v>
      </c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156</v>
      </c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156</v>
      </c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6"/>
        <v>南</v>
      </c>
      <c r="B14" s="18">
        <f t="shared" si="7"/>
        <v>1</v>
      </c>
      <c r="C14" s="18">
        <f t="shared" si="8"/>
        <v>2</v>
      </c>
      <c r="D14" s="18">
        <f t="shared" si="9"/>
        <v>1</v>
      </c>
      <c r="E14" s="4" t="s">
        <v>140</v>
      </c>
      <c r="F14" s="8"/>
      <c r="G14" s="9"/>
      <c r="H14" s="9"/>
      <c r="I14" s="48"/>
      <c r="J14" s="21">
        <f t="shared" si="0"/>
        <v>-57900</v>
      </c>
      <c r="K14" s="8" t="s">
        <v>145</v>
      </c>
      <c r="L14" s="9">
        <v>-8000</v>
      </c>
      <c r="M14" s="9"/>
      <c r="N14" s="48">
        <v>-2000</v>
      </c>
      <c r="O14" s="21">
        <f t="shared" si="1"/>
        <v>185800</v>
      </c>
      <c r="P14" s="8" t="s">
        <v>146</v>
      </c>
      <c r="Q14" s="9">
        <v>8000</v>
      </c>
      <c r="R14" s="9">
        <v>1000</v>
      </c>
      <c r="S14" s="48">
        <v>2000</v>
      </c>
      <c r="T14" s="21">
        <f t="shared" si="2"/>
        <v>172100</v>
      </c>
      <c r="U14" s="53">
        <f t="shared" si="3"/>
        <v>-52.5</v>
      </c>
      <c r="V14" s="54">
        <f t="shared" si="4"/>
        <v>47</v>
      </c>
      <c r="W14" s="55">
        <f t="shared" si="5"/>
        <v>5.5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>
        <v>4</v>
      </c>
      <c r="BT14" s="30">
        <v>50</v>
      </c>
      <c r="BU14" s="40" t="s">
        <v>144</v>
      </c>
      <c r="BV14" s="41" t="s">
        <v>79</v>
      </c>
      <c r="BW14" s="41" t="s">
        <v>79</v>
      </c>
      <c r="BX14" s="41" t="s">
        <v>79</v>
      </c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6"/>
        <v>南</v>
      </c>
      <c r="B15" s="18">
        <f t="shared" si="7"/>
        <v>2</v>
      </c>
      <c r="C15" s="18">
        <f t="shared" si="8"/>
        <v>0</v>
      </c>
      <c r="D15" s="18">
        <f t="shared" si="9"/>
        <v>0</v>
      </c>
      <c r="E15" s="4" t="s">
        <v>163</v>
      </c>
      <c r="F15" s="8" t="s">
        <v>145</v>
      </c>
      <c r="G15" s="9">
        <v>-2000</v>
      </c>
      <c r="H15" s="9"/>
      <c r="I15" s="48">
        <v>0</v>
      </c>
      <c r="J15" s="21">
        <f t="shared" si="0"/>
        <v>-59900</v>
      </c>
      <c r="K15" s="8" t="s">
        <v>146</v>
      </c>
      <c r="L15" s="9">
        <v>2000</v>
      </c>
      <c r="M15" s="9"/>
      <c r="N15" s="48">
        <v>0</v>
      </c>
      <c r="O15" s="21">
        <f t="shared" si="1"/>
        <v>187800</v>
      </c>
      <c r="P15" s="8"/>
      <c r="Q15" s="9"/>
      <c r="R15" s="9"/>
      <c r="S15" s="48"/>
      <c r="T15" s="21">
        <f t="shared" si="2"/>
        <v>172100</v>
      </c>
      <c r="U15" s="53">
        <f t="shared" si="3"/>
        <v>-54.5</v>
      </c>
      <c r="V15" s="54">
        <f t="shared" si="4"/>
        <v>49</v>
      </c>
      <c r="W15" s="55">
        <f t="shared" si="5"/>
        <v>5.5</v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>
        <v>1</v>
      </c>
      <c r="AX15" s="26">
        <v>2</v>
      </c>
      <c r="AY15" s="30">
        <v>30</v>
      </c>
      <c r="AZ15" s="40" t="s">
        <v>86</v>
      </c>
      <c r="BA15" s="41" t="s">
        <v>86</v>
      </c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>
        <v>1</v>
      </c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6"/>
        <v>南</v>
      </c>
      <c r="B16" s="18">
        <f t="shared" si="7"/>
        <v>3</v>
      </c>
      <c r="C16" s="18">
        <f t="shared" si="8"/>
        <v>0</v>
      </c>
      <c r="D16" s="18">
        <f t="shared" si="9"/>
        <v>0</v>
      </c>
      <c r="E16" s="4" t="s">
        <v>165</v>
      </c>
      <c r="F16" s="8"/>
      <c r="G16" s="9"/>
      <c r="H16" s="9"/>
      <c r="I16" s="48"/>
      <c r="J16" s="21">
        <f t="shared" si="0"/>
        <v>-59900</v>
      </c>
      <c r="K16" s="8" t="s">
        <v>146</v>
      </c>
      <c r="L16" s="9">
        <v>7700</v>
      </c>
      <c r="M16" s="9"/>
      <c r="N16" s="48">
        <v>0</v>
      </c>
      <c r="O16" s="21">
        <f t="shared" si="1"/>
        <v>195500</v>
      </c>
      <c r="P16" s="8" t="s">
        <v>145</v>
      </c>
      <c r="Q16" s="9">
        <v>-7700</v>
      </c>
      <c r="R16" s="9"/>
      <c r="S16" s="48">
        <v>0</v>
      </c>
      <c r="T16" s="21">
        <f t="shared" si="2"/>
        <v>164400</v>
      </c>
      <c r="U16" s="53">
        <f t="shared" si="3"/>
        <v>-54.5</v>
      </c>
      <c r="V16" s="54">
        <f t="shared" si="4"/>
        <v>56.7</v>
      </c>
      <c r="W16" s="55">
        <f t="shared" si="5"/>
        <v>-2.2000000000000002</v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>
        <v>4</v>
      </c>
      <c r="AY16" s="30">
        <v>30</v>
      </c>
      <c r="AZ16" s="40" t="s">
        <v>83</v>
      </c>
      <c r="BA16" s="41" t="s">
        <v>85</v>
      </c>
      <c r="BB16" s="41" t="s">
        <v>147</v>
      </c>
      <c r="BC16" s="41" t="s">
        <v>79</v>
      </c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6"/>
        <v/>
      </c>
      <c r="B17" s="18" t="str">
        <f t="shared" si="7"/>
        <v/>
      </c>
      <c r="C17" s="18" t="str">
        <f t="shared" si="8"/>
        <v/>
      </c>
      <c r="D17" s="18" t="str">
        <f t="shared" si="9"/>
        <v/>
      </c>
      <c r="E17" s="4"/>
      <c r="F17" s="8"/>
      <c r="G17" s="9"/>
      <c r="H17" s="9"/>
      <c r="I17" s="48"/>
      <c r="J17" s="21" t="str">
        <f t="shared" si="0"/>
        <v/>
      </c>
      <c r="K17" s="8"/>
      <c r="L17" s="9"/>
      <c r="M17" s="9"/>
      <c r="N17" s="48"/>
      <c r="O17" s="21" t="str">
        <f t="shared" si="1"/>
        <v/>
      </c>
      <c r="P17" s="8"/>
      <c r="Q17" s="9"/>
      <c r="R17" s="9"/>
      <c r="S17" s="48"/>
      <c r="T17" s="21" t="str">
        <f t="shared" si="2"/>
        <v/>
      </c>
      <c r="U17" s="53" t="str">
        <f t="shared" si="3"/>
        <v/>
      </c>
      <c r="V17" s="54" t="str">
        <f t="shared" si="4"/>
        <v/>
      </c>
      <c r="W17" s="55" t="str">
        <f t="shared" si="5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6"/>
        <v/>
      </c>
      <c r="B18" s="18" t="str">
        <f t="shared" si="7"/>
        <v/>
      </c>
      <c r="C18" s="18" t="str">
        <f t="shared" si="8"/>
        <v/>
      </c>
      <c r="D18" s="18" t="str">
        <f t="shared" si="9"/>
        <v/>
      </c>
      <c r="E18" s="4"/>
      <c r="F18" s="8"/>
      <c r="G18" s="9"/>
      <c r="H18" s="9"/>
      <c r="I18" s="48"/>
      <c r="J18" s="21" t="str">
        <f t="shared" si="0"/>
        <v/>
      </c>
      <c r="K18" s="8"/>
      <c r="L18" s="9"/>
      <c r="M18" s="9"/>
      <c r="N18" s="48"/>
      <c r="O18" s="21" t="str">
        <f t="shared" si="1"/>
        <v/>
      </c>
      <c r="P18" s="8"/>
      <c r="Q18" s="9"/>
      <c r="R18" s="9"/>
      <c r="S18" s="48"/>
      <c r="T18" s="21" t="str">
        <f t="shared" si="2"/>
        <v/>
      </c>
      <c r="U18" s="53" t="str">
        <f t="shared" si="3"/>
        <v/>
      </c>
      <c r="V18" s="54" t="str">
        <f t="shared" si="4"/>
        <v/>
      </c>
      <c r="W18" s="55" t="str">
        <f t="shared" si="5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6"/>
        <v/>
      </c>
      <c r="B19" s="18" t="str">
        <f t="shared" si="7"/>
        <v/>
      </c>
      <c r="C19" s="18" t="str">
        <f t="shared" si="8"/>
        <v/>
      </c>
      <c r="D19" s="18" t="str">
        <f t="shared" si="9"/>
        <v/>
      </c>
      <c r="E19" s="4"/>
      <c r="F19" s="8"/>
      <c r="G19" s="9"/>
      <c r="H19" s="9"/>
      <c r="I19" s="48"/>
      <c r="J19" s="21" t="str">
        <f t="shared" si="0"/>
        <v/>
      </c>
      <c r="K19" s="8"/>
      <c r="L19" s="9"/>
      <c r="M19" s="9"/>
      <c r="N19" s="48"/>
      <c r="O19" s="21" t="str">
        <f t="shared" si="1"/>
        <v/>
      </c>
      <c r="P19" s="8"/>
      <c r="Q19" s="9"/>
      <c r="R19" s="9"/>
      <c r="S19" s="48"/>
      <c r="T19" s="21" t="str">
        <f t="shared" si="2"/>
        <v/>
      </c>
      <c r="U19" s="53" t="str">
        <f t="shared" si="3"/>
        <v/>
      </c>
      <c r="V19" s="54" t="str">
        <f t="shared" si="4"/>
        <v/>
      </c>
      <c r="W19" s="55" t="str">
        <f t="shared" si="5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6"/>
        <v/>
      </c>
      <c r="B20" s="18" t="str">
        <f t="shared" si="7"/>
        <v/>
      </c>
      <c r="C20" s="18" t="str">
        <f t="shared" si="8"/>
        <v/>
      </c>
      <c r="D20" s="18" t="str">
        <f t="shared" si="9"/>
        <v/>
      </c>
      <c r="E20" s="4"/>
      <c r="F20" s="8"/>
      <c r="G20" s="9"/>
      <c r="H20" s="9"/>
      <c r="I20" s="48"/>
      <c r="J20" s="21" t="str">
        <f t="shared" si="0"/>
        <v/>
      </c>
      <c r="K20" s="8"/>
      <c r="L20" s="9"/>
      <c r="M20" s="9"/>
      <c r="N20" s="48"/>
      <c r="O20" s="21" t="str">
        <f t="shared" si="1"/>
        <v/>
      </c>
      <c r="P20" s="8"/>
      <c r="Q20" s="9"/>
      <c r="R20" s="9"/>
      <c r="S20" s="48"/>
      <c r="T20" s="21" t="str">
        <f t="shared" si="2"/>
        <v/>
      </c>
      <c r="U20" s="53" t="str">
        <f t="shared" si="3"/>
        <v/>
      </c>
      <c r="V20" s="54" t="str">
        <f t="shared" si="4"/>
        <v/>
      </c>
      <c r="W20" s="55" t="str">
        <f t="shared" si="5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6"/>
        <v/>
      </c>
      <c r="B21" s="18" t="str">
        <f t="shared" si="7"/>
        <v/>
      </c>
      <c r="C21" s="18" t="str">
        <f t="shared" si="8"/>
        <v/>
      </c>
      <c r="D21" s="18" t="str">
        <f t="shared" si="9"/>
        <v/>
      </c>
      <c r="E21" s="4"/>
      <c r="F21" s="8"/>
      <c r="G21" s="9"/>
      <c r="H21" s="9"/>
      <c r="I21" s="48"/>
      <c r="J21" s="21" t="str">
        <f t="shared" si="0"/>
        <v/>
      </c>
      <c r="K21" s="8"/>
      <c r="L21" s="9"/>
      <c r="M21" s="9"/>
      <c r="N21" s="48"/>
      <c r="O21" s="21" t="str">
        <f t="shared" si="1"/>
        <v/>
      </c>
      <c r="P21" s="8"/>
      <c r="Q21" s="9"/>
      <c r="R21" s="9"/>
      <c r="S21" s="48"/>
      <c r="T21" s="21" t="str">
        <f t="shared" si="2"/>
        <v/>
      </c>
      <c r="U21" s="53" t="str">
        <f t="shared" si="3"/>
        <v/>
      </c>
      <c r="V21" s="54" t="str">
        <f t="shared" si="4"/>
        <v/>
      </c>
      <c r="W21" s="55" t="str">
        <f t="shared" si="5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6"/>
        <v/>
      </c>
      <c r="B22" s="18" t="str">
        <f t="shared" si="7"/>
        <v/>
      </c>
      <c r="C22" s="18" t="str">
        <f t="shared" si="8"/>
        <v/>
      </c>
      <c r="D22" s="18" t="str">
        <f t="shared" si="9"/>
        <v/>
      </c>
      <c r="E22" s="4"/>
      <c r="F22" s="8"/>
      <c r="G22" s="9"/>
      <c r="H22" s="9"/>
      <c r="I22" s="48"/>
      <c r="J22" s="21" t="str">
        <f t="shared" si="0"/>
        <v/>
      </c>
      <c r="K22" s="8"/>
      <c r="L22" s="9"/>
      <c r="M22" s="9"/>
      <c r="N22" s="48"/>
      <c r="O22" s="21" t="str">
        <f t="shared" si="1"/>
        <v/>
      </c>
      <c r="P22" s="8"/>
      <c r="Q22" s="9"/>
      <c r="R22" s="9"/>
      <c r="S22" s="48"/>
      <c r="T22" s="21" t="str">
        <f t="shared" si="2"/>
        <v/>
      </c>
      <c r="U22" s="53" t="str">
        <f t="shared" si="3"/>
        <v/>
      </c>
      <c r="V22" s="54" t="str">
        <f t="shared" si="4"/>
        <v/>
      </c>
      <c r="W22" s="55" t="str">
        <f t="shared" si="5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6"/>
        <v/>
      </c>
      <c r="B23" s="18" t="str">
        <f t="shared" si="7"/>
        <v/>
      </c>
      <c r="C23" s="18" t="str">
        <f t="shared" si="8"/>
        <v/>
      </c>
      <c r="D23" s="18" t="str">
        <f t="shared" si="9"/>
        <v/>
      </c>
      <c r="E23" s="4"/>
      <c r="F23" s="8"/>
      <c r="G23" s="9"/>
      <c r="H23" s="9"/>
      <c r="I23" s="48"/>
      <c r="J23" s="21" t="str">
        <f t="shared" si="0"/>
        <v/>
      </c>
      <c r="K23" s="8"/>
      <c r="L23" s="9"/>
      <c r="M23" s="9"/>
      <c r="N23" s="48"/>
      <c r="O23" s="21" t="str">
        <f t="shared" si="1"/>
        <v/>
      </c>
      <c r="P23" s="8"/>
      <c r="Q23" s="9"/>
      <c r="R23" s="9"/>
      <c r="S23" s="48"/>
      <c r="T23" s="21" t="str">
        <f t="shared" si="2"/>
        <v/>
      </c>
      <c r="U23" s="53" t="str">
        <f t="shared" si="3"/>
        <v/>
      </c>
      <c r="V23" s="54" t="str">
        <f t="shared" si="4"/>
        <v/>
      </c>
      <c r="W23" s="55" t="str">
        <f t="shared" si="5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6"/>
        <v/>
      </c>
      <c r="B24" s="18" t="str">
        <f t="shared" si="7"/>
        <v/>
      </c>
      <c r="C24" s="18" t="str">
        <f t="shared" si="8"/>
        <v/>
      </c>
      <c r="D24" s="18" t="str">
        <f t="shared" si="9"/>
        <v/>
      </c>
      <c r="E24" s="4"/>
      <c r="F24" s="8"/>
      <c r="G24" s="9"/>
      <c r="H24" s="9"/>
      <c r="I24" s="48"/>
      <c r="J24" s="21" t="str">
        <f t="shared" si="0"/>
        <v/>
      </c>
      <c r="K24" s="8"/>
      <c r="L24" s="9"/>
      <c r="M24" s="9"/>
      <c r="N24" s="48"/>
      <c r="O24" s="21" t="str">
        <f t="shared" si="1"/>
        <v/>
      </c>
      <c r="P24" s="8"/>
      <c r="Q24" s="9"/>
      <c r="R24" s="9"/>
      <c r="S24" s="48"/>
      <c r="T24" s="21" t="str">
        <f t="shared" si="2"/>
        <v/>
      </c>
      <c r="U24" s="53" t="str">
        <f t="shared" si="3"/>
        <v/>
      </c>
      <c r="V24" s="54" t="str">
        <f t="shared" si="4"/>
        <v/>
      </c>
      <c r="W24" s="55" t="str">
        <f t="shared" si="5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6"/>
        <v/>
      </c>
      <c r="B25" s="18" t="str">
        <f t="shared" si="7"/>
        <v/>
      </c>
      <c r="C25" s="18" t="str">
        <f t="shared" si="8"/>
        <v/>
      </c>
      <c r="D25" s="18" t="str">
        <f t="shared" si="9"/>
        <v/>
      </c>
      <c r="E25" s="4"/>
      <c r="F25" s="8"/>
      <c r="G25" s="9"/>
      <c r="H25" s="9"/>
      <c r="I25" s="48"/>
      <c r="J25" s="21" t="str">
        <f t="shared" si="0"/>
        <v/>
      </c>
      <c r="K25" s="8"/>
      <c r="L25" s="9"/>
      <c r="M25" s="9"/>
      <c r="N25" s="48"/>
      <c r="O25" s="21" t="str">
        <f t="shared" si="1"/>
        <v/>
      </c>
      <c r="P25" s="8"/>
      <c r="Q25" s="9"/>
      <c r="R25" s="9"/>
      <c r="S25" s="48"/>
      <c r="T25" s="21" t="str">
        <f t="shared" si="2"/>
        <v/>
      </c>
      <c r="U25" s="53" t="str">
        <f t="shared" si="3"/>
        <v/>
      </c>
      <c r="V25" s="54" t="str">
        <f t="shared" si="4"/>
        <v/>
      </c>
      <c r="W25" s="55" t="str">
        <f t="shared" si="5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6"/>
        <v/>
      </c>
      <c r="B26" s="18" t="str">
        <f t="shared" si="7"/>
        <v/>
      </c>
      <c r="C26" s="18" t="str">
        <f t="shared" si="8"/>
        <v/>
      </c>
      <c r="D26" s="18" t="str">
        <f t="shared" si="9"/>
        <v/>
      </c>
      <c r="E26" s="4"/>
      <c r="F26" s="8"/>
      <c r="G26" s="9"/>
      <c r="H26" s="9"/>
      <c r="I26" s="48"/>
      <c r="J26" s="21" t="str">
        <f t="shared" si="0"/>
        <v/>
      </c>
      <c r="K26" s="8"/>
      <c r="L26" s="9"/>
      <c r="M26" s="9"/>
      <c r="N26" s="48"/>
      <c r="O26" s="21" t="str">
        <f t="shared" si="1"/>
        <v/>
      </c>
      <c r="P26" s="8"/>
      <c r="Q26" s="9"/>
      <c r="R26" s="9"/>
      <c r="S26" s="48"/>
      <c r="T26" s="21" t="str">
        <f t="shared" si="2"/>
        <v/>
      </c>
      <c r="U26" s="53" t="str">
        <f t="shared" si="3"/>
        <v/>
      </c>
      <c r="V26" s="54" t="str">
        <f t="shared" si="4"/>
        <v/>
      </c>
      <c r="W26" s="55" t="str">
        <f t="shared" si="5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6"/>
        <v/>
      </c>
      <c r="B27" s="18" t="str">
        <f t="shared" si="7"/>
        <v/>
      </c>
      <c r="C27" s="18" t="str">
        <f t="shared" si="8"/>
        <v/>
      </c>
      <c r="D27" s="18" t="str">
        <f t="shared" si="9"/>
        <v/>
      </c>
      <c r="E27" s="4"/>
      <c r="F27" s="8"/>
      <c r="G27" s="9"/>
      <c r="H27" s="9"/>
      <c r="I27" s="48"/>
      <c r="J27" s="21" t="str">
        <f t="shared" si="0"/>
        <v/>
      </c>
      <c r="K27" s="8"/>
      <c r="L27" s="9"/>
      <c r="M27" s="9"/>
      <c r="N27" s="48"/>
      <c r="O27" s="21" t="str">
        <f t="shared" si="1"/>
        <v/>
      </c>
      <c r="P27" s="8"/>
      <c r="Q27" s="9"/>
      <c r="R27" s="9"/>
      <c r="S27" s="48"/>
      <c r="T27" s="21" t="str">
        <f t="shared" si="2"/>
        <v/>
      </c>
      <c r="U27" s="53" t="str">
        <f t="shared" si="3"/>
        <v/>
      </c>
      <c r="V27" s="54" t="str">
        <f t="shared" si="4"/>
        <v/>
      </c>
      <c r="W27" s="55" t="str">
        <f t="shared" si="5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6"/>
        <v/>
      </c>
      <c r="B28" s="18" t="str">
        <f t="shared" si="7"/>
        <v/>
      </c>
      <c r="C28" s="18" t="str">
        <f t="shared" si="8"/>
        <v/>
      </c>
      <c r="D28" s="18" t="str">
        <f t="shared" si="9"/>
        <v/>
      </c>
      <c r="E28" s="4"/>
      <c r="F28" s="8"/>
      <c r="G28" s="9"/>
      <c r="H28" s="9"/>
      <c r="I28" s="48"/>
      <c r="J28" s="21" t="str">
        <f t="shared" si="0"/>
        <v/>
      </c>
      <c r="K28" s="8"/>
      <c r="L28" s="9"/>
      <c r="M28" s="9"/>
      <c r="N28" s="48"/>
      <c r="O28" s="21" t="str">
        <f t="shared" si="1"/>
        <v/>
      </c>
      <c r="P28" s="8"/>
      <c r="Q28" s="9"/>
      <c r="R28" s="9"/>
      <c r="S28" s="48"/>
      <c r="T28" s="21" t="str">
        <f t="shared" si="2"/>
        <v/>
      </c>
      <c r="U28" s="53" t="str">
        <f t="shared" si="3"/>
        <v/>
      </c>
      <c r="V28" s="54" t="str">
        <f t="shared" si="4"/>
        <v/>
      </c>
      <c r="W28" s="55" t="str">
        <f t="shared" si="5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6"/>
        <v/>
      </c>
      <c r="B29" s="18" t="str">
        <f t="shared" si="7"/>
        <v/>
      </c>
      <c r="C29" s="18" t="str">
        <f t="shared" si="8"/>
        <v/>
      </c>
      <c r="D29" s="18" t="str">
        <f t="shared" si="9"/>
        <v/>
      </c>
      <c r="E29" s="4"/>
      <c r="F29" s="8"/>
      <c r="G29" s="9"/>
      <c r="H29" s="9"/>
      <c r="I29" s="48"/>
      <c r="J29" s="21" t="str">
        <f t="shared" si="0"/>
        <v/>
      </c>
      <c r="K29" s="8"/>
      <c r="L29" s="9"/>
      <c r="M29" s="9"/>
      <c r="N29" s="48"/>
      <c r="O29" s="21" t="str">
        <f t="shared" si="1"/>
        <v/>
      </c>
      <c r="P29" s="8"/>
      <c r="Q29" s="9"/>
      <c r="R29" s="9"/>
      <c r="S29" s="48"/>
      <c r="T29" s="21" t="str">
        <f t="shared" si="2"/>
        <v/>
      </c>
      <c r="U29" s="53" t="str">
        <f t="shared" si="3"/>
        <v/>
      </c>
      <c r="V29" s="54" t="str">
        <f t="shared" si="4"/>
        <v/>
      </c>
      <c r="W29" s="55" t="str">
        <f t="shared" si="5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6"/>
        <v/>
      </c>
      <c r="B30" s="19" t="str">
        <f t="shared" si="7"/>
        <v/>
      </c>
      <c r="C30" s="19" t="str">
        <f t="shared" si="8"/>
        <v/>
      </c>
      <c r="D30" s="19" t="str">
        <f t="shared" si="9"/>
        <v/>
      </c>
      <c r="E30" s="5"/>
      <c r="F30" s="10"/>
      <c r="G30" s="11"/>
      <c r="H30" s="11"/>
      <c r="I30" s="49"/>
      <c r="J30" s="22" t="str">
        <f t="shared" si="0"/>
        <v/>
      </c>
      <c r="K30" s="10"/>
      <c r="L30" s="11"/>
      <c r="M30" s="11"/>
      <c r="N30" s="49"/>
      <c r="O30" s="22" t="str">
        <f t="shared" si="1"/>
        <v/>
      </c>
      <c r="P30" s="10"/>
      <c r="Q30" s="11"/>
      <c r="R30" s="11"/>
      <c r="S30" s="49"/>
      <c r="T30" s="22" t="str">
        <f t="shared" si="2"/>
        <v/>
      </c>
      <c r="U30" s="56" t="str">
        <f t="shared" si="3"/>
        <v/>
      </c>
      <c r="V30" s="57" t="str">
        <f t="shared" si="4"/>
        <v/>
      </c>
      <c r="W30" s="58" t="str">
        <f t="shared" si="5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16A32956-86C2-4962-A36F-3D0FB15F1199}">
      <formula1>"ロン,ツモ,放銃,ツモ支払,流局,チョンボ"</formula1>
    </dataValidation>
    <dataValidation type="list" allowBlank="1" showInputMessage="1" showErrorMessage="1" sqref="E4:E30" xr:uid="{3023008D-BCCB-4D8D-8697-F4664625FCF9}">
      <formula1>$U$2:$W$2</formula1>
    </dataValidation>
  </dataValidations>
  <pageMargins left="0.7" right="0.7" top="0.75" bottom="0.75" header="0.3" footer="0.3"/>
  <pageSetup paperSize="9" scale="28" orientation="landscape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6D7CE-B555-4AE2-9561-ED2D95C77A73}">
  <sheetPr codeName="Sheet2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93" t="s">
        <v>0</v>
      </c>
      <c r="B1" s="95" t="s">
        <v>2</v>
      </c>
      <c r="C1" s="95" t="s">
        <v>1</v>
      </c>
      <c r="D1" s="95" t="s">
        <v>21</v>
      </c>
      <c r="E1" s="97" t="s">
        <v>3</v>
      </c>
      <c r="F1" s="89" t="s">
        <v>166</v>
      </c>
      <c r="G1" s="90"/>
      <c r="H1" s="90"/>
      <c r="I1" s="91"/>
      <c r="J1" s="92"/>
      <c r="K1" s="89" t="s">
        <v>141</v>
      </c>
      <c r="L1" s="90"/>
      <c r="M1" s="90"/>
      <c r="N1" s="91"/>
      <c r="O1" s="92"/>
      <c r="P1" s="89" t="s">
        <v>139</v>
      </c>
      <c r="Q1" s="90"/>
      <c r="R1" s="90"/>
      <c r="S1" s="91"/>
      <c r="T1" s="92"/>
      <c r="U1" s="89" t="s">
        <v>6</v>
      </c>
      <c r="V1" s="90"/>
      <c r="W1" s="92"/>
      <c r="Y1" s="89" t="str">
        <f>F1</f>
        <v>ただ</v>
      </c>
      <c r="Z1" s="10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2"/>
      <c r="AT1" s="89" t="str">
        <f>K1</f>
        <v>れんたろう</v>
      </c>
      <c r="AU1" s="100"/>
      <c r="AV1" s="90"/>
      <c r="AW1" s="90"/>
      <c r="AX1" s="90"/>
      <c r="AY1" s="90"/>
      <c r="AZ1" s="90"/>
      <c r="BA1" s="90"/>
      <c r="BB1" s="90"/>
      <c r="BC1" s="90"/>
      <c r="BD1" s="90"/>
      <c r="BE1" s="90"/>
      <c r="BF1" s="90"/>
      <c r="BG1" s="90"/>
      <c r="BH1" s="90"/>
      <c r="BI1" s="90"/>
      <c r="BJ1" s="90"/>
      <c r="BK1" s="90"/>
      <c r="BL1" s="90"/>
      <c r="BM1" s="90"/>
      <c r="BN1" s="92"/>
      <c r="BO1" s="89" t="str">
        <f>P1</f>
        <v>ぱぱ</v>
      </c>
      <c r="BP1" s="100"/>
      <c r="BQ1" s="90"/>
      <c r="BR1" s="90"/>
      <c r="BS1" s="90"/>
      <c r="BT1" s="90"/>
      <c r="BU1" s="90"/>
      <c r="BV1" s="90"/>
      <c r="BW1" s="90"/>
      <c r="BX1" s="90"/>
      <c r="BY1" s="90"/>
      <c r="BZ1" s="90"/>
      <c r="CA1" s="90"/>
      <c r="CB1" s="90"/>
      <c r="CC1" s="90"/>
      <c r="CD1" s="90"/>
      <c r="CE1" s="90"/>
      <c r="CF1" s="90"/>
      <c r="CG1" s="90"/>
      <c r="CH1" s="90"/>
      <c r="CI1" s="92"/>
    </row>
    <row r="2" spans="1:87" x14ac:dyDescent="0.4">
      <c r="A2" s="94"/>
      <c r="B2" s="96"/>
      <c r="C2" s="96"/>
      <c r="D2" s="96"/>
      <c r="E2" s="9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7" t="str">
        <f>$F$1</f>
        <v>ただ</v>
      </c>
      <c r="V2" s="88" t="str">
        <f>$K$1</f>
        <v>れんたろう</v>
      </c>
      <c r="W2" s="16" t="str">
        <f>$P$1</f>
        <v>ぱぱ</v>
      </c>
      <c r="Y2" s="83" t="s">
        <v>23</v>
      </c>
      <c r="Z2" s="86" t="s">
        <v>26</v>
      </c>
      <c r="AA2" s="84" t="s">
        <v>24</v>
      </c>
      <c r="AB2" s="84" t="s">
        <v>127</v>
      </c>
      <c r="AC2" s="84" t="s">
        <v>18</v>
      </c>
      <c r="AD2" s="85" t="s">
        <v>19</v>
      </c>
      <c r="AE2" s="99" t="s">
        <v>20</v>
      </c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  <c r="AT2" s="83" t="s">
        <v>23</v>
      </c>
      <c r="AU2" s="86" t="s">
        <v>26</v>
      </c>
      <c r="AV2" s="84" t="s">
        <v>24</v>
      </c>
      <c r="AW2" s="84" t="s">
        <v>128</v>
      </c>
      <c r="AX2" s="84" t="s">
        <v>18</v>
      </c>
      <c r="AY2" s="85" t="s">
        <v>19</v>
      </c>
      <c r="AZ2" s="99" t="s">
        <v>20</v>
      </c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83" t="s">
        <v>23</v>
      </c>
      <c r="BP2" s="86" t="s">
        <v>26</v>
      </c>
      <c r="BQ2" s="84" t="s">
        <v>24</v>
      </c>
      <c r="BR2" s="84" t="s">
        <v>128</v>
      </c>
      <c r="BS2" s="84" t="s">
        <v>18</v>
      </c>
      <c r="BT2" s="85" t="s">
        <v>19</v>
      </c>
      <c r="BU2" s="99" t="s">
        <v>20</v>
      </c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99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-69900</v>
      </c>
      <c r="K3" s="7"/>
      <c r="L3" s="23"/>
      <c r="M3" s="23"/>
      <c r="N3" s="47"/>
      <c r="O3" s="20">
        <v>205500</v>
      </c>
      <c r="P3" s="7"/>
      <c r="Q3" s="23"/>
      <c r="R3" s="23"/>
      <c r="S3" s="47"/>
      <c r="T3" s="20">
        <v>164400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 t="s">
        <v>146</v>
      </c>
      <c r="G4" s="9">
        <v>5200</v>
      </c>
      <c r="H4" s="9"/>
      <c r="I4" s="48">
        <v>0</v>
      </c>
      <c r="J4" s="21">
        <f t="shared" ref="J4:J30" si="0">IF(COUNTA($F4,$K4,$P4)&gt;0,J3+SUM(G4:I4),"")</f>
        <v>-64700</v>
      </c>
      <c r="K4" s="8"/>
      <c r="L4" s="9"/>
      <c r="M4" s="9"/>
      <c r="N4" s="48"/>
      <c r="O4" s="21">
        <f t="shared" ref="O4:O30" si="1">IF(COUNTA($F4,$K4,$P4)&gt;0,O3+SUM(L4:N4),"")</f>
        <v>205500</v>
      </c>
      <c r="P4" s="8" t="s">
        <v>145</v>
      </c>
      <c r="Q4" s="9">
        <v>-5200</v>
      </c>
      <c r="R4" s="9"/>
      <c r="S4" s="48">
        <v>0</v>
      </c>
      <c r="T4" s="21">
        <f t="shared" ref="T4:T30" si="2">IF(COUNTA($F4,$K4,$P4)&gt;0,T3+SUM(Q4:S4),"")</f>
        <v>159200</v>
      </c>
      <c r="U4" s="53">
        <f t="shared" ref="U4:U30" si="3">IF($J4="","",ROUND(($J4-$J$3)/1000,1))</f>
        <v>5.2</v>
      </c>
      <c r="V4" s="54">
        <f t="shared" ref="V4:V30" si="4">IF($O4="","",ROUND(($O4-$O$3)/1000,1))</f>
        <v>0</v>
      </c>
      <c r="W4" s="55">
        <f t="shared" ref="W4:W30" si="5">IF($T4="","",ROUND(($T4-$T$3)/1000,1))</f>
        <v>-5.2</v>
      </c>
      <c r="Y4" s="8"/>
      <c r="Z4" s="34"/>
      <c r="AA4" s="26"/>
      <c r="AB4" s="26"/>
      <c r="AC4" s="26">
        <v>3</v>
      </c>
      <c r="AD4" s="30">
        <v>40</v>
      </c>
      <c r="AE4" s="40" t="s">
        <v>84</v>
      </c>
      <c r="AF4" s="41" t="s">
        <v>79</v>
      </c>
      <c r="AG4" s="41" t="s">
        <v>79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6">IF($E5="","",IF(AND(B4=3,B5=1),_xlfn.SWITCH(A4,"東","南","南","西","西","北","北","東"),A4))</f>
        <v>東</v>
      </c>
      <c r="B5" s="18">
        <f t="shared" ref="B5:B30" si="7">IF($E5="","",IF($E4=$E5,B4,IF(B4=3,1,B4+1)))</f>
        <v>2</v>
      </c>
      <c r="C5" s="18">
        <f t="shared" ref="C5:C30" si="8">IF($E5="","",IF($F4="チョンボ",C4,IF(OR($E4=$E5,$F4="流局"),C4+1,0)))</f>
        <v>0</v>
      </c>
      <c r="D5" s="18">
        <f t="shared" ref="D5:D30" si="9">IF($E5="","",IF(OR($F4="流局",$F4="チョンボ"),D4+($H4+$M4+$R4)/-1000,0))</f>
        <v>0</v>
      </c>
      <c r="E5" s="4" t="s">
        <v>165</v>
      </c>
      <c r="F5" s="8" t="s">
        <v>168</v>
      </c>
      <c r="G5" s="9">
        <v>5000</v>
      </c>
      <c r="H5" s="9"/>
      <c r="I5" s="48"/>
      <c r="J5" s="21">
        <f t="shared" si="0"/>
        <v>-59700</v>
      </c>
      <c r="K5" s="8" t="s">
        <v>168</v>
      </c>
      <c r="L5" s="9">
        <v>3000</v>
      </c>
      <c r="M5" s="9"/>
      <c r="N5" s="48"/>
      <c r="O5" s="21">
        <f t="shared" si="1"/>
        <v>208500</v>
      </c>
      <c r="P5" s="8" t="s">
        <v>168</v>
      </c>
      <c r="Q5" s="9">
        <v>-8000</v>
      </c>
      <c r="R5" s="9">
        <v>-1000</v>
      </c>
      <c r="S5" s="48"/>
      <c r="T5" s="21">
        <f t="shared" si="2"/>
        <v>150200</v>
      </c>
      <c r="U5" s="53">
        <f t="shared" si="3"/>
        <v>10.199999999999999</v>
      </c>
      <c r="V5" s="54">
        <f t="shared" si="4"/>
        <v>3</v>
      </c>
      <c r="W5" s="55">
        <f t="shared" si="5"/>
        <v>-14.2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>
        <v>1</v>
      </c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6"/>
        <v>東</v>
      </c>
      <c r="B6" s="18">
        <f t="shared" si="7"/>
        <v>2</v>
      </c>
      <c r="C6" s="18">
        <f t="shared" si="8"/>
        <v>0</v>
      </c>
      <c r="D6" s="18">
        <f t="shared" si="9"/>
        <v>1</v>
      </c>
      <c r="E6" s="4" t="s">
        <v>165</v>
      </c>
      <c r="F6" s="8" t="s">
        <v>142</v>
      </c>
      <c r="G6" s="9">
        <v>-10000</v>
      </c>
      <c r="H6" s="9"/>
      <c r="I6" s="48">
        <v>0</v>
      </c>
      <c r="J6" s="21">
        <f t="shared" si="0"/>
        <v>-69700</v>
      </c>
      <c r="K6" s="8" t="s">
        <v>142</v>
      </c>
      <c r="L6" s="9">
        <v>-6000</v>
      </c>
      <c r="M6" s="9"/>
      <c r="N6" s="48">
        <v>0</v>
      </c>
      <c r="O6" s="21">
        <f t="shared" si="1"/>
        <v>202500</v>
      </c>
      <c r="P6" s="8" t="s">
        <v>143</v>
      </c>
      <c r="Q6" s="9">
        <v>16000</v>
      </c>
      <c r="R6" s="9">
        <v>1000</v>
      </c>
      <c r="S6" s="48">
        <v>0</v>
      </c>
      <c r="T6" s="21">
        <f t="shared" si="2"/>
        <v>167200</v>
      </c>
      <c r="U6" s="53">
        <f t="shared" si="3"/>
        <v>0.2</v>
      </c>
      <c r="V6" s="54">
        <f t="shared" si="4"/>
        <v>-3</v>
      </c>
      <c r="W6" s="55">
        <f t="shared" si="5"/>
        <v>2.8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10</v>
      </c>
      <c r="BT6" s="30" t="s">
        <v>154</v>
      </c>
      <c r="BU6" s="40" t="s">
        <v>144</v>
      </c>
      <c r="BV6" s="41" t="s">
        <v>82</v>
      </c>
      <c r="BW6" s="41" t="s">
        <v>104</v>
      </c>
      <c r="BX6" s="41" t="s">
        <v>79</v>
      </c>
      <c r="BY6" s="41" t="s">
        <v>79</v>
      </c>
      <c r="BZ6" s="41" t="s">
        <v>79</v>
      </c>
      <c r="CA6" s="41" t="s">
        <v>79</v>
      </c>
      <c r="CB6" s="41" t="s">
        <v>147</v>
      </c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6"/>
        <v>東</v>
      </c>
      <c r="B7" s="18">
        <f t="shared" si="7"/>
        <v>3</v>
      </c>
      <c r="C7" s="18">
        <f t="shared" si="8"/>
        <v>0</v>
      </c>
      <c r="D7" s="18">
        <f t="shared" si="9"/>
        <v>0</v>
      </c>
      <c r="E7" s="4" t="s">
        <v>140</v>
      </c>
      <c r="F7" s="8" t="s">
        <v>142</v>
      </c>
      <c r="G7" s="9">
        <v>-3000</v>
      </c>
      <c r="H7" s="9"/>
      <c r="I7" s="48">
        <v>0</v>
      </c>
      <c r="J7" s="21">
        <f t="shared" si="0"/>
        <v>-72700</v>
      </c>
      <c r="K7" s="8" t="s">
        <v>142</v>
      </c>
      <c r="L7" s="9">
        <v>-5000</v>
      </c>
      <c r="M7" s="9"/>
      <c r="N7" s="48">
        <v>0</v>
      </c>
      <c r="O7" s="21">
        <f t="shared" si="1"/>
        <v>197500</v>
      </c>
      <c r="P7" s="8" t="s">
        <v>143</v>
      </c>
      <c r="Q7" s="9">
        <v>8000</v>
      </c>
      <c r="R7" s="9"/>
      <c r="S7" s="48">
        <v>0</v>
      </c>
      <c r="T7" s="21">
        <f t="shared" si="2"/>
        <v>175200</v>
      </c>
      <c r="U7" s="53">
        <f t="shared" si="3"/>
        <v>-2.8</v>
      </c>
      <c r="V7" s="54">
        <f t="shared" si="4"/>
        <v>-8</v>
      </c>
      <c r="W7" s="55">
        <f t="shared" si="5"/>
        <v>10.8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5</v>
      </c>
      <c r="BT7" s="30" t="s">
        <v>154</v>
      </c>
      <c r="BU7" s="40" t="s">
        <v>144</v>
      </c>
      <c r="BV7" s="41" t="s">
        <v>82</v>
      </c>
      <c r="BW7" s="41" t="s">
        <v>85</v>
      </c>
      <c r="BX7" s="41" t="s">
        <v>101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6"/>
        <v>南</v>
      </c>
      <c r="B8" s="18">
        <f t="shared" si="7"/>
        <v>1</v>
      </c>
      <c r="C8" s="18">
        <f t="shared" si="8"/>
        <v>0</v>
      </c>
      <c r="D8" s="18">
        <f t="shared" si="9"/>
        <v>0</v>
      </c>
      <c r="E8" s="4" t="s">
        <v>138</v>
      </c>
      <c r="F8" s="8" t="s">
        <v>158</v>
      </c>
      <c r="G8" s="9">
        <v>-1500</v>
      </c>
      <c r="H8" s="9"/>
      <c r="I8" s="48"/>
      <c r="J8" s="21">
        <f t="shared" si="0"/>
        <v>-74200</v>
      </c>
      <c r="K8" s="8" t="s">
        <v>158</v>
      </c>
      <c r="L8" s="9">
        <v>-1500</v>
      </c>
      <c r="M8" s="9"/>
      <c r="N8" s="48"/>
      <c r="O8" s="21">
        <f t="shared" si="1"/>
        <v>196000</v>
      </c>
      <c r="P8" s="8" t="s">
        <v>158</v>
      </c>
      <c r="Q8" s="9">
        <v>3000</v>
      </c>
      <c r="R8" s="9">
        <v>-1000</v>
      </c>
      <c r="S8" s="48"/>
      <c r="T8" s="21">
        <f t="shared" si="2"/>
        <v>177200</v>
      </c>
      <c r="U8" s="53">
        <f t="shared" si="3"/>
        <v>-4.3</v>
      </c>
      <c r="V8" s="54">
        <f t="shared" si="4"/>
        <v>-9.5</v>
      </c>
      <c r="W8" s="55">
        <f t="shared" si="5"/>
        <v>12.8</v>
      </c>
      <c r="Y8" s="8" t="s">
        <v>157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157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156</v>
      </c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6"/>
        <v>南</v>
      </c>
      <c r="B9" s="18">
        <f t="shared" si="7"/>
        <v>1</v>
      </c>
      <c r="C9" s="18">
        <f t="shared" si="8"/>
        <v>1</v>
      </c>
      <c r="D9" s="18">
        <f t="shared" si="9"/>
        <v>1</v>
      </c>
      <c r="E9" s="4" t="s">
        <v>138</v>
      </c>
      <c r="F9" s="8" t="s">
        <v>142</v>
      </c>
      <c r="G9" s="9">
        <v>-3000</v>
      </c>
      <c r="H9" s="9">
        <v>-1000</v>
      </c>
      <c r="I9" s="48">
        <v>-500</v>
      </c>
      <c r="J9" s="21">
        <f t="shared" si="0"/>
        <v>-78700</v>
      </c>
      <c r="K9" s="8" t="s">
        <v>142</v>
      </c>
      <c r="L9" s="9">
        <v>-3000</v>
      </c>
      <c r="M9" s="9"/>
      <c r="N9" s="48">
        <v>-500</v>
      </c>
      <c r="O9" s="21">
        <f t="shared" si="1"/>
        <v>192500</v>
      </c>
      <c r="P9" s="8" t="s">
        <v>143</v>
      </c>
      <c r="Q9" s="9">
        <v>6000</v>
      </c>
      <c r="R9" s="9">
        <v>2000</v>
      </c>
      <c r="S9" s="48">
        <v>1000</v>
      </c>
      <c r="T9" s="21">
        <f t="shared" si="2"/>
        <v>186200</v>
      </c>
      <c r="U9" s="53">
        <f t="shared" si="3"/>
        <v>-8.8000000000000007</v>
      </c>
      <c r="V9" s="54">
        <f t="shared" si="4"/>
        <v>-13</v>
      </c>
      <c r="W9" s="55">
        <f t="shared" si="5"/>
        <v>21.8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30</v>
      </c>
      <c r="BU9" s="40" t="s">
        <v>144</v>
      </c>
      <c r="BV9" s="41" t="s">
        <v>82</v>
      </c>
      <c r="BW9" s="41" t="s">
        <v>85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6"/>
        <v>南</v>
      </c>
      <c r="B10" s="18">
        <f t="shared" si="7"/>
        <v>1</v>
      </c>
      <c r="C10" s="18">
        <f t="shared" si="8"/>
        <v>2</v>
      </c>
      <c r="D10" s="18">
        <f t="shared" si="9"/>
        <v>0</v>
      </c>
      <c r="E10" s="4" t="s">
        <v>138</v>
      </c>
      <c r="F10" s="8" t="s">
        <v>143</v>
      </c>
      <c r="G10" s="9">
        <v>1200</v>
      </c>
      <c r="H10" s="9">
        <v>1000</v>
      </c>
      <c r="I10" s="48">
        <v>2000</v>
      </c>
      <c r="J10" s="21">
        <f t="shared" si="0"/>
        <v>-74500</v>
      </c>
      <c r="K10" s="8" t="s">
        <v>142</v>
      </c>
      <c r="L10" s="9">
        <v>-500</v>
      </c>
      <c r="M10" s="9">
        <v>-1000</v>
      </c>
      <c r="N10" s="48">
        <v>-1000</v>
      </c>
      <c r="O10" s="21">
        <f t="shared" si="1"/>
        <v>190000</v>
      </c>
      <c r="P10" s="8" t="s">
        <v>142</v>
      </c>
      <c r="Q10" s="9">
        <v>-700</v>
      </c>
      <c r="R10" s="9"/>
      <c r="S10" s="48">
        <v>-1000</v>
      </c>
      <c r="T10" s="21">
        <f t="shared" si="2"/>
        <v>184500</v>
      </c>
      <c r="U10" s="53">
        <f t="shared" si="3"/>
        <v>-4.5999999999999996</v>
      </c>
      <c r="V10" s="54">
        <f t="shared" si="4"/>
        <v>-15.5</v>
      </c>
      <c r="W10" s="55">
        <f t="shared" si="5"/>
        <v>20.100000000000001</v>
      </c>
      <c r="Y10" s="8"/>
      <c r="Z10" s="34"/>
      <c r="AA10" s="26"/>
      <c r="AB10" s="26"/>
      <c r="AC10" s="26">
        <v>1</v>
      </c>
      <c r="AD10" s="30">
        <v>30</v>
      </c>
      <c r="AE10" s="40" t="s">
        <v>82</v>
      </c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6"/>
        <v>南</v>
      </c>
      <c r="B11" s="18">
        <f t="shared" si="7"/>
        <v>2</v>
      </c>
      <c r="C11" s="18">
        <f t="shared" si="8"/>
        <v>0</v>
      </c>
      <c r="D11" s="18">
        <f t="shared" si="9"/>
        <v>0</v>
      </c>
      <c r="E11" s="4" t="s">
        <v>165</v>
      </c>
      <c r="F11" s="8" t="s">
        <v>146</v>
      </c>
      <c r="G11" s="9">
        <v>2000</v>
      </c>
      <c r="H11" s="9"/>
      <c r="I11" s="48">
        <v>0</v>
      </c>
      <c r="J11" s="21">
        <f t="shared" si="0"/>
        <v>-72500</v>
      </c>
      <c r="K11" s="8"/>
      <c r="L11" s="9"/>
      <c r="M11" s="9"/>
      <c r="N11" s="48"/>
      <c r="O11" s="21">
        <f t="shared" si="1"/>
        <v>190000</v>
      </c>
      <c r="P11" s="8" t="s">
        <v>145</v>
      </c>
      <c r="Q11" s="9">
        <v>-2000</v>
      </c>
      <c r="R11" s="9"/>
      <c r="S11" s="48">
        <v>0</v>
      </c>
      <c r="T11" s="21">
        <f t="shared" si="2"/>
        <v>182500</v>
      </c>
      <c r="U11" s="53">
        <f t="shared" si="3"/>
        <v>-2.6</v>
      </c>
      <c r="V11" s="54">
        <f t="shared" si="4"/>
        <v>-15.5</v>
      </c>
      <c r="W11" s="55">
        <f t="shared" si="5"/>
        <v>18.100000000000001</v>
      </c>
      <c r="Y11" s="8"/>
      <c r="Z11" s="34"/>
      <c r="AA11" s="26">
        <v>1</v>
      </c>
      <c r="AB11" s="26"/>
      <c r="AC11" s="26">
        <v>1</v>
      </c>
      <c r="AD11" s="30">
        <v>40</v>
      </c>
      <c r="AE11" s="40" t="s">
        <v>144</v>
      </c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6"/>
        <v>南</v>
      </c>
      <c r="B12" s="18">
        <f t="shared" si="7"/>
        <v>2</v>
      </c>
      <c r="C12" s="18">
        <f t="shared" si="8"/>
        <v>1</v>
      </c>
      <c r="D12" s="18">
        <f t="shared" si="9"/>
        <v>0</v>
      </c>
      <c r="E12" s="4" t="s">
        <v>165</v>
      </c>
      <c r="F12" s="8"/>
      <c r="G12" s="9"/>
      <c r="H12" s="9"/>
      <c r="I12" s="48"/>
      <c r="J12" s="21">
        <f t="shared" si="0"/>
        <v>-72500</v>
      </c>
      <c r="K12" s="8" t="s">
        <v>146</v>
      </c>
      <c r="L12" s="9">
        <v>1300</v>
      </c>
      <c r="M12" s="9"/>
      <c r="N12" s="48">
        <v>1000</v>
      </c>
      <c r="O12" s="21">
        <f t="shared" si="1"/>
        <v>192300</v>
      </c>
      <c r="P12" s="8" t="s">
        <v>145</v>
      </c>
      <c r="Q12" s="9">
        <v>-1300</v>
      </c>
      <c r="R12" s="9"/>
      <c r="S12" s="48">
        <v>-1000</v>
      </c>
      <c r="T12" s="21">
        <f t="shared" si="2"/>
        <v>180200</v>
      </c>
      <c r="U12" s="53">
        <f t="shared" si="3"/>
        <v>-2.6</v>
      </c>
      <c r="V12" s="54">
        <f t="shared" si="4"/>
        <v>-13.2</v>
      </c>
      <c r="W12" s="55">
        <f t="shared" si="5"/>
        <v>15.8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1</v>
      </c>
      <c r="AY12" s="30">
        <v>40</v>
      </c>
      <c r="AZ12" s="40" t="s">
        <v>84</v>
      </c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6"/>
        <v>南</v>
      </c>
      <c r="B13" s="18">
        <f t="shared" si="7"/>
        <v>3</v>
      </c>
      <c r="C13" s="18">
        <f t="shared" si="8"/>
        <v>0</v>
      </c>
      <c r="D13" s="18">
        <f t="shared" si="9"/>
        <v>0</v>
      </c>
      <c r="E13" s="4" t="s">
        <v>140</v>
      </c>
      <c r="F13" s="8" t="s">
        <v>142</v>
      </c>
      <c r="G13" s="9">
        <v>-9000</v>
      </c>
      <c r="H13" s="9"/>
      <c r="I13" s="48">
        <v>0</v>
      </c>
      <c r="J13" s="21">
        <f t="shared" si="0"/>
        <v>-81500</v>
      </c>
      <c r="K13" s="8" t="s">
        <v>143</v>
      </c>
      <c r="L13" s="9">
        <v>18000</v>
      </c>
      <c r="M13" s="9"/>
      <c r="N13" s="48">
        <v>0</v>
      </c>
      <c r="O13" s="21">
        <f t="shared" si="1"/>
        <v>210300</v>
      </c>
      <c r="P13" s="8" t="s">
        <v>142</v>
      </c>
      <c r="Q13" s="9">
        <v>-9000</v>
      </c>
      <c r="R13" s="9"/>
      <c r="S13" s="48">
        <v>0</v>
      </c>
      <c r="T13" s="21">
        <f t="shared" si="2"/>
        <v>171200</v>
      </c>
      <c r="U13" s="53">
        <f t="shared" si="3"/>
        <v>-11.6</v>
      </c>
      <c r="V13" s="54">
        <f t="shared" si="4"/>
        <v>4.8</v>
      </c>
      <c r="W13" s="55">
        <f t="shared" si="5"/>
        <v>6.8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6</v>
      </c>
      <c r="AY13" s="30" t="s">
        <v>154</v>
      </c>
      <c r="AZ13" s="40" t="s">
        <v>86</v>
      </c>
      <c r="BA13" s="41" t="s">
        <v>86</v>
      </c>
      <c r="BB13" s="41" t="s">
        <v>104</v>
      </c>
      <c r="BC13" s="41" t="s">
        <v>98</v>
      </c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6"/>
        <v>南</v>
      </c>
      <c r="B14" s="18">
        <f t="shared" si="7"/>
        <v>3</v>
      </c>
      <c r="C14" s="18">
        <f t="shared" si="8"/>
        <v>1</v>
      </c>
      <c r="D14" s="18">
        <f t="shared" si="9"/>
        <v>0</v>
      </c>
      <c r="E14" s="4" t="s">
        <v>140</v>
      </c>
      <c r="F14" s="8"/>
      <c r="G14" s="9"/>
      <c r="H14" s="9"/>
      <c r="I14" s="48"/>
      <c r="J14" s="21">
        <f t="shared" si="0"/>
        <v>-81500</v>
      </c>
      <c r="K14" s="8" t="s">
        <v>145</v>
      </c>
      <c r="L14" s="9">
        <v>-8000</v>
      </c>
      <c r="M14" s="9"/>
      <c r="N14" s="48">
        <v>-1000</v>
      </c>
      <c r="O14" s="21">
        <f t="shared" si="1"/>
        <v>201300</v>
      </c>
      <c r="P14" s="8" t="s">
        <v>146</v>
      </c>
      <c r="Q14" s="9">
        <v>8000</v>
      </c>
      <c r="R14" s="9"/>
      <c r="S14" s="48">
        <v>1000</v>
      </c>
      <c r="T14" s="21">
        <f t="shared" si="2"/>
        <v>180200</v>
      </c>
      <c r="U14" s="53">
        <f t="shared" si="3"/>
        <v>-11.6</v>
      </c>
      <c r="V14" s="54">
        <f t="shared" si="4"/>
        <v>-4.2</v>
      </c>
      <c r="W14" s="55">
        <f t="shared" si="5"/>
        <v>15.8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>
        <v>4</v>
      </c>
      <c r="BT14" s="30">
        <v>40</v>
      </c>
      <c r="BU14" s="40" t="s">
        <v>104</v>
      </c>
      <c r="BV14" s="41" t="s">
        <v>84</v>
      </c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6"/>
        <v/>
      </c>
      <c r="B15" s="18" t="str">
        <f t="shared" si="7"/>
        <v/>
      </c>
      <c r="C15" s="18" t="str">
        <f t="shared" si="8"/>
        <v/>
      </c>
      <c r="D15" s="18" t="str">
        <f t="shared" si="9"/>
        <v/>
      </c>
      <c r="E15" s="4"/>
      <c r="F15" s="8"/>
      <c r="G15" s="9"/>
      <c r="H15" s="9"/>
      <c r="I15" s="48"/>
      <c r="J15" s="21" t="str">
        <f t="shared" si="0"/>
        <v/>
      </c>
      <c r="K15" s="8"/>
      <c r="L15" s="9"/>
      <c r="M15" s="9"/>
      <c r="N15" s="48"/>
      <c r="O15" s="21" t="str">
        <f t="shared" si="1"/>
        <v/>
      </c>
      <c r="P15" s="8"/>
      <c r="Q15" s="9"/>
      <c r="R15" s="9"/>
      <c r="S15" s="48"/>
      <c r="T15" s="21" t="str">
        <f t="shared" si="2"/>
        <v/>
      </c>
      <c r="U15" s="53" t="str">
        <f t="shared" si="3"/>
        <v/>
      </c>
      <c r="V15" s="54" t="str">
        <f t="shared" si="4"/>
        <v/>
      </c>
      <c r="W15" s="55" t="str">
        <f t="shared" si="5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6"/>
        <v/>
      </c>
      <c r="B16" s="18" t="str">
        <f t="shared" si="7"/>
        <v/>
      </c>
      <c r="C16" s="18" t="str">
        <f t="shared" si="8"/>
        <v/>
      </c>
      <c r="D16" s="18" t="str">
        <f t="shared" si="9"/>
        <v/>
      </c>
      <c r="E16" s="4"/>
      <c r="F16" s="8"/>
      <c r="G16" s="9"/>
      <c r="H16" s="9"/>
      <c r="I16" s="48"/>
      <c r="J16" s="21" t="str">
        <f t="shared" si="0"/>
        <v/>
      </c>
      <c r="K16" s="8"/>
      <c r="L16" s="9"/>
      <c r="M16" s="9"/>
      <c r="N16" s="48"/>
      <c r="O16" s="21" t="str">
        <f t="shared" si="1"/>
        <v/>
      </c>
      <c r="P16" s="8"/>
      <c r="Q16" s="9"/>
      <c r="R16" s="9"/>
      <c r="S16" s="48"/>
      <c r="T16" s="21" t="str">
        <f t="shared" si="2"/>
        <v/>
      </c>
      <c r="U16" s="53" t="str">
        <f t="shared" si="3"/>
        <v/>
      </c>
      <c r="V16" s="54" t="str">
        <f t="shared" si="4"/>
        <v/>
      </c>
      <c r="W16" s="55" t="str">
        <f t="shared" si="5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6"/>
        <v/>
      </c>
      <c r="B17" s="18" t="str">
        <f t="shared" si="7"/>
        <v/>
      </c>
      <c r="C17" s="18" t="str">
        <f t="shared" si="8"/>
        <v/>
      </c>
      <c r="D17" s="18" t="str">
        <f t="shared" si="9"/>
        <v/>
      </c>
      <c r="E17" s="4"/>
      <c r="F17" s="8"/>
      <c r="G17" s="9"/>
      <c r="H17" s="9"/>
      <c r="I17" s="48"/>
      <c r="J17" s="21" t="str">
        <f t="shared" si="0"/>
        <v/>
      </c>
      <c r="K17" s="8"/>
      <c r="L17" s="9"/>
      <c r="M17" s="9"/>
      <c r="N17" s="48"/>
      <c r="O17" s="21" t="str">
        <f t="shared" si="1"/>
        <v/>
      </c>
      <c r="P17" s="8"/>
      <c r="Q17" s="9"/>
      <c r="R17" s="9"/>
      <c r="S17" s="48"/>
      <c r="T17" s="21" t="str">
        <f t="shared" si="2"/>
        <v/>
      </c>
      <c r="U17" s="53" t="str">
        <f t="shared" si="3"/>
        <v/>
      </c>
      <c r="V17" s="54" t="str">
        <f t="shared" si="4"/>
        <v/>
      </c>
      <c r="W17" s="55" t="str">
        <f t="shared" si="5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6"/>
        <v/>
      </c>
      <c r="B18" s="18" t="str">
        <f t="shared" si="7"/>
        <v/>
      </c>
      <c r="C18" s="18" t="str">
        <f t="shared" si="8"/>
        <v/>
      </c>
      <c r="D18" s="18" t="str">
        <f t="shared" si="9"/>
        <v/>
      </c>
      <c r="E18" s="4"/>
      <c r="F18" s="8"/>
      <c r="G18" s="9"/>
      <c r="H18" s="9"/>
      <c r="I18" s="48"/>
      <c r="J18" s="21" t="str">
        <f t="shared" si="0"/>
        <v/>
      </c>
      <c r="K18" s="8"/>
      <c r="L18" s="9"/>
      <c r="M18" s="9"/>
      <c r="N18" s="48"/>
      <c r="O18" s="21" t="str">
        <f t="shared" si="1"/>
        <v/>
      </c>
      <c r="P18" s="8"/>
      <c r="Q18" s="9"/>
      <c r="R18" s="9"/>
      <c r="S18" s="48"/>
      <c r="T18" s="21" t="str">
        <f t="shared" si="2"/>
        <v/>
      </c>
      <c r="U18" s="53" t="str">
        <f t="shared" si="3"/>
        <v/>
      </c>
      <c r="V18" s="54" t="str">
        <f t="shared" si="4"/>
        <v/>
      </c>
      <c r="W18" s="55" t="str">
        <f t="shared" si="5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6"/>
        <v/>
      </c>
      <c r="B19" s="18" t="str">
        <f t="shared" si="7"/>
        <v/>
      </c>
      <c r="C19" s="18" t="str">
        <f t="shared" si="8"/>
        <v/>
      </c>
      <c r="D19" s="18" t="str">
        <f t="shared" si="9"/>
        <v/>
      </c>
      <c r="E19" s="4"/>
      <c r="F19" s="8"/>
      <c r="G19" s="9"/>
      <c r="H19" s="9"/>
      <c r="I19" s="48"/>
      <c r="J19" s="21" t="str">
        <f t="shared" si="0"/>
        <v/>
      </c>
      <c r="K19" s="8"/>
      <c r="L19" s="9"/>
      <c r="M19" s="9"/>
      <c r="N19" s="48"/>
      <c r="O19" s="21" t="str">
        <f t="shared" si="1"/>
        <v/>
      </c>
      <c r="P19" s="8"/>
      <c r="Q19" s="9"/>
      <c r="R19" s="9"/>
      <c r="S19" s="48"/>
      <c r="T19" s="21" t="str">
        <f t="shared" si="2"/>
        <v/>
      </c>
      <c r="U19" s="53" t="str">
        <f t="shared" si="3"/>
        <v/>
      </c>
      <c r="V19" s="54" t="str">
        <f t="shared" si="4"/>
        <v/>
      </c>
      <c r="W19" s="55" t="str">
        <f t="shared" si="5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6"/>
        <v/>
      </c>
      <c r="B20" s="18" t="str">
        <f t="shared" si="7"/>
        <v/>
      </c>
      <c r="C20" s="18" t="str">
        <f t="shared" si="8"/>
        <v/>
      </c>
      <c r="D20" s="18" t="str">
        <f t="shared" si="9"/>
        <v/>
      </c>
      <c r="E20" s="4"/>
      <c r="F20" s="8"/>
      <c r="G20" s="9"/>
      <c r="H20" s="9"/>
      <c r="I20" s="48"/>
      <c r="J20" s="21" t="str">
        <f t="shared" si="0"/>
        <v/>
      </c>
      <c r="K20" s="8"/>
      <c r="L20" s="9"/>
      <c r="M20" s="9"/>
      <c r="N20" s="48"/>
      <c r="O20" s="21" t="str">
        <f t="shared" si="1"/>
        <v/>
      </c>
      <c r="P20" s="8"/>
      <c r="Q20" s="9"/>
      <c r="R20" s="9"/>
      <c r="S20" s="48"/>
      <c r="T20" s="21" t="str">
        <f t="shared" si="2"/>
        <v/>
      </c>
      <c r="U20" s="53" t="str">
        <f t="shared" si="3"/>
        <v/>
      </c>
      <c r="V20" s="54" t="str">
        <f t="shared" si="4"/>
        <v/>
      </c>
      <c r="W20" s="55" t="str">
        <f t="shared" si="5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6"/>
        <v/>
      </c>
      <c r="B21" s="18" t="str">
        <f t="shared" si="7"/>
        <v/>
      </c>
      <c r="C21" s="18" t="str">
        <f t="shared" si="8"/>
        <v/>
      </c>
      <c r="D21" s="18" t="str">
        <f t="shared" si="9"/>
        <v/>
      </c>
      <c r="E21" s="4"/>
      <c r="F21" s="8"/>
      <c r="G21" s="9"/>
      <c r="H21" s="9"/>
      <c r="I21" s="48"/>
      <c r="J21" s="21" t="str">
        <f t="shared" si="0"/>
        <v/>
      </c>
      <c r="K21" s="8"/>
      <c r="L21" s="9"/>
      <c r="M21" s="9"/>
      <c r="N21" s="48"/>
      <c r="O21" s="21" t="str">
        <f t="shared" si="1"/>
        <v/>
      </c>
      <c r="P21" s="8"/>
      <c r="Q21" s="9"/>
      <c r="R21" s="9"/>
      <c r="S21" s="48"/>
      <c r="T21" s="21" t="str">
        <f t="shared" si="2"/>
        <v/>
      </c>
      <c r="U21" s="53" t="str">
        <f t="shared" si="3"/>
        <v/>
      </c>
      <c r="V21" s="54" t="str">
        <f t="shared" si="4"/>
        <v/>
      </c>
      <c r="W21" s="55" t="str">
        <f t="shared" si="5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6"/>
        <v/>
      </c>
      <c r="B22" s="18" t="str">
        <f t="shared" si="7"/>
        <v/>
      </c>
      <c r="C22" s="18" t="str">
        <f t="shared" si="8"/>
        <v/>
      </c>
      <c r="D22" s="18" t="str">
        <f t="shared" si="9"/>
        <v/>
      </c>
      <c r="E22" s="4"/>
      <c r="F22" s="8"/>
      <c r="G22" s="9"/>
      <c r="H22" s="9"/>
      <c r="I22" s="48"/>
      <c r="J22" s="21" t="str">
        <f t="shared" si="0"/>
        <v/>
      </c>
      <c r="K22" s="8"/>
      <c r="L22" s="9"/>
      <c r="M22" s="9"/>
      <c r="N22" s="48"/>
      <c r="O22" s="21" t="str">
        <f t="shared" si="1"/>
        <v/>
      </c>
      <c r="P22" s="8"/>
      <c r="Q22" s="9"/>
      <c r="R22" s="9"/>
      <c r="S22" s="48"/>
      <c r="T22" s="21" t="str">
        <f t="shared" si="2"/>
        <v/>
      </c>
      <c r="U22" s="53" t="str">
        <f t="shared" si="3"/>
        <v/>
      </c>
      <c r="V22" s="54" t="str">
        <f t="shared" si="4"/>
        <v/>
      </c>
      <c r="W22" s="55" t="str">
        <f t="shared" si="5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6"/>
        <v/>
      </c>
      <c r="B23" s="18" t="str">
        <f t="shared" si="7"/>
        <v/>
      </c>
      <c r="C23" s="18" t="str">
        <f t="shared" si="8"/>
        <v/>
      </c>
      <c r="D23" s="18" t="str">
        <f t="shared" si="9"/>
        <v/>
      </c>
      <c r="E23" s="4"/>
      <c r="F23" s="8"/>
      <c r="G23" s="9"/>
      <c r="H23" s="9"/>
      <c r="I23" s="48"/>
      <c r="J23" s="21" t="str">
        <f t="shared" si="0"/>
        <v/>
      </c>
      <c r="K23" s="8"/>
      <c r="L23" s="9"/>
      <c r="M23" s="9"/>
      <c r="N23" s="48"/>
      <c r="O23" s="21" t="str">
        <f t="shared" si="1"/>
        <v/>
      </c>
      <c r="P23" s="8"/>
      <c r="Q23" s="9"/>
      <c r="R23" s="9"/>
      <c r="S23" s="48"/>
      <c r="T23" s="21" t="str">
        <f t="shared" si="2"/>
        <v/>
      </c>
      <c r="U23" s="53" t="str">
        <f t="shared" si="3"/>
        <v/>
      </c>
      <c r="V23" s="54" t="str">
        <f t="shared" si="4"/>
        <v/>
      </c>
      <c r="W23" s="55" t="str">
        <f t="shared" si="5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6"/>
        <v/>
      </c>
      <c r="B24" s="18" t="str">
        <f t="shared" si="7"/>
        <v/>
      </c>
      <c r="C24" s="18" t="str">
        <f t="shared" si="8"/>
        <v/>
      </c>
      <c r="D24" s="18" t="str">
        <f t="shared" si="9"/>
        <v/>
      </c>
      <c r="E24" s="4"/>
      <c r="F24" s="8"/>
      <c r="G24" s="9"/>
      <c r="H24" s="9"/>
      <c r="I24" s="48"/>
      <c r="J24" s="21" t="str">
        <f t="shared" si="0"/>
        <v/>
      </c>
      <c r="K24" s="8"/>
      <c r="L24" s="9"/>
      <c r="M24" s="9"/>
      <c r="N24" s="48"/>
      <c r="O24" s="21" t="str">
        <f t="shared" si="1"/>
        <v/>
      </c>
      <c r="P24" s="8"/>
      <c r="Q24" s="9"/>
      <c r="R24" s="9"/>
      <c r="S24" s="48"/>
      <c r="T24" s="21" t="str">
        <f t="shared" si="2"/>
        <v/>
      </c>
      <c r="U24" s="53" t="str">
        <f t="shared" si="3"/>
        <v/>
      </c>
      <c r="V24" s="54" t="str">
        <f t="shared" si="4"/>
        <v/>
      </c>
      <c r="W24" s="55" t="str">
        <f t="shared" si="5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6"/>
        <v/>
      </c>
      <c r="B25" s="18" t="str">
        <f t="shared" si="7"/>
        <v/>
      </c>
      <c r="C25" s="18" t="str">
        <f t="shared" si="8"/>
        <v/>
      </c>
      <c r="D25" s="18" t="str">
        <f t="shared" si="9"/>
        <v/>
      </c>
      <c r="E25" s="4"/>
      <c r="F25" s="8"/>
      <c r="G25" s="9"/>
      <c r="H25" s="9"/>
      <c r="I25" s="48"/>
      <c r="J25" s="21" t="str">
        <f t="shared" si="0"/>
        <v/>
      </c>
      <c r="K25" s="8"/>
      <c r="L25" s="9"/>
      <c r="M25" s="9"/>
      <c r="N25" s="48"/>
      <c r="O25" s="21" t="str">
        <f t="shared" si="1"/>
        <v/>
      </c>
      <c r="P25" s="8"/>
      <c r="Q25" s="9"/>
      <c r="R25" s="9"/>
      <c r="S25" s="48"/>
      <c r="T25" s="21" t="str">
        <f t="shared" si="2"/>
        <v/>
      </c>
      <c r="U25" s="53" t="str">
        <f t="shared" si="3"/>
        <v/>
      </c>
      <c r="V25" s="54" t="str">
        <f t="shared" si="4"/>
        <v/>
      </c>
      <c r="W25" s="55" t="str">
        <f t="shared" si="5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6"/>
        <v/>
      </c>
      <c r="B26" s="18" t="str">
        <f t="shared" si="7"/>
        <v/>
      </c>
      <c r="C26" s="18" t="str">
        <f t="shared" si="8"/>
        <v/>
      </c>
      <c r="D26" s="18" t="str">
        <f t="shared" si="9"/>
        <v/>
      </c>
      <c r="E26" s="4"/>
      <c r="F26" s="8"/>
      <c r="G26" s="9"/>
      <c r="H26" s="9"/>
      <c r="I26" s="48"/>
      <c r="J26" s="21" t="str">
        <f t="shared" si="0"/>
        <v/>
      </c>
      <c r="K26" s="8"/>
      <c r="L26" s="9"/>
      <c r="M26" s="9"/>
      <c r="N26" s="48"/>
      <c r="O26" s="21" t="str">
        <f t="shared" si="1"/>
        <v/>
      </c>
      <c r="P26" s="8"/>
      <c r="Q26" s="9"/>
      <c r="R26" s="9"/>
      <c r="S26" s="48"/>
      <c r="T26" s="21" t="str">
        <f t="shared" si="2"/>
        <v/>
      </c>
      <c r="U26" s="53" t="str">
        <f t="shared" si="3"/>
        <v/>
      </c>
      <c r="V26" s="54" t="str">
        <f t="shared" si="4"/>
        <v/>
      </c>
      <c r="W26" s="55" t="str">
        <f t="shared" si="5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6"/>
        <v/>
      </c>
      <c r="B27" s="18" t="str">
        <f t="shared" si="7"/>
        <v/>
      </c>
      <c r="C27" s="18" t="str">
        <f t="shared" si="8"/>
        <v/>
      </c>
      <c r="D27" s="18" t="str">
        <f t="shared" si="9"/>
        <v/>
      </c>
      <c r="E27" s="4"/>
      <c r="F27" s="8"/>
      <c r="G27" s="9"/>
      <c r="H27" s="9"/>
      <c r="I27" s="48"/>
      <c r="J27" s="21" t="str">
        <f t="shared" si="0"/>
        <v/>
      </c>
      <c r="K27" s="8"/>
      <c r="L27" s="9"/>
      <c r="M27" s="9"/>
      <c r="N27" s="48"/>
      <c r="O27" s="21" t="str">
        <f t="shared" si="1"/>
        <v/>
      </c>
      <c r="P27" s="8"/>
      <c r="Q27" s="9"/>
      <c r="R27" s="9"/>
      <c r="S27" s="48"/>
      <c r="T27" s="21" t="str">
        <f t="shared" si="2"/>
        <v/>
      </c>
      <c r="U27" s="53" t="str">
        <f t="shared" si="3"/>
        <v/>
      </c>
      <c r="V27" s="54" t="str">
        <f t="shared" si="4"/>
        <v/>
      </c>
      <c r="W27" s="55" t="str">
        <f t="shared" si="5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6"/>
        <v/>
      </c>
      <c r="B28" s="18" t="str">
        <f t="shared" si="7"/>
        <v/>
      </c>
      <c r="C28" s="18" t="str">
        <f t="shared" si="8"/>
        <v/>
      </c>
      <c r="D28" s="18" t="str">
        <f t="shared" si="9"/>
        <v/>
      </c>
      <c r="E28" s="4"/>
      <c r="F28" s="8"/>
      <c r="G28" s="9"/>
      <c r="H28" s="9"/>
      <c r="I28" s="48"/>
      <c r="J28" s="21" t="str">
        <f t="shared" si="0"/>
        <v/>
      </c>
      <c r="K28" s="8"/>
      <c r="L28" s="9"/>
      <c r="M28" s="9"/>
      <c r="N28" s="48"/>
      <c r="O28" s="21" t="str">
        <f t="shared" si="1"/>
        <v/>
      </c>
      <c r="P28" s="8"/>
      <c r="Q28" s="9"/>
      <c r="R28" s="9"/>
      <c r="S28" s="48"/>
      <c r="T28" s="21" t="str">
        <f t="shared" si="2"/>
        <v/>
      </c>
      <c r="U28" s="53" t="str">
        <f t="shared" si="3"/>
        <v/>
      </c>
      <c r="V28" s="54" t="str">
        <f t="shared" si="4"/>
        <v/>
      </c>
      <c r="W28" s="55" t="str">
        <f t="shared" si="5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6"/>
        <v/>
      </c>
      <c r="B29" s="18" t="str">
        <f t="shared" si="7"/>
        <v/>
      </c>
      <c r="C29" s="18" t="str">
        <f t="shared" si="8"/>
        <v/>
      </c>
      <c r="D29" s="18" t="str">
        <f t="shared" si="9"/>
        <v/>
      </c>
      <c r="E29" s="4"/>
      <c r="F29" s="8"/>
      <c r="G29" s="9"/>
      <c r="H29" s="9"/>
      <c r="I29" s="48"/>
      <c r="J29" s="21" t="str">
        <f t="shared" si="0"/>
        <v/>
      </c>
      <c r="K29" s="8"/>
      <c r="L29" s="9"/>
      <c r="M29" s="9"/>
      <c r="N29" s="48"/>
      <c r="O29" s="21" t="str">
        <f t="shared" si="1"/>
        <v/>
      </c>
      <c r="P29" s="8"/>
      <c r="Q29" s="9"/>
      <c r="R29" s="9"/>
      <c r="S29" s="48"/>
      <c r="T29" s="21" t="str">
        <f t="shared" si="2"/>
        <v/>
      </c>
      <c r="U29" s="53" t="str">
        <f t="shared" si="3"/>
        <v/>
      </c>
      <c r="V29" s="54" t="str">
        <f t="shared" si="4"/>
        <v/>
      </c>
      <c r="W29" s="55" t="str">
        <f t="shared" si="5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6"/>
        <v/>
      </c>
      <c r="B30" s="19" t="str">
        <f t="shared" si="7"/>
        <v/>
      </c>
      <c r="C30" s="19" t="str">
        <f t="shared" si="8"/>
        <v/>
      </c>
      <c r="D30" s="19" t="str">
        <f t="shared" si="9"/>
        <v/>
      </c>
      <c r="E30" s="5"/>
      <c r="F30" s="10"/>
      <c r="G30" s="11"/>
      <c r="H30" s="11"/>
      <c r="I30" s="49"/>
      <c r="J30" s="22" t="str">
        <f t="shared" si="0"/>
        <v/>
      </c>
      <c r="K30" s="10"/>
      <c r="L30" s="11"/>
      <c r="M30" s="11"/>
      <c r="N30" s="49"/>
      <c r="O30" s="22" t="str">
        <f t="shared" si="1"/>
        <v/>
      </c>
      <c r="P30" s="10"/>
      <c r="Q30" s="11"/>
      <c r="R30" s="11"/>
      <c r="S30" s="49"/>
      <c r="T30" s="22" t="str">
        <f t="shared" si="2"/>
        <v/>
      </c>
      <c r="U30" s="56" t="str">
        <f t="shared" si="3"/>
        <v/>
      </c>
      <c r="V30" s="57" t="str">
        <f t="shared" si="4"/>
        <v/>
      </c>
      <c r="W30" s="58" t="str">
        <f t="shared" si="5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22E8DA80-BA9A-4E1E-830E-01CDEE018DB2}">
      <formula1>$U$2:$W$2</formula1>
    </dataValidation>
    <dataValidation type="list" showInputMessage="1" showErrorMessage="1" sqref="K4:K30 P4:P30 F4:F30" xr:uid="{3A5C2520-C3AC-4DB3-90D2-7921BCEEDC5A}">
      <formula1>"ロン,ツモ,放銃,ツモ支払,流局,チョンボ"</formula1>
    </dataValidation>
  </dataValidations>
  <pageMargins left="0.7" right="0.7" top="0.75" bottom="0.75" header="0.3" footer="0.3"/>
  <pageSetup paperSize="9" scale="28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134</v>
      </c>
      <c r="B52" s="15" t="s">
        <v>135</v>
      </c>
      <c r="C52" s="15">
        <v>2</v>
      </c>
    </row>
    <row r="53" spans="1:4" x14ac:dyDescent="0.4">
      <c r="A53" s="36" t="s">
        <v>136</v>
      </c>
      <c r="B53" s="15" t="s">
        <v>137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2019-04-07T16:34:18Z</dcterms:modified>
</cp:coreProperties>
</file>