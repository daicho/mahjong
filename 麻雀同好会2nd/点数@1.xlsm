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83D0BEC3-0ADC-445D-AFFE-B75115B530AD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D6" i="1"/>
  <c r="B3" i="1"/>
  <c r="E6" i="1"/>
  <c r="B2" i="1" l="1"/>
  <c r="C7" i="1" l="1"/>
  <c r="E7" i="1" l="1"/>
  <c r="D7" i="1"/>
  <c r="C5" i="1" l="1"/>
  <c r="D5" i="1"/>
  <c r="E5" i="1"/>
  <c r="D8" i="1"/>
  <c r="C8" i="1"/>
  <c r="E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<sst xmlns="http://schemas.openxmlformats.org/spreadsheetml/2006/main" count="6" uniqueCount="6">
  <si>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</si>
  <si>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</si>
  <si>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</si>
  <si>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</si>
  <si>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</si>
  <si>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2019-06-15@1.xlsm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</si>
</sst>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10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南3局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1</v>
      </c>
      <c r="E5" s="10">
        <f ca="1">_xlfn.RANK.EQ(E$7,$C$7:$E$7)</f>
        <v>3</v>
      </c>
    </row>
    <row r="6" spans="2:5" ht="154.5" customHeight="1" x14ac:dyDescent="0.4">
      <c r="B6" s="2" t="s">
        <v>2</v>
      </c>
      <c r="C6" s="3" t="str">
        <f ca="1">NAME(Book!$B$1,0)</f>
        <v>たかの</v>
      </c>
      <c r="D6" s="4" t="str">
        <f ca="1">NAME(Book!$B$1,1)</f>
        <v>まっつん</v>
      </c>
      <c r="E6" s="5" t="str">
        <f ca="1">NAME(Book!$B$1,2)</f>
        <v>だいち</v>
      </c>
    </row>
    <row r="7" spans="2:5" ht="154.5" customHeight="1" x14ac:dyDescent="0.4">
      <c r="B7" s="2" t="s">
        <v>3</v>
      </c>
      <c r="C7" s="11">
        <f ca="1">POINT(Book!$B$1,0)</f>
        <v>33700</v>
      </c>
      <c r="D7" s="12">
        <f ca="1">POINT(Book!$B$1,1)</f>
        <v>51000</v>
      </c>
      <c r="E7" s="13">
        <f ca="1">POINT(Book!$B$1,2)</f>
        <v>20300</v>
      </c>
    </row>
    <row r="8" spans="2:5" ht="97.5" customHeight="1" thickBot="1" x14ac:dyDescent="0.45">
      <c r="B8" s="6" t="s">
        <v>4</v>
      </c>
      <c r="C8" s="14">
        <f ca="1">score(Book!$B$1,0)</f>
        <v>-1.3</v>
      </c>
      <c r="D8" s="15">
        <f ca="1">score(Book!$B$1,1)</f>
        <v>36</v>
      </c>
      <c r="E8" s="16">
        <f ca="1">score(Book!$B$1,2)</f>
        <v>-34.700000000000003</v>
      </c>
    </row>
  </sheetData>
  <mergeCells count="2">
    <mergeCell ref="B3:E3"/>
    <mergeCell ref="B2:E2"/>
  </mergeCells>
  <phoneticPr fontId="2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2019-06-15T15:55:09Z</dcterms:modified>
</cp:coreProperties>
</file>