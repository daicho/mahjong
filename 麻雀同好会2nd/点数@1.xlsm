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5072882C-AA20-4CF7-862E-6001F80A0065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8" i="1" l="1"/>
  <c r="B3" i="1"/>
  <c r="E8" i="1"/>
  <c r="E6" i="1"/>
  <c r="E7" i="1"/>
  <c r="D7" i="1"/>
  <c r="D8" i="1"/>
  <c r="C7" i="1"/>
  <c r="D6" i="1"/>
  <c r="C6" i="1"/>
  <c r="B2" i="1"/>
  <c r="C5" i="1" l="1"/>
  <c r="D5" i="1"/>
  <c r="E5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<sst xmlns="http://schemas.openxmlformats.org/spreadsheetml/2006/main" count="6" uniqueCount="6">
  <si>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</si>
  <si>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</si>
  <si>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</si>
  <si>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</si>
  <si>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</si>
  <si>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2019-06-02@1.xlsm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</si>
</sst>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zoomScaleSheetLayoutView="9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e">
        <f ca="1">MJINFO(Book!$B$1,1)&amp;MJINFO(Book!$B$1,2)&amp;"局"</f>
        <v>#VALUE!</v>
      </c>
      <c r="C2" s="19"/>
      <c r="D2" s="19"/>
      <c r="E2" s="19"/>
    </row>
    <row r="3" spans="1:5" s="12" customFormat="1" ht="76.5" customHeight="1" x14ac:dyDescent="0.4">
      <c r="B3" s="20" t="e">
        <f ca="1">""&amp;MJINFO(Book!$B$1,3)&amp;"本場 供託"&amp;MJINFO(Book!$B$1,4)</f>
        <v>#VALUE!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 t="e">
        <f ca="1">_xlfn.RANK.EQ(C$7,$C$7:$E$7)</f>
        <v>#VALUE!</v>
      </c>
      <c r="D5" s="2" t="e">
        <f ca="1">_xlfn.RANK.EQ(D$7,$C$7:$E$7)</f>
        <v>#VALUE!</v>
      </c>
      <c r="E5" s="3" t="e">
        <f ca="1">_xlfn.RANK.EQ(E$7,$C$7:$E$7)</f>
        <v>#VALUE!</v>
      </c>
    </row>
    <row r="6" spans="1:5" ht="154.5" x14ac:dyDescent="0.4">
      <c r="B6" s="9" t="s">
        <v>0</v>
      </c>
      <c r="C6" s="7" t="e">
        <f ca="1">NAME(Book!$B$1,0)</f>
        <v>#VALUE!</v>
      </c>
      <c r="D6" s="4" t="e">
        <f ca="1">NAME(Book!$B$1,1)</f>
        <v>#VALUE!</v>
      </c>
      <c r="E6" s="5" t="e">
        <f ca="1">NAME(Book!$B$1,2)</f>
        <v>#VALUE!</v>
      </c>
    </row>
    <row r="7" spans="1:5" ht="154.5" x14ac:dyDescent="0.4">
      <c r="A7" s="15"/>
      <c r="B7" s="9" t="s">
        <v>2</v>
      </c>
      <c r="C7" s="7" t="e">
        <f ca="1">POINT(Book!$B$1,0)</f>
        <v>#VALUE!</v>
      </c>
      <c r="D7" s="4" t="e">
        <f ca="1">POINT(Book!$B$1,1)</f>
        <v>#VALUE!</v>
      </c>
      <c r="E7" s="5" t="e">
        <f ca="1">POINT(Book!$B$1,2)</f>
        <v>#VALUE!</v>
      </c>
    </row>
    <row r="8" spans="1:5" ht="97.5" thickBot="1" x14ac:dyDescent="0.45">
      <c r="A8" s="15"/>
      <c r="B8" s="10" t="s">
        <v>3</v>
      </c>
      <c r="C8" s="16" t="e">
        <f ca="1">score(Book!$B$1,0)</f>
        <v>#VALUE!</v>
      </c>
      <c r="D8" s="17" t="e">
        <f ca="1">score(Book!$B$1,1)</f>
        <v>#VALUE!</v>
      </c>
      <c r="E8" s="18" t="e">
        <f ca="1">score(Book!$B$1,2)</f>
        <v>#VALUE!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2019-06-05T23:33:01Z</dcterms:modified>
</cp:coreProperties>
</file>