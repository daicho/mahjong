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KOA\"/>
    </mc:Choice>
  </mc:AlternateContent>
  <xr:revisionPtr revIDLastSave="0" documentId="13_ncr:1_{BC99E5D4-912A-4347-A8B2-22B5D1EB55C5}" xr6:coauthVersionLast="46" xr6:coauthVersionMax="46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36" r:id="rId6"/>
    <sheet name="多田" sheetId="7038" r:id="rId7"/>
    <sheet name="福澤" sheetId="7040" r:id="rId8"/>
    <sheet name="佐藤" sheetId="7042" r:id="rId9"/>
    <sheet name="佐藤2" sheetId="7043" state="hidden" r:id="rId10"/>
    <sheet name="福澤2" sheetId="7041" state="hidden" r:id="rId11"/>
    <sheet name="多田2" sheetId="7039" state="hidden" r:id="rId12"/>
    <sheet name="全体2" sheetId="7037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リーチ率" sheetId="3524" state="hidden" r:id="rId24"/>
    <sheet name="副露率" sheetId="3525" state="hidden" r:id="rId25"/>
    <sheet name="リーチ成功率" sheetId="4841" state="hidden" r:id="rId26"/>
    <sheet name="副露成功率" sheetId="3527" state="hidden" r:id="rId27"/>
    <sheet name="ツモ率" sheetId="3528" state="hidden" r:id="rId28"/>
  </sheets>
  <definedNames>
    <definedName name="アガリ数" localSheetId="3">Template1!$B$20</definedName>
    <definedName name="アガリ数" localSheetId="8">佐藤!$B$20</definedName>
    <definedName name="アガリ数" localSheetId="5">全体!$B$20</definedName>
    <definedName name="アガリ数" localSheetId="6">多田!$B$20</definedName>
    <definedName name="アガリ数" localSheetId="7">福澤!$B$20</definedName>
    <definedName name="アガリ率" localSheetId="3">Template1!$C$20</definedName>
    <definedName name="アガリ率" localSheetId="8">佐藤!$C$20</definedName>
    <definedName name="アガリ率" localSheetId="5">全体!$C$20</definedName>
    <definedName name="アガリ率" localSheetId="6">多田!$C$20</definedName>
    <definedName name="アガリ率" localSheetId="7">福澤!$C$20</definedName>
    <definedName name="ダマアガリ数" localSheetId="3">Template1!$B$26</definedName>
    <definedName name="ダマアガリ数" localSheetId="8">佐藤!$B$26</definedName>
    <definedName name="ダマアガリ数" localSheetId="5">全体!$B$26</definedName>
    <definedName name="ダマアガリ数" localSheetId="6">多田!$B$26</definedName>
    <definedName name="ダマアガリ数" localSheetId="7">福澤!$B$26</definedName>
    <definedName name="ダマアガリ率" localSheetId="3">Template1!$C$26</definedName>
    <definedName name="ダマアガリ率" localSheetId="8">佐藤!$C$26</definedName>
    <definedName name="ダマアガリ率" localSheetId="5">全体!$C$26</definedName>
    <definedName name="ダマアガリ率" localSheetId="6">多田!$C$26</definedName>
    <definedName name="ダマアガリ率" localSheetId="7">福澤!$C$26</definedName>
    <definedName name="チョンボ数" localSheetId="3">Template1!$B$35</definedName>
    <definedName name="チョンボ数" localSheetId="8">佐藤!$B$35</definedName>
    <definedName name="チョンボ数" localSheetId="5">全体!$B$35</definedName>
    <definedName name="チョンボ数" localSheetId="6">多田!$B$35</definedName>
    <definedName name="チョンボ数" localSheetId="7">福澤!$B$35</definedName>
    <definedName name="チョンボ率" localSheetId="3">Template1!$C$35</definedName>
    <definedName name="チョンボ率" localSheetId="8">佐藤!$C$35</definedName>
    <definedName name="チョンボ率" localSheetId="5">全体!$C$35</definedName>
    <definedName name="チョンボ率" localSheetId="6">多田!$C$35</definedName>
    <definedName name="チョンボ率" localSheetId="7">福澤!$C$35</definedName>
    <definedName name="ツモ数" localSheetId="3">Template1!$B$22</definedName>
    <definedName name="ツモ数" localSheetId="8">佐藤!$B$22</definedName>
    <definedName name="ツモ数" localSheetId="5">全体!$B$22</definedName>
    <definedName name="ツモ数" localSheetId="6">多田!$B$22</definedName>
    <definedName name="ツモ数" localSheetId="7">福澤!$B$22</definedName>
    <definedName name="ツモ率" localSheetId="3">Template1!$C$22</definedName>
    <definedName name="ツモ率" localSheetId="8">佐藤!$C$22</definedName>
    <definedName name="ツモ率" localSheetId="5">全体!$C$22</definedName>
    <definedName name="ツモ率" localSheetId="6">多田!$C$22</definedName>
    <definedName name="ツモ率" localSheetId="7">福澤!$C$22</definedName>
    <definedName name="トップ数" localSheetId="3">Template1!$B$8</definedName>
    <definedName name="トップ数" localSheetId="8">佐藤!$B$8</definedName>
    <definedName name="トップ数" localSheetId="5">全体!$B$8</definedName>
    <definedName name="トップ数" localSheetId="6">多田!$B$8</definedName>
    <definedName name="トップ数" localSheetId="7">福澤!$B$8</definedName>
    <definedName name="トップ率" localSheetId="3">Template1!$C$8</definedName>
    <definedName name="トップ率" localSheetId="8">佐藤!$C$8</definedName>
    <definedName name="トップ率" localSheetId="5">全体!$C$8</definedName>
    <definedName name="トップ率" localSheetId="6">多田!$C$8</definedName>
    <definedName name="トップ率" localSheetId="7">福澤!$C$8</definedName>
    <definedName name="バランス" localSheetId="8">佐藤!$B$14</definedName>
    <definedName name="バランス" localSheetId="5">全体!$B$14</definedName>
    <definedName name="バランス" localSheetId="6">多田!$B$14</definedName>
    <definedName name="バランス" localSheetId="7">福澤!$B$14</definedName>
    <definedName name="バランス">Template1!$B$14</definedName>
    <definedName name="ふっとび数" localSheetId="3">Template1!$B$15</definedName>
    <definedName name="ふっとび数" localSheetId="8">佐藤!$B$15</definedName>
    <definedName name="ふっとび数" localSheetId="5">全体!$B$15</definedName>
    <definedName name="ふっとび数" localSheetId="6">多田!$B$15</definedName>
    <definedName name="ふっとび数" localSheetId="7">福澤!$B$15</definedName>
    <definedName name="ふっとび率" localSheetId="3">Template1!$C$15</definedName>
    <definedName name="ふっとび率" localSheetId="8">佐藤!$C$15</definedName>
    <definedName name="ふっとび率" localSheetId="5">全体!$C$15</definedName>
    <definedName name="ふっとび率" localSheetId="6">多田!$C$15</definedName>
    <definedName name="ふっとび率" localSheetId="7">福澤!$C$15</definedName>
    <definedName name="ラス数" localSheetId="3">Template1!$B$10</definedName>
    <definedName name="ラス数" localSheetId="8">佐藤!$B$10</definedName>
    <definedName name="ラス数" localSheetId="5">全体!$B$10</definedName>
    <definedName name="ラス数" localSheetId="6">多田!$B$10</definedName>
    <definedName name="ラス数" localSheetId="7">福澤!$B$10</definedName>
    <definedName name="ラス率" localSheetId="3">Template1!$C$10</definedName>
    <definedName name="ラス率" localSheetId="8">佐藤!$C$10</definedName>
    <definedName name="ラス率" localSheetId="5">全体!$C$10</definedName>
    <definedName name="ラス率" localSheetId="6">多田!$C$10</definedName>
    <definedName name="ラス率" localSheetId="7">福澤!$C$10</definedName>
    <definedName name="リーチアガリ数" localSheetId="3">Template1!$B$24</definedName>
    <definedName name="リーチアガリ数" localSheetId="8">佐藤!$B$24</definedName>
    <definedName name="リーチアガリ数" localSheetId="5">全体!$B$24</definedName>
    <definedName name="リーチアガリ数" localSheetId="6">多田!$B$24</definedName>
    <definedName name="リーチアガリ数" localSheetId="7">福澤!$B$24</definedName>
    <definedName name="リーチアガリ率" localSheetId="3">Template1!$C$24</definedName>
    <definedName name="リーチアガリ率" localSheetId="8">佐藤!$C$24</definedName>
    <definedName name="リーチアガリ率" localSheetId="5">全体!$C$24</definedName>
    <definedName name="リーチアガリ率" localSheetId="6">多田!$C$24</definedName>
    <definedName name="リーチアガリ率" localSheetId="7">福澤!$C$24</definedName>
    <definedName name="リーチ数" localSheetId="3">Template1!$B$16</definedName>
    <definedName name="リーチ数" localSheetId="8">佐藤!$B$16</definedName>
    <definedName name="リーチ数" localSheetId="5">全体!$B$16</definedName>
    <definedName name="リーチ数" localSheetId="6">多田!$B$16</definedName>
    <definedName name="リーチ数" localSheetId="7">福澤!$B$16</definedName>
    <definedName name="リーチ成功数" localSheetId="3">Template1!$B$18</definedName>
    <definedName name="リーチ成功数" localSheetId="8">佐藤!$B$18</definedName>
    <definedName name="リーチ成功数" localSheetId="5">全体!$B$18</definedName>
    <definedName name="リーチ成功数" localSheetId="6">多田!$B$18</definedName>
    <definedName name="リーチ成功数" localSheetId="7">福澤!$B$18</definedName>
    <definedName name="リーチ成功率" localSheetId="3">Template1!$C$18</definedName>
    <definedName name="リーチ成功率" localSheetId="8">佐藤!$C$18</definedName>
    <definedName name="リーチ成功率" localSheetId="5">全体!$C$18</definedName>
    <definedName name="リーチ成功率" localSheetId="6">多田!$C$18</definedName>
    <definedName name="リーチ成功率" localSheetId="7">福澤!$C$18</definedName>
    <definedName name="リーチ率" localSheetId="3">Template1!$C$16</definedName>
    <definedName name="リーチ率" localSheetId="8">佐藤!$C$16</definedName>
    <definedName name="リーチ率" localSheetId="5">全体!$C$16</definedName>
    <definedName name="リーチ率" localSheetId="6">多田!$C$16</definedName>
    <definedName name="リーチ率" localSheetId="7">福澤!$C$16</definedName>
    <definedName name="レーティング" localSheetId="8">佐藤!$B$6</definedName>
    <definedName name="レーティング" localSheetId="5">全体!$B$6</definedName>
    <definedName name="レーティング" localSheetId="6">多田!$B$6</definedName>
    <definedName name="レーティング" localSheetId="7">福澤!$B$6</definedName>
    <definedName name="レーティング">Template1!$B$6</definedName>
    <definedName name="ロン数" localSheetId="3">Template1!$B$23</definedName>
    <definedName name="ロン数" localSheetId="8">佐藤!$B$23</definedName>
    <definedName name="ロン数" localSheetId="5">全体!$B$23</definedName>
    <definedName name="ロン数" localSheetId="6">多田!$B$23</definedName>
    <definedName name="ロン数" localSheetId="7">福澤!$B$23</definedName>
    <definedName name="ロン率" localSheetId="3">Template1!$C$23</definedName>
    <definedName name="ロン率" localSheetId="8">佐藤!$C$23</definedName>
    <definedName name="ロン率" localSheetId="5">全体!$C$23</definedName>
    <definedName name="ロン率" localSheetId="6">多田!$C$23</definedName>
    <definedName name="ロン率" localSheetId="7">福澤!$C$23</definedName>
    <definedName name="一位スコア" localSheetId="8">佐藤!$B$11</definedName>
    <definedName name="一位スコア" localSheetId="5">全体!$B$11</definedName>
    <definedName name="一位スコア" localSheetId="6">多田!$B$11</definedName>
    <definedName name="一位スコア" localSheetId="7">福澤!$B$11</definedName>
    <definedName name="一位スコア">Template1!$B$11</definedName>
    <definedName name="一位通算スコア" localSheetId="8">佐藤!$C$11</definedName>
    <definedName name="一位通算スコア" localSheetId="5">全体!$C$11</definedName>
    <definedName name="一位通算スコア" localSheetId="6">多田!$C$11</definedName>
    <definedName name="一位通算スコア" localSheetId="7">福澤!$C$11</definedName>
    <definedName name="一位通算スコア">Template1!$C$11</definedName>
    <definedName name="一翻数" localSheetId="8">佐藤!$B$37</definedName>
    <definedName name="一翻数" localSheetId="5">全体!$B$37</definedName>
    <definedName name="一翻数" localSheetId="6">多田!$B$37</definedName>
    <definedName name="一翻数" localSheetId="7">福澤!$B$37</definedName>
    <definedName name="一翻数">Template1!$B$37</definedName>
    <definedName name="一翻率" localSheetId="8">佐藤!$C$37</definedName>
    <definedName name="一翻率" localSheetId="5">全体!$C$37</definedName>
    <definedName name="一翻率" localSheetId="6">多田!$C$37</definedName>
    <definedName name="一翻率" localSheetId="7">福澤!$C$37</definedName>
    <definedName name="一翻率">Template1!$C$37</definedName>
    <definedName name="現行連続アガリ" localSheetId="3">Template1!$C$31</definedName>
    <definedName name="現行連続アガリ" localSheetId="8">佐藤!$C$31</definedName>
    <definedName name="現行連続アガリ" localSheetId="5">全体!$C$31</definedName>
    <definedName name="現行連続アガリ" localSheetId="6">多田!$C$31</definedName>
    <definedName name="現行連続アガリ" localSheetId="7">福澤!$C$31</definedName>
    <definedName name="現行連続無放銃" localSheetId="3">Template1!$C$32</definedName>
    <definedName name="現行連続無放銃" localSheetId="8">佐藤!$C$32</definedName>
    <definedName name="現行連続無放銃" localSheetId="5">全体!$C$32</definedName>
    <definedName name="現行連続無放銃" localSheetId="6">多田!$C$32</definedName>
    <definedName name="現行連続無放銃" localSheetId="7">福澤!$C$32</definedName>
    <definedName name="最高点" localSheetId="3">Template1!$B$34</definedName>
    <definedName name="最高点" localSheetId="8">佐藤!$B$34</definedName>
    <definedName name="最高点" localSheetId="5">全体!$B$34</definedName>
    <definedName name="最高点" localSheetId="6">多田!$B$34</definedName>
    <definedName name="最高点" localSheetId="7">福澤!$B$34</definedName>
    <definedName name="最大ドラ数" localSheetId="3">Template1!$B$33</definedName>
    <definedName name="最大ドラ数" localSheetId="8">佐藤!$B$33</definedName>
    <definedName name="最大ドラ数" localSheetId="5">全体!$B$33</definedName>
    <definedName name="最大ドラ数" localSheetId="6">多田!$B$33</definedName>
    <definedName name="最大ドラ数" localSheetId="7">福澤!$B$33</definedName>
    <definedName name="最大点数" localSheetId="3">Template1!$B$34</definedName>
    <definedName name="最大点数" localSheetId="8">佐藤!$B$34</definedName>
    <definedName name="最大点数" localSheetId="5">全体!$B$34</definedName>
    <definedName name="最大点数" localSheetId="6">多田!$B$34</definedName>
    <definedName name="最大点数" localSheetId="7">福澤!$B$34</definedName>
    <definedName name="三位スコア" localSheetId="8">佐藤!$B$13</definedName>
    <definedName name="三位スコア" localSheetId="5">全体!$B$13</definedName>
    <definedName name="三位スコア" localSheetId="6">多田!$B$13</definedName>
    <definedName name="三位スコア" localSheetId="7">福澤!$B$13</definedName>
    <definedName name="三位スコア">Template1!$B$13</definedName>
    <definedName name="三位通算スコア" localSheetId="8">佐藤!$C$13</definedName>
    <definedName name="三位通算スコア" localSheetId="5">全体!$C$13</definedName>
    <definedName name="三位通算スコア" localSheetId="6">多田!$C$13</definedName>
    <definedName name="三位通算スコア" localSheetId="7">福澤!$C$13</definedName>
    <definedName name="三位通算スコア">Template1!$C$13</definedName>
    <definedName name="総局数" localSheetId="3">Template1!$B$3</definedName>
    <definedName name="総局数" localSheetId="8">佐藤!$B$3</definedName>
    <definedName name="総局数" localSheetId="5">全体!$B$3</definedName>
    <definedName name="総局数" localSheetId="6">多田!$B$3</definedName>
    <definedName name="総局数" localSheetId="7">福澤!$B$3</definedName>
    <definedName name="対戦数" localSheetId="3">Template1!$B$2</definedName>
    <definedName name="対戦数" localSheetId="8">佐藤!$B$2</definedName>
    <definedName name="対戦数" localSheetId="5">全体!$B$2</definedName>
    <definedName name="対戦数" localSheetId="6">多田!$B$2</definedName>
    <definedName name="対戦数" localSheetId="7">福澤!$B$2</definedName>
    <definedName name="通算アガリ点" localSheetId="3">Template1!$C$27</definedName>
    <definedName name="通算アガリ点" localSheetId="8">佐藤!$C$27</definedName>
    <definedName name="通算アガリ点" localSheetId="5">全体!$C$27</definedName>
    <definedName name="通算アガリ点" localSheetId="6">多田!$C$27</definedName>
    <definedName name="通算アガリ点" localSheetId="7">福澤!$C$27</definedName>
    <definedName name="通算スコア" localSheetId="3">Template1!$B$4</definedName>
    <definedName name="通算スコア" localSheetId="8">佐藤!$B$4</definedName>
    <definedName name="通算スコア" localSheetId="5">全体!$B$4</definedName>
    <definedName name="通算スコア" localSheetId="6">多田!$B$4</definedName>
    <definedName name="通算スコア" localSheetId="7">福澤!$B$4</definedName>
    <definedName name="通算副露アガリ点" localSheetId="3">Template1!$C$29</definedName>
    <definedName name="通算副露アガリ点" localSheetId="8">佐藤!$C$29</definedName>
    <definedName name="通算副露アガリ点" localSheetId="5">全体!$C$29</definedName>
    <definedName name="通算副露アガリ点" localSheetId="6">多田!$C$29</definedName>
    <definedName name="通算副露アガリ点" localSheetId="7">福澤!$C$29</definedName>
    <definedName name="通算放銃点" localSheetId="3">Template1!$C$30</definedName>
    <definedName name="通算放銃点" localSheetId="8">佐藤!$C$30</definedName>
    <definedName name="通算放銃点" localSheetId="5">全体!$C$30</definedName>
    <definedName name="通算放銃点" localSheetId="6">多田!$C$30</definedName>
    <definedName name="通算放銃点" localSheetId="7">福澤!$C$30</definedName>
    <definedName name="通算門前アガリ点" localSheetId="3">Template1!$C$28</definedName>
    <definedName name="通算門前アガリ点" localSheetId="8">佐藤!$C$28</definedName>
    <definedName name="通算門前アガリ点" localSheetId="5">全体!$C$28</definedName>
    <definedName name="通算門前アガリ点" localSheetId="6">多田!$C$28</definedName>
    <definedName name="通算門前アガリ点" localSheetId="7">福澤!$C$28</definedName>
    <definedName name="二位スコア" localSheetId="8">佐藤!$B$12</definedName>
    <definedName name="二位スコア" localSheetId="5">全体!$B$12</definedName>
    <definedName name="二位スコア" localSheetId="6">多田!$B$12</definedName>
    <definedName name="二位スコア" localSheetId="7">福澤!$B$12</definedName>
    <definedName name="二位スコア">Template1!$B$12</definedName>
    <definedName name="二位数" localSheetId="3">Template1!$B$9</definedName>
    <definedName name="二位数" localSheetId="8">佐藤!$B$9</definedName>
    <definedName name="二位数" localSheetId="5">全体!$B$9</definedName>
    <definedName name="二位数" localSheetId="6">多田!$B$9</definedName>
    <definedName name="二位数" localSheetId="7">福澤!$B$9</definedName>
    <definedName name="二位通算スコア" localSheetId="8">佐藤!$C$12</definedName>
    <definedName name="二位通算スコア" localSheetId="5">全体!$C$12</definedName>
    <definedName name="二位通算スコア" localSheetId="6">多田!$C$12</definedName>
    <definedName name="二位通算スコア" localSheetId="7">福澤!$C$12</definedName>
    <definedName name="二位通算スコア">Template1!$C$12</definedName>
    <definedName name="二位率" localSheetId="3">Template1!$C$9</definedName>
    <definedName name="二位率" localSheetId="8">佐藤!$C$9</definedName>
    <definedName name="二位率" localSheetId="5">全体!$C$9</definedName>
    <definedName name="二位率" localSheetId="6">多田!$C$9</definedName>
    <definedName name="二位率" localSheetId="7">福澤!$C$9</definedName>
    <definedName name="副露アガリ数" localSheetId="3">Template1!$B$25</definedName>
    <definedName name="副露アガリ数" localSheetId="8">佐藤!$B$25</definedName>
    <definedName name="副露アガリ数" localSheetId="5">全体!$B$25</definedName>
    <definedName name="副露アガリ数" localSheetId="6">多田!$B$25</definedName>
    <definedName name="副露アガリ数" localSheetId="7">福澤!$B$25</definedName>
    <definedName name="副露アガリ点" localSheetId="3">Template1!$B$29</definedName>
    <definedName name="副露アガリ点" localSheetId="8">佐藤!$B$29</definedName>
    <definedName name="副露アガリ点" localSheetId="5">全体!$B$29</definedName>
    <definedName name="副露アガリ点" localSheetId="6">多田!$B$29</definedName>
    <definedName name="副露アガリ点" localSheetId="7">福澤!$B$29</definedName>
    <definedName name="副露アガリ率" localSheetId="3">Template1!$C$25</definedName>
    <definedName name="副露アガリ率" localSheetId="8">佐藤!$C$25</definedName>
    <definedName name="副露アガリ率" localSheetId="5">全体!$C$25</definedName>
    <definedName name="副露アガリ率" localSheetId="6">多田!$C$25</definedName>
    <definedName name="副露アガリ率" localSheetId="7">福澤!$C$25</definedName>
    <definedName name="副露数" localSheetId="3">Template1!$B$17</definedName>
    <definedName name="副露数" localSheetId="8">佐藤!$B$17</definedName>
    <definedName name="副露数" localSheetId="5">全体!$B$17</definedName>
    <definedName name="副露数" localSheetId="6">多田!$B$17</definedName>
    <definedName name="副露数" localSheetId="7">福澤!$B$17</definedName>
    <definedName name="副露成功数" localSheetId="3">Template1!$B$19</definedName>
    <definedName name="副露成功数" localSheetId="8">佐藤!$B$19</definedName>
    <definedName name="副露成功数" localSheetId="5">全体!$B$19</definedName>
    <definedName name="副露成功数" localSheetId="6">多田!$B$19</definedName>
    <definedName name="副露成功数" localSheetId="7">福澤!$B$19</definedName>
    <definedName name="副露成功率" localSheetId="3">Template1!$C$19</definedName>
    <definedName name="副露成功率" localSheetId="8">佐藤!$C$19</definedName>
    <definedName name="副露成功率" localSheetId="5">全体!$C$19</definedName>
    <definedName name="副露成功率" localSheetId="6">多田!$C$19</definedName>
    <definedName name="副露成功率" localSheetId="7">福澤!$C$19</definedName>
    <definedName name="副露率" localSheetId="3">Template1!$C$17</definedName>
    <definedName name="副露率" localSheetId="8">佐藤!$C$17</definedName>
    <definedName name="副露率" localSheetId="5">全体!$C$17</definedName>
    <definedName name="副露率" localSheetId="6">多田!$C$17</definedName>
    <definedName name="副露率" localSheetId="7">福澤!$C$17</definedName>
    <definedName name="平均アガリ点" localSheetId="3">Template1!$B$27</definedName>
    <definedName name="平均アガリ点" localSheetId="8">佐藤!$B$27</definedName>
    <definedName name="平均アガリ点" localSheetId="5">全体!$B$27</definedName>
    <definedName name="平均アガリ点" localSheetId="6">多田!$B$27</definedName>
    <definedName name="平均アガリ点" localSheetId="7">福澤!$B$27</definedName>
    <definedName name="平均スコア" localSheetId="3">Template1!$B$5</definedName>
    <definedName name="平均スコア" localSheetId="8">佐藤!$B$5</definedName>
    <definedName name="平均スコア" localSheetId="5">全体!$B$5</definedName>
    <definedName name="平均スコア" localSheetId="6">多田!$B$5</definedName>
    <definedName name="平均スコア" localSheetId="7">福澤!$B$5</definedName>
    <definedName name="平均順位" localSheetId="3">Template1!$B$7</definedName>
    <definedName name="平均順位" localSheetId="8">佐藤!$B$7</definedName>
    <definedName name="平均順位" localSheetId="5">全体!$B$7</definedName>
    <definedName name="平均順位" localSheetId="6">多田!$B$7</definedName>
    <definedName name="平均順位" localSheetId="7">福澤!$B$7</definedName>
    <definedName name="平均放銃点" localSheetId="3">Template1!$B$30</definedName>
    <definedName name="平均放銃点" localSheetId="8">佐藤!$B$30</definedName>
    <definedName name="平均放銃点" localSheetId="5">全体!$B$30</definedName>
    <definedName name="平均放銃点" localSheetId="6">多田!$B$30</definedName>
    <definedName name="平均放銃点" localSheetId="7">福澤!$B$30</definedName>
    <definedName name="放銃数" localSheetId="3">Template1!$B$21</definedName>
    <definedName name="放銃数" localSheetId="8">佐藤!$B$21</definedName>
    <definedName name="放銃数" localSheetId="5">全体!$B$21</definedName>
    <definedName name="放銃数" localSheetId="6">多田!$B$21</definedName>
    <definedName name="放銃数" localSheetId="7">福澤!$B$21</definedName>
    <definedName name="放銃率" localSheetId="3">Template1!$C$21</definedName>
    <definedName name="放銃率" localSheetId="8">佐藤!$C$21</definedName>
    <definedName name="放銃率" localSheetId="5">全体!$C$21</definedName>
    <definedName name="放銃率" localSheetId="6">多田!$C$21</definedName>
    <definedName name="放銃率" localSheetId="7">福澤!$C$21</definedName>
    <definedName name="名前" localSheetId="3">Template1!$B$1</definedName>
    <definedName name="名前" localSheetId="8">佐藤!$B$1</definedName>
    <definedName name="名前" localSheetId="5">全体!$B$1</definedName>
    <definedName name="名前" localSheetId="6">多田!$B$1</definedName>
    <definedName name="名前" localSheetId="7">福澤!$B$1</definedName>
    <definedName name="門前アガリ点" localSheetId="3">Template1!$B$28</definedName>
    <definedName name="門前アガリ点" localSheetId="8">佐藤!$B$28</definedName>
    <definedName name="門前アガリ点" localSheetId="5">全体!$B$28</definedName>
    <definedName name="門前アガリ点" localSheetId="6">多田!$B$28</definedName>
    <definedName name="門前アガリ点" localSheetId="7">福澤!$B$28</definedName>
    <definedName name="連続アガリ" localSheetId="3">Template1!$B$31</definedName>
    <definedName name="連続アガリ" localSheetId="8">佐藤!$B$31</definedName>
    <definedName name="連続アガリ" localSheetId="5">全体!$B$31</definedName>
    <definedName name="連続アガリ" localSheetId="6">多田!$B$31</definedName>
    <definedName name="連続アガリ" localSheetId="7">福澤!$B$31</definedName>
    <definedName name="連続無放銃" localSheetId="3">Template1!$B$32</definedName>
    <definedName name="連続無放銃" localSheetId="8">佐藤!$B$32</definedName>
    <definedName name="連続無放銃" localSheetId="5">全体!$B$32</definedName>
    <definedName name="連続無放銃" localSheetId="6">多田!$B$32</definedName>
    <definedName name="連続無放銃" localSheetId="7">福澤!$B$32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7042" l="1"/>
  <c r="P16" i="7042"/>
  <c r="H52" i="7042"/>
  <c r="H51" i="7042"/>
  <c r="C49" i="7042"/>
  <c r="H48" i="7042"/>
  <c r="C48" i="7042"/>
  <c r="H47" i="7042"/>
  <c r="C47" i="7042"/>
  <c r="H46" i="7042"/>
  <c r="C45" i="7042"/>
  <c r="H44" i="7042"/>
  <c r="C44" i="7042"/>
  <c r="H43" i="7042"/>
  <c r="C43" i="7042"/>
  <c r="H42" i="7042"/>
  <c r="C41" i="7042"/>
  <c r="H40" i="7042"/>
  <c r="C40" i="7042"/>
  <c r="H39" i="7042"/>
  <c r="C39" i="7042"/>
  <c r="H38" i="7042"/>
  <c r="C37" i="7042"/>
  <c r="H36" i="7042"/>
  <c r="H35" i="7042"/>
  <c r="C35" i="7042"/>
  <c r="H34" i="7042"/>
  <c r="H33" i="7042"/>
  <c r="H30" i="7042"/>
  <c r="B30" i="7042"/>
  <c r="H29" i="7042"/>
  <c r="H28" i="7042"/>
  <c r="B28" i="7042"/>
  <c r="H26" i="7042"/>
  <c r="C26" i="7042"/>
  <c r="H25" i="7042"/>
  <c r="C25" i="7042"/>
  <c r="H24" i="7042"/>
  <c r="C24" i="7042"/>
  <c r="H22" i="7042"/>
  <c r="C22" i="7042"/>
  <c r="H21" i="7042"/>
  <c r="C21" i="7042"/>
  <c r="H20" i="7042"/>
  <c r="C20" i="7042"/>
  <c r="B20" i="7042"/>
  <c r="H50" i="7042" s="1"/>
  <c r="C19" i="7042"/>
  <c r="B19" i="7042"/>
  <c r="B29" i="7042" s="1"/>
  <c r="H18" i="7042"/>
  <c r="C18" i="7042"/>
  <c r="B18" i="7042"/>
  <c r="H17" i="7042"/>
  <c r="C17" i="7042"/>
  <c r="C16" i="7042"/>
  <c r="H15" i="7042"/>
  <c r="C15" i="7042"/>
  <c r="H14" i="7042"/>
  <c r="B14" i="7042"/>
  <c r="H13" i="7042"/>
  <c r="B13" i="7042"/>
  <c r="P12" i="7042"/>
  <c r="H12" i="7042"/>
  <c r="B12" i="7042"/>
  <c r="P11" i="7042"/>
  <c r="H11" i="7042"/>
  <c r="B11" i="7042"/>
  <c r="P10" i="7042"/>
  <c r="H10" i="7042"/>
  <c r="C10" i="7042"/>
  <c r="H9" i="7042"/>
  <c r="C9" i="7042"/>
  <c r="H8" i="7042"/>
  <c r="C8" i="7042"/>
  <c r="P7" i="7042"/>
  <c r="H7" i="7042"/>
  <c r="B7" i="7042"/>
  <c r="P6" i="7042"/>
  <c r="H6" i="7042"/>
  <c r="P5" i="7042"/>
  <c r="H5" i="7042"/>
  <c r="B5" i="7042"/>
  <c r="P4" i="7042"/>
  <c r="H4" i="7042"/>
  <c r="P3" i="7042"/>
  <c r="H3" i="7042"/>
  <c r="P2" i="7042"/>
  <c r="H2" i="7042"/>
  <c r="P16" i="7040"/>
  <c r="P15" i="7040"/>
  <c r="C35" i="7040"/>
  <c r="B30" i="7040"/>
  <c r="C21" i="7040"/>
  <c r="B20" i="7040"/>
  <c r="H49" i="7040" s="1"/>
  <c r="C19" i="7040"/>
  <c r="B19" i="7040"/>
  <c r="B29" i="7040" s="1"/>
  <c r="C18" i="7040"/>
  <c r="B18" i="7040"/>
  <c r="C17" i="7040"/>
  <c r="C16" i="7040"/>
  <c r="C15" i="7040"/>
  <c r="B13" i="7040"/>
  <c r="P12" i="7040"/>
  <c r="B12" i="7040"/>
  <c r="P11" i="7040"/>
  <c r="B11" i="7040"/>
  <c r="B14" i="7040" s="1"/>
  <c r="P10" i="7040"/>
  <c r="C10" i="7040"/>
  <c r="C9" i="7040"/>
  <c r="C8" i="7040"/>
  <c r="P7" i="7040"/>
  <c r="B7" i="7040"/>
  <c r="P6" i="7040"/>
  <c r="P5" i="7040"/>
  <c r="B5" i="7040"/>
  <c r="P4" i="7040"/>
  <c r="P3" i="7040"/>
  <c r="P2" i="7040"/>
  <c r="P17" i="7036"/>
  <c r="P15" i="7038"/>
  <c r="P16" i="7038"/>
  <c r="C35" i="7038"/>
  <c r="B30" i="7038"/>
  <c r="C21" i="7038"/>
  <c r="B20" i="7038"/>
  <c r="H51" i="7038" s="1"/>
  <c r="B19" i="7038"/>
  <c r="B29" i="7038" s="1"/>
  <c r="C18" i="7038"/>
  <c r="B18" i="7038"/>
  <c r="C17" i="7038"/>
  <c r="C16" i="7038"/>
  <c r="C15" i="7038"/>
  <c r="B13" i="7038"/>
  <c r="P12" i="7038"/>
  <c r="B12" i="7038"/>
  <c r="P11" i="7038"/>
  <c r="B11" i="7038"/>
  <c r="B14" i="7038" s="1"/>
  <c r="P10" i="7038"/>
  <c r="C10" i="7038"/>
  <c r="C9" i="7038"/>
  <c r="H14" i="7038"/>
  <c r="C8" i="7038"/>
  <c r="P7" i="7038"/>
  <c r="B7" i="7038"/>
  <c r="P6" i="7038"/>
  <c r="P5" i="7038"/>
  <c r="B5" i="7038"/>
  <c r="P4" i="7038"/>
  <c r="P3" i="7038"/>
  <c r="P2" i="7038"/>
  <c r="P15" i="7036"/>
  <c r="P16" i="7036"/>
  <c r="C35" i="7036"/>
  <c r="B30" i="7036"/>
  <c r="C21" i="7036"/>
  <c r="B20" i="7036"/>
  <c r="H52" i="7036" s="1"/>
  <c r="B19" i="7036"/>
  <c r="B18" i="7036"/>
  <c r="C18" i="7036" s="1"/>
  <c r="C17" i="7036"/>
  <c r="C16" i="7036"/>
  <c r="C15" i="7036"/>
  <c r="B13" i="7036"/>
  <c r="P12" i="7036"/>
  <c r="B12" i="7036"/>
  <c r="P11" i="7036"/>
  <c r="B11" i="7036"/>
  <c r="B14" i="7036" s="1"/>
  <c r="P10" i="7036"/>
  <c r="C10" i="7036"/>
  <c r="C9" i="7036"/>
  <c r="C8" i="7036"/>
  <c r="P7" i="7036"/>
  <c r="B7" i="7036"/>
  <c r="P6" i="7036"/>
  <c r="P5" i="7036"/>
  <c r="B5" i="7036"/>
  <c r="P4" i="7036"/>
  <c r="P3" i="7036"/>
  <c r="P2" i="7036"/>
  <c r="H16" i="7042" l="1"/>
  <c r="H19" i="7042"/>
  <c r="C23" i="7042"/>
  <c r="B27" i="7042"/>
  <c r="H31" i="7042"/>
  <c r="H37" i="7042"/>
  <c r="H41" i="7042"/>
  <c r="H45" i="7042"/>
  <c r="H49" i="7042"/>
  <c r="H23" i="7042"/>
  <c r="H27" i="7042"/>
  <c r="H32" i="7042"/>
  <c r="C38" i="7042"/>
  <c r="C42" i="7042"/>
  <c r="C46" i="7042"/>
  <c r="C20" i="7040"/>
  <c r="H23" i="7040"/>
  <c r="H27" i="7040"/>
  <c r="C38" i="7040"/>
  <c r="C42" i="7040"/>
  <c r="C46" i="7040"/>
  <c r="H50" i="7040"/>
  <c r="H6" i="7040"/>
  <c r="H3" i="7040"/>
  <c r="H13" i="7040"/>
  <c r="H17" i="7040"/>
  <c r="C24" i="7040"/>
  <c r="B28" i="7040"/>
  <c r="H33" i="7040"/>
  <c r="H38" i="7040"/>
  <c r="H42" i="7040"/>
  <c r="H46" i="7040"/>
  <c r="H51" i="7040"/>
  <c r="H20" i="7040"/>
  <c r="H24" i="7040"/>
  <c r="H28" i="7040"/>
  <c r="H34" i="7040"/>
  <c r="C39" i="7040"/>
  <c r="C43" i="7040"/>
  <c r="C47" i="7040"/>
  <c r="H52" i="7040"/>
  <c r="H11" i="7040"/>
  <c r="H14" i="7040"/>
  <c r="C25" i="7040"/>
  <c r="H39" i="7040"/>
  <c r="H43" i="7040"/>
  <c r="H47" i="7040"/>
  <c r="H10" i="7040"/>
  <c r="H32" i="7040"/>
  <c r="H7" i="7040"/>
  <c r="H4" i="7040"/>
  <c r="H18" i="7040"/>
  <c r="H21" i="7040"/>
  <c r="H25" i="7040"/>
  <c r="H29" i="7040"/>
  <c r="H35" i="7040"/>
  <c r="C40" i="7040"/>
  <c r="C44" i="7040"/>
  <c r="C48" i="7040"/>
  <c r="H2" i="7040"/>
  <c r="H15" i="7040"/>
  <c r="C22" i="7040"/>
  <c r="C26" i="7040"/>
  <c r="H36" i="7040"/>
  <c r="H40" i="7040"/>
  <c r="H44" i="7040"/>
  <c r="H48" i="7040"/>
  <c r="H8" i="7040"/>
  <c r="H9" i="7040"/>
  <c r="H12" i="7040"/>
  <c r="H22" i="7040"/>
  <c r="H26" i="7040"/>
  <c r="H30" i="7040"/>
  <c r="C37" i="7040"/>
  <c r="C41" i="7040"/>
  <c r="C45" i="7040"/>
  <c r="C49" i="7040"/>
  <c r="H5" i="7040"/>
  <c r="H16" i="7040"/>
  <c r="H19" i="7040"/>
  <c r="C23" i="7040"/>
  <c r="B27" i="7040"/>
  <c r="H31" i="7040"/>
  <c r="H37" i="7040"/>
  <c r="H41" i="7040"/>
  <c r="H45" i="7040"/>
  <c r="H21" i="7038"/>
  <c r="B27" i="7038"/>
  <c r="H38" i="7038"/>
  <c r="H2" i="7038"/>
  <c r="H40" i="7038"/>
  <c r="H9" i="7038"/>
  <c r="H8" i="7038"/>
  <c r="C43" i="7038"/>
  <c r="H29" i="7038"/>
  <c r="C39" i="7038"/>
  <c r="H6" i="7038"/>
  <c r="H19" i="7038"/>
  <c r="H32" i="7038"/>
  <c r="H16" i="7038"/>
  <c r="H24" i="7038"/>
  <c r="H46" i="7038"/>
  <c r="H18" i="7038"/>
  <c r="C20" i="7038"/>
  <c r="H44" i="7038"/>
  <c r="H4" i="7038"/>
  <c r="H7" i="7038"/>
  <c r="C23" i="7038"/>
  <c r="H37" i="7038"/>
  <c r="H47" i="7038"/>
  <c r="B28" i="7038"/>
  <c r="H13" i="7038"/>
  <c r="C22" i="7038"/>
  <c r="H15" i="7038"/>
  <c r="H17" i="7038"/>
  <c r="C24" i="7038"/>
  <c r="C37" i="7038"/>
  <c r="C47" i="7038"/>
  <c r="C25" i="7038"/>
  <c r="H34" i="7038"/>
  <c r="H41" i="7038"/>
  <c r="H48" i="7038"/>
  <c r="H12" i="7038"/>
  <c r="H10" i="7038"/>
  <c r="C26" i="7038"/>
  <c r="H35" i="7038"/>
  <c r="H42" i="7038"/>
  <c r="H49" i="7038"/>
  <c r="H3" i="7038"/>
  <c r="H22" i="7038"/>
  <c r="H28" i="7038"/>
  <c r="H43" i="7038"/>
  <c r="H50" i="7038"/>
  <c r="C19" i="7038"/>
  <c r="H5" i="7038"/>
  <c r="H26" i="7038"/>
  <c r="H31" i="7038"/>
  <c r="H39" i="7038"/>
  <c r="H45" i="7038"/>
  <c r="H52" i="7038"/>
  <c r="H20" i="7038"/>
  <c r="H23" i="7038"/>
  <c r="H27" i="7038"/>
  <c r="H30" i="7038"/>
  <c r="H36" i="7038"/>
  <c r="C40" i="7038"/>
  <c r="C44" i="7038"/>
  <c r="C48" i="7038"/>
  <c r="C41" i="7038"/>
  <c r="C45" i="7038"/>
  <c r="C49" i="7038"/>
  <c r="H25" i="7038"/>
  <c r="H11" i="7038"/>
  <c r="H33" i="7038"/>
  <c r="C38" i="7038"/>
  <c r="C42" i="7038"/>
  <c r="C46" i="7038"/>
  <c r="C26" i="7036"/>
  <c r="H37" i="7036"/>
  <c r="H44" i="7036"/>
  <c r="H11" i="7036"/>
  <c r="H13" i="7036"/>
  <c r="H3" i="7036"/>
  <c r="H38" i="7036"/>
  <c r="H46" i="7036"/>
  <c r="H14" i="7036"/>
  <c r="C20" i="7036"/>
  <c r="H19" i="7036"/>
  <c r="H5" i="7036"/>
  <c r="H6" i="7036"/>
  <c r="H16" i="7036"/>
  <c r="H23" i="7036"/>
  <c r="H30" i="7036"/>
  <c r="C40" i="7036"/>
  <c r="H47" i="7036"/>
  <c r="H48" i="7036"/>
  <c r="C45" i="7036"/>
  <c r="C22" i="7036"/>
  <c r="H15" i="7036"/>
  <c r="H20" i="7036"/>
  <c r="H24" i="7036"/>
  <c r="H34" i="7036"/>
  <c r="C41" i="7036"/>
  <c r="C48" i="7036"/>
  <c r="H10" i="7036"/>
  <c r="H28" i="7036"/>
  <c r="B27" i="7036"/>
  <c r="H8" i="7036"/>
  <c r="H18" i="7036"/>
  <c r="B28" i="7036"/>
  <c r="C23" i="7036"/>
  <c r="H42" i="7036"/>
  <c r="H49" i="7036"/>
  <c r="H9" i="7036"/>
  <c r="C37" i="7036"/>
  <c r="H17" i="7036"/>
  <c r="H41" i="7036"/>
  <c r="H2" i="7036"/>
  <c r="H4" i="7036"/>
  <c r="H21" i="7036"/>
  <c r="H27" i="7036"/>
  <c r="H36" i="7036"/>
  <c r="H43" i="7036"/>
  <c r="H7" i="7036"/>
  <c r="C19" i="7036"/>
  <c r="C24" i="7036"/>
  <c r="H31" i="7036"/>
  <c r="H39" i="7036"/>
  <c r="C44" i="7036"/>
  <c r="C49" i="7036"/>
  <c r="C25" i="7036"/>
  <c r="H32" i="7036"/>
  <c r="H40" i="7036"/>
  <c r="H45" i="7036"/>
  <c r="H50" i="7036"/>
  <c r="B29" i="7036"/>
  <c r="H25" i="7036"/>
  <c r="H12" i="7036"/>
  <c r="H33" i="7036"/>
  <c r="C38" i="7036"/>
  <c r="C42" i="7036"/>
  <c r="C46" i="7036"/>
  <c r="H51" i="7036"/>
  <c r="H22" i="7036"/>
  <c r="H26" i="7036"/>
  <c r="H29" i="7036"/>
  <c r="H35" i="7036"/>
  <c r="C39" i="7036"/>
  <c r="C43" i="7036"/>
  <c r="C47" i="703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<sst xmlns="http://schemas.openxmlformats.org/spreadsheetml/2006/main" count="1175" uniqueCount="199">
  <si>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</si>
  <si>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</si>
  <si>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</si>
  <si>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</si>
  <si>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</si>
  <si>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</si>
  <si>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</si>
  <si>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</si>
  <si>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</si>
  <si>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</si>
  <si>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</si>
  <si>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</si>
  <si>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</si>
  <si>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</si>
  <si>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</si>
  <si>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</si>
  <si>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</si>
  <si>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</si>
  <si>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</si>
  <si>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</si>
  <si>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</si>
  <si>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</si>
  <si>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</si>
  <si>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</si>
  <si>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</si>
  <si>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</si>
  <si>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</si>
  <si>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</si>
  <si>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</si>
  <si>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</si>
  <si>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</si>
  <si>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</si>
  <si>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</si>
  <si>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</si>
  <si>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</si>
  <si>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</si>
  <si>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</si>
  <si>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</si>
  <si>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</si>
  <si>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</si>
  <si>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</si>
  <si>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</si>
  <si>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</si>
  <si>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</si>
  <si>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</si>
  <si>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</si>
  <si>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</si>
  <si>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</si>
  <si>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</si>
  <si>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</si>
  <si>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</si>
  <si>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</si>
  <si>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</si>
  <si>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</si>
  <si>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</si>
  <si>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</si>
  <si>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</si>
  <si>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</si>
  <si>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</si>
  <si>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</si>
  <si>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</si>
  <si>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</si>
  <si>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</si>
  <si>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</si>
  <si>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</si>
  <si>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</si>
  <si>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</si>
  <si>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</si>
  <si>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</si>
  <si>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</si>
  <si>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</si>
  <si>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</si>
  <si>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</si>
  <si>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</si>
  <si>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</si>
  <si>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</si>
  <si>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</si>
  <si>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</si>
  <si>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</si>
  <si>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</si>
  <si>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</si>
  <si>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</si>
  <si>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</si>
  <si>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</si>
  <si>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</si>
  <si>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</si>
  <si>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</si>
  <si>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</si>
  <si>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</si>
  <si>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</si>
  <si>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</si>
  <si>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</si>
  <si>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</si>
  <si>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</si>
  <si>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</si>
  <si>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</si>
  <si>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</si>
  <si>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</si>
  <si>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</si>
  <si>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</si>
  <si>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</si>
  <si>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</si>
  <si>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</si>
  <si>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</si>
  <si>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</si>
  <si>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</si>
  <si>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</si>
  <si>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</si>
  <si>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</si>
  <si>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</si>
  <si>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</si>
  <si>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</si>
  <si>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</si>
  <si>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</si>
  <si>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</si>
  <si>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</si>
  <si>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</si>
  <si>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</si>
  <si>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</si>
  <si>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</si>
  <si>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</si>
  <si>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</si>
  <si>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</si>
  <si>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</si>
  <si>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</si>
  <si>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</si>
  <si>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</si>
  <si>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</si>
  <si>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</si>
  <si>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</si>
  <si>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</si>
  <si>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</si>
  <si>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</si>
  <si>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</si>
  <si>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</si>
  <si>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</si>
  <si>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</si>
  <si>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</si>
  <si>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</si>
  <si>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</si>
  <si>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</si>
  <si>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</si>
  <si>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</si>
  <si>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</si>
  <si>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</si>
  <si>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</si>
  <si>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</si>
  <si>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</si>
  <si>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</si>
  <si>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</si>
  <si>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</si>
  <si>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</si>
  <si>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</si>
  <si>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</si>
  <si>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</si>
  <si>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</si>
  <si>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</si>
  <si>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</si>
  <si>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</si>
  <si>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</si>
  <si>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</si>
  <si>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</si>
  <si>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</si>
  <si>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</si>
  <si>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</si>
  <si>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</si>
  <si>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</si>
  <si>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</si>
  <si>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</si>
  <si>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</si>
  <si>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</si>
  <si>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</si>
  <si>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</si>
  <si>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</si>
  <si>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</si>
  <si>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</si>
  <si>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</si>
  <si>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</si>
  <si>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</si>
  <si>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</si>
  <si>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</si>
  <si>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</si>
  <si>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</si>
  <si>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</si>
  <si>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</si>
  <si>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</si>
  <si>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</si>
  <si>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レーティング</t>
    <phoneticPr fontId="1"/>
  </si>
  <si>
    <t>R</t>
    <phoneticPr fontId="1"/>
  </si>
  <si>
    <t>相関</t>
    <rPh sb="0" eb="2">
      <t>ソウカン</t>
    </rPh>
    <phoneticPr fontId="1"/>
  </si>
  <si>
    <t>たいせい</t>
  </si>
  <si>
    <t>ともまさ</t>
  </si>
  <si>
    <t>―</t>
  </si>
  <si>
    <t>g</t>
    <phoneticPr fontId="1"/>
  </si>
  <si>
    <t>2021-04-11@Ryo.xlsm</t>
  </si>
  <si>
    <t>福澤</t>
  </si>
  <si>
    <t>佐藤</t>
  </si>
  <si>
    <t>多田</t>
  </si>
  <si>
    <t>佐藤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</si>
</sst>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全体!$L$2:$L$5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55.8</c:v>
                </c:pt>
                <c:pt idx="2">
                  <c:v>59.4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9-4540-844D-D436096B4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8-4CDC-9CD2-7C492C26B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3-45B1-A3F7-4A96532E8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全体!$M$2:$M$5</c:f>
              <c:numCache>
                <c:formatCode>0</c:formatCode>
                <c:ptCount val="4"/>
                <c:pt idx="0">
                  <c:v>1500</c:v>
                </c:pt>
                <c:pt idx="1">
                  <c:v>1510.0440000000001</c:v>
                </c:pt>
                <c:pt idx="2">
                  <c:v>1510.631736</c:v>
                </c:pt>
                <c:pt idx="3">
                  <c:v>1499.875945584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0-43D6-A8BD-949780687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多田!$K$1:$L$1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多田!$K$2:$L$2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5-40B7-9B88-04961734D09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多田!$K$1:$L$1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多田!$K$3:$L$3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55.8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5-40B7-9B88-04961734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多田!$P$2:$P$7</c:f>
              <c:numCache>
                <c:formatCode>\+0;\-0;\±0</c:formatCode>
                <c:ptCount val="6"/>
                <c:pt idx="0">
                  <c:v>0</c:v>
                </c:pt>
                <c:pt idx="1">
                  <c:v>11500</c:v>
                </c:pt>
                <c:pt idx="2">
                  <c:v>7700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8-462F-B9F7-2872E23E1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7-4B97-BA8B-5C355CF04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(多田!$K$1,多田!$M$1)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(多田!$K$2,多田!$M$2)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BD-4297-990B-435118C5452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(多田!$K$1,多田!$M$1)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(多田!$K$3,多田!$M$3)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1510.0440000000001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BD-4297-990B-435118C54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福澤!$K$1:$L$1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福澤!$K$2:$L$2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7-4CAF-A2EC-323A0B46D68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福澤!$K$1:$L$1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福澤!$K$3:$L$3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E7-4CAF-A2EC-323A0B46D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福澤!$P$2:$P$7</c:f>
              <c:numCache>
                <c:formatCode>\+0;\-0;\±0</c:formatCode>
                <c:ptCount val="6"/>
                <c:pt idx="0">
                  <c:v>3900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D1-451E-B167-E46C3B8E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F-43A9-94CE-E8AE5396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(福澤!$K$1,福澤!$M$1)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(福澤!$K$2,福澤!$M$2)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7-443C-94E7-902A8E5092B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(福澤!$K$1,福澤!$M$1)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(福澤!$K$3,福澤!$M$3)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1500.6479999999999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7-443C-94E7-902A8E509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佐藤!$K$1:$L$1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佐藤!$K$2:$L$2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B-4336-AE73-D59F0A2E9C5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佐藤!$K$1:$L$1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佐藤!$K$3:$L$3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B-4336-AE73-D59F0A2E9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佐藤!$P$2:$P$7</c:f>
              <c:numCache>
                <c:formatCode>\+0;\-0;\±0</c:formatCode>
                <c:ptCount val="6"/>
                <c:pt idx="0">
                  <c:v>-3900</c:v>
                </c:pt>
                <c:pt idx="1">
                  <c:v>-12000</c:v>
                </c:pt>
                <c:pt idx="2">
                  <c:v>-7700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8-4E28-BF1C-B162053F9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C-47A0-86CE-F9BBC837B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(佐藤!$K$1,佐藤!$M$1)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(佐藤!$K$2,佐藤!$M$2)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DC-487F-9C9B-F1F1191451E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(佐藤!$K$1,佐藤!$M$1)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(佐藤!$K$3,佐藤!$M$3)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1489.308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DC-487F-9C9B-F1F119145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佐藤2!$A$1:$B$2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佐藤2!$A$3:$B$3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佐藤2!$A$1:$B$2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佐藤2!$A$4:$B$4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DB-49FC-BD52-4ED16AF27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(佐藤2!$A$3,佐藤2!$C$3)</c:f>
              <c:numCache>
                <c:formatCode>\+0.0;\-0.0;\±0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(佐藤2!$A$4,佐藤2!$C$4)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C8-43DE-BFCF-C47227A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(佐藤2!$A$3,佐藤2!$D$3)</c:f>
              <c:numCache>
                <c:formatCode>0.00\ "位"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(佐藤2!$A$4,佐藤2!$D$4)</c:f>
              <c:numCache>
                <c:formatCode>0.00\ "位"</c:formatCode>
                <c:ptCount val="2"/>
                <c:pt idx="0" formatCode="0\ &quot;回&quot;">
                  <c:v>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C8-40E4-B15E-BCCEFAD36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(佐藤2!$A$3,佐藤2!$E$3)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(佐藤2!$A$4,佐藤2!$E$4)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85-401E-AA0D-2E2D2D6F9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(佐藤2!$A$1:$A$2,佐藤2!$F$1:$F$2)</c:f>
              <c:multiLvlStrCache>
                <c:ptCount val="2"/>
                <c:lvl>
                  <c:pt idx="0">
                    <c:v>対戦数</c:v>
                  </c:pt>
                  <c:pt idx="1">
                    <c:v>ラス率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(佐藤2!$A$3,佐藤2!$F$3)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(佐藤2!$A$1:$A$2,佐藤2!$F$1:$F$2)</c:f>
              <c:multiLvlStrCache>
                <c:ptCount val="2"/>
                <c:lvl>
                  <c:pt idx="0">
                    <c:v>対戦数</c:v>
                  </c:pt>
                  <c:pt idx="1">
                    <c:v>ラス率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(佐藤2!$A$4,佐藤2!$F$4)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48-446C-9123-5D8B965D5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(佐藤2!$A$1:$A$2,佐藤2!$G$1:$G$2)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(佐藤2!$A$3,佐藤2!$G$3)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(佐藤2!$A$1:$A$2,佐藤2!$G$1:$G$2)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(佐藤2!$A$4,佐藤2!$G$4)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8-41F1-BD08-8FD29E4A7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777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(佐藤2!$A$1:$A$2,佐藤2!$H$1:$H$2)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(佐藤2!$A$3,佐藤2!$H$3)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(佐藤2!$A$1:$A$2,佐藤2!$H$1:$H$2)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(佐藤2!$A$4,佐藤2!$H$4)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33-46BC-96C5-C93C21CF2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2222222222222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(佐藤2!$A$1:$A$2,佐藤2!$I$1:$I$2)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(佐藤2!$A$3,佐藤2!$I$3)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(佐藤2!$A$1:$A$2,佐藤2!$I$1:$I$2)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(佐藤2!$A$4,佐藤2!$I$4)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96-4F06-B6A3-90F32F58B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4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(佐藤2!$A$1:$A$2,佐藤2!$J$1:$J$2)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(佐藤2!$A$3,佐藤2!$J$3)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(佐藤2!$A$1:$A$2,佐藤2!$J$1:$J$2)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(佐藤2!$A$4,佐藤2!$J$4)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-10900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3A-4CF0-A418-B84C553F8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09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(佐藤2!$A$3,佐藤2!$K$3)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(佐藤2!$A$4,佐藤2!$K$4)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83-4B02-8EC2-1E67D17FF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(佐藤2!$A$1:$A$2,佐藤2!$L$1:$L$2)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(佐藤2!$A$3,佐藤2!$L$3)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(佐藤2!$A$1:$A$2,佐藤2!$L$1:$L$2)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(佐藤2!$A$4,佐藤2!$L$4)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31-456A-BE9C-B393561EC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(佐藤2!$A$1:$A$2,佐藤2!$M$1:$M$2)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(佐藤2!$A$3,佐藤2!$M$3)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(佐藤2!$A$1:$A$2,佐藤2!$M$1:$M$2)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(佐藤2!$A$4,佐藤2!$M$4)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20-47AA-992A-CEA065B81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(佐藤2!$A$1:$A$2,佐藤2!$N$1:$N$2)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(佐藤2!$A$3,佐藤2!$N$3)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(佐藤2!$A$1:$A$2,佐藤2!$N$1:$N$2)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(佐藤2!$A$4,佐藤2!$N$4)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0D-46D0-B24F-8FC731A94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66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(佐藤2!$A$1:$A$2,佐藤2!$O$1:$O$2)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(佐藤2!$A$3,佐藤2!$O$3)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(佐藤2!$A$1:$A$2,佐藤2!$O$1:$O$2)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(佐藤2!$A$4,佐藤2!$O$4)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82-41A2-BFBE-7470199D3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66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(佐藤2!$A$1:$A$2,佐藤2!$P$1:$P$2)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(佐藤2!$A$3,佐藤2!$P$3)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(佐藤2!$A$1:$A$2,佐藤2!$P$1:$P$2)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佐藤</c:v>
                  </c:pt>
                  <c:pt idx="1">
                    <c:v>佐藤</c:v>
                  </c:pt>
                </c:lvl>
              </c:multiLvlStrCache>
            </c:multiLvlStrRef>
          </c:xVal>
          <c:yVal>
            <c:numRef>
              <c:f>(佐藤2!$A$4,佐藤2!$P$4)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DA-40C3-8D69-90D362B82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8BF079-B64D-4137-94F2-A54461BEE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080122-619E-4B2F-9C39-CAA631E73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75DBF8-AA4C-4992-9D4E-4FFC62CE3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BDDDDA3-E164-4188-B844-FF843DBC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9CE4D3-24AD-44A0-A738-EDBFD0C6B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2F4A3E-F2D4-41CF-9C14-9FEA9A744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FE6B95-5289-4B99-8068-6E358F255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19916E-B3BF-4841-9BDA-BA5020C2ED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B3B4C28-9A95-42ED-99CC-DFBC8C892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1199F9-3F73-407A-BDD9-6946CDED8C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DB08F0-D49D-4196-B5B1-F6FE8C670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DC0E218-F568-46E9-BFFE-29012110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A2AE03-9EFA-4BE6-A31C-3D17EF5C5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AF9395-AA3E-44CC-9433-582E4E7304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01DDF2-9EFE-4EA0-83A5-9A38BF312A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D30386A-5013-47A3-967E-9EA041220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3" x14ac:dyDescent="0.4">
      <c r="A1" s="1">
        <v>32874</v>
      </c>
      <c r="B1" s="1">
        <v>2958465</v>
      </c>
    </row>
    <row r="2" spans="1:3" x14ac:dyDescent="0.4">
      <c r="A2" s="2" t="s">
        <v>194</v>
      </c>
      <c r="B2" s="3">
        <v>44297.595208333332</v>
      </c>
      <c r="C2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2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198</v>
      </c>
    </row>
    <row r="2" spans="1:3" x14ac:dyDescent="0.4">
      <c r="A2" t="s">
        <v>139</v>
      </c>
      <c r="B2" s="120">
        <v>3</v>
      </c>
      <c r="C2" s="120">
        <v>1500</v>
      </c>
    </row>
    <row r="3" spans="1:3" x14ac:dyDescent="0.4">
      <c r="A3" t="s">
        <v>191</v>
      </c>
      <c r="C3" s="120">
        <v>1500</v>
      </c>
    </row>
    <row r="4" spans="1:3" x14ac:dyDescent="0.4">
      <c r="A4" t="s">
        <v>190</v>
      </c>
      <c r="C4" s="120">
        <v>1500</v>
      </c>
    </row>
    <row r="5" spans="1:3" x14ac:dyDescent="0.4">
      <c r="A5" t="s">
        <v>126</v>
      </c>
      <c r="C5" s="120">
        <v>1500</v>
      </c>
    </row>
    <row r="6" spans="1:3" x14ac:dyDescent="0.4">
      <c r="A6" t="s">
        <v>197</v>
      </c>
      <c r="B6" s="120">
        <v>1</v>
      </c>
      <c r="C6" s="120">
        <v>1500</v>
      </c>
    </row>
    <row r="7" spans="1:3" x14ac:dyDescent="0.4">
      <c r="A7" t="s">
        <v>195</v>
      </c>
      <c r="B7" s="120">
        <v>1</v>
      </c>
      <c r="C7" s="120">
        <v>1500</v>
      </c>
    </row>
    <row r="8" spans="1:3" x14ac:dyDescent="0.4">
      <c r="A8" t="s">
        <v>196</v>
      </c>
      <c r="B8" s="120">
        <v>1</v>
      </c>
      <c r="C8" s="120">
        <v>1500</v>
      </c>
    </row>
    <row r="17" spans="7:8" x14ac:dyDescent="0.4">
      <c r="G17" s="120"/>
      <c r="H17" s="120"/>
    </row>
    <row r="18" spans="7:8" x14ac:dyDescent="0.4">
      <c r="G18" s="120"/>
      <c r="H18" s="120"/>
    </row>
    <row r="19" spans="7:8" x14ac:dyDescent="0.4">
      <c r="G19" s="120"/>
      <c r="H19" s="120"/>
    </row>
    <row r="20" spans="7:8" x14ac:dyDescent="0.4">
      <c r="G20" s="120"/>
      <c r="H20" s="120"/>
    </row>
    <row r="21" spans="7:8" x14ac:dyDescent="0.4">
      <c r="G21" s="120"/>
      <c r="H21" s="120"/>
    </row>
    <row r="22" spans="7:8" x14ac:dyDescent="0.4">
      <c r="G22" s="120"/>
      <c r="H22" s="12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188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187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 t="s">
        <v>193</v>
      </c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187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179</v>
      </c>
      <c r="AK1" s="142"/>
    </row>
    <row r="2" spans="1:37" x14ac:dyDescent="0.4">
      <c r="A2" s="36" t="s">
        <v>189</v>
      </c>
      <c r="B2" s="143" t="s">
        <v>192</v>
      </c>
      <c r="C2" s="144"/>
      <c r="D2" s="143" t="s">
        <v>192</v>
      </c>
      <c r="E2" s="144"/>
      <c r="F2" s="143" t="s">
        <v>192</v>
      </c>
      <c r="G2" s="144"/>
      <c r="H2" s="145"/>
      <c r="I2" s="146"/>
      <c r="J2" s="143" t="s">
        <v>192</v>
      </c>
      <c r="K2" s="144"/>
      <c r="L2" s="143" t="s">
        <v>192</v>
      </c>
      <c r="M2" s="144"/>
      <c r="N2" s="143" t="s">
        <v>192</v>
      </c>
      <c r="O2" s="144"/>
      <c r="P2" s="143" t="s">
        <v>192</v>
      </c>
      <c r="Q2" s="144"/>
      <c r="R2" s="143" t="s">
        <v>192</v>
      </c>
      <c r="S2" s="144"/>
      <c r="T2" s="143" t="s">
        <v>192</v>
      </c>
      <c r="U2" s="144"/>
      <c r="V2" s="143" t="s">
        <v>192</v>
      </c>
      <c r="W2" s="144"/>
      <c r="X2" s="143" t="s">
        <v>192</v>
      </c>
      <c r="Y2" s="144"/>
      <c r="Z2" s="143" t="s">
        <v>192</v>
      </c>
      <c r="AA2" s="144"/>
      <c r="AB2" s="143" t="s">
        <v>192</v>
      </c>
      <c r="AC2" s="144"/>
      <c r="AD2" s="143" t="s">
        <v>192</v>
      </c>
      <c r="AE2" s="144"/>
      <c r="AF2" s="143" t="s">
        <v>192</v>
      </c>
      <c r="AG2" s="144"/>
      <c r="AH2" s="143" t="s">
        <v>192</v>
      </c>
      <c r="AI2" s="144"/>
      <c r="AJ2" s="143" t="s">
        <v>192</v>
      </c>
      <c r="AK2" s="144"/>
    </row>
    <row r="3" spans="1:37" x14ac:dyDescent="0.4">
      <c r="A3" s="38">
        <v>1</v>
      </c>
      <c r="B3" s="41" t="s">
        <v>139</v>
      </c>
      <c r="C3" s="113">
        <v>1</v>
      </c>
      <c r="D3" s="39" t="s">
        <v>197</v>
      </c>
      <c r="E3" s="40">
        <v>55.8</v>
      </c>
      <c r="F3" s="41" t="s">
        <v>197</v>
      </c>
      <c r="G3" s="60">
        <v>55.8</v>
      </c>
      <c r="H3" s="41" t="s">
        <v>197</v>
      </c>
      <c r="I3" s="45">
        <v>1510.0440000000001</v>
      </c>
      <c r="J3" s="41" t="s">
        <v>197</v>
      </c>
      <c r="K3" s="42">
        <v>1</v>
      </c>
      <c r="L3" s="41" t="s">
        <v>197</v>
      </c>
      <c r="M3" s="43">
        <v>1</v>
      </c>
      <c r="N3" s="41" t="s">
        <v>197</v>
      </c>
      <c r="O3" s="43">
        <v>0</v>
      </c>
      <c r="P3" s="41" t="s">
        <v>197</v>
      </c>
      <c r="Q3" s="44">
        <v>0.66666666666666663</v>
      </c>
      <c r="R3" s="41" t="s">
        <v>197</v>
      </c>
      <c r="S3" s="44">
        <v>0</v>
      </c>
      <c r="T3" s="41" t="s">
        <v>197</v>
      </c>
      <c r="U3" s="45">
        <v>10325</v>
      </c>
      <c r="V3" s="41" t="s">
        <v>197</v>
      </c>
      <c r="W3" s="45">
        <v>0</v>
      </c>
      <c r="X3" s="41" t="s">
        <v>197</v>
      </c>
      <c r="Y3" s="43">
        <v>0</v>
      </c>
      <c r="Z3" s="41" t="s">
        <v>195</v>
      </c>
      <c r="AA3" s="44">
        <v>0.33333333333333331</v>
      </c>
      <c r="AB3" s="41" t="s">
        <v>197</v>
      </c>
      <c r="AC3" s="44">
        <v>0.5</v>
      </c>
      <c r="AD3" s="41" t="s">
        <v>197</v>
      </c>
      <c r="AE3" s="44">
        <v>1</v>
      </c>
      <c r="AF3" s="41" t="s">
        <v>139</v>
      </c>
      <c r="AG3" s="44">
        <v>0.66666666666666663</v>
      </c>
      <c r="AH3" s="41" t="s">
        <v>197</v>
      </c>
      <c r="AI3" s="44">
        <v>0.25</v>
      </c>
      <c r="AJ3" s="41" t="s">
        <v>139</v>
      </c>
      <c r="AK3" s="55">
        <v>80800</v>
      </c>
    </row>
    <row r="4" spans="1:37" x14ac:dyDescent="0.4">
      <c r="A4" s="46">
        <v>2</v>
      </c>
      <c r="B4" s="49" t="s">
        <v>197</v>
      </c>
      <c r="C4" s="114">
        <v>1</v>
      </c>
      <c r="D4" s="47" t="s">
        <v>195</v>
      </c>
      <c r="E4" s="48">
        <v>3.6</v>
      </c>
      <c r="F4" s="49" t="s">
        <v>195</v>
      </c>
      <c r="G4" s="61">
        <v>3.6</v>
      </c>
      <c r="H4" s="49" t="s">
        <v>195</v>
      </c>
      <c r="I4" s="53">
        <v>1500.6479999999999</v>
      </c>
      <c r="J4" s="49" t="s">
        <v>139</v>
      </c>
      <c r="K4" s="50">
        <v>2</v>
      </c>
      <c r="L4" s="49" t="s">
        <v>139</v>
      </c>
      <c r="M4" s="51">
        <v>0.33333333333333331</v>
      </c>
      <c r="N4" s="49" t="s">
        <v>195</v>
      </c>
      <c r="O4" s="51">
        <v>0</v>
      </c>
      <c r="P4" s="49" t="s">
        <v>139</v>
      </c>
      <c r="Q4" s="52">
        <v>0.27777777777777779</v>
      </c>
      <c r="R4" s="49" t="s">
        <v>195</v>
      </c>
      <c r="S4" s="52">
        <v>0</v>
      </c>
      <c r="T4" s="49" t="s">
        <v>139</v>
      </c>
      <c r="U4" s="53">
        <v>9040</v>
      </c>
      <c r="V4" s="49" t="s">
        <v>195</v>
      </c>
      <c r="W4" s="53">
        <v>0</v>
      </c>
      <c r="X4" s="49" t="s">
        <v>195</v>
      </c>
      <c r="Y4" s="51">
        <v>0</v>
      </c>
      <c r="Z4" s="49" t="s">
        <v>139</v>
      </c>
      <c r="AA4" s="52">
        <v>0.16666666666666666</v>
      </c>
      <c r="AB4" s="49" t="s">
        <v>139</v>
      </c>
      <c r="AC4" s="52">
        <v>0.16666666666666666</v>
      </c>
      <c r="AD4" s="49" t="s">
        <v>139</v>
      </c>
      <c r="AE4" s="52">
        <v>0.66666666666666663</v>
      </c>
      <c r="AF4" s="49" t="s">
        <v>197</v>
      </c>
      <c r="AG4" s="52">
        <v>0.66666666666666663</v>
      </c>
      <c r="AH4" s="49" t="s">
        <v>139</v>
      </c>
      <c r="AI4" s="52">
        <v>0.2</v>
      </c>
      <c r="AJ4" s="49" t="s">
        <v>197</v>
      </c>
      <c r="AK4" s="56">
        <v>80800</v>
      </c>
    </row>
    <row r="5" spans="1:37" x14ac:dyDescent="0.4">
      <c r="A5" s="46">
        <v>3</v>
      </c>
      <c r="B5" s="49" t="s">
        <v>195</v>
      </c>
      <c r="C5" s="114">
        <v>1</v>
      </c>
      <c r="D5" s="47" t="s">
        <v>139</v>
      </c>
      <c r="E5" s="48">
        <v>0</v>
      </c>
      <c r="F5" s="49" t="s">
        <v>139</v>
      </c>
      <c r="G5" s="61">
        <v>0</v>
      </c>
      <c r="H5" s="49" t="s">
        <v>139</v>
      </c>
      <c r="I5" s="53">
        <v>1499.875945584</v>
      </c>
      <c r="J5" s="49" t="s">
        <v>195</v>
      </c>
      <c r="K5" s="50">
        <v>2</v>
      </c>
      <c r="L5" s="49" t="s">
        <v>195</v>
      </c>
      <c r="M5" s="51">
        <v>0</v>
      </c>
      <c r="N5" s="49" t="s">
        <v>139</v>
      </c>
      <c r="O5" s="51">
        <v>0.33333333333333331</v>
      </c>
      <c r="P5" s="49" t="s">
        <v>195</v>
      </c>
      <c r="Q5" s="52">
        <v>0.16666666666666666</v>
      </c>
      <c r="R5" s="49" t="s">
        <v>139</v>
      </c>
      <c r="S5" s="52">
        <v>0.22222222222222221</v>
      </c>
      <c r="T5" s="49" t="s">
        <v>195</v>
      </c>
      <c r="U5" s="53">
        <v>3900</v>
      </c>
      <c r="V5" s="49" t="s">
        <v>139</v>
      </c>
      <c r="W5" s="53">
        <v>-10900</v>
      </c>
      <c r="X5" s="49" t="s">
        <v>139</v>
      </c>
      <c r="Y5" s="51">
        <v>0.33333333333333331</v>
      </c>
      <c r="Z5" s="49" t="s">
        <v>197</v>
      </c>
      <c r="AA5" s="52">
        <v>0.16666666666666666</v>
      </c>
      <c r="AB5" s="49" t="s">
        <v>195</v>
      </c>
      <c r="AC5" s="52">
        <v>0</v>
      </c>
      <c r="AD5" s="49" t="s">
        <v>195</v>
      </c>
      <c r="AE5" s="52">
        <v>0.5</v>
      </c>
      <c r="AF5" s="49" t="s">
        <v>195</v>
      </c>
      <c r="AG5" s="52">
        <v>0</v>
      </c>
      <c r="AH5" s="49" t="s">
        <v>195</v>
      </c>
      <c r="AI5" s="52">
        <v>0</v>
      </c>
      <c r="AJ5" s="49" t="s">
        <v>195</v>
      </c>
      <c r="AK5" s="56">
        <v>38600</v>
      </c>
    </row>
    <row r="6" spans="1:37" x14ac:dyDescent="0.4">
      <c r="A6" s="46">
        <v>4</v>
      </c>
      <c r="B6" s="49" t="s">
        <v>196</v>
      </c>
      <c r="C6" s="114">
        <v>1</v>
      </c>
      <c r="D6" s="47" t="s">
        <v>196</v>
      </c>
      <c r="E6" s="48">
        <v>-59.4</v>
      </c>
      <c r="F6" s="49" t="s">
        <v>196</v>
      </c>
      <c r="G6" s="61">
        <v>-59.4</v>
      </c>
      <c r="H6" s="49" t="s">
        <v>196</v>
      </c>
      <c r="I6" s="53">
        <v>1489.308</v>
      </c>
      <c r="J6" s="49" t="s">
        <v>196</v>
      </c>
      <c r="K6" s="50">
        <v>3</v>
      </c>
      <c r="L6" s="49" t="s">
        <v>196</v>
      </c>
      <c r="M6" s="51">
        <v>0</v>
      </c>
      <c r="N6" s="49" t="s">
        <v>196</v>
      </c>
      <c r="O6" s="51">
        <v>1</v>
      </c>
      <c r="P6" s="49" t="s">
        <v>196</v>
      </c>
      <c r="Q6" s="52">
        <v>0</v>
      </c>
      <c r="R6" s="49" t="s">
        <v>196</v>
      </c>
      <c r="S6" s="52">
        <v>0.66666666666666663</v>
      </c>
      <c r="T6" s="49" t="s">
        <v>196</v>
      </c>
      <c r="U6" s="53">
        <v>0</v>
      </c>
      <c r="V6" s="49" t="s">
        <v>196</v>
      </c>
      <c r="W6" s="53">
        <v>-10900</v>
      </c>
      <c r="X6" s="49" t="s">
        <v>196</v>
      </c>
      <c r="Y6" s="51">
        <v>1</v>
      </c>
      <c r="Z6" s="49" t="s">
        <v>196</v>
      </c>
      <c r="AA6" s="52">
        <v>0</v>
      </c>
      <c r="AB6" s="49" t="s">
        <v>196</v>
      </c>
      <c r="AC6" s="52">
        <v>0</v>
      </c>
      <c r="AD6" s="49" t="s">
        <v>196</v>
      </c>
      <c r="AE6" s="52">
        <v>0</v>
      </c>
      <c r="AF6" s="49" t="s">
        <v>196</v>
      </c>
      <c r="AG6" s="52">
        <v>0</v>
      </c>
      <c r="AH6" s="49" t="s">
        <v>196</v>
      </c>
      <c r="AI6" s="52">
        <v>0</v>
      </c>
      <c r="AJ6" s="49" t="s">
        <v>196</v>
      </c>
      <c r="AK6" s="56">
        <v>-14400</v>
      </c>
    </row>
  </sheetData>
  <sortState xmlns:xlrd2="http://schemas.microsoft.com/office/spreadsheetml/2017/richdata2" ref="AJ3:AK35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57DC-DA08-453C-86D2-4AB0BB3650B6}">
  <sheetPr codeName="Sheet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188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67</v>
      </c>
      <c r="F2" s="23" t="s">
        <v>23</v>
      </c>
      <c r="G2" s="11">
        <v>3</v>
      </c>
      <c r="H2" s="87">
        <f>IF(B$20=0,0,G2/B$20)</f>
        <v>0.6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0</v>
      </c>
      <c r="Q2" s="76">
        <v>3</v>
      </c>
      <c r="R2" s="63">
        <v>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3</v>
      </c>
      <c r="H3" s="88">
        <f>IF(B$20=0,0,G3/B$20)</f>
        <v>0.6</v>
      </c>
      <c r="I3" s="58">
        <v>2</v>
      </c>
      <c r="K3" s="74">
        <v>1</v>
      </c>
      <c r="L3" s="119">
        <v>55.8</v>
      </c>
      <c r="M3" s="117">
        <v>1510.0440000000001</v>
      </c>
      <c r="O3" s="74" t="s">
        <v>129</v>
      </c>
      <c r="P3" s="80">
        <f t="shared" si="0"/>
        <v>0</v>
      </c>
      <c r="Q3" s="77">
        <v>3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64</v>
      </c>
      <c r="F4" s="24" t="s">
        <v>20</v>
      </c>
      <c r="G4" s="12">
        <v>2</v>
      </c>
      <c r="H4" s="88">
        <f>IF(B$20=0,0,G4/B$20)</f>
        <v>0.4</v>
      </c>
      <c r="I4" s="58">
        <v>2</v>
      </c>
      <c r="K4" s="74">
        <v>2</v>
      </c>
      <c r="L4" s="119">
        <v>59.4</v>
      </c>
      <c r="M4" s="117">
        <v>1510.631736</v>
      </c>
      <c r="O4" s="74" t="s">
        <v>130</v>
      </c>
      <c r="P4" s="80">
        <f t="shared" si="0"/>
        <v>0</v>
      </c>
      <c r="Q4" s="77">
        <v>3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66</v>
      </c>
      <c r="F5" s="24" t="s">
        <v>22</v>
      </c>
      <c r="G5" s="12">
        <v>2</v>
      </c>
      <c r="H5" s="88">
        <f>IF(B$20=0,0,G5/B$20)</f>
        <v>0.4</v>
      </c>
      <c r="I5" s="58">
        <v>2</v>
      </c>
      <c r="K5" s="74">
        <v>3</v>
      </c>
      <c r="L5" s="119">
        <v>0</v>
      </c>
      <c r="M5" s="117">
        <v>1499.875945584</v>
      </c>
      <c r="O5" s="74" t="s">
        <v>131</v>
      </c>
      <c r="P5" s="80">
        <f t="shared" si="0"/>
        <v>0</v>
      </c>
      <c r="Q5" s="77">
        <v>0</v>
      </c>
      <c r="R5" s="64">
        <v>0</v>
      </c>
    </row>
    <row r="6" spans="1:18" x14ac:dyDescent="0.4">
      <c r="A6" s="19" t="s">
        <v>187</v>
      </c>
      <c r="B6" s="129">
        <v>1499.875945584</v>
      </c>
      <c r="C6" s="130"/>
      <c r="E6" s="27" t="s">
        <v>69</v>
      </c>
      <c r="F6" s="24" t="s">
        <v>24</v>
      </c>
      <c r="G6" s="12">
        <v>2</v>
      </c>
      <c r="H6" s="88">
        <f>IF(B$20=0,0,G6/B$20)</f>
        <v>0.4</v>
      </c>
      <c r="I6" s="58">
        <v>2</v>
      </c>
      <c r="O6" s="74" t="s">
        <v>132</v>
      </c>
      <c r="P6" s="80">
        <f t="shared" si="0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159</v>
      </c>
      <c r="F7" s="24" t="s">
        <v>160</v>
      </c>
      <c r="G7" s="12">
        <v>2</v>
      </c>
      <c r="H7" s="88">
        <f>IF(B$20=0,0,G7/B$20)</f>
        <v>0.4</v>
      </c>
      <c r="I7" s="58">
        <v>2</v>
      </c>
      <c r="O7" s="75" t="s">
        <v>133</v>
      </c>
      <c r="P7" s="81">
        <f t="shared" si="0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0.33333333333333331</v>
      </c>
      <c r="E8" s="27" t="s">
        <v>70</v>
      </c>
      <c r="F8" s="24" t="s">
        <v>25</v>
      </c>
      <c r="G8" s="12">
        <v>1</v>
      </c>
      <c r="H8" s="88">
        <f>IF(B$20=0,0,G8/B$20)</f>
        <v>0.2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71</v>
      </c>
      <c r="F9" s="24" t="s">
        <v>26</v>
      </c>
      <c r="G9" s="12">
        <v>1</v>
      </c>
      <c r="H9" s="88">
        <f>IF(B$20=0,0,G9/B$20)</f>
        <v>0.2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0.33333333333333331</v>
      </c>
      <c r="E10" s="27" t="s">
        <v>74</v>
      </c>
      <c r="F10" s="24" t="s">
        <v>29</v>
      </c>
      <c r="G10" s="12">
        <v>1</v>
      </c>
      <c r="H10" s="88">
        <f>IF(B$20=0,0,G10/B$20)</f>
        <v>0.2</v>
      </c>
      <c r="I10" s="58">
        <v>2</v>
      </c>
      <c r="O10" s="73" t="s">
        <v>151</v>
      </c>
      <c r="P10" s="82">
        <f>IF(Q10=0,0,R10/Q10)</f>
        <v>55.8</v>
      </c>
      <c r="Q10" s="76">
        <v>1</v>
      </c>
      <c r="R10" s="67">
        <v>55.8</v>
      </c>
    </row>
    <row r="11" spans="1:18" x14ac:dyDescent="0.4">
      <c r="A11" s="20" t="s">
        <v>183</v>
      </c>
      <c r="B11" s="109">
        <f>IF(B8=0,0,C11/B8)</f>
        <v>55.8</v>
      </c>
      <c r="C11" s="110">
        <v>55.8</v>
      </c>
      <c r="E11" s="27" t="s">
        <v>78</v>
      </c>
      <c r="F11" s="24" t="s">
        <v>33</v>
      </c>
      <c r="G11" s="12">
        <v>1</v>
      </c>
      <c r="H11" s="88">
        <f>IF(B$20=0,0,G11/B$20)</f>
        <v>0.2</v>
      </c>
      <c r="I11" s="58">
        <v>2</v>
      </c>
      <c r="O11" s="74" t="s">
        <v>152</v>
      </c>
      <c r="P11" s="83">
        <f>IF(Q11=0,0,R11/Q11)</f>
        <v>3.6</v>
      </c>
      <c r="Q11" s="77">
        <v>1</v>
      </c>
      <c r="R11" s="68">
        <v>3.6</v>
      </c>
    </row>
    <row r="12" spans="1:18" x14ac:dyDescent="0.4">
      <c r="A12" s="20" t="s">
        <v>184</v>
      </c>
      <c r="B12" s="109">
        <f>IF(B9=0,0,C12/B9)</f>
        <v>3.6</v>
      </c>
      <c r="C12" s="110">
        <v>3.6</v>
      </c>
      <c r="E12" s="27" t="s">
        <v>89</v>
      </c>
      <c r="F12" s="24" t="s">
        <v>44</v>
      </c>
      <c r="G12" s="12">
        <v>1</v>
      </c>
      <c r="H12" s="88">
        <f>IF(B$20=0,0,G12/B$20)</f>
        <v>0.2</v>
      </c>
      <c r="I12" s="58">
        <v>2</v>
      </c>
      <c r="O12" s="75" t="s">
        <v>153</v>
      </c>
      <c r="P12" s="84">
        <f>IF(Q12=0,0,R12/Q12)</f>
        <v>-59.4</v>
      </c>
      <c r="Q12" s="78">
        <v>1</v>
      </c>
      <c r="R12" s="69">
        <v>-59.4</v>
      </c>
    </row>
    <row r="13" spans="1:18" x14ac:dyDescent="0.4">
      <c r="A13" s="20" t="s">
        <v>185</v>
      </c>
      <c r="B13" s="109">
        <f>IF(B10=0,0,C13/B10)</f>
        <v>-59.4</v>
      </c>
      <c r="C13" s="110">
        <v>-59.4</v>
      </c>
      <c r="E13" s="27" t="s">
        <v>65</v>
      </c>
      <c r="F13" s="24" t="s">
        <v>21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68</v>
      </c>
      <c r="F14" s="24" t="s">
        <v>12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0.33333333333333331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1</v>
      </c>
      <c r="O15" s="73" t="s">
        <v>196</v>
      </c>
      <c r="P15" s="82">
        <f>IF(Q15=0,0,R15/Q15)</f>
        <v>89.1</v>
      </c>
      <c r="Q15" s="76">
        <v>2</v>
      </c>
      <c r="R15" s="67">
        <v>178.2</v>
      </c>
    </row>
    <row r="16" spans="1:18" x14ac:dyDescent="0.4">
      <c r="A16" s="22" t="s">
        <v>121</v>
      </c>
      <c r="B16" s="15">
        <v>3</v>
      </c>
      <c r="C16" s="10">
        <f>IF(B$3=0,0,B16/B$3)</f>
        <v>0.16666666666666666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1</v>
      </c>
      <c r="O16" s="74" t="s">
        <v>195</v>
      </c>
      <c r="P16" s="83">
        <f>IF(Q16=0,0,R16/Q16)</f>
        <v>-5.4000000000000012</v>
      </c>
      <c r="Q16" s="77">
        <v>2</v>
      </c>
      <c r="R16" s="68">
        <v>-10.800000000000002</v>
      </c>
    </row>
    <row r="17" spans="1:18" x14ac:dyDescent="0.4">
      <c r="A17" s="19" t="s">
        <v>118</v>
      </c>
      <c r="B17" s="12">
        <v>3</v>
      </c>
      <c r="C17" s="6">
        <f>IF(B$3=0,0,B17/B$3)</f>
        <v>0.16666666666666666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197</v>
      </c>
      <c r="P17" s="83">
        <f>IF(Q17=0,0,R17/Q17)</f>
        <v>-83.699999999999989</v>
      </c>
      <c r="Q17" s="77">
        <v>2</v>
      </c>
      <c r="R17" s="68">
        <v>-167.39999999999998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5</v>
      </c>
      <c r="C20" s="5">
        <f>IF(B$3=0,0,B20/B$3)</f>
        <v>0.27777777777777779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4</v>
      </c>
      <c r="C21" s="6">
        <f>IF(B$3=0,0,B21/B$3)</f>
        <v>0.22222222222222221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</v>
      </c>
      <c r="C22" s="6">
        <f>IF(B$20=0,0,B22/B$20)</f>
        <v>0.2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4</v>
      </c>
      <c r="C23" s="6">
        <f>IF(B$20=0,0,B23/B$20)</f>
        <v>0.8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</v>
      </c>
      <c r="C24" s="6">
        <f>IF(B$20=0,0,B24/B$20)</f>
        <v>0.4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2</v>
      </c>
      <c r="C25" s="6">
        <f>IF(B$20=0,0,B25/B$20)</f>
        <v>0.4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1</v>
      </c>
      <c r="C26" s="6">
        <f>IF(B$20=0,0,B26/B$20)</f>
        <v>0.2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9040</v>
      </c>
      <c r="C27" s="8">
        <v>45200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11866.666666666666</v>
      </c>
      <c r="C28" s="96">
        <v>35600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4800</v>
      </c>
      <c r="C29" s="96">
        <v>9600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-10900</v>
      </c>
      <c r="C30" s="96">
        <v>-43600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80800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1</v>
      </c>
      <c r="C39" s="6">
        <f t="shared" si="2"/>
        <v>0.2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</v>
      </c>
      <c r="C41" s="6">
        <f t="shared" si="2"/>
        <v>0.2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0.2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060F6-B457-4427-BEC9-0AC6ECD50AE5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188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</v>
      </c>
      <c r="C2" s="134"/>
      <c r="E2" s="26" t="s">
        <v>67</v>
      </c>
      <c r="F2" s="23" t="s">
        <v>23</v>
      </c>
      <c r="G2" s="11">
        <v>3</v>
      </c>
      <c r="H2" s="87">
        <f>IF(B$20=0,0,G2/B$20)</f>
        <v>0.75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0</v>
      </c>
      <c r="Q2" s="76">
        <v>1</v>
      </c>
      <c r="R2" s="63">
        <v>0</v>
      </c>
    </row>
    <row r="3" spans="1:18" x14ac:dyDescent="0.4">
      <c r="A3" s="19" t="s">
        <v>8</v>
      </c>
      <c r="B3" s="135">
        <v>6</v>
      </c>
      <c r="C3" s="136"/>
      <c r="E3" s="27" t="s">
        <v>72</v>
      </c>
      <c r="F3" s="24" t="s">
        <v>27</v>
      </c>
      <c r="G3" s="12">
        <v>3</v>
      </c>
      <c r="H3" s="88">
        <f>IF(B$20=0,0,G3/B$20)</f>
        <v>0.75</v>
      </c>
      <c r="I3" s="58">
        <v>1</v>
      </c>
      <c r="K3" s="74">
        <v>1</v>
      </c>
      <c r="L3" s="119">
        <v>55.8</v>
      </c>
      <c r="M3" s="117">
        <v>1510.0440000000001</v>
      </c>
      <c r="O3" s="74" t="s">
        <v>129</v>
      </c>
      <c r="P3" s="80">
        <f t="shared" si="0"/>
        <v>11500</v>
      </c>
      <c r="Q3" s="77">
        <v>1</v>
      </c>
      <c r="R3" s="64">
        <v>11500</v>
      </c>
    </row>
    <row r="4" spans="1:18" x14ac:dyDescent="0.4">
      <c r="A4" s="19" t="s">
        <v>6</v>
      </c>
      <c r="B4" s="137">
        <v>55.8</v>
      </c>
      <c r="C4" s="138"/>
      <c r="E4" s="27" t="s">
        <v>66</v>
      </c>
      <c r="F4" s="24" t="s">
        <v>22</v>
      </c>
      <c r="G4" s="12">
        <v>2</v>
      </c>
      <c r="H4" s="88">
        <f>IF(B$20=0,0,G4/B$20)</f>
        <v>0.5</v>
      </c>
      <c r="I4" s="58">
        <v>1</v>
      </c>
      <c r="O4" s="74" t="s">
        <v>130</v>
      </c>
      <c r="P4" s="80">
        <f t="shared" si="0"/>
        <v>7700</v>
      </c>
      <c r="Q4" s="77">
        <v>1</v>
      </c>
      <c r="R4" s="64">
        <v>7700</v>
      </c>
    </row>
    <row r="5" spans="1:18" x14ac:dyDescent="0.4">
      <c r="A5" s="19" t="s">
        <v>7</v>
      </c>
      <c r="B5" s="125">
        <f>IF(B$2=0,0,B$4/B$2)</f>
        <v>55.8</v>
      </c>
      <c r="C5" s="126"/>
      <c r="E5" s="27" t="s">
        <v>159</v>
      </c>
      <c r="F5" s="24" t="s">
        <v>160</v>
      </c>
      <c r="G5" s="12">
        <v>2</v>
      </c>
      <c r="H5" s="88">
        <f>IF(B$20=0,0,G5/B$20)</f>
        <v>0.5</v>
      </c>
      <c r="I5" s="58">
        <v>1</v>
      </c>
      <c r="O5" s="74" t="s">
        <v>131</v>
      </c>
      <c r="P5" s="80">
        <f t="shared" si="0"/>
        <v>0</v>
      </c>
      <c r="Q5" s="77">
        <v>0</v>
      </c>
      <c r="R5" s="64">
        <v>0</v>
      </c>
    </row>
    <row r="6" spans="1:18" x14ac:dyDescent="0.4">
      <c r="A6" s="19" t="s">
        <v>187</v>
      </c>
      <c r="B6" s="129">
        <v>1510.0440000000001</v>
      </c>
      <c r="C6" s="130"/>
      <c r="E6" s="27" t="s">
        <v>64</v>
      </c>
      <c r="F6" s="24" t="s">
        <v>20</v>
      </c>
      <c r="G6" s="12">
        <v>1</v>
      </c>
      <c r="H6" s="88">
        <f>IF(B$20=0,0,G6/B$20)</f>
        <v>0.25</v>
      </c>
      <c r="I6" s="58">
        <v>3</v>
      </c>
      <c r="O6" s="74" t="s">
        <v>132</v>
      </c>
      <c r="P6" s="80">
        <f t="shared" si="0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1</v>
      </c>
      <c r="C7" s="140"/>
      <c r="E7" s="27" t="s">
        <v>69</v>
      </c>
      <c r="F7" s="24" t="s">
        <v>24</v>
      </c>
      <c r="G7" s="12">
        <v>1</v>
      </c>
      <c r="H7" s="88">
        <f>IF(B$20=0,0,G7/B$20)</f>
        <v>0.25</v>
      </c>
      <c r="I7" s="58">
        <v>3</v>
      </c>
      <c r="O7" s="75" t="s">
        <v>133</v>
      </c>
      <c r="P7" s="81">
        <f t="shared" si="0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1</v>
      </c>
      <c r="E8" s="27" t="s">
        <v>71</v>
      </c>
      <c r="F8" s="24" t="s">
        <v>26</v>
      </c>
      <c r="G8" s="12">
        <v>1</v>
      </c>
      <c r="H8" s="88">
        <f>IF(B$20=0,0,G8/B$20)</f>
        <v>0.25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74</v>
      </c>
      <c r="F9" s="24" t="s">
        <v>29</v>
      </c>
      <c r="G9" s="12">
        <v>1</v>
      </c>
      <c r="H9" s="88">
        <f>IF(B$20=0,0,G9/B$20)</f>
        <v>0.25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78</v>
      </c>
      <c r="F10" s="24" t="s">
        <v>33</v>
      </c>
      <c r="G10" s="12">
        <v>1</v>
      </c>
      <c r="H10" s="88">
        <f>IF(B$20=0,0,G10/B$20)</f>
        <v>0.25</v>
      </c>
      <c r="I10" s="58">
        <v>1</v>
      </c>
      <c r="O10" s="73" t="s">
        <v>151</v>
      </c>
      <c r="P10" s="82">
        <f>IF(Q10=0,0,R10/Q10)</f>
        <v>55.8</v>
      </c>
      <c r="Q10" s="76">
        <v>1</v>
      </c>
      <c r="R10" s="67">
        <v>55.8</v>
      </c>
    </row>
    <row r="11" spans="1:18" x14ac:dyDescent="0.4">
      <c r="A11" s="20" t="s">
        <v>183</v>
      </c>
      <c r="B11" s="109">
        <f>IF(B8=0,0,C11/B8)</f>
        <v>55.8</v>
      </c>
      <c r="C11" s="110">
        <v>55.8</v>
      </c>
      <c r="E11" s="27" t="s">
        <v>89</v>
      </c>
      <c r="F11" s="24" t="s">
        <v>44</v>
      </c>
      <c r="G11" s="12">
        <v>1</v>
      </c>
      <c r="H11" s="88">
        <f>IF(B$20=0,0,G11/B$20)</f>
        <v>0.25</v>
      </c>
      <c r="I11" s="58">
        <v>1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68</v>
      </c>
      <c r="F13" s="24" t="s">
        <v>12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18.599999999999998</v>
      </c>
      <c r="C14" s="126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1</v>
      </c>
      <c r="O15" s="73" t="s">
        <v>196</v>
      </c>
      <c r="P15" s="82">
        <f>IF(Q15=0,0,R15/Q15)</f>
        <v>115.19999999999999</v>
      </c>
      <c r="Q15" s="76">
        <v>1</v>
      </c>
      <c r="R15" s="67">
        <v>115.19999999999999</v>
      </c>
    </row>
    <row r="16" spans="1:18" x14ac:dyDescent="0.4">
      <c r="A16" s="22" t="s">
        <v>121</v>
      </c>
      <c r="B16" s="15">
        <v>1</v>
      </c>
      <c r="C16" s="10">
        <f>IF(B$3=0,0,B16/B$3)</f>
        <v>0.16666666666666666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1</v>
      </c>
      <c r="O16" s="74" t="s">
        <v>195</v>
      </c>
      <c r="P16" s="83">
        <f>IF(Q16=0,0,R16/Q16)</f>
        <v>52.199999999999996</v>
      </c>
      <c r="Q16" s="77">
        <v>1</v>
      </c>
      <c r="R16" s="68">
        <v>52.199999999999996</v>
      </c>
    </row>
    <row r="17" spans="1:9" x14ac:dyDescent="0.4">
      <c r="A17" s="19" t="s">
        <v>118</v>
      </c>
      <c r="B17" s="12">
        <v>3</v>
      </c>
      <c r="C17" s="6">
        <f>IF(B$3=0,0,B17/B$3)</f>
        <v>0.5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</v>
      </c>
      <c r="C18" s="5">
        <f>IF(B$16=0,0,B18/B$16)</f>
        <v>1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4</v>
      </c>
      <c r="C20" s="5">
        <f>IF(B$3=0,0,B20/B$3)</f>
        <v>0.66666666666666663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0.25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3</v>
      </c>
      <c r="C23" s="6">
        <f>IF(B$20=0,0,B23/B$20)</f>
        <v>0.75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182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10325</v>
      </c>
      <c r="C27" s="8">
        <v>41300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15850</v>
      </c>
      <c r="C28" s="96">
        <v>31700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4800</v>
      </c>
      <c r="C29" s="96">
        <v>9600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6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80800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0.25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</v>
      </c>
      <c r="C41" s="6">
        <f t="shared" si="2"/>
        <v>0.25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0.25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E649E-8262-4774-8EDF-41C216C01ABE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188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</v>
      </c>
      <c r="C2" s="134"/>
      <c r="E2" s="26" t="s">
        <v>64</v>
      </c>
      <c r="F2" s="23" t="s">
        <v>20</v>
      </c>
      <c r="G2" s="11">
        <v>1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3900</v>
      </c>
      <c r="Q2" s="76">
        <v>1</v>
      </c>
      <c r="R2" s="63">
        <v>3900</v>
      </c>
    </row>
    <row r="3" spans="1:18" x14ac:dyDescent="0.4">
      <c r="A3" s="19" t="s">
        <v>8</v>
      </c>
      <c r="B3" s="135">
        <v>6</v>
      </c>
      <c r="C3" s="136"/>
      <c r="E3" s="27" t="s">
        <v>69</v>
      </c>
      <c r="F3" s="24" t="s">
        <v>24</v>
      </c>
      <c r="G3" s="12">
        <v>1</v>
      </c>
      <c r="H3" s="88">
        <f>IF(B$20=0,0,G3/B$20)</f>
        <v>1</v>
      </c>
      <c r="I3" s="58">
        <v>1</v>
      </c>
      <c r="K3" s="74">
        <v>1</v>
      </c>
      <c r="L3" s="119">
        <v>3.6</v>
      </c>
      <c r="M3" s="117">
        <v>1500.6479999999999</v>
      </c>
      <c r="O3" s="74" t="s">
        <v>129</v>
      </c>
      <c r="P3" s="80">
        <f t="shared" si="0"/>
        <v>500</v>
      </c>
      <c r="Q3" s="77">
        <v>1</v>
      </c>
      <c r="R3" s="64">
        <v>500</v>
      </c>
    </row>
    <row r="4" spans="1:18" x14ac:dyDescent="0.4">
      <c r="A4" s="19" t="s">
        <v>6</v>
      </c>
      <c r="B4" s="137">
        <v>3.6</v>
      </c>
      <c r="C4" s="138"/>
      <c r="E4" s="27" t="s">
        <v>70</v>
      </c>
      <c r="F4" s="24" t="s">
        <v>25</v>
      </c>
      <c r="G4" s="12">
        <v>1</v>
      </c>
      <c r="H4" s="88">
        <f>IF(B$20=0,0,G4/B$20)</f>
        <v>1</v>
      </c>
      <c r="I4" s="58">
        <v>1</v>
      </c>
      <c r="O4" s="74" t="s">
        <v>130</v>
      </c>
      <c r="P4" s="80">
        <f t="shared" si="0"/>
        <v>0</v>
      </c>
      <c r="Q4" s="77">
        <v>1</v>
      </c>
      <c r="R4" s="64">
        <v>0</v>
      </c>
    </row>
    <row r="5" spans="1:18" x14ac:dyDescent="0.4">
      <c r="A5" s="19" t="s">
        <v>7</v>
      </c>
      <c r="B5" s="125">
        <f>IF(B$2=0,0,B$4/B$2)</f>
        <v>3.6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1</v>
      </c>
      <c r="O5" s="74" t="s">
        <v>131</v>
      </c>
      <c r="P5" s="80">
        <f t="shared" si="0"/>
        <v>0</v>
      </c>
      <c r="Q5" s="77">
        <v>0</v>
      </c>
      <c r="R5" s="64">
        <v>0</v>
      </c>
    </row>
    <row r="6" spans="1:18" x14ac:dyDescent="0.4">
      <c r="A6" s="19" t="s">
        <v>187</v>
      </c>
      <c r="B6" s="129">
        <v>1500.6479999999999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3</v>
      </c>
      <c r="O6" s="74" t="s">
        <v>132</v>
      </c>
      <c r="P6" s="80">
        <f t="shared" si="0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3</v>
      </c>
      <c r="O7" s="75" t="s">
        <v>133</v>
      </c>
      <c r="P7" s="81">
        <f t="shared" si="0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1</v>
      </c>
      <c r="E9" s="27" t="s">
        <v>71</v>
      </c>
      <c r="F9" s="24" t="s">
        <v>26</v>
      </c>
      <c r="G9" s="12">
        <v>0</v>
      </c>
      <c r="H9" s="88">
        <f>IF(B$20=0,0,G9/B$20)</f>
        <v>0</v>
      </c>
      <c r="I9" s="58">
        <v>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72</v>
      </c>
      <c r="F10" s="24" t="s">
        <v>27</v>
      </c>
      <c r="G10" s="12">
        <v>0</v>
      </c>
      <c r="H10" s="88">
        <f>IF(B$20=0,0,G10/B$20)</f>
        <v>0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>IF(B$20=0,0,G11/B$20)</f>
        <v>0</v>
      </c>
      <c r="I11" s="58">
        <v>1</v>
      </c>
      <c r="O11" s="74" t="s">
        <v>152</v>
      </c>
      <c r="P11" s="83">
        <f>IF(Q11=0,0,R11/Q11)</f>
        <v>3.6</v>
      </c>
      <c r="Q11" s="77">
        <v>1</v>
      </c>
      <c r="R11" s="68">
        <v>3.6</v>
      </c>
    </row>
    <row r="12" spans="1:18" x14ac:dyDescent="0.4">
      <c r="A12" s="20" t="s">
        <v>184</v>
      </c>
      <c r="B12" s="109">
        <f>IF(B9=0,0,C12/B9)</f>
        <v>3.6</v>
      </c>
      <c r="C12" s="110">
        <v>3.6</v>
      </c>
      <c r="E12" s="27" t="s">
        <v>74</v>
      </c>
      <c r="F12" s="24" t="s">
        <v>29</v>
      </c>
      <c r="G12" s="12">
        <v>0</v>
      </c>
      <c r="H12" s="88">
        <f>IF(B$20=0,0,G12/B$20)</f>
        <v>0</v>
      </c>
      <c r="I12" s="58">
        <v>3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1.2</v>
      </c>
      <c r="C14" s="126"/>
      <c r="E14" s="27" t="s">
        <v>76</v>
      </c>
      <c r="F14" s="24" t="s">
        <v>31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77</v>
      </c>
      <c r="F15" s="24" t="s">
        <v>32</v>
      </c>
      <c r="G15" s="12">
        <v>0</v>
      </c>
      <c r="H15" s="88">
        <f>IF(B$20=0,0,G15/B$20)</f>
        <v>0</v>
      </c>
      <c r="I15" s="58">
        <v>1</v>
      </c>
      <c r="O15" s="73" t="s">
        <v>196</v>
      </c>
      <c r="P15" s="82">
        <f>IF(Q15=0,0,R15/Q15)</f>
        <v>63</v>
      </c>
      <c r="Q15" s="76">
        <v>1</v>
      </c>
      <c r="R15" s="67">
        <v>63</v>
      </c>
    </row>
    <row r="16" spans="1:18" x14ac:dyDescent="0.4">
      <c r="A16" s="22" t="s">
        <v>121</v>
      </c>
      <c r="B16" s="15">
        <v>2</v>
      </c>
      <c r="C16" s="10">
        <f>IF(B$3=0,0,B16/B$3)</f>
        <v>0.33333333333333331</v>
      </c>
      <c r="E16" s="27" t="s">
        <v>78</v>
      </c>
      <c r="F16" s="24" t="s">
        <v>33</v>
      </c>
      <c r="G16" s="12">
        <v>0</v>
      </c>
      <c r="H16" s="88">
        <f>IF(B$20=0,0,G16/B$20)</f>
        <v>0</v>
      </c>
      <c r="I16" s="58">
        <v>3</v>
      </c>
      <c r="O16" s="74" t="s">
        <v>197</v>
      </c>
      <c r="P16" s="83">
        <f>IF(Q16=0,0,R16/Q16)</f>
        <v>-52.199999999999996</v>
      </c>
      <c r="Q16" s="77">
        <v>1</v>
      </c>
      <c r="R16" s="68">
        <v>-52.199999999999996</v>
      </c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</v>
      </c>
      <c r="C18" s="5">
        <f>IF(B$16=0,0,B18/B$16)</f>
        <v>0.5</v>
      </c>
      <c r="E18" s="27" t="s">
        <v>80</v>
      </c>
      <c r="F18" s="24" t="s">
        <v>35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</v>
      </c>
      <c r="C20" s="5">
        <f>IF(B$3=0,0,B20/B$3)</f>
        <v>0.16666666666666666</v>
      </c>
      <c r="E20" s="27" t="s">
        <v>82</v>
      </c>
      <c r="F20" s="24" t="s">
        <v>37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</v>
      </c>
      <c r="C23" s="6">
        <f>IF(B$20=0,0,B23/B$20)</f>
        <v>1</v>
      </c>
      <c r="E23" s="27" t="s">
        <v>85</v>
      </c>
      <c r="F23" s="24" t="s">
        <v>40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182</v>
      </c>
      <c r="B24" s="12">
        <v>1</v>
      </c>
      <c r="C24" s="6">
        <f>IF(B$20=0,0,B24/B$20)</f>
        <v>1</v>
      </c>
      <c r="E24" s="27" t="s">
        <v>86</v>
      </c>
      <c r="F24" s="24" t="s">
        <v>41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3900</v>
      </c>
      <c r="C27" s="8">
        <v>3900</v>
      </c>
      <c r="E27" s="27" t="s">
        <v>89</v>
      </c>
      <c r="F27" s="24" t="s">
        <v>44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3900</v>
      </c>
      <c r="C28" s="96">
        <v>3900</v>
      </c>
      <c r="E28" s="27" t="s">
        <v>90</v>
      </c>
      <c r="F28" s="24" t="s">
        <v>45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93</v>
      </c>
      <c r="F31" s="24" t="s">
        <v>48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6</v>
      </c>
      <c r="C32" s="90">
        <v>6</v>
      </c>
      <c r="E32" s="27" t="s">
        <v>94</v>
      </c>
      <c r="F32" s="24" t="s">
        <v>49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38600</v>
      </c>
      <c r="C34" s="130"/>
      <c r="E34" s="27" t="s">
        <v>96</v>
      </c>
      <c r="F34" s="24" t="s">
        <v>51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99</v>
      </c>
      <c r="F37" s="24" t="s">
        <v>54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100</v>
      </c>
      <c r="F38" s="24" t="s">
        <v>55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1</v>
      </c>
      <c r="C39" s="6">
        <f t="shared" si="2"/>
        <v>1</v>
      </c>
      <c r="E39" s="27" t="s">
        <v>101</v>
      </c>
      <c r="F39" s="24" t="s">
        <v>56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0</v>
      </c>
      <c r="C40" s="6">
        <f t="shared" si="2"/>
        <v>0</v>
      </c>
      <c r="E40" s="27" t="s">
        <v>102</v>
      </c>
      <c r="F40" s="24" t="s">
        <v>57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0</v>
      </c>
      <c r="C41" s="6">
        <f t="shared" si="2"/>
        <v>0</v>
      </c>
      <c r="E41" s="27" t="s">
        <v>103</v>
      </c>
      <c r="F41" s="24" t="s">
        <v>58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104</v>
      </c>
      <c r="F42" s="24" t="s">
        <v>59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105</v>
      </c>
      <c r="F43" s="24" t="s">
        <v>112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106</v>
      </c>
      <c r="F44" s="24" t="s">
        <v>113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107</v>
      </c>
      <c r="F45" s="24" t="s">
        <v>114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108</v>
      </c>
      <c r="F46" s="24" t="s">
        <v>60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109</v>
      </c>
      <c r="F47" s="24" t="s">
        <v>61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110</v>
      </c>
      <c r="F48" s="24" t="s">
        <v>62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111</v>
      </c>
      <c r="F49" s="24" t="s">
        <v>63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155</v>
      </c>
      <c r="F50" s="24" t="s">
        <v>156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159</v>
      </c>
      <c r="F51" s="92" t="s">
        <v>160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493D9-B191-4381-8C7F-96F97A9B8ECA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188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</v>
      </c>
      <c r="C2" s="134"/>
      <c r="E2" s="26" t="s">
        <v>64</v>
      </c>
      <c r="F2" s="23" t="s">
        <v>20</v>
      </c>
      <c r="G2" s="11">
        <v>0</v>
      </c>
      <c r="H2" s="87">
        <f>IF(B$20=0,0,G2/B$20)</f>
        <v>0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-3900</v>
      </c>
      <c r="Q2" s="76">
        <v>1</v>
      </c>
      <c r="R2" s="63">
        <v>-3900</v>
      </c>
    </row>
    <row r="3" spans="1:18" x14ac:dyDescent="0.4">
      <c r="A3" s="19" t="s">
        <v>8</v>
      </c>
      <c r="B3" s="135">
        <v>6</v>
      </c>
      <c r="C3" s="136"/>
      <c r="E3" s="27" t="s">
        <v>65</v>
      </c>
      <c r="F3" s="24" t="s">
        <v>21</v>
      </c>
      <c r="G3" s="12">
        <v>0</v>
      </c>
      <c r="H3" s="88">
        <f>IF(B$20=0,0,G3/B$20)</f>
        <v>0</v>
      </c>
      <c r="I3" s="58">
        <v>1</v>
      </c>
      <c r="K3" s="74">
        <v>1</v>
      </c>
      <c r="L3" s="119">
        <v>-59.4</v>
      </c>
      <c r="M3" s="117">
        <v>1489.308</v>
      </c>
      <c r="O3" s="74" t="s">
        <v>129</v>
      </c>
      <c r="P3" s="80">
        <f t="shared" si="0"/>
        <v>-12000</v>
      </c>
      <c r="Q3" s="77">
        <v>1</v>
      </c>
      <c r="R3" s="64">
        <v>-12000</v>
      </c>
    </row>
    <row r="4" spans="1:18" x14ac:dyDescent="0.4">
      <c r="A4" s="19" t="s">
        <v>6</v>
      </c>
      <c r="B4" s="137">
        <v>-59.4</v>
      </c>
      <c r="C4" s="138"/>
      <c r="E4" s="27" t="s">
        <v>66</v>
      </c>
      <c r="F4" s="24" t="s">
        <v>22</v>
      </c>
      <c r="G4" s="12">
        <v>0</v>
      </c>
      <c r="H4" s="88">
        <f>IF(B$20=0,0,G4/B$20)</f>
        <v>0</v>
      </c>
      <c r="I4" s="58">
        <v>3</v>
      </c>
      <c r="O4" s="74" t="s">
        <v>130</v>
      </c>
      <c r="P4" s="80">
        <f t="shared" si="0"/>
        <v>-7700</v>
      </c>
      <c r="Q4" s="77">
        <v>1</v>
      </c>
      <c r="R4" s="64">
        <v>-7700</v>
      </c>
    </row>
    <row r="5" spans="1:18" x14ac:dyDescent="0.4">
      <c r="A5" s="19" t="s">
        <v>7</v>
      </c>
      <c r="B5" s="125">
        <f>IF(B$2=0,0,B$4/B$2)</f>
        <v>-59.4</v>
      </c>
      <c r="C5" s="126"/>
      <c r="E5" s="27" t="s">
        <v>67</v>
      </c>
      <c r="F5" s="24" t="s">
        <v>23</v>
      </c>
      <c r="G5" s="12">
        <v>0</v>
      </c>
      <c r="H5" s="88">
        <f>IF(B$20=0,0,G5/B$20)</f>
        <v>0</v>
      </c>
      <c r="I5" s="58">
        <v>3</v>
      </c>
      <c r="O5" s="74" t="s">
        <v>131</v>
      </c>
      <c r="P5" s="80">
        <f t="shared" si="0"/>
        <v>0</v>
      </c>
      <c r="Q5" s="77">
        <v>0</v>
      </c>
      <c r="R5" s="64">
        <v>0</v>
      </c>
    </row>
    <row r="6" spans="1:18" x14ac:dyDescent="0.4">
      <c r="A6" s="19" t="s">
        <v>187</v>
      </c>
      <c r="B6" s="129">
        <v>1489.308</v>
      </c>
      <c r="C6" s="130"/>
      <c r="E6" s="27" t="s">
        <v>68</v>
      </c>
      <c r="F6" s="24" t="s">
        <v>12</v>
      </c>
      <c r="G6" s="12">
        <v>0</v>
      </c>
      <c r="H6" s="88">
        <f>IF(B$20=0,0,G6/B$20)</f>
        <v>0</v>
      </c>
      <c r="I6" s="58">
        <v>1</v>
      </c>
      <c r="O6" s="74" t="s">
        <v>132</v>
      </c>
      <c r="P6" s="80">
        <f t="shared" si="0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69</v>
      </c>
      <c r="F7" s="24" t="s">
        <v>24</v>
      </c>
      <c r="G7" s="12">
        <v>0</v>
      </c>
      <c r="H7" s="88">
        <f>IF(B$20=0,0,G7/B$20)</f>
        <v>0</v>
      </c>
      <c r="I7" s="58">
        <v>4</v>
      </c>
      <c r="O7" s="75" t="s">
        <v>133</v>
      </c>
      <c r="P7" s="81">
        <f t="shared" si="0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70</v>
      </c>
      <c r="F8" s="24" t="s">
        <v>25</v>
      </c>
      <c r="G8" s="12">
        <v>0</v>
      </c>
      <c r="H8" s="88">
        <f>IF(B$20=0,0,G8/B$20)</f>
        <v>0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71</v>
      </c>
      <c r="F9" s="24" t="s">
        <v>26</v>
      </c>
      <c r="G9" s="12">
        <v>0</v>
      </c>
      <c r="H9" s="88">
        <f>IF(B$20=0,0,G9/B$20)</f>
        <v>0</v>
      </c>
      <c r="I9" s="58">
        <v>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1</v>
      </c>
      <c r="E10" s="27" t="s">
        <v>72</v>
      </c>
      <c r="F10" s="24" t="s">
        <v>27</v>
      </c>
      <c r="G10" s="12">
        <v>0</v>
      </c>
      <c r="H10" s="88">
        <f>IF(B$20=0,0,G10/B$20)</f>
        <v>0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>IF(B$20=0,0,G11/B$20)</f>
        <v>0</v>
      </c>
      <c r="I11" s="58">
        <v>1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>IF(B$20=0,0,G12/B$20)</f>
        <v>0</v>
      </c>
      <c r="I12" s="58">
        <v>3</v>
      </c>
      <c r="O12" s="75" t="s">
        <v>153</v>
      </c>
      <c r="P12" s="84">
        <f>IF(Q12=0,0,R12/Q12)</f>
        <v>-59.4</v>
      </c>
      <c r="Q12" s="78">
        <v>1</v>
      </c>
      <c r="R12" s="69">
        <v>-59.4</v>
      </c>
    </row>
    <row r="13" spans="1:18" x14ac:dyDescent="0.4">
      <c r="A13" s="20" t="s">
        <v>185</v>
      </c>
      <c r="B13" s="109">
        <f>IF(B10=0,0,C13/B10)</f>
        <v>-59.4</v>
      </c>
      <c r="C13" s="110">
        <v>-59.4</v>
      </c>
      <c r="E13" s="27" t="s">
        <v>75</v>
      </c>
      <c r="F13" s="24" t="s">
        <v>30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-19.8</v>
      </c>
      <c r="C14" s="126"/>
      <c r="E14" s="27" t="s">
        <v>76</v>
      </c>
      <c r="F14" s="24" t="s">
        <v>31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1</v>
      </c>
      <c r="E15" s="27" t="s">
        <v>77</v>
      </c>
      <c r="F15" s="24" t="s">
        <v>32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-63</v>
      </c>
      <c r="Q15" s="76">
        <v>1</v>
      </c>
      <c r="R15" s="67">
        <v>-63</v>
      </c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>IF(B$20=0,0,G16/B$20)</f>
        <v>0</v>
      </c>
      <c r="I16" s="58">
        <v>3</v>
      </c>
      <c r="O16" s="74" t="s">
        <v>197</v>
      </c>
      <c r="P16" s="83">
        <f>IF(Q16=0,0,R16/Q16)</f>
        <v>-115.19999999999999</v>
      </c>
      <c r="Q16" s="77">
        <v>1</v>
      </c>
      <c r="R16" s="68">
        <v>-115.19999999999999</v>
      </c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4</v>
      </c>
      <c r="C21" s="6">
        <f>IF(B$3=0,0,B21/B$3)</f>
        <v>0.66666666666666663</v>
      </c>
      <c r="E21" s="27" t="s">
        <v>83</v>
      </c>
      <c r="F21" s="24" t="s">
        <v>38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-10900</v>
      </c>
      <c r="C30" s="96">
        <v>-43600</v>
      </c>
      <c r="E30" s="27" t="s">
        <v>92</v>
      </c>
      <c r="F30" s="24" t="s">
        <v>47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</v>
      </c>
      <c r="C32" s="90">
        <v>0</v>
      </c>
      <c r="E32" s="27" t="s">
        <v>94</v>
      </c>
      <c r="F32" s="24" t="s">
        <v>49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-14400</v>
      </c>
      <c r="C34" s="130"/>
      <c r="E34" s="27" t="s">
        <v>96</v>
      </c>
      <c r="F34" s="24" t="s">
        <v>51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99</v>
      </c>
      <c r="F37" s="24" t="s">
        <v>54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100</v>
      </c>
      <c r="F38" s="24" t="s">
        <v>55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0</v>
      </c>
      <c r="C39" s="6">
        <f t="shared" si="2"/>
        <v>0</v>
      </c>
      <c r="E39" s="27" t="s">
        <v>101</v>
      </c>
      <c r="F39" s="24" t="s">
        <v>56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0</v>
      </c>
      <c r="C40" s="6">
        <f t="shared" si="2"/>
        <v>0</v>
      </c>
      <c r="E40" s="27" t="s">
        <v>102</v>
      </c>
      <c r="F40" s="24" t="s">
        <v>57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0</v>
      </c>
      <c r="C41" s="6">
        <f t="shared" si="2"/>
        <v>0</v>
      </c>
      <c r="E41" s="27" t="s">
        <v>103</v>
      </c>
      <c r="F41" s="24" t="s">
        <v>58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104</v>
      </c>
      <c r="F42" s="24" t="s">
        <v>59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105</v>
      </c>
      <c r="F43" s="24" t="s">
        <v>112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106</v>
      </c>
      <c r="F44" s="24" t="s">
        <v>113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107</v>
      </c>
      <c r="F45" s="24" t="s">
        <v>114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108</v>
      </c>
      <c r="F46" s="24" t="s">
        <v>60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109</v>
      </c>
      <c r="F47" s="24" t="s">
        <v>61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110</v>
      </c>
      <c r="F48" s="24" t="s">
        <v>62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111</v>
      </c>
      <c r="F49" s="24" t="s">
        <v>63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155</v>
      </c>
      <c r="F50" s="24" t="s">
        <v>156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159</v>
      </c>
      <c r="F51" s="92" t="s">
        <v>160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031-8754-434A-9FD5-23B76083F87E}">
  <sheetPr codeName="Sheet12"/>
  <dimension ref="A1:Q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196</v>
      </c>
      <c r="B1" s="34" t="s">
        <v>196</v>
      </c>
      <c r="C1" s="34" t="s">
        <v>196</v>
      </c>
      <c r="D1" s="35" t="s">
        <v>196</v>
      </c>
      <c r="E1" s="34" t="s">
        <v>196</v>
      </c>
      <c r="F1" s="34" t="s">
        <v>196</v>
      </c>
      <c r="G1" s="34" t="s">
        <v>196</v>
      </c>
      <c r="H1" s="34" t="s">
        <v>196</v>
      </c>
      <c r="I1" s="34" t="s">
        <v>196</v>
      </c>
      <c r="J1" s="34" t="s">
        <v>196</v>
      </c>
      <c r="K1" s="34" t="s">
        <v>196</v>
      </c>
      <c r="L1" s="34" t="s">
        <v>196</v>
      </c>
      <c r="M1" s="34" t="s">
        <v>196</v>
      </c>
      <c r="N1" s="34" t="s">
        <v>196</v>
      </c>
      <c r="O1" s="34" t="s">
        <v>196</v>
      </c>
      <c r="P1" s="34" t="s">
        <v>196</v>
      </c>
      <c r="Q1" s="34" t="s">
        <v>196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-59.4</v>
      </c>
      <c r="C4" s="30">
        <v>-59.4</v>
      </c>
      <c r="D4" s="35">
        <v>3</v>
      </c>
      <c r="E4" s="31">
        <v>0</v>
      </c>
      <c r="F4" s="31">
        <v>1</v>
      </c>
      <c r="G4" s="31">
        <v>0</v>
      </c>
      <c r="H4" s="31">
        <v>0.66666666666666663</v>
      </c>
      <c r="I4" s="32">
        <v>0</v>
      </c>
      <c r="J4" s="32">
        <v>-10900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53138-5A04-4215-ACA3-56C1B03A6F1A}">
  <sheetPr codeName="Sheet10"/>
  <dimension ref="A1:Q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0.16666666666666666</v>
      </c>
      <c r="H4" s="31">
        <v>0</v>
      </c>
      <c r="I4" s="32">
        <v>3900</v>
      </c>
      <c r="J4" s="32">
        <v>0</v>
      </c>
      <c r="K4" s="31">
        <v>0</v>
      </c>
      <c r="L4" s="31">
        <v>0.33333333333333331</v>
      </c>
      <c r="M4" s="31">
        <v>0</v>
      </c>
      <c r="N4" s="31">
        <v>0.5</v>
      </c>
      <c r="O4" s="31">
        <v>0</v>
      </c>
      <c r="P4" s="31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DC9B-3DBF-480D-8F15-4CE63B730B46}">
  <sheetPr codeName="Sheet8"/>
  <dimension ref="A1:Q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55.8</v>
      </c>
      <c r="C4" s="30">
        <v>55.8</v>
      </c>
      <c r="D4" s="35">
        <v>1</v>
      </c>
      <c r="E4" s="31">
        <v>1</v>
      </c>
      <c r="F4" s="31">
        <v>0</v>
      </c>
      <c r="G4" s="31">
        <v>0.66666666666666663</v>
      </c>
      <c r="H4" s="31">
        <v>0</v>
      </c>
      <c r="I4" s="32">
        <v>10325</v>
      </c>
      <c r="J4" s="32">
        <v>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0.66666666666666663</v>
      </c>
      <c r="P4" s="31">
        <v>0.25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5F716-BEB1-4BEA-BE02-138BE529A605}">
  <sheetPr codeName="Sheet6"/>
  <dimension ref="A1:Q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9040</v>
      </c>
      <c r="J4" s="32">
        <v>-10900</v>
      </c>
      <c r="K4" s="31">
        <v>0.33333333333333331</v>
      </c>
      <c r="L4" s="31">
        <v>0.16666666666666666</v>
      </c>
      <c r="M4" s="31">
        <v>0.16666666666666666</v>
      </c>
      <c r="N4" s="31">
        <v>0.66666666666666663</v>
      </c>
      <c r="O4" s="31">
        <v>0.66666666666666663</v>
      </c>
      <c r="P4" s="31">
        <v>0.2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315</vt:i4>
      </vt:variant>
    </vt:vector>
  </HeadingPairs>
  <TitlesOfParts>
    <vt:vector size="343" baseType="lpstr">
      <vt:lpstr>Cache</vt:lpstr>
      <vt:lpstr>Template2</vt:lpstr>
      <vt:lpstr>Players</vt:lpstr>
      <vt:lpstr>Template1</vt:lpstr>
      <vt:lpstr>ランキング</vt:lpstr>
      <vt:lpstr>全体</vt:lpstr>
      <vt:lpstr>多田</vt:lpstr>
      <vt:lpstr>福澤</vt:lpstr>
      <vt:lpstr>佐藤</vt:lpstr>
      <vt:lpstr>佐藤2</vt:lpstr>
      <vt:lpstr>福澤2</vt:lpstr>
      <vt:lpstr>多田2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佐藤!アガリ数</vt:lpstr>
      <vt:lpstr>全体!アガリ数</vt:lpstr>
      <vt:lpstr>多田!アガリ数</vt:lpstr>
      <vt:lpstr>福澤!アガリ数</vt:lpstr>
      <vt:lpstr>Template1!アガリ率</vt:lpstr>
      <vt:lpstr>佐藤!アガリ率</vt:lpstr>
      <vt:lpstr>全体!アガリ率</vt:lpstr>
      <vt:lpstr>多田!アガリ率</vt:lpstr>
      <vt:lpstr>福澤!アガリ率</vt:lpstr>
      <vt:lpstr>Template1!ダマアガリ数</vt:lpstr>
      <vt:lpstr>佐藤!ダマアガリ数</vt:lpstr>
      <vt:lpstr>全体!ダマアガリ数</vt:lpstr>
      <vt:lpstr>多田!ダマアガリ数</vt:lpstr>
      <vt:lpstr>福澤!ダマアガリ数</vt:lpstr>
      <vt:lpstr>Template1!ダマアガリ率</vt:lpstr>
      <vt:lpstr>佐藤!ダマアガリ率</vt:lpstr>
      <vt:lpstr>全体!ダマアガリ率</vt:lpstr>
      <vt:lpstr>多田!ダマアガリ率</vt:lpstr>
      <vt:lpstr>福澤!ダマアガリ率</vt:lpstr>
      <vt:lpstr>Template1!チョンボ数</vt:lpstr>
      <vt:lpstr>佐藤!チョンボ数</vt:lpstr>
      <vt:lpstr>全体!チョンボ数</vt:lpstr>
      <vt:lpstr>多田!チョンボ数</vt:lpstr>
      <vt:lpstr>福澤!チョンボ数</vt:lpstr>
      <vt:lpstr>Template1!チョンボ率</vt:lpstr>
      <vt:lpstr>佐藤!チョンボ率</vt:lpstr>
      <vt:lpstr>全体!チョンボ率</vt:lpstr>
      <vt:lpstr>多田!チョンボ率</vt:lpstr>
      <vt:lpstr>福澤!チョンボ率</vt:lpstr>
      <vt:lpstr>Template1!ツモ数</vt:lpstr>
      <vt:lpstr>佐藤!ツモ数</vt:lpstr>
      <vt:lpstr>全体!ツモ数</vt:lpstr>
      <vt:lpstr>多田!ツモ数</vt:lpstr>
      <vt:lpstr>福澤!ツモ数</vt:lpstr>
      <vt:lpstr>Template1!ツモ率</vt:lpstr>
      <vt:lpstr>佐藤!ツモ率</vt:lpstr>
      <vt:lpstr>全体!ツモ率</vt:lpstr>
      <vt:lpstr>多田!ツモ率</vt:lpstr>
      <vt:lpstr>福澤!ツモ率</vt:lpstr>
      <vt:lpstr>Template1!トップ数</vt:lpstr>
      <vt:lpstr>佐藤!トップ数</vt:lpstr>
      <vt:lpstr>全体!トップ数</vt:lpstr>
      <vt:lpstr>多田!トップ数</vt:lpstr>
      <vt:lpstr>福澤!トップ数</vt:lpstr>
      <vt:lpstr>Template1!トップ率</vt:lpstr>
      <vt:lpstr>佐藤!トップ率</vt:lpstr>
      <vt:lpstr>全体!トップ率</vt:lpstr>
      <vt:lpstr>多田!トップ率</vt:lpstr>
      <vt:lpstr>福澤!トップ率</vt:lpstr>
      <vt:lpstr>佐藤!バランス</vt:lpstr>
      <vt:lpstr>全体!バランス</vt:lpstr>
      <vt:lpstr>多田!バランス</vt:lpstr>
      <vt:lpstr>福澤!バランス</vt:lpstr>
      <vt:lpstr>バランス</vt:lpstr>
      <vt:lpstr>Template1!ふっとび数</vt:lpstr>
      <vt:lpstr>佐藤!ふっとび数</vt:lpstr>
      <vt:lpstr>全体!ふっとび数</vt:lpstr>
      <vt:lpstr>多田!ふっとび数</vt:lpstr>
      <vt:lpstr>福澤!ふっとび数</vt:lpstr>
      <vt:lpstr>Template1!ふっとび率</vt:lpstr>
      <vt:lpstr>佐藤!ふっとび率</vt:lpstr>
      <vt:lpstr>全体!ふっとび率</vt:lpstr>
      <vt:lpstr>多田!ふっとび率</vt:lpstr>
      <vt:lpstr>福澤!ふっとび率</vt:lpstr>
      <vt:lpstr>Template1!ラス数</vt:lpstr>
      <vt:lpstr>佐藤!ラス数</vt:lpstr>
      <vt:lpstr>全体!ラス数</vt:lpstr>
      <vt:lpstr>多田!ラス数</vt:lpstr>
      <vt:lpstr>福澤!ラス数</vt:lpstr>
      <vt:lpstr>Template1!ラス率</vt:lpstr>
      <vt:lpstr>佐藤!ラス率</vt:lpstr>
      <vt:lpstr>全体!ラス率</vt:lpstr>
      <vt:lpstr>多田!ラス率</vt:lpstr>
      <vt:lpstr>福澤!ラス率</vt:lpstr>
      <vt:lpstr>Template1!リーチアガリ数</vt:lpstr>
      <vt:lpstr>佐藤!リーチアガリ数</vt:lpstr>
      <vt:lpstr>全体!リーチアガリ数</vt:lpstr>
      <vt:lpstr>多田!リーチアガリ数</vt:lpstr>
      <vt:lpstr>福澤!リーチアガリ数</vt:lpstr>
      <vt:lpstr>Template1!リーチアガリ率</vt:lpstr>
      <vt:lpstr>佐藤!リーチアガリ率</vt:lpstr>
      <vt:lpstr>全体!リーチアガリ率</vt:lpstr>
      <vt:lpstr>多田!リーチアガリ率</vt:lpstr>
      <vt:lpstr>福澤!リーチアガリ率</vt:lpstr>
      <vt:lpstr>Template1!リーチ数</vt:lpstr>
      <vt:lpstr>佐藤!リーチ数</vt:lpstr>
      <vt:lpstr>全体!リーチ数</vt:lpstr>
      <vt:lpstr>多田!リーチ数</vt:lpstr>
      <vt:lpstr>福澤!リーチ数</vt:lpstr>
      <vt:lpstr>Template1!リーチ成功数</vt:lpstr>
      <vt:lpstr>佐藤!リーチ成功数</vt:lpstr>
      <vt:lpstr>全体!リーチ成功数</vt:lpstr>
      <vt:lpstr>多田!リーチ成功数</vt:lpstr>
      <vt:lpstr>福澤!リーチ成功数</vt:lpstr>
      <vt:lpstr>Template1!リーチ成功率</vt:lpstr>
      <vt:lpstr>佐藤!リーチ成功率</vt:lpstr>
      <vt:lpstr>全体!リーチ成功率</vt:lpstr>
      <vt:lpstr>多田!リーチ成功率</vt:lpstr>
      <vt:lpstr>福澤!リーチ成功率</vt:lpstr>
      <vt:lpstr>Template1!リーチ率</vt:lpstr>
      <vt:lpstr>佐藤!リーチ率</vt:lpstr>
      <vt:lpstr>全体!リーチ率</vt:lpstr>
      <vt:lpstr>多田!リーチ率</vt:lpstr>
      <vt:lpstr>福澤!リーチ率</vt:lpstr>
      <vt:lpstr>佐藤!レーティング</vt:lpstr>
      <vt:lpstr>全体!レーティング</vt:lpstr>
      <vt:lpstr>多田!レーティング</vt:lpstr>
      <vt:lpstr>福澤!レーティング</vt:lpstr>
      <vt:lpstr>レーティング</vt:lpstr>
      <vt:lpstr>Template1!ロン数</vt:lpstr>
      <vt:lpstr>佐藤!ロン数</vt:lpstr>
      <vt:lpstr>全体!ロン数</vt:lpstr>
      <vt:lpstr>多田!ロン数</vt:lpstr>
      <vt:lpstr>福澤!ロン数</vt:lpstr>
      <vt:lpstr>Template1!ロン率</vt:lpstr>
      <vt:lpstr>佐藤!ロン率</vt:lpstr>
      <vt:lpstr>全体!ロン率</vt:lpstr>
      <vt:lpstr>多田!ロン率</vt:lpstr>
      <vt:lpstr>福澤!ロン率</vt:lpstr>
      <vt:lpstr>佐藤!一位スコア</vt:lpstr>
      <vt:lpstr>全体!一位スコア</vt:lpstr>
      <vt:lpstr>多田!一位スコア</vt:lpstr>
      <vt:lpstr>福澤!一位スコア</vt:lpstr>
      <vt:lpstr>一位スコア</vt:lpstr>
      <vt:lpstr>佐藤!一位通算スコア</vt:lpstr>
      <vt:lpstr>全体!一位通算スコア</vt:lpstr>
      <vt:lpstr>多田!一位通算スコア</vt:lpstr>
      <vt:lpstr>福澤!一位通算スコア</vt:lpstr>
      <vt:lpstr>一位通算スコア</vt:lpstr>
      <vt:lpstr>佐藤!一翻数</vt:lpstr>
      <vt:lpstr>全体!一翻数</vt:lpstr>
      <vt:lpstr>多田!一翻数</vt:lpstr>
      <vt:lpstr>福澤!一翻数</vt:lpstr>
      <vt:lpstr>一翻数</vt:lpstr>
      <vt:lpstr>佐藤!一翻率</vt:lpstr>
      <vt:lpstr>全体!一翻率</vt:lpstr>
      <vt:lpstr>多田!一翻率</vt:lpstr>
      <vt:lpstr>福澤!一翻率</vt:lpstr>
      <vt:lpstr>一翻率</vt:lpstr>
      <vt:lpstr>Template1!現行連続アガリ</vt:lpstr>
      <vt:lpstr>佐藤!現行連続アガリ</vt:lpstr>
      <vt:lpstr>全体!現行連続アガリ</vt:lpstr>
      <vt:lpstr>多田!現行連続アガリ</vt:lpstr>
      <vt:lpstr>福澤!現行連続アガリ</vt:lpstr>
      <vt:lpstr>Template1!現行連続無放銃</vt:lpstr>
      <vt:lpstr>佐藤!現行連続無放銃</vt:lpstr>
      <vt:lpstr>全体!現行連続無放銃</vt:lpstr>
      <vt:lpstr>多田!現行連続無放銃</vt:lpstr>
      <vt:lpstr>福澤!現行連続無放銃</vt:lpstr>
      <vt:lpstr>Template1!最高点</vt:lpstr>
      <vt:lpstr>佐藤!最高点</vt:lpstr>
      <vt:lpstr>全体!最高点</vt:lpstr>
      <vt:lpstr>多田!最高点</vt:lpstr>
      <vt:lpstr>福澤!最高点</vt:lpstr>
      <vt:lpstr>Template1!最大ドラ数</vt:lpstr>
      <vt:lpstr>佐藤!最大ドラ数</vt:lpstr>
      <vt:lpstr>全体!最大ドラ数</vt:lpstr>
      <vt:lpstr>多田!最大ドラ数</vt:lpstr>
      <vt:lpstr>福澤!最大ドラ数</vt:lpstr>
      <vt:lpstr>Template1!最大点数</vt:lpstr>
      <vt:lpstr>佐藤!最大点数</vt:lpstr>
      <vt:lpstr>全体!最大点数</vt:lpstr>
      <vt:lpstr>多田!最大点数</vt:lpstr>
      <vt:lpstr>福澤!最大点数</vt:lpstr>
      <vt:lpstr>佐藤!三位スコア</vt:lpstr>
      <vt:lpstr>全体!三位スコア</vt:lpstr>
      <vt:lpstr>多田!三位スコア</vt:lpstr>
      <vt:lpstr>福澤!三位スコア</vt:lpstr>
      <vt:lpstr>三位スコア</vt:lpstr>
      <vt:lpstr>佐藤!三位通算スコア</vt:lpstr>
      <vt:lpstr>全体!三位通算スコア</vt:lpstr>
      <vt:lpstr>多田!三位通算スコア</vt:lpstr>
      <vt:lpstr>福澤!三位通算スコア</vt:lpstr>
      <vt:lpstr>三位通算スコア</vt:lpstr>
      <vt:lpstr>Template1!総局数</vt:lpstr>
      <vt:lpstr>佐藤!総局数</vt:lpstr>
      <vt:lpstr>全体!総局数</vt:lpstr>
      <vt:lpstr>多田!総局数</vt:lpstr>
      <vt:lpstr>福澤!総局数</vt:lpstr>
      <vt:lpstr>Template1!対戦数</vt:lpstr>
      <vt:lpstr>佐藤!対戦数</vt:lpstr>
      <vt:lpstr>全体!対戦数</vt:lpstr>
      <vt:lpstr>多田!対戦数</vt:lpstr>
      <vt:lpstr>福澤!対戦数</vt:lpstr>
      <vt:lpstr>Template1!通算アガリ点</vt:lpstr>
      <vt:lpstr>佐藤!通算アガリ点</vt:lpstr>
      <vt:lpstr>全体!通算アガリ点</vt:lpstr>
      <vt:lpstr>多田!通算アガリ点</vt:lpstr>
      <vt:lpstr>福澤!通算アガリ点</vt:lpstr>
      <vt:lpstr>Template1!通算スコア</vt:lpstr>
      <vt:lpstr>佐藤!通算スコア</vt:lpstr>
      <vt:lpstr>全体!通算スコア</vt:lpstr>
      <vt:lpstr>多田!通算スコア</vt:lpstr>
      <vt:lpstr>福澤!通算スコア</vt:lpstr>
      <vt:lpstr>Template1!通算副露アガリ点</vt:lpstr>
      <vt:lpstr>佐藤!通算副露アガリ点</vt:lpstr>
      <vt:lpstr>全体!通算副露アガリ点</vt:lpstr>
      <vt:lpstr>多田!通算副露アガリ点</vt:lpstr>
      <vt:lpstr>福澤!通算副露アガリ点</vt:lpstr>
      <vt:lpstr>Template1!通算放銃点</vt:lpstr>
      <vt:lpstr>佐藤!通算放銃点</vt:lpstr>
      <vt:lpstr>全体!通算放銃点</vt:lpstr>
      <vt:lpstr>多田!通算放銃点</vt:lpstr>
      <vt:lpstr>福澤!通算放銃点</vt:lpstr>
      <vt:lpstr>Template1!通算門前アガリ点</vt:lpstr>
      <vt:lpstr>佐藤!通算門前アガリ点</vt:lpstr>
      <vt:lpstr>全体!通算門前アガリ点</vt:lpstr>
      <vt:lpstr>多田!通算門前アガリ点</vt:lpstr>
      <vt:lpstr>福澤!通算門前アガリ点</vt:lpstr>
      <vt:lpstr>佐藤!二位スコア</vt:lpstr>
      <vt:lpstr>全体!二位スコア</vt:lpstr>
      <vt:lpstr>多田!二位スコア</vt:lpstr>
      <vt:lpstr>福澤!二位スコア</vt:lpstr>
      <vt:lpstr>二位スコア</vt:lpstr>
      <vt:lpstr>Template1!二位数</vt:lpstr>
      <vt:lpstr>佐藤!二位数</vt:lpstr>
      <vt:lpstr>全体!二位数</vt:lpstr>
      <vt:lpstr>多田!二位数</vt:lpstr>
      <vt:lpstr>福澤!二位数</vt:lpstr>
      <vt:lpstr>佐藤!二位通算スコア</vt:lpstr>
      <vt:lpstr>全体!二位通算スコア</vt:lpstr>
      <vt:lpstr>多田!二位通算スコア</vt:lpstr>
      <vt:lpstr>福澤!二位通算スコア</vt:lpstr>
      <vt:lpstr>二位通算スコア</vt:lpstr>
      <vt:lpstr>Template1!二位率</vt:lpstr>
      <vt:lpstr>佐藤!二位率</vt:lpstr>
      <vt:lpstr>全体!二位率</vt:lpstr>
      <vt:lpstr>多田!二位率</vt:lpstr>
      <vt:lpstr>福澤!二位率</vt:lpstr>
      <vt:lpstr>Template1!副露アガリ数</vt:lpstr>
      <vt:lpstr>佐藤!副露アガリ数</vt:lpstr>
      <vt:lpstr>全体!副露アガリ数</vt:lpstr>
      <vt:lpstr>多田!副露アガリ数</vt:lpstr>
      <vt:lpstr>福澤!副露アガリ数</vt:lpstr>
      <vt:lpstr>Template1!副露アガリ点</vt:lpstr>
      <vt:lpstr>佐藤!副露アガリ点</vt:lpstr>
      <vt:lpstr>全体!副露アガリ点</vt:lpstr>
      <vt:lpstr>多田!副露アガリ点</vt:lpstr>
      <vt:lpstr>福澤!副露アガリ点</vt:lpstr>
      <vt:lpstr>Template1!副露アガリ率</vt:lpstr>
      <vt:lpstr>佐藤!副露アガリ率</vt:lpstr>
      <vt:lpstr>全体!副露アガリ率</vt:lpstr>
      <vt:lpstr>多田!副露アガリ率</vt:lpstr>
      <vt:lpstr>福澤!副露アガリ率</vt:lpstr>
      <vt:lpstr>Template1!副露数</vt:lpstr>
      <vt:lpstr>佐藤!副露数</vt:lpstr>
      <vt:lpstr>全体!副露数</vt:lpstr>
      <vt:lpstr>多田!副露数</vt:lpstr>
      <vt:lpstr>福澤!副露数</vt:lpstr>
      <vt:lpstr>Template1!副露成功数</vt:lpstr>
      <vt:lpstr>佐藤!副露成功数</vt:lpstr>
      <vt:lpstr>全体!副露成功数</vt:lpstr>
      <vt:lpstr>多田!副露成功数</vt:lpstr>
      <vt:lpstr>福澤!副露成功数</vt:lpstr>
      <vt:lpstr>Template1!副露成功率</vt:lpstr>
      <vt:lpstr>佐藤!副露成功率</vt:lpstr>
      <vt:lpstr>全体!副露成功率</vt:lpstr>
      <vt:lpstr>多田!副露成功率</vt:lpstr>
      <vt:lpstr>福澤!副露成功率</vt:lpstr>
      <vt:lpstr>Template1!副露率</vt:lpstr>
      <vt:lpstr>佐藤!副露率</vt:lpstr>
      <vt:lpstr>全体!副露率</vt:lpstr>
      <vt:lpstr>多田!副露率</vt:lpstr>
      <vt:lpstr>福澤!副露率</vt:lpstr>
      <vt:lpstr>Template1!平均アガリ点</vt:lpstr>
      <vt:lpstr>佐藤!平均アガリ点</vt:lpstr>
      <vt:lpstr>全体!平均アガリ点</vt:lpstr>
      <vt:lpstr>多田!平均アガリ点</vt:lpstr>
      <vt:lpstr>福澤!平均アガリ点</vt:lpstr>
      <vt:lpstr>Template1!平均スコア</vt:lpstr>
      <vt:lpstr>佐藤!平均スコア</vt:lpstr>
      <vt:lpstr>全体!平均スコア</vt:lpstr>
      <vt:lpstr>多田!平均スコア</vt:lpstr>
      <vt:lpstr>福澤!平均スコア</vt:lpstr>
      <vt:lpstr>Template1!平均順位</vt:lpstr>
      <vt:lpstr>佐藤!平均順位</vt:lpstr>
      <vt:lpstr>全体!平均順位</vt:lpstr>
      <vt:lpstr>多田!平均順位</vt:lpstr>
      <vt:lpstr>福澤!平均順位</vt:lpstr>
      <vt:lpstr>Template1!平均放銃点</vt:lpstr>
      <vt:lpstr>佐藤!平均放銃点</vt:lpstr>
      <vt:lpstr>全体!平均放銃点</vt:lpstr>
      <vt:lpstr>多田!平均放銃点</vt:lpstr>
      <vt:lpstr>福澤!平均放銃点</vt:lpstr>
      <vt:lpstr>Template1!放銃数</vt:lpstr>
      <vt:lpstr>佐藤!放銃数</vt:lpstr>
      <vt:lpstr>全体!放銃数</vt:lpstr>
      <vt:lpstr>多田!放銃数</vt:lpstr>
      <vt:lpstr>福澤!放銃数</vt:lpstr>
      <vt:lpstr>Template1!放銃率</vt:lpstr>
      <vt:lpstr>佐藤!放銃率</vt:lpstr>
      <vt:lpstr>全体!放銃率</vt:lpstr>
      <vt:lpstr>多田!放銃率</vt:lpstr>
      <vt:lpstr>福澤!放銃率</vt:lpstr>
      <vt:lpstr>Template1!名前</vt:lpstr>
      <vt:lpstr>佐藤!名前</vt:lpstr>
      <vt:lpstr>全体!名前</vt:lpstr>
      <vt:lpstr>多田!名前</vt:lpstr>
      <vt:lpstr>福澤!名前</vt:lpstr>
      <vt:lpstr>Template1!門前アガリ点</vt:lpstr>
      <vt:lpstr>佐藤!門前アガリ点</vt:lpstr>
      <vt:lpstr>全体!門前アガリ点</vt:lpstr>
      <vt:lpstr>多田!門前アガリ点</vt:lpstr>
      <vt:lpstr>福澤!門前アガリ点</vt:lpstr>
      <vt:lpstr>Template1!連続アガリ</vt:lpstr>
      <vt:lpstr>佐藤!連続アガリ</vt:lpstr>
      <vt:lpstr>全体!連続アガリ</vt:lpstr>
      <vt:lpstr>多田!連続アガリ</vt:lpstr>
      <vt:lpstr>福澤!連続アガリ</vt:lpstr>
      <vt:lpstr>Template1!連続無放銃</vt:lpstr>
      <vt:lpstr>佐藤!連続無放銃</vt:lpstr>
      <vt:lpstr>全体!連続無放銃</vt:lpstr>
      <vt:lpstr>多田!連続無放銃</vt:lpstr>
      <vt:lpstr>福澤!連続無放銃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2021-04-11T05:18:46Z</dcterms:modified>
</cp:coreProperties>
</file>