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8EECDD3B-D897-4D44-8106-38DE8092326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05" r:id="rId6"/>
    <sheet name="だいち" sheetId="5007" r:id="rId7"/>
    <sheet name="りょうすけ" sheetId="5009" r:id="rId8"/>
    <sheet name="てんちゃん" sheetId="5011" r:id="rId9"/>
    <sheet name="てんちゃん2" sheetId="5012" state="hidden" r:id="rId10"/>
    <sheet name="りょうすけ2" sheetId="5010" state="hidden" r:id="rId11"/>
    <sheet name="だいち2" sheetId="5008" state="hidden" r:id="rId12"/>
    <sheet name="全体2" sheetId="50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6">だいち!$B$17</definedName>
    <definedName name="アガリ数" localSheetId="8">てんちゃん!$B$17</definedName>
    <definedName name="アガリ数" localSheetId="7">りょうすけ!$B$17</definedName>
    <definedName name="アガリ数" localSheetId="5">全体!$B$17</definedName>
    <definedName name="アガリ数">Template1!$B$17</definedName>
    <definedName name="アガリ率" localSheetId="6">だいち!$C$17</definedName>
    <definedName name="アガリ率" localSheetId="8">てんちゃん!$C$17</definedName>
    <definedName name="アガリ率" localSheetId="7">りょうすけ!$C$17</definedName>
    <definedName name="アガリ率" localSheetId="5">全体!$C$17</definedName>
    <definedName name="アガリ率">Template1!$C$17</definedName>
    <definedName name="チョンボ数" localSheetId="6">だいち!$B$27</definedName>
    <definedName name="チョンボ数" localSheetId="8">てんちゃん!$B$27</definedName>
    <definedName name="チョンボ数" localSheetId="7">りょうすけ!$B$27</definedName>
    <definedName name="チョンボ数" localSheetId="5">全体!$B$27</definedName>
    <definedName name="チョンボ数">Template1!$B$27</definedName>
    <definedName name="チョンボ率" localSheetId="6">だいち!$C$27</definedName>
    <definedName name="チョンボ率" localSheetId="8">てんちゃん!$C$27</definedName>
    <definedName name="チョンボ率" localSheetId="7">りょうすけ!$C$27</definedName>
    <definedName name="チョンボ率" localSheetId="5">全体!$C$27</definedName>
    <definedName name="チョンボ率">Template1!$C$27</definedName>
    <definedName name="ツモ数" localSheetId="6">だいち!$B$18</definedName>
    <definedName name="ツモ数" localSheetId="8">てんちゃん!$B$18</definedName>
    <definedName name="ツモ数" localSheetId="7">りょうすけ!$B$18</definedName>
    <definedName name="ツモ数" localSheetId="5">全体!$B$18</definedName>
    <definedName name="ツモ数">Template1!$B$18</definedName>
    <definedName name="ツモ率" localSheetId="6">だいち!$C$18</definedName>
    <definedName name="ツモ率" localSheetId="8">てんちゃん!$C$18</definedName>
    <definedName name="ツモ率" localSheetId="7">りょうすけ!$C$18</definedName>
    <definedName name="ツモ率" localSheetId="5">全体!$C$18</definedName>
    <definedName name="ツモ率">Template1!$C$18</definedName>
    <definedName name="トップ数" localSheetId="6">だいち!$B$7</definedName>
    <definedName name="トップ数" localSheetId="8">てんちゃん!$B$7</definedName>
    <definedName name="トップ数" localSheetId="7">りょうすけ!$B$7</definedName>
    <definedName name="トップ数" localSheetId="5">全体!$B$7</definedName>
    <definedName name="トップ数">Template1!$B$7</definedName>
    <definedName name="トップ率" localSheetId="6">だいち!$C$7</definedName>
    <definedName name="トップ率" localSheetId="8">てんちゃん!$C$7</definedName>
    <definedName name="トップ率" localSheetId="7">りょうすけ!$C$7</definedName>
    <definedName name="トップ率" localSheetId="5">全体!$C$7</definedName>
    <definedName name="トップ率">Template1!$C$7</definedName>
    <definedName name="ふっとばし数" localSheetId="6">だいち!$B$11</definedName>
    <definedName name="ふっとばし数" localSheetId="8">てんちゃん!$B$11</definedName>
    <definedName name="ふっとばし数" localSheetId="7">りょうすけ!$B$11</definedName>
    <definedName name="ふっとばし数" localSheetId="5">全体!$B$11</definedName>
    <definedName name="ふっとばし数">Template1!$B$11</definedName>
    <definedName name="ふっとばし率" localSheetId="6">だいち!$C$11</definedName>
    <definedName name="ふっとばし率" localSheetId="8">てんちゃん!$C$11</definedName>
    <definedName name="ふっとばし率" localSheetId="7">りょうすけ!$C$11</definedName>
    <definedName name="ふっとばし率" localSheetId="5">全体!$C$11</definedName>
    <definedName name="ふっとばし率">Template1!$C$11</definedName>
    <definedName name="ふっとび数" localSheetId="6">だいち!$B$10</definedName>
    <definedName name="ふっとび数" localSheetId="8">てんちゃん!$B$10</definedName>
    <definedName name="ふっとび数" localSheetId="7">りょうすけ!$B$10</definedName>
    <definedName name="ふっとび数" localSheetId="5">全体!$B$10</definedName>
    <definedName name="ふっとび数">Template1!$B$10</definedName>
    <definedName name="ふっとび率" localSheetId="6">だいち!$C$10</definedName>
    <definedName name="ふっとび率" localSheetId="8">てんちゃん!$C$10</definedName>
    <definedName name="ふっとび率" localSheetId="7">りょうすけ!$C$10</definedName>
    <definedName name="ふっとび率" localSheetId="5">全体!$C$10</definedName>
    <definedName name="ふっとび率">Template1!$C$10</definedName>
    <definedName name="ラス数" localSheetId="6">だいち!$B$9</definedName>
    <definedName name="ラス数" localSheetId="8">てんちゃん!$B$9</definedName>
    <definedName name="ラス数" localSheetId="7">りょうすけ!$B$9</definedName>
    <definedName name="ラス数" localSheetId="5">全体!$B$9</definedName>
    <definedName name="ラス数">Template1!$B$9</definedName>
    <definedName name="ラス率" localSheetId="6">だいち!$C$9</definedName>
    <definedName name="ラス率" localSheetId="8">てんちゃん!$C$9</definedName>
    <definedName name="ラス率" localSheetId="7">りょうすけ!$C$9</definedName>
    <definedName name="ラス率" localSheetId="5">全体!$C$9</definedName>
    <definedName name="ラス率">Template1!$C$9</definedName>
    <definedName name="リーチ数" localSheetId="6">だいち!$B$13</definedName>
    <definedName name="リーチ数" localSheetId="8">てんちゃん!$B$13</definedName>
    <definedName name="リーチ数" localSheetId="7">りょうすけ!$B$13</definedName>
    <definedName name="リーチ数" localSheetId="5">全体!$B$13</definedName>
    <definedName name="リーチ数">Template1!$B$13</definedName>
    <definedName name="リーチ成功数" localSheetId="6">だいち!$B$15</definedName>
    <definedName name="リーチ成功数" localSheetId="8">てんちゃん!$B$15</definedName>
    <definedName name="リーチ成功数" localSheetId="7">りょうすけ!$B$15</definedName>
    <definedName name="リーチ成功数" localSheetId="5">全体!$B$15</definedName>
    <definedName name="リーチ成功数">Template1!$B$15</definedName>
    <definedName name="リーチ成功率" localSheetId="6">だいち!$C$15</definedName>
    <definedName name="リーチ成功率" localSheetId="8">てんちゃん!$C$15</definedName>
    <definedName name="リーチ成功率" localSheetId="7">りょうすけ!$C$15</definedName>
    <definedName name="リーチ成功率" localSheetId="5">全体!$C$15</definedName>
    <definedName name="リーチ成功率">Template1!$C$15</definedName>
    <definedName name="リーチ率" localSheetId="6">だいち!$C$13</definedName>
    <definedName name="リーチ率" localSheetId="8">てんちゃん!$C$13</definedName>
    <definedName name="リーチ率" localSheetId="7">りょうすけ!$C$13</definedName>
    <definedName name="リーチ率" localSheetId="5">全体!$C$13</definedName>
    <definedName name="リーチ率">Template1!$C$13</definedName>
    <definedName name="ロン数" localSheetId="6">だいち!$B$19</definedName>
    <definedName name="ロン数" localSheetId="8">てんちゃん!$B$19</definedName>
    <definedName name="ロン数" localSheetId="7">りょうすけ!$B$19</definedName>
    <definedName name="ロン数" localSheetId="5">全体!$B$19</definedName>
    <definedName name="ロン数">Template1!$B$19</definedName>
    <definedName name="ロン率" localSheetId="6">だいち!$C$19</definedName>
    <definedName name="ロン率" localSheetId="8">てんちゃん!$C$19</definedName>
    <definedName name="ロン率" localSheetId="7">りょうすけ!$C$19</definedName>
    <definedName name="ロン率" localSheetId="5">全体!$C$19</definedName>
    <definedName name="ロン率">Template1!$C$19</definedName>
    <definedName name="逆転数" localSheetId="6">だいち!$B$12</definedName>
    <definedName name="逆転数" localSheetId="8">てんちゃん!$B$12</definedName>
    <definedName name="逆転数" localSheetId="7">りょうすけ!$B$12</definedName>
    <definedName name="逆転数" localSheetId="5">全体!$B$12</definedName>
    <definedName name="逆転数">Template1!$B$12</definedName>
    <definedName name="逆転率" localSheetId="6">だいち!$C$12</definedName>
    <definedName name="逆転率" localSheetId="8">てんちゃん!$C$12</definedName>
    <definedName name="逆転率" localSheetId="7">りょうすけ!$C$12</definedName>
    <definedName name="逆転率" localSheetId="5">全体!$C$12</definedName>
    <definedName name="逆転率">Template1!$C$12</definedName>
    <definedName name="最大ドラ数" localSheetId="6">だいち!$B$25</definedName>
    <definedName name="最大ドラ数" localSheetId="8">てんちゃん!$B$25</definedName>
    <definedName name="最大ドラ数" localSheetId="7">りょうすけ!$B$25</definedName>
    <definedName name="最大ドラ数" localSheetId="5">全体!$B$25</definedName>
    <definedName name="最大ドラ数">Template1!$B$25</definedName>
    <definedName name="最大点数" localSheetId="6">だいち!$B$26</definedName>
    <definedName name="最大点数" localSheetId="8">てんちゃん!$B$26</definedName>
    <definedName name="最大点数" localSheetId="7">りょうすけ!$B$26</definedName>
    <definedName name="最大点数" localSheetId="5">全体!$B$26</definedName>
    <definedName name="最大点数">Template1!$B$26</definedName>
    <definedName name="総局数" localSheetId="6">だいち!$B$3</definedName>
    <definedName name="総局数" localSheetId="8">てんちゃん!$B$3</definedName>
    <definedName name="総局数" localSheetId="7">りょうすけ!$B$3</definedName>
    <definedName name="総局数" localSheetId="5">全体!$B$3</definedName>
    <definedName name="総局数">Template1!$B$3</definedName>
    <definedName name="対戦数" localSheetId="6">だいち!$B$2</definedName>
    <definedName name="対戦数" localSheetId="8">てんちゃん!$B$2</definedName>
    <definedName name="対戦数" localSheetId="7">りょうすけ!$B$2</definedName>
    <definedName name="対戦数" localSheetId="5">全体!$B$2</definedName>
    <definedName name="対戦数">Template1!$B$2</definedName>
    <definedName name="通算スコア" localSheetId="6">だいち!$B$4</definedName>
    <definedName name="通算スコア" localSheetId="8">てんちゃん!$B$4</definedName>
    <definedName name="通算スコア" localSheetId="7">りょうすけ!$B$4</definedName>
    <definedName name="通算スコア" localSheetId="5">全体!$B$4</definedName>
    <definedName name="通算スコア">Template1!$B$4</definedName>
    <definedName name="副露数" localSheetId="6">だいち!$B$14</definedName>
    <definedName name="副露数" localSheetId="8">てんちゃん!$B$14</definedName>
    <definedName name="副露数" localSheetId="7">りょうすけ!$B$14</definedName>
    <definedName name="副露数" localSheetId="5">全体!$B$14</definedName>
    <definedName name="副露数">Template1!$B$14</definedName>
    <definedName name="副露成功数" localSheetId="6">だいち!$B$16</definedName>
    <definedName name="副露成功数" localSheetId="8">てんちゃん!$B$16</definedName>
    <definedName name="副露成功数" localSheetId="7">りょうすけ!$B$16</definedName>
    <definedName name="副露成功数" localSheetId="5">全体!$B$16</definedName>
    <definedName name="副露成功数">Template1!$B$16</definedName>
    <definedName name="副露成功率" localSheetId="6">だいち!$C$16</definedName>
    <definedName name="副露成功率" localSheetId="8">てんちゃん!$C$16</definedName>
    <definedName name="副露成功率" localSheetId="7">りょうすけ!$C$16</definedName>
    <definedName name="副露成功率" localSheetId="5">全体!$C$16</definedName>
    <definedName name="副露成功率">Template1!$C$16</definedName>
    <definedName name="副露率" localSheetId="6">だいち!$C$14</definedName>
    <definedName name="副露率" localSheetId="8">てんちゃん!$C$14</definedName>
    <definedName name="副露率" localSheetId="7">りょうすけ!$C$14</definedName>
    <definedName name="副露率" localSheetId="5">全体!$C$14</definedName>
    <definedName name="副露率">Template1!$C$14</definedName>
    <definedName name="平均アガリ点" localSheetId="6">だいち!$B$23</definedName>
    <definedName name="平均アガリ点" localSheetId="8">てんちゃん!$B$23</definedName>
    <definedName name="平均アガリ点" localSheetId="7">りょうすけ!$B$23</definedName>
    <definedName name="平均アガリ点" localSheetId="5">全体!$B$23</definedName>
    <definedName name="平均アガリ点">Template1!$B$23</definedName>
    <definedName name="平均スコア" localSheetId="6">だいち!$B$5</definedName>
    <definedName name="平均スコア" localSheetId="8">てんちゃん!$B$5</definedName>
    <definedName name="平均スコア" localSheetId="7">りょうすけ!$B$5</definedName>
    <definedName name="平均スコア" localSheetId="5">全体!$B$5</definedName>
    <definedName name="平均スコア">Template1!$B$5</definedName>
    <definedName name="平均順位" localSheetId="6">だいち!$B$6</definedName>
    <definedName name="平均順位" localSheetId="8">てんちゃん!$B$6</definedName>
    <definedName name="平均順位" localSheetId="7">りょうすけ!$B$6</definedName>
    <definedName name="平均順位" localSheetId="5">全体!$B$6</definedName>
    <definedName name="平均順位">Template1!$B$6</definedName>
    <definedName name="平均放銃点" localSheetId="6">だいち!$B$24</definedName>
    <definedName name="平均放銃点" localSheetId="8">てんちゃん!$B$24</definedName>
    <definedName name="平均放銃点" localSheetId="7">りょうすけ!$B$24</definedName>
    <definedName name="平均放銃点" localSheetId="5">全体!$B$24</definedName>
    <definedName name="平均放銃点">Template1!$B$24</definedName>
    <definedName name="放銃数" localSheetId="6">だいち!$B$20</definedName>
    <definedName name="放銃数" localSheetId="8">てんちゃん!$B$20</definedName>
    <definedName name="放銃数" localSheetId="7">りょうすけ!$B$20</definedName>
    <definedName name="放銃数" localSheetId="5">全体!$B$20</definedName>
    <definedName name="放銃数">Template1!$B$20</definedName>
    <definedName name="放銃率" localSheetId="6">だいち!$C$20</definedName>
    <definedName name="放銃率" localSheetId="8">てんちゃん!$C$20</definedName>
    <definedName name="放銃率" localSheetId="7">りょうすけ!$C$20</definedName>
    <definedName name="放銃率" localSheetId="5">全体!$C$20</definedName>
    <definedName name="放銃率">Template1!$C$20</definedName>
    <definedName name="連続アガリ" localSheetId="6">だいち!$B$21</definedName>
    <definedName name="連続アガリ" localSheetId="8">てんちゃん!$B$21</definedName>
    <definedName name="連続アガリ" localSheetId="7">りょうすけ!$B$21</definedName>
    <definedName name="連続アガリ" localSheetId="5">全体!$B$21</definedName>
    <definedName name="連続アガリ">Template1!$B$21</definedName>
    <definedName name="連続無放銃" localSheetId="6">だいち!$B$22</definedName>
    <definedName name="連続無放銃" localSheetId="8">てんちゃん!$B$22</definedName>
    <definedName name="連続無放銃" localSheetId="7">りょうすけ!$B$22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011" l="1"/>
  <c r="O16" i="5011"/>
  <c r="C27" i="5011"/>
  <c r="B24" i="5011"/>
  <c r="C20" i="5011"/>
  <c r="B17" i="5011"/>
  <c r="H51" i="5011" s="1"/>
  <c r="C16" i="5011"/>
  <c r="C15" i="5011"/>
  <c r="C14" i="5011"/>
  <c r="C13" i="5011"/>
  <c r="O12" i="5011"/>
  <c r="C12" i="5011"/>
  <c r="O11" i="5011"/>
  <c r="C11" i="5011"/>
  <c r="O10" i="5011"/>
  <c r="C10" i="5011"/>
  <c r="C9" i="5011"/>
  <c r="C8" i="5011"/>
  <c r="O7" i="5011"/>
  <c r="C7" i="5011"/>
  <c r="O6" i="5011"/>
  <c r="B6" i="5011"/>
  <c r="O5" i="5011"/>
  <c r="B5" i="5011"/>
  <c r="O4" i="5011"/>
  <c r="O3" i="5011"/>
  <c r="O2" i="5011"/>
  <c r="O16" i="5009"/>
  <c r="O15" i="5009"/>
  <c r="C27" i="5009"/>
  <c r="B24" i="5009"/>
  <c r="C20" i="5009"/>
  <c r="B17" i="5009"/>
  <c r="H50" i="5009" s="1"/>
  <c r="H19" i="5009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17" i="5005"/>
  <c r="O16" i="5007"/>
  <c r="O15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16" i="5005"/>
  <c r="O15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H20" i="5011" l="1"/>
  <c r="H7" i="5009"/>
  <c r="H26" i="5009"/>
  <c r="H29" i="5011"/>
  <c r="H39" i="5011"/>
  <c r="H40" i="5011"/>
  <c r="H44" i="5011"/>
  <c r="H24" i="5011"/>
  <c r="H30" i="5011"/>
  <c r="H45" i="5011"/>
  <c r="H12" i="5011"/>
  <c r="H13" i="5011"/>
  <c r="H3" i="5011"/>
  <c r="H18" i="5011"/>
  <c r="H21" i="5011"/>
  <c r="H5" i="5011"/>
  <c r="H26" i="5011"/>
  <c r="H4" i="5011"/>
  <c r="H10" i="5011"/>
  <c r="H22" i="5011"/>
  <c r="H36" i="5011"/>
  <c r="H47" i="5011"/>
  <c r="H16" i="5011"/>
  <c r="C17" i="5011"/>
  <c r="B23" i="5011"/>
  <c r="H6" i="5011"/>
  <c r="H46" i="5011"/>
  <c r="H19" i="5011"/>
  <c r="C19" i="5011"/>
  <c r="H27" i="5011"/>
  <c r="H37" i="5011"/>
  <c r="H48" i="5011"/>
  <c r="H7" i="5011"/>
  <c r="H25" i="5011"/>
  <c r="H31" i="5011"/>
  <c r="C18" i="5011"/>
  <c r="H32" i="5011"/>
  <c r="H8" i="5011"/>
  <c r="H2" i="5011"/>
  <c r="H11" i="5011"/>
  <c r="H17" i="5011"/>
  <c r="H23" i="5011"/>
  <c r="H38" i="5011"/>
  <c r="H9" i="5011"/>
  <c r="H15" i="5011"/>
  <c r="H33" i="5011"/>
  <c r="H41" i="5011"/>
  <c r="H49" i="5011"/>
  <c r="H14" i="5011"/>
  <c r="H28" i="5011"/>
  <c r="H34" i="5011"/>
  <c r="H42" i="5011"/>
  <c r="H50" i="5011"/>
  <c r="H35" i="5011"/>
  <c r="H43" i="5011"/>
  <c r="H13" i="5005"/>
  <c r="H15" i="5009"/>
  <c r="H35" i="5009"/>
  <c r="H43" i="5009"/>
  <c r="H33" i="5009"/>
  <c r="H21" i="5009"/>
  <c r="H3" i="5009"/>
  <c r="H44" i="5009"/>
  <c r="C19" i="5009"/>
  <c r="H13" i="5009"/>
  <c r="H36" i="5009"/>
  <c r="H18" i="5009"/>
  <c r="H25" i="5009"/>
  <c r="H45" i="5009"/>
  <c r="H2" i="5009"/>
  <c r="H28" i="5009"/>
  <c r="H46" i="5009"/>
  <c r="H12" i="5009"/>
  <c r="H23" i="5009"/>
  <c r="H29" i="5009"/>
  <c r="H11" i="5009"/>
  <c r="B23" i="5009"/>
  <c r="H30" i="5009"/>
  <c r="H39" i="5009"/>
  <c r="H49" i="5009"/>
  <c r="C17" i="5009"/>
  <c r="H48" i="5009"/>
  <c r="H5" i="5009"/>
  <c r="C18" i="5009"/>
  <c r="H24" i="5009"/>
  <c r="H31" i="5009"/>
  <c r="H40" i="5009"/>
  <c r="H51" i="5009"/>
  <c r="H14" i="5009"/>
  <c r="H37" i="5009"/>
  <c r="H9" i="5009"/>
  <c r="H16" i="5009"/>
  <c r="H38" i="5009"/>
  <c r="H8" i="5009"/>
  <c r="H17" i="5009"/>
  <c r="H4" i="5009"/>
  <c r="H10" i="5009"/>
  <c r="H20" i="5009"/>
  <c r="H32" i="5009"/>
  <c r="H41" i="5009"/>
  <c r="H6" i="5009"/>
  <c r="H47" i="5009"/>
  <c r="H22" i="5009"/>
  <c r="H27" i="5009"/>
  <c r="H34" i="5009"/>
  <c r="H42" i="5009"/>
  <c r="H2" i="5007"/>
  <c r="H29" i="5007"/>
  <c r="H23" i="5007"/>
  <c r="H3" i="5007"/>
  <c r="H37" i="5007"/>
  <c r="H21" i="5007"/>
  <c r="H44" i="5007"/>
  <c r="H13" i="5007"/>
  <c r="H9" i="5007"/>
  <c r="C18" i="5007"/>
  <c r="H12" i="5007"/>
  <c r="H20" i="5007"/>
  <c r="C19" i="5007"/>
  <c r="H6" i="5007"/>
  <c r="H38" i="5007"/>
  <c r="H25" i="5007"/>
  <c r="H41" i="5007"/>
  <c r="H5" i="5007"/>
  <c r="H10" i="5007"/>
  <c r="H4" i="5007"/>
  <c r="H17" i="5007"/>
  <c r="H18" i="5007"/>
  <c r="H16" i="5007"/>
  <c r="H45" i="5007"/>
  <c r="H46" i="5007"/>
  <c r="H15" i="5007"/>
  <c r="C17" i="5007"/>
  <c r="H49" i="5007"/>
  <c r="H11" i="5007"/>
  <c r="H30" i="5007"/>
  <c r="H8" i="5007"/>
  <c r="H19" i="5007"/>
  <c r="B23" i="5007"/>
  <c r="H33" i="5007"/>
  <c r="H22" i="5007"/>
  <c r="H26" i="5007"/>
  <c r="H36" i="5007"/>
  <c r="H7" i="5007"/>
  <c r="H31" i="5007"/>
  <c r="H39" i="5007"/>
  <c r="H47" i="5007"/>
  <c r="H24" i="5007"/>
  <c r="H27" i="5007"/>
  <c r="H32" i="5007"/>
  <c r="H40" i="5007"/>
  <c r="H48" i="5007"/>
  <c r="H14" i="5007"/>
  <c r="H28" i="5007"/>
  <c r="H34" i="5007"/>
  <c r="H42" i="5007"/>
  <c r="H50" i="5007"/>
  <c r="H35" i="5007"/>
  <c r="H43" i="5007"/>
  <c r="H2" i="5005"/>
  <c r="H9" i="5005"/>
  <c r="H24" i="5005"/>
  <c r="H12" i="5005"/>
  <c r="H35" i="5005"/>
  <c r="H25" i="5005"/>
  <c r="H14" i="5005"/>
  <c r="H18" i="5005"/>
  <c r="H36" i="5005"/>
  <c r="C17" i="5005"/>
  <c r="H47" i="5005"/>
  <c r="H17" i="5005"/>
  <c r="B23" i="5005"/>
  <c r="H48" i="5005"/>
  <c r="H6" i="5005"/>
  <c r="H19" i="5005"/>
  <c r="C18" i="5005"/>
  <c r="H31" i="5005"/>
  <c r="H40" i="5005"/>
  <c r="H49" i="5005"/>
  <c r="H16" i="5005"/>
  <c r="H20" i="5005"/>
  <c r="H3" i="5005"/>
  <c r="H37" i="5005"/>
  <c r="H21" i="5005"/>
  <c r="H38" i="5005"/>
  <c r="H30" i="5005"/>
  <c r="H26" i="5005"/>
  <c r="H4" i="5005"/>
  <c r="H10" i="5005"/>
  <c r="H23" i="5005"/>
  <c r="H32" i="5005"/>
  <c r="H41" i="5005"/>
  <c r="H51" i="5005"/>
  <c r="H44" i="5005"/>
  <c r="H45" i="5005"/>
  <c r="H29" i="5005"/>
  <c r="H46" i="5005"/>
  <c r="H8" i="5005"/>
  <c r="H11" i="5005"/>
  <c r="H39" i="5005"/>
  <c r="H5" i="5005"/>
  <c r="H22" i="5005"/>
  <c r="C19" i="5005"/>
  <c r="H27" i="5005"/>
  <c r="H33" i="5005"/>
  <c r="H43" i="5005"/>
  <c r="H7" i="5005"/>
  <c r="H15" i="5005"/>
  <c r="H28" i="5005"/>
  <c r="H34" i="5005"/>
  <c r="H42" i="500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H6" i="2228" s="1"/>
  <c r="C16" i="2228"/>
  <c r="C15" i="2228"/>
  <c r="C9" i="2228"/>
  <c r="C7" i="2228"/>
  <c r="B6" i="2228"/>
  <c r="B5" i="2228"/>
  <c r="H5" i="2228" l="1"/>
  <c r="B23" i="2228"/>
  <c r="H51" i="2228"/>
  <c r="H44" i="2228"/>
  <c r="H36" i="2228"/>
  <c r="H28" i="2228"/>
  <c r="H20" i="2228"/>
  <c r="H13" i="2228"/>
  <c r="H4" i="2228"/>
  <c r="H50" i="2228"/>
  <c r="H42" i="2228"/>
  <c r="H34" i="2228"/>
  <c r="H26" i="2228"/>
  <c r="H11" i="2228"/>
  <c r="H2" i="2228"/>
  <c r="H48" i="2228"/>
  <c r="H32" i="2228"/>
  <c r="H17" i="2228"/>
  <c r="H47" i="2228"/>
  <c r="H31" i="2228"/>
  <c r="H8" i="2228"/>
  <c r="H30" i="2228"/>
  <c r="H7" i="2228"/>
  <c r="H45" i="2228"/>
  <c r="H21" i="2228"/>
  <c r="H43" i="2228"/>
  <c r="H35" i="2228"/>
  <c r="H27" i="2228"/>
  <c r="H19" i="2228"/>
  <c r="H12" i="2228"/>
  <c r="H3" i="2228"/>
  <c r="H16" i="2228"/>
  <c r="H22" i="2228"/>
  <c r="H49" i="2228"/>
  <c r="H41" i="2228"/>
  <c r="H33" i="2228"/>
  <c r="H25" i="2228"/>
  <c r="H18" i="2228"/>
  <c r="H10" i="2228"/>
  <c r="H40" i="2228"/>
  <c r="H24" i="2228"/>
  <c r="H9" i="2228"/>
  <c r="H39" i="2228"/>
  <c r="H23" i="2228"/>
  <c r="H38" i="2228"/>
  <c r="H15" i="2228"/>
  <c r="H37" i="2228"/>
  <c r="H14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<sst xmlns="http://schemas.openxmlformats.org/spreadsheetml/2006/main" count="1045" uniqueCount="180">
  <si>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</si>
  <si>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</si>
  <si>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</si>
  <si>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</si>
  <si>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</si>
  <si>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</si>
  <si>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</si>
  <si>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</si>
  <si>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</si>
  <si>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</si>
  <si>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</si>
  <si>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</si>
  <si>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</si>
  <si>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</si>
  <si>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</si>
  <si>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</si>
  <si>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</si>
  <si>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</si>
  <si>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</si>
  <si>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</si>
  <si>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</si>
  <si>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</si>
  <si>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</si>
  <si>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</si>
  <si>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</si>
  <si>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</si>
  <si>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</si>
  <si>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</si>
  <si>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</si>
  <si>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</si>
  <si>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</si>
  <si>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</si>
  <si>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</si>
  <si>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</si>
  <si>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</si>
  <si>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</si>
  <si>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</si>
  <si>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</si>
  <si>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</si>
  <si>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</si>
  <si>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</si>
  <si>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</si>
  <si>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</si>
  <si>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</si>
  <si>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</si>
  <si>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</si>
  <si>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</si>
  <si>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</si>
  <si>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</si>
  <si>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</si>
  <si>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</si>
  <si>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</si>
  <si>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</si>
  <si>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</si>
  <si>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</si>
  <si>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</si>
  <si>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</si>
  <si>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</si>
  <si>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</si>
  <si>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</si>
  <si>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</si>
  <si>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</si>
  <si>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</si>
  <si>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</si>
  <si>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</si>
  <si>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</si>
  <si>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</si>
  <si>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</si>
  <si>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</si>
  <si>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</si>
  <si>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</si>
  <si>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</si>
  <si>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</si>
  <si>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</si>
  <si>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</si>
  <si>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</si>
  <si>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</si>
  <si>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</si>
  <si>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</si>
  <si>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</si>
  <si>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</si>
  <si>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</si>
  <si>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</si>
  <si>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</si>
  <si>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</si>
  <si>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</si>
  <si>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</si>
  <si>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</si>
  <si>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</si>
  <si>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</si>
  <si>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</si>
  <si>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</si>
  <si>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</si>
  <si>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</si>
  <si>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</si>
  <si>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</si>
  <si>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</si>
  <si>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</si>
  <si>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</si>
  <si>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</si>
  <si>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</si>
  <si>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</si>
  <si>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</si>
  <si>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</si>
  <si>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</si>
  <si>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</si>
  <si>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</si>
  <si>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</si>
  <si>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</si>
  <si>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</si>
  <si>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</si>
  <si>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</si>
  <si>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</si>
  <si>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</si>
  <si>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</si>
  <si>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</si>
  <si>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</si>
  <si>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</si>
  <si>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</si>
  <si>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</si>
  <si>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</si>
  <si>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</si>
  <si>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</si>
  <si>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</si>
  <si>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</si>
  <si>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</si>
  <si>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</si>
  <si>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</si>
  <si>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</si>
  <si>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</si>
  <si>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</si>
  <si>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</si>
  <si>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</si>
  <si>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</si>
  <si>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</si>
  <si>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</si>
  <si>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</si>
  <si>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</si>
  <si>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</si>
  <si>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</si>
  <si>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</si>
  <si>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</si>
  <si>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</si>
  <si>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</si>
  <si>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</si>
  <si>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</si>
  <si>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</si>
  <si>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</si>
  <si>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</si>
  <si>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</si>
  <si>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</si>
  <si>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</si>
  <si>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</si>
  <si>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</si>
  <si>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</si>
  <si>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</si>
  <si>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</si>
  <si>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</si>
  <si>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</si>
  <si>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</si>
  <si>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</si>
  <si>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</si>
  <si>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</si>
  <si>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</si>
  <si>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</si>
  <si>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</si>
  <si>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</si>
  <si>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</si>
  <si>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</si>
  <si>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52</t>
    <phoneticPr fontId="1"/>
  </si>
  <si>
    <t>赤ドラ</t>
    <rPh sb="0" eb="1">
      <t>アカ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</si>
  <si>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</si>
  <si>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</si>
  <si>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  <phoneticPr fontId="1"/>
  </si>
  <si>
    <t>ガリ</t>
    <phoneticPr fontId="1"/>
  </si>
  <si>
    <t>2019-03-08.xlsm</t>
  </si>
  <si>
    <t>りょうすけ</t>
  </si>
  <si>
    <t>てんちゃん</t>
  </si>
  <si>
    <t>2019-03-21.xlsm</t>
  </si>
  <si>
    <t>2019-04-29.xlsm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</si>
</sst>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全体!$L$2:$L$35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  <c:pt idx="19">
                  <c:v>75.8</c:v>
                </c:pt>
                <c:pt idx="20">
                  <c:v>11.799999999999997</c:v>
                </c:pt>
                <c:pt idx="21">
                  <c:v>-3.5527136788005009E-15</c:v>
                </c:pt>
                <c:pt idx="22">
                  <c:v>37</c:v>
                </c:pt>
                <c:pt idx="23">
                  <c:v>30.1</c:v>
                </c:pt>
                <c:pt idx="24">
                  <c:v>0</c:v>
                </c:pt>
                <c:pt idx="25">
                  <c:v>0</c:v>
                </c:pt>
                <c:pt idx="26">
                  <c:v>-64.7</c:v>
                </c:pt>
                <c:pt idx="27">
                  <c:v>0</c:v>
                </c:pt>
                <c:pt idx="28">
                  <c:v>43.1</c:v>
                </c:pt>
                <c:pt idx="29">
                  <c:v>33.299999999999997</c:v>
                </c:pt>
                <c:pt idx="30">
                  <c:v>0</c:v>
                </c:pt>
                <c:pt idx="31">
                  <c:v>43.6</c:v>
                </c:pt>
                <c:pt idx="32">
                  <c:v>34.299999999999997</c:v>
                </c:pt>
                <c:pt idx="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9-4E16-9EA3-F33F23D8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-60.606060606060609</c:v>
                </c:pt>
                <c:pt idx="2">
                  <c:v>74.074074074074076</c:v>
                </c:pt>
                <c:pt idx="3">
                  <c:v>-47.61904761904762</c:v>
                </c:pt>
                <c:pt idx="4">
                  <c:v>83.333333333333329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E-4923-8D2A-C37ECE2D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だいち!$L$2:$L$13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  <c:pt idx="7">
                  <c:v>235.10000000000002</c:v>
                </c:pt>
                <c:pt idx="8">
                  <c:v>272.10000000000002</c:v>
                </c:pt>
                <c:pt idx="9">
                  <c:v>272.10000000000002</c:v>
                </c:pt>
                <c:pt idx="10">
                  <c:v>315.20000000000005</c:v>
                </c:pt>
                <c:pt idx="11">
                  <c:v>358.80000000000007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A-4867-AAEC-C0E21089B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4136.363636363636</c:v>
                </c:pt>
                <c:pt idx="1">
                  <c:v>11163.636363636364</c:v>
                </c:pt>
                <c:pt idx="2">
                  <c:v>-1688.8888888888889</c:v>
                </c:pt>
                <c:pt idx="3">
                  <c:v>14285.714285714286</c:v>
                </c:pt>
                <c:pt idx="4">
                  <c:v>2375</c:v>
                </c:pt>
                <c:pt idx="5">
                  <c:v>4050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73E-AF80-F52A6FDA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りょうすけ!$L$2:$L$13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  <c:pt idx="7">
                  <c:v>-196.3</c:v>
                </c:pt>
                <c:pt idx="8">
                  <c:v>-203.20000000000002</c:v>
                </c:pt>
                <c:pt idx="9">
                  <c:v>-267.90000000000003</c:v>
                </c:pt>
                <c:pt idx="10">
                  <c:v>-277.70000000000005</c:v>
                </c:pt>
                <c:pt idx="11">
                  <c:v>-287.00000000000006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9-4753-8B54-0D103268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-2663.6363636363635</c:v>
                </c:pt>
                <c:pt idx="1">
                  <c:v>-12445.454545454546</c:v>
                </c:pt>
                <c:pt idx="2">
                  <c:v>-311.11111111111109</c:v>
                </c:pt>
                <c:pt idx="3">
                  <c:v>-11000</c:v>
                </c:pt>
                <c:pt idx="4">
                  <c:v>-975</c:v>
                </c:pt>
                <c:pt idx="5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3-4F72-8B6E-7341A561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B-493F-9845-5338559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-1472.7272727272727</c:v>
                </c:pt>
                <c:pt idx="1">
                  <c:v>1100</c:v>
                </c:pt>
                <c:pt idx="2">
                  <c:v>2222.2222222222222</c:v>
                </c:pt>
                <c:pt idx="3">
                  <c:v>-3428.5714285714284</c:v>
                </c:pt>
                <c:pt idx="4">
                  <c:v>-1150</c:v>
                </c:pt>
                <c:pt idx="5">
                  <c:v>-4775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3-4F6B-8B14-581AC4928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てんちゃん2!$C$3:$C$14</c:f>
              <c:numCache>
                <c:formatCode>\+0.0;\-0.0;\±0</c:formatCode>
                <c:ptCount val="12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  <c:pt idx="7">
                  <c:v>-5.5428571428571436</c:v>
                </c:pt>
                <c:pt idx="8">
                  <c:v>-8.6125000000000007</c:v>
                </c:pt>
                <c:pt idx="9">
                  <c:v>-0.46666666666666701</c:v>
                </c:pt>
                <c:pt idx="10">
                  <c:v>-3.75</c:v>
                </c:pt>
                <c:pt idx="11">
                  <c:v>-6.5272727272727273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てんちゃん2!$F$3:$F$14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てんちゃん2!$G$3:$G$14</c:f>
              <c:numCache>
                <c:formatCode>0.0%</c:formatCode>
                <c:ptCount val="12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  <c:pt idx="7">
                  <c:v>0.21739130434782608</c:v>
                </c:pt>
                <c:pt idx="8">
                  <c:v>0.22641509433962265</c:v>
                </c:pt>
                <c:pt idx="9">
                  <c:v>0.2807017543859649</c:v>
                </c:pt>
                <c:pt idx="10">
                  <c:v>0.26984126984126983</c:v>
                </c:pt>
                <c:pt idx="11">
                  <c:v>0.24285714285714285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47619047619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てんちゃん2!$H$3:$H$14</c:f>
              <c:numCache>
                <c:formatCode>0.0%</c:formatCode>
                <c:ptCount val="12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  <c:pt idx="7">
                  <c:v>0.13043478260869565</c:v>
                </c:pt>
                <c:pt idx="8">
                  <c:v>0.13207547169811321</c:v>
                </c:pt>
                <c:pt idx="9">
                  <c:v>0.12280701754385964</c:v>
                </c:pt>
                <c:pt idx="10">
                  <c:v>0.14285714285714285</c:v>
                </c:pt>
                <c:pt idx="11">
                  <c:v>0.12857142857142856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90476190476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てんちゃん2!$I$3:$I$14</c:f>
              <c:numCache>
                <c:formatCode>0</c:formatCode>
                <c:ptCount val="12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  <c:pt idx="7">
                  <c:v>11100</c:v>
                </c:pt>
                <c:pt idx="8">
                  <c:v>10241.666666666666</c:v>
                </c:pt>
                <c:pt idx="9">
                  <c:v>10412.5</c:v>
                </c:pt>
                <c:pt idx="10">
                  <c:v>10505.882352941177</c:v>
                </c:pt>
                <c:pt idx="11">
                  <c:v>10505.882352941177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385.2459016393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てんちゃん2!$J$3:$J$14</c:f>
              <c:numCache>
                <c:formatCode>0</c:formatCode>
                <c:ptCount val="12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  <c:pt idx="7">
                  <c:v>-9400</c:v>
                </c:pt>
                <c:pt idx="8">
                  <c:v>-9771.4285714285706</c:v>
                </c:pt>
                <c:pt idx="9">
                  <c:v>-9771.4285714285706</c:v>
                </c:pt>
                <c:pt idx="10">
                  <c:v>-10266.666666666666</c:v>
                </c:pt>
                <c:pt idx="11">
                  <c:v>-10266.666666666666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1758.8235294117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1818181818181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1818181818181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てんちゃん2!$M$3:$M$14</c:f>
              <c:numCache>
                <c:formatCode>0.0%</c:formatCode>
                <c:ptCount val="12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  <c:pt idx="7">
                  <c:v>0.32608695652173914</c:v>
                </c:pt>
                <c:pt idx="8">
                  <c:v>0.30188679245283018</c:v>
                </c:pt>
                <c:pt idx="9">
                  <c:v>0.33333333333333331</c:v>
                </c:pt>
                <c:pt idx="10">
                  <c:v>0.34920634920634919</c:v>
                </c:pt>
                <c:pt idx="11">
                  <c:v>0.31428571428571428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95238095238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てんちゃん2!$N$3:$N$14</c:f>
              <c:numCache>
                <c:formatCode>0.0%</c:formatCode>
                <c:ptCount val="12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8.6956521739130432E-2</c:v>
                </c:pt>
                <c:pt idx="8">
                  <c:v>9.4339622641509441E-2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190476190476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てんちゃん2!$O$3:$O$14</c:f>
              <c:numCache>
                <c:formatCode>0.0%</c:formatCode>
                <c:ptCount val="12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  <c:pt idx="7">
                  <c:v>0.53333333333333333</c:v>
                </c:pt>
                <c:pt idx="8">
                  <c:v>0.5625</c:v>
                </c:pt>
                <c:pt idx="9">
                  <c:v>0.63157894736842102</c:v>
                </c:pt>
                <c:pt idx="10">
                  <c:v>0.59090909090909094</c:v>
                </c:pt>
                <c:pt idx="11">
                  <c:v>0.59090909090909094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4406779661016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てんちゃん2!$P$3:$P$14</c:f>
              <c:numCache>
                <c:formatCode>0.0%</c:formatCode>
                <c:ptCount val="12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758620689655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てんちゃん2!$Q$3:$Q$14</c:f>
              <c:numCache>
                <c:formatCode>0.0%</c:formatCode>
                <c:ptCount val="12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  <c:pt idx="7">
                  <c:v>0.5</c:v>
                </c:pt>
                <c:pt idx="8">
                  <c:v>0.41666666666666669</c:v>
                </c:pt>
                <c:pt idx="9">
                  <c:v>0.3125</c:v>
                </c:pt>
                <c:pt idx="10">
                  <c:v>0.35294117647058826</c:v>
                </c:pt>
                <c:pt idx="11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6229508196721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86FB27-5A5E-4BCD-B7E4-9E249DA85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07B7B0-EBF8-4003-9F01-837F49C833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46FF3F-456C-425B-AFF5-5CA961730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BFA501-57D3-4648-9F1D-643DC95D5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1DA39E-1D33-4A9E-B28B-18990489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4109A1-804E-4CE0-8112-9FAB20261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03DE2C-F92F-4BEA-A78B-0A7818866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5A8A92-0F42-4623-AC28-91F7609A4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173</v>
      </c>
      <c r="F6" s="60" t="s">
        <v>174</v>
      </c>
      <c r="G6" s="47">
        <v>0</v>
      </c>
      <c r="H6" s="133">
        <f>IF(B$17=0,0,G6/B$17)</f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69</v>
      </c>
      <c r="F7" s="28" t="s">
        <v>12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0">
        <v>0</v>
      </c>
      <c r="C25" s="141"/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38">
        <v>0</v>
      </c>
      <c r="C26" s="139"/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60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115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28" t="s">
        <v>63</v>
      </c>
      <c r="G49" s="15">
        <v>0</v>
      </c>
      <c r="H49" s="133">
        <f t="shared" si="1"/>
        <v>0</v>
      </c>
      <c r="I49" s="94"/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169</v>
      </c>
      <c r="F51" s="61" t="s">
        <v>170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175</v>
      </c>
      <c r="B2" s="31">
        <v>43532.736307870371</v>
      </c>
      <c r="C2" s="30" t="s">
        <v>128</v>
      </c>
      <c r="D2" s="30" t="s">
        <v>129</v>
      </c>
      <c r="E2" s="30" t="s">
        <v>166</v>
      </c>
    </row>
    <row r="3" spans="1:7" x14ac:dyDescent="0.4">
      <c r="A3" s="30" t="s">
        <v>178</v>
      </c>
      <c r="B3" s="31">
        <v>43545.738449074073</v>
      </c>
      <c r="C3" s="30" t="s">
        <v>128</v>
      </c>
      <c r="D3" s="30" t="s">
        <v>129</v>
      </c>
      <c r="E3" s="30" t="s">
        <v>166</v>
      </c>
    </row>
    <row r="4" spans="1:7" x14ac:dyDescent="0.4">
      <c r="A4" s="30" t="s">
        <v>179</v>
      </c>
      <c r="B4" s="31">
        <v>43584.991168981483</v>
      </c>
      <c r="C4" s="30" t="s">
        <v>128</v>
      </c>
      <c r="D4" s="30" t="s">
        <v>129</v>
      </c>
      <c r="E4" s="30" t="s">
        <v>166</v>
      </c>
      <c r="F4" s="30" t="s">
        <v>167</v>
      </c>
      <c r="G4" s="30" t="s">
        <v>168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143</v>
      </c>
    </row>
    <row r="2" spans="1:1" x14ac:dyDescent="0.4">
      <c r="A2" t="s">
        <v>127</v>
      </c>
    </row>
    <row r="3" spans="1:1" x14ac:dyDescent="0.4">
      <c r="A3" t="s">
        <v>176</v>
      </c>
    </row>
    <row r="4" spans="1:1" x14ac:dyDescent="0.4">
      <c r="A4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160</v>
      </c>
      <c r="K1" s="155"/>
      <c r="L1" s="154" t="s">
        <v>147</v>
      </c>
      <c r="M1" s="155"/>
      <c r="N1" s="154" t="s">
        <v>148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139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149</v>
      </c>
      <c r="AE1" s="155"/>
      <c r="AF1" s="154" t="s">
        <v>142</v>
      </c>
      <c r="AG1" s="155"/>
      <c r="AH1" s="154" t="s">
        <v>151</v>
      </c>
      <c r="AI1" s="155"/>
    </row>
    <row r="2" spans="1:35" x14ac:dyDescent="0.4">
      <c r="A2" s="72" t="s">
        <v>159</v>
      </c>
      <c r="B2" s="156"/>
      <c r="C2" s="157"/>
      <c r="D2" s="156"/>
      <c r="E2" s="157"/>
      <c r="F2" s="158">
        <v>0.50016081479172603</v>
      </c>
      <c r="G2" s="159"/>
      <c r="H2" s="158">
        <v>0.59228654432638383</v>
      </c>
      <c r="I2" s="159"/>
      <c r="J2" s="158">
        <v>0.35013057373085538</v>
      </c>
      <c r="K2" s="159"/>
      <c r="L2" s="158">
        <v>0.50016081479172603</v>
      </c>
      <c r="M2" s="159"/>
      <c r="N2" s="158">
        <v>-2.0429606666713819E-2</v>
      </c>
      <c r="O2" s="159"/>
      <c r="P2" s="158">
        <v>-0.18300984376720136</v>
      </c>
      <c r="Q2" s="159"/>
      <c r="R2" s="158">
        <v>0.13803416714138131</v>
      </c>
      <c r="S2" s="159"/>
      <c r="T2" s="158">
        <v>-9.0599192295669664E-2</v>
      </c>
      <c r="U2" s="159"/>
      <c r="V2" s="158">
        <v>0.24037249305966543</v>
      </c>
      <c r="W2" s="159"/>
      <c r="X2" s="158">
        <v>6.8755663230607098E-2</v>
      </c>
      <c r="Y2" s="159"/>
      <c r="Z2" s="158">
        <v>0.69905169411612345</v>
      </c>
      <c r="AA2" s="159"/>
      <c r="AB2" s="158">
        <v>0.58535630954421547</v>
      </c>
      <c r="AC2" s="159"/>
      <c r="AD2" s="158">
        <v>-0.17260641064217311</v>
      </c>
      <c r="AE2" s="159"/>
      <c r="AF2" s="158">
        <v>0.77759702136032294</v>
      </c>
      <c r="AG2" s="159"/>
      <c r="AH2" s="158">
        <v>0.2664096613998142</v>
      </c>
      <c r="AI2" s="159"/>
    </row>
    <row r="3" spans="1:35" x14ac:dyDescent="0.4">
      <c r="A3" s="74">
        <v>1</v>
      </c>
      <c r="B3" s="75" t="s">
        <v>127</v>
      </c>
      <c r="C3" s="76">
        <v>358.80000000000007</v>
      </c>
      <c r="D3" s="77" t="s">
        <v>127</v>
      </c>
      <c r="E3" s="96">
        <v>32.618181818181824</v>
      </c>
      <c r="F3" s="77" t="s">
        <v>127</v>
      </c>
      <c r="G3" s="78">
        <v>1.3636363636363635</v>
      </c>
      <c r="H3" s="77" t="s">
        <v>127</v>
      </c>
      <c r="I3" s="79">
        <v>0.72727272727272729</v>
      </c>
      <c r="J3" s="77" t="s">
        <v>127</v>
      </c>
      <c r="K3" s="79">
        <v>9.0909090909090912E-2</v>
      </c>
      <c r="L3" s="77" t="s">
        <v>127</v>
      </c>
      <c r="M3" s="80">
        <v>0.45714285714285713</v>
      </c>
      <c r="N3" s="77" t="s">
        <v>127</v>
      </c>
      <c r="O3" s="80">
        <v>7.1428571428571425E-2</v>
      </c>
      <c r="P3" s="77" t="s">
        <v>127</v>
      </c>
      <c r="Q3" s="81">
        <v>10612.5</v>
      </c>
      <c r="R3" s="77" t="s">
        <v>127</v>
      </c>
      <c r="S3" s="81">
        <v>-8140</v>
      </c>
      <c r="T3" s="77" t="s">
        <v>127</v>
      </c>
      <c r="U3" s="79">
        <v>0</v>
      </c>
      <c r="V3" s="77" t="s">
        <v>127</v>
      </c>
      <c r="W3" s="79">
        <v>0.36363636363636365</v>
      </c>
      <c r="X3" s="77" t="s">
        <v>127</v>
      </c>
      <c r="Y3" s="80">
        <v>0.42857142857142855</v>
      </c>
      <c r="Z3" s="77" t="s">
        <v>176</v>
      </c>
      <c r="AA3" s="80">
        <v>0.41428571428571431</v>
      </c>
      <c r="AB3" s="77" t="s">
        <v>127</v>
      </c>
      <c r="AC3" s="80">
        <v>0.7</v>
      </c>
      <c r="AD3" s="77" t="s">
        <v>127</v>
      </c>
      <c r="AE3" s="80">
        <v>0.42105263157894735</v>
      </c>
      <c r="AF3" s="77" t="s">
        <v>176</v>
      </c>
      <c r="AG3" s="80">
        <v>0.5</v>
      </c>
      <c r="AH3" s="77" t="s">
        <v>127</v>
      </c>
      <c r="AI3" s="91">
        <v>110000</v>
      </c>
    </row>
    <row r="4" spans="1:35" x14ac:dyDescent="0.4">
      <c r="A4" s="82">
        <v>2</v>
      </c>
      <c r="B4" s="83" t="s">
        <v>143</v>
      </c>
      <c r="C4" s="84">
        <v>0</v>
      </c>
      <c r="D4" s="85" t="s">
        <v>143</v>
      </c>
      <c r="E4" s="97">
        <v>0</v>
      </c>
      <c r="F4" s="85" t="s">
        <v>143</v>
      </c>
      <c r="G4" s="86">
        <v>2</v>
      </c>
      <c r="H4" s="85" t="s">
        <v>143</v>
      </c>
      <c r="I4" s="87">
        <v>0.33333333333333331</v>
      </c>
      <c r="J4" s="85" t="s">
        <v>143</v>
      </c>
      <c r="K4" s="87">
        <v>0.33333333333333331</v>
      </c>
      <c r="L4" s="85" t="s">
        <v>143</v>
      </c>
      <c r="M4" s="88">
        <v>0.2904761904761905</v>
      </c>
      <c r="N4" s="85" t="s">
        <v>177</v>
      </c>
      <c r="O4" s="88">
        <v>0.12857142857142856</v>
      </c>
      <c r="P4" s="85" t="s">
        <v>177</v>
      </c>
      <c r="Q4" s="89">
        <v>10505.882352941177</v>
      </c>
      <c r="R4" s="85" t="s">
        <v>177</v>
      </c>
      <c r="S4" s="89">
        <v>-10266.666666666666</v>
      </c>
      <c r="T4" s="85" t="s">
        <v>177</v>
      </c>
      <c r="U4" s="87">
        <v>9.0909090909090912E-2</v>
      </c>
      <c r="V4" s="85" t="s">
        <v>177</v>
      </c>
      <c r="W4" s="87">
        <v>0.18181818181818182</v>
      </c>
      <c r="X4" s="85" t="s">
        <v>177</v>
      </c>
      <c r="Y4" s="88">
        <v>0.31428571428571428</v>
      </c>
      <c r="Z4" s="85" t="s">
        <v>143</v>
      </c>
      <c r="AA4" s="88">
        <v>0.27619047619047621</v>
      </c>
      <c r="AB4" s="85" t="s">
        <v>143</v>
      </c>
      <c r="AC4" s="88">
        <v>0.64406779661016944</v>
      </c>
      <c r="AD4" s="85" t="s">
        <v>177</v>
      </c>
      <c r="AE4" s="88">
        <v>0.4</v>
      </c>
      <c r="AF4" s="85" t="s">
        <v>127</v>
      </c>
      <c r="AG4" s="88">
        <v>0.4375</v>
      </c>
      <c r="AH4" s="85" t="s">
        <v>143</v>
      </c>
      <c r="AI4" s="92">
        <v>110000</v>
      </c>
    </row>
    <row r="5" spans="1:35" x14ac:dyDescent="0.4">
      <c r="A5" s="82">
        <v>3</v>
      </c>
      <c r="B5" s="83" t="s">
        <v>177</v>
      </c>
      <c r="C5" s="84">
        <v>-71.8</v>
      </c>
      <c r="D5" s="85" t="s">
        <v>177</v>
      </c>
      <c r="E5" s="97">
        <v>-6.5272727272727273</v>
      </c>
      <c r="F5" s="85" t="s">
        <v>177</v>
      </c>
      <c r="G5" s="86">
        <v>2.1818181818181817</v>
      </c>
      <c r="H5" s="85" t="s">
        <v>177</v>
      </c>
      <c r="I5" s="87">
        <v>0.18181818181818182</v>
      </c>
      <c r="J5" s="85" t="s">
        <v>177</v>
      </c>
      <c r="K5" s="87">
        <v>0.36363636363636365</v>
      </c>
      <c r="L5" s="85" t="s">
        <v>177</v>
      </c>
      <c r="M5" s="88">
        <v>0.24285714285714285</v>
      </c>
      <c r="N5" s="85" t="s">
        <v>143</v>
      </c>
      <c r="O5" s="88">
        <v>0.16190476190476191</v>
      </c>
      <c r="P5" s="85" t="s">
        <v>143</v>
      </c>
      <c r="Q5" s="89">
        <v>10385.245901639344</v>
      </c>
      <c r="R5" s="85" t="s">
        <v>143</v>
      </c>
      <c r="S5" s="89">
        <v>-11758.823529411764</v>
      </c>
      <c r="T5" s="85" t="s">
        <v>143</v>
      </c>
      <c r="U5" s="87">
        <v>0.18181818181818182</v>
      </c>
      <c r="V5" s="85" t="s">
        <v>143</v>
      </c>
      <c r="W5" s="87">
        <v>0.18181818181818182</v>
      </c>
      <c r="X5" s="85" t="s">
        <v>143</v>
      </c>
      <c r="Y5" s="88">
        <v>0.28095238095238095</v>
      </c>
      <c r="Z5" s="85" t="s">
        <v>127</v>
      </c>
      <c r="AA5" s="88">
        <v>0.27142857142857141</v>
      </c>
      <c r="AB5" s="85" t="s">
        <v>177</v>
      </c>
      <c r="AC5" s="88">
        <v>0.59090909090909094</v>
      </c>
      <c r="AD5" s="85" t="s">
        <v>143</v>
      </c>
      <c r="AE5" s="88">
        <v>0.32758620689655171</v>
      </c>
      <c r="AF5" s="85" t="s">
        <v>143</v>
      </c>
      <c r="AG5" s="88">
        <v>0.42622950819672129</v>
      </c>
      <c r="AH5" s="85" t="s">
        <v>177</v>
      </c>
      <c r="AI5" s="92">
        <v>79700</v>
      </c>
    </row>
    <row r="6" spans="1:35" x14ac:dyDescent="0.4">
      <c r="A6" s="82">
        <v>4</v>
      </c>
      <c r="B6" s="83" t="s">
        <v>176</v>
      </c>
      <c r="C6" s="84">
        <v>-287.00000000000006</v>
      </c>
      <c r="D6" s="85" t="s">
        <v>176</v>
      </c>
      <c r="E6" s="97">
        <v>-26.090909090909097</v>
      </c>
      <c r="F6" s="85" t="s">
        <v>176</v>
      </c>
      <c r="G6" s="86">
        <v>2.4545454545454546</v>
      </c>
      <c r="H6" s="85" t="s">
        <v>176</v>
      </c>
      <c r="I6" s="87">
        <v>9.0909090909090912E-2</v>
      </c>
      <c r="J6" s="85" t="s">
        <v>176</v>
      </c>
      <c r="K6" s="87">
        <v>0.54545454545454541</v>
      </c>
      <c r="L6" s="85" t="s">
        <v>176</v>
      </c>
      <c r="M6" s="88">
        <v>0.17142857142857143</v>
      </c>
      <c r="N6" s="85" t="s">
        <v>176</v>
      </c>
      <c r="O6" s="88">
        <v>0.2857142857142857</v>
      </c>
      <c r="P6" s="85" t="s">
        <v>176</v>
      </c>
      <c r="Q6" s="89">
        <v>9608.3333333333339</v>
      </c>
      <c r="R6" s="85" t="s">
        <v>176</v>
      </c>
      <c r="S6" s="89">
        <v>-13335</v>
      </c>
      <c r="T6" s="85" t="s">
        <v>176</v>
      </c>
      <c r="U6" s="87">
        <v>0.45454545454545453</v>
      </c>
      <c r="V6" s="85" t="s">
        <v>176</v>
      </c>
      <c r="W6" s="87">
        <v>0</v>
      </c>
      <c r="X6" s="85" t="s">
        <v>176</v>
      </c>
      <c r="Y6" s="88">
        <v>0.1</v>
      </c>
      <c r="Z6" s="85" t="s">
        <v>177</v>
      </c>
      <c r="AA6" s="88">
        <v>0.14285714285714285</v>
      </c>
      <c r="AB6" s="85" t="s">
        <v>176</v>
      </c>
      <c r="AC6" s="88">
        <v>0.5714285714285714</v>
      </c>
      <c r="AD6" s="85" t="s">
        <v>176</v>
      </c>
      <c r="AE6" s="88">
        <v>0.2413793103448276</v>
      </c>
      <c r="AF6" s="85" t="s">
        <v>177</v>
      </c>
      <c r="AG6" s="88">
        <v>0.35294117647058826</v>
      </c>
      <c r="AH6" s="85" t="s">
        <v>176</v>
      </c>
      <c r="AI6" s="92">
        <v>52100</v>
      </c>
    </row>
  </sheetData>
  <sortState ref="AH3:AI24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DC69E-0C3A-4022-BA01-F1BF56FE7B7E}">
  <sheetPr codeName="Sheet4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143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33</v>
      </c>
      <c r="C2" s="147"/>
      <c r="E2" s="62" t="s">
        <v>173</v>
      </c>
      <c r="F2" s="59" t="s">
        <v>174</v>
      </c>
      <c r="G2" s="46">
        <v>50</v>
      </c>
      <c r="H2" s="132">
        <f>IF(B$17=0,0,G2/B$17)</f>
        <v>0.81967213114754101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33</v>
      </c>
      <c r="Q2" s="102">
        <v>0</v>
      </c>
    </row>
    <row r="3" spans="1:17" x14ac:dyDescent="0.4">
      <c r="A3" s="55" t="s">
        <v>8</v>
      </c>
      <c r="B3" s="148">
        <v>210</v>
      </c>
      <c r="C3" s="149"/>
      <c r="E3" s="63" t="s">
        <v>67</v>
      </c>
      <c r="F3" s="60" t="s">
        <v>23</v>
      </c>
      <c r="G3" s="47">
        <v>48</v>
      </c>
      <c r="H3" s="133">
        <f>IF(B$17=0,0,G3/B$17)</f>
        <v>0.78688524590163933</v>
      </c>
      <c r="I3" s="94">
        <v>3</v>
      </c>
      <c r="K3" s="38">
        <v>1</v>
      </c>
      <c r="L3" s="99">
        <v>-14.1</v>
      </c>
      <c r="N3" s="115" t="s">
        <v>131</v>
      </c>
      <c r="O3" s="122">
        <f t="shared" si="0"/>
        <v>-60.606060606060609</v>
      </c>
      <c r="P3" s="119">
        <v>33</v>
      </c>
      <c r="Q3" s="103">
        <v>-2000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36</v>
      </c>
      <c r="H4" s="133">
        <f>IF(B$17=0,0,G4/B$17)</f>
        <v>0.5901639344262295</v>
      </c>
      <c r="I4" s="94">
        <v>3</v>
      </c>
      <c r="K4" s="38">
        <v>2</v>
      </c>
      <c r="L4" s="99">
        <v>3.0000000000000018</v>
      </c>
      <c r="N4" s="115" t="s">
        <v>132</v>
      </c>
      <c r="O4" s="122">
        <f t="shared" si="0"/>
        <v>74.074074074074076</v>
      </c>
      <c r="P4" s="119">
        <v>27</v>
      </c>
      <c r="Q4" s="103">
        <v>2000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73</v>
      </c>
      <c r="F5" s="60" t="s">
        <v>28</v>
      </c>
      <c r="G5" s="47">
        <v>26</v>
      </c>
      <c r="H5" s="133">
        <f>IF(B$17=0,0,G5/B$17)</f>
        <v>0.42622950819672129</v>
      </c>
      <c r="I5" s="94">
        <v>3</v>
      </c>
      <c r="K5" s="38">
        <v>3</v>
      </c>
      <c r="L5" s="99">
        <v>1.7763568394002505E-15</v>
      </c>
      <c r="N5" s="115" t="s">
        <v>133</v>
      </c>
      <c r="O5" s="122">
        <f t="shared" si="0"/>
        <v>-47.61904761904762</v>
      </c>
      <c r="P5" s="119">
        <v>21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25</v>
      </c>
      <c r="H6" s="133">
        <f>IF(B$17=0,0,G6/B$17)</f>
        <v>0.4098360655737705</v>
      </c>
      <c r="I6" s="94">
        <v>3</v>
      </c>
      <c r="K6" s="38">
        <v>4</v>
      </c>
      <c r="L6" s="99">
        <v>75</v>
      </c>
      <c r="N6" s="115" t="s">
        <v>134</v>
      </c>
      <c r="O6" s="122">
        <f t="shared" si="0"/>
        <v>83.333333333333329</v>
      </c>
      <c r="P6" s="119">
        <v>12</v>
      </c>
      <c r="Q6" s="103">
        <v>1000</v>
      </c>
    </row>
    <row r="7" spans="1:17" x14ac:dyDescent="0.4">
      <c r="A7" s="55" t="s">
        <v>2</v>
      </c>
      <c r="B7" s="47">
        <v>11</v>
      </c>
      <c r="C7" s="39">
        <f>IF(B$2=0,0,B7/B$2)</f>
        <v>0.33333333333333331</v>
      </c>
      <c r="E7" s="63" t="s">
        <v>169</v>
      </c>
      <c r="F7" s="60" t="s">
        <v>170</v>
      </c>
      <c r="G7" s="47">
        <v>22</v>
      </c>
      <c r="H7" s="133">
        <f>IF(B$17=0,0,G7/B$17)</f>
        <v>0.36065573770491804</v>
      </c>
      <c r="I7" s="94">
        <v>2</v>
      </c>
      <c r="K7" s="38">
        <v>5</v>
      </c>
      <c r="L7" s="99">
        <v>19</v>
      </c>
      <c r="N7" s="116" t="s">
        <v>135</v>
      </c>
      <c r="O7" s="123">
        <f t="shared" si="0"/>
        <v>0</v>
      </c>
      <c r="P7" s="120">
        <v>12</v>
      </c>
      <c r="Q7" s="104">
        <v>0</v>
      </c>
    </row>
    <row r="8" spans="1:17" x14ac:dyDescent="0.4">
      <c r="A8" s="55" t="s">
        <v>3</v>
      </c>
      <c r="B8" s="47">
        <v>11</v>
      </c>
      <c r="C8" s="39">
        <f>IF(B$2=0,0,B8/B$2)</f>
        <v>0.33333333333333331</v>
      </c>
      <c r="E8" s="63" t="s">
        <v>69</v>
      </c>
      <c r="F8" s="60" t="s">
        <v>12</v>
      </c>
      <c r="G8" s="47">
        <v>18</v>
      </c>
      <c r="H8" s="133">
        <f>IF(B$17=0,0,G8/B$17)</f>
        <v>0.29508196721311475</v>
      </c>
      <c r="I8" s="94">
        <v>3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15</v>
      </c>
      <c r="H9" s="133">
        <f>IF(B$17=0,0,G9/B$17)</f>
        <v>0.24590163934426229</v>
      </c>
      <c r="I9" s="94">
        <v>3</v>
      </c>
      <c r="K9" s="38">
        <v>7</v>
      </c>
      <c r="L9" s="99">
        <v>45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6</v>
      </c>
      <c r="C10" s="40">
        <f>IF(B$2=0,0,B10/B$2)</f>
        <v>0.18181818181818182</v>
      </c>
      <c r="E10" s="63" t="s">
        <v>70</v>
      </c>
      <c r="F10" s="60" t="s">
        <v>25</v>
      </c>
      <c r="G10" s="47">
        <v>10</v>
      </c>
      <c r="H10" s="133">
        <f>IF(B$17=0,0,G10/B$17)</f>
        <v>0.16393442622950818</v>
      </c>
      <c r="I10" s="94">
        <v>3</v>
      </c>
      <c r="K10" s="38">
        <v>8</v>
      </c>
      <c r="L10" s="99">
        <v>-1</v>
      </c>
      <c r="N10" s="114" t="s">
        <v>162</v>
      </c>
      <c r="O10" s="124">
        <f>IF(P10=0,0,Q10/P10)</f>
        <v>6.5000000000000009</v>
      </c>
      <c r="P10" s="118">
        <v>11</v>
      </c>
      <c r="Q10" s="106">
        <v>71.500000000000014</v>
      </c>
    </row>
    <row r="11" spans="1:17" x14ac:dyDescent="0.4">
      <c r="A11" s="56" t="s">
        <v>138</v>
      </c>
      <c r="B11" s="48">
        <v>6</v>
      </c>
      <c r="C11" s="40">
        <f>IF(B$2=0,0,B11/B$2)</f>
        <v>0.18181818181818182</v>
      </c>
      <c r="E11" s="63" t="s">
        <v>90</v>
      </c>
      <c r="F11" s="60" t="s">
        <v>45</v>
      </c>
      <c r="G11" s="47">
        <v>7</v>
      </c>
      <c r="H11" s="133">
        <f>IF(B$17=0,0,G11/B$17)</f>
        <v>0.11475409836065574</v>
      </c>
      <c r="I11" s="94">
        <v>3</v>
      </c>
      <c r="K11" s="38">
        <v>9</v>
      </c>
      <c r="L11" s="99">
        <v>0</v>
      </c>
      <c r="N11" s="115" t="s">
        <v>163</v>
      </c>
      <c r="O11" s="125">
        <f>IF(P11=0,0,Q11/P11)</f>
        <v>6.754545454545454</v>
      </c>
      <c r="P11" s="119">
        <v>11</v>
      </c>
      <c r="Q11" s="107">
        <v>74.3</v>
      </c>
    </row>
    <row r="12" spans="1:17" x14ac:dyDescent="0.4">
      <c r="A12" s="57" t="s">
        <v>158</v>
      </c>
      <c r="B12" s="49">
        <v>2</v>
      </c>
      <c r="C12" s="42">
        <f>IF(B$2=0,0,B12/B$2)</f>
        <v>6.0606060606060608E-2</v>
      </c>
      <c r="E12" s="63" t="s">
        <v>72</v>
      </c>
      <c r="F12" s="60" t="s">
        <v>27</v>
      </c>
      <c r="G12" s="47">
        <v>6</v>
      </c>
      <c r="H12" s="133">
        <f>IF(B$17=0,0,G12/B$17)</f>
        <v>9.8360655737704916E-2</v>
      </c>
      <c r="I12" s="94">
        <v>2</v>
      </c>
      <c r="K12" s="38">
        <v>10</v>
      </c>
      <c r="L12" s="99">
        <v>28.5</v>
      </c>
      <c r="N12" s="116" t="s">
        <v>164</v>
      </c>
      <c r="O12" s="126">
        <f>IF(P12=0,0,Q12/P12)</f>
        <v>-13.254545454545456</v>
      </c>
      <c r="P12" s="120">
        <v>11</v>
      </c>
      <c r="Q12" s="108">
        <v>-145.80000000000001</v>
      </c>
    </row>
    <row r="13" spans="1:17" x14ac:dyDescent="0.4">
      <c r="A13" s="58" t="s">
        <v>122</v>
      </c>
      <c r="B13" s="50">
        <v>59</v>
      </c>
      <c r="C13" s="44">
        <f>IF(B$3=0,0,B13/B$3)</f>
        <v>0.28095238095238095</v>
      </c>
      <c r="E13" s="63" t="s">
        <v>71</v>
      </c>
      <c r="F13" s="60" t="s">
        <v>26</v>
      </c>
      <c r="G13" s="47">
        <v>5</v>
      </c>
      <c r="H13" s="133">
        <f>IF(B$17=0,0,G13/B$17)</f>
        <v>8.1967213114754092E-2</v>
      </c>
      <c r="I13" s="94">
        <v>3</v>
      </c>
      <c r="K13" s="38">
        <v>11</v>
      </c>
      <c r="L13" s="99">
        <v>38.6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58</v>
      </c>
      <c r="C14" s="39">
        <f>IF(B$3=0,0,B14/B$3)</f>
        <v>0.27619047619047621</v>
      </c>
      <c r="E14" s="63" t="s">
        <v>84</v>
      </c>
      <c r="F14" s="60" t="s">
        <v>39</v>
      </c>
      <c r="G14" s="47">
        <v>4</v>
      </c>
      <c r="H14" s="133">
        <f>IF(B$17=0,0,G14/B$17)</f>
        <v>6.5573770491803282E-2</v>
      </c>
      <c r="I14" s="94">
        <v>2</v>
      </c>
      <c r="K14" s="38">
        <v>12</v>
      </c>
      <c r="L14" s="99">
        <v>0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38</v>
      </c>
      <c r="C15" s="37">
        <f>IF(B$13=0,0,B15/B$13)</f>
        <v>0.64406779661016944</v>
      </c>
      <c r="E15" s="63" t="s">
        <v>82</v>
      </c>
      <c r="F15" s="60" t="s">
        <v>37</v>
      </c>
      <c r="G15" s="47">
        <v>3</v>
      </c>
      <c r="H15" s="133">
        <f>IF(B$17=0,0,G15/B$17)</f>
        <v>4.9180327868852458E-2</v>
      </c>
      <c r="I15" s="94">
        <v>3</v>
      </c>
      <c r="K15" s="38">
        <v>13</v>
      </c>
      <c r="L15" s="99">
        <v>18.100000000000001</v>
      </c>
      <c r="N15" s="114" t="s">
        <v>176</v>
      </c>
      <c r="O15" s="124">
        <f>IF(P15=0,0,Q15/P15)</f>
        <v>39.136363636363633</v>
      </c>
      <c r="P15" s="118">
        <v>22</v>
      </c>
      <c r="Q15" s="106">
        <v>861</v>
      </c>
    </row>
    <row r="16" spans="1:17" x14ac:dyDescent="0.4">
      <c r="A16" s="54" t="s">
        <v>125</v>
      </c>
      <c r="B16" s="46">
        <v>19</v>
      </c>
      <c r="C16" s="37">
        <f>IF(B$14=0,0,B16/B$14)</f>
        <v>0.32758620689655171</v>
      </c>
      <c r="E16" s="63" t="s">
        <v>87</v>
      </c>
      <c r="F16" s="60" t="s">
        <v>42</v>
      </c>
      <c r="G16" s="47">
        <v>3</v>
      </c>
      <c r="H16" s="133">
        <f>IF(B$17=0,0,G16/B$17)</f>
        <v>4.9180327868852458E-2</v>
      </c>
      <c r="I16" s="94">
        <v>3</v>
      </c>
      <c r="K16" s="38">
        <v>14</v>
      </c>
      <c r="L16" s="99">
        <v>-31.699999999999996</v>
      </c>
      <c r="N16" s="115" t="s">
        <v>177</v>
      </c>
      <c r="O16" s="125">
        <f>IF(P16=0,0,Q16/P16)</f>
        <v>9.7909090909090875</v>
      </c>
      <c r="P16" s="119">
        <v>22</v>
      </c>
      <c r="Q16" s="107">
        <v>215.39999999999992</v>
      </c>
    </row>
    <row r="17" spans="1:17" x14ac:dyDescent="0.4">
      <c r="A17" s="54" t="s">
        <v>10</v>
      </c>
      <c r="B17" s="46">
        <f>B19+B18</f>
        <v>61</v>
      </c>
      <c r="C17" s="37">
        <f>IF(B$3=0,0,B17/B$3)</f>
        <v>0.2904761904761905</v>
      </c>
      <c r="E17" s="63" t="s">
        <v>79</v>
      </c>
      <c r="F17" s="60" t="s">
        <v>34</v>
      </c>
      <c r="G17" s="47">
        <v>2</v>
      </c>
      <c r="H17" s="133">
        <f>IF(B$17=0,0,G17/B$17)</f>
        <v>3.2786885245901641E-2</v>
      </c>
      <c r="I17" s="94">
        <v>2</v>
      </c>
      <c r="K17" s="38">
        <v>15</v>
      </c>
      <c r="L17" s="99">
        <v>3.5527136788005009E-15</v>
      </c>
      <c r="N17" s="115" t="s">
        <v>127</v>
      </c>
      <c r="O17" s="125">
        <f>IF(P17=0,0,Q17/P17)</f>
        <v>-48.927272727272722</v>
      </c>
      <c r="P17" s="119">
        <v>22</v>
      </c>
      <c r="Q17" s="107">
        <v>-1076.3999999999999</v>
      </c>
    </row>
    <row r="18" spans="1:17" x14ac:dyDescent="0.4">
      <c r="A18" s="55" t="s">
        <v>12</v>
      </c>
      <c r="B18" s="47">
        <v>26</v>
      </c>
      <c r="C18" s="39">
        <f>IF(B$17=0,0,B18/B$17)</f>
        <v>0.42622950819672129</v>
      </c>
      <c r="E18" s="63" t="s">
        <v>74</v>
      </c>
      <c r="F18" s="60" t="s">
        <v>29</v>
      </c>
      <c r="G18" s="47">
        <v>1</v>
      </c>
      <c r="H18" s="133">
        <f>IF(B$17=0,0,G18/B$17)</f>
        <v>1.6393442622950821E-2</v>
      </c>
      <c r="I18" s="94">
        <v>2</v>
      </c>
      <c r="K18" s="38">
        <v>16</v>
      </c>
      <c r="L18" s="99">
        <v>6.8000000000000034</v>
      </c>
    </row>
    <row r="19" spans="1:17" x14ac:dyDescent="0.4">
      <c r="A19" s="55" t="s">
        <v>11</v>
      </c>
      <c r="B19" s="47">
        <v>35</v>
      </c>
      <c r="C19" s="39">
        <f>IF(B$17=0,0,B19/B$17)</f>
        <v>0.57377049180327866</v>
      </c>
      <c r="E19" s="63" t="s">
        <v>76</v>
      </c>
      <c r="F19" s="60" t="s">
        <v>31</v>
      </c>
      <c r="G19" s="47">
        <v>1</v>
      </c>
      <c r="H19" s="133">
        <f>IF(B$17=0,0,G19/B$17)</f>
        <v>1.6393442622950821E-2</v>
      </c>
      <c r="I19" s="94">
        <v>2</v>
      </c>
      <c r="K19" s="38">
        <v>17</v>
      </c>
      <c r="L19" s="99">
        <v>-0.8999999999999968</v>
      </c>
    </row>
    <row r="20" spans="1:17" x14ac:dyDescent="0.4">
      <c r="A20" s="55" t="s">
        <v>13</v>
      </c>
      <c r="B20" s="47">
        <v>34</v>
      </c>
      <c r="C20" s="39">
        <f>IF(B$3=0,0,B20/B$3)</f>
        <v>0.16190476190476191</v>
      </c>
      <c r="E20" s="63" t="s">
        <v>78</v>
      </c>
      <c r="F20" s="60" t="s">
        <v>33</v>
      </c>
      <c r="G20" s="47">
        <v>1</v>
      </c>
      <c r="H20" s="133">
        <f>IF(B$17=0,0,G20/B$17)</f>
        <v>1.6393442622950821E-2</v>
      </c>
      <c r="I20" s="94">
        <v>2</v>
      </c>
      <c r="K20" s="38">
        <v>18</v>
      </c>
      <c r="L20" s="99">
        <v>3.219646771412954E-15</v>
      </c>
    </row>
    <row r="21" spans="1:17" x14ac:dyDescent="0.4">
      <c r="A21" s="55" t="s">
        <v>171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75.8</v>
      </c>
    </row>
    <row r="22" spans="1:17" x14ac:dyDescent="0.4">
      <c r="A22" s="55" t="s">
        <v>172</v>
      </c>
      <c r="B22" s="47">
        <v>28</v>
      </c>
      <c r="C22" s="135">
        <v>12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11.799999999999997</v>
      </c>
    </row>
    <row r="23" spans="1:17" x14ac:dyDescent="0.4">
      <c r="A23" s="55" t="s">
        <v>5</v>
      </c>
      <c r="B23" s="51">
        <f>IF(B$17=0,0,C23/B$17)</f>
        <v>10385.245901639344</v>
      </c>
      <c r="C23" s="41">
        <v>633500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-3.5527136788005009E-15</v>
      </c>
    </row>
    <row r="24" spans="1:17" x14ac:dyDescent="0.4">
      <c r="A24" s="57" t="s">
        <v>14</v>
      </c>
      <c r="B24" s="52">
        <f>IF(B$20=0,0,C24/B$20)</f>
        <v>-11758.823529411764</v>
      </c>
      <c r="C24" s="45">
        <v>-399800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37</v>
      </c>
    </row>
    <row r="25" spans="1:17" x14ac:dyDescent="0.4">
      <c r="A25" s="90" t="s">
        <v>140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30.1</v>
      </c>
    </row>
    <row r="26" spans="1:17" x14ac:dyDescent="0.4">
      <c r="A26" s="58" t="s">
        <v>150</v>
      </c>
      <c r="B26" s="138">
        <v>110000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0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-64.7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0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43.1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33.299999999999997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43.6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34.299999999999997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0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F17-7B5A-4823-8697-34D9694130F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11</v>
      </c>
      <c r="C2" s="147"/>
      <c r="E2" s="62" t="s">
        <v>173</v>
      </c>
      <c r="F2" s="59" t="s">
        <v>174</v>
      </c>
      <c r="G2" s="46">
        <v>22</v>
      </c>
      <c r="H2" s="132">
        <f>IF(B$17=0,0,G2/B$17)</f>
        <v>0.6875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4136.363636363636</v>
      </c>
      <c r="P2" s="118">
        <v>11</v>
      </c>
      <c r="Q2" s="102">
        <v>45500</v>
      </c>
    </row>
    <row r="3" spans="1:17" x14ac:dyDescent="0.4">
      <c r="A3" s="55" t="s">
        <v>8</v>
      </c>
      <c r="B3" s="148">
        <v>70</v>
      </c>
      <c r="C3" s="149"/>
      <c r="E3" s="63" t="s">
        <v>67</v>
      </c>
      <c r="F3" s="60" t="s">
        <v>23</v>
      </c>
      <c r="G3" s="47">
        <v>21</v>
      </c>
      <c r="H3" s="133">
        <f>IF(B$17=0,0,G3/B$17)</f>
        <v>0.65625</v>
      </c>
      <c r="I3" s="94">
        <v>4</v>
      </c>
      <c r="K3" s="38">
        <v>1</v>
      </c>
      <c r="L3" s="99">
        <v>-14.1</v>
      </c>
      <c r="N3" s="115" t="s">
        <v>131</v>
      </c>
      <c r="O3" s="122">
        <f t="shared" si="0"/>
        <v>11163.636363636364</v>
      </c>
      <c r="P3" s="119">
        <v>11</v>
      </c>
      <c r="Q3" s="103">
        <v>122800</v>
      </c>
    </row>
    <row r="4" spans="1:17" x14ac:dyDescent="0.4">
      <c r="A4" s="55" t="s">
        <v>6</v>
      </c>
      <c r="B4" s="150">
        <v>358.80000000000007</v>
      </c>
      <c r="C4" s="151"/>
      <c r="E4" s="63" t="s">
        <v>65</v>
      </c>
      <c r="F4" s="60" t="s">
        <v>21</v>
      </c>
      <c r="G4" s="47">
        <v>19</v>
      </c>
      <c r="H4" s="133">
        <f>IF(B$17=0,0,G4/B$17)</f>
        <v>0.59375</v>
      </c>
      <c r="I4" s="94">
        <v>2</v>
      </c>
      <c r="K4" s="38">
        <v>2</v>
      </c>
      <c r="L4" s="99">
        <v>60.9</v>
      </c>
      <c r="N4" s="115" t="s">
        <v>132</v>
      </c>
      <c r="O4" s="122">
        <f t="shared" si="0"/>
        <v>-1688.8888888888889</v>
      </c>
      <c r="P4" s="119">
        <v>9</v>
      </c>
      <c r="Q4" s="103">
        <v>-15200</v>
      </c>
    </row>
    <row r="5" spans="1:17" x14ac:dyDescent="0.4">
      <c r="A5" s="55" t="s">
        <v>7</v>
      </c>
      <c r="B5" s="152">
        <f>IF(B$2=0,0,B$4/B$2)</f>
        <v>32.618181818181824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0.46875</v>
      </c>
      <c r="I5" s="94">
        <v>2</v>
      </c>
      <c r="K5" s="38">
        <v>3</v>
      </c>
      <c r="L5" s="99">
        <v>105.9</v>
      </c>
      <c r="N5" s="115" t="s">
        <v>133</v>
      </c>
      <c r="O5" s="122">
        <f t="shared" si="0"/>
        <v>14285.714285714286</v>
      </c>
      <c r="P5" s="119">
        <v>7</v>
      </c>
      <c r="Q5" s="103">
        <v>100000</v>
      </c>
    </row>
    <row r="6" spans="1:17" x14ac:dyDescent="0.4">
      <c r="A6" s="55" t="s">
        <v>1</v>
      </c>
      <c r="B6" s="142">
        <f>IF(B$2=0,0,(B$7*1+B$8*2+B$9*3)/B$2)</f>
        <v>1.3636363636363635</v>
      </c>
      <c r="C6" s="143"/>
      <c r="E6" s="63" t="s">
        <v>73</v>
      </c>
      <c r="F6" s="60" t="s">
        <v>28</v>
      </c>
      <c r="G6" s="47">
        <v>14</v>
      </c>
      <c r="H6" s="133">
        <f>IF(B$17=0,0,G6/B$17)</f>
        <v>0.4375</v>
      </c>
      <c r="I6" s="94">
        <v>2</v>
      </c>
      <c r="K6" s="38">
        <v>4</v>
      </c>
      <c r="L6" s="99">
        <v>134.4</v>
      </c>
      <c r="N6" s="115" t="s">
        <v>134</v>
      </c>
      <c r="O6" s="122">
        <f t="shared" si="0"/>
        <v>2375</v>
      </c>
      <c r="P6" s="119">
        <v>4</v>
      </c>
      <c r="Q6" s="103">
        <v>9500</v>
      </c>
    </row>
    <row r="7" spans="1:17" x14ac:dyDescent="0.4">
      <c r="A7" s="55" t="s">
        <v>2</v>
      </c>
      <c r="B7" s="47">
        <v>8</v>
      </c>
      <c r="C7" s="39">
        <f>IF(B$2=0,0,B7/B$2)</f>
        <v>0.72727272727272729</v>
      </c>
      <c r="E7" s="63" t="s">
        <v>169</v>
      </c>
      <c r="F7" s="60" t="s">
        <v>170</v>
      </c>
      <c r="G7" s="47">
        <v>13</v>
      </c>
      <c r="H7" s="133">
        <f>IF(B$17=0,0,G7/B$17)</f>
        <v>0.40625</v>
      </c>
      <c r="I7" s="94">
        <v>1</v>
      </c>
      <c r="K7" s="38">
        <v>5</v>
      </c>
      <c r="L7" s="99">
        <v>152.5</v>
      </c>
      <c r="N7" s="116" t="s">
        <v>135</v>
      </c>
      <c r="O7" s="123">
        <f t="shared" si="0"/>
        <v>4050</v>
      </c>
      <c r="P7" s="120">
        <v>4</v>
      </c>
      <c r="Q7" s="104">
        <v>16200</v>
      </c>
    </row>
    <row r="8" spans="1:17" x14ac:dyDescent="0.4">
      <c r="A8" s="55" t="s">
        <v>3</v>
      </c>
      <c r="B8" s="47">
        <v>2</v>
      </c>
      <c r="C8" s="39">
        <f>IF(B$2=0,0,B8/B$2)</f>
        <v>0.18181818181818182</v>
      </c>
      <c r="E8" s="63" t="s">
        <v>69</v>
      </c>
      <c r="F8" s="60" t="s">
        <v>12</v>
      </c>
      <c r="G8" s="47">
        <v>10</v>
      </c>
      <c r="H8" s="133">
        <f>IF(B$17=0,0,G8/B$17)</f>
        <v>0.3125</v>
      </c>
      <c r="I8" s="94">
        <v>2</v>
      </c>
      <c r="K8" s="38">
        <v>6</v>
      </c>
      <c r="L8" s="99">
        <v>159.30000000000001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9.0909090909090912E-2</v>
      </c>
      <c r="E9" s="63" t="s">
        <v>66</v>
      </c>
      <c r="F9" s="60" t="s">
        <v>22</v>
      </c>
      <c r="G9" s="47">
        <v>8</v>
      </c>
      <c r="H9" s="133">
        <f>IF(B$17=0,0,G9/B$17)</f>
        <v>0.25</v>
      </c>
      <c r="I9" s="94">
        <v>2</v>
      </c>
      <c r="K9" s="38">
        <v>7</v>
      </c>
      <c r="L9" s="99">
        <v>235.10000000000002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25</v>
      </c>
      <c r="G10" s="47">
        <v>6</v>
      </c>
      <c r="H10" s="133">
        <f>IF(B$17=0,0,G10/B$17)</f>
        <v>0.1875</v>
      </c>
      <c r="I10" s="94">
        <v>1</v>
      </c>
      <c r="K10" s="38">
        <v>8</v>
      </c>
      <c r="L10" s="99">
        <v>272.10000000000002</v>
      </c>
      <c r="N10" s="114" t="s">
        <v>162</v>
      </c>
      <c r="O10" s="124">
        <f>IF(P10=0,0,Q10/P10)</f>
        <v>26</v>
      </c>
      <c r="P10" s="118">
        <v>4</v>
      </c>
      <c r="Q10" s="106">
        <v>104</v>
      </c>
    </row>
    <row r="11" spans="1:17" x14ac:dyDescent="0.4">
      <c r="A11" s="56" t="s">
        <v>138</v>
      </c>
      <c r="B11" s="48">
        <v>4</v>
      </c>
      <c r="C11" s="40">
        <f>IF(B$2=0,0,B11/B$2)</f>
        <v>0.36363636363636365</v>
      </c>
      <c r="E11" s="63" t="s">
        <v>72</v>
      </c>
      <c r="F11" s="60" t="s">
        <v>27</v>
      </c>
      <c r="G11" s="47">
        <v>6</v>
      </c>
      <c r="H11" s="133">
        <f>IF(B$17=0,0,G11/B$17)</f>
        <v>0.1875</v>
      </c>
      <c r="I11" s="94">
        <v>1</v>
      </c>
      <c r="K11" s="38">
        <v>9</v>
      </c>
      <c r="L11" s="99">
        <v>272.10000000000002</v>
      </c>
      <c r="N11" s="115" t="s">
        <v>163</v>
      </c>
      <c r="O11" s="125">
        <f>IF(P11=0,0,Q11/P11)</f>
        <v>37.716666666666661</v>
      </c>
      <c r="P11" s="119">
        <v>6</v>
      </c>
      <c r="Q11" s="107">
        <v>226.29999999999998</v>
      </c>
    </row>
    <row r="12" spans="1:17" x14ac:dyDescent="0.4">
      <c r="A12" s="57" t="s">
        <v>158</v>
      </c>
      <c r="B12" s="49">
        <v>1</v>
      </c>
      <c r="C12" s="42">
        <f>IF(B$2=0,0,B12/B$2)</f>
        <v>9.0909090909090912E-2</v>
      </c>
      <c r="E12" s="63" t="s">
        <v>90</v>
      </c>
      <c r="F12" s="60" t="s">
        <v>45</v>
      </c>
      <c r="G12" s="47">
        <v>5</v>
      </c>
      <c r="H12" s="133">
        <f>IF(B$17=0,0,G12/B$17)</f>
        <v>0.15625</v>
      </c>
      <c r="I12" s="94">
        <v>1</v>
      </c>
      <c r="K12" s="38">
        <v>10</v>
      </c>
      <c r="L12" s="99">
        <v>315.20000000000005</v>
      </c>
      <c r="N12" s="116" t="s">
        <v>164</v>
      </c>
      <c r="O12" s="126">
        <f>IF(P12=0,0,Q12/P12)</f>
        <v>28.5</v>
      </c>
      <c r="P12" s="120">
        <v>1</v>
      </c>
      <c r="Q12" s="108">
        <v>28.5</v>
      </c>
    </row>
    <row r="13" spans="1:17" x14ac:dyDescent="0.4">
      <c r="A13" s="58" t="s">
        <v>122</v>
      </c>
      <c r="B13" s="50">
        <v>30</v>
      </c>
      <c r="C13" s="44">
        <f>IF(B$3=0,0,B13/B$3)</f>
        <v>0.42857142857142855</v>
      </c>
      <c r="E13" s="63" t="s">
        <v>71</v>
      </c>
      <c r="F13" s="60" t="s">
        <v>26</v>
      </c>
      <c r="G13" s="47">
        <v>3</v>
      </c>
      <c r="H13" s="133">
        <f>IF(B$17=0,0,G13/B$17)</f>
        <v>9.375E-2</v>
      </c>
      <c r="I13" s="94">
        <v>2</v>
      </c>
      <c r="K13" s="38">
        <v>11</v>
      </c>
      <c r="L13" s="99">
        <v>358.80000000000007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0.27142857142857141</v>
      </c>
      <c r="E14" s="63" t="s">
        <v>82</v>
      </c>
      <c r="F14" s="60" t="s">
        <v>37</v>
      </c>
      <c r="G14" s="47">
        <v>2</v>
      </c>
      <c r="H14" s="133">
        <f>IF(B$17=0,0,G14/B$17)</f>
        <v>6.25E-2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21</v>
      </c>
      <c r="C15" s="37">
        <f>IF(B$13=0,0,B15/B$13)</f>
        <v>0.7</v>
      </c>
      <c r="E15" s="63" t="s">
        <v>84</v>
      </c>
      <c r="F15" s="60" t="s">
        <v>39</v>
      </c>
      <c r="G15" s="47">
        <v>2</v>
      </c>
      <c r="H15" s="133">
        <f>IF(B$17=0,0,G15/B$17)</f>
        <v>6.25E-2</v>
      </c>
      <c r="I15" s="94">
        <v>3</v>
      </c>
      <c r="N15" s="114" t="s">
        <v>176</v>
      </c>
      <c r="O15" s="124">
        <f>IF(P15=0,0,Q15/P15)</f>
        <v>58.709090909090904</v>
      </c>
      <c r="P15" s="118">
        <v>11</v>
      </c>
      <c r="Q15" s="106">
        <v>645.79999999999995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87</v>
      </c>
      <c r="F16" s="60" t="s">
        <v>42</v>
      </c>
      <c r="G16" s="47">
        <v>2</v>
      </c>
      <c r="H16" s="133">
        <f>IF(B$17=0,0,G16/B$17)</f>
        <v>6.25E-2</v>
      </c>
      <c r="I16" s="94">
        <v>1</v>
      </c>
      <c r="N16" s="115" t="s">
        <v>177</v>
      </c>
      <c r="O16" s="125">
        <f>IF(P16=0,0,Q16/P16)</f>
        <v>39.145454545454555</v>
      </c>
      <c r="P16" s="119">
        <v>11</v>
      </c>
      <c r="Q16" s="107">
        <v>430.60000000000014</v>
      </c>
    </row>
    <row r="17" spans="1:9" x14ac:dyDescent="0.4">
      <c r="A17" s="54" t="s">
        <v>10</v>
      </c>
      <c r="B17" s="46">
        <f>B19+B18</f>
        <v>32</v>
      </c>
      <c r="C17" s="37">
        <f>IF(B$3=0,0,B17/B$3)</f>
        <v>0.45714285714285713</v>
      </c>
      <c r="E17" s="63" t="s">
        <v>74</v>
      </c>
      <c r="F17" s="60" t="s">
        <v>29</v>
      </c>
      <c r="G17" s="47">
        <v>1</v>
      </c>
      <c r="H17" s="133">
        <f>IF(B$17=0,0,G17/B$17)</f>
        <v>3.125E-2</v>
      </c>
      <c r="I17" s="94">
        <v>1</v>
      </c>
    </row>
    <row r="18" spans="1:9" x14ac:dyDescent="0.4">
      <c r="A18" s="55" t="s">
        <v>12</v>
      </c>
      <c r="B18" s="47">
        <v>14</v>
      </c>
      <c r="C18" s="39">
        <f>IF(B$17=0,0,B18/B$17)</f>
        <v>0.4375</v>
      </c>
      <c r="E18" s="63" t="s">
        <v>78</v>
      </c>
      <c r="F18" s="60" t="s">
        <v>33</v>
      </c>
      <c r="G18" s="47">
        <v>1</v>
      </c>
      <c r="H18" s="133">
        <f>IF(B$17=0,0,G18/B$17)</f>
        <v>3.125E-2</v>
      </c>
      <c r="I18" s="94">
        <v>1</v>
      </c>
    </row>
    <row r="19" spans="1:9" x14ac:dyDescent="0.4">
      <c r="A19" s="55" t="s">
        <v>11</v>
      </c>
      <c r="B19" s="47">
        <v>18</v>
      </c>
      <c r="C19" s="39">
        <f>IF(B$17=0,0,B19/B$17)</f>
        <v>0.5625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7.1428571428571425E-2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5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25</v>
      </c>
      <c r="C22" s="135">
        <v>20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10612.5</v>
      </c>
      <c r="C23" s="41">
        <v>339600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-8140</v>
      </c>
      <c r="C24" s="45">
        <v>-40700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38">
        <v>110000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AD01-9319-40C3-B1F3-EA3278758F8A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176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11</v>
      </c>
      <c r="C2" s="147"/>
      <c r="E2" s="62" t="s">
        <v>67</v>
      </c>
      <c r="F2" s="59" t="s">
        <v>23</v>
      </c>
      <c r="G2" s="46">
        <v>13</v>
      </c>
      <c r="H2" s="132">
        <f>IF(B$17=0,0,G2/B$17)</f>
        <v>1.0833333333333333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-2663.6363636363635</v>
      </c>
      <c r="P2" s="118">
        <v>11</v>
      </c>
      <c r="Q2" s="102">
        <v>-29300</v>
      </c>
    </row>
    <row r="3" spans="1:17" x14ac:dyDescent="0.4">
      <c r="A3" s="55" t="s">
        <v>8</v>
      </c>
      <c r="B3" s="148">
        <v>70</v>
      </c>
      <c r="C3" s="149"/>
      <c r="E3" s="63" t="s">
        <v>173</v>
      </c>
      <c r="F3" s="60" t="s">
        <v>174</v>
      </c>
      <c r="G3" s="47">
        <v>13</v>
      </c>
      <c r="H3" s="133">
        <f>IF(B$17=0,0,G3/B$17)</f>
        <v>1.0833333333333333</v>
      </c>
      <c r="I3" s="94">
        <v>1</v>
      </c>
      <c r="K3" s="38">
        <v>1</v>
      </c>
      <c r="L3" s="99">
        <v>17.100000000000001</v>
      </c>
      <c r="N3" s="115" t="s">
        <v>131</v>
      </c>
      <c r="O3" s="122">
        <f t="shared" si="0"/>
        <v>-12445.454545454546</v>
      </c>
      <c r="P3" s="119">
        <v>11</v>
      </c>
      <c r="Q3" s="103">
        <v>-136900</v>
      </c>
    </row>
    <row r="4" spans="1:17" x14ac:dyDescent="0.4">
      <c r="A4" s="55" t="s">
        <v>6</v>
      </c>
      <c r="B4" s="150">
        <v>-287.00000000000006</v>
      </c>
      <c r="C4" s="151"/>
      <c r="E4" s="63" t="s">
        <v>65</v>
      </c>
      <c r="F4" s="60" t="s">
        <v>21</v>
      </c>
      <c r="G4" s="47">
        <v>4</v>
      </c>
      <c r="H4" s="133">
        <f>IF(B$17=0,0,G4/B$17)</f>
        <v>0.33333333333333331</v>
      </c>
      <c r="I4" s="94">
        <v>4</v>
      </c>
      <c r="K4" s="38">
        <v>2</v>
      </c>
      <c r="L4" s="99">
        <v>-38.9</v>
      </c>
      <c r="N4" s="115" t="s">
        <v>132</v>
      </c>
      <c r="O4" s="122">
        <f t="shared" si="0"/>
        <v>-311.11111111111109</v>
      </c>
      <c r="P4" s="119">
        <v>9</v>
      </c>
      <c r="Q4" s="103">
        <v>-2800</v>
      </c>
    </row>
    <row r="5" spans="1:17" x14ac:dyDescent="0.4">
      <c r="A5" s="55" t="s">
        <v>7</v>
      </c>
      <c r="B5" s="152">
        <f>IF(B$2=0,0,B$4/B$2)</f>
        <v>-26.090909090909097</v>
      </c>
      <c r="C5" s="153"/>
      <c r="E5" s="63" t="s">
        <v>73</v>
      </c>
      <c r="F5" s="60" t="s">
        <v>28</v>
      </c>
      <c r="G5" s="47">
        <v>4</v>
      </c>
      <c r="H5" s="133">
        <f>IF(B$17=0,0,G5/B$17)</f>
        <v>0.33333333333333331</v>
      </c>
      <c r="I5" s="94">
        <v>4</v>
      </c>
      <c r="K5" s="38">
        <v>3</v>
      </c>
      <c r="L5" s="99">
        <v>-84.9</v>
      </c>
      <c r="N5" s="115" t="s">
        <v>133</v>
      </c>
      <c r="O5" s="122">
        <f t="shared" si="0"/>
        <v>-11000</v>
      </c>
      <c r="P5" s="119">
        <v>7</v>
      </c>
      <c r="Q5" s="103">
        <v>-77000</v>
      </c>
    </row>
    <row r="6" spans="1:17" x14ac:dyDescent="0.4">
      <c r="A6" s="55" t="s">
        <v>1</v>
      </c>
      <c r="B6" s="142">
        <f>IF(B$2=0,0,(B$7*1+B$8*2+B$9*3)/B$2)</f>
        <v>2.4545454545454546</v>
      </c>
      <c r="C6" s="143"/>
      <c r="E6" s="63" t="s">
        <v>169</v>
      </c>
      <c r="F6" s="60" t="s">
        <v>170</v>
      </c>
      <c r="G6" s="47">
        <v>4</v>
      </c>
      <c r="H6" s="133">
        <f>IF(B$17=0,0,G6/B$17)</f>
        <v>0.33333333333333331</v>
      </c>
      <c r="I6" s="94">
        <v>3</v>
      </c>
      <c r="K6" s="38">
        <v>4</v>
      </c>
      <c r="L6" s="99">
        <v>-74.800000000000011</v>
      </c>
      <c r="N6" s="115" t="s">
        <v>134</v>
      </c>
      <c r="O6" s="122">
        <f t="shared" si="0"/>
        <v>-975</v>
      </c>
      <c r="P6" s="119">
        <v>4</v>
      </c>
      <c r="Q6" s="103">
        <v>-3900</v>
      </c>
    </row>
    <row r="7" spans="1:17" x14ac:dyDescent="0.4">
      <c r="A7" s="55" t="s">
        <v>2</v>
      </c>
      <c r="B7" s="47">
        <v>1</v>
      </c>
      <c r="C7" s="39">
        <f>IF(B$2=0,0,B7/B$2)</f>
        <v>9.0909090909090912E-2</v>
      </c>
      <c r="E7" s="63" t="s">
        <v>66</v>
      </c>
      <c r="F7" s="60" t="s">
        <v>22</v>
      </c>
      <c r="G7" s="47">
        <v>2</v>
      </c>
      <c r="H7" s="133">
        <f>IF(B$17=0,0,G7/B$17)</f>
        <v>0.16666666666666666</v>
      </c>
      <c r="I7" s="94">
        <v>4</v>
      </c>
      <c r="K7" s="38">
        <v>5</v>
      </c>
      <c r="L7" s="99">
        <v>-124.60000000000001</v>
      </c>
      <c r="N7" s="116" t="s">
        <v>135</v>
      </c>
      <c r="O7" s="123">
        <f t="shared" si="0"/>
        <v>725</v>
      </c>
      <c r="P7" s="120">
        <v>4</v>
      </c>
      <c r="Q7" s="104">
        <v>2900</v>
      </c>
    </row>
    <row r="8" spans="1:17" x14ac:dyDescent="0.4">
      <c r="A8" s="55" t="s">
        <v>3</v>
      </c>
      <c r="B8" s="47">
        <v>4</v>
      </c>
      <c r="C8" s="39">
        <f>IF(B$2=0,0,B8/B$2)</f>
        <v>0.36363636363636365</v>
      </c>
      <c r="E8" s="63" t="s">
        <v>68</v>
      </c>
      <c r="F8" s="60" t="s">
        <v>24</v>
      </c>
      <c r="G8" s="47">
        <v>2</v>
      </c>
      <c r="H8" s="133">
        <f>IF(B$17=0,0,G8/B$17)</f>
        <v>0.16666666666666666</v>
      </c>
      <c r="I8" s="94">
        <v>4</v>
      </c>
      <c r="K8" s="38">
        <v>6</v>
      </c>
      <c r="L8" s="99">
        <v>-132.30000000000001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69</v>
      </c>
      <c r="F9" s="60" t="s">
        <v>12</v>
      </c>
      <c r="G9" s="47">
        <v>2</v>
      </c>
      <c r="H9" s="133">
        <f>IF(B$17=0,0,G9/B$17)</f>
        <v>0.16666666666666666</v>
      </c>
      <c r="I9" s="94">
        <v>4</v>
      </c>
      <c r="K9" s="38">
        <v>7</v>
      </c>
      <c r="L9" s="99">
        <v>-196.3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5</v>
      </c>
      <c r="C10" s="40">
        <f>IF(B$2=0,0,B10/B$2)</f>
        <v>0.45454545454545453</v>
      </c>
      <c r="E10" s="63" t="s">
        <v>70</v>
      </c>
      <c r="F10" s="60" t="s">
        <v>25</v>
      </c>
      <c r="G10" s="47">
        <v>2</v>
      </c>
      <c r="H10" s="133">
        <f>IF(B$17=0,0,G10/B$17)</f>
        <v>0.16666666666666666</v>
      </c>
      <c r="I10" s="94">
        <v>2</v>
      </c>
      <c r="K10" s="38">
        <v>8</v>
      </c>
      <c r="L10" s="99">
        <v>-203.20000000000002</v>
      </c>
      <c r="N10" s="114" t="s">
        <v>162</v>
      </c>
      <c r="O10" s="124">
        <f>IF(P10=0,0,Q10/P10)</f>
        <v>10.1</v>
      </c>
      <c r="P10" s="118">
        <v>1</v>
      </c>
      <c r="Q10" s="106">
        <v>10.1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2</v>
      </c>
      <c r="H11" s="133">
        <f>IF(B$17=0,0,G11/B$17)</f>
        <v>0.16666666666666666</v>
      </c>
      <c r="I11" s="94">
        <v>1</v>
      </c>
      <c r="K11" s="38">
        <v>9</v>
      </c>
      <c r="L11" s="99">
        <v>-267.90000000000003</v>
      </c>
      <c r="N11" s="115" t="s">
        <v>163</v>
      </c>
      <c r="O11" s="125">
        <f>IF(P11=0,0,Q11/P11)</f>
        <v>-28.349999999999998</v>
      </c>
      <c r="P11" s="119">
        <v>4</v>
      </c>
      <c r="Q11" s="107">
        <v>-113.39999999999999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84</v>
      </c>
      <c r="F12" s="60" t="s">
        <v>39</v>
      </c>
      <c r="G12" s="47">
        <v>2</v>
      </c>
      <c r="H12" s="133">
        <f>IF(B$17=0,0,G12/B$17)</f>
        <v>0.16666666666666666</v>
      </c>
      <c r="I12" s="94">
        <v>1</v>
      </c>
      <c r="K12" s="38">
        <v>10</v>
      </c>
      <c r="L12" s="99">
        <v>-277.70000000000005</v>
      </c>
      <c r="N12" s="116" t="s">
        <v>164</v>
      </c>
      <c r="O12" s="126">
        <f>IF(P12=0,0,Q12/P12)</f>
        <v>-30.616666666666671</v>
      </c>
      <c r="P12" s="120">
        <v>6</v>
      </c>
      <c r="Q12" s="108">
        <v>-183.70000000000002</v>
      </c>
    </row>
    <row r="13" spans="1:17" x14ac:dyDescent="0.4">
      <c r="A13" s="58" t="s">
        <v>122</v>
      </c>
      <c r="B13" s="50">
        <v>7</v>
      </c>
      <c r="C13" s="44">
        <f>IF(B$3=0,0,B13/B$3)</f>
        <v>0.1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-287.00000000000006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</v>
      </c>
      <c r="C14" s="39">
        <f>IF(B$3=0,0,B14/B$3)</f>
        <v>0.41428571428571431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3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4</v>
      </c>
      <c r="C15" s="37">
        <f>IF(B$13=0,0,B15/B$13)</f>
        <v>0.5714285714285714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3</v>
      </c>
      <c r="N15" s="114" t="s">
        <v>177</v>
      </c>
      <c r="O15" s="124">
        <f>IF(P15=0,0,Q15/P15)</f>
        <v>-19.563636363636363</v>
      </c>
      <c r="P15" s="118">
        <v>11</v>
      </c>
      <c r="Q15" s="106">
        <v>-215.2</v>
      </c>
    </row>
    <row r="16" spans="1:17" x14ac:dyDescent="0.4">
      <c r="A16" s="54" t="s">
        <v>125</v>
      </c>
      <c r="B16" s="46">
        <v>7</v>
      </c>
      <c r="C16" s="37">
        <f>IF(B$14=0,0,B16/B$14)</f>
        <v>0.2413793103448276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-58.709090909090904</v>
      </c>
      <c r="P16" s="119">
        <v>11</v>
      </c>
      <c r="Q16" s="107">
        <v>-645.79999999999995</v>
      </c>
    </row>
    <row r="17" spans="1:9" x14ac:dyDescent="0.4">
      <c r="A17" s="54" t="s">
        <v>10</v>
      </c>
      <c r="B17" s="46">
        <f>B19+B18</f>
        <v>12</v>
      </c>
      <c r="C17" s="37">
        <f>IF(B$3=0,0,B17/B$3)</f>
        <v>0.17142857142857143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20</v>
      </c>
      <c r="C20" s="39">
        <f>IF(B$3=0,0,B20/B$3)</f>
        <v>0.2857142857142857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12</v>
      </c>
      <c r="C22" s="135">
        <v>5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9608.3333333333339</v>
      </c>
      <c r="C23" s="41">
        <v>115300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-13335</v>
      </c>
      <c r="C24" s="45">
        <v>-266700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38">
        <v>52100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288D-25FB-489B-8DAD-58F885342417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11</v>
      </c>
      <c r="C2" s="147"/>
      <c r="E2" s="62" t="s">
        <v>173</v>
      </c>
      <c r="F2" s="59" t="s">
        <v>174</v>
      </c>
      <c r="G2" s="46">
        <v>15</v>
      </c>
      <c r="H2" s="132">
        <f>IF(B$17=0,0,G2/B$17)</f>
        <v>0.88235294117647056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-1472.7272727272727</v>
      </c>
      <c r="P2" s="118">
        <v>11</v>
      </c>
      <c r="Q2" s="102">
        <v>-16200</v>
      </c>
    </row>
    <row r="3" spans="1:17" x14ac:dyDescent="0.4">
      <c r="A3" s="55" t="s">
        <v>8</v>
      </c>
      <c r="B3" s="148">
        <v>70</v>
      </c>
      <c r="C3" s="149"/>
      <c r="E3" s="63" t="s">
        <v>67</v>
      </c>
      <c r="F3" s="60" t="s">
        <v>23</v>
      </c>
      <c r="G3" s="47">
        <v>14</v>
      </c>
      <c r="H3" s="133">
        <f>IF(B$17=0,0,G3/B$17)</f>
        <v>0.82352941176470584</v>
      </c>
      <c r="I3" s="94">
        <v>2</v>
      </c>
      <c r="K3" s="38">
        <v>1</v>
      </c>
      <c r="L3" s="99">
        <v>-3</v>
      </c>
      <c r="N3" s="115" t="s">
        <v>131</v>
      </c>
      <c r="O3" s="122">
        <f t="shared" si="0"/>
        <v>1100</v>
      </c>
      <c r="P3" s="119">
        <v>11</v>
      </c>
      <c r="Q3" s="103">
        <v>12100</v>
      </c>
    </row>
    <row r="4" spans="1:17" x14ac:dyDescent="0.4">
      <c r="A4" s="55" t="s">
        <v>6</v>
      </c>
      <c r="B4" s="150">
        <v>-71.8</v>
      </c>
      <c r="C4" s="151"/>
      <c r="E4" s="63" t="s">
        <v>65</v>
      </c>
      <c r="F4" s="60" t="s">
        <v>21</v>
      </c>
      <c r="G4" s="47">
        <v>13</v>
      </c>
      <c r="H4" s="133">
        <f>IF(B$17=0,0,G4/B$17)</f>
        <v>0.76470588235294112</v>
      </c>
      <c r="I4" s="94">
        <v>1</v>
      </c>
      <c r="K4" s="38">
        <v>2</v>
      </c>
      <c r="L4" s="99">
        <v>-22</v>
      </c>
      <c r="N4" s="115" t="s">
        <v>132</v>
      </c>
      <c r="O4" s="122">
        <f t="shared" si="0"/>
        <v>2222.2222222222222</v>
      </c>
      <c r="P4" s="119">
        <v>9</v>
      </c>
      <c r="Q4" s="103">
        <v>20000</v>
      </c>
    </row>
    <row r="5" spans="1:17" x14ac:dyDescent="0.4">
      <c r="A5" s="55" t="s">
        <v>7</v>
      </c>
      <c r="B5" s="152">
        <f>IF(B$2=0,0,B$4/B$2)</f>
        <v>-6.5272727272727273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0.47058823529411764</v>
      </c>
      <c r="I5" s="94">
        <v>1</v>
      </c>
      <c r="K5" s="38">
        <v>3</v>
      </c>
      <c r="L5" s="99">
        <v>-21</v>
      </c>
      <c r="N5" s="115" t="s">
        <v>133</v>
      </c>
      <c r="O5" s="122">
        <f t="shared" si="0"/>
        <v>-3428.5714285714284</v>
      </c>
      <c r="P5" s="119">
        <v>7</v>
      </c>
      <c r="Q5" s="103">
        <v>-24000</v>
      </c>
    </row>
    <row r="6" spans="1:17" x14ac:dyDescent="0.4">
      <c r="A6" s="55" t="s">
        <v>1</v>
      </c>
      <c r="B6" s="142">
        <f>IF(B$2=0,0,(B$7*1+B$8*2+B$9*3)/B$2)</f>
        <v>2.1818181818181817</v>
      </c>
      <c r="C6" s="143"/>
      <c r="E6" s="63" t="s">
        <v>73</v>
      </c>
      <c r="F6" s="60" t="s">
        <v>28</v>
      </c>
      <c r="G6" s="47">
        <v>8</v>
      </c>
      <c r="H6" s="133">
        <f>IF(B$17=0,0,G6/B$17)</f>
        <v>0.47058823529411764</v>
      </c>
      <c r="I6" s="94">
        <v>1</v>
      </c>
      <c r="K6" s="38">
        <v>4</v>
      </c>
      <c r="L6" s="99">
        <v>-59.6</v>
      </c>
      <c r="N6" s="115" t="s">
        <v>134</v>
      </c>
      <c r="O6" s="122">
        <f t="shared" si="0"/>
        <v>-1150</v>
      </c>
      <c r="P6" s="119">
        <v>4</v>
      </c>
      <c r="Q6" s="103">
        <v>-4600</v>
      </c>
    </row>
    <row r="7" spans="1:17" x14ac:dyDescent="0.4">
      <c r="A7" s="55" t="s">
        <v>2</v>
      </c>
      <c r="B7" s="47">
        <v>2</v>
      </c>
      <c r="C7" s="39">
        <f>IF(B$2=0,0,B7/B$2)</f>
        <v>0.18181818181818182</v>
      </c>
      <c r="E7" s="63" t="s">
        <v>69</v>
      </c>
      <c r="F7" s="60" t="s">
        <v>12</v>
      </c>
      <c r="G7" s="47">
        <v>6</v>
      </c>
      <c r="H7" s="133">
        <f>IF(B$17=0,0,G7/B$17)</f>
        <v>0.35294117647058826</v>
      </c>
      <c r="I7" s="94">
        <v>1</v>
      </c>
      <c r="K7" s="38">
        <v>5</v>
      </c>
      <c r="L7" s="99">
        <v>-27.900000000000002</v>
      </c>
      <c r="N7" s="116" t="s">
        <v>135</v>
      </c>
      <c r="O7" s="123">
        <f t="shared" si="0"/>
        <v>-4775</v>
      </c>
      <c r="P7" s="120">
        <v>4</v>
      </c>
      <c r="Q7" s="104">
        <v>-19100</v>
      </c>
    </row>
    <row r="8" spans="1:17" x14ac:dyDescent="0.4">
      <c r="A8" s="55" t="s">
        <v>3</v>
      </c>
      <c r="B8" s="47">
        <v>5</v>
      </c>
      <c r="C8" s="39">
        <f>IF(B$2=0,0,B8/B$2)</f>
        <v>0.45454545454545453</v>
      </c>
      <c r="E8" s="63" t="s">
        <v>66</v>
      </c>
      <c r="F8" s="60" t="s">
        <v>22</v>
      </c>
      <c r="G8" s="47">
        <v>5</v>
      </c>
      <c r="H8" s="133">
        <f>IF(B$17=0,0,G8/B$17)</f>
        <v>0.29411764705882354</v>
      </c>
      <c r="I8" s="94">
        <v>1</v>
      </c>
      <c r="K8" s="38">
        <v>6</v>
      </c>
      <c r="L8" s="99">
        <v>-27.000000000000004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0.36363636363636365</v>
      </c>
      <c r="E9" s="63" t="s">
        <v>169</v>
      </c>
      <c r="F9" s="60" t="s">
        <v>170</v>
      </c>
      <c r="G9" s="47">
        <v>5</v>
      </c>
      <c r="H9" s="133">
        <f>IF(B$17=0,0,G9/B$17)</f>
        <v>0.29411764705882354</v>
      </c>
      <c r="I9" s="94">
        <v>4</v>
      </c>
      <c r="K9" s="38">
        <v>7</v>
      </c>
      <c r="L9" s="99">
        <v>-38.800000000000004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9.0909090909090912E-2</v>
      </c>
      <c r="E10" s="63" t="s">
        <v>70</v>
      </c>
      <c r="F10" s="60" t="s">
        <v>25</v>
      </c>
      <c r="G10" s="47">
        <v>2</v>
      </c>
      <c r="H10" s="133">
        <f>IF(B$17=0,0,G10/B$17)</f>
        <v>0.11764705882352941</v>
      </c>
      <c r="I10" s="94">
        <v>4</v>
      </c>
      <c r="K10" s="38">
        <v>8</v>
      </c>
      <c r="L10" s="99">
        <v>-68.900000000000006</v>
      </c>
      <c r="N10" s="114" t="s">
        <v>162</v>
      </c>
      <c r="O10" s="124">
        <f>IF(P10=0,0,Q10/P10)</f>
        <v>-7.0999999999999988</v>
      </c>
      <c r="P10" s="118">
        <v>6</v>
      </c>
      <c r="Q10" s="106">
        <v>-42.599999999999994</v>
      </c>
    </row>
    <row r="11" spans="1:17" x14ac:dyDescent="0.4">
      <c r="A11" s="56" t="s">
        <v>138</v>
      </c>
      <c r="B11" s="48">
        <v>2</v>
      </c>
      <c r="C11" s="40">
        <f>IF(B$2=0,0,B11/B$2)</f>
        <v>0.18181818181818182</v>
      </c>
      <c r="E11" s="63" t="s">
        <v>71</v>
      </c>
      <c r="F11" s="60" t="s">
        <v>26</v>
      </c>
      <c r="G11" s="47">
        <v>2</v>
      </c>
      <c r="H11" s="133">
        <f>IF(B$17=0,0,G11/B$17)</f>
        <v>0.11764705882352941</v>
      </c>
      <c r="I11" s="94">
        <v>1</v>
      </c>
      <c r="K11" s="38">
        <v>9</v>
      </c>
      <c r="L11" s="99">
        <v>-4.2000000000000028</v>
      </c>
      <c r="N11" s="115" t="s">
        <v>163</v>
      </c>
      <c r="O11" s="125">
        <f>IF(P11=0,0,Q11/P11)</f>
        <v>-38.6</v>
      </c>
      <c r="P11" s="119">
        <v>1</v>
      </c>
      <c r="Q11" s="107">
        <v>-38.6</v>
      </c>
    </row>
    <row r="12" spans="1:17" x14ac:dyDescent="0.4">
      <c r="A12" s="57" t="s">
        <v>158</v>
      </c>
      <c r="B12" s="49">
        <v>1</v>
      </c>
      <c r="C12" s="42">
        <f>IF(B$2=0,0,B12/B$2)</f>
        <v>9.0909090909090912E-2</v>
      </c>
      <c r="E12" s="63" t="s">
        <v>90</v>
      </c>
      <c r="F12" s="60" t="s">
        <v>45</v>
      </c>
      <c r="G12" s="47">
        <v>2</v>
      </c>
      <c r="H12" s="133">
        <f>IF(B$17=0,0,G12/B$17)</f>
        <v>0.11764705882352941</v>
      </c>
      <c r="I12" s="94">
        <v>2</v>
      </c>
      <c r="K12" s="38">
        <v>10</v>
      </c>
      <c r="L12" s="99">
        <v>-37.5</v>
      </c>
      <c r="N12" s="116" t="s">
        <v>164</v>
      </c>
      <c r="O12" s="126">
        <f>IF(P12=0,0,Q12/P12)</f>
        <v>2.3500000000000014</v>
      </c>
      <c r="P12" s="120">
        <v>4</v>
      </c>
      <c r="Q12" s="108">
        <v>9.4000000000000057</v>
      </c>
    </row>
    <row r="13" spans="1:17" x14ac:dyDescent="0.4">
      <c r="A13" s="58" t="s">
        <v>122</v>
      </c>
      <c r="B13" s="50">
        <v>22</v>
      </c>
      <c r="C13" s="44">
        <f>IF(B$3=0,0,B13/B$3)</f>
        <v>0.31428571428571428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K13" s="38">
        <v>11</v>
      </c>
      <c r="L13" s="99">
        <v>-71.8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0.14285714285714285</v>
      </c>
      <c r="E14" s="63" t="s">
        <v>82</v>
      </c>
      <c r="F14" s="60" t="s">
        <v>37</v>
      </c>
      <c r="G14" s="47">
        <v>1</v>
      </c>
      <c r="H14" s="133">
        <f>IF(B$17=0,0,G14/B$17)</f>
        <v>5.8823529411764705E-2</v>
      </c>
      <c r="I14" s="94">
        <v>2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13</v>
      </c>
      <c r="C15" s="37">
        <f>IF(B$13=0,0,B15/B$13)</f>
        <v>0.59090909090909094</v>
      </c>
      <c r="E15" s="63" t="s">
        <v>87</v>
      </c>
      <c r="F15" s="60" t="s">
        <v>42</v>
      </c>
      <c r="G15" s="47">
        <v>1</v>
      </c>
      <c r="H15" s="133">
        <f>IF(B$17=0,0,G15/B$17)</f>
        <v>5.8823529411764705E-2</v>
      </c>
      <c r="I15" s="94">
        <v>2</v>
      </c>
      <c r="N15" s="114" t="s">
        <v>176</v>
      </c>
      <c r="O15" s="124">
        <f>IF(P15=0,0,Q15/P15)</f>
        <v>19.563636363636363</v>
      </c>
      <c r="P15" s="118">
        <v>11</v>
      </c>
      <c r="Q15" s="106">
        <v>215.2</v>
      </c>
    </row>
    <row r="16" spans="1:17" x14ac:dyDescent="0.4">
      <c r="A16" s="54" t="s">
        <v>125</v>
      </c>
      <c r="B16" s="46">
        <v>4</v>
      </c>
      <c r="C16" s="37">
        <f>IF(B$14=0,0,B16/B$14)</f>
        <v>0.4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3</v>
      </c>
      <c r="N16" s="115" t="s">
        <v>127</v>
      </c>
      <c r="O16" s="125">
        <f>IF(P16=0,0,Q16/P16)</f>
        <v>-39.145454545454555</v>
      </c>
      <c r="P16" s="119">
        <v>11</v>
      </c>
      <c r="Q16" s="107">
        <v>-430.60000000000014</v>
      </c>
    </row>
    <row r="17" spans="1:9" x14ac:dyDescent="0.4">
      <c r="A17" s="54" t="s">
        <v>10</v>
      </c>
      <c r="B17" s="46">
        <f>B19+B18</f>
        <v>17</v>
      </c>
      <c r="C17" s="37">
        <f>IF(B$3=0,0,B17/B$3)</f>
        <v>0.24285714285714285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9</v>
      </c>
      <c r="C20" s="39">
        <f>IF(B$3=0,0,B20/B$3)</f>
        <v>0.12857142857142856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5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3</v>
      </c>
    </row>
    <row r="22" spans="1:9" x14ac:dyDescent="0.4">
      <c r="A22" s="55" t="s">
        <v>172</v>
      </c>
      <c r="B22" s="47">
        <v>15</v>
      </c>
      <c r="C22" s="135">
        <v>8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10505.882352941177</v>
      </c>
      <c r="C23" s="41">
        <v>178600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-10266.666666666666</v>
      </c>
      <c r="C24" s="45">
        <v>-92400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0">
        <v>5</v>
      </c>
      <c r="C25" s="141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150</v>
      </c>
      <c r="B26" s="138">
        <v>79700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0D13-CAB3-43EA-B7BE-0E7C0D610A33}">
  <sheetPr codeName="Sheet1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</v>
      </c>
      <c r="G4" s="67">
        <v>0.2857142857142857</v>
      </c>
      <c r="H4" s="67">
        <v>0</v>
      </c>
      <c r="I4" s="68">
        <v>2500</v>
      </c>
      <c r="J4" s="68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</v>
      </c>
      <c r="G5" s="67">
        <v>0.25</v>
      </c>
      <c r="H5" s="67">
        <v>0.125</v>
      </c>
      <c r="I5" s="68">
        <v>5250</v>
      </c>
      <c r="J5" s="68">
        <v>-12000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</v>
      </c>
      <c r="G6" s="67">
        <v>0.23809523809523808</v>
      </c>
      <c r="H6" s="67">
        <v>9.5238095238095233E-2</v>
      </c>
      <c r="I6" s="68">
        <v>6600</v>
      </c>
      <c r="J6" s="68">
        <v>-12000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0.25</v>
      </c>
      <c r="G7" s="67">
        <v>0.18518518518518517</v>
      </c>
      <c r="H7" s="67">
        <v>0.14814814814814814</v>
      </c>
      <c r="I7" s="68">
        <v>6600</v>
      </c>
      <c r="J7" s="68">
        <v>-10900</v>
      </c>
      <c r="K7" s="67">
        <v>0.25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</v>
      </c>
      <c r="G8" s="67">
        <v>0.20588235294117646</v>
      </c>
      <c r="H8" s="67">
        <v>0.11764705882352941</v>
      </c>
      <c r="I8" s="68">
        <v>10714.285714285714</v>
      </c>
      <c r="J8" s="68">
        <v>-10900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0.16666666666666666</v>
      </c>
      <c r="G9" s="67">
        <v>0.21428571428571427</v>
      </c>
      <c r="H9" s="67">
        <v>9.5238095238095233E-2</v>
      </c>
      <c r="I9" s="68">
        <v>11000</v>
      </c>
      <c r="J9" s="68">
        <v>-10900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-38.800000000000004</v>
      </c>
      <c r="C10" s="66">
        <v>-5.5428571428571436</v>
      </c>
      <c r="D10" s="71">
        <v>2</v>
      </c>
      <c r="E10" s="67">
        <v>0.14285714285714285</v>
      </c>
      <c r="F10" s="67">
        <v>0.14285714285714285</v>
      </c>
      <c r="G10" s="67">
        <v>0.21739130434782608</v>
      </c>
      <c r="H10" s="67">
        <v>0.13043478260869565</v>
      </c>
      <c r="I10" s="68">
        <v>11100</v>
      </c>
      <c r="J10" s="68">
        <v>-9400</v>
      </c>
      <c r="K10" s="67">
        <v>0.14285714285714285</v>
      </c>
      <c r="L10" s="67">
        <v>0.14285714285714285</v>
      </c>
      <c r="M10" s="67">
        <v>0.32608695652173914</v>
      </c>
      <c r="N10" s="67">
        <v>8.6956521739130432E-2</v>
      </c>
      <c r="O10" s="67">
        <v>0.53333333333333333</v>
      </c>
      <c r="P10" s="67">
        <v>0.5</v>
      </c>
      <c r="Q10" s="67">
        <v>0.5</v>
      </c>
    </row>
    <row r="11" spans="1:17" x14ac:dyDescent="0.4">
      <c r="A11" s="69">
        <v>8</v>
      </c>
      <c r="B11" s="66">
        <v>-68.900000000000006</v>
      </c>
      <c r="C11" s="66">
        <v>-8.6125000000000007</v>
      </c>
      <c r="D11" s="71">
        <v>2.125</v>
      </c>
      <c r="E11" s="67">
        <v>0.125</v>
      </c>
      <c r="F11" s="67">
        <v>0.25</v>
      </c>
      <c r="G11" s="67">
        <v>0.22641509433962265</v>
      </c>
      <c r="H11" s="67">
        <v>0.13207547169811321</v>
      </c>
      <c r="I11" s="68">
        <v>10241.666666666666</v>
      </c>
      <c r="J11" s="68">
        <v>-9771.4285714285706</v>
      </c>
      <c r="K11" s="67">
        <v>0.125</v>
      </c>
      <c r="L11" s="67">
        <v>0.125</v>
      </c>
      <c r="M11" s="67">
        <v>0.30188679245283018</v>
      </c>
      <c r="N11" s="67">
        <v>9.4339622641509441E-2</v>
      </c>
      <c r="O11" s="67">
        <v>0.5625</v>
      </c>
      <c r="P11" s="67">
        <v>0.6</v>
      </c>
      <c r="Q11" s="67">
        <v>0.41666666666666669</v>
      </c>
    </row>
    <row r="12" spans="1:17" x14ac:dyDescent="0.4">
      <c r="A12" s="69">
        <v>9</v>
      </c>
      <c r="B12" s="66">
        <v>-4.2000000000000028</v>
      </c>
      <c r="C12" s="66">
        <v>-0.46666666666666701</v>
      </c>
      <c r="D12" s="71">
        <v>2</v>
      </c>
      <c r="E12" s="67">
        <v>0.22222222222222221</v>
      </c>
      <c r="F12" s="67">
        <v>0.22222222222222221</v>
      </c>
      <c r="G12" s="67">
        <v>0.2807017543859649</v>
      </c>
      <c r="H12" s="67">
        <v>0.12280701754385964</v>
      </c>
      <c r="I12" s="68">
        <v>10412.5</v>
      </c>
      <c r="J12" s="68">
        <v>-9771.4285714285706</v>
      </c>
      <c r="K12" s="67">
        <v>0.1111111111111111</v>
      </c>
      <c r="L12" s="67">
        <v>0.22222222222222221</v>
      </c>
      <c r="M12" s="67">
        <v>0.33333333333333331</v>
      </c>
      <c r="N12" s="67">
        <v>0.10526315789473684</v>
      </c>
      <c r="O12" s="67">
        <v>0.63157894736842102</v>
      </c>
      <c r="P12" s="67">
        <v>0.66666666666666663</v>
      </c>
      <c r="Q12" s="67">
        <v>0.3125</v>
      </c>
    </row>
    <row r="13" spans="1:17" x14ac:dyDescent="0.4">
      <c r="A13" s="69">
        <v>10</v>
      </c>
      <c r="B13" s="66">
        <v>-37.5</v>
      </c>
      <c r="C13" s="66">
        <v>-3.75</v>
      </c>
      <c r="D13" s="71">
        <v>2.1</v>
      </c>
      <c r="E13" s="67">
        <v>0.2</v>
      </c>
      <c r="F13" s="67">
        <v>0.3</v>
      </c>
      <c r="G13" s="67">
        <v>0.26984126984126983</v>
      </c>
      <c r="H13" s="67">
        <v>0.14285714285714285</v>
      </c>
      <c r="I13" s="68">
        <v>10505.882352941177</v>
      </c>
      <c r="J13" s="68">
        <v>-10266.666666666666</v>
      </c>
      <c r="K13" s="67">
        <v>0.1</v>
      </c>
      <c r="L13" s="67">
        <v>0.2</v>
      </c>
      <c r="M13" s="67">
        <v>0.34920634920634919</v>
      </c>
      <c r="N13" s="67">
        <v>9.5238095238095233E-2</v>
      </c>
      <c r="O13" s="67">
        <v>0.59090909090909094</v>
      </c>
      <c r="P13" s="67">
        <v>0.66666666666666663</v>
      </c>
      <c r="Q13" s="67">
        <v>0.35294117647058826</v>
      </c>
    </row>
    <row r="14" spans="1:17" x14ac:dyDescent="0.4">
      <c r="A14" s="69">
        <v>11</v>
      </c>
      <c r="B14" s="66">
        <v>-71.8</v>
      </c>
      <c r="C14" s="66">
        <v>-6.5272727272727273</v>
      </c>
      <c r="D14" s="71">
        <v>2.1818181818181817</v>
      </c>
      <c r="E14" s="67">
        <v>0.18181818181818182</v>
      </c>
      <c r="F14" s="67">
        <v>0.36363636363636365</v>
      </c>
      <c r="G14" s="67">
        <v>0.24285714285714285</v>
      </c>
      <c r="H14" s="67">
        <v>0.12857142857142856</v>
      </c>
      <c r="I14" s="68">
        <v>10505.882352941177</v>
      </c>
      <c r="J14" s="68">
        <v>-10266.666666666666</v>
      </c>
      <c r="K14" s="67">
        <v>9.0909090909090912E-2</v>
      </c>
      <c r="L14" s="67">
        <v>0.18181818181818182</v>
      </c>
      <c r="M14" s="67">
        <v>0.31428571428571428</v>
      </c>
      <c r="N14" s="67">
        <v>0.14285714285714285</v>
      </c>
      <c r="O14" s="67">
        <v>0.59090909090909094</v>
      </c>
      <c r="P14" s="67">
        <v>0.4</v>
      </c>
      <c r="Q14" s="67">
        <v>0.35294117647058826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98A7-A823-45A0-A0F5-6EDE6D47847E}">
  <sheetPr codeName="Sheet10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</v>
      </c>
      <c r="G4" s="67">
        <v>0.2857142857142857</v>
      </c>
      <c r="H4" s="67">
        <v>0.14285714285714285</v>
      </c>
      <c r="I4" s="68">
        <v>9850</v>
      </c>
      <c r="J4" s="68">
        <v>-1600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0.5</v>
      </c>
      <c r="G5" s="67">
        <v>0.125</v>
      </c>
      <c r="H5" s="67">
        <v>0.1875</v>
      </c>
      <c r="I5" s="68">
        <v>9850</v>
      </c>
      <c r="J5" s="68">
        <v>-10533.333333333334</v>
      </c>
      <c r="K5" s="67">
        <v>0.5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0.66666666666666663</v>
      </c>
      <c r="G6" s="67">
        <v>9.5238095238095233E-2</v>
      </c>
      <c r="H6" s="67">
        <v>0.2857142857142857</v>
      </c>
      <c r="I6" s="68">
        <v>9850</v>
      </c>
      <c r="J6" s="68">
        <v>-11266.666666666666</v>
      </c>
      <c r="K6" s="67">
        <v>0.66666666666666663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0.5</v>
      </c>
      <c r="G7" s="67">
        <v>0.18518518518518517</v>
      </c>
      <c r="H7" s="67">
        <v>0.25925925925925924</v>
      </c>
      <c r="I7" s="68">
        <v>12260</v>
      </c>
      <c r="J7" s="68">
        <v>-14228.571428571429</v>
      </c>
      <c r="K7" s="67">
        <v>0.5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0.6</v>
      </c>
      <c r="G8" s="67">
        <v>0.17647058823529413</v>
      </c>
      <c r="H8" s="67">
        <v>0.29411764705882354</v>
      </c>
      <c r="I8" s="68">
        <v>12216.666666666666</v>
      </c>
      <c r="J8" s="68">
        <v>-15360</v>
      </c>
      <c r="K8" s="67">
        <v>0.6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0.66666666666666663</v>
      </c>
      <c r="G9" s="67">
        <v>0.21428571428571427</v>
      </c>
      <c r="H9" s="67">
        <v>0.26190476190476192</v>
      </c>
      <c r="I9" s="68">
        <v>10000</v>
      </c>
      <c r="J9" s="68">
        <v>-14318.181818181818</v>
      </c>
      <c r="K9" s="67">
        <v>0.5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-196.3</v>
      </c>
      <c r="C10" s="66">
        <v>-28.042857142857144</v>
      </c>
      <c r="D10" s="71">
        <v>2.5714285714285716</v>
      </c>
      <c r="E10" s="67">
        <v>0.14285714285714285</v>
      </c>
      <c r="F10" s="67">
        <v>0.7142857142857143</v>
      </c>
      <c r="G10" s="67">
        <v>0.19565217391304349</v>
      </c>
      <c r="H10" s="67">
        <v>0.2608695652173913</v>
      </c>
      <c r="I10" s="68">
        <v>10000</v>
      </c>
      <c r="J10" s="68">
        <v>-15625</v>
      </c>
      <c r="K10" s="67">
        <v>0.5714285714285714</v>
      </c>
      <c r="L10" s="67">
        <v>0</v>
      </c>
      <c r="M10" s="67">
        <v>8.6956521739130432E-2</v>
      </c>
      <c r="N10" s="67">
        <v>0.43478260869565216</v>
      </c>
      <c r="O10" s="67">
        <v>0.5</v>
      </c>
      <c r="P10" s="67">
        <v>0.3</v>
      </c>
      <c r="Q10" s="67">
        <v>0.55555555555555558</v>
      </c>
    </row>
    <row r="11" spans="1:17" x14ac:dyDescent="0.4">
      <c r="A11" s="69">
        <v>8</v>
      </c>
      <c r="B11" s="66">
        <v>-203.20000000000002</v>
      </c>
      <c r="C11" s="66">
        <v>-25.400000000000002</v>
      </c>
      <c r="D11" s="71">
        <v>2.5</v>
      </c>
      <c r="E11" s="67">
        <v>0.125</v>
      </c>
      <c r="F11" s="67">
        <v>0.625</v>
      </c>
      <c r="G11" s="67">
        <v>0.18867924528301888</v>
      </c>
      <c r="H11" s="67">
        <v>0.26415094339622641</v>
      </c>
      <c r="I11" s="68">
        <v>10200</v>
      </c>
      <c r="J11" s="68">
        <v>-14242.857142857143</v>
      </c>
      <c r="K11" s="67">
        <v>0.5</v>
      </c>
      <c r="L11" s="67">
        <v>0</v>
      </c>
      <c r="M11" s="67">
        <v>9.4339622641509441E-2</v>
      </c>
      <c r="N11" s="67">
        <v>0.41509433962264153</v>
      </c>
      <c r="O11" s="67">
        <v>0.6</v>
      </c>
      <c r="P11" s="67">
        <v>0.27272727272727271</v>
      </c>
      <c r="Q11" s="67">
        <v>0.5</v>
      </c>
    </row>
    <row r="12" spans="1:17" x14ac:dyDescent="0.4">
      <c r="A12" s="69">
        <v>9</v>
      </c>
      <c r="B12" s="66">
        <v>-267.90000000000003</v>
      </c>
      <c r="C12" s="66">
        <v>-29.766666666666669</v>
      </c>
      <c r="D12" s="71">
        <v>2.5555555555555554</v>
      </c>
      <c r="E12" s="67">
        <v>0.1111111111111111</v>
      </c>
      <c r="F12" s="67">
        <v>0.66666666666666663</v>
      </c>
      <c r="G12" s="67">
        <v>0.17543859649122806</v>
      </c>
      <c r="H12" s="67">
        <v>0.31578947368421051</v>
      </c>
      <c r="I12" s="68">
        <v>10200</v>
      </c>
      <c r="J12" s="68">
        <v>-13505.555555555555</v>
      </c>
      <c r="K12" s="67">
        <v>0.55555555555555558</v>
      </c>
      <c r="L12" s="67">
        <v>0</v>
      </c>
      <c r="M12" s="67">
        <v>8.771929824561403E-2</v>
      </c>
      <c r="N12" s="67">
        <v>0.42105263157894735</v>
      </c>
      <c r="O12" s="67">
        <v>0.6</v>
      </c>
      <c r="P12" s="67">
        <v>0.25</v>
      </c>
      <c r="Q12" s="67">
        <v>0.5</v>
      </c>
    </row>
    <row r="13" spans="1:17" x14ac:dyDescent="0.4">
      <c r="A13" s="69">
        <v>10</v>
      </c>
      <c r="B13" s="66">
        <v>-277.70000000000005</v>
      </c>
      <c r="C13" s="66">
        <v>-27.770000000000003</v>
      </c>
      <c r="D13" s="71">
        <v>2.5</v>
      </c>
      <c r="E13" s="67">
        <v>0.1</v>
      </c>
      <c r="F13" s="67">
        <v>0.6</v>
      </c>
      <c r="G13" s="67">
        <v>0.17460317460317459</v>
      </c>
      <c r="H13" s="67">
        <v>0.30158730158730157</v>
      </c>
      <c r="I13" s="68">
        <v>10000</v>
      </c>
      <c r="J13" s="68">
        <v>-13426.315789473685</v>
      </c>
      <c r="K13" s="67">
        <v>0.5</v>
      </c>
      <c r="L13" s="67">
        <v>0</v>
      </c>
      <c r="M13" s="67">
        <v>9.5238095238095233E-2</v>
      </c>
      <c r="N13" s="67">
        <v>0.3968253968253968</v>
      </c>
      <c r="O13" s="67">
        <v>0.66666666666666663</v>
      </c>
      <c r="P13" s="67">
        <v>0.24</v>
      </c>
      <c r="Q13" s="67">
        <v>0.45454545454545453</v>
      </c>
    </row>
    <row r="14" spans="1:17" x14ac:dyDescent="0.4">
      <c r="A14" s="69">
        <v>11</v>
      </c>
      <c r="B14" s="66">
        <v>-287.00000000000006</v>
      </c>
      <c r="C14" s="66">
        <v>-26.090909090909097</v>
      </c>
      <c r="D14" s="71">
        <v>2.4545454545454546</v>
      </c>
      <c r="E14" s="67">
        <v>9.0909090909090912E-2</v>
      </c>
      <c r="F14" s="67">
        <v>0.54545454545454541</v>
      </c>
      <c r="G14" s="67">
        <v>0.17142857142857143</v>
      </c>
      <c r="H14" s="67">
        <v>0.2857142857142857</v>
      </c>
      <c r="I14" s="68">
        <v>9608.3333333333339</v>
      </c>
      <c r="J14" s="68">
        <v>-13335</v>
      </c>
      <c r="K14" s="67">
        <v>0.45454545454545453</v>
      </c>
      <c r="L14" s="67">
        <v>0</v>
      </c>
      <c r="M14" s="67">
        <v>0.1</v>
      </c>
      <c r="N14" s="67">
        <v>0.41428571428571431</v>
      </c>
      <c r="O14" s="67">
        <v>0.5714285714285714</v>
      </c>
      <c r="P14" s="67">
        <v>0.2413793103448276</v>
      </c>
      <c r="Q14" s="67">
        <v>0.5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B858-1734-4889-A46B-A5FE90B933FD}">
  <sheetPr codeName="Sheet8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1</v>
      </c>
      <c r="G4" s="67">
        <v>0.2857142857142857</v>
      </c>
      <c r="H4" s="67">
        <v>0.42857142857142855</v>
      </c>
      <c r="I4" s="68">
        <v>6800</v>
      </c>
      <c r="J4" s="68">
        <v>-6900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0.5</v>
      </c>
      <c r="H5" s="67">
        <v>0.1875</v>
      </c>
      <c r="I5" s="68">
        <v>9950</v>
      </c>
      <c r="J5" s="68">
        <v>-6900</v>
      </c>
      <c r="K5" s="67">
        <v>0</v>
      </c>
      <c r="L5" s="67">
        <v>0.5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0.33333333333333331</v>
      </c>
      <c r="G6" s="67">
        <v>0.5714285714285714</v>
      </c>
      <c r="H6" s="67">
        <v>0.14285714285714285</v>
      </c>
      <c r="I6" s="68">
        <v>9883.3333333333339</v>
      </c>
      <c r="J6" s="68">
        <v>-6900</v>
      </c>
      <c r="K6" s="67">
        <v>0</v>
      </c>
      <c r="L6" s="67">
        <v>0.66666666666666663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0.25</v>
      </c>
      <c r="G7" s="67">
        <v>0.51851851851851849</v>
      </c>
      <c r="H7" s="67">
        <v>0.1111111111111111</v>
      </c>
      <c r="I7" s="68">
        <v>11328.571428571429</v>
      </c>
      <c r="J7" s="68">
        <v>-6900</v>
      </c>
      <c r="K7" s="67">
        <v>0</v>
      </c>
      <c r="L7" s="67">
        <v>0.75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0.2</v>
      </c>
      <c r="G8" s="67">
        <v>0.5</v>
      </c>
      <c r="H8" s="67">
        <v>0.11764705882352941</v>
      </c>
      <c r="I8" s="68">
        <v>10952.941176470587</v>
      </c>
      <c r="J8" s="68">
        <v>-8175</v>
      </c>
      <c r="K8" s="67">
        <v>0</v>
      </c>
      <c r="L8" s="67">
        <v>0.6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0.16666666666666666</v>
      </c>
      <c r="G9" s="67">
        <v>0.47619047619047616</v>
      </c>
      <c r="H9" s="67">
        <v>9.5238095238095233E-2</v>
      </c>
      <c r="I9" s="68">
        <v>10505</v>
      </c>
      <c r="J9" s="68">
        <v>-8175</v>
      </c>
      <c r="K9" s="67">
        <v>0</v>
      </c>
      <c r="L9" s="67">
        <v>0.5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  <row r="10" spans="1:17" x14ac:dyDescent="0.4">
      <c r="A10" s="69">
        <v>7</v>
      </c>
      <c r="B10" s="66">
        <v>235.10000000000002</v>
      </c>
      <c r="C10" s="66">
        <v>33.585714285714289</v>
      </c>
      <c r="D10" s="71">
        <v>1.4285714285714286</v>
      </c>
      <c r="E10" s="67">
        <v>0.7142857142857143</v>
      </c>
      <c r="F10" s="67">
        <v>0.14285714285714285</v>
      </c>
      <c r="G10" s="67">
        <v>0.52173913043478259</v>
      </c>
      <c r="H10" s="67">
        <v>8.6956521739130432E-2</v>
      </c>
      <c r="I10" s="68">
        <v>11037.5</v>
      </c>
      <c r="J10" s="68">
        <v>-8175</v>
      </c>
      <c r="K10" s="67">
        <v>0</v>
      </c>
      <c r="L10" s="67">
        <v>0.5714285714285714</v>
      </c>
      <c r="M10" s="67">
        <v>0.47826086956521741</v>
      </c>
      <c r="N10" s="67">
        <v>0.2608695652173913</v>
      </c>
      <c r="O10" s="67">
        <v>0.68181818181818177</v>
      </c>
      <c r="P10" s="67">
        <v>0.5</v>
      </c>
      <c r="Q10" s="67">
        <v>0.41666666666666669</v>
      </c>
    </row>
    <row r="11" spans="1:17" x14ac:dyDescent="0.4">
      <c r="A11" s="69">
        <v>8</v>
      </c>
      <c r="B11" s="66">
        <v>272.10000000000002</v>
      </c>
      <c r="C11" s="66">
        <v>34.012500000000003</v>
      </c>
      <c r="D11" s="71">
        <v>1.375</v>
      </c>
      <c r="E11" s="67">
        <v>0.75</v>
      </c>
      <c r="F11" s="67">
        <v>0.125</v>
      </c>
      <c r="G11" s="67">
        <v>0.49056603773584906</v>
      </c>
      <c r="H11" s="67">
        <v>9.4339622641509441E-2</v>
      </c>
      <c r="I11" s="68">
        <v>11111.538461538461</v>
      </c>
      <c r="J11" s="68">
        <v>-8140</v>
      </c>
      <c r="K11" s="67">
        <v>0</v>
      </c>
      <c r="L11" s="67">
        <v>0.5</v>
      </c>
      <c r="M11" s="67">
        <v>0.45283018867924529</v>
      </c>
      <c r="N11" s="67">
        <v>0.26415094339622641</v>
      </c>
      <c r="O11" s="67">
        <v>0.70833333333333337</v>
      </c>
      <c r="P11" s="67">
        <v>0.42857142857142855</v>
      </c>
      <c r="Q11" s="67">
        <v>0.42307692307692307</v>
      </c>
    </row>
    <row r="12" spans="1:17" x14ac:dyDescent="0.4">
      <c r="A12" s="69">
        <v>9</v>
      </c>
      <c r="B12" s="66">
        <v>272.10000000000002</v>
      </c>
      <c r="C12" s="66">
        <v>30.233333333333334</v>
      </c>
      <c r="D12" s="71">
        <v>1.4444444444444444</v>
      </c>
      <c r="E12" s="67">
        <v>0.66666666666666663</v>
      </c>
      <c r="F12" s="67">
        <v>0.1111111111111111</v>
      </c>
      <c r="G12" s="67">
        <v>0.45614035087719296</v>
      </c>
      <c r="H12" s="67">
        <v>8.771929824561403E-2</v>
      </c>
      <c r="I12" s="68">
        <v>11111.538461538461</v>
      </c>
      <c r="J12" s="68">
        <v>-8140</v>
      </c>
      <c r="K12" s="67">
        <v>0</v>
      </c>
      <c r="L12" s="67">
        <v>0.44444444444444442</v>
      </c>
      <c r="M12" s="67">
        <v>0.42105263157894735</v>
      </c>
      <c r="N12" s="67">
        <v>0.2982456140350877</v>
      </c>
      <c r="O12" s="67">
        <v>0.70833333333333337</v>
      </c>
      <c r="P12" s="67">
        <v>0.35294117647058826</v>
      </c>
      <c r="Q12" s="67">
        <v>0.42307692307692307</v>
      </c>
    </row>
    <row r="13" spans="1:17" x14ac:dyDescent="0.4">
      <c r="A13" s="69">
        <v>10</v>
      </c>
      <c r="B13" s="66">
        <v>315.20000000000005</v>
      </c>
      <c r="C13" s="66">
        <v>31.520000000000003</v>
      </c>
      <c r="D13" s="71">
        <v>1.4</v>
      </c>
      <c r="E13" s="67">
        <v>0.7</v>
      </c>
      <c r="F13" s="67">
        <v>0.1</v>
      </c>
      <c r="G13" s="67">
        <v>0.46031746031746029</v>
      </c>
      <c r="H13" s="67">
        <v>7.9365079365079361E-2</v>
      </c>
      <c r="I13" s="68">
        <v>11000</v>
      </c>
      <c r="J13" s="68">
        <v>-8140</v>
      </c>
      <c r="K13" s="67">
        <v>0</v>
      </c>
      <c r="L13" s="67">
        <v>0.4</v>
      </c>
      <c r="M13" s="67">
        <v>0.41269841269841268</v>
      </c>
      <c r="N13" s="67">
        <v>0.2857142857142857</v>
      </c>
      <c r="O13" s="67">
        <v>0.73076923076923073</v>
      </c>
      <c r="P13" s="67">
        <v>0.3888888888888889</v>
      </c>
      <c r="Q13" s="67">
        <v>0.41379310344827586</v>
      </c>
    </row>
    <row r="14" spans="1:17" x14ac:dyDescent="0.4">
      <c r="A14" s="69">
        <v>11</v>
      </c>
      <c r="B14" s="66">
        <v>358.80000000000007</v>
      </c>
      <c r="C14" s="66">
        <v>32.618181818181824</v>
      </c>
      <c r="D14" s="71">
        <v>1.3636363636363635</v>
      </c>
      <c r="E14" s="67">
        <v>0.72727272727272729</v>
      </c>
      <c r="F14" s="67">
        <v>9.0909090909090912E-2</v>
      </c>
      <c r="G14" s="67">
        <v>0.45714285714285713</v>
      </c>
      <c r="H14" s="67">
        <v>7.1428571428571425E-2</v>
      </c>
      <c r="I14" s="68">
        <v>10612.5</v>
      </c>
      <c r="J14" s="68">
        <v>-8140</v>
      </c>
      <c r="K14" s="67">
        <v>0</v>
      </c>
      <c r="L14" s="67">
        <v>0.36363636363636365</v>
      </c>
      <c r="M14" s="67">
        <v>0.42857142857142855</v>
      </c>
      <c r="N14" s="67">
        <v>0.27142857142857141</v>
      </c>
      <c r="O14" s="67">
        <v>0.7</v>
      </c>
      <c r="P14" s="67">
        <v>0.42105263157894735</v>
      </c>
      <c r="Q14" s="67">
        <v>0.4375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301D-632F-46D5-B990-3C1DC08B6970}">
  <sheetPr codeName="Sheet6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0.33333333333333331</v>
      </c>
      <c r="G4" s="67">
        <v>0.2857142857142857</v>
      </c>
      <c r="H4" s="67">
        <v>0.19047619047619047</v>
      </c>
      <c r="I4" s="68">
        <v>6383.333333333333</v>
      </c>
      <c r="J4" s="68">
        <v>-5575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0.29166666666666669</v>
      </c>
      <c r="H5" s="67">
        <v>0.16666666666666666</v>
      </c>
      <c r="I5" s="68">
        <v>8592.8571428571431</v>
      </c>
      <c r="J5" s="68">
        <v>-9537.5</v>
      </c>
      <c r="K5" s="67">
        <v>0.16666666666666666</v>
      </c>
      <c r="L5" s="67">
        <v>0.16666666666666666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0.30158730158730157</v>
      </c>
      <c r="H6" s="67">
        <v>0.17460317460317459</v>
      </c>
      <c r="I6" s="68">
        <v>9015.78947368421</v>
      </c>
      <c r="J6" s="68">
        <v>-10209.09090909091</v>
      </c>
      <c r="K6" s="67">
        <v>0.22222222222222221</v>
      </c>
      <c r="L6" s="67">
        <v>0.22222222222222221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0.29629629629629628</v>
      </c>
      <c r="H7" s="67">
        <v>0.1728395061728395</v>
      </c>
      <c r="I7" s="68">
        <v>10537.5</v>
      </c>
      <c r="J7" s="68">
        <v>-11707.142857142857</v>
      </c>
      <c r="K7" s="67">
        <v>0.25</v>
      </c>
      <c r="L7" s="67">
        <v>0.25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0.33333333333333331</v>
      </c>
      <c r="G8" s="67">
        <v>0.29411764705882354</v>
      </c>
      <c r="H8" s="67">
        <v>0.17647058823529413</v>
      </c>
      <c r="I8" s="68">
        <v>11150</v>
      </c>
      <c r="J8" s="68">
        <v>-12772.222222222223</v>
      </c>
      <c r="K8" s="67">
        <v>0.26666666666666666</v>
      </c>
      <c r="L8" s="67">
        <v>0.26666666666666666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0.33333333333333331</v>
      </c>
      <c r="G9" s="67">
        <v>0.30158730158730157</v>
      </c>
      <c r="H9" s="67">
        <v>0.15079365079365079</v>
      </c>
      <c r="I9" s="68">
        <v>10502.631578947368</v>
      </c>
      <c r="J9" s="68">
        <v>-12305.263157894737</v>
      </c>
      <c r="K9" s="67">
        <v>0.22222222222222221</v>
      </c>
      <c r="L9" s="67">
        <v>0.22222222222222221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  <row r="10" spans="1:17" x14ac:dyDescent="0.4">
      <c r="A10" s="69">
        <v>7</v>
      </c>
      <c r="B10" s="66">
        <v>-3.5527136788005009E-15</v>
      </c>
      <c r="C10" s="66">
        <v>-1.6917684184764289E-16</v>
      </c>
      <c r="D10" s="71">
        <v>2</v>
      </c>
      <c r="E10" s="67">
        <v>0.33333333333333331</v>
      </c>
      <c r="F10" s="67">
        <v>0.33333333333333331</v>
      </c>
      <c r="G10" s="67">
        <v>0.31159420289855072</v>
      </c>
      <c r="H10" s="67">
        <v>0.15942028985507245</v>
      </c>
      <c r="I10" s="68">
        <v>10834.883720930233</v>
      </c>
      <c r="J10" s="68">
        <v>-12572.727272727272</v>
      </c>
      <c r="K10" s="67">
        <v>0.23809523809523808</v>
      </c>
      <c r="L10" s="67">
        <v>0.23809523809523808</v>
      </c>
      <c r="M10" s="67">
        <v>0.29710144927536231</v>
      </c>
      <c r="N10" s="67">
        <v>0.2608695652173913</v>
      </c>
      <c r="O10" s="67">
        <v>0.6097560975609756</v>
      </c>
      <c r="P10" s="67">
        <v>0.3888888888888889</v>
      </c>
      <c r="Q10" s="67">
        <v>0.46511627906976744</v>
      </c>
    </row>
    <row r="11" spans="1:17" x14ac:dyDescent="0.4">
      <c r="A11" s="69">
        <v>8</v>
      </c>
      <c r="B11" s="66">
        <v>0</v>
      </c>
      <c r="C11" s="66">
        <v>0</v>
      </c>
      <c r="D11" s="71">
        <v>2</v>
      </c>
      <c r="E11" s="67">
        <v>0.33333333333333331</v>
      </c>
      <c r="F11" s="67">
        <v>0.33333333333333331</v>
      </c>
      <c r="G11" s="67">
        <v>0.30188679245283018</v>
      </c>
      <c r="H11" s="67">
        <v>0.16352201257861634</v>
      </c>
      <c r="I11" s="68">
        <v>10704.166666666666</v>
      </c>
      <c r="J11" s="68">
        <v>-11865.384615384615</v>
      </c>
      <c r="K11" s="67">
        <v>0.20833333333333334</v>
      </c>
      <c r="L11" s="67">
        <v>0.20833333333333334</v>
      </c>
      <c r="M11" s="67">
        <v>0.28301886792452829</v>
      </c>
      <c r="N11" s="67">
        <v>0.25786163522012578</v>
      </c>
      <c r="O11" s="67">
        <v>0.64444444444444449</v>
      </c>
      <c r="P11" s="67">
        <v>0.36585365853658536</v>
      </c>
      <c r="Q11" s="67">
        <v>0.4375</v>
      </c>
    </row>
    <row r="12" spans="1:17" x14ac:dyDescent="0.4">
      <c r="A12" s="69">
        <v>9</v>
      </c>
      <c r="B12" s="66">
        <v>0</v>
      </c>
      <c r="C12" s="66">
        <v>0</v>
      </c>
      <c r="D12" s="71">
        <v>2</v>
      </c>
      <c r="E12" s="67">
        <v>0.33333333333333331</v>
      </c>
      <c r="F12" s="67">
        <v>0.33333333333333331</v>
      </c>
      <c r="G12" s="67">
        <v>0.30409356725146197</v>
      </c>
      <c r="H12" s="67">
        <v>0.17543859649122806</v>
      </c>
      <c r="I12" s="68">
        <v>10721.153846153846</v>
      </c>
      <c r="J12" s="68">
        <v>-11740</v>
      </c>
      <c r="K12" s="67">
        <v>0.22222222222222221</v>
      </c>
      <c r="L12" s="67">
        <v>0.22222222222222221</v>
      </c>
      <c r="M12" s="67">
        <v>0.2807017543859649</v>
      </c>
      <c r="N12" s="67">
        <v>0.27485380116959063</v>
      </c>
      <c r="O12" s="67">
        <v>0.66666666666666663</v>
      </c>
      <c r="P12" s="67">
        <v>0.34042553191489361</v>
      </c>
      <c r="Q12" s="67">
        <v>0.40384615384615385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0.30158730158730157</v>
      </c>
      <c r="H13" s="67">
        <v>0.17460317460317459</v>
      </c>
      <c r="I13" s="68">
        <v>10659.649122807017</v>
      </c>
      <c r="J13" s="68">
        <v>-11763.636363636364</v>
      </c>
      <c r="K13" s="67">
        <v>0.2</v>
      </c>
      <c r="L13" s="67">
        <v>0.2</v>
      </c>
      <c r="M13" s="67">
        <v>0.2857142857142857</v>
      </c>
      <c r="N13" s="67">
        <v>0.25925925925925924</v>
      </c>
      <c r="O13" s="67">
        <v>0.66666666666666663</v>
      </c>
      <c r="P13" s="67">
        <v>0.34693877551020408</v>
      </c>
      <c r="Q13" s="67">
        <v>0.40350877192982454</v>
      </c>
    </row>
    <row r="14" spans="1:17" x14ac:dyDescent="0.4">
      <c r="A14" s="69">
        <v>11</v>
      </c>
      <c r="B14" s="66">
        <v>0</v>
      </c>
      <c r="C14" s="66">
        <v>0</v>
      </c>
      <c r="D14" s="71">
        <v>2</v>
      </c>
      <c r="E14" s="67">
        <v>0.33333333333333331</v>
      </c>
      <c r="F14" s="67">
        <v>0.33333333333333331</v>
      </c>
      <c r="G14" s="67">
        <v>0.2904761904761905</v>
      </c>
      <c r="H14" s="67">
        <v>0.16190476190476191</v>
      </c>
      <c r="I14" s="68">
        <v>10385.245901639344</v>
      </c>
      <c r="J14" s="68">
        <v>-11758.823529411764</v>
      </c>
      <c r="K14" s="67">
        <v>0.18181818181818182</v>
      </c>
      <c r="L14" s="67">
        <v>0.18181818181818182</v>
      </c>
      <c r="M14" s="67">
        <v>0.28095238095238095</v>
      </c>
      <c r="N14" s="67">
        <v>0.27619047619047621</v>
      </c>
      <c r="O14" s="67">
        <v>0.64406779661016944</v>
      </c>
      <c r="P14" s="67">
        <v>0.32758620689655171</v>
      </c>
      <c r="Q14" s="67">
        <v>0.42622950819672129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てんちゃん!アガリ数</vt:lpstr>
      <vt:lpstr>りょうすけ!アガリ数</vt:lpstr>
      <vt:lpstr>全体!アガリ数</vt:lpstr>
      <vt:lpstr>アガリ数</vt:lpstr>
      <vt:lpstr>だいち!アガリ率</vt:lpstr>
      <vt:lpstr>てんちゃん!アガリ率</vt:lpstr>
      <vt:lpstr>りょうすけ!アガリ率</vt:lpstr>
      <vt:lpstr>全体!アガリ率</vt:lpstr>
      <vt:lpstr>アガリ率</vt:lpstr>
      <vt:lpstr>だいち!チョンボ数</vt:lpstr>
      <vt:lpstr>てんちゃん!チョンボ数</vt:lpstr>
      <vt:lpstr>りょうすけ!チョンボ数</vt:lpstr>
      <vt:lpstr>全体!チョンボ数</vt:lpstr>
      <vt:lpstr>チョンボ数</vt:lpstr>
      <vt:lpstr>だいち!チョンボ率</vt:lpstr>
      <vt:lpstr>てんちゃん!チョンボ率</vt:lpstr>
      <vt:lpstr>りょうすけ!チョンボ率</vt:lpstr>
      <vt:lpstr>全体!チョンボ率</vt:lpstr>
      <vt:lpstr>チョンボ率</vt:lpstr>
      <vt:lpstr>だいち!ツモ数</vt:lpstr>
      <vt:lpstr>てんちゃん!ツモ数</vt:lpstr>
      <vt:lpstr>りょうすけ!ツモ数</vt:lpstr>
      <vt:lpstr>全体!ツモ数</vt:lpstr>
      <vt:lpstr>ツモ数</vt:lpstr>
      <vt:lpstr>だいち!ツモ率</vt:lpstr>
      <vt:lpstr>てんちゃん!ツモ率</vt:lpstr>
      <vt:lpstr>りょうすけ!ツモ率</vt:lpstr>
      <vt:lpstr>全体!ツモ率</vt:lpstr>
      <vt:lpstr>ツモ率</vt:lpstr>
      <vt:lpstr>だいち!トップ数</vt:lpstr>
      <vt:lpstr>てんちゃん!トップ数</vt:lpstr>
      <vt:lpstr>りょうすけ!トップ数</vt:lpstr>
      <vt:lpstr>全体!トップ数</vt:lpstr>
      <vt:lpstr>トップ数</vt:lpstr>
      <vt:lpstr>だいち!トップ率</vt:lpstr>
      <vt:lpstr>てんちゃん!トップ率</vt:lpstr>
      <vt:lpstr>りょうすけ!トップ率</vt:lpstr>
      <vt:lpstr>全体!トップ率</vt:lpstr>
      <vt:lpstr>トップ率</vt:lpstr>
      <vt:lpstr>だいち!ふっとばし数</vt:lpstr>
      <vt:lpstr>てんちゃん!ふっとばし数</vt:lpstr>
      <vt:lpstr>りょうすけ!ふっとばし数</vt:lpstr>
      <vt:lpstr>全体!ふっとばし数</vt:lpstr>
      <vt:lpstr>ふっとばし数</vt:lpstr>
      <vt:lpstr>だいち!ふっとばし率</vt:lpstr>
      <vt:lpstr>てんちゃん!ふっとばし率</vt:lpstr>
      <vt:lpstr>りょうすけ!ふっとばし率</vt:lpstr>
      <vt:lpstr>全体!ふっとばし率</vt:lpstr>
      <vt:lpstr>ふっとばし率</vt:lpstr>
      <vt:lpstr>だいち!ふっとび数</vt:lpstr>
      <vt:lpstr>てんちゃん!ふっとび数</vt:lpstr>
      <vt:lpstr>りょうすけ!ふっとび数</vt:lpstr>
      <vt:lpstr>全体!ふっとび数</vt:lpstr>
      <vt:lpstr>ふっとび数</vt:lpstr>
      <vt:lpstr>だいち!ふっとび率</vt:lpstr>
      <vt:lpstr>てんちゃん!ふっとび率</vt:lpstr>
      <vt:lpstr>りょうすけ!ふっとび率</vt:lpstr>
      <vt:lpstr>全体!ふっとび率</vt:lpstr>
      <vt:lpstr>ふっとび率</vt:lpstr>
      <vt:lpstr>だいち!ラス数</vt:lpstr>
      <vt:lpstr>てんちゃん!ラス数</vt:lpstr>
      <vt:lpstr>りょうすけ!ラス数</vt:lpstr>
      <vt:lpstr>全体!ラス数</vt:lpstr>
      <vt:lpstr>ラス数</vt:lpstr>
      <vt:lpstr>だいち!ラス率</vt:lpstr>
      <vt:lpstr>てんちゃん!ラス率</vt:lpstr>
      <vt:lpstr>りょうすけ!ラス率</vt:lpstr>
      <vt:lpstr>全体!ラス率</vt:lpstr>
      <vt:lpstr>ラス率</vt:lpstr>
      <vt:lpstr>だいち!リーチ数</vt:lpstr>
      <vt:lpstr>てんちゃん!リーチ数</vt:lpstr>
      <vt:lpstr>りょうすけ!リーチ数</vt:lpstr>
      <vt:lpstr>全体!リーチ数</vt:lpstr>
      <vt:lpstr>リーチ数</vt:lpstr>
      <vt:lpstr>だいち!リーチ成功数</vt:lpstr>
      <vt:lpstr>てんちゃん!リーチ成功数</vt:lpstr>
      <vt:lpstr>りょうすけ!リーチ成功数</vt:lpstr>
      <vt:lpstr>全体!リーチ成功数</vt:lpstr>
      <vt:lpstr>リーチ成功数</vt:lpstr>
      <vt:lpstr>だいち!リーチ成功率</vt:lpstr>
      <vt:lpstr>てんちゃん!リーチ成功率</vt:lpstr>
      <vt:lpstr>りょうすけ!リーチ成功率</vt:lpstr>
      <vt:lpstr>全体!リーチ成功率</vt:lpstr>
      <vt:lpstr>リーチ成功率</vt:lpstr>
      <vt:lpstr>だいち!リーチ率</vt:lpstr>
      <vt:lpstr>てんちゃん!リーチ率</vt:lpstr>
      <vt:lpstr>りょうすけ!リーチ率</vt:lpstr>
      <vt:lpstr>全体!リーチ率</vt:lpstr>
      <vt:lpstr>リーチ率</vt:lpstr>
      <vt:lpstr>だいち!ロン数</vt:lpstr>
      <vt:lpstr>てんちゃん!ロン数</vt:lpstr>
      <vt:lpstr>りょうすけ!ロン数</vt:lpstr>
      <vt:lpstr>全体!ロン数</vt:lpstr>
      <vt:lpstr>ロン数</vt:lpstr>
      <vt:lpstr>だいち!ロン率</vt:lpstr>
      <vt:lpstr>てんちゃん!ロン率</vt:lpstr>
      <vt:lpstr>りょうすけ!ロン率</vt:lpstr>
      <vt:lpstr>全体!ロン率</vt:lpstr>
      <vt:lpstr>ロン率</vt:lpstr>
      <vt:lpstr>だいち!逆転数</vt:lpstr>
      <vt:lpstr>てんちゃん!逆転数</vt:lpstr>
      <vt:lpstr>りょうすけ!逆転数</vt:lpstr>
      <vt:lpstr>全体!逆転数</vt:lpstr>
      <vt:lpstr>逆転数</vt:lpstr>
      <vt:lpstr>だいち!逆転率</vt:lpstr>
      <vt:lpstr>てんちゃん!逆転率</vt:lpstr>
      <vt:lpstr>りょうすけ!逆転率</vt:lpstr>
      <vt:lpstr>全体!逆転率</vt:lpstr>
      <vt:lpstr>逆転率</vt:lpstr>
      <vt:lpstr>だいち!最大ドラ数</vt:lpstr>
      <vt:lpstr>てんちゃん!最大ドラ数</vt:lpstr>
      <vt:lpstr>りょうすけ!最大ドラ数</vt:lpstr>
      <vt:lpstr>全体!最大ドラ数</vt:lpstr>
      <vt:lpstr>最大ドラ数</vt:lpstr>
      <vt:lpstr>だいち!最大点数</vt:lpstr>
      <vt:lpstr>てんちゃん!最大点数</vt:lpstr>
      <vt:lpstr>りょうすけ!最大点数</vt:lpstr>
      <vt:lpstr>全体!最大点数</vt:lpstr>
      <vt:lpstr>最大点数</vt:lpstr>
      <vt:lpstr>だいち!総局数</vt:lpstr>
      <vt:lpstr>てんちゃん!総局数</vt:lpstr>
      <vt:lpstr>りょうすけ!総局数</vt:lpstr>
      <vt:lpstr>全体!総局数</vt:lpstr>
      <vt:lpstr>総局数</vt:lpstr>
      <vt:lpstr>だいち!対戦数</vt:lpstr>
      <vt:lpstr>てんちゃん!対戦数</vt:lpstr>
      <vt:lpstr>りょうすけ!対戦数</vt:lpstr>
      <vt:lpstr>全体!対戦数</vt:lpstr>
      <vt:lpstr>対戦数</vt:lpstr>
      <vt:lpstr>だいち!通算スコア</vt:lpstr>
      <vt:lpstr>てんちゃん!通算スコア</vt:lpstr>
      <vt:lpstr>りょうすけ!通算スコア</vt:lpstr>
      <vt:lpstr>全体!通算スコア</vt:lpstr>
      <vt:lpstr>通算スコア</vt:lpstr>
      <vt:lpstr>だいち!副露数</vt:lpstr>
      <vt:lpstr>てんちゃん!副露数</vt:lpstr>
      <vt:lpstr>りょうすけ!副露数</vt:lpstr>
      <vt:lpstr>全体!副露数</vt:lpstr>
      <vt:lpstr>副露数</vt:lpstr>
      <vt:lpstr>だいち!副露成功数</vt:lpstr>
      <vt:lpstr>てんちゃん!副露成功数</vt:lpstr>
      <vt:lpstr>りょうすけ!副露成功数</vt:lpstr>
      <vt:lpstr>全体!副露成功数</vt:lpstr>
      <vt:lpstr>副露成功数</vt:lpstr>
      <vt:lpstr>だいち!副露成功率</vt:lpstr>
      <vt:lpstr>てんちゃん!副露成功率</vt:lpstr>
      <vt:lpstr>りょうすけ!副露成功率</vt:lpstr>
      <vt:lpstr>全体!副露成功率</vt:lpstr>
      <vt:lpstr>副露成功率</vt:lpstr>
      <vt:lpstr>だいち!副露率</vt:lpstr>
      <vt:lpstr>てんちゃん!副露率</vt:lpstr>
      <vt:lpstr>りょうすけ!副露率</vt:lpstr>
      <vt:lpstr>全体!副露率</vt:lpstr>
      <vt:lpstr>副露率</vt:lpstr>
      <vt:lpstr>だいち!平均アガリ点</vt:lpstr>
      <vt:lpstr>てんちゃん!平均アガリ点</vt:lpstr>
      <vt:lpstr>りょうすけ!平均アガリ点</vt:lpstr>
      <vt:lpstr>全体!平均アガリ点</vt:lpstr>
      <vt:lpstr>平均アガリ点</vt:lpstr>
      <vt:lpstr>だいち!平均スコア</vt:lpstr>
      <vt:lpstr>てんちゃん!平均スコア</vt:lpstr>
      <vt:lpstr>りょうすけ!平均スコア</vt:lpstr>
      <vt:lpstr>全体!平均スコア</vt:lpstr>
      <vt:lpstr>平均スコア</vt:lpstr>
      <vt:lpstr>だいち!平均順位</vt:lpstr>
      <vt:lpstr>てんちゃん!平均順位</vt:lpstr>
      <vt:lpstr>りょうすけ!平均順位</vt:lpstr>
      <vt:lpstr>全体!平均順位</vt:lpstr>
      <vt:lpstr>平均順位</vt:lpstr>
      <vt:lpstr>だいち!平均放銃点</vt:lpstr>
      <vt:lpstr>てんちゃん!平均放銃点</vt:lpstr>
      <vt:lpstr>りょうすけ!平均放銃点</vt:lpstr>
      <vt:lpstr>全体!平均放銃点</vt:lpstr>
      <vt:lpstr>平均放銃点</vt:lpstr>
      <vt:lpstr>だいち!放銃数</vt:lpstr>
      <vt:lpstr>てんちゃん!放銃数</vt:lpstr>
      <vt:lpstr>りょうすけ!放銃数</vt:lpstr>
      <vt:lpstr>全体!放銃数</vt:lpstr>
      <vt:lpstr>放銃数</vt:lpstr>
      <vt:lpstr>だいち!放銃率</vt:lpstr>
      <vt:lpstr>てんちゃん!放銃率</vt:lpstr>
      <vt:lpstr>りょうすけ!放銃率</vt:lpstr>
      <vt:lpstr>全体!放銃率</vt:lpstr>
      <vt:lpstr>放銃率</vt:lpstr>
      <vt:lpstr>だいち!連続アガリ</vt:lpstr>
      <vt:lpstr>てんちゃん!連続アガリ</vt:lpstr>
      <vt:lpstr>りょうすけ!連続アガリ</vt:lpstr>
      <vt:lpstr>全体!連続アガリ</vt:lpstr>
      <vt:lpstr>連続アガリ</vt:lpstr>
      <vt:lpstr>だいち!連続無放銃</vt:lpstr>
      <vt:lpstr>てんちゃん!連続無放銃</vt:lpstr>
      <vt:lpstr>りょうすけ!連続無放銃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2019-04-29T14:47:34Z</dcterms:modified>
</cp:coreProperties>
</file>